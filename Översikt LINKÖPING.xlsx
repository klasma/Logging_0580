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46035</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46035</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46035</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46035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46035</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46035</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55683-2025</t>
        </is>
      </c>
      <c r="B15" s="1" t="n">
        <v>45972.4255324074</v>
      </c>
      <c r="C15" s="1" t="n">
        <v>46035</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46035</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46035</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46035</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46035</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46035</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46035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46035</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46035</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58068-2021</t>
        </is>
      </c>
      <c r="B24" s="1" t="n">
        <v>44487</v>
      </c>
      <c r="C24" s="1" t="n">
        <v>46035</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50404-2023</t>
        </is>
      </c>
      <c r="B25" s="1" t="n">
        <v>45216</v>
      </c>
      <c r="C25" s="1" t="n">
        <v>46035</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49188-2024</t>
        </is>
      </c>
      <c r="B26" s="1" t="n">
        <v>45595</v>
      </c>
      <c r="C26" s="1" t="n">
        <v>46035</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21326-2025</t>
        </is>
      </c>
      <c r="B27" s="1" t="n">
        <v>45782.35407407407</v>
      </c>
      <c r="C27" s="1" t="n">
        <v>46035</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58068-2021</t>
        </is>
      </c>
      <c r="B28" s="1" t="n">
        <v>44487</v>
      </c>
      <c r="C28" s="1" t="n">
        <v>46035</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27795-2025</t>
        </is>
      </c>
      <c r="B29" s="1" t="n">
        <v>45816.7908912037</v>
      </c>
      <c r="C29" s="1" t="n">
        <v>46035</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50048-2025</t>
        </is>
      </c>
      <c r="B30" s="1" t="n">
        <v>45941</v>
      </c>
      <c r="C30" s="1" t="n">
        <v>46035</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27981-2022</t>
        </is>
      </c>
      <c r="B31" s="1" t="n">
        <v>44745</v>
      </c>
      <c r="C31" s="1" t="n">
        <v>46035</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25985-2025</t>
        </is>
      </c>
      <c r="B32" s="1" t="n">
        <v>45804.64479166667</v>
      </c>
      <c r="C32" s="1" t="n">
        <v>46035</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38913-2023</t>
        </is>
      </c>
      <c r="B33" s="1" t="n">
        <v>45163</v>
      </c>
      <c r="C33" s="1" t="n">
        <v>46035</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42858-2023</t>
        </is>
      </c>
      <c r="B34" s="1" t="n">
        <v>45177</v>
      </c>
      <c r="C34" s="1" t="n">
        <v>46035</v>
      </c>
      <c r="D34" t="inlineStr">
        <is>
          <t>ÖSTERGÖTLANDS LÄN</t>
        </is>
      </c>
      <c r="E34" t="inlineStr">
        <is>
          <t>LINKÖPING</t>
        </is>
      </c>
      <c r="G34" t="n">
        <v>5.3</v>
      </c>
      <c r="H34" t="n">
        <v>1</v>
      </c>
      <c r="I34" t="n">
        <v>0</v>
      </c>
      <c r="J34" t="n">
        <v>1</v>
      </c>
      <c r="K34" t="n">
        <v>0</v>
      </c>
      <c r="L34" t="n">
        <v>0</v>
      </c>
      <c r="M34" t="n">
        <v>0</v>
      </c>
      <c r="N34" t="n">
        <v>0</v>
      </c>
      <c r="O34" t="n">
        <v>1</v>
      </c>
      <c r="P34" t="n">
        <v>0</v>
      </c>
      <c r="Q34" t="n">
        <v>2</v>
      </c>
      <c r="R34" s="2" t="inlineStr">
        <is>
          <t>Svinrot
Skogsödla</t>
        </is>
      </c>
      <c r="S34">
        <f>HYPERLINK("https://klasma.github.io/Logging_0580/artfynd/A 42858-2023 artfynd.xlsx", "A 42858-2023")</f>
        <v/>
      </c>
      <c r="T34">
        <f>HYPERLINK("https://klasma.github.io/Logging_0580/kartor/A 42858-2023 karta.png", "A 42858-2023")</f>
        <v/>
      </c>
      <c r="V34">
        <f>HYPERLINK("https://klasma.github.io/Logging_0580/klagomål/A 42858-2023 FSC-klagomål.docx", "A 42858-2023")</f>
        <v/>
      </c>
      <c r="W34">
        <f>HYPERLINK("https://klasma.github.io/Logging_0580/klagomålsmail/A 42858-2023 FSC-klagomål mail.docx", "A 42858-2023")</f>
        <v/>
      </c>
      <c r="X34">
        <f>HYPERLINK("https://klasma.github.io/Logging_0580/tillsyn/A 42858-2023 tillsynsbegäran.docx", "A 42858-2023")</f>
        <v/>
      </c>
      <c r="Y34">
        <f>HYPERLINK("https://klasma.github.io/Logging_0580/tillsynsmail/A 42858-2023 tillsynsbegäran mail.docx", "A 42858-2023")</f>
        <v/>
      </c>
    </row>
    <row r="35" ht="15" customHeight="1">
      <c r="A35" t="inlineStr">
        <is>
          <t>A 11613-2025</t>
        </is>
      </c>
      <c r="B35" s="1" t="n">
        <v>45727.44623842592</v>
      </c>
      <c r="C35" s="1" t="n">
        <v>46035</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41751-2023</t>
        </is>
      </c>
      <c r="B36" s="1" t="n">
        <v>45176</v>
      </c>
      <c r="C36" s="1" t="n">
        <v>46035</v>
      </c>
      <c r="D36" t="inlineStr">
        <is>
          <t>ÖSTERGÖTLANDS LÄN</t>
        </is>
      </c>
      <c r="E36" t="inlineStr">
        <is>
          <t>LINKÖPING</t>
        </is>
      </c>
      <c r="G36" t="n">
        <v>1.5</v>
      </c>
      <c r="H36" t="n">
        <v>1</v>
      </c>
      <c r="I36" t="n">
        <v>0</v>
      </c>
      <c r="J36" t="n">
        <v>1</v>
      </c>
      <c r="K36" t="n">
        <v>0</v>
      </c>
      <c r="L36" t="n">
        <v>0</v>
      </c>
      <c r="M36" t="n">
        <v>0</v>
      </c>
      <c r="N36" t="n">
        <v>0</v>
      </c>
      <c r="O36" t="n">
        <v>1</v>
      </c>
      <c r="P36" t="n">
        <v>0</v>
      </c>
      <c r="Q36" t="n">
        <v>2</v>
      </c>
      <c r="R36" s="2" t="inlineStr">
        <is>
          <t>Svinrot
Grönvit nattviol</t>
        </is>
      </c>
      <c r="S36">
        <f>HYPERLINK("https://klasma.github.io/Logging_0580/artfynd/A 41751-2023 artfynd.xlsx", "A 41751-2023")</f>
        <v/>
      </c>
      <c r="T36">
        <f>HYPERLINK("https://klasma.github.io/Logging_0580/kartor/A 41751-2023 karta.png", "A 41751-2023")</f>
        <v/>
      </c>
      <c r="V36">
        <f>HYPERLINK("https://klasma.github.io/Logging_0580/klagomål/A 41751-2023 FSC-klagomål.docx", "A 41751-2023")</f>
        <v/>
      </c>
      <c r="W36">
        <f>HYPERLINK("https://klasma.github.io/Logging_0580/klagomålsmail/A 41751-2023 FSC-klagomål mail.docx", "A 41751-2023")</f>
        <v/>
      </c>
      <c r="X36">
        <f>HYPERLINK("https://klasma.github.io/Logging_0580/tillsyn/A 41751-2023 tillsynsbegäran.docx", "A 41751-2023")</f>
        <v/>
      </c>
      <c r="Y36">
        <f>HYPERLINK("https://klasma.github.io/Logging_0580/tillsynsmail/A 41751-2023 tillsynsbegäran mail.docx", "A 41751-2023")</f>
        <v/>
      </c>
    </row>
    <row r="37" ht="15" customHeight="1">
      <c r="A37" t="inlineStr">
        <is>
          <t>A 8818-2025</t>
        </is>
      </c>
      <c r="B37" s="1" t="n">
        <v>45712</v>
      </c>
      <c r="C37" s="1" t="n">
        <v>46035</v>
      </c>
      <c r="D37" t="inlineStr">
        <is>
          <t>ÖSTERGÖTLANDS LÄN</t>
        </is>
      </c>
      <c r="E37" t="inlineStr">
        <is>
          <t>LINKÖPING</t>
        </is>
      </c>
      <c r="F37" t="inlineStr">
        <is>
          <t>Kommuner</t>
        </is>
      </c>
      <c r="G37" t="n">
        <v>0.6</v>
      </c>
      <c r="H37" t="n">
        <v>0</v>
      </c>
      <c r="I37" t="n">
        <v>0</v>
      </c>
      <c r="J37" t="n">
        <v>1</v>
      </c>
      <c r="K37" t="n">
        <v>1</v>
      </c>
      <c r="L37" t="n">
        <v>0</v>
      </c>
      <c r="M37" t="n">
        <v>0</v>
      </c>
      <c r="N37" t="n">
        <v>0</v>
      </c>
      <c r="O37" t="n">
        <v>2</v>
      </c>
      <c r="P37" t="n">
        <v>1</v>
      </c>
      <c r="Q37" t="n">
        <v>2</v>
      </c>
      <c r="R37" s="2" t="inlineStr">
        <is>
          <t>Luddvicker
Klubbsprötad bastardsvärmare</t>
        </is>
      </c>
      <c r="S37">
        <f>HYPERLINK("https://klasma.github.io/Logging_0580/artfynd/A 8818-2025 artfynd.xlsx", "A 8818-2025")</f>
        <v/>
      </c>
      <c r="T37">
        <f>HYPERLINK("https://klasma.github.io/Logging_0580/kartor/A 8818-2025 karta.png", "A 8818-2025")</f>
        <v/>
      </c>
      <c r="V37">
        <f>HYPERLINK("https://klasma.github.io/Logging_0580/klagomål/A 8818-2025 FSC-klagomål.docx", "A 8818-2025")</f>
        <v/>
      </c>
      <c r="W37">
        <f>HYPERLINK("https://klasma.github.io/Logging_0580/klagomålsmail/A 8818-2025 FSC-klagomål mail.docx", "A 8818-2025")</f>
        <v/>
      </c>
      <c r="X37">
        <f>HYPERLINK("https://klasma.github.io/Logging_0580/tillsyn/A 8818-2025 tillsynsbegäran.docx", "A 8818-2025")</f>
        <v/>
      </c>
      <c r="Y37">
        <f>HYPERLINK("https://klasma.github.io/Logging_0580/tillsynsmail/A 8818-2025 tillsynsbegäran mail.docx", "A 8818-2025")</f>
        <v/>
      </c>
    </row>
    <row r="38" ht="15" customHeight="1">
      <c r="A38" t="inlineStr">
        <is>
          <t>A 14879-2024</t>
        </is>
      </c>
      <c r="B38" s="1" t="n">
        <v>45398</v>
      </c>
      <c r="C38" s="1" t="n">
        <v>46035</v>
      </c>
      <c r="D38" t="inlineStr">
        <is>
          <t>ÖSTERGÖTLANDS LÄN</t>
        </is>
      </c>
      <c r="E38" t="inlineStr">
        <is>
          <t>LINKÖPING</t>
        </is>
      </c>
      <c r="F38" t="inlineStr">
        <is>
          <t>Övriga Aktiebolag</t>
        </is>
      </c>
      <c r="G38" t="n">
        <v>1.7</v>
      </c>
      <c r="H38" t="n">
        <v>1</v>
      </c>
      <c r="I38" t="n">
        <v>1</v>
      </c>
      <c r="J38" t="n">
        <v>0</v>
      </c>
      <c r="K38" t="n">
        <v>0</v>
      </c>
      <c r="L38" t="n">
        <v>0</v>
      </c>
      <c r="M38" t="n">
        <v>0</v>
      </c>
      <c r="N38" t="n">
        <v>0</v>
      </c>
      <c r="O38" t="n">
        <v>0</v>
      </c>
      <c r="P38" t="n">
        <v>0</v>
      </c>
      <c r="Q38" t="n">
        <v>2</v>
      </c>
      <c r="R38" s="2" t="inlineStr">
        <is>
          <t>Svart trolldruva
Grönvit nattviol</t>
        </is>
      </c>
      <c r="S38">
        <f>HYPERLINK("https://klasma.github.io/Logging_0580/artfynd/A 14879-2024 artfynd.xlsx", "A 14879-2024")</f>
        <v/>
      </c>
      <c r="T38">
        <f>HYPERLINK("https://klasma.github.io/Logging_0580/kartor/A 14879-2024 karta.png", "A 14879-2024")</f>
        <v/>
      </c>
      <c r="V38">
        <f>HYPERLINK("https://klasma.github.io/Logging_0580/klagomål/A 14879-2024 FSC-klagomål.docx", "A 14879-2024")</f>
        <v/>
      </c>
      <c r="W38">
        <f>HYPERLINK("https://klasma.github.io/Logging_0580/klagomålsmail/A 14879-2024 FSC-klagomål mail.docx", "A 14879-2024")</f>
        <v/>
      </c>
      <c r="X38">
        <f>HYPERLINK("https://klasma.github.io/Logging_0580/tillsyn/A 14879-2024 tillsynsbegäran.docx", "A 14879-2024")</f>
        <v/>
      </c>
      <c r="Y38">
        <f>HYPERLINK("https://klasma.github.io/Logging_0580/tillsynsmail/A 14879-2024 tillsynsbegäran mail.docx", "A 14879-2024")</f>
        <v/>
      </c>
    </row>
    <row r="39" ht="15" customHeight="1">
      <c r="A39" t="inlineStr">
        <is>
          <t>A 55344-2024</t>
        </is>
      </c>
      <c r="B39" s="1" t="n">
        <v>45621.7202662037</v>
      </c>
      <c r="C39" s="1" t="n">
        <v>46035</v>
      </c>
      <c r="D39" t="inlineStr">
        <is>
          <t>ÖSTERGÖTLANDS LÄN</t>
        </is>
      </c>
      <c r="E39" t="inlineStr">
        <is>
          <t>LINKÖPING</t>
        </is>
      </c>
      <c r="G39" t="n">
        <v>6.6</v>
      </c>
      <c r="H39" t="n">
        <v>0</v>
      </c>
      <c r="I39" t="n">
        <v>0</v>
      </c>
      <c r="J39" t="n">
        <v>2</v>
      </c>
      <c r="K39" t="n">
        <v>0</v>
      </c>
      <c r="L39" t="n">
        <v>0</v>
      </c>
      <c r="M39" t="n">
        <v>0</v>
      </c>
      <c r="N39" t="n">
        <v>0</v>
      </c>
      <c r="O39" t="n">
        <v>2</v>
      </c>
      <c r="P39" t="n">
        <v>0</v>
      </c>
      <c r="Q39" t="n">
        <v>2</v>
      </c>
      <c r="R39" s="2" t="inlineStr">
        <is>
          <t>Kandelabersvamp
Stjärnnästing</t>
        </is>
      </c>
      <c r="S39">
        <f>HYPERLINK("https://klasma.github.io/Logging_0580/artfynd/A 55344-2024 artfynd.xlsx", "A 55344-2024")</f>
        <v/>
      </c>
      <c r="T39">
        <f>HYPERLINK("https://klasma.github.io/Logging_0580/kartor/A 55344-2024 karta.png", "A 55344-2024")</f>
        <v/>
      </c>
      <c r="V39">
        <f>HYPERLINK("https://klasma.github.io/Logging_0580/klagomål/A 55344-2024 FSC-klagomål.docx", "A 55344-2024")</f>
        <v/>
      </c>
      <c r="W39">
        <f>HYPERLINK("https://klasma.github.io/Logging_0580/klagomålsmail/A 55344-2024 FSC-klagomål mail.docx", "A 55344-2024")</f>
        <v/>
      </c>
      <c r="X39">
        <f>HYPERLINK("https://klasma.github.io/Logging_0580/tillsyn/A 55344-2024 tillsynsbegäran.docx", "A 55344-2024")</f>
        <v/>
      </c>
      <c r="Y39">
        <f>HYPERLINK("https://klasma.github.io/Logging_0580/tillsynsmail/A 55344-2024 tillsynsbegäran mail.docx", "A 55344-2024")</f>
        <v/>
      </c>
    </row>
    <row r="40" ht="15" customHeight="1">
      <c r="A40" t="inlineStr">
        <is>
          <t>A 20292-2025</t>
        </is>
      </c>
      <c r="B40" s="1" t="n">
        <v>45774.7449537037</v>
      </c>
      <c r="C40" s="1" t="n">
        <v>46035</v>
      </c>
      <c r="D40" t="inlineStr">
        <is>
          <t>ÖSTERGÖTLANDS LÄN</t>
        </is>
      </c>
      <c r="E40" t="inlineStr">
        <is>
          <t>LINKÖPING</t>
        </is>
      </c>
      <c r="G40" t="n">
        <v>8.4</v>
      </c>
      <c r="H40" t="n">
        <v>1</v>
      </c>
      <c r="I40" t="n">
        <v>1</v>
      </c>
      <c r="J40" t="n">
        <v>0</v>
      </c>
      <c r="K40" t="n">
        <v>0</v>
      </c>
      <c r="L40" t="n">
        <v>0</v>
      </c>
      <c r="M40" t="n">
        <v>0</v>
      </c>
      <c r="N40" t="n">
        <v>0</v>
      </c>
      <c r="O40" t="n">
        <v>0</v>
      </c>
      <c r="P40" t="n">
        <v>0</v>
      </c>
      <c r="Q40" t="n">
        <v>2</v>
      </c>
      <c r="R40" s="2" t="inlineStr">
        <is>
          <t>Blåmossa
Blåsippa</t>
        </is>
      </c>
      <c r="S40">
        <f>HYPERLINK("https://klasma.github.io/Logging_0580/artfynd/A 20292-2025 artfynd.xlsx", "A 20292-2025")</f>
        <v/>
      </c>
      <c r="T40">
        <f>HYPERLINK("https://klasma.github.io/Logging_0580/kartor/A 20292-2025 karta.png", "A 20292-2025")</f>
        <v/>
      </c>
      <c r="V40">
        <f>HYPERLINK("https://klasma.github.io/Logging_0580/klagomål/A 20292-2025 FSC-klagomål.docx", "A 20292-2025")</f>
        <v/>
      </c>
      <c r="W40">
        <f>HYPERLINK("https://klasma.github.io/Logging_0580/klagomålsmail/A 20292-2025 FSC-klagomål mail.docx", "A 20292-2025")</f>
        <v/>
      </c>
      <c r="X40">
        <f>HYPERLINK("https://klasma.github.io/Logging_0580/tillsyn/A 20292-2025 tillsynsbegäran.docx", "A 20292-2025")</f>
        <v/>
      </c>
      <c r="Y40">
        <f>HYPERLINK("https://klasma.github.io/Logging_0580/tillsynsmail/A 20292-2025 tillsynsbegäran mail.docx", "A 20292-2025")</f>
        <v/>
      </c>
    </row>
    <row r="41" ht="15" customHeight="1">
      <c r="A41" t="inlineStr">
        <is>
          <t>A 22040-2023</t>
        </is>
      </c>
      <c r="B41" s="1" t="n">
        <v>45068</v>
      </c>
      <c r="C41" s="1" t="n">
        <v>46035</v>
      </c>
      <c r="D41" t="inlineStr">
        <is>
          <t>ÖSTERGÖTLANDS LÄN</t>
        </is>
      </c>
      <c r="E41" t="inlineStr">
        <is>
          <t>LINKÖPING</t>
        </is>
      </c>
      <c r="F41" t="inlineStr">
        <is>
          <t>Kommuner</t>
        </is>
      </c>
      <c r="G41" t="n">
        <v>1</v>
      </c>
      <c r="H41" t="n">
        <v>1</v>
      </c>
      <c r="I41" t="n">
        <v>1</v>
      </c>
      <c r="J41" t="n">
        <v>0</v>
      </c>
      <c r="K41" t="n">
        <v>1</v>
      </c>
      <c r="L41" t="n">
        <v>0</v>
      </c>
      <c r="M41" t="n">
        <v>0</v>
      </c>
      <c r="N41" t="n">
        <v>0</v>
      </c>
      <c r="O41" t="n">
        <v>1</v>
      </c>
      <c r="P41" t="n">
        <v>1</v>
      </c>
      <c r="Q41" t="n">
        <v>2</v>
      </c>
      <c r="R41" s="2" t="inlineStr">
        <is>
          <t>Bombmurkla
Skarp dropptaggsvamp</t>
        </is>
      </c>
      <c r="S41">
        <f>HYPERLINK("https://klasma.github.io/Logging_0580/artfynd/A 22040-2023 artfynd.xlsx", "A 22040-2023")</f>
        <v/>
      </c>
      <c r="T41">
        <f>HYPERLINK("https://klasma.github.io/Logging_0580/kartor/A 22040-2023 karta.png", "A 22040-2023")</f>
        <v/>
      </c>
      <c r="V41">
        <f>HYPERLINK("https://klasma.github.io/Logging_0580/klagomål/A 22040-2023 FSC-klagomål.docx", "A 22040-2023")</f>
        <v/>
      </c>
      <c r="W41">
        <f>HYPERLINK("https://klasma.github.io/Logging_0580/klagomålsmail/A 22040-2023 FSC-klagomål mail.docx", "A 22040-2023")</f>
        <v/>
      </c>
      <c r="X41">
        <f>HYPERLINK("https://klasma.github.io/Logging_0580/tillsyn/A 22040-2023 tillsynsbegäran.docx", "A 22040-2023")</f>
        <v/>
      </c>
      <c r="Y41">
        <f>HYPERLINK("https://klasma.github.io/Logging_0580/tillsynsmail/A 22040-2023 tillsynsbegäran mail.docx", "A 22040-2023")</f>
        <v/>
      </c>
    </row>
    <row r="42" ht="15" customHeight="1">
      <c r="A42" t="inlineStr">
        <is>
          <t>A 38129-2021</t>
        </is>
      </c>
      <c r="B42" s="1" t="n">
        <v>44405.37199074074</v>
      </c>
      <c r="C42" s="1" t="n">
        <v>46035</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46035</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46035</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46035</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46035</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46035</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46035</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48273-2025</t>
        </is>
      </c>
      <c r="B49" s="1" t="n">
        <v>45932</v>
      </c>
      <c r="C49" s="1" t="n">
        <v>46035</v>
      </c>
      <c r="D49" t="inlineStr">
        <is>
          <t>ÖSTERGÖTLANDS LÄN</t>
        </is>
      </c>
      <c r="E49" t="inlineStr">
        <is>
          <t>LINKÖPING</t>
        </is>
      </c>
      <c r="F49" t="inlineStr">
        <is>
          <t>Övriga Aktiebolag</t>
        </is>
      </c>
      <c r="G49" t="n">
        <v>4.6</v>
      </c>
      <c r="H49" t="n">
        <v>0</v>
      </c>
      <c r="I49" t="n">
        <v>0</v>
      </c>
      <c r="J49" t="n">
        <v>1</v>
      </c>
      <c r="K49" t="n">
        <v>0</v>
      </c>
      <c r="L49" t="n">
        <v>0</v>
      </c>
      <c r="M49" t="n">
        <v>0</v>
      </c>
      <c r="N49" t="n">
        <v>0</v>
      </c>
      <c r="O49" t="n">
        <v>1</v>
      </c>
      <c r="P49" t="n">
        <v>0</v>
      </c>
      <c r="Q49" t="n">
        <v>1</v>
      </c>
      <c r="R49" s="2" t="inlineStr">
        <is>
          <t>Barrviolspindling</t>
        </is>
      </c>
      <c r="S49">
        <f>HYPERLINK("https://klasma.github.io/Logging_0580/artfynd/A 48273-2025 artfynd.xlsx", "A 48273-2025")</f>
        <v/>
      </c>
      <c r="T49">
        <f>HYPERLINK("https://klasma.github.io/Logging_0580/kartor/A 48273-2025 karta.png", "A 48273-2025")</f>
        <v/>
      </c>
      <c r="V49">
        <f>HYPERLINK("https://klasma.github.io/Logging_0580/klagomål/A 48273-2025 FSC-klagomål.docx", "A 48273-2025")</f>
        <v/>
      </c>
      <c r="W49">
        <f>HYPERLINK("https://klasma.github.io/Logging_0580/klagomålsmail/A 48273-2025 FSC-klagomål mail.docx", "A 48273-2025")</f>
        <v/>
      </c>
      <c r="X49">
        <f>HYPERLINK("https://klasma.github.io/Logging_0580/tillsyn/A 48273-2025 tillsynsbegäran.docx", "A 48273-2025")</f>
        <v/>
      </c>
      <c r="Y49">
        <f>HYPERLINK("https://klasma.github.io/Logging_0580/tillsynsmail/A 48273-2025 tillsynsbegäran mail.docx", "A 48273-2025")</f>
        <v/>
      </c>
    </row>
    <row r="50" ht="15" customHeight="1">
      <c r="A50" t="inlineStr">
        <is>
          <t>A 48298-2025</t>
        </is>
      </c>
      <c r="B50" s="1" t="n">
        <v>45932</v>
      </c>
      <c r="C50" s="1" t="n">
        <v>46035</v>
      </c>
      <c r="D50" t="inlineStr">
        <is>
          <t>ÖSTERGÖTLANDS LÄN</t>
        </is>
      </c>
      <c r="E50" t="inlineStr">
        <is>
          <t>LINKÖPING</t>
        </is>
      </c>
      <c r="F50" t="inlineStr">
        <is>
          <t>Övriga Aktiebolag</t>
        </is>
      </c>
      <c r="G50" t="n">
        <v>1.7</v>
      </c>
      <c r="H50" t="n">
        <v>0</v>
      </c>
      <c r="I50" t="n">
        <v>1</v>
      </c>
      <c r="J50" t="n">
        <v>0</v>
      </c>
      <c r="K50" t="n">
        <v>0</v>
      </c>
      <c r="L50" t="n">
        <v>0</v>
      </c>
      <c r="M50" t="n">
        <v>0</v>
      </c>
      <c r="N50" t="n">
        <v>0</v>
      </c>
      <c r="O50" t="n">
        <v>0</v>
      </c>
      <c r="P50" t="n">
        <v>0</v>
      </c>
      <c r="Q50" t="n">
        <v>1</v>
      </c>
      <c r="R50" s="2" t="inlineStr">
        <is>
          <t>Västlig hakmossa</t>
        </is>
      </c>
      <c r="S50">
        <f>HYPERLINK("https://klasma.github.io/Logging_0580/artfynd/A 48298-2025 artfynd.xlsx", "A 48298-2025")</f>
        <v/>
      </c>
      <c r="T50">
        <f>HYPERLINK("https://klasma.github.io/Logging_0580/kartor/A 48298-2025 karta.png", "A 48298-2025")</f>
        <v/>
      </c>
      <c r="V50">
        <f>HYPERLINK("https://klasma.github.io/Logging_0580/klagomål/A 48298-2025 FSC-klagomål.docx", "A 48298-2025")</f>
        <v/>
      </c>
      <c r="W50">
        <f>HYPERLINK("https://klasma.github.io/Logging_0580/klagomålsmail/A 48298-2025 FSC-klagomål mail.docx", "A 48298-2025")</f>
        <v/>
      </c>
      <c r="X50">
        <f>HYPERLINK("https://klasma.github.io/Logging_0580/tillsyn/A 48298-2025 tillsynsbegäran.docx", "A 48298-2025")</f>
        <v/>
      </c>
      <c r="Y50">
        <f>HYPERLINK("https://klasma.github.io/Logging_0580/tillsynsmail/A 48298-2025 tillsynsbegäran mail.docx", "A 48298-2025")</f>
        <v/>
      </c>
    </row>
    <row r="51" ht="15" customHeight="1">
      <c r="A51" t="inlineStr">
        <is>
          <t>A 48353-2025</t>
        </is>
      </c>
      <c r="B51" s="1" t="n">
        <v>45932</v>
      </c>
      <c r="C51" s="1" t="n">
        <v>46035</v>
      </c>
      <c r="D51" t="inlineStr">
        <is>
          <t>ÖSTERGÖTLANDS LÄN</t>
        </is>
      </c>
      <c r="E51" t="inlineStr">
        <is>
          <t>LINKÖPING</t>
        </is>
      </c>
      <c r="F51" t="inlineStr">
        <is>
          <t>Övriga Aktiebolag</t>
        </is>
      </c>
      <c r="G51" t="n">
        <v>4.5</v>
      </c>
      <c r="H51" t="n">
        <v>1</v>
      </c>
      <c r="I51" t="n">
        <v>0</v>
      </c>
      <c r="J51" t="n">
        <v>1</v>
      </c>
      <c r="K51" t="n">
        <v>0</v>
      </c>
      <c r="L51" t="n">
        <v>0</v>
      </c>
      <c r="M51" t="n">
        <v>0</v>
      </c>
      <c r="N51" t="n">
        <v>0</v>
      </c>
      <c r="O51" t="n">
        <v>1</v>
      </c>
      <c r="P51" t="n">
        <v>0</v>
      </c>
      <c r="Q51" t="n">
        <v>1</v>
      </c>
      <c r="R51" s="2" t="inlineStr">
        <is>
          <t>Entita</t>
        </is>
      </c>
      <c r="S51">
        <f>HYPERLINK("https://klasma.github.io/Logging_0580/artfynd/A 48353-2025 artfynd.xlsx", "A 48353-2025")</f>
        <v/>
      </c>
      <c r="T51">
        <f>HYPERLINK("https://klasma.github.io/Logging_0580/kartor/A 48353-2025 karta.png", "A 48353-2025")</f>
        <v/>
      </c>
      <c r="V51">
        <f>HYPERLINK("https://klasma.github.io/Logging_0580/klagomål/A 48353-2025 FSC-klagomål.docx", "A 48353-2025")</f>
        <v/>
      </c>
      <c r="W51">
        <f>HYPERLINK("https://klasma.github.io/Logging_0580/klagomålsmail/A 48353-2025 FSC-klagomål mail.docx", "A 48353-2025")</f>
        <v/>
      </c>
      <c r="X51">
        <f>HYPERLINK("https://klasma.github.io/Logging_0580/tillsyn/A 48353-2025 tillsynsbegäran.docx", "A 48353-2025")</f>
        <v/>
      </c>
      <c r="Y51">
        <f>HYPERLINK("https://klasma.github.io/Logging_0580/tillsynsmail/A 48353-2025 tillsynsbegäran mail.docx", "A 48353-2025")</f>
        <v/>
      </c>
      <c r="Z51">
        <f>HYPERLINK("https://klasma.github.io/Logging_0580/fåglar/A 48353-2025 prioriterade fågelarter.docx", "A 48353-2025")</f>
        <v/>
      </c>
    </row>
    <row r="52" ht="15" customHeight="1">
      <c r="A52" t="inlineStr">
        <is>
          <t>A 48347-2025</t>
        </is>
      </c>
      <c r="B52" s="1" t="n">
        <v>45932</v>
      </c>
      <c r="C52" s="1" t="n">
        <v>46035</v>
      </c>
      <c r="D52" t="inlineStr">
        <is>
          <t>ÖSTERGÖTLANDS LÄN</t>
        </is>
      </c>
      <c r="E52" t="inlineStr">
        <is>
          <t>LINKÖPING</t>
        </is>
      </c>
      <c r="F52" t="inlineStr">
        <is>
          <t>Övriga Aktiebolag</t>
        </is>
      </c>
      <c r="G52" t="n">
        <v>0.9</v>
      </c>
      <c r="H52" t="n">
        <v>0</v>
      </c>
      <c r="I52" t="n">
        <v>0</v>
      </c>
      <c r="J52" t="n">
        <v>1</v>
      </c>
      <c r="K52" t="n">
        <v>0</v>
      </c>
      <c r="L52" t="n">
        <v>0</v>
      </c>
      <c r="M52" t="n">
        <v>0</v>
      </c>
      <c r="N52" t="n">
        <v>0</v>
      </c>
      <c r="O52" t="n">
        <v>1</v>
      </c>
      <c r="P52" t="n">
        <v>0</v>
      </c>
      <c r="Q52" t="n">
        <v>1</v>
      </c>
      <c r="R52" s="2" t="inlineStr">
        <is>
          <t>Igelkott</t>
        </is>
      </c>
      <c r="S52">
        <f>HYPERLINK("https://klasma.github.io/Logging_0580/artfynd/A 48347-2025 artfynd.xlsx", "A 48347-2025")</f>
        <v/>
      </c>
      <c r="T52">
        <f>HYPERLINK("https://klasma.github.io/Logging_0580/kartor/A 48347-2025 karta.png", "A 48347-2025")</f>
        <v/>
      </c>
      <c r="V52">
        <f>HYPERLINK("https://klasma.github.io/Logging_0580/klagomål/A 48347-2025 FSC-klagomål.docx", "A 48347-2025")</f>
        <v/>
      </c>
      <c r="W52">
        <f>HYPERLINK("https://klasma.github.io/Logging_0580/klagomålsmail/A 48347-2025 FSC-klagomål mail.docx", "A 48347-2025")</f>
        <v/>
      </c>
      <c r="X52">
        <f>HYPERLINK("https://klasma.github.io/Logging_0580/tillsyn/A 48347-2025 tillsynsbegäran.docx", "A 48347-2025")</f>
        <v/>
      </c>
      <c r="Y52">
        <f>HYPERLINK("https://klasma.github.io/Logging_0580/tillsynsmail/A 48347-2025 tillsynsbegäran mail.docx", "A 48347-2025")</f>
        <v/>
      </c>
    </row>
    <row r="53" ht="15" customHeight="1">
      <c r="A53" t="inlineStr">
        <is>
          <t>A 17389-2021</t>
        </is>
      </c>
      <c r="B53" s="1" t="n">
        <v>44298.96792824074</v>
      </c>
      <c r="C53" s="1" t="n">
        <v>46035</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40315-2024</t>
        </is>
      </c>
      <c r="B54" s="1" t="n">
        <v>45554.7571875</v>
      </c>
      <c r="C54" s="1" t="n">
        <v>46035</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22526-2025</t>
        </is>
      </c>
      <c r="B55" s="1" t="n">
        <v>45786.78096064815</v>
      </c>
      <c r="C55" s="1" t="n">
        <v>46035</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41749-2023</t>
        </is>
      </c>
      <c r="B56" s="1" t="n">
        <v>45176</v>
      </c>
      <c r="C56" s="1" t="n">
        <v>46035</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41749-2023 artfynd.xlsx", "A 41749-2023")</f>
        <v/>
      </c>
      <c r="T56">
        <f>HYPERLINK("https://klasma.github.io/Logging_0580/kartor/A 41749-2023 karta.png", "A 41749-2023")</f>
        <v/>
      </c>
      <c r="V56">
        <f>HYPERLINK("https://klasma.github.io/Logging_0580/klagomål/A 41749-2023 FSC-klagomål.docx", "A 41749-2023")</f>
        <v/>
      </c>
      <c r="W56">
        <f>HYPERLINK("https://klasma.github.io/Logging_0580/klagomålsmail/A 41749-2023 FSC-klagomål mail.docx", "A 41749-2023")</f>
        <v/>
      </c>
      <c r="X56">
        <f>HYPERLINK("https://klasma.github.io/Logging_0580/tillsyn/A 41749-2023 tillsynsbegäran.docx", "A 41749-2023")</f>
        <v/>
      </c>
      <c r="Y56">
        <f>HYPERLINK("https://klasma.github.io/Logging_0580/tillsynsmail/A 41749-2023 tillsynsbegäran mail.docx", "A 41749-2023")</f>
        <v/>
      </c>
    </row>
    <row r="57" ht="15" customHeight="1">
      <c r="A57" t="inlineStr">
        <is>
          <t>A 43989-2025</t>
        </is>
      </c>
      <c r="B57" s="1" t="n">
        <v>45915.44128472222</v>
      </c>
      <c r="C57" s="1" t="n">
        <v>46035</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46035</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1213-2023</t>
        </is>
      </c>
      <c r="B59" s="1" t="n">
        <v>44930</v>
      </c>
      <c r="C59" s="1" t="n">
        <v>46035</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27403-2025</t>
        </is>
      </c>
      <c r="B60" s="1" t="n">
        <v>45812.72518518518</v>
      </c>
      <c r="C60" s="1" t="n">
        <v>46035</v>
      </c>
      <c r="D60" t="inlineStr">
        <is>
          <t>ÖSTERGÖTLANDS LÄN</t>
        </is>
      </c>
      <c r="E60" t="inlineStr">
        <is>
          <t>LINKÖPING</t>
        </is>
      </c>
      <c r="G60" t="n">
        <v>1.4</v>
      </c>
      <c r="H60" t="n">
        <v>0</v>
      </c>
      <c r="I60" t="n">
        <v>0</v>
      </c>
      <c r="J60" t="n">
        <v>1</v>
      </c>
      <c r="K60" t="n">
        <v>0</v>
      </c>
      <c r="L60" t="n">
        <v>0</v>
      </c>
      <c r="M60" t="n">
        <v>0</v>
      </c>
      <c r="N60" t="n">
        <v>0</v>
      </c>
      <c r="O60" t="n">
        <v>1</v>
      </c>
      <c r="P60" t="n">
        <v>0</v>
      </c>
      <c r="Q60" t="n">
        <v>1</v>
      </c>
      <c r="R60" s="2" t="inlineStr">
        <is>
          <t>Tallticka</t>
        </is>
      </c>
      <c r="S60">
        <f>HYPERLINK("https://klasma.github.io/Logging_0580/artfynd/A 27403-2025 artfynd.xlsx", "A 27403-2025")</f>
        <v/>
      </c>
      <c r="T60">
        <f>HYPERLINK("https://klasma.github.io/Logging_0580/kartor/A 27403-2025 karta.png", "A 27403-2025")</f>
        <v/>
      </c>
      <c r="V60">
        <f>HYPERLINK("https://klasma.github.io/Logging_0580/klagomål/A 27403-2025 FSC-klagomål.docx", "A 27403-2025")</f>
        <v/>
      </c>
      <c r="W60">
        <f>HYPERLINK("https://klasma.github.io/Logging_0580/klagomålsmail/A 27403-2025 FSC-klagomål mail.docx", "A 27403-2025")</f>
        <v/>
      </c>
      <c r="X60">
        <f>HYPERLINK("https://klasma.github.io/Logging_0580/tillsyn/A 27403-2025 tillsynsbegäran.docx", "A 27403-2025")</f>
        <v/>
      </c>
      <c r="Y60">
        <f>HYPERLINK("https://klasma.github.io/Logging_0580/tillsynsmail/A 27403-2025 tillsynsbegäran mail.docx", "A 27403-2025")</f>
        <v/>
      </c>
    </row>
    <row r="61" ht="15" customHeight="1">
      <c r="A61" t="inlineStr">
        <is>
          <t>A 50034-2025</t>
        </is>
      </c>
      <c r="B61" s="1" t="n">
        <v>45941</v>
      </c>
      <c r="C61" s="1" t="n">
        <v>46035</v>
      </c>
      <c r="D61" t="inlineStr">
        <is>
          <t>ÖSTERGÖTLANDS LÄN</t>
        </is>
      </c>
      <c r="E61" t="inlineStr">
        <is>
          <t>LINKÖPING</t>
        </is>
      </c>
      <c r="G61" t="n">
        <v>6.2</v>
      </c>
      <c r="H61" t="n">
        <v>0</v>
      </c>
      <c r="I61" t="n">
        <v>0</v>
      </c>
      <c r="J61" t="n">
        <v>0</v>
      </c>
      <c r="K61" t="n">
        <v>0</v>
      </c>
      <c r="L61" t="n">
        <v>0</v>
      </c>
      <c r="M61" t="n">
        <v>1</v>
      </c>
      <c r="N61" t="n">
        <v>0</v>
      </c>
      <c r="O61" t="n">
        <v>1</v>
      </c>
      <c r="P61" t="n">
        <v>1</v>
      </c>
      <c r="Q61" t="n">
        <v>1</v>
      </c>
      <c r="R61" s="2" t="inlineStr">
        <is>
          <t>Skogsalm</t>
        </is>
      </c>
      <c r="S61">
        <f>HYPERLINK("https://klasma.github.io/Logging_0580/artfynd/A 50034-2025 artfynd.xlsx", "A 50034-2025")</f>
        <v/>
      </c>
      <c r="T61">
        <f>HYPERLINK("https://klasma.github.io/Logging_0580/kartor/A 50034-2025 karta.png", "A 50034-2025")</f>
        <v/>
      </c>
      <c r="V61">
        <f>HYPERLINK("https://klasma.github.io/Logging_0580/klagomål/A 50034-2025 FSC-klagomål.docx", "A 50034-2025")</f>
        <v/>
      </c>
      <c r="W61">
        <f>HYPERLINK("https://klasma.github.io/Logging_0580/klagomålsmail/A 50034-2025 FSC-klagomål mail.docx", "A 50034-2025")</f>
        <v/>
      </c>
      <c r="X61">
        <f>HYPERLINK("https://klasma.github.io/Logging_0580/tillsyn/A 50034-2025 tillsynsbegäran.docx", "A 50034-2025")</f>
        <v/>
      </c>
      <c r="Y61">
        <f>HYPERLINK("https://klasma.github.io/Logging_0580/tillsynsmail/A 50034-2025 tillsynsbegäran mail.docx", "A 50034-2025")</f>
        <v/>
      </c>
    </row>
    <row r="62" ht="15" customHeight="1">
      <c r="A62" t="inlineStr">
        <is>
          <t>A 50471-2024</t>
        </is>
      </c>
      <c r="B62" s="1" t="n">
        <v>45601.47166666666</v>
      </c>
      <c r="C62" s="1" t="n">
        <v>46035</v>
      </c>
      <c r="D62" t="inlineStr">
        <is>
          <t>ÖSTERGÖTLANDS LÄN</t>
        </is>
      </c>
      <c r="E62" t="inlineStr">
        <is>
          <t>LINKÖPING</t>
        </is>
      </c>
      <c r="F62" t="inlineStr">
        <is>
          <t>Övriga Aktiebolag</t>
        </is>
      </c>
      <c r="G62" t="n">
        <v>2</v>
      </c>
      <c r="H62" t="n">
        <v>0</v>
      </c>
      <c r="I62" t="n">
        <v>1</v>
      </c>
      <c r="J62" t="n">
        <v>0</v>
      </c>
      <c r="K62" t="n">
        <v>0</v>
      </c>
      <c r="L62" t="n">
        <v>0</v>
      </c>
      <c r="M62" t="n">
        <v>0</v>
      </c>
      <c r="N62" t="n">
        <v>0</v>
      </c>
      <c r="O62" t="n">
        <v>0</v>
      </c>
      <c r="P62" t="n">
        <v>0</v>
      </c>
      <c r="Q62" t="n">
        <v>1</v>
      </c>
      <c r="R62" s="2" t="inlineStr">
        <is>
          <t>Västlig hakmossa</t>
        </is>
      </c>
      <c r="S62">
        <f>HYPERLINK("https://klasma.github.io/Logging_0580/artfynd/A 50471-2024 artfynd.xlsx", "A 50471-2024")</f>
        <v/>
      </c>
      <c r="T62">
        <f>HYPERLINK("https://klasma.github.io/Logging_0580/kartor/A 50471-2024 karta.png", "A 50471-2024")</f>
        <v/>
      </c>
      <c r="V62">
        <f>HYPERLINK("https://klasma.github.io/Logging_0580/klagomål/A 50471-2024 FSC-klagomål.docx", "A 50471-2024")</f>
        <v/>
      </c>
      <c r="W62">
        <f>HYPERLINK("https://klasma.github.io/Logging_0580/klagomålsmail/A 50471-2024 FSC-klagomål mail.docx", "A 50471-2024")</f>
        <v/>
      </c>
      <c r="X62">
        <f>HYPERLINK("https://klasma.github.io/Logging_0580/tillsyn/A 50471-2024 tillsynsbegäran.docx", "A 50471-2024")</f>
        <v/>
      </c>
      <c r="Y62">
        <f>HYPERLINK("https://klasma.github.io/Logging_0580/tillsynsmail/A 50471-2024 tillsynsbegäran mail.docx", "A 50471-2024")</f>
        <v/>
      </c>
    </row>
    <row r="63" ht="15" customHeight="1">
      <c r="A63" t="inlineStr">
        <is>
          <t>A 50806-2023</t>
        </is>
      </c>
      <c r="B63" s="1" t="n">
        <v>45217</v>
      </c>
      <c r="C63" s="1" t="n">
        <v>46035</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60573-2021</t>
        </is>
      </c>
      <c r="B64" s="1" t="n">
        <v>44496</v>
      </c>
      <c r="C64" s="1" t="n">
        <v>46035</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36723-2023</t>
        </is>
      </c>
      <c r="B65" s="1" t="n">
        <v>45153</v>
      </c>
      <c r="C65" s="1" t="n">
        <v>46035</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5911-2022</t>
        </is>
      </c>
      <c r="B66" s="1" t="n">
        <v>44597</v>
      </c>
      <c r="C66" s="1" t="n">
        <v>46035</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56128-2022</t>
        </is>
      </c>
      <c r="B67" s="1" t="n">
        <v>44889</v>
      </c>
      <c r="C67" s="1" t="n">
        <v>46035</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60311-2025</t>
        </is>
      </c>
      <c r="B68" s="1" t="n">
        <v>45994</v>
      </c>
      <c r="C68" s="1" t="n">
        <v>46035</v>
      </c>
      <c r="D68" t="inlineStr">
        <is>
          <t>ÖSTERGÖTLANDS LÄN</t>
        </is>
      </c>
      <c r="E68" t="inlineStr">
        <is>
          <t>LINKÖPING</t>
        </is>
      </c>
      <c r="G68" t="n">
        <v>1.9</v>
      </c>
      <c r="H68" t="n">
        <v>0</v>
      </c>
      <c r="I68" t="n">
        <v>0</v>
      </c>
      <c r="J68" t="n">
        <v>1</v>
      </c>
      <c r="K68" t="n">
        <v>0</v>
      </c>
      <c r="L68" t="n">
        <v>0</v>
      </c>
      <c r="M68" t="n">
        <v>0</v>
      </c>
      <c r="N68" t="n">
        <v>0</v>
      </c>
      <c r="O68" t="n">
        <v>1</v>
      </c>
      <c r="P68" t="n">
        <v>0</v>
      </c>
      <c r="Q68" t="n">
        <v>1</v>
      </c>
      <c r="R68" s="2" t="inlineStr">
        <is>
          <t>Gammelekslav</t>
        </is>
      </c>
      <c r="S68">
        <f>HYPERLINK("https://klasma.github.io/Logging_0580/artfynd/A 60311-2025 artfynd.xlsx", "A 60311-2025")</f>
        <v/>
      </c>
      <c r="T68">
        <f>HYPERLINK("https://klasma.github.io/Logging_0580/kartor/A 60311-2025 karta.png", "A 60311-2025")</f>
        <v/>
      </c>
      <c r="V68">
        <f>HYPERLINK("https://klasma.github.io/Logging_0580/klagomål/A 60311-2025 FSC-klagomål.docx", "A 60311-2025")</f>
        <v/>
      </c>
      <c r="W68">
        <f>HYPERLINK("https://klasma.github.io/Logging_0580/klagomålsmail/A 60311-2025 FSC-klagomål mail.docx", "A 60311-2025")</f>
        <v/>
      </c>
      <c r="X68">
        <f>HYPERLINK("https://klasma.github.io/Logging_0580/tillsyn/A 60311-2025 tillsynsbegäran.docx", "A 60311-2025")</f>
        <v/>
      </c>
      <c r="Y68">
        <f>HYPERLINK("https://klasma.github.io/Logging_0580/tillsynsmail/A 60311-2025 tillsynsbegäran mail.docx", "A 60311-2025")</f>
        <v/>
      </c>
    </row>
    <row r="69" ht="15" customHeight="1">
      <c r="A69" t="inlineStr">
        <is>
          <t>A 56112-2025</t>
        </is>
      </c>
      <c r="B69" s="1" t="n">
        <v>45973.73625</v>
      </c>
      <c r="C69" s="1" t="n">
        <v>46035</v>
      </c>
      <c r="D69" t="inlineStr">
        <is>
          <t>ÖSTERGÖTLANDS LÄN</t>
        </is>
      </c>
      <c r="E69" t="inlineStr">
        <is>
          <t>LINKÖPING</t>
        </is>
      </c>
      <c r="G69" t="n">
        <v>0.6</v>
      </c>
      <c r="H69" t="n">
        <v>0</v>
      </c>
      <c r="I69" t="n">
        <v>0</v>
      </c>
      <c r="J69" t="n">
        <v>1</v>
      </c>
      <c r="K69" t="n">
        <v>0</v>
      </c>
      <c r="L69" t="n">
        <v>0</v>
      </c>
      <c r="M69" t="n">
        <v>0</v>
      </c>
      <c r="N69" t="n">
        <v>0</v>
      </c>
      <c r="O69" t="n">
        <v>1</v>
      </c>
      <c r="P69" t="n">
        <v>0</v>
      </c>
      <c r="Q69" t="n">
        <v>1</v>
      </c>
      <c r="R69" s="2" t="inlineStr">
        <is>
          <t>Solvända</t>
        </is>
      </c>
      <c r="S69">
        <f>HYPERLINK("https://klasma.github.io/Logging_0580/artfynd/A 56112-2025 artfynd.xlsx", "A 56112-2025")</f>
        <v/>
      </c>
      <c r="T69">
        <f>HYPERLINK("https://klasma.github.io/Logging_0580/kartor/A 56112-2025 karta.png", "A 56112-2025")</f>
        <v/>
      </c>
      <c r="V69">
        <f>HYPERLINK("https://klasma.github.io/Logging_0580/klagomål/A 56112-2025 FSC-klagomål.docx", "A 56112-2025")</f>
        <v/>
      </c>
      <c r="W69">
        <f>HYPERLINK("https://klasma.github.io/Logging_0580/klagomålsmail/A 56112-2025 FSC-klagomål mail.docx", "A 56112-2025")</f>
        <v/>
      </c>
      <c r="X69">
        <f>HYPERLINK("https://klasma.github.io/Logging_0580/tillsyn/A 56112-2025 tillsynsbegäran.docx", "A 56112-2025")</f>
        <v/>
      </c>
      <c r="Y69">
        <f>HYPERLINK("https://klasma.github.io/Logging_0580/tillsynsmail/A 56112-2025 tillsynsbegäran mail.docx", "A 56112-2025")</f>
        <v/>
      </c>
    </row>
    <row r="70" ht="15" customHeight="1">
      <c r="A70" t="inlineStr">
        <is>
          <t>A 54835-2023</t>
        </is>
      </c>
      <c r="B70" s="1" t="n">
        <v>45236</v>
      </c>
      <c r="C70" s="1" t="n">
        <v>46035</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34881-2023</t>
        </is>
      </c>
      <c r="B71" s="1" t="n">
        <v>45140</v>
      </c>
      <c r="C71" s="1" t="n">
        <v>46035</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19103-2021</t>
        </is>
      </c>
      <c r="B72" s="1" t="n">
        <v>44308</v>
      </c>
      <c r="C72" s="1" t="n">
        <v>46035</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46035</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46035</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46035</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59474-2025</t>
        </is>
      </c>
      <c r="B76" s="1" t="n">
        <v>45989.58512731481</v>
      </c>
      <c r="C76" s="1" t="n">
        <v>46035</v>
      </c>
      <c r="D76" t="inlineStr">
        <is>
          <t>ÖSTERGÖTLANDS LÄN</t>
        </is>
      </c>
      <c r="E76" t="inlineStr">
        <is>
          <t>LINKÖPING</t>
        </is>
      </c>
      <c r="G76" t="n">
        <v>8</v>
      </c>
      <c r="H76" t="n">
        <v>0</v>
      </c>
      <c r="I76" t="n">
        <v>1</v>
      </c>
      <c r="J76" t="n">
        <v>0</v>
      </c>
      <c r="K76" t="n">
        <v>0</v>
      </c>
      <c r="L76" t="n">
        <v>0</v>
      </c>
      <c r="M76" t="n">
        <v>0</v>
      </c>
      <c r="N76" t="n">
        <v>0</v>
      </c>
      <c r="O76" t="n">
        <v>0</v>
      </c>
      <c r="P76" t="n">
        <v>0</v>
      </c>
      <c r="Q76" t="n">
        <v>1</v>
      </c>
      <c r="R76" s="2" t="inlineStr">
        <is>
          <t>Fällmossa</t>
        </is>
      </c>
      <c r="S76">
        <f>HYPERLINK("https://klasma.github.io/Logging_0580/artfynd/A 59474-2025 artfynd.xlsx", "A 59474-2025")</f>
        <v/>
      </c>
      <c r="T76">
        <f>HYPERLINK("https://klasma.github.io/Logging_0580/kartor/A 59474-2025 karta.png", "A 59474-2025")</f>
        <v/>
      </c>
      <c r="V76">
        <f>HYPERLINK("https://klasma.github.io/Logging_0580/klagomål/A 59474-2025 FSC-klagomål.docx", "A 59474-2025")</f>
        <v/>
      </c>
      <c r="W76">
        <f>HYPERLINK("https://klasma.github.io/Logging_0580/klagomålsmail/A 59474-2025 FSC-klagomål mail.docx", "A 59474-2025")</f>
        <v/>
      </c>
      <c r="X76">
        <f>HYPERLINK("https://klasma.github.io/Logging_0580/tillsyn/A 59474-2025 tillsynsbegäran.docx", "A 59474-2025")</f>
        <v/>
      </c>
      <c r="Y76">
        <f>HYPERLINK("https://klasma.github.io/Logging_0580/tillsynsmail/A 59474-2025 tillsynsbegäran mail.docx", "A 59474-2025")</f>
        <v/>
      </c>
    </row>
    <row r="77" ht="15" customHeight="1">
      <c r="A77" t="inlineStr">
        <is>
          <t>A 35948-2023</t>
        </is>
      </c>
      <c r="B77" s="1" t="n">
        <v>45148</v>
      </c>
      <c r="C77" s="1" t="n">
        <v>46035</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56651-2023</t>
        </is>
      </c>
      <c r="B78" s="1" t="n">
        <v>45243</v>
      </c>
      <c r="C78" s="1" t="n">
        <v>46035</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46035</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46035</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46035</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46035</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17444-2025</t>
        </is>
      </c>
      <c r="B83" s="1" t="n">
        <v>45757.43452546297</v>
      </c>
      <c r="C83" s="1" t="n">
        <v>46035</v>
      </c>
      <c r="D83" t="inlineStr">
        <is>
          <t>ÖSTERGÖTLANDS LÄN</t>
        </is>
      </c>
      <c r="E83" t="inlineStr">
        <is>
          <t>LINKÖPING</t>
        </is>
      </c>
      <c r="G83" t="n">
        <v>1.3</v>
      </c>
      <c r="H83" t="n">
        <v>1</v>
      </c>
      <c r="I83" t="n">
        <v>0</v>
      </c>
      <c r="J83" t="n">
        <v>1</v>
      </c>
      <c r="K83" t="n">
        <v>0</v>
      </c>
      <c r="L83" t="n">
        <v>0</v>
      </c>
      <c r="M83" t="n">
        <v>0</v>
      </c>
      <c r="N83" t="n">
        <v>0</v>
      </c>
      <c r="O83" t="n">
        <v>1</v>
      </c>
      <c r="P83" t="n">
        <v>0</v>
      </c>
      <c r="Q83" t="n">
        <v>1</v>
      </c>
      <c r="R83" s="2" t="inlineStr">
        <is>
          <t>Dårgräsfjäril</t>
        </is>
      </c>
      <c r="S83">
        <f>HYPERLINK("https://klasma.github.io/Logging_0580/artfynd/A 17444-2025 artfynd.xlsx", "A 17444-2025")</f>
        <v/>
      </c>
      <c r="T83">
        <f>HYPERLINK("https://klasma.github.io/Logging_0580/kartor/A 17444-2025 karta.png", "A 17444-2025")</f>
        <v/>
      </c>
      <c r="V83">
        <f>HYPERLINK("https://klasma.github.io/Logging_0580/klagomål/A 17444-2025 FSC-klagomål.docx", "A 17444-2025")</f>
        <v/>
      </c>
      <c r="W83">
        <f>HYPERLINK("https://klasma.github.io/Logging_0580/klagomålsmail/A 17444-2025 FSC-klagomål mail.docx", "A 17444-2025")</f>
        <v/>
      </c>
      <c r="X83">
        <f>HYPERLINK("https://klasma.github.io/Logging_0580/tillsyn/A 17444-2025 tillsynsbegäran.docx", "A 17444-2025")</f>
        <v/>
      </c>
      <c r="Y83">
        <f>HYPERLINK("https://klasma.github.io/Logging_0580/tillsynsmail/A 17444-2025 tillsynsbegäran mail.docx", "A 17444-2025")</f>
        <v/>
      </c>
    </row>
    <row r="84" ht="15" customHeight="1">
      <c r="A84" t="inlineStr">
        <is>
          <t>A 40309-2024</t>
        </is>
      </c>
      <c r="B84" s="1" t="n">
        <v>45554.724375</v>
      </c>
      <c r="C84" s="1" t="n">
        <v>46035</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15290-2025</t>
        </is>
      </c>
      <c r="B85" s="1" t="n">
        <v>45745.45288194445</v>
      </c>
      <c r="C85" s="1" t="n">
        <v>46035</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46035</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931-2025</t>
        </is>
      </c>
      <c r="B87" s="1" t="n">
        <v>45665.88498842593</v>
      </c>
      <c r="C87" s="1" t="n">
        <v>46035</v>
      </c>
      <c r="D87" t="inlineStr">
        <is>
          <t>ÖSTERGÖTLANDS LÄN</t>
        </is>
      </c>
      <c r="E87" t="inlineStr">
        <is>
          <t>LINKÖPING</t>
        </is>
      </c>
      <c r="F87" t="inlineStr">
        <is>
          <t>Övriga Aktiebolag</t>
        </is>
      </c>
      <c r="G87" t="n">
        <v>0.8</v>
      </c>
      <c r="H87" t="n">
        <v>0</v>
      </c>
      <c r="I87" t="n">
        <v>0</v>
      </c>
      <c r="J87" t="n">
        <v>1</v>
      </c>
      <c r="K87" t="n">
        <v>0</v>
      </c>
      <c r="L87" t="n">
        <v>0</v>
      </c>
      <c r="M87" t="n">
        <v>0</v>
      </c>
      <c r="N87" t="n">
        <v>0</v>
      </c>
      <c r="O87" t="n">
        <v>1</v>
      </c>
      <c r="P87" t="n">
        <v>0</v>
      </c>
      <c r="Q87" t="n">
        <v>1</v>
      </c>
      <c r="R87" s="2" t="inlineStr">
        <is>
          <t>Tallticka</t>
        </is>
      </c>
      <c r="S87">
        <f>HYPERLINK("https://klasma.github.io/Logging_0580/artfynd/A 931-2025 artfynd.xlsx", "A 931-2025")</f>
        <v/>
      </c>
      <c r="T87">
        <f>HYPERLINK("https://klasma.github.io/Logging_0580/kartor/A 931-2025 karta.png", "A 931-2025")</f>
        <v/>
      </c>
      <c r="V87">
        <f>HYPERLINK("https://klasma.github.io/Logging_0580/klagomål/A 931-2025 FSC-klagomål.docx", "A 931-2025")</f>
        <v/>
      </c>
      <c r="W87">
        <f>HYPERLINK("https://klasma.github.io/Logging_0580/klagomålsmail/A 931-2025 FSC-klagomål mail.docx", "A 931-2025")</f>
        <v/>
      </c>
      <c r="X87">
        <f>HYPERLINK("https://klasma.github.io/Logging_0580/tillsyn/A 931-2025 tillsynsbegäran.docx", "A 931-2025")</f>
        <v/>
      </c>
      <c r="Y87">
        <f>HYPERLINK("https://klasma.github.io/Logging_0580/tillsynsmail/A 931-2025 tillsynsbegäran mail.docx", "A 931-2025")</f>
        <v/>
      </c>
    </row>
    <row r="88" ht="15" customHeight="1">
      <c r="A88" t="inlineStr">
        <is>
          <t>A 126-2024</t>
        </is>
      </c>
      <c r="B88" s="1" t="n">
        <v>45294</v>
      </c>
      <c r="C88" s="1" t="n">
        <v>46035</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46035</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3397-2023</t>
        </is>
      </c>
      <c r="B90" s="1" t="n">
        <v>44949</v>
      </c>
      <c r="C90" s="1" t="n">
        <v>46035</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38881-2021</t>
        </is>
      </c>
      <c r="B91" s="1" t="n">
        <v>44411.46893518518</v>
      </c>
      <c r="C91" s="1" t="n">
        <v>46035</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46035</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46035</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46035</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46035</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46035</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46035</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46035</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46035</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46035</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46035</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46035</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46035</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46035</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46035</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46035</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46035</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46035</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46035</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46035</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46035</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46035</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46035</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46035</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46035</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46035</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46035</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46035</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46035</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46035</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46035</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46035</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46035</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46035</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46035</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46035</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46035</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46035</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46035</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46035</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46035</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46035</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46035</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46035</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46035</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46035</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46035</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46035</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46035</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46035</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46035</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46035</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46035</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46035</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46035</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46035</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46035</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46035</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46035</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46035</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46035</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46035</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46035</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46035</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9935-2021</t>
        </is>
      </c>
      <c r="B155" s="1" t="n">
        <v>44253</v>
      </c>
      <c r="C155" s="1" t="n">
        <v>46035</v>
      </c>
      <c r="D155" t="inlineStr">
        <is>
          <t>ÖSTERGÖTLANDS LÄN</t>
        </is>
      </c>
      <c r="E155" t="inlineStr">
        <is>
          <t>LINKÖPING</t>
        </is>
      </c>
      <c r="G155" t="n">
        <v>4.5</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46035</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46035</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46035</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46035</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46035</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46035</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46035</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46035</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46035</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46035</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46035</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46035</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37934-2022</t>
        </is>
      </c>
      <c r="B168" s="1" t="n">
        <v>44809</v>
      </c>
      <c r="C168" s="1" t="n">
        <v>46035</v>
      </c>
      <c r="D168" t="inlineStr">
        <is>
          <t>ÖSTERGÖTLANDS LÄN</t>
        </is>
      </c>
      <c r="E168" t="inlineStr">
        <is>
          <t>LINKÖPING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70835-2021</t>
        </is>
      </c>
      <c r="B169" s="1" t="n">
        <v>44537</v>
      </c>
      <c r="C169" s="1" t="n">
        <v>46035</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46035</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46035</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46035</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46035</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46035</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46035</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46035</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46035</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46035</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46035</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46035</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46035</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46035</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46035</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46035</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46035</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46035</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46035</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46035</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46035</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12413-2022</t>
        </is>
      </c>
      <c r="B190" s="1" t="n">
        <v>44638</v>
      </c>
      <c r="C190" s="1" t="n">
        <v>46035</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46490-2022</t>
        </is>
      </c>
      <c r="B191" s="1" t="n">
        <v>44848</v>
      </c>
      <c r="C191" s="1" t="n">
        <v>46035</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46035</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46035</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46035</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46035</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46035</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46035</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61333-2021</t>
        </is>
      </c>
      <c r="B198" s="1" t="n">
        <v>44498.6764699074</v>
      </c>
      <c r="C198" s="1" t="n">
        <v>46035</v>
      </c>
      <c r="D198" t="inlineStr">
        <is>
          <t>ÖSTERGÖTLANDS LÄN</t>
        </is>
      </c>
      <c r="E198" t="inlineStr">
        <is>
          <t>LINKÖPING</t>
        </is>
      </c>
      <c r="G198" t="n">
        <v>7.5</v>
      </c>
      <c r="H198" t="n">
        <v>0</v>
      </c>
      <c r="I198" t="n">
        <v>0</v>
      </c>
      <c r="J198" t="n">
        <v>0</v>
      </c>
      <c r="K198" t="n">
        <v>0</v>
      </c>
      <c r="L198" t="n">
        <v>0</v>
      </c>
      <c r="M198" t="n">
        <v>0</v>
      </c>
      <c r="N198" t="n">
        <v>0</v>
      </c>
      <c r="O198" t="n">
        <v>0</v>
      </c>
      <c r="P198" t="n">
        <v>0</v>
      </c>
      <c r="Q198" t="n">
        <v>0</v>
      </c>
      <c r="R198" s="2" t="inlineStr"/>
    </row>
    <row r="199" ht="15" customHeight="1">
      <c r="A199" t="inlineStr">
        <is>
          <t>A 12412-2022</t>
        </is>
      </c>
      <c r="B199" s="1" t="n">
        <v>44638</v>
      </c>
      <c r="C199" s="1" t="n">
        <v>46035</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38235-2022</t>
        </is>
      </c>
      <c r="B200" s="1" t="n">
        <v>44812</v>
      </c>
      <c r="C200" s="1" t="n">
        <v>46035</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34880-2022</t>
        </is>
      </c>
      <c r="B201" s="1" t="n">
        <v>44796</v>
      </c>
      <c r="C201" s="1" t="n">
        <v>46035</v>
      </c>
      <c r="D201" t="inlineStr">
        <is>
          <t>ÖSTERGÖTLANDS LÄN</t>
        </is>
      </c>
      <c r="E201" t="inlineStr">
        <is>
          <t>LINKÖPING</t>
        </is>
      </c>
      <c r="F201" t="inlineStr">
        <is>
          <t>Övriga statliga verk och myndigheter</t>
        </is>
      </c>
      <c r="G201" t="n">
        <v>4</v>
      </c>
      <c r="H201" t="n">
        <v>0</v>
      </c>
      <c r="I201" t="n">
        <v>0</v>
      </c>
      <c r="J201" t="n">
        <v>0</v>
      </c>
      <c r="K201" t="n">
        <v>0</v>
      </c>
      <c r="L201" t="n">
        <v>0</v>
      </c>
      <c r="M201" t="n">
        <v>0</v>
      </c>
      <c r="N201" t="n">
        <v>0</v>
      </c>
      <c r="O201" t="n">
        <v>0</v>
      </c>
      <c r="P201" t="n">
        <v>0</v>
      </c>
      <c r="Q201" t="n">
        <v>0</v>
      </c>
      <c r="R201" s="2" t="inlineStr"/>
    </row>
    <row r="202" ht="15" customHeight="1">
      <c r="A202" t="inlineStr">
        <is>
          <t>A 48042-2022</t>
        </is>
      </c>
      <c r="B202" s="1" t="n">
        <v>44855</v>
      </c>
      <c r="C202" s="1" t="n">
        <v>46035</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46035</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39021-2021</t>
        </is>
      </c>
      <c r="B204" s="1" t="n">
        <v>44412</v>
      </c>
      <c r="C204" s="1" t="n">
        <v>46035</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46035</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10407-2025</t>
        </is>
      </c>
      <c r="B206" s="1" t="n">
        <v>45720.62863425926</v>
      </c>
      <c r="C206" s="1" t="n">
        <v>46035</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51484-2023</t>
        </is>
      </c>
      <c r="B207" s="1" t="n">
        <v>45222</v>
      </c>
      <c r="C207" s="1" t="n">
        <v>46035</v>
      </c>
      <c r="D207" t="inlineStr">
        <is>
          <t>ÖSTERGÖTLANDS LÄN</t>
        </is>
      </c>
      <c r="E207" t="inlineStr">
        <is>
          <t>LINKÖPING</t>
        </is>
      </c>
      <c r="F207" t="inlineStr">
        <is>
          <t>Övriga Aktiebolag</t>
        </is>
      </c>
      <c r="G207" t="n">
        <v>7.7</v>
      </c>
      <c r="H207" t="n">
        <v>0</v>
      </c>
      <c r="I207" t="n">
        <v>0</v>
      </c>
      <c r="J207" t="n">
        <v>0</v>
      </c>
      <c r="K207" t="n">
        <v>0</v>
      </c>
      <c r="L207" t="n">
        <v>0</v>
      </c>
      <c r="M207" t="n">
        <v>0</v>
      </c>
      <c r="N207" t="n">
        <v>0</v>
      </c>
      <c r="O207" t="n">
        <v>0</v>
      </c>
      <c r="P207" t="n">
        <v>0</v>
      </c>
      <c r="Q207" t="n">
        <v>0</v>
      </c>
      <c r="R207" s="2" t="inlineStr"/>
    </row>
    <row r="208" ht="15" customHeight="1">
      <c r="A208" t="inlineStr">
        <is>
          <t>A 48343-2025</t>
        </is>
      </c>
      <c r="B208" s="1" t="n">
        <v>45932</v>
      </c>
      <c r="C208" s="1" t="n">
        <v>46035</v>
      </c>
      <c r="D208" t="inlineStr">
        <is>
          <t>ÖSTERGÖTLANDS LÄN</t>
        </is>
      </c>
      <c r="E208" t="inlineStr">
        <is>
          <t>LINKÖPING</t>
        </is>
      </c>
      <c r="F208" t="inlineStr">
        <is>
          <t>Övriga Aktiebolag</t>
        </is>
      </c>
      <c r="G208" t="n">
        <v>2</v>
      </c>
      <c r="H208" t="n">
        <v>0</v>
      </c>
      <c r="I208" t="n">
        <v>0</v>
      </c>
      <c r="J208" t="n">
        <v>0</v>
      </c>
      <c r="K208" t="n">
        <v>0</v>
      </c>
      <c r="L208" t="n">
        <v>0</v>
      </c>
      <c r="M208" t="n">
        <v>0</v>
      </c>
      <c r="N208" t="n">
        <v>0</v>
      </c>
      <c r="O208" t="n">
        <v>0</v>
      </c>
      <c r="P208" t="n">
        <v>0</v>
      </c>
      <c r="Q208" t="n">
        <v>0</v>
      </c>
      <c r="R208" s="2" t="inlineStr"/>
    </row>
    <row r="209" ht="15" customHeight="1">
      <c r="A209" t="inlineStr">
        <is>
          <t>A 5872-2025</t>
        </is>
      </c>
      <c r="B209" s="1" t="n">
        <v>45695.36659722222</v>
      </c>
      <c r="C209" s="1" t="n">
        <v>46035</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59674-2024</t>
        </is>
      </c>
      <c r="B210" s="1" t="n">
        <v>45639</v>
      </c>
      <c r="C210" s="1" t="n">
        <v>46035</v>
      </c>
      <c r="D210" t="inlineStr">
        <is>
          <t>ÖSTERGÖTLANDS LÄN</t>
        </is>
      </c>
      <c r="E210" t="inlineStr">
        <is>
          <t>LINKÖPING</t>
        </is>
      </c>
      <c r="G210" t="n">
        <v>6.3</v>
      </c>
      <c r="H210" t="n">
        <v>0</v>
      </c>
      <c r="I210" t="n">
        <v>0</v>
      </c>
      <c r="J210" t="n">
        <v>0</v>
      </c>
      <c r="K210" t="n">
        <v>0</v>
      </c>
      <c r="L210" t="n">
        <v>0</v>
      </c>
      <c r="M210" t="n">
        <v>0</v>
      </c>
      <c r="N210" t="n">
        <v>0</v>
      </c>
      <c r="O210" t="n">
        <v>0</v>
      </c>
      <c r="P210" t="n">
        <v>0</v>
      </c>
      <c r="Q210" t="n">
        <v>0</v>
      </c>
      <c r="R210" s="2" t="inlineStr"/>
    </row>
    <row r="211" ht="15" customHeight="1">
      <c r="A211" t="inlineStr">
        <is>
          <t>A 47606-2025</t>
        </is>
      </c>
      <c r="B211" s="1" t="n">
        <v>45931.46402777778</v>
      </c>
      <c r="C211" s="1" t="n">
        <v>46035</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9434-2024</t>
        </is>
      </c>
      <c r="B212" s="1" t="n">
        <v>45359</v>
      </c>
      <c r="C212" s="1" t="n">
        <v>46035</v>
      </c>
      <c r="D212" t="inlineStr">
        <is>
          <t>ÖSTERGÖTLANDS LÄN</t>
        </is>
      </c>
      <c r="E212" t="inlineStr">
        <is>
          <t>LINKÖPING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59576-2024</t>
        </is>
      </c>
      <c r="B213" s="1" t="n">
        <v>45638.66378472222</v>
      </c>
      <c r="C213" s="1" t="n">
        <v>46035</v>
      </c>
      <c r="D213" t="inlineStr">
        <is>
          <t>ÖSTERGÖTLANDS LÄN</t>
        </is>
      </c>
      <c r="E213" t="inlineStr">
        <is>
          <t>LINKÖPING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3008-2023</t>
        </is>
      </c>
      <c r="B214" s="1" t="n">
        <v>44945.79784722222</v>
      </c>
      <c r="C214" s="1" t="n">
        <v>46035</v>
      </c>
      <c r="D214" t="inlineStr">
        <is>
          <t>ÖSTERGÖTLANDS LÄN</t>
        </is>
      </c>
      <c r="E214" t="inlineStr">
        <is>
          <t>LINKÖPING</t>
        </is>
      </c>
      <c r="G214" t="n">
        <v>19.3</v>
      </c>
      <c r="H214" t="n">
        <v>0</v>
      </c>
      <c r="I214" t="n">
        <v>0</v>
      </c>
      <c r="J214" t="n">
        <v>0</v>
      </c>
      <c r="K214" t="n">
        <v>0</v>
      </c>
      <c r="L214" t="n">
        <v>0</v>
      </c>
      <c r="M214" t="n">
        <v>0</v>
      </c>
      <c r="N214" t="n">
        <v>0</v>
      </c>
      <c r="O214" t="n">
        <v>0</v>
      </c>
      <c r="P214" t="n">
        <v>0</v>
      </c>
      <c r="Q214" t="n">
        <v>0</v>
      </c>
      <c r="R214" s="2" t="inlineStr"/>
    </row>
    <row r="215" ht="15" customHeight="1">
      <c r="A215" t="inlineStr">
        <is>
          <t>A 63678-2023</t>
        </is>
      </c>
      <c r="B215" s="1" t="n">
        <v>45275.64769675926</v>
      </c>
      <c r="C215" s="1" t="n">
        <v>46035</v>
      </c>
      <c r="D215" t="inlineStr">
        <is>
          <t>ÖSTERGÖTLANDS LÄN</t>
        </is>
      </c>
      <c r="E215" t="inlineStr">
        <is>
          <t>LINKÖPING</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63688-2023</t>
        </is>
      </c>
      <c r="B216" s="1" t="n">
        <v>45275</v>
      </c>
      <c r="C216" s="1" t="n">
        <v>46035</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63691-2023</t>
        </is>
      </c>
      <c r="B217" s="1" t="n">
        <v>45275</v>
      </c>
      <c r="C217" s="1" t="n">
        <v>46035</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34557-2022</t>
        </is>
      </c>
      <c r="B218" s="1" t="n">
        <v>44794.57074074074</v>
      </c>
      <c r="C218" s="1" t="n">
        <v>46035</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48254-2025</t>
        </is>
      </c>
      <c r="B219" s="1" t="n">
        <v>45932</v>
      </c>
      <c r="C219" s="1" t="n">
        <v>46035</v>
      </c>
      <c r="D219" t="inlineStr">
        <is>
          <t>ÖSTERGÖTLANDS LÄN</t>
        </is>
      </c>
      <c r="E219" t="inlineStr">
        <is>
          <t>LINKÖPING</t>
        </is>
      </c>
      <c r="F219" t="inlineStr">
        <is>
          <t>Övriga Aktiebolag</t>
        </is>
      </c>
      <c r="G219" t="n">
        <v>0.8</v>
      </c>
      <c r="H219" t="n">
        <v>0</v>
      </c>
      <c r="I219" t="n">
        <v>0</v>
      </c>
      <c r="J219" t="n">
        <v>0</v>
      </c>
      <c r="K219" t="n">
        <v>0</v>
      </c>
      <c r="L219" t="n">
        <v>0</v>
      </c>
      <c r="M219" t="n">
        <v>0</v>
      </c>
      <c r="N219" t="n">
        <v>0</v>
      </c>
      <c r="O219" t="n">
        <v>0</v>
      </c>
      <c r="P219" t="n">
        <v>0</v>
      </c>
      <c r="Q219" t="n">
        <v>0</v>
      </c>
      <c r="R219" s="2" t="inlineStr"/>
    </row>
    <row r="220" ht="15" customHeight="1">
      <c r="A220" t="inlineStr">
        <is>
          <t>A 48266-2025</t>
        </is>
      </c>
      <c r="B220" s="1" t="n">
        <v>45932</v>
      </c>
      <c r="C220" s="1" t="n">
        <v>46035</v>
      </c>
      <c r="D220" t="inlineStr">
        <is>
          <t>ÖSTERGÖTLANDS LÄN</t>
        </is>
      </c>
      <c r="E220" t="inlineStr">
        <is>
          <t>LINKÖPING</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55345-2021</t>
        </is>
      </c>
      <c r="B221" s="1" t="n">
        <v>44475</v>
      </c>
      <c r="C221" s="1" t="n">
        <v>46035</v>
      </c>
      <c r="D221" t="inlineStr">
        <is>
          <t>ÖSTERGÖTLANDS LÄN</t>
        </is>
      </c>
      <c r="E221" t="inlineStr">
        <is>
          <t>LINKÖPING</t>
        </is>
      </c>
      <c r="G221" t="n">
        <v>5.7</v>
      </c>
      <c r="H221" t="n">
        <v>0</v>
      </c>
      <c r="I221" t="n">
        <v>0</v>
      </c>
      <c r="J221" t="n">
        <v>0</v>
      </c>
      <c r="K221" t="n">
        <v>0</v>
      </c>
      <c r="L221" t="n">
        <v>0</v>
      </c>
      <c r="M221" t="n">
        <v>0</v>
      </c>
      <c r="N221" t="n">
        <v>0</v>
      </c>
      <c r="O221" t="n">
        <v>0</v>
      </c>
      <c r="P221" t="n">
        <v>0</v>
      </c>
      <c r="Q221" t="n">
        <v>0</v>
      </c>
      <c r="R221" s="2" t="inlineStr"/>
    </row>
    <row r="222" ht="15" customHeight="1">
      <c r="A222" t="inlineStr">
        <is>
          <t>A 51583-2024</t>
        </is>
      </c>
      <c r="B222" s="1" t="n">
        <v>45604.6397337963</v>
      </c>
      <c r="C222" s="1" t="n">
        <v>46035</v>
      </c>
      <c r="D222" t="inlineStr">
        <is>
          <t>ÖSTERGÖTLANDS LÄN</t>
        </is>
      </c>
      <c r="E222" t="inlineStr">
        <is>
          <t>LINKÖPING</t>
        </is>
      </c>
      <c r="F222" t="inlineStr">
        <is>
          <t>Övriga Aktiebolag</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62019-2024</t>
        </is>
      </c>
      <c r="B223" s="1" t="n">
        <v>45655.82</v>
      </c>
      <c r="C223" s="1" t="n">
        <v>46035</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38317-2024</t>
        </is>
      </c>
      <c r="B224" s="1" t="n">
        <v>45545.65766203704</v>
      </c>
      <c r="C224" s="1" t="n">
        <v>46035</v>
      </c>
      <c r="D224" t="inlineStr">
        <is>
          <t>ÖSTERGÖTLANDS LÄN</t>
        </is>
      </c>
      <c r="E224" t="inlineStr">
        <is>
          <t>LINKÖPING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17157-2024</t>
        </is>
      </c>
      <c r="B225" s="1" t="n">
        <v>45412.70567129629</v>
      </c>
      <c r="C225" s="1" t="n">
        <v>46035</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50182-2023</t>
        </is>
      </c>
      <c r="B226" s="1" t="n">
        <v>45208</v>
      </c>
      <c r="C226" s="1" t="n">
        <v>46035</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13689-2025</t>
        </is>
      </c>
      <c r="B227" s="1" t="n">
        <v>45737.31590277778</v>
      </c>
      <c r="C227" s="1" t="n">
        <v>46035</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13696-2025</t>
        </is>
      </c>
      <c r="B228" s="1" t="n">
        <v>45737.32273148148</v>
      </c>
      <c r="C228" s="1" t="n">
        <v>46035</v>
      </c>
      <c r="D228" t="inlineStr">
        <is>
          <t>ÖSTERGÖTLANDS LÄN</t>
        </is>
      </c>
      <c r="E228" t="inlineStr">
        <is>
          <t>LINKÖPING</t>
        </is>
      </c>
      <c r="G228" t="n">
        <v>3.5</v>
      </c>
      <c r="H228" t="n">
        <v>0</v>
      </c>
      <c r="I228" t="n">
        <v>0</v>
      </c>
      <c r="J228" t="n">
        <v>0</v>
      </c>
      <c r="K228" t="n">
        <v>0</v>
      </c>
      <c r="L228" t="n">
        <v>0</v>
      </c>
      <c r="M228" t="n">
        <v>0</v>
      </c>
      <c r="N228" t="n">
        <v>0</v>
      </c>
      <c r="O228" t="n">
        <v>0</v>
      </c>
      <c r="P228" t="n">
        <v>0</v>
      </c>
      <c r="Q228" t="n">
        <v>0</v>
      </c>
      <c r="R228" s="2" t="inlineStr"/>
    </row>
    <row r="229" ht="15" customHeight="1">
      <c r="A229" t="inlineStr">
        <is>
          <t>A 12428-2024</t>
        </is>
      </c>
      <c r="B229" s="1" t="n">
        <v>45379</v>
      </c>
      <c r="C229" s="1" t="n">
        <v>46035</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1844-2025</t>
        </is>
      </c>
      <c r="B230" s="1" t="n">
        <v>45671.57730324074</v>
      </c>
      <c r="C230" s="1" t="n">
        <v>46035</v>
      </c>
      <c r="D230" t="inlineStr">
        <is>
          <t>ÖSTERGÖTLANDS LÄN</t>
        </is>
      </c>
      <c r="E230" t="inlineStr">
        <is>
          <t>LINKÖPING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61281-2021</t>
        </is>
      </c>
      <c r="B231" s="1" t="n">
        <v>44498.60736111111</v>
      </c>
      <c r="C231" s="1" t="n">
        <v>46035</v>
      </c>
      <c r="D231" t="inlineStr">
        <is>
          <t>ÖSTERGÖTLANDS LÄN</t>
        </is>
      </c>
      <c r="E231" t="inlineStr">
        <is>
          <t>LINKÖPING</t>
        </is>
      </c>
      <c r="G231" t="n">
        <v>4.5</v>
      </c>
      <c r="H231" t="n">
        <v>0</v>
      </c>
      <c r="I231" t="n">
        <v>0</v>
      </c>
      <c r="J231" t="n">
        <v>0</v>
      </c>
      <c r="K231" t="n">
        <v>0</v>
      </c>
      <c r="L231" t="n">
        <v>0</v>
      </c>
      <c r="M231" t="n">
        <v>0</v>
      </c>
      <c r="N231" t="n">
        <v>0</v>
      </c>
      <c r="O231" t="n">
        <v>0</v>
      </c>
      <c r="P231" t="n">
        <v>0</v>
      </c>
      <c r="Q231" t="n">
        <v>0</v>
      </c>
      <c r="R231" s="2" t="inlineStr"/>
    </row>
    <row r="232" ht="15" customHeight="1">
      <c r="A232" t="inlineStr">
        <is>
          <t>A 63935-2021</t>
        </is>
      </c>
      <c r="B232" s="1" t="n">
        <v>44509</v>
      </c>
      <c r="C232" s="1" t="n">
        <v>46035</v>
      </c>
      <c r="D232" t="inlineStr">
        <is>
          <t>ÖSTERGÖTLANDS LÄN</t>
        </is>
      </c>
      <c r="E232" t="inlineStr">
        <is>
          <t>LINKÖPING</t>
        </is>
      </c>
      <c r="F232" t="inlineStr">
        <is>
          <t>Övriga statliga verk och myndigheter</t>
        </is>
      </c>
      <c r="G232" t="n">
        <v>2.8</v>
      </c>
      <c r="H232" t="n">
        <v>0</v>
      </c>
      <c r="I232" t="n">
        <v>0</v>
      </c>
      <c r="J232" t="n">
        <v>0</v>
      </c>
      <c r="K232" t="n">
        <v>0</v>
      </c>
      <c r="L232" t="n">
        <v>0</v>
      </c>
      <c r="M232" t="n">
        <v>0</v>
      </c>
      <c r="N232" t="n">
        <v>0</v>
      </c>
      <c r="O232" t="n">
        <v>0</v>
      </c>
      <c r="P232" t="n">
        <v>0</v>
      </c>
      <c r="Q232" t="n">
        <v>0</v>
      </c>
      <c r="R232" s="2" t="inlineStr"/>
    </row>
    <row r="233" ht="15" customHeight="1">
      <c r="A233" t="inlineStr">
        <is>
          <t>A 25292-2021</t>
        </is>
      </c>
      <c r="B233" s="1" t="n">
        <v>44342</v>
      </c>
      <c r="C233" s="1" t="n">
        <v>46035</v>
      </c>
      <c r="D233" t="inlineStr">
        <is>
          <t>ÖSTERGÖTLANDS LÄN</t>
        </is>
      </c>
      <c r="E233" t="inlineStr">
        <is>
          <t>LINKÖPING</t>
        </is>
      </c>
      <c r="F233" t="inlineStr">
        <is>
          <t>Övriga Aktiebolag</t>
        </is>
      </c>
      <c r="G233" t="n">
        <v>12.8</v>
      </c>
      <c r="H233" t="n">
        <v>0</v>
      </c>
      <c r="I233" t="n">
        <v>0</v>
      </c>
      <c r="J233" t="n">
        <v>0</v>
      </c>
      <c r="K233" t="n">
        <v>0</v>
      </c>
      <c r="L233" t="n">
        <v>0</v>
      </c>
      <c r="M233" t="n">
        <v>0</v>
      </c>
      <c r="N233" t="n">
        <v>0</v>
      </c>
      <c r="O233" t="n">
        <v>0</v>
      </c>
      <c r="P233" t="n">
        <v>0</v>
      </c>
      <c r="Q233" t="n">
        <v>0</v>
      </c>
      <c r="R233" s="2" t="inlineStr"/>
    </row>
    <row r="234" ht="15" customHeight="1">
      <c r="A234" t="inlineStr">
        <is>
          <t>A 46225-2021</t>
        </is>
      </c>
      <c r="B234" s="1" t="n">
        <v>44442</v>
      </c>
      <c r="C234" s="1" t="n">
        <v>46035</v>
      </c>
      <c r="D234" t="inlineStr">
        <is>
          <t>ÖSTERGÖTLANDS LÄN</t>
        </is>
      </c>
      <c r="E234" t="inlineStr">
        <is>
          <t>LINKÖPING</t>
        </is>
      </c>
      <c r="G234" t="n">
        <v>2.9</v>
      </c>
      <c r="H234" t="n">
        <v>0</v>
      </c>
      <c r="I234" t="n">
        <v>0</v>
      </c>
      <c r="J234" t="n">
        <v>0</v>
      </c>
      <c r="K234" t="n">
        <v>0</v>
      </c>
      <c r="L234" t="n">
        <v>0</v>
      </c>
      <c r="M234" t="n">
        <v>0</v>
      </c>
      <c r="N234" t="n">
        <v>0</v>
      </c>
      <c r="O234" t="n">
        <v>0</v>
      </c>
      <c r="P234" t="n">
        <v>0</v>
      </c>
      <c r="Q234" t="n">
        <v>0</v>
      </c>
      <c r="R234" s="2" t="inlineStr"/>
    </row>
    <row r="235" ht="15" customHeight="1">
      <c r="A235" t="inlineStr">
        <is>
          <t>A 54428-2022</t>
        </is>
      </c>
      <c r="B235" s="1" t="n">
        <v>44882.57643518518</v>
      </c>
      <c r="C235" s="1" t="n">
        <v>46035</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21155-2025</t>
        </is>
      </c>
      <c r="B236" s="1" t="n">
        <v>45779.37586805555</v>
      </c>
      <c r="C236" s="1" t="n">
        <v>46035</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11790-2024</t>
        </is>
      </c>
      <c r="B237" s="1" t="n">
        <v>45374</v>
      </c>
      <c r="C237" s="1" t="n">
        <v>46035</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21165-2025</t>
        </is>
      </c>
      <c r="B238" s="1" t="n">
        <v>45779.39417824074</v>
      </c>
      <c r="C238" s="1" t="n">
        <v>46035</v>
      </c>
      <c r="D238" t="inlineStr">
        <is>
          <t>ÖSTERGÖTLANDS LÄN</t>
        </is>
      </c>
      <c r="E238" t="inlineStr">
        <is>
          <t>LINKÖPING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48962-2022</t>
        </is>
      </c>
      <c r="B239" s="1" t="n">
        <v>44860.31635416667</v>
      </c>
      <c r="C239" s="1" t="n">
        <v>46035</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39074-2025</t>
        </is>
      </c>
      <c r="B240" s="1" t="n">
        <v>45888</v>
      </c>
      <c r="C240" s="1" t="n">
        <v>46035</v>
      </c>
      <c r="D240" t="inlineStr">
        <is>
          <t>ÖSTERGÖTLANDS LÄN</t>
        </is>
      </c>
      <c r="E240" t="inlineStr">
        <is>
          <t>LINKÖPING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53647-2021</t>
        </is>
      </c>
      <c r="B241" s="1" t="n">
        <v>44469</v>
      </c>
      <c r="C241" s="1" t="n">
        <v>46035</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22772-2024</t>
        </is>
      </c>
      <c r="B242" s="1" t="n">
        <v>45448.46712962963</v>
      </c>
      <c r="C242" s="1" t="n">
        <v>46035</v>
      </c>
      <c r="D242" t="inlineStr">
        <is>
          <t>ÖSTERGÖTLANDS LÄN</t>
        </is>
      </c>
      <c r="E242" t="inlineStr">
        <is>
          <t>LINKÖPING</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18916-2024</t>
        </is>
      </c>
      <c r="B243" s="1" t="n">
        <v>45427.39541666667</v>
      </c>
      <c r="C243" s="1" t="n">
        <v>46035</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24586-2024</t>
        </is>
      </c>
      <c r="B244" s="1" t="n">
        <v>45460.46664351852</v>
      </c>
      <c r="C244" s="1" t="n">
        <v>46035</v>
      </c>
      <c r="D244" t="inlineStr">
        <is>
          <t>ÖSTERGÖTLANDS LÄN</t>
        </is>
      </c>
      <c r="E244" t="inlineStr">
        <is>
          <t>LINKÖPING</t>
        </is>
      </c>
      <c r="G244" t="n">
        <v>4</v>
      </c>
      <c r="H244" t="n">
        <v>0</v>
      </c>
      <c r="I244" t="n">
        <v>0</v>
      </c>
      <c r="J244" t="n">
        <v>0</v>
      </c>
      <c r="K244" t="n">
        <v>0</v>
      </c>
      <c r="L244" t="n">
        <v>0</v>
      </c>
      <c r="M244" t="n">
        <v>0</v>
      </c>
      <c r="N244" t="n">
        <v>0</v>
      </c>
      <c r="O244" t="n">
        <v>0</v>
      </c>
      <c r="P244" t="n">
        <v>0</v>
      </c>
      <c r="Q244" t="n">
        <v>0</v>
      </c>
      <c r="R244" s="2" t="inlineStr"/>
    </row>
    <row r="245" ht="15" customHeight="1">
      <c r="A245" t="inlineStr">
        <is>
          <t>A 17124-2025</t>
        </is>
      </c>
      <c r="B245" s="1" t="n">
        <v>45755.69678240741</v>
      </c>
      <c r="C245" s="1" t="n">
        <v>46035</v>
      </c>
      <c r="D245" t="inlineStr">
        <is>
          <t>ÖSTERGÖTLANDS LÄN</t>
        </is>
      </c>
      <c r="E245" t="inlineStr">
        <is>
          <t>LINKÖPING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17126-2025</t>
        </is>
      </c>
      <c r="B246" s="1" t="n">
        <v>45755.70814814815</v>
      </c>
      <c r="C246" s="1" t="n">
        <v>46035</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17143-2025</t>
        </is>
      </c>
      <c r="B247" s="1" t="n">
        <v>45755.92731481481</v>
      </c>
      <c r="C247" s="1" t="n">
        <v>46035</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38971-2025</t>
        </is>
      </c>
      <c r="B248" s="1" t="n">
        <v>45887.71827546296</v>
      </c>
      <c r="C248" s="1" t="n">
        <v>46035</v>
      </c>
      <c r="D248" t="inlineStr">
        <is>
          <t>ÖSTERGÖTLANDS LÄN</t>
        </is>
      </c>
      <c r="E248" t="inlineStr">
        <is>
          <t>LINKÖPING</t>
        </is>
      </c>
      <c r="G248" t="n">
        <v>3.9</v>
      </c>
      <c r="H248" t="n">
        <v>0</v>
      </c>
      <c r="I248" t="n">
        <v>0</v>
      </c>
      <c r="J248" t="n">
        <v>0</v>
      </c>
      <c r="K248" t="n">
        <v>0</v>
      </c>
      <c r="L248" t="n">
        <v>0</v>
      </c>
      <c r="M248" t="n">
        <v>0</v>
      </c>
      <c r="N248" t="n">
        <v>0</v>
      </c>
      <c r="O248" t="n">
        <v>0</v>
      </c>
      <c r="P248" t="n">
        <v>0</v>
      </c>
      <c r="Q248" t="n">
        <v>0</v>
      </c>
      <c r="R248" s="2" t="inlineStr"/>
    </row>
    <row r="249" ht="15" customHeight="1">
      <c r="A249" t="inlineStr">
        <is>
          <t>A 72567-2021</t>
        </is>
      </c>
      <c r="B249" s="1" t="n">
        <v>44546.45023148148</v>
      </c>
      <c r="C249" s="1" t="n">
        <v>46035</v>
      </c>
      <c r="D249" t="inlineStr">
        <is>
          <t>ÖSTERGÖTLANDS LÄN</t>
        </is>
      </c>
      <c r="E249" t="inlineStr">
        <is>
          <t>LINKÖPING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39017-2021</t>
        </is>
      </c>
      <c r="B250" s="1" t="n">
        <v>44412</v>
      </c>
      <c r="C250" s="1" t="n">
        <v>46035</v>
      </c>
      <c r="D250" t="inlineStr">
        <is>
          <t>ÖSTERGÖTLANDS LÄN</t>
        </is>
      </c>
      <c r="E250" t="inlineStr">
        <is>
          <t>LINKÖPING</t>
        </is>
      </c>
      <c r="F250" t="inlineStr">
        <is>
          <t>Övriga statliga verk och myndigheter</t>
        </is>
      </c>
      <c r="G250" t="n">
        <v>0.8</v>
      </c>
      <c r="H250" t="n">
        <v>0</v>
      </c>
      <c r="I250" t="n">
        <v>0</v>
      </c>
      <c r="J250" t="n">
        <v>0</v>
      </c>
      <c r="K250" t="n">
        <v>0</v>
      </c>
      <c r="L250" t="n">
        <v>0</v>
      </c>
      <c r="M250" t="n">
        <v>0</v>
      </c>
      <c r="N250" t="n">
        <v>0</v>
      </c>
      <c r="O250" t="n">
        <v>0</v>
      </c>
      <c r="P250" t="n">
        <v>0</v>
      </c>
      <c r="Q250" t="n">
        <v>0</v>
      </c>
      <c r="R250" s="2" t="inlineStr"/>
    </row>
    <row r="251" ht="15" customHeight="1">
      <c r="A251" t="inlineStr">
        <is>
          <t>A 27264-2025</t>
        </is>
      </c>
      <c r="B251" s="1" t="n">
        <v>45812.4794212963</v>
      </c>
      <c r="C251" s="1" t="n">
        <v>46035</v>
      </c>
      <c r="D251" t="inlineStr">
        <is>
          <t>ÖSTERGÖTLANDS LÄN</t>
        </is>
      </c>
      <c r="E251" t="inlineStr">
        <is>
          <t>LINKÖPING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16820-2024</t>
        </is>
      </c>
      <c r="B252" s="1" t="n">
        <v>45411.46809027778</v>
      </c>
      <c r="C252" s="1" t="n">
        <v>46035</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39438-2025</t>
        </is>
      </c>
      <c r="B253" s="1" t="n">
        <v>45889.68641203704</v>
      </c>
      <c r="C253" s="1" t="n">
        <v>46035</v>
      </c>
      <c r="D253" t="inlineStr">
        <is>
          <t>ÖSTERGÖTLANDS LÄN</t>
        </is>
      </c>
      <c r="E253" t="inlineStr">
        <is>
          <t>LINKÖPING</t>
        </is>
      </c>
      <c r="G253" t="n">
        <v>2.4</v>
      </c>
      <c r="H253" t="n">
        <v>0</v>
      </c>
      <c r="I253" t="n">
        <v>0</v>
      </c>
      <c r="J253" t="n">
        <v>0</v>
      </c>
      <c r="K253" t="n">
        <v>0</v>
      </c>
      <c r="L253" t="n">
        <v>0</v>
      </c>
      <c r="M253" t="n">
        <v>0</v>
      </c>
      <c r="N253" t="n">
        <v>0</v>
      </c>
      <c r="O253" t="n">
        <v>0</v>
      </c>
      <c r="P253" t="n">
        <v>0</v>
      </c>
      <c r="Q253" t="n">
        <v>0</v>
      </c>
      <c r="R253" s="2" t="inlineStr"/>
    </row>
    <row r="254" ht="15" customHeight="1">
      <c r="A254" t="inlineStr">
        <is>
          <t>A 30980-2022</t>
        </is>
      </c>
      <c r="B254" s="1" t="n">
        <v>44768</v>
      </c>
      <c r="C254" s="1" t="n">
        <v>46035</v>
      </c>
      <c r="D254" t="inlineStr">
        <is>
          <t>ÖSTERGÖTLANDS LÄN</t>
        </is>
      </c>
      <c r="E254" t="inlineStr">
        <is>
          <t>LINKÖPING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49605-2025</t>
        </is>
      </c>
      <c r="B255" s="1" t="n">
        <v>45938</v>
      </c>
      <c r="C255" s="1" t="n">
        <v>46035</v>
      </c>
      <c r="D255" t="inlineStr">
        <is>
          <t>ÖSTERGÖTLANDS LÄN</t>
        </is>
      </c>
      <c r="E255" t="inlineStr">
        <is>
          <t>LINKÖPING</t>
        </is>
      </c>
      <c r="F255" t="inlineStr">
        <is>
          <t>Övriga Aktiebolag</t>
        </is>
      </c>
      <c r="G255" t="n">
        <v>3.3</v>
      </c>
      <c r="H255" t="n">
        <v>0</v>
      </c>
      <c r="I255" t="n">
        <v>0</v>
      </c>
      <c r="J255" t="n">
        <v>0</v>
      </c>
      <c r="K255" t="n">
        <v>0</v>
      </c>
      <c r="L255" t="n">
        <v>0</v>
      </c>
      <c r="M255" t="n">
        <v>0</v>
      </c>
      <c r="N255" t="n">
        <v>0</v>
      </c>
      <c r="O255" t="n">
        <v>0</v>
      </c>
      <c r="P255" t="n">
        <v>0</v>
      </c>
      <c r="Q255" t="n">
        <v>0</v>
      </c>
      <c r="R255" s="2" t="inlineStr"/>
    </row>
    <row r="256" ht="15" customHeight="1">
      <c r="A256" t="inlineStr">
        <is>
          <t>A 57752-2023</t>
        </is>
      </c>
      <c r="B256" s="1" t="n">
        <v>45246.78474537037</v>
      </c>
      <c r="C256" s="1" t="n">
        <v>46035</v>
      </c>
      <c r="D256" t="inlineStr">
        <is>
          <t>ÖSTERGÖTLANDS LÄN</t>
        </is>
      </c>
      <c r="E256" t="inlineStr">
        <is>
          <t>LINKÖPING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24351-2024</t>
        </is>
      </c>
      <c r="B257" s="1" t="n">
        <v>45457.59011574074</v>
      </c>
      <c r="C257" s="1" t="n">
        <v>46035</v>
      </c>
      <c r="D257" t="inlineStr">
        <is>
          <t>ÖSTERGÖTLANDS LÄN</t>
        </is>
      </c>
      <c r="E257" t="inlineStr">
        <is>
          <t>LINKÖPING</t>
        </is>
      </c>
      <c r="G257" t="n">
        <v>11.9</v>
      </c>
      <c r="H257" t="n">
        <v>0</v>
      </c>
      <c r="I257" t="n">
        <v>0</v>
      </c>
      <c r="J257" t="n">
        <v>0</v>
      </c>
      <c r="K257" t="n">
        <v>0</v>
      </c>
      <c r="L257" t="n">
        <v>0</v>
      </c>
      <c r="M257" t="n">
        <v>0</v>
      </c>
      <c r="N257" t="n">
        <v>0</v>
      </c>
      <c r="O257" t="n">
        <v>0</v>
      </c>
      <c r="P257" t="n">
        <v>0</v>
      </c>
      <c r="Q257" t="n">
        <v>0</v>
      </c>
      <c r="R257" s="2" t="inlineStr"/>
    </row>
    <row r="258" ht="15" customHeight="1">
      <c r="A258" t="inlineStr">
        <is>
          <t>A 40169-2025</t>
        </is>
      </c>
      <c r="B258" s="1" t="n">
        <v>45894.62824074074</v>
      </c>
      <c r="C258" s="1" t="n">
        <v>46035</v>
      </c>
      <c r="D258" t="inlineStr">
        <is>
          <t>ÖSTERGÖTLANDS LÄN</t>
        </is>
      </c>
      <c r="E258" t="inlineStr">
        <is>
          <t>LINKÖPING</t>
        </is>
      </c>
      <c r="G258" t="n">
        <v>2.8</v>
      </c>
      <c r="H258" t="n">
        <v>0</v>
      </c>
      <c r="I258" t="n">
        <v>0</v>
      </c>
      <c r="J258" t="n">
        <v>0</v>
      </c>
      <c r="K258" t="n">
        <v>0</v>
      </c>
      <c r="L258" t="n">
        <v>0</v>
      </c>
      <c r="M258" t="n">
        <v>0</v>
      </c>
      <c r="N258" t="n">
        <v>0</v>
      </c>
      <c r="O258" t="n">
        <v>0</v>
      </c>
      <c r="P258" t="n">
        <v>0</v>
      </c>
      <c r="Q258" t="n">
        <v>0</v>
      </c>
      <c r="R258" s="2" t="inlineStr"/>
    </row>
    <row r="259" ht="15" customHeight="1">
      <c r="A259" t="inlineStr">
        <is>
          <t>A 62501-2023</t>
        </is>
      </c>
      <c r="B259" s="1" t="n">
        <v>45268</v>
      </c>
      <c r="C259" s="1" t="n">
        <v>46035</v>
      </c>
      <c r="D259" t="inlineStr">
        <is>
          <t>ÖSTERGÖTLANDS LÄN</t>
        </is>
      </c>
      <c r="E259" t="inlineStr">
        <is>
          <t>LINKÖPING</t>
        </is>
      </c>
      <c r="G259" t="n">
        <v>7.4</v>
      </c>
      <c r="H259" t="n">
        <v>0</v>
      </c>
      <c r="I259" t="n">
        <v>0</v>
      </c>
      <c r="J259" t="n">
        <v>0</v>
      </c>
      <c r="K259" t="n">
        <v>0</v>
      </c>
      <c r="L259" t="n">
        <v>0</v>
      </c>
      <c r="M259" t="n">
        <v>0</v>
      </c>
      <c r="N259" t="n">
        <v>0</v>
      </c>
      <c r="O259" t="n">
        <v>0</v>
      </c>
      <c r="P259" t="n">
        <v>0</v>
      </c>
      <c r="Q259" t="n">
        <v>0</v>
      </c>
      <c r="R259" s="2" t="inlineStr"/>
    </row>
    <row r="260" ht="15" customHeight="1">
      <c r="A260" t="inlineStr">
        <is>
          <t>A 58947-2022</t>
        </is>
      </c>
      <c r="B260" s="1" t="n">
        <v>44903.64769675926</v>
      </c>
      <c r="C260" s="1" t="n">
        <v>46035</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49979-2022</t>
        </is>
      </c>
      <c r="B261" s="1" t="n">
        <v>44865</v>
      </c>
      <c r="C261" s="1" t="n">
        <v>46035</v>
      </c>
      <c r="D261" t="inlineStr">
        <is>
          <t>ÖSTERGÖTLANDS LÄN</t>
        </is>
      </c>
      <c r="E261" t="inlineStr">
        <is>
          <t>LINKÖPING</t>
        </is>
      </c>
      <c r="F261" t="inlineStr">
        <is>
          <t>Övriga Aktiebolag</t>
        </is>
      </c>
      <c r="G261" t="n">
        <v>11.4</v>
      </c>
      <c r="H261" t="n">
        <v>0</v>
      </c>
      <c r="I261" t="n">
        <v>0</v>
      </c>
      <c r="J261" t="n">
        <v>0</v>
      </c>
      <c r="K261" t="n">
        <v>0</v>
      </c>
      <c r="L261" t="n">
        <v>0</v>
      </c>
      <c r="M261" t="n">
        <v>0</v>
      </c>
      <c r="N261" t="n">
        <v>0</v>
      </c>
      <c r="O261" t="n">
        <v>0</v>
      </c>
      <c r="P261" t="n">
        <v>0</v>
      </c>
      <c r="Q261" t="n">
        <v>0</v>
      </c>
      <c r="R261" s="2" t="inlineStr"/>
    </row>
    <row r="262" ht="15" customHeight="1">
      <c r="A262" t="inlineStr">
        <is>
          <t>A 53827-2023</t>
        </is>
      </c>
      <c r="B262" s="1" t="n">
        <v>45230</v>
      </c>
      <c r="C262" s="1" t="n">
        <v>46035</v>
      </c>
      <c r="D262" t="inlineStr">
        <is>
          <t>ÖSTERGÖTLANDS LÄN</t>
        </is>
      </c>
      <c r="E262" t="inlineStr">
        <is>
          <t>LINKÖPING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9473-2024</t>
        </is>
      </c>
      <c r="B263" s="1" t="n">
        <v>45359.55474537037</v>
      </c>
      <c r="C263" s="1" t="n">
        <v>46035</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10797-2024</t>
        </is>
      </c>
      <c r="B264" s="1" t="n">
        <v>45369.6190162037</v>
      </c>
      <c r="C264" s="1" t="n">
        <v>46035</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22264-2025</t>
        </is>
      </c>
      <c r="B265" s="1" t="n">
        <v>45785</v>
      </c>
      <c r="C265" s="1" t="n">
        <v>46035</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940-2023</t>
        </is>
      </c>
      <c r="B266" s="1" t="n">
        <v>44933</v>
      </c>
      <c r="C266" s="1" t="n">
        <v>46035</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7992-2023</t>
        </is>
      </c>
      <c r="B267" s="1" t="n">
        <v>44970</v>
      </c>
      <c r="C267" s="1" t="n">
        <v>46035</v>
      </c>
      <c r="D267" t="inlineStr">
        <is>
          <t>ÖSTERGÖTLANDS LÄN</t>
        </is>
      </c>
      <c r="E267" t="inlineStr">
        <is>
          <t>LINKÖPING</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45819-2024</t>
        </is>
      </c>
      <c r="B268" s="1" t="n">
        <v>45579.7454050926</v>
      </c>
      <c r="C268" s="1" t="n">
        <v>46035</v>
      </c>
      <c r="D268" t="inlineStr">
        <is>
          <t>ÖSTERGÖTLANDS LÄN</t>
        </is>
      </c>
      <c r="E268" t="inlineStr">
        <is>
          <t>LINKÖPING</t>
        </is>
      </c>
      <c r="G268" t="n">
        <v>5</v>
      </c>
      <c r="H268" t="n">
        <v>0</v>
      </c>
      <c r="I268" t="n">
        <v>0</v>
      </c>
      <c r="J268" t="n">
        <v>0</v>
      </c>
      <c r="K268" t="n">
        <v>0</v>
      </c>
      <c r="L268" t="n">
        <v>0</v>
      </c>
      <c r="M268" t="n">
        <v>0</v>
      </c>
      <c r="N268" t="n">
        <v>0</v>
      </c>
      <c r="O268" t="n">
        <v>0</v>
      </c>
      <c r="P268" t="n">
        <v>0</v>
      </c>
      <c r="Q268" t="n">
        <v>0</v>
      </c>
      <c r="R268" s="2" t="inlineStr"/>
    </row>
    <row r="269" ht="15" customHeight="1">
      <c r="A269" t="inlineStr">
        <is>
          <t>A 3041-2024</t>
        </is>
      </c>
      <c r="B269" s="1" t="n">
        <v>45316.34875</v>
      </c>
      <c r="C269" s="1" t="n">
        <v>46035</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6859-2024</t>
        </is>
      </c>
      <c r="B270" s="1" t="n">
        <v>45342</v>
      </c>
      <c r="C270" s="1" t="n">
        <v>46035</v>
      </c>
      <c r="D270" t="inlineStr">
        <is>
          <t>ÖSTERGÖTLANDS LÄN</t>
        </is>
      </c>
      <c r="E270" t="inlineStr">
        <is>
          <t>LINKÖPING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49647-2025</t>
        </is>
      </c>
      <c r="B271" s="1" t="n">
        <v>45938</v>
      </c>
      <c r="C271" s="1" t="n">
        <v>46035</v>
      </c>
      <c r="D271" t="inlineStr">
        <is>
          <t>ÖSTERGÖTLANDS LÄN</t>
        </is>
      </c>
      <c r="E271" t="inlineStr">
        <is>
          <t>LINKÖPING</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38580-2024</t>
        </is>
      </c>
      <c r="B272" s="1" t="n">
        <v>45546.64825231482</v>
      </c>
      <c r="C272" s="1" t="n">
        <v>46035</v>
      </c>
      <c r="D272" t="inlineStr">
        <is>
          <t>ÖSTERGÖTLANDS LÄN</t>
        </is>
      </c>
      <c r="E272" t="inlineStr">
        <is>
          <t>LINKÖPING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572-2025</t>
        </is>
      </c>
      <c r="B273" s="1" t="n">
        <v>45664.56349537037</v>
      </c>
      <c r="C273" s="1" t="n">
        <v>46035</v>
      </c>
      <c r="D273" t="inlineStr">
        <is>
          <t>ÖSTERGÖTLANDS LÄN</t>
        </is>
      </c>
      <c r="E273" t="inlineStr">
        <is>
          <t>LINKÖPING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3530-2024</t>
        </is>
      </c>
      <c r="B274" s="1" t="n">
        <v>45320.54717592592</v>
      </c>
      <c r="C274" s="1" t="n">
        <v>46035</v>
      </c>
      <c r="D274" t="inlineStr">
        <is>
          <t>ÖSTERGÖTLANDS LÄN</t>
        </is>
      </c>
      <c r="E274" t="inlineStr">
        <is>
          <t>LINKÖPING</t>
        </is>
      </c>
      <c r="G274" t="n">
        <v>1.5</v>
      </c>
      <c r="H274" t="n">
        <v>0</v>
      </c>
      <c r="I274" t="n">
        <v>0</v>
      </c>
      <c r="J274" t="n">
        <v>0</v>
      </c>
      <c r="K274" t="n">
        <v>0</v>
      </c>
      <c r="L274" t="n">
        <v>0</v>
      </c>
      <c r="M274" t="n">
        <v>0</v>
      </c>
      <c r="N274" t="n">
        <v>0</v>
      </c>
      <c r="O274" t="n">
        <v>0</v>
      </c>
      <c r="P274" t="n">
        <v>0</v>
      </c>
      <c r="Q274" t="n">
        <v>0</v>
      </c>
      <c r="R274" s="2" t="inlineStr"/>
    </row>
    <row r="275" ht="15" customHeight="1">
      <c r="A275" t="inlineStr">
        <is>
          <t>A 22364-2025</t>
        </is>
      </c>
      <c r="B275" s="1" t="n">
        <v>45786.46930555555</v>
      </c>
      <c r="C275" s="1" t="n">
        <v>46035</v>
      </c>
      <c r="D275" t="inlineStr">
        <is>
          <t>ÖSTERGÖTLANDS LÄN</t>
        </is>
      </c>
      <c r="E275" t="inlineStr">
        <is>
          <t>LINKÖPING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44287-2024</t>
        </is>
      </c>
      <c r="B276" s="1" t="n">
        <v>45573.50582175926</v>
      </c>
      <c r="C276" s="1" t="n">
        <v>46035</v>
      </c>
      <c r="D276" t="inlineStr">
        <is>
          <t>ÖSTERGÖTLANDS LÄN</t>
        </is>
      </c>
      <c r="E276" t="inlineStr">
        <is>
          <t>LINKÖPING</t>
        </is>
      </c>
      <c r="G276" t="n">
        <v>12.7</v>
      </c>
      <c r="H276" t="n">
        <v>0</v>
      </c>
      <c r="I276" t="n">
        <v>0</v>
      </c>
      <c r="J276" t="n">
        <v>0</v>
      </c>
      <c r="K276" t="n">
        <v>0</v>
      </c>
      <c r="L276" t="n">
        <v>0</v>
      </c>
      <c r="M276" t="n">
        <v>0</v>
      </c>
      <c r="N276" t="n">
        <v>0</v>
      </c>
      <c r="O276" t="n">
        <v>0</v>
      </c>
      <c r="P276" t="n">
        <v>0</v>
      </c>
      <c r="Q276" t="n">
        <v>0</v>
      </c>
      <c r="R276" s="2" t="inlineStr"/>
    </row>
    <row r="277" ht="15" customHeight="1">
      <c r="A277" t="inlineStr">
        <is>
          <t>A 29312-2024</t>
        </is>
      </c>
      <c r="B277" s="1" t="n">
        <v>45483</v>
      </c>
      <c r="C277" s="1" t="n">
        <v>46035</v>
      </c>
      <c r="D277" t="inlineStr">
        <is>
          <t>ÖSTERGÖTLANDS LÄN</t>
        </is>
      </c>
      <c r="E277" t="inlineStr">
        <is>
          <t>LINKÖPING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62686-2023</t>
        </is>
      </c>
      <c r="B278" s="1" t="n">
        <v>45271</v>
      </c>
      <c r="C278" s="1" t="n">
        <v>46035</v>
      </c>
      <c r="D278" t="inlineStr">
        <is>
          <t>ÖSTERGÖTLANDS LÄN</t>
        </is>
      </c>
      <c r="E278" t="inlineStr">
        <is>
          <t>LINKÖPING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41706-2025</t>
        </is>
      </c>
      <c r="B279" s="1" t="n">
        <v>45902.42209490741</v>
      </c>
      <c r="C279" s="1" t="n">
        <v>46035</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55345-2021</t>
        </is>
      </c>
      <c r="B280" s="1" t="n">
        <v>44475</v>
      </c>
      <c r="C280" s="1" t="n">
        <v>46035</v>
      </c>
      <c r="D280" t="inlineStr">
        <is>
          <t>ÖSTERGÖTLANDS LÄN</t>
        </is>
      </c>
      <c r="E280" t="inlineStr">
        <is>
          <t>LINKÖPING</t>
        </is>
      </c>
      <c r="G280" t="n">
        <v>5.7</v>
      </c>
      <c r="H280" t="n">
        <v>0</v>
      </c>
      <c r="I280" t="n">
        <v>0</v>
      </c>
      <c r="J280" t="n">
        <v>0</v>
      </c>
      <c r="K280" t="n">
        <v>0</v>
      </c>
      <c r="L280" t="n">
        <v>0</v>
      </c>
      <c r="M280" t="n">
        <v>0</v>
      </c>
      <c r="N280" t="n">
        <v>0</v>
      </c>
      <c r="O280" t="n">
        <v>0</v>
      </c>
      <c r="P280" t="n">
        <v>0</v>
      </c>
      <c r="Q280" t="n">
        <v>0</v>
      </c>
      <c r="R280" s="2" t="inlineStr"/>
    </row>
    <row r="281" ht="15" customHeight="1">
      <c r="A281" t="inlineStr">
        <is>
          <t>A 63489-2023</t>
        </is>
      </c>
      <c r="B281" s="1" t="n">
        <v>45274.66761574074</v>
      </c>
      <c r="C281" s="1" t="n">
        <v>46035</v>
      </c>
      <c r="D281" t="inlineStr">
        <is>
          <t>ÖSTERGÖTLANDS LÄN</t>
        </is>
      </c>
      <c r="E281" t="inlineStr">
        <is>
          <t>LINKÖPING</t>
        </is>
      </c>
      <c r="G281" t="n">
        <v>2.3</v>
      </c>
      <c r="H281" t="n">
        <v>0</v>
      </c>
      <c r="I281" t="n">
        <v>0</v>
      </c>
      <c r="J281" t="n">
        <v>0</v>
      </c>
      <c r="K281" t="n">
        <v>0</v>
      </c>
      <c r="L281" t="n">
        <v>0</v>
      </c>
      <c r="M281" t="n">
        <v>0</v>
      </c>
      <c r="N281" t="n">
        <v>0</v>
      </c>
      <c r="O281" t="n">
        <v>0</v>
      </c>
      <c r="P281" t="n">
        <v>0</v>
      </c>
      <c r="Q281" t="n">
        <v>0</v>
      </c>
      <c r="R281" s="2" t="inlineStr"/>
    </row>
    <row r="282" ht="15" customHeight="1">
      <c r="A282" t="inlineStr">
        <is>
          <t>A 70-2024</t>
        </is>
      </c>
      <c r="B282" s="1" t="n">
        <v>45293</v>
      </c>
      <c r="C282" s="1" t="n">
        <v>46035</v>
      </c>
      <c r="D282" t="inlineStr">
        <is>
          <t>ÖSTERGÖTLANDS LÄN</t>
        </is>
      </c>
      <c r="E282" t="inlineStr">
        <is>
          <t>LINKÖPING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41511-2025</t>
        </is>
      </c>
      <c r="B283" s="1" t="n">
        <v>45901.53839120371</v>
      </c>
      <c r="C283" s="1" t="n">
        <v>46035</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6782-2024</t>
        </is>
      </c>
      <c r="B284" s="1" t="n">
        <v>45342</v>
      </c>
      <c r="C284" s="1" t="n">
        <v>46035</v>
      </c>
      <c r="D284" t="inlineStr">
        <is>
          <t>ÖSTERGÖTLANDS LÄN</t>
        </is>
      </c>
      <c r="E284" t="inlineStr">
        <is>
          <t>LINKÖPING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23120-2025</t>
        </is>
      </c>
      <c r="B285" s="1" t="n">
        <v>45791.37481481482</v>
      </c>
      <c r="C285" s="1" t="n">
        <v>46035</v>
      </c>
      <c r="D285" t="inlineStr">
        <is>
          <t>ÖSTERGÖTLANDS LÄN</t>
        </is>
      </c>
      <c r="E285" t="inlineStr">
        <is>
          <t>LINKÖPING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617-2024</t>
        </is>
      </c>
      <c r="B286" s="1" t="n">
        <v>45299.66028935185</v>
      </c>
      <c r="C286" s="1" t="n">
        <v>46035</v>
      </c>
      <c r="D286" t="inlineStr">
        <is>
          <t>ÖSTERGÖTLANDS LÄN</t>
        </is>
      </c>
      <c r="E286" t="inlineStr">
        <is>
          <t>LINKÖPING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670-2024</t>
        </is>
      </c>
      <c r="B287" s="1" t="n">
        <v>45300.3408912037</v>
      </c>
      <c r="C287" s="1" t="n">
        <v>46035</v>
      </c>
      <c r="D287" t="inlineStr">
        <is>
          <t>ÖSTERGÖTLANDS LÄN</t>
        </is>
      </c>
      <c r="E287" t="inlineStr">
        <is>
          <t>LINKÖPING</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52125-2022</t>
        </is>
      </c>
      <c r="B288" s="1" t="n">
        <v>44873</v>
      </c>
      <c r="C288" s="1" t="n">
        <v>46035</v>
      </c>
      <c r="D288" t="inlineStr">
        <is>
          <t>ÖSTERGÖTLANDS LÄN</t>
        </is>
      </c>
      <c r="E288" t="inlineStr">
        <is>
          <t>LINKÖPING</t>
        </is>
      </c>
      <c r="F288" t="inlineStr">
        <is>
          <t>Övriga Aktiebolag</t>
        </is>
      </c>
      <c r="G288" t="n">
        <v>0.7</v>
      </c>
      <c r="H288" t="n">
        <v>0</v>
      </c>
      <c r="I288" t="n">
        <v>0</v>
      </c>
      <c r="J288" t="n">
        <v>0</v>
      </c>
      <c r="K288" t="n">
        <v>0</v>
      </c>
      <c r="L288" t="n">
        <v>0</v>
      </c>
      <c r="M288" t="n">
        <v>0</v>
      </c>
      <c r="N288" t="n">
        <v>0</v>
      </c>
      <c r="O288" t="n">
        <v>0</v>
      </c>
      <c r="P288" t="n">
        <v>0</v>
      </c>
      <c r="Q288" t="n">
        <v>0</v>
      </c>
      <c r="R288" s="2" t="inlineStr"/>
    </row>
    <row r="289" ht="15" customHeight="1">
      <c r="A289" t="inlineStr">
        <is>
          <t>A 3042-2024</t>
        </is>
      </c>
      <c r="B289" s="1" t="n">
        <v>45316.35028935185</v>
      </c>
      <c r="C289" s="1" t="n">
        <v>46035</v>
      </c>
      <c r="D289" t="inlineStr">
        <is>
          <t>ÖSTERGÖTLANDS LÄN</t>
        </is>
      </c>
      <c r="E289" t="inlineStr">
        <is>
          <t>LINKÖPING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29293-2025</t>
        </is>
      </c>
      <c r="B290" s="1" t="n">
        <v>45824</v>
      </c>
      <c r="C290" s="1" t="n">
        <v>46035</v>
      </c>
      <c r="D290" t="inlineStr">
        <is>
          <t>ÖSTERGÖTLANDS LÄN</t>
        </is>
      </c>
      <c r="E290" t="inlineStr">
        <is>
          <t>LINKÖPING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49633-2025</t>
        </is>
      </c>
      <c r="B291" s="1" t="n">
        <v>45938</v>
      </c>
      <c r="C291" s="1" t="n">
        <v>46035</v>
      </c>
      <c r="D291" t="inlineStr">
        <is>
          <t>ÖSTERGÖTLANDS LÄN</t>
        </is>
      </c>
      <c r="E291" t="inlineStr">
        <is>
          <t>LINKÖPING</t>
        </is>
      </c>
      <c r="F291" t="inlineStr">
        <is>
          <t>Övriga Aktiebolag</t>
        </is>
      </c>
      <c r="G291" t="n">
        <v>0.7</v>
      </c>
      <c r="H291" t="n">
        <v>0</v>
      </c>
      <c r="I291" t="n">
        <v>0</v>
      </c>
      <c r="J291" t="n">
        <v>0</v>
      </c>
      <c r="K291" t="n">
        <v>0</v>
      </c>
      <c r="L291" t="n">
        <v>0</v>
      </c>
      <c r="M291" t="n">
        <v>0</v>
      </c>
      <c r="N291" t="n">
        <v>0</v>
      </c>
      <c r="O291" t="n">
        <v>0</v>
      </c>
      <c r="P291" t="n">
        <v>0</v>
      </c>
      <c r="Q291" t="n">
        <v>0</v>
      </c>
      <c r="R291" s="2" t="inlineStr"/>
    </row>
    <row r="292" ht="15" customHeight="1">
      <c r="A292" t="inlineStr">
        <is>
          <t>A 49663-2025</t>
        </is>
      </c>
      <c r="B292" s="1" t="n">
        <v>45938</v>
      </c>
      <c r="C292" s="1" t="n">
        <v>46035</v>
      </c>
      <c r="D292" t="inlineStr">
        <is>
          <t>ÖSTERGÖTLANDS LÄN</t>
        </is>
      </c>
      <c r="E292" t="inlineStr">
        <is>
          <t>LINKÖPING</t>
        </is>
      </c>
      <c r="F292" t="inlineStr">
        <is>
          <t>Övriga Aktiebolag</t>
        </is>
      </c>
      <c r="G292" t="n">
        <v>1.2</v>
      </c>
      <c r="H292" t="n">
        <v>0</v>
      </c>
      <c r="I292" t="n">
        <v>0</v>
      </c>
      <c r="J292" t="n">
        <v>0</v>
      </c>
      <c r="K292" t="n">
        <v>0</v>
      </c>
      <c r="L292" t="n">
        <v>0</v>
      </c>
      <c r="M292" t="n">
        <v>0</v>
      </c>
      <c r="N292" t="n">
        <v>0</v>
      </c>
      <c r="O292" t="n">
        <v>0</v>
      </c>
      <c r="P292" t="n">
        <v>0</v>
      </c>
      <c r="Q292" t="n">
        <v>0</v>
      </c>
      <c r="R292" s="2" t="inlineStr"/>
    </row>
    <row r="293" ht="15" customHeight="1">
      <c r="A293" t="inlineStr">
        <is>
          <t>A 1084-2023</t>
        </is>
      </c>
      <c r="B293" s="1" t="n">
        <v>44929</v>
      </c>
      <c r="C293" s="1" t="n">
        <v>46035</v>
      </c>
      <c r="D293" t="inlineStr">
        <is>
          <t>ÖSTERGÖTLANDS LÄN</t>
        </is>
      </c>
      <c r="E293" t="inlineStr">
        <is>
          <t>LINKÖPING</t>
        </is>
      </c>
      <c r="G293" t="n">
        <v>10.4</v>
      </c>
      <c r="H293" t="n">
        <v>0</v>
      </c>
      <c r="I293" t="n">
        <v>0</v>
      </c>
      <c r="J293" t="n">
        <v>0</v>
      </c>
      <c r="K293" t="n">
        <v>0</v>
      </c>
      <c r="L293" t="n">
        <v>0</v>
      </c>
      <c r="M293" t="n">
        <v>0</v>
      </c>
      <c r="N293" t="n">
        <v>0</v>
      </c>
      <c r="O293" t="n">
        <v>0</v>
      </c>
      <c r="P293" t="n">
        <v>0</v>
      </c>
      <c r="Q293" t="n">
        <v>0</v>
      </c>
      <c r="R293" s="2" t="inlineStr"/>
    </row>
    <row r="294" ht="15" customHeight="1">
      <c r="A294" t="inlineStr">
        <is>
          <t>A 48699-2024</t>
        </is>
      </c>
      <c r="B294" s="1" t="n">
        <v>45593.52091435185</v>
      </c>
      <c r="C294" s="1" t="n">
        <v>46035</v>
      </c>
      <c r="D294" t="inlineStr">
        <is>
          <t>ÖSTERGÖTLANDS LÄN</t>
        </is>
      </c>
      <c r="E294" t="inlineStr">
        <is>
          <t>LINKÖPING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29859-2024</t>
        </is>
      </c>
      <c r="B295" s="1" t="n">
        <v>45485.6846412037</v>
      </c>
      <c r="C295" s="1" t="n">
        <v>46035</v>
      </c>
      <c r="D295" t="inlineStr">
        <is>
          <t>ÖSTERGÖTLANDS LÄN</t>
        </is>
      </c>
      <c r="E295" t="inlineStr">
        <is>
          <t>LINKÖPING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51571-2024</t>
        </is>
      </c>
      <c r="B296" s="1" t="n">
        <v>45604</v>
      </c>
      <c r="C296" s="1" t="n">
        <v>46035</v>
      </c>
      <c r="D296" t="inlineStr">
        <is>
          <t>ÖSTERGÖTLANDS LÄN</t>
        </is>
      </c>
      <c r="E296" t="inlineStr">
        <is>
          <t>LINKÖPING</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223-2024</t>
        </is>
      </c>
      <c r="B297" s="1" t="n">
        <v>45294.72739583333</v>
      </c>
      <c r="C297" s="1" t="n">
        <v>46035</v>
      </c>
      <c r="D297" t="inlineStr">
        <is>
          <t>ÖSTERGÖTLANDS LÄN</t>
        </is>
      </c>
      <c r="E297" t="inlineStr">
        <is>
          <t>LINKÖPING</t>
        </is>
      </c>
      <c r="G297" t="n">
        <v>2.2</v>
      </c>
      <c r="H297" t="n">
        <v>0</v>
      </c>
      <c r="I297" t="n">
        <v>0</v>
      </c>
      <c r="J297" t="n">
        <v>0</v>
      </c>
      <c r="K297" t="n">
        <v>0</v>
      </c>
      <c r="L297" t="n">
        <v>0</v>
      </c>
      <c r="M297" t="n">
        <v>0</v>
      </c>
      <c r="N297" t="n">
        <v>0</v>
      </c>
      <c r="O297" t="n">
        <v>0</v>
      </c>
      <c r="P297" t="n">
        <v>0</v>
      </c>
      <c r="Q297" t="n">
        <v>0</v>
      </c>
      <c r="R297" s="2" t="inlineStr"/>
    </row>
    <row r="298" ht="15" customHeight="1">
      <c r="A298" t="inlineStr">
        <is>
          <t>A 227-2024</t>
        </is>
      </c>
      <c r="B298" s="1" t="n">
        <v>45294.73603009259</v>
      </c>
      <c r="C298" s="1" t="n">
        <v>46035</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42623-2025</t>
        </is>
      </c>
      <c r="B299" s="1" t="n">
        <v>45905</v>
      </c>
      <c r="C299" s="1" t="n">
        <v>46035</v>
      </c>
      <c r="D299" t="inlineStr">
        <is>
          <t>ÖSTERGÖTLANDS LÄN</t>
        </is>
      </c>
      <c r="E299" t="inlineStr">
        <is>
          <t>LINKÖPING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42624-2025</t>
        </is>
      </c>
      <c r="B300" s="1" t="n">
        <v>45905</v>
      </c>
      <c r="C300" s="1" t="n">
        <v>46035</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42626-2025</t>
        </is>
      </c>
      <c r="B301" s="1" t="n">
        <v>45905</v>
      </c>
      <c r="C301" s="1" t="n">
        <v>46035</v>
      </c>
      <c r="D301" t="inlineStr">
        <is>
          <t>ÖSTERGÖTLANDS LÄN</t>
        </is>
      </c>
      <c r="E301" t="inlineStr">
        <is>
          <t>LINKÖPING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13911-2025</t>
        </is>
      </c>
      <c r="B302" s="1" t="n">
        <v>45737.64784722222</v>
      </c>
      <c r="C302" s="1" t="n">
        <v>46035</v>
      </c>
      <c r="D302" t="inlineStr">
        <is>
          <t>ÖSTERGÖTLANDS LÄN</t>
        </is>
      </c>
      <c r="E302" t="inlineStr">
        <is>
          <t>LINKÖPING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56917-2022</t>
        </is>
      </c>
      <c r="B303" s="1" t="n">
        <v>44894</v>
      </c>
      <c r="C303" s="1" t="n">
        <v>46035</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49455-2025</t>
        </is>
      </c>
      <c r="B304" s="1" t="n">
        <v>45938</v>
      </c>
      <c r="C304" s="1" t="n">
        <v>46035</v>
      </c>
      <c r="D304" t="inlineStr">
        <is>
          <t>ÖSTERGÖTLANDS LÄN</t>
        </is>
      </c>
      <c r="E304" t="inlineStr">
        <is>
          <t>LINKÖPING</t>
        </is>
      </c>
      <c r="F304" t="inlineStr">
        <is>
          <t>Övriga Aktiebolag</t>
        </is>
      </c>
      <c r="G304" t="n">
        <v>5.9</v>
      </c>
      <c r="H304" t="n">
        <v>0</v>
      </c>
      <c r="I304" t="n">
        <v>0</v>
      </c>
      <c r="J304" t="n">
        <v>0</v>
      </c>
      <c r="K304" t="n">
        <v>0</v>
      </c>
      <c r="L304" t="n">
        <v>0</v>
      </c>
      <c r="M304" t="n">
        <v>0</v>
      </c>
      <c r="N304" t="n">
        <v>0</v>
      </c>
      <c r="O304" t="n">
        <v>0</v>
      </c>
      <c r="P304" t="n">
        <v>0</v>
      </c>
      <c r="Q304" t="n">
        <v>0</v>
      </c>
      <c r="R304" s="2" t="inlineStr"/>
    </row>
    <row r="305" ht="15" customHeight="1">
      <c r="A305" t="inlineStr">
        <is>
          <t>A 23768-2025</t>
        </is>
      </c>
      <c r="B305" s="1" t="n">
        <v>45793.47493055555</v>
      </c>
      <c r="C305" s="1" t="n">
        <v>46035</v>
      </c>
      <c r="D305" t="inlineStr">
        <is>
          <t>ÖSTERGÖTLANDS LÄN</t>
        </is>
      </c>
      <c r="E305" t="inlineStr">
        <is>
          <t>LINKÖPING</t>
        </is>
      </c>
      <c r="G305" t="n">
        <v>3.4</v>
      </c>
      <c r="H305" t="n">
        <v>0</v>
      </c>
      <c r="I305" t="n">
        <v>0</v>
      </c>
      <c r="J305" t="n">
        <v>0</v>
      </c>
      <c r="K305" t="n">
        <v>0</v>
      </c>
      <c r="L305" t="n">
        <v>0</v>
      </c>
      <c r="M305" t="n">
        <v>0</v>
      </c>
      <c r="N305" t="n">
        <v>0</v>
      </c>
      <c r="O305" t="n">
        <v>0</v>
      </c>
      <c r="P305" t="n">
        <v>0</v>
      </c>
      <c r="Q305" t="n">
        <v>0</v>
      </c>
      <c r="R305" s="2" t="inlineStr"/>
    </row>
    <row r="306" ht="15" customHeight="1">
      <c r="A306" t="inlineStr">
        <is>
          <t>A 1265-2023</t>
        </is>
      </c>
      <c r="B306" s="1" t="n">
        <v>44936</v>
      </c>
      <c r="C306" s="1" t="n">
        <v>46035</v>
      </c>
      <c r="D306" t="inlineStr">
        <is>
          <t>ÖSTERGÖTLANDS LÄN</t>
        </is>
      </c>
      <c r="E306" t="inlineStr">
        <is>
          <t>LINKÖPING</t>
        </is>
      </c>
      <c r="G306" t="n">
        <v>2.3</v>
      </c>
      <c r="H306" t="n">
        <v>0</v>
      </c>
      <c r="I306" t="n">
        <v>0</v>
      </c>
      <c r="J306" t="n">
        <v>0</v>
      </c>
      <c r="K306" t="n">
        <v>0</v>
      </c>
      <c r="L306" t="n">
        <v>0</v>
      </c>
      <c r="M306" t="n">
        <v>0</v>
      </c>
      <c r="N306" t="n">
        <v>0</v>
      </c>
      <c r="O306" t="n">
        <v>0</v>
      </c>
      <c r="P306" t="n">
        <v>0</v>
      </c>
      <c r="Q306" t="n">
        <v>0</v>
      </c>
      <c r="R306" s="2" t="inlineStr"/>
    </row>
    <row r="307" ht="15" customHeight="1">
      <c r="A307" t="inlineStr">
        <is>
          <t>A 1362-2023</t>
        </is>
      </c>
      <c r="B307" s="1" t="n">
        <v>44931</v>
      </c>
      <c r="C307" s="1" t="n">
        <v>46035</v>
      </c>
      <c r="D307" t="inlineStr">
        <is>
          <t>ÖSTERGÖTLANDS LÄN</t>
        </is>
      </c>
      <c r="E307" t="inlineStr">
        <is>
          <t>LINKÖPING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54034-2022</t>
        </is>
      </c>
      <c r="B308" s="1" t="n">
        <v>44881</v>
      </c>
      <c r="C308" s="1" t="n">
        <v>46035</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55493-2021</t>
        </is>
      </c>
      <c r="B309" s="1" t="n">
        <v>44475.61988425926</v>
      </c>
      <c r="C309" s="1" t="n">
        <v>46035</v>
      </c>
      <c r="D309" t="inlineStr">
        <is>
          <t>ÖSTERGÖTLANDS LÄN</t>
        </is>
      </c>
      <c r="E309" t="inlineStr">
        <is>
          <t>LINKÖPING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6054-2022</t>
        </is>
      </c>
      <c r="B310" s="1" t="n">
        <v>44599.53623842593</v>
      </c>
      <c r="C310" s="1" t="n">
        <v>46035</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25119-2023</t>
        </is>
      </c>
      <c r="B311" s="1" t="n">
        <v>45086.42326388889</v>
      </c>
      <c r="C311" s="1" t="n">
        <v>46035</v>
      </c>
      <c r="D311" t="inlineStr">
        <is>
          <t>ÖSTERGÖTLANDS LÄN</t>
        </is>
      </c>
      <c r="E311" t="inlineStr">
        <is>
          <t>LINKÖPING</t>
        </is>
      </c>
      <c r="G311" t="n">
        <v>3.2</v>
      </c>
      <c r="H311" t="n">
        <v>0</v>
      </c>
      <c r="I311" t="n">
        <v>0</v>
      </c>
      <c r="J311" t="n">
        <v>0</v>
      </c>
      <c r="K311" t="n">
        <v>0</v>
      </c>
      <c r="L311" t="n">
        <v>0</v>
      </c>
      <c r="M311" t="n">
        <v>0</v>
      </c>
      <c r="N311" t="n">
        <v>0</v>
      </c>
      <c r="O311" t="n">
        <v>0</v>
      </c>
      <c r="P311" t="n">
        <v>0</v>
      </c>
      <c r="Q311" t="n">
        <v>0</v>
      </c>
      <c r="R311" s="2" t="inlineStr"/>
    </row>
    <row r="312" ht="15" customHeight="1">
      <c r="A312" t="inlineStr">
        <is>
          <t>A 4456-2024</t>
        </is>
      </c>
      <c r="B312" s="1" t="n">
        <v>45327.52847222222</v>
      </c>
      <c r="C312" s="1" t="n">
        <v>46035</v>
      </c>
      <c r="D312" t="inlineStr">
        <is>
          <t>ÖSTERGÖTLANDS LÄN</t>
        </is>
      </c>
      <c r="E312" t="inlineStr">
        <is>
          <t>LINKÖPING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58114-2021</t>
        </is>
      </c>
      <c r="B313" s="1" t="n">
        <v>44487</v>
      </c>
      <c r="C313" s="1" t="n">
        <v>46035</v>
      </c>
      <c r="D313" t="inlineStr">
        <is>
          <t>ÖSTERGÖTLANDS LÄN</t>
        </is>
      </c>
      <c r="E313" t="inlineStr">
        <is>
          <t>LINKÖPING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49652-2025</t>
        </is>
      </c>
      <c r="B314" s="1" t="n">
        <v>45938</v>
      </c>
      <c r="C314" s="1" t="n">
        <v>46035</v>
      </c>
      <c r="D314" t="inlineStr">
        <is>
          <t>ÖSTERGÖTLANDS LÄN</t>
        </is>
      </c>
      <c r="E314" t="inlineStr">
        <is>
          <t>LINKÖPING</t>
        </is>
      </c>
      <c r="F314" t="inlineStr">
        <is>
          <t>Övriga Aktiebolag</t>
        </is>
      </c>
      <c r="G314" t="n">
        <v>1.8</v>
      </c>
      <c r="H314" t="n">
        <v>0</v>
      </c>
      <c r="I314" t="n">
        <v>0</v>
      </c>
      <c r="J314" t="n">
        <v>0</v>
      </c>
      <c r="K314" t="n">
        <v>0</v>
      </c>
      <c r="L314" t="n">
        <v>0</v>
      </c>
      <c r="M314" t="n">
        <v>0</v>
      </c>
      <c r="N314" t="n">
        <v>0</v>
      </c>
      <c r="O314" t="n">
        <v>0</v>
      </c>
      <c r="P314" t="n">
        <v>0</v>
      </c>
      <c r="Q314" t="n">
        <v>0</v>
      </c>
      <c r="R314" s="2" t="inlineStr"/>
    </row>
    <row r="315" ht="15" customHeight="1">
      <c r="A315" t="inlineStr">
        <is>
          <t>A 49654-2025</t>
        </is>
      </c>
      <c r="B315" s="1" t="n">
        <v>45938</v>
      </c>
      <c r="C315" s="1" t="n">
        <v>46035</v>
      </c>
      <c r="D315" t="inlineStr">
        <is>
          <t>ÖSTERGÖTLANDS LÄN</t>
        </is>
      </c>
      <c r="E315" t="inlineStr">
        <is>
          <t>LINKÖPING</t>
        </is>
      </c>
      <c r="F315" t="inlineStr">
        <is>
          <t>Övriga Aktiebolag</t>
        </is>
      </c>
      <c r="G315" t="n">
        <v>3.1</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46035</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52892-2024</t>
        </is>
      </c>
      <c r="B317" s="1" t="n">
        <v>45610</v>
      </c>
      <c r="C317" s="1" t="n">
        <v>46035</v>
      </c>
      <c r="D317" t="inlineStr">
        <is>
          <t>ÖSTERGÖTLANDS LÄN</t>
        </is>
      </c>
      <c r="E317" t="inlineStr">
        <is>
          <t>LINKÖPING</t>
        </is>
      </c>
      <c r="G317" t="n">
        <v>4.2</v>
      </c>
      <c r="H317" t="n">
        <v>0</v>
      </c>
      <c r="I317" t="n">
        <v>0</v>
      </c>
      <c r="J317" t="n">
        <v>0</v>
      </c>
      <c r="K317" t="n">
        <v>0</v>
      </c>
      <c r="L317" t="n">
        <v>0</v>
      </c>
      <c r="M317" t="n">
        <v>0</v>
      </c>
      <c r="N317" t="n">
        <v>0</v>
      </c>
      <c r="O317" t="n">
        <v>0</v>
      </c>
      <c r="P317" t="n">
        <v>0</v>
      </c>
      <c r="Q317" t="n">
        <v>0</v>
      </c>
      <c r="R317" s="2" t="inlineStr"/>
    </row>
    <row r="318" ht="15" customHeight="1">
      <c r="A318" t="inlineStr">
        <is>
          <t>A 43753-2025</t>
        </is>
      </c>
      <c r="B318" s="1" t="n">
        <v>45912.4715625</v>
      </c>
      <c r="C318" s="1" t="n">
        <v>46035</v>
      </c>
      <c r="D318" t="inlineStr">
        <is>
          <t>ÖSTERGÖTLANDS LÄN</t>
        </is>
      </c>
      <c r="E318" t="inlineStr">
        <is>
          <t>LINKÖPING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43758-2025</t>
        </is>
      </c>
      <c r="B319" s="1" t="n">
        <v>45912.47711805555</v>
      </c>
      <c r="C319" s="1" t="n">
        <v>46035</v>
      </c>
      <c r="D319" t="inlineStr">
        <is>
          <t>ÖSTERGÖTLANDS LÄN</t>
        </is>
      </c>
      <c r="E319" t="inlineStr">
        <is>
          <t>LINKÖPING</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44170-2025</t>
        </is>
      </c>
      <c r="B320" s="1" t="n">
        <v>45915.59864583334</v>
      </c>
      <c r="C320" s="1" t="n">
        <v>46035</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44280-2024</t>
        </is>
      </c>
      <c r="B321" s="1" t="n">
        <v>45573.49461805556</v>
      </c>
      <c r="C321" s="1" t="n">
        <v>46035</v>
      </c>
      <c r="D321" t="inlineStr">
        <is>
          <t>ÖSTERGÖTLANDS LÄN</t>
        </is>
      </c>
      <c r="E321" t="inlineStr">
        <is>
          <t>LINKÖPING</t>
        </is>
      </c>
      <c r="G321" t="n">
        <v>5.3</v>
      </c>
      <c r="H321" t="n">
        <v>0</v>
      </c>
      <c r="I321" t="n">
        <v>0</v>
      </c>
      <c r="J321" t="n">
        <v>0</v>
      </c>
      <c r="K321" t="n">
        <v>0</v>
      </c>
      <c r="L321" t="n">
        <v>0</v>
      </c>
      <c r="M321" t="n">
        <v>0</v>
      </c>
      <c r="N321" t="n">
        <v>0</v>
      </c>
      <c r="O321" t="n">
        <v>0</v>
      </c>
      <c r="P321" t="n">
        <v>0</v>
      </c>
      <c r="Q321" t="n">
        <v>0</v>
      </c>
      <c r="R321" s="2" t="inlineStr"/>
    </row>
    <row r="322" ht="15" customHeight="1">
      <c r="A322" t="inlineStr">
        <is>
          <t>A 3008-2023</t>
        </is>
      </c>
      <c r="B322" s="1" t="n">
        <v>44945.79784722222</v>
      </c>
      <c r="C322" s="1" t="n">
        <v>46035</v>
      </c>
      <c r="D322" t="inlineStr">
        <is>
          <t>ÖSTERGÖTLANDS LÄN</t>
        </is>
      </c>
      <c r="E322" t="inlineStr">
        <is>
          <t>LINKÖPING</t>
        </is>
      </c>
      <c r="G322" t="n">
        <v>19.3</v>
      </c>
      <c r="H322" t="n">
        <v>0</v>
      </c>
      <c r="I322" t="n">
        <v>0</v>
      </c>
      <c r="J322" t="n">
        <v>0</v>
      </c>
      <c r="K322" t="n">
        <v>0</v>
      </c>
      <c r="L322" t="n">
        <v>0</v>
      </c>
      <c r="M322" t="n">
        <v>0</v>
      </c>
      <c r="N322" t="n">
        <v>0</v>
      </c>
      <c r="O322" t="n">
        <v>0</v>
      </c>
      <c r="P322" t="n">
        <v>0</v>
      </c>
      <c r="Q322" t="n">
        <v>0</v>
      </c>
      <c r="R322" s="2" t="inlineStr"/>
    </row>
    <row r="323" ht="15" customHeight="1">
      <c r="A323" t="inlineStr">
        <is>
          <t>A 55736-2022</t>
        </is>
      </c>
      <c r="B323" s="1" t="n">
        <v>44888</v>
      </c>
      <c r="C323" s="1" t="n">
        <v>46035</v>
      </c>
      <c r="D323" t="inlineStr">
        <is>
          <t>ÖSTERGÖTLANDS LÄN</t>
        </is>
      </c>
      <c r="E323" t="inlineStr">
        <is>
          <t>LINKÖPING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25996-2025</t>
        </is>
      </c>
      <c r="B324" s="1" t="n">
        <v>45804.65851851852</v>
      </c>
      <c r="C324" s="1" t="n">
        <v>46035</v>
      </c>
      <c r="D324" t="inlineStr">
        <is>
          <t>ÖSTERGÖTLANDS LÄN</t>
        </is>
      </c>
      <c r="E324" t="inlineStr">
        <is>
          <t>LINKÖPING</t>
        </is>
      </c>
      <c r="G324" t="n">
        <v>3.2</v>
      </c>
      <c r="H324" t="n">
        <v>0</v>
      </c>
      <c r="I324" t="n">
        <v>0</v>
      </c>
      <c r="J324" t="n">
        <v>0</v>
      </c>
      <c r="K324" t="n">
        <v>0</v>
      </c>
      <c r="L324" t="n">
        <v>0</v>
      </c>
      <c r="M324" t="n">
        <v>0</v>
      </c>
      <c r="N324" t="n">
        <v>0</v>
      </c>
      <c r="O324" t="n">
        <v>0</v>
      </c>
      <c r="P324" t="n">
        <v>0</v>
      </c>
      <c r="Q324" t="n">
        <v>0</v>
      </c>
      <c r="R324" s="2" t="inlineStr"/>
    </row>
    <row r="325" ht="15" customHeight="1">
      <c r="A325" t="inlineStr">
        <is>
          <t>A 44759-2025</t>
        </is>
      </c>
      <c r="B325" s="1" t="n">
        <v>45917.7152662037</v>
      </c>
      <c r="C325" s="1" t="n">
        <v>46035</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44764-2025</t>
        </is>
      </c>
      <c r="B326" s="1" t="n">
        <v>45917.72821759259</v>
      </c>
      <c r="C326" s="1" t="n">
        <v>46035</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30434-2024</t>
        </is>
      </c>
      <c r="B327" s="1" t="n">
        <v>45491.69811342593</v>
      </c>
      <c r="C327" s="1" t="n">
        <v>46035</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26002-2025</t>
        </is>
      </c>
      <c r="B328" s="1" t="n">
        <v>45804.66534722222</v>
      </c>
      <c r="C328" s="1" t="n">
        <v>46035</v>
      </c>
      <c r="D328" t="inlineStr">
        <is>
          <t>ÖSTERGÖTLANDS LÄN</t>
        </is>
      </c>
      <c r="E328" t="inlineStr">
        <is>
          <t>LINKÖPING</t>
        </is>
      </c>
      <c r="G328" t="n">
        <v>2.5</v>
      </c>
      <c r="H328" t="n">
        <v>0</v>
      </c>
      <c r="I328" t="n">
        <v>0</v>
      </c>
      <c r="J328" t="n">
        <v>0</v>
      </c>
      <c r="K328" t="n">
        <v>0</v>
      </c>
      <c r="L328" t="n">
        <v>0</v>
      </c>
      <c r="M328" t="n">
        <v>0</v>
      </c>
      <c r="N328" t="n">
        <v>0</v>
      </c>
      <c r="O328" t="n">
        <v>0</v>
      </c>
      <c r="P328" t="n">
        <v>0</v>
      </c>
      <c r="Q328" t="n">
        <v>0</v>
      </c>
      <c r="R328" s="2" t="inlineStr"/>
    </row>
    <row r="329" ht="15" customHeight="1">
      <c r="A329" t="inlineStr">
        <is>
          <t>A 49619-2025</t>
        </is>
      </c>
      <c r="B329" s="1" t="n">
        <v>45938</v>
      </c>
      <c r="C329" s="1" t="n">
        <v>46035</v>
      </c>
      <c r="D329" t="inlineStr">
        <is>
          <t>ÖSTERGÖTLANDS LÄN</t>
        </is>
      </c>
      <c r="E329" t="inlineStr">
        <is>
          <t>LINKÖPING</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49629-2025</t>
        </is>
      </c>
      <c r="B330" s="1" t="n">
        <v>45938</v>
      </c>
      <c r="C330" s="1" t="n">
        <v>46035</v>
      </c>
      <c r="D330" t="inlineStr">
        <is>
          <t>ÖSTERGÖTLANDS LÄN</t>
        </is>
      </c>
      <c r="E330" t="inlineStr">
        <is>
          <t>LINKÖPING</t>
        </is>
      </c>
      <c r="F330" t="inlineStr">
        <is>
          <t>Övriga Aktiebolag</t>
        </is>
      </c>
      <c r="G330" t="n">
        <v>4.5</v>
      </c>
      <c r="H330" t="n">
        <v>0</v>
      </c>
      <c r="I330" t="n">
        <v>0</v>
      </c>
      <c r="J330" t="n">
        <v>0</v>
      </c>
      <c r="K330" t="n">
        <v>0</v>
      </c>
      <c r="L330" t="n">
        <v>0</v>
      </c>
      <c r="M330" t="n">
        <v>0</v>
      </c>
      <c r="N330" t="n">
        <v>0</v>
      </c>
      <c r="O330" t="n">
        <v>0</v>
      </c>
      <c r="P330" t="n">
        <v>0</v>
      </c>
      <c r="Q330" t="n">
        <v>0</v>
      </c>
      <c r="R330" s="2" t="inlineStr"/>
    </row>
    <row r="331" ht="15" customHeight="1">
      <c r="A331" t="inlineStr">
        <is>
          <t>A 49650-2025</t>
        </is>
      </c>
      <c r="B331" s="1" t="n">
        <v>45938</v>
      </c>
      <c r="C331" s="1" t="n">
        <v>46035</v>
      </c>
      <c r="D331" t="inlineStr">
        <is>
          <t>ÖSTERGÖTLANDS LÄN</t>
        </is>
      </c>
      <c r="E331" t="inlineStr">
        <is>
          <t>LINKÖPING</t>
        </is>
      </c>
      <c r="F331" t="inlineStr">
        <is>
          <t>Övriga Aktiebolag</t>
        </is>
      </c>
      <c r="G331" t="n">
        <v>1.5</v>
      </c>
      <c r="H331" t="n">
        <v>0</v>
      </c>
      <c r="I331" t="n">
        <v>0</v>
      </c>
      <c r="J331" t="n">
        <v>0</v>
      </c>
      <c r="K331" t="n">
        <v>0</v>
      </c>
      <c r="L331" t="n">
        <v>0</v>
      </c>
      <c r="M331" t="n">
        <v>0</v>
      </c>
      <c r="N331" t="n">
        <v>0</v>
      </c>
      <c r="O331" t="n">
        <v>0</v>
      </c>
      <c r="P331" t="n">
        <v>0</v>
      </c>
      <c r="Q331" t="n">
        <v>0</v>
      </c>
      <c r="R331" s="2" t="inlineStr"/>
    </row>
    <row r="332" ht="15" customHeight="1">
      <c r="A332" t="inlineStr">
        <is>
          <t>A 45112-2025</t>
        </is>
      </c>
      <c r="B332" s="1" t="n">
        <v>45919</v>
      </c>
      <c r="C332" s="1" t="n">
        <v>46035</v>
      </c>
      <c r="D332" t="inlineStr">
        <is>
          <t>ÖSTERGÖTLANDS LÄN</t>
        </is>
      </c>
      <c r="E332" t="inlineStr">
        <is>
          <t>LINKÖPING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11084-2022</t>
        </is>
      </c>
      <c r="B333" s="1" t="n">
        <v>44628</v>
      </c>
      <c r="C333" s="1" t="n">
        <v>46035</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49632-2025</t>
        </is>
      </c>
      <c r="B334" s="1" t="n">
        <v>45938</v>
      </c>
      <c r="C334" s="1" t="n">
        <v>46035</v>
      </c>
      <c r="D334" t="inlineStr">
        <is>
          <t>ÖSTERGÖTLANDS LÄN</t>
        </is>
      </c>
      <c r="E334" t="inlineStr">
        <is>
          <t>LINKÖPING</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57745-2022</t>
        </is>
      </c>
      <c r="B335" s="1" t="n">
        <v>44897.58119212963</v>
      </c>
      <c r="C335" s="1" t="n">
        <v>46035</v>
      </c>
      <c r="D335" t="inlineStr">
        <is>
          <t>ÖSTERGÖTLANDS LÄN</t>
        </is>
      </c>
      <c r="E335" t="inlineStr">
        <is>
          <t>LINKÖPING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49615-2025</t>
        </is>
      </c>
      <c r="B336" s="1" t="n">
        <v>45938</v>
      </c>
      <c r="C336" s="1" t="n">
        <v>46035</v>
      </c>
      <c r="D336" t="inlineStr">
        <is>
          <t>ÖSTERGÖTLANDS LÄN</t>
        </is>
      </c>
      <c r="E336" t="inlineStr">
        <is>
          <t>LINKÖPING</t>
        </is>
      </c>
      <c r="F336" t="inlineStr">
        <is>
          <t>Övriga Aktiebolag</t>
        </is>
      </c>
      <c r="G336" t="n">
        <v>1.6</v>
      </c>
      <c r="H336" t="n">
        <v>0</v>
      </c>
      <c r="I336" t="n">
        <v>0</v>
      </c>
      <c r="J336" t="n">
        <v>0</v>
      </c>
      <c r="K336" t="n">
        <v>0</v>
      </c>
      <c r="L336" t="n">
        <v>0</v>
      </c>
      <c r="M336" t="n">
        <v>0</v>
      </c>
      <c r="N336" t="n">
        <v>0</v>
      </c>
      <c r="O336" t="n">
        <v>0</v>
      </c>
      <c r="P336" t="n">
        <v>0</v>
      </c>
      <c r="Q336" t="n">
        <v>0</v>
      </c>
      <c r="R336" s="2" t="inlineStr"/>
    </row>
    <row r="337" ht="15" customHeight="1">
      <c r="A337" t="inlineStr">
        <is>
          <t>A 14520-2025</t>
        </is>
      </c>
      <c r="B337" s="1" t="n">
        <v>45741</v>
      </c>
      <c r="C337" s="1" t="n">
        <v>46035</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45634-2025</t>
        </is>
      </c>
      <c r="B338" s="1" t="n">
        <v>45922.85089120371</v>
      </c>
      <c r="C338" s="1" t="n">
        <v>46035</v>
      </c>
      <c r="D338" t="inlineStr">
        <is>
          <t>ÖSTERGÖTLANDS LÄN</t>
        </is>
      </c>
      <c r="E338" t="inlineStr">
        <is>
          <t>LINKÖPING</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45792-2025</t>
        </is>
      </c>
      <c r="B339" s="1" t="n">
        <v>45923.56998842592</v>
      </c>
      <c r="C339" s="1" t="n">
        <v>46035</v>
      </c>
      <c r="D339" t="inlineStr">
        <is>
          <t>ÖSTERGÖTLANDS LÄN</t>
        </is>
      </c>
      <c r="E339" t="inlineStr">
        <is>
          <t>LINKÖPING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45804-2025</t>
        </is>
      </c>
      <c r="B340" s="1" t="n">
        <v>45923.5819675926</v>
      </c>
      <c r="C340" s="1" t="n">
        <v>46035</v>
      </c>
      <c r="D340" t="inlineStr">
        <is>
          <t>ÖSTERGÖTLANDS LÄN</t>
        </is>
      </c>
      <c r="E340" t="inlineStr">
        <is>
          <t>LINKÖPING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56064-2022</t>
        </is>
      </c>
      <c r="B341" s="1" t="n">
        <v>44889.59107638889</v>
      </c>
      <c r="C341" s="1" t="n">
        <v>46035</v>
      </c>
      <c r="D341" t="inlineStr">
        <is>
          <t>ÖSTERGÖTLANDS LÄN</t>
        </is>
      </c>
      <c r="E341" t="inlineStr">
        <is>
          <t>LINKÖPING</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40502-2024</t>
        </is>
      </c>
      <c r="B342" s="1" t="n">
        <v>45555.57263888889</v>
      </c>
      <c r="C342" s="1" t="n">
        <v>46035</v>
      </c>
      <c r="D342" t="inlineStr">
        <is>
          <t>ÖSTERGÖTLANDS LÄN</t>
        </is>
      </c>
      <c r="E342" t="inlineStr">
        <is>
          <t>LINKÖPING</t>
        </is>
      </c>
      <c r="F342" t="inlineStr">
        <is>
          <t>Allmännings- och besparingsskogar</t>
        </is>
      </c>
      <c r="G342" t="n">
        <v>17.5</v>
      </c>
      <c r="H342" t="n">
        <v>0</v>
      </c>
      <c r="I342" t="n">
        <v>0</v>
      </c>
      <c r="J342" t="n">
        <v>0</v>
      </c>
      <c r="K342" t="n">
        <v>0</v>
      </c>
      <c r="L342" t="n">
        <v>0</v>
      </c>
      <c r="M342" t="n">
        <v>0</v>
      </c>
      <c r="N342" t="n">
        <v>0</v>
      </c>
      <c r="O342" t="n">
        <v>0</v>
      </c>
      <c r="P342" t="n">
        <v>0</v>
      </c>
      <c r="Q342" t="n">
        <v>0</v>
      </c>
      <c r="R342" s="2" t="inlineStr"/>
    </row>
    <row r="343" ht="15" customHeight="1">
      <c r="A343" t="inlineStr">
        <is>
          <t>A 46428-2025</t>
        </is>
      </c>
      <c r="B343" s="1" t="n">
        <v>45925.60758101852</v>
      </c>
      <c r="C343" s="1" t="n">
        <v>46035</v>
      </c>
      <c r="D343" t="inlineStr">
        <is>
          <t>ÖSTERGÖTLANDS LÄN</t>
        </is>
      </c>
      <c r="E343" t="inlineStr">
        <is>
          <t>LINKÖPING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46426-2025</t>
        </is>
      </c>
      <c r="B344" s="1" t="n">
        <v>45925.6012962963</v>
      </c>
      <c r="C344" s="1" t="n">
        <v>46035</v>
      </c>
      <c r="D344" t="inlineStr">
        <is>
          <t>ÖSTERGÖTLANDS LÄN</t>
        </is>
      </c>
      <c r="E344" t="inlineStr">
        <is>
          <t>LINKÖPING</t>
        </is>
      </c>
      <c r="G344" t="n">
        <v>4.4</v>
      </c>
      <c r="H344" t="n">
        <v>0</v>
      </c>
      <c r="I344" t="n">
        <v>0</v>
      </c>
      <c r="J344" t="n">
        <v>0</v>
      </c>
      <c r="K344" t="n">
        <v>0</v>
      </c>
      <c r="L344" t="n">
        <v>0</v>
      </c>
      <c r="M344" t="n">
        <v>0</v>
      </c>
      <c r="N344" t="n">
        <v>0</v>
      </c>
      <c r="O344" t="n">
        <v>0</v>
      </c>
      <c r="P344" t="n">
        <v>0</v>
      </c>
      <c r="Q344" t="n">
        <v>0</v>
      </c>
      <c r="R344" s="2" t="inlineStr"/>
    </row>
    <row r="345" ht="15" customHeight="1">
      <c r="A345" t="inlineStr">
        <is>
          <t>A 46377-2025</t>
        </is>
      </c>
      <c r="B345" s="1" t="n">
        <v>45925.51773148148</v>
      </c>
      <c r="C345" s="1" t="n">
        <v>46035</v>
      </c>
      <c r="D345" t="inlineStr">
        <is>
          <t>ÖSTERGÖTLANDS LÄN</t>
        </is>
      </c>
      <c r="E345" t="inlineStr">
        <is>
          <t>LINKÖPING</t>
        </is>
      </c>
      <c r="G345" t="n">
        <v>3.1</v>
      </c>
      <c r="H345" t="n">
        <v>0</v>
      </c>
      <c r="I345" t="n">
        <v>0</v>
      </c>
      <c r="J345" t="n">
        <v>0</v>
      </c>
      <c r="K345" t="n">
        <v>0</v>
      </c>
      <c r="L345" t="n">
        <v>0</v>
      </c>
      <c r="M345" t="n">
        <v>0</v>
      </c>
      <c r="N345" t="n">
        <v>0</v>
      </c>
      <c r="O345" t="n">
        <v>0</v>
      </c>
      <c r="P345" t="n">
        <v>0</v>
      </c>
      <c r="Q345" t="n">
        <v>0</v>
      </c>
      <c r="R345" s="2" t="inlineStr"/>
    </row>
    <row r="346" ht="15" customHeight="1">
      <c r="A346" t="inlineStr">
        <is>
          <t>A 44155-2024</t>
        </is>
      </c>
      <c r="B346" s="1" t="n">
        <v>45572.68226851852</v>
      </c>
      <c r="C346" s="1" t="n">
        <v>46035</v>
      </c>
      <c r="D346" t="inlineStr">
        <is>
          <t>ÖSTERGÖTLANDS LÄN</t>
        </is>
      </c>
      <c r="E346" t="inlineStr">
        <is>
          <t>LINKÖPING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47304-2025</t>
        </is>
      </c>
      <c r="B347" s="1" t="n">
        <v>45930.52037037037</v>
      </c>
      <c r="C347" s="1" t="n">
        <v>46035</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47233-2025</t>
        </is>
      </c>
      <c r="B348" s="1" t="n">
        <v>45930.40612268518</v>
      </c>
      <c r="C348" s="1" t="n">
        <v>46035</v>
      </c>
      <c r="D348" t="inlineStr">
        <is>
          <t>ÖSTERGÖTLANDS LÄN</t>
        </is>
      </c>
      <c r="E348" t="inlineStr">
        <is>
          <t>LINKÖPING</t>
        </is>
      </c>
      <c r="G348" t="n">
        <v>4.3</v>
      </c>
      <c r="H348" t="n">
        <v>0</v>
      </c>
      <c r="I348" t="n">
        <v>0</v>
      </c>
      <c r="J348" t="n">
        <v>0</v>
      </c>
      <c r="K348" t="n">
        <v>0</v>
      </c>
      <c r="L348" t="n">
        <v>0</v>
      </c>
      <c r="M348" t="n">
        <v>0</v>
      </c>
      <c r="N348" t="n">
        <v>0</v>
      </c>
      <c r="O348" t="n">
        <v>0</v>
      </c>
      <c r="P348" t="n">
        <v>0</v>
      </c>
      <c r="Q348" t="n">
        <v>0</v>
      </c>
      <c r="R348" s="2" t="inlineStr"/>
    </row>
    <row r="349" ht="15" customHeight="1">
      <c r="A349" t="inlineStr">
        <is>
          <t>A 42997-2021</t>
        </is>
      </c>
      <c r="B349" s="1" t="n">
        <v>44431.45556712963</v>
      </c>
      <c r="C349" s="1" t="n">
        <v>46035</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46847-2025</t>
        </is>
      </c>
      <c r="B350" s="1" t="n">
        <v>45928.69971064815</v>
      </c>
      <c r="C350" s="1" t="n">
        <v>46035</v>
      </c>
      <c r="D350" t="inlineStr">
        <is>
          <t>ÖSTERGÖTLANDS LÄN</t>
        </is>
      </c>
      <c r="E350" t="inlineStr">
        <is>
          <t>LINKÖPING</t>
        </is>
      </c>
      <c r="G350" t="n">
        <v>4.6</v>
      </c>
      <c r="H350" t="n">
        <v>0</v>
      </c>
      <c r="I350" t="n">
        <v>0</v>
      </c>
      <c r="J350" t="n">
        <v>0</v>
      </c>
      <c r="K350" t="n">
        <v>0</v>
      </c>
      <c r="L350" t="n">
        <v>0</v>
      </c>
      <c r="M350" t="n">
        <v>0</v>
      </c>
      <c r="N350" t="n">
        <v>0</v>
      </c>
      <c r="O350" t="n">
        <v>0</v>
      </c>
      <c r="P350" t="n">
        <v>0</v>
      </c>
      <c r="Q350" t="n">
        <v>0</v>
      </c>
      <c r="R350" s="2" t="inlineStr"/>
    </row>
    <row r="351" ht="15" customHeight="1">
      <c r="A351" t="inlineStr">
        <is>
          <t>A 28200-2025</t>
        </is>
      </c>
      <c r="B351" s="1" t="n">
        <v>45818.4428125</v>
      </c>
      <c r="C351" s="1" t="n">
        <v>46035</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27950-2025</t>
        </is>
      </c>
      <c r="B352" s="1" t="n">
        <v>45817.52960648148</v>
      </c>
      <c r="C352" s="1" t="n">
        <v>46035</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27797-2025</t>
        </is>
      </c>
      <c r="B353" s="1" t="n">
        <v>45816.80521990741</v>
      </c>
      <c r="C353" s="1" t="n">
        <v>46035</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27798-2025</t>
        </is>
      </c>
      <c r="B354" s="1" t="n">
        <v>45816.81532407407</v>
      </c>
      <c r="C354" s="1" t="n">
        <v>46035</v>
      </c>
      <c r="D354" t="inlineStr">
        <is>
          <t>ÖSTERGÖTLANDS LÄN</t>
        </is>
      </c>
      <c r="E354" t="inlineStr">
        <is>
          <t>LINKÖPING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28209-2025</t>
        </is>
      </c>
      <c r="B355" s="1" t="n">
        <v>45818.45112268518</v>
      </c>
      <c r="C355" s="1" t="n">
        <v>46035</v>
      </c>
      <c r="D355" t="inlineStr">
        <is>
          <t>ÖSTERGÖTLANDS LÄN</t>
        </is>
      </c>
      <c r="E355" t="inlineStr">
        <is>
          <t>LINKÖPING</t>
        </is>
      </c>
      <c r="G355" t="n">
        <v>4.2</v>
      </c>
      <c r="H355" t="n">
        <v>0</v>
      </c>
      <c r="I355" t="n">
        <v>0</v>
      </c>
      <c r="J355" t="n">
        <v>0</v>
      </c>
      <c r="K355" t="n">
        <v>0</v>
      </c>
      <c r="L355" t="n">
        <v>0</v>
      </c>
      <c r="M355" t="n">
        <v>0</v>
      </c>
      <c r="N355" t="n">
        <v>0</v>
      </c>
      <c r="O355" t="n">
        <v>0</v>
      </c>
      <c r="P355" t="n">
        <v>0</v>
      </c>
      <c r="Q355" t="n">
        <v>0</v>
      </c>
      <c r="R355" s="2" t="inlineStr"/>
    </row>
    <row r="356" ht="15" customHeight="1">
      <c r="A356" t="inlineStr">
        <is>
          <t>A 28204-2025</t>
        </is>
      </c>
      <c r="B356" s="1" t="n">
        <v>45818.4477662037</v>
      </c>
      <c r="C356" s="1" t="n">
        <v>46035</v>
      </c>
      <c r="D356" t="inlineStr">
        <is>
          <t>ÖSTERGÖTLANDS LÄN</t>
        </is>
      </c>
      <c r="E356" t="inlineStr">
        <is>
          <t>LINKÖPING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14028-2024</t>
        </is>
      </c>
      <c r="B357" s="1" t="n">
        <v>45392</v>
      </c>
      <c r="C357" s="1" t="n">
        <v>46035</v>
      </c>
      <c r="D357" t="inlineStr">
        <is>
          <t>ÖSTERGÖTLANDS LÄN</t>
        </is>
      </c>
      <c r="E357" t="inlineStr">
        <is>
          <t>LINKÖPING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40983-2025</t>
        </is>
      </c>
      <c r="B358" s="1" t="n">
        <v>45898</v>
      </c>
      <c r="C358" s="1" t="n">
        <v>46035</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28398-2025</t>
        </is>
      </c>
      <c r="B359" s="1" t="n">
        <v>45819.34208333334</v>
      </c>
      <c r="C359" s="1" t="n">
        <v>46035</v>
      </c>
      <c r="D359" t="inlineStr">
        <is>
          <t>ÖSTERGÖTLANDS LÄN</t>
        </is>
      </c>
      <c r="E359" t="inlineStr">
        <is>
          <t>LINKÖPING</t>
        </is>
      </c>
      <c r="F359" t="inlineStr">
        <is>
          <t>Sveaskog</t>
        </is>
      </c>
      <c r="G359" t="n">
        <v>7.9</v>
      </c>
      <c r="H359" t="n">
        <v>0</v>
      </c>
      <c r="I359" t="n">
        <v>0</v>
      </c>
      <c r="J359" t="n">
        <v>0</v>
      </c>
      <c r="K359" t="n">
        <v>0</v>
      </c>
      <c r="L359" t="n">
        <v>0</v>
      </c>
      <c r="M359" t="n">
        <v>0</v>
      </c>
      <c r="N359" t="n">
        <v>0</v>
      </c>
      <c r="O359" t="n">
        <v>0</v>
      </c>
      <c r="P359" t="n">
        <v>0</v>
      </c>
      <c r="Q359" t="n">
        <v>0</v>
      </c>
      <c r="R359" s="2" t="inlineStr"/>
    </row>
    <row r="360" ht="15" customHeight="1">
      <c r="A360" t="inlineStr">
        <is>
          <t>A 28416-2025</t>
        </is>
      </c>
      <c r="B360" s="1" t="n">
        <v>45819.35346064815</v>
      </c>
      <c r="C360" s="1" t="n">
        <v>46035</v>
      </c>
      <c r="D360" t="inlineStr">
        <is>
          <t>ÖSTERGÖTLANDS LÄN</t>
        </is>
      </c>
      <c r="E360" t="inlineStr">
        <is>
          <t>LINKÖPING</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29027-2025</t>
        </is>
      </c>
      <c r="B361" s="1" t="n">
        <v>45821.4375462963</v>
      </c>
      <c r="C361" s="1" t="n">
        <v>46035</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14667-2024</t>
        </is>
      </c>
      <c r="B362" s="1" t="n">
        <v>45397.42005787037</v>
      </c>
      <c r="C362" s="1" t="n">
        <v>46035</v>
      </c>
      <c r="D362" t="inlineStr">
        <is>
          <t>ÖSTERGÖTLANDS LÄN</t>
        </is>
      </c>
      <c r="E362" t="inlineStr">
        <is>
          <t>LINKÖPING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2697-2023</t>
        </is>
      </c>
      <c r="B363" s="1" t="n">
        <v>44944</v>
      </c>
      <c r="C363" s="1" t="n">
        <v>46035</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29393-2025</t>
        </is>
      </c>
      <c r="B364" s="1" t="n">
        <v>45824.6057175926</v>
      </c>
      <c r="C364" s="1" t="n">
        <v>46035</v>
      </c>
      <c r="D364" t="inlineStr">
        <is>
          <t>ÖSTERGÖTLANDS LÄN</t>
        </is>
      </c>
      <c r="E364" t="inlineStr">
        <is>
          <t>LINKÖPING</t>
        </is>
      </c>
      <c r="F364" t="inlineStr">
        <is>
          <t>Sveaskog</t>
        </is>
      </c>
      <c r="G364" t="n">
        <v>24.6</v>
      </c>
      <c r="H364" t="n">
        <v>0</v>
      </c>
      <c r="I364" t="n">
        <v>0</v>
      </c>
      <c r="J364" t="n">
        <v>0</v>
      </c>
      <c r="K364" t="n">
        <v>0</v>
      </c>
      <c r="L364" t="n">
        <v>0</v>
      </c>
      <c r="M364" t="n">
        <v>0</v>
      </c>
      <c r="N364" t="n">
        <v>0</v>
      </c>
      <c r="O364" t="n">
        <v>0</v>
      </c>
      <c r="P364" t="n">
        <v>0</v>
      </c>
      <c r="Q364" t="n">
        <v>0</v>
      </c>
      <c r="R364" s="2" t="inlineStr"/>
    </row>
    <row r="365" ht="15" customHeight="1">
      <c r="A365" t="inlineStr">
        <is>
          <t>A 53641-2023</t>
        </is>
      </c>
      <c r="B365" s="1" t="n">
        <v>45230</v>
      </c>
      <c r="C365" s="1" t="n">
        <v>46035</v>
      </c>
      <c r="D365" t="inlineStr">
        <is>
          <t>ÖSTERGÖTLANDS LÄN</t>
        </is>
      </c>
      <c r="E365" t="inlineStr">
        <is>
          <t>LINKÖPING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29411-2025</t>
        </is>
      </c>
      <c r="B366" s="1" t="n">
        <v>45824.6219212963</v>
      </c>
      <c r="C366" s="1" t="n">
        <v>46035</v>
      </c>
      <c r="D366" t="inlineStr">
        <is>
          <t>ÖSTERGÖTLANDS LÄN</t>
        </is>
      </c>
      <c r="E366" t="inlineStr">
        <is>
          <t>LINKÖPING</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48707-2023</t>
        </is>
      </c>
      <c r="B367" s="1" t="n">
        <v>45202</v>
      </c>
      <c r="C367" s="1" t="n">
        <v>46035</v>
      </c>
      <c r="D367" t="inlineStr">
        <is>
          <t>ÖSTERGÖTLANDS LÄN</t>
        </is>
      </c>
      <c r="E367" t="inlineStr">
        <is>
          <t>LINKÖPING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53411-2023</t>
        </is>
      </c>
      <c r="B368" s="1" t="n">
        <v>45229.81049768518</v>
      </c>
      <c r="C368" s="1" t="n">
        <v>46035</v>
      </c>
      <c r="D368" t="inlineStr">
        <is>
          <t>ÖSTERGÖTLANDS LÄN</t>
        </is>
      </c>
      <c r="E368" t="inlineStr">
        <is>
          <t>LINKÖPING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50056-2025</t>
        </is>
      </c>
      <c r="B369" s="1" t="n">
        <v>45941</v>
      </c>
      <c r="C369" s="1" t="n">
        <v>46035</v>
      </c>
      <c r="D369" t="inlineStr">
        <is>
          <t>ÖSTERGÖTLANDS LÄN</t>
        </is>
      </c>
      <c r="E369" t="inlineStr">
        <is>
          <t>LINKÖPING</t>
        </is>
      </c>
      <c r="G369" t="n">
        <v>0.3</v>
      </c>
      <c r="H369" t="n">
        <v>0</v>
      </c>
      <c r="I369" t="n">
        <v>0</v>
      </c>
      <c r="J369" t="n">
        <v>0</v>
      </c>
      <c r="K369" t="n">
        <v>0</v>
      </c>
      <c r="L369" t="n">
        <v>0</v>
      </c>
      <c r="M369" t="n">
        <v>0</v>
      </c>
      <c r="N369" t="n">
        <v>0</v>
      </c>
      <c r="O369" t="n">
        <v>0</v>
      </c>
      <c r="P369" t="n">
        <v>0</v>
      </c>
      <c r="Q369" t="n">
        <v>0</v>
      </c>
      <c r="R369" s="2" t="inlineStr"/>
    </row>
    <row r="370" ht="15" customHeight="1">
      <c r="A370" t="inlineStr">
        <is>
          <t>A 56741-2023</t>
        </is>
      </c>
      <c r="B370" s="1" t="n">
        <v>45244</v>
      </c>
      <c r="C370" s="1" t="n">
        <v>46035</v>
      </c>
      <c r="D370" t="inlineStr">
        <is>
          <t>ÖSTERGÖTLANDS LÄN</t>
        </is>
      </c>
      <c r="E370" t="inlineStr">
        <is>
          <t>LINKÖPING</t>
        </is>
      </c>
      <c r="F370" t="inlineStr">
        <is>
          <t>Övriga Aktiebolag</t>
        </is>
      </c>
      <c r="G370" t="n">
        <v>1.1</v>
      </c>
      <c r="H370" t="n">
        <v>0</v>
      </c>
      <c r="I370" t="n">
        <v>0</v>
      </c>
      <c r="J370" t="n">
        <v>0</v>
      </c>
      <c r="K370" t="n">
        <v>0</v>
      </c>
      <c r="L370" t="n">
        <v>0</v>
      </c>
      <c r="M370" t="n">
        <v>0</v>
      </c>
      <c r="N370" t="n">
        <v>0</v>
      </c>
      <c r="O370" t="n">
        <v>0</v>
      </c>
      <c r="P370" t="n">
        <v>0</v>
      </c>
      <c r="Q370" t="n">
        <v>0</v>
      </c>
      <c r="R370" s="2" t="inlineStr"/>
    </row>
    <row r="371" ht="15" customHeight="1">
      <c r="A371" t="inlineStr">
        <is>
          <t>A 56792-2023</t>
        </is>
      </c>
      <c r="B371" s="1" t="n">
        <v>45244</v>
      </c>
      <c r="C371" s="1" t="n">
        <v>46035</v>
      </c>
      <c r="D371" t="inlineStr">
        <is>
          <t>ÖSTERGÖTLANDS LÄN</t>
        </is>
      </c>
      <c r="E371" t="inlineStr">
        <is>
          <t>LINKÖPING</t>
        </is>
      </c>
      <c r="F371" t="inlineStr">
        <is>
          <t>Övriga Aktiebolag</t>
        </is>
      </c>
      <c r="G371" t="n">
        <v>0.9</v>
      </c>
      <c r="H371" t="n">
        <v>0</v>
      </c>
      <c r="I371" t="n">
        <v>0</v>
      </c>
      <c r="J371" t="n">
        <v>0</v>
      </c>
      <c r="K371" t="n">
        <v>0</v>
      </c>
      <c r="L371" t="n">
        <v>0</v>
      </c>
      <c r="M371" t="n">
        <v>0</v>
      </c>
      <c r="N371" t="n">
        <v>0</v>
      </c>
      <c r="O371" t="n">
        <v>0</v>
      </c>
      <c r="P371" t="n">
        <v>0</v>
      </c>
      <c r="Q371" t="n">
        <v>0</v>
      </c>
      <c r="R371" s="2" t="inlineStr"/>
    </row>
    <row r="372" ht="15" customHeight="1">
      <c r="A372" t="inlineStr">
        <is>
          <t>A 29599-2025</t>
        </is>
      </c>
      <c r="B372" s="1" t="n">
        <v>45825.41101851852</v>
      </c>
      <c r="C372" s="1" t="n">
        <v>46035</v>
      </c>
      <c r="D372" t="inlineStr">
        <is>
          <t>ÖSTERGÖTLANDS LÄN</t>
        </is>
      </c>
      <c r="E372" t="inlineStr">
        <is>
          <t>LINKÖPING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3007-2023</t>
        </is>
      </c>
      <c r="B373" s="1" t="n">
        <v>44945</v>
      </c>
      <c r="C373" s="1" t="n">
        <v>46035</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40338-2024</t>
        </is>
      </c>
      <c r="B374" s="1" t="n">
        <v>45555.32940972222</v>
      </c>
      <c r="C374" s="1" t="n">
        <v>46035</v>
      </c>
      <c r="D374" t="inlineStr">
        <is>
          <t>ÖSTERGÖTLANDS LÄN</t>
        </is>
      </c>
      <c r="E374" t="inlineStr">
        <is>
          <t>LINKÖPING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3013-2023</t>
        </is>
      </c>
      <c r="B375" s="1" t="n">
        <v>44945.8092824074</v>
      </c>
      <c r="C375" s="1" t="n">
        <v>46035</v>
      </c>
      <c r="D375" t="inlineStr">
        <is>
          <t>ÖSTERGÖTLANDS LÄN</t>
        </is>
      </c>
      <c r="E375" t="inlineStr">
        <is>
          <t>LINKÖPING</t>
        </is>
      </c>
      <c r="G375" t="n">
        <v>5.2</v>
      </c>
      <c r="H375" t="n">
        <v>0</v>
      </c>
      <c r="I375" t="n">
        <v>0</v>
      </c>
      <c r="J375" t="n">
        <v>0</v>
      </c>
      <c r="K375" t="n">
        <v>0</v>
      </c>
      <c r="L375" t="n">
        <v>0</v>
      </c>
      <c r="M375" t="n">
        <v>0</v>
      </c>
      <c r="N375" t="n">
        <v>0</v>
      </c>
      <c r="O375" t="n">
        <v>0</v>
      </c>
      <c r="P375" t="n">
        <v>0</v>
      </c>
      <c r="Q375" t="n">
        <v>0</v>
      </c>
      <c r="R375" s="2" t="inlineStr"/>
    </row>
    <row r="376" ht="15" customHeight="1">
      <c r="A376" t="inlineStr">
        <is>
          <t>A 55945-2024</t>
        </is>
      </c>
      <c r="B376" s="1" t="n">
        <v>45623.61754629629</v>
      </c>
      <c r="C376" s="1" t="n">
        <v>46035</v>
      </c>
      <c r="D376" t="inlineStr">
        <is>
          <t>ÖSTERGÖTLANDS LÄN</t>
        </is>
      </c>
      <c r="E376" t="inlineStr">
        <is>
          <t>LINKÖPING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1993-2023</t>
        </is>
      </c>
      <c r="B377" s="1" t="n">
        <v>44939</v>
      </c>
      <c r="C377" s="1" t="n">
        <v>46035</v>
      </c>
      <c r="D377" t="inlineStr">
        <is>
          <t>ÖSTERGÖTLANDS LÄN</t>
        </is>
      </c>
      <c r="E377" t="inlineStr">
        <is>
          <t>LINKÖPING</t>
        </is>
      </c>
      <c r="G377" t="n">
        <v>3.7</v>
      </c>
      <c r="H377" t="n">
        <v>0</v>
      </c>
      <c r="I377" t="n">
        <v>0</v>
      </c>
      <c r="J377" t="n">
        <v>0</v>
      </c>
      <c r="K377" t="n">
        <v>0</v>
      </c>
      <c r="L377" t="n">
        <v>0</v>
      </c>
      <c r="M377" t="n">
        <v>0</v>
      </c>
      <c r="N377" t="n">
        <v>0</v>
      </c>
      <c r="O377" t="n">
        <v>0</v>
      </c>
      <c r="P377" t="n">
        <v>0</v>
      </c>
      <c r="Q377" t="n">
        <v>0</v>
      </c>
      <c r="R377" s="2" t="inlineStr"/>
    </row>
    <row r="378" ht="15" customHeight="1">
      <c r="A378" t="inlineStr">
        <is>
          <t>A 2618-2023</t>
        </is>
      </c>
      <c r="B378" s="1" t="n">
        <v>44944.35847222222</v>
      </c>
      <c r="C378" s="1" t="n">
        <v>46035</v>
      </c>
      <c r="D378" t="inlineStr">
        <is>
          <t>ÖSTERGÖTLANDS LÄN</t>
        </is>
      </c>
      <c r="E378" t="inlineStr">
        <is>
          <t>LINKÖPING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10203-2023</t>
        </is>
      </c>
      <c r="B379" s="1" t="n">
        <v>44986.55711805556</v>
      </c>
      <c r="C379" s="1" t="n">
        <v>46035</v>
      </c>
      <c r="D379" t="inlineStr">
        <is>
          <t>ÖSTERGÖTLANDS LÄN</t>
        </is>
      </c>
      <c r="E379" t="inlineStr">
        <is>
          <t>LINKÖPING</t>
        </is>
      </c>
      <c r="G379" t="n">
        <v>3.3</v>
      </c>
      <c r="H379" t="n">
        <v>0</v>
      </c>
      <c r="I379" t="n">
        <v>0</v>
      </c>
      <c r="J379" t="n">
        <v>0</v>
      </c>
      <c r="K379" t="n">
        <v>0</v>
      </c>
      <c r="L379" t="n">
        <v>0</v>
      </c>
      <c r="M379" t="n">
        <v>0</v>
      </c>
      <c r="N379" t="n">
        <v>0</v>
      </c>
      <c r="O379" t="n">
        <v>0</v>
      </c>
      <c r="P379" t="n">
        <v>0</v>
      </c>
      <c r="Q379" t="n">
        <v>0</v>
      </c>
      <c r="R379" s="2" t="inlineStr"/>
    </row>
    <row r="380" ht="15" customHeight="1">
      <c r="A380" t="inlineStr">
        <is>
          <t>A 34889-2023</t>
        </is>
      </c>
      <c r="B380" s="1" t="n">
        <v>45140</v>
      </c>
      <c r="C380" s="1" t="n">
        <v>46035</v>
      </c>
      <c r="D380" t="inlineStr">
        <is>
          <t>ÖSTERGÖTLANDS LÄN</t>
        </is>
      </c>
      <c r="E380" t="inlineStr">
        <is>
          <t>LINKÖPING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34928-2023</t>
        </is>
      </c>
      <c r="B381" s="1" t="n">
        <v>45142</v>
      </c>
      <c r="C381" s="1" t="n">
        <v>46035</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30355-2025</t>
        </is>
      </c>
      <c r="B382" s="1" t="n">
        <v>45827</v>
      </c>
      <c r="C382" s="1" t="n">
        <v>46035</v>
      </c>
      <c r="D382" t="inlineStr">
        <is>
          <t>ÖSTERGÖTLANDS LÄN</t>
        </is>
      </c>
      <c r="E382" t="inlineStr">
        <is>
          <t>LINKÖPING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30353-2025</t>
        </is>
      </c>
      <c r="B383" s="1" t="n">
        <v>45827</v>
      </c>
      <c r="C383" s="1" t="n">
        <v>46035</v>
      </c>
      <c r="D383" t="inlineStr">
        <is>
          <t>ÖSTERGÖTLANDS LÄN</t>
        </is>
      </c>
      <c r="E383" t="inlineStr">
        <is>
          <t>LINKÖPING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1268-2023</t>
        </is>
      </c>
      <c r="B384" s="1" t="n">
        <v>44936</v>
      </c>
      <c r="C384" s="1" t="n">
        <v>46035</v>
      </c>
      <c r="D384" t="inlineStr">
        <is>
          <t>ÖSTERGÖTLANDS LÄN</t>
        </is>
      </c>
      <c r="E384" t="inlineStr">
        <is>
          <t>LINKÖPING</t>
        </is>
      </c>
      <c r="G384" t="n">
        <v>4.6</v>
      </c>
      <c r="H384" t="n">
        <v>0</v>
      </c>
      <c r="I384" t="n">
        <v>0</v>
      </c>
      <c r="J384" t="n">
        <v>0</v>
      </c>
      <c r="K384" t="n">
        <v>0</v>
      </c>
      <c r="L384" t="n">
        <v>0</v>
      </c>
      <c r="M384" t="n">
        <v>0</v>
      </c>
      <c r="N384" t="n">
        <v>0</v>
      </c>
      <c r="O384" t="n">
        <v>0</v>
      </c>
      <c r="P384" t="n">
        <v>0</v>
      </c>
      <c r="Q384" t="n">
        <v>0</v>
      </c>
      <c r="R384" s="2" t="inlineStr"/>
    </row>
    <row r="385" ht="15" customHeight="1">
      <c r="A385" t="inlineStr">
        <is>
          <t>A 5314-2021</t>
        </is>
      </c>
      <c r="B385" s="1" t="n">
        <v>44229</v>
      </c>
      <c r="C385" s="1" t="n">
        <v>46035</v>
      </c>
      <c r="D385" t="inlineStr">
        <is>
          <t>ÖSTERGÖTLANDS LÄN</t>
        </is>
      </c>
      <c r="E385" t="inlineStr">
        <is>
          <t>LINKÖPING</t>
        </is>
      </c>
      <c r="G385" t="n">
        <v>6.2</v>
      </c>
      <c r="H385" t="n">
        <v>0</v>
      </c>
      <c r="I385" t="n">
        <v>0</v>
      </c>
      <c r="J385" t="n">
        <v>0</v>
      </c>
      <c r="K385" t="n">
        <v>0</v>
      </c>
      <c r="L385" t="n">
        <v>0</v>
      </c>
      <c r="M385" t="n">
        <v>0</v>
      </c>
      <c r="N385" t="n">
        <v>0</v>
      </c>
      <c r="O385" t="n">
        <v>0</v>
      </c>
      <c r="P385" t="n">
        <v>0</v>
      </c>
      <c r="Q385" t="n">
        <v>0</v>
      </c>
      <c r="R385" s="2" t="inlineStr"/>
    </row>
    <row r="386" ht="15" customHeight="1">
      <c r="A386" t="inlineStr">
        <is>
          <t>A 50667-2025</t>
        </is>
      </c>
      <c r="B386" s="1" t="n">
        <v>45945</v>
      </c>
      <c r="C386" s="1" t="n">
        <v>46035</v>
      </c>
      <c r="D386" t="inlineStr">
        <is>
          <t>ÖSTERGÖTLANDS LÄN</t>
        </is>
      </c>
      <c r="E386" t="inlineStr">
        <is>
          <t>LINKÖPING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49747-2024</t>
        </is>
      </c>
      <c r="B387" s="1" t="n">
        <v>45596</v>
      </c>
      <c r="C387" s="1" t="n">
        <v>46035</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31725-2022</t>
        </is>
      </c>
      <c r="B388" s="1" t="n">
        <v>44776.48541666667</v>
      </c>
      <c r="C388" s="1" t="n">
        <v>46035</v>
      </c>
      <c r="D388" t="inlineStr">
        <is>
          <t>ÖSTERGÖTLANDS LÄN</t>
        </is>
      </c>
      <c r="E388" t="inlineStr">
        <is>
          <t>LINKÖPING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31581-2025</t>
        </is>
      </c>
      <c r="B389" s="1" t="n">
        <v>45833.6840162037</v>
      </c>
      <c r="C389" s="1" t="n">
        <v>46035</v>
      </c>
      <c r="D389" t="inlineStr">
        <is>
          <t>ÖSTERGÖTLANDS LÄN</t>
        </is>
      </c>
      <c r="E389" t="inlineStr">
        <is>
          <t>LINKÖPING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31585-2025</t>
        </is>
      </c>
      <c r="B390" s="1" t="n">
        <v>45833.68815972222</v>
      </c>
      <c r="C390" s="1" t="n">
        <v>46035</v>
      </c>
      <c r="D390" t="inlineStr">
        <is>
          <t>ÖSTERGÖTLANDS LÄN</t>
        </is>
      </c>
      <c r="E390" t="inlineStr">
        <is>
          <t>LINKÖPING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2389-2023</t>
        </is>
      </c>
      <c r="B391" s="1" t="n">
        <v>44942</v>
      </c>
      <c r="C391" s="1" t="n">
        <v>46035</v>
      </c>
      <c r="D391" t="inlineStr">
        <is>
          <t>ÖSTERGÖTLANDS LÄN</t>
        </is>
      </c>
      <c r="E391" t="inlineStr">
        <is>
          <t>LINKÖPING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3627-2023</t>
        </is>
      </c>
      <c r="B392" s="1" t="n">
        <v>44950.64782407408</v>
      </c>
      <c r="C392" s="1" t="n">
        <v>46035</v>
      </c>
      <c r="D392" t="inlineStr">
        <is>
          <t>ÖSTERGÖTLANDS LÄN</t>
        </is>
      </c>
      <c r="E392" t="inlineStr">
        <is>
          <t>LINKÖPING</t>
        </is>
      </c>
      <c r="G392" t="n">
        <v>3.1</v>
      </c>
      <c r="H392" t="n">
        <v>0</v>
      </c>
      <c r="I392" t="n">
        <v>0</v>
      </c>
      <c r="J392" t="n">
        <v>0</v>
      </c>
      <c r="K392" t="n">
        <v>0</v>
      </c>
      <c r="L392" t="n">
        <v>0</v>
      </c>
      <c r="M392" t="n">
        <v>0</v>
      </c>
      <c r="N392" t="n">
        <v>0</v>
      </c>
      <c r="O392" t="n">
        <v>0</v>
      </c>
      <c r="P392" t="n">
        <v>0</v>
      </c>
      <c r="Q392" t="n">
        <v>0</v>
      </c>
      <c r="R392" s="2" t="inlineStr"/>
    </row>
    <row r="393" ht="15" customHeight="1">
      <c r="A393" t="inlineStr">
        <is>
          <t>A 51802-2025</t>
        </is>
      </c>
      <c r="B393" s="1" t="n">
        <v>45950</v>
      </c>
      <c r="C393" s="1" t="n">
        <v>46035</v>
      </c>
      <c r="D393" t="inlineStr">
        <is>
          <t>ÖSTERGÖTLANDS LÄN</t>
        </is>
      </c>
      <c r="E393" t="inlineStr">
        <is>
          <t>LINKÖPING</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62687-2023</t>
        </is>
      </c>
      <c r="B394" s="1" t="n">
        <v>45271</v>
      </c>
      <c r="C394" s="1" t="n">
        <v>46035</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32723-2025</t>
        </is>
      </c>
      <c r="B395" s="1" t="n">
        <v>45838</v>
      </c>
      <c r="C395" s="1" t="n">
        <v>46035</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18891-2022</t>
        </is>
      </c>
      <c r="B396" s="1" t="n">
        <v>44690</v>
      </c>
      <c r="C396" s="1" t="n">
        <v>46035</v>
      </c>
      <c r="D396" t="inlineStr">
        <is>
          <t>ÖSTERGÖTLANDS LÄN</t>
        </is>
      </c>
      <c r="E396" t="inlineStr">
        <is>
          <t>LINKÖPING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10253-2022</t>
        </is>
      </c>
      <c r="B397" s="1" t="n">
        <v>44622</v>
      </c>
      <c r="C397" s="1" t="n">
        <v>46035</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26620-2023</t>
        </is>
      </c>
      <c r="B398" s="1" t="n">
        <v>45092.70390046296</v>
      </c>
      <c r="C398" s="1" t="n">
        <v>46035</v>
      </c>
      <c r="D398" t="inlineStr">
        <is>
          <t>ÖSTERGÖTLANDS LÄN</t>
        </is>
      </c>
      <c r="E398" t="inlineStr">
        <is>
          <t>LINKÖPING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56180-2024</t>
        </is>
      </c>
      <c r="B399" s="1" t="n">
        <v>45624.56611111111</v>
      </c>
      <c r="C399" s="1" t="n">
        <v>46035</v>
      </c>
      <c r="D399" t="inlineStr">
        <is>
          <t>ÖSTERGÖTLANDS LÄN</t>
        </is>
      </c>
      <c r="E399" t="inlineStr">
        <is>
          <t>LINKÖPING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938-2023</t>
        </is>
      </c>
      <c r="B400" s="1" t="n">
        <v>44933</v>
      </c>
      <c r="C400" s="1" t="n">
        <v>46035</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25418-2023</t>
        </is>
      </c>
      <c r="B401" s="1" t="n">
        <v>45089</v>
      </c>
      <c r="C401" s="1" t="n">
        <v>46035</v>
      </c>
      <c r="D401" t="inlineStr">
        <is>
          <t>ÖSTERGÖTLANDS LÄN</t>
        </is>
      </c>
      <c r="E401" t="inlineStr">
        <is>
          <t>LINKÖPING</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60007-2022</t>
        </is>
      </c>
      <c r="B402" s="1" t="n">
        <v>44909.47282407407</v>
      </c>
      <c r="C402" s="1" t="n">
        <v>46035</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33947-2025</t>
        </is>
      </c>
      <c r="B403" s="1" t="n">
        <v>45842.65444444444</v>
      </c>
      <c r="C403" s="1" t="n">
        <v>46035</v>
      </c>
      <c r="D403" t="inlineStr">
        <is>
          <t>ÖSTERGÖTLANDS LÄN</t>
        </is>
      </c>
      <c r="E403" t="inlineStr">
        <is>
          <t>LINKÖPING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11601-2023</t>
        </is>
      </c>
      <c r="B404" s="1" t="n">
        <v>44994</v>
      </c>
      <c r="C404" s="1" t="n">
        <v>46035</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62012-2024</t>
        </is>
      </c>
      <c r="B405" s="1" t="n">
        <v>45655.79679398148</v>
      </c>
      <c r="C405" s="1" t="n">
        <v>46035</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1260-2023</t>
        </is>
      </c>
      <c r="B406" s="1" t="n">
        <v>44936</v>
      </c>
      <c r="C406" s="1" t="n">
        <v>46035</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7702-2023</t>
        </is>
      </c>
      <c r="B407" s="1" t="n">
        <v>44967</v>
      </c>
      <c r="C407" s="1" t="n">
        <v>46035</v>
      </c>
      <c r="D407" t="inlineStr">
        <is>
          <t>ÖSTERGÖTLANDS LÄN</t>
        </is>
      </c>
      <c r="E407" t="inlineStr">
        <is>
          <t>LINKÖPING</t>
        </is>
      </c>
      <c r="F407" t="inlineStr">
        <is>
          <t>Övriga statliga verk och myndigheter</t>
        </is>
      </c>
      <c r="G407" t="n">
        <v>8</v>
      </c>
      <c r="H407" t="n">
        <v>0</v>
      </c>
      <c r="I407" t="n">
        <v>0</v>
      </c>
      <c r="J407" t="n">
        <v>0</v>
      </c>
      <c r="K407" t="n">
        <v>0</v>
      </c>
      <c r="L407" t="n">
        <v>0</v>
      </c>
      <c r="M407" t="n">
        <v>0</v>
      </c>
      <c r="N407" t="n">
        <v>0</v>
      </c>
      <c r="O407" t="n">
        <v>0</v>
      </c>
      <c r="P407" t="n">
        <v>0</v>
      </c>
      <c r="Q407" t="n">
        <v>0</v>
      </c>
      <c r="R407" s="2" t="inlineStr"/>
    </row>
    <row r="408" ht="15" customHeight="1">
      <c r="A408" t="inlineStr">
        <is>
          <t>A 53529-2024</t>
        </is>
      </c>
      <c r="B408" s="1" t="n">
        <v>45614</v>
      </c>
      <c r="C408" s="1" t="n">
        <v>46035</v>
      </c>
      <c r="D408" t="inlineStr">
        <is>
          <t>ÖSTERGÖTLANDS LÄN</t>
        </is>
      </c>
      <c r="E408" t="inlineStr">
        <is>
          <t>LINKÖPING</t>
        </is>
      </c>
      <c r="G408" t="n">
        <v>6.7</v>
      </c>
      <c r="H408" t="n">
        <v>0</v>
      </c>
      <c r="I408" t="n">
        <v>0</v>
      </c>
      <c r="J408" t="n">
        <v>0</v>
      </c>
      <c r="K408" t="n">
        <v>0</v>
      </c>
      <c r="L408" t="n">
        <v>0</v>
      </c>
      <c r="M408" t="n">
        <v>0</v>
      </c>
      <c r="N408" t="n">
        <v>0</v>
      </c>
      <c r="O408" t="n">
        <v>0</v>
      </c>
      <c r="P408" t="n">
        <v>0</v>
      </c>
      <c r="Q408" t="n">
        <v>0</v>
      </c>
      <c r="R408" s="2" t="inlineStr"/>
    </row>
    <row r="409" ht="15" customHeight="1">
      <c r="A409" t="inlineStr">
        <is>
          <t>A 60087-2025</t>
        </is>
      </c>
      <c r="B409" s="1" t="n">
        <v>45993.71726851852</v>
      </c>
      <c r="C409" s="1" t="n">
        <v>46035</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674-2024</t>
        </is>
      </c>
      <c r="B410" s="1" t="n">
        <v>45300.34408564815</v>
      </c>
      <c r="C410" s="1" t="n">
        <v>46035</v>
      </c>
      <c r="D410" t="inlineStr">
        <is>
          <t>ÖSTERGÖTLANDS LÄN</t>
        </is>
      </c>
      <c r="E410" t="inlineStr">
        <is>
          <t>LINKÖPING</t>
        </is>
      </c>
      <c r="F410" t="inlineStr">
        <is>
          <t>Sveaskog</t>
        </is>
      </c>
      <c r="G410" t="n">
        <v>2.9</v>
      </c>
      <c r="H410" t="n">
        <v>0</v>
      </c>
      <c r="I410" t="n">
        <v>0</v>
      </c>
      <c r="J410" t="n">
        <v>0</v>
      </c>
      <c r="K410" t="n">
        <v>0</v>
      </c>
      <c r="L410" t="n">
        <v>0</v>
      </c>
      <c r="M410" t="n">
        <v>0</v>
      </c>
      <c r="N410" t="n">
        <v>0</v>
      </c>
      <c r="O410" t="n">
        <v>0</v>
      </c>
      <c r="P410" t="n">
        <v>0</v>
      </c>
      <c r="Q410" t="n">
        <v>0</v>
      </c>
      <c r="R410" s="2" t="inlineStr"/>
    </row>
    <row r="411" ht="15" customHeight="1">
      <c r="A411" t="inlineStr">
        <is>
          <t>A 63684-2023</t>
        </is>
      </c>
      <c r="B411" s="1" t="n">
        <v>45275</v>
      </c>
      <c r="C411" s="1" t="n">
        <v>46035</v>
      </c>
      <c r="D411" t="inlineStr">
        <is>
          <t>ÖSTERGÖTLANDS LÄN</t>
        </is>
      </c>
      <c r="E411" t="inlineStr">
        <is>
          <t>LINKÖPING</t>
        </is>
      </c>
      <c r="G411" t="n">
        <v>0.4</v>
      </c>
      <c r="H411" t="n">
        <v>0</v>
      </c>
      <c r="I411" t="n">
        <v>0</v>
      </c>
      <c r="J411" t="n">
        <v>0</v>
      </c>
      <c r="K411" t="n">
        <v>0</v>
      </c>
      <c r="L411" t="n">
        <v>0</v>
      </c>
      <c r="M411" t="n">
        <v>0</v>
      </c>
      <c r="N411" t="n">
        <v>0</v>
      </c>
      <c r="O411" t="n">
        <v>0</v>
      </c>
      <c r="P411" t="n">
        <v>0</v>
      </c>
      <c r="Q411" t="n">
        <v>0</v>
      </c>
      <c r="R411" s="2" t="inlineStr"/>
    </row>
    <row r="412" ht="15" customHeight="1">
      <c r="A412" t="inlineStr">
        <is>
          <t>A 167-2024</t>
        </is>
      </c>
      <c r="B412" s="1" t="n">
        <v>45294</v>
      </c>
      <c r="C412" s="1" t="n">
        <v>46035</v>
      </c>
      <c r="D412" t="inlineStr">
        <is>
          <t>ÖSTERGÖTLANDS LÄN</t>
        </is>
      </c>
      <c r="E412" t="inlineStr">
        <is>
          <t>LINKÖPING</t>
        </is>
      </c>
      <c r="F412" t="inlineStr">
        <is>
          <t>Allmännings- och besparingsskogar</t>
        </is>
      </c>
      <c r="G412" t="n">
        <v>11.6</v>
      </c>
      <c r="H412" t="n">
        <v>0</v>
      </c>
      <c r="I412" t="n">
        <v>0</v>
      </c>
      <c r="J412" t="n">
        <v>0</v>
      </c>
      <c r="K412" t="n">
        <v>0</v>
      </c>
      <c r="L412" t="n">
        <v>0</v>
      </c>
      <c r="M412" t="n">
        <v>0</v>
      </c>
      <c r="N412" t="n">
        <v>0</v>
      </c>
      <c r="O412" t="n">
        <v>0</v>
      </c>
      <c r="P412" t="n">
        <v>0</v>
      </c>
      <c r="Q412" t="n">
        <v>0</v>
      </c>
      <c r="R412" s="2" t="inlineStr"/>
    </row>
    <row r="413" ht="15" customHeight="1">
      <c r="A413" t="inlineStr">
        <is>
          <t>A 36725-2023</t>
        </is>
      </c>
      <c r="B413" s="1" t="n">
        <v>45153.68471064815</v>
      </c>
      <c r="C413" s="1" t="n">
        <v>46035</v>
      </c>
      <c r="D413" t="inlineStr">
        <is>
          <t>ÖSTERGÖTLANDS LÄN</t>
        </is>
      </c>
      <c r="E413" t="inlineStr">
        <is>
          <t>LINKÖPING</t>
        </is>
      </c>
      <c r="F413" t="inlineStr">
        <is>
          <t>Allmännings- och besparingsskogar</t>
        </is>
      </c>
      <c r="G413" t="n">
        <v>2.6</v>
      </c>
      <c r="H413" t="n">
        <v>0</v>
      </c>
      <c r="I413" t="n">
        <v>0</v>
      </c>
      <c r="J413" t="n">
        <v>0</v>
      </c>
      <c r="K413" t="n">
        <v>0</v>
      </c>
      <c r="L413" t="n">
        <v>0</v>
      </c>
      <c r="M413" t="n">
        <v>0</v>
      </c>
      <c r="N413" t="n">
        <v>0</v>
      </c>
      <c r="O413" t="n">
        <v>0</v>
      </c>
      <c r="P413" t="n">
        <v>0</v>
      </c>
      <c r="Q413" t="n">
        <v>0</v>
      </c>
      <c r="R413" s="2" t="inlineStr"/>
    </row>
    <row r="414" ht="15" customHeight="1">
      <c r="A414" t="inlineStr">
        <is>
          <t>A 27343-2023</t>
        </is>
      </c>
      <c r="B414" s="1" t="n">
        <v>45096</v>
      </c>
      <c r="C414" s="1" t="n">
        <v>46035</v>
      </c>
      <c r="D414" t="inlineStr">
        <is>
          <t>ÖSTERGÖTLANDS LÄN</t>
        </is>
      </c>
      <c r="E414" t="inlineStr">
        <is>
          <t>LINKÖPING</t>
        </is>
      </c>
      <c r="F414" t="inlineStr">
        <is>
          <t>Allmännings- och besparingsskogar</t>
        </is>
      </c>
      <c r="G414" t="n">
        <v>6.9</v>
      </c>
      <c r="H414" t="n">
        <v>0</v>
      </c>
      <c r="I414" t="n">
        <v>0</v>
      </c>
      <c r="J414" t="n">
        <v>0</v>
      </c>
      <c r="K414" t="n">
        <v>0</v>
      </c>
      <c r="L414" t="n">
        <v>0</v>
      </c>
      <c r="M414" t="n">
        <v>0</v>
      </c>
      <c r="N414" t="n">
        <v>0</v>
      </c>
      <c r="O414" t="n">
        <v>0</v>
      </c>
      <c r="P414" t="n">
        <v>0</v>
      </c>
      <c r="Q414" t="n">
        <v>0</v>
      </c>
      <c r="R414" s="2" t="inlineStr"/>
    </row>
    <row r="415" ht="15" customHeight="1">
      <c r="A415" t="inlineStr">
        <is>
          <t>A 60284-2025</t>
        </is>
      </c>
      <c r="B415" s="1" t="n">
        <v>45994.64373842593</v>
      </c>
      <c r="C415" s="1" t="n">
        <v>46035</v>
      </c>
      <c r="D415" t="inlineStr">
        <is>
          <t>ÖSTERGÖTLANDS LÄN</t>
        </is>
      </c>
      <c r="E415" t="inlineStr">
        <is>
          <t>LINKÖPING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60306-2025</t>
        </is>
      </c>
      <c r="B416" s="1" t="n">
        <v>45994.68326388889</v>
      </c>
      <c r="C416" s="1" t="n">
        <v>46035</v>
      </c>
      <c r="D416" t="inlineStr">
        <is>
          <t>ÖSTERGÖTLANDS LÄN</t>
        </is>
      </c>
      <c r="E416" t="inlineStr">
        <is>
          <t>LINKÖPING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20469-2025</t>
        </is>
      </c>
      <c r="B417" s="1" t="n">
        <v>45775</v>
      </c>
      <c r="C417" s="1" t="n">
        <v>46035</v>
      </c>
      <c r="D417" t="inlineStr">
        <is>
          <t>ÖSTERGÖTLANDS LÄN</t>
        </is>
      </c>
      <c r="E417" t="inlineStr">
        <is>
          <t>LINKÖPING</t>
        </is>
      </c>
      <c r="F417" t="inlineStr">
        <is>
          <t>Kyrkan</t>
        </is>
      </c>
      <c r="G417" t="n">
        <v>6.1</v>
      </c>
      <c r="H417" t="n">
        <v>0</v>
      </c>
      <c r="I417" t="n">
        <v>0</v>
      </c>
      <c r="J417" t="n">
        <v>0</v>
      </c>
      <c r="K417" t="n">
        <v>0</v>
      </c>
      <c r="L417" t="n">
        <v>0</v>
      </c>
      <c r="M417" t="n">
        <v>0</v>
      </c>
      <c r="N417" t="n">
        <v>0</v>
      </c>
      <c r="O417" t="n">
        <v>0</v>
      </c>
      <c r="P417" t="n">
        <v>0</v>
      </c>
      <c r="Q417" t="n">
        <v>0</v>
      </c>
      <c r="R417" s="2" t="inlineStr"/>
    </row>
    <row r="418" ht="15" customHeight="1">
      <c r="A418" t="inlineStr">
        <is>
          <t>A 52111-2025</t>
        </is>
      </c>
      <c r="B418" s="1" t="n">
        <v>45952.69527777778</v>
      </c>
      <c r="C418" s="1" t="n">
        <v>46035</v>
      </c>
      <c r="D418" t="inlineStr">
        <is>
          <t>ÖSTERGÖTLANDS LÄN</t>
        </is>
      </c>
      <c r="E418" t="inlineStr">
        <is>
          <t>LINKÖPING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22774-2024</t>
        </is>
      </c>
      <c r="B419" s="1" t="n">
        <v>45448.46924768519</v>
      </c>
      <c r="C419" s="1" t="n">
        <v>46035</v>
      </c>
      <c r="D419" t="inlineStr">
        <is>
          <t>ÖSTERGÖTLANDS LÄN</t>
        </is>
      </c>
      <c r="E419" t="inlineStr">
        <is>
          <t>LINKÖPING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22778-2024</t>
        </is>
      </c>
      <c r="B420" s="1" t="n">
        <v>45448.47233796296</v>
      </c>
      <c r="C420" s="1" t="n">
        <v>46035</v>
      </c>
      <c r="D420" t="inlineStr">
        <is>
          <t>ÖSTERGÖTLANDS LÄN</t>
        </is>
      </c>
      <c r="E420" t="inlineStr">
        <is>
          <t>LINKÖPING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34864-2023</t>
        </is>
      </c>
      <c r="B421" s="1" t="n">
        <v>45141</v>
      </c>
      <c r="C421" s="1" t="n">
        <v>46035</v>
      </c>
      <c r="D421" t="inlineStr">
        <is>
          <t>ÖSTERGÖTLANDS LÄN</t>
        </is>
      </c>
      <c r="E421" t="inlineStr">
        <is>
          <t>LINKÖPING</t>
        </is>
      </c>
      <c r="G421" t="n">
        <v>3.3</v>
      </c>
      <c r="H421" t="n">
        <v>0</v>
      </c>
      <c r="I421" t="n">
        <v>0</v>
      </c>
      <c r="J421" t="n">
        <v>0</v>
      </c>
      <c r="K421" t="n">
        <v>0</v>
      </c>
      <c r="L421" t="n">
        <v>0</v>
      </c>
      <c r="M421" t="n">
        <v>0</v>
      </c>
      <c r="N421" t="n">
        <v>0</v>
      </c>
      <c r="O421" t="n">
        <v>0</v>
      </c>
      <c r="P421" t="n">
        <v>0</v>
      </c>
      <c r="Q421" t="n">
        <v>0</v>
      </c>
      <c r="R421" s="2" t="inlineStr"/>
    </row>
    <row r="422" ht="15" customHeight="1">
      <c r="A422" t="inlineStr">
        <is>
          <t>A 52531-2023</t>
        </is>
      </c>
      <c r="B422" s="1" t="n">
        <v>45225</v>
      </c>
      <c r="C422" s="1" t="n">
        <v>46035</v>
      </c>
      <c r="D422" t="inlineStr">
        <is>
          <t>ÖSTERGÖTLANDS LÄN</t>
        </is>
      </c>
      <c r="E422" t="inlineStr">
        <is>
          <t>LINKÖPING</t>
        </is>
      </c>
      <c r="F422" t="inlineStr">
        <is>
          <t>Övriga Aktiebolag</t>
        </is>
      </c>
      <c r="G422" t="n">
        <v>1</v>
      </c>
      <c r="H422" t="n">
        <v>0</v>
      </c>
      <c r="I422" t="n">
        <v>0</v>
      </c>
      <c r="J422" t="n">
        <v>0</v>
      </c>
      <c r="K422" t="n">
        <v>0</v>
      </c>
      <c r="L422" t="n">
        <v>0</v>
      </c>
      <c r="M422" t="n">
        <v>0</v>
      </c>
      <c r="N422" t="n">
        <v>0</v>
      </c>
      <c r="O422" t="n">
        <v>0</v>
      </c>
      <c r="P422" t="n">
        <v>0</v>
      </c>
      <c r="Q422" t="n">
        <v>0</v>
      </c>
      <c r="R422" s="2" t="inlineStr"/>
    </row>
    <row r="423" ht="15" customHeight="1">
      <c r="A423" t="inlineStr">
        <is>
          <t>A 34930-2023</t>
        </is>
      </c>
      <c r="B423" s="1" t="n">
        <v>45142</v>
      </c>
      <c r="C423" s="1" t="n">
        <v>46035</v>
      </c>
      <c r="D423" t="inlineStr">
        <is>
          <t>ÖSTERGÖTLANDS LÄN</t>
        </is>
      </c>
      <c r="E423" t="inlineStr">
        <is>
          <t>LINKÖPING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33800-2023</t>
        </is>
      </c>
      <c r="B424" s="1" t="n">
        <v>45121</v>
      </c>
      <c r="C424" s="1" t="n">
        <v>46035</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47991-2023</t>
        </is>
      </c>
      <c r="B425" s="1" t="n">
        <v>45204.62655092592</v>
      </c>
      <c r="C425" s="1" t="n">
        <v>46035</v>
      </c>
      <c r="D425" t="inlineStr">
        <is>
          <t>ÖSTERGÖTLANDS LÄN</t>
        </is>
      </c>
      <c r="E425" t="inlineStr">
        <is>
          <t>LINKÖPING</t>
        </is>
      </c>
      <c r="F425" t="inlineStr">
        <is>
          <t>Allmännings- och besparingsskogar</t>
        </is>
      </c>
      <c r="G425" t="n">
        <v>7.3</v>
      </c>
      <c r="H425" t="n">
        <v>0</v>
      </c>
      <c r="I425" t="n">
        <v>0</v>
      </c>
      <c r="J425" t="n">
        <v>0</v>
      </c>
      <c r="K425" t="n">
        <v>0</v>
      </c>
      <c r="L425" t="n">
        <v>0</v>
      </c>
      <c r="M425" t="n">
        <v>0</v>
      </c>
      <c r="N425" t="n">
        <v>0</v>
      </c>
      <c r="O425" t="n">
        <v>0</v>
      </c>
      <c r="P425" t="n">
        <v>0</v>
      </c>
      <c r="Q425" t="n">
        <v>0</v>
      </c>
      <c r="R425" s="2" t="inlineStr"/>
    </row>
    <row r="426" ht="15" customHeight="1">
      <c r="A426" t="inlineStr">
        <is>
          <t>A 30985-2022</t>
        </is>
      </c>
      <c r="B426" s="1" t="n">
        <v>44768</v>
      </c>
      <c r="C426" s="1" t="n">
        <v>46035</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35178-2025</t>
        </is>
      </c>
      <c r="B427" s="1" t="n">
        <v>45852.91939814815</v>
      </c>
      <c r="C427" s="1" t="n">
        <v>46035</v>
      </c>
      <c r="D427" t="inlineStr">
        <is>
          <t>ÖSTERGÖTLANDS LÄN</t>
        </is>
      </c>
      <c r="E427" t="inlineStr">
        <is>
          <t>LINKÖPING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35174-2025</t>
        </is>
      </c>
      <c r="B428" s="1" t="n">
        <v>45852.90648148148</v>
      </c>
      <c r="C428" s="1" t="n">
        <v>46035</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26007-2025</t>
        </is>
      </c>
      <c r="B429" s="1" t="n">
        <v>45804.67081018518</v>
      </c>
      <c r="C429" s="1" t="n">
        <v>46035</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35179-2025</t>
        </is>
      </c>
      <c r="B430" s="1" t="n">
        <v>45852.93737268518</v>
      </c>
      <c r="C430" s="1" t="n">
        <v>46035</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35180-2025</t>
        </is>
      </c>
      <c r="B431" s="1" t="n">
        <v>45852.9413425926</v>
      </c>
      <c r="C431" s="1" t="n">
        <v>46035</v>
      </c>
      <c r="D431" t="inlineStr">
        <is>
          <t>ÖSTERGÖTLANDS LÄN</t>
        </is>
      </c>
      <c r="E431" t="inlineStr">
        <is>
          <t>LINKÖPING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35747-2025</t>
        </is>
      </c>
      <c r="B432" s="1" t="n">
        <v>45860.56385416666</v>
      </c>
      <c r="C432" s="1" t="n">
        <v>46035</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35745-2025</t>
        </is>
      </c>
      <c r="B433" s="1" t="n">
        <v>45860.54739583333</v>
      </c>
      <c r="C433" s="1" t="n">
        <v>46035</v>
      </c>
      <c r="D433" t="inlineStr">
        <is>
          <t>ÖSTERGÖTLANDS LÄN</t>
        </is>
      </c>
      <c r="E433" t="inlineStr">
        <is>
          <t>LINKÖPING</t>
        </is>
      </c>
      <c r="G433" t="n">
        <v>4.4</v>
      </c>
      <c r="H433" t="n">
        <v>0</v>
      </c>
      <c r="I433" t="n">
        <v>0</v>
      </c>
      <c r="J433" t="n">
        <v>0</v>
      </c>
      <c r="K433" t="n">
        <v>0</v>
      </c>
      <c r="L433" t="n">
        <v>0</v>
      </c>
      <c r="M433" t="n">
        <v>0</v>
      </c>
      <c r="N433" t="n">
        <v>0</v>
      </c>
      <c r="O433" t="n">
        <v>0</v>
      </c>
      <c r="P433" t="n">
        <v>0</v>
      </c>
      <c r="Q433" t="n">
        <v>0</v>
      </c>
      <c r="R433" s="2" t="inlineStr"/>
    </row>
    <row r="434" ht="15" customHeight="1">
      <c r="A434" t="inlineStr">
        <is>
          <t>A 35757-2025</t>
        </is>
      </c>
      <c r="B434" s="1" t="n">
        <v>45860.59876157407</v>
      </c>
      <c r="C434" s="1" t="n">
        <v>46035</v>
      </c>
      <c r="D434" t="inlineStr">
        <is>
          <t>ÖSTERGÖTLANDS LÄN</t>
        </is>
      </c>
      <c r="E434" t="inlineStr">
        <is>
          <t>LINKÖPING</t>
        </is>
      </c>
      <c r="G434" t="n">
        <v>5.7</v>
      </c>
      <c r="H434" t="n">
        <v>0</v>
      </c>
      <c r="I434" t="n">
        <v>0</v>
      </c>
      <c r="J434" t="n">
        <v>0</v>
      </c>
      <c r="K434" t="n">
        <v>0</v>
      </c>
      <c r="L434" t="n">
        <v>0</v>
      </c>
      <c r="M434" t="n">
        <v>0</v>
      </c>
      <c r="N434" t="n">
        <v>0</v>
      </c>
      <c r="O434" t="n">
        <v>0</v>
      </c>
      <c r="P434" t="n">
        <v>0</v>
      </c>
      <c r="Q434" t="n">
        <v>0</v>
      </c>
      <c r="R434" s="2" t="inlineStr"/>
    </row>
    <row r="435" ht="15" customHeight="1">
      <c r="A435" t="inlineStr">
        <is>
          <t>A 35759-2025</t>
        </is>
      </c>
      <c r="B435" s="1" t="n">
        <v>45860</v>
      </c>
      <c r="C435" s="1" t="n">
        <v>46035</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59642-2024</t>
        </is>
      </c>
      <c r="B436" s="1" t="n">
        <v>45639.31511574074</v>
      </c>
      <c r="C436" s="1" t="n">
        <v>46035</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15748-2025</t>
        </is>
      </c>
      <c r="B437" s="1" t="n">
        <v>45748.55282407408</v>
      </c>
      <c r="C437" s="1" t="n">
        <v>46035</v>
      </c>
      <c r="D437" t="inlineStr">
        <is>
          <t>ÖSTERGÖTLANDS LÄN</t>
        </is>
      </c>
      <c r="E437" t="inlineStr">
        <is>
          <t>LINKÖPING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31792-2021</t>
        </is>
      </c>
      <c r="B438" s="1" t="n">
        <v>44369</v>
      </c>
      <c r="C438" s="1" t="n">
        <v>46035</v>
      </c>
      <c r="D438" t="inlineStr">
        <is>
          <t>ÖSTERGÖTLANDS LÄN</t>
        </is>
      </c>
      <c r="E438" t="inlineStr">
        <is>
          <t>LINKÖPING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25097-2023</t>
        </is>
      </c>
      <c r="B439" s="1" t="n">
        <v>45086</v>
      </c>
      <c r="C439" s="1" t="n">
        <v>46035</v>
      </c>
      <c r="D439" t="inlineStr">
        <is>
          <t>ÖSTERGÖTLANDS LÄN</t>
        </is>
      </c>
      <c r="E439" t="inlineStr">
        <is>
          <t>LINKÖPING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35735-2023</t>
        </is>
      </c>
      <c r="B440" s="1" t="n">
        <v>45147</v>
      </c>
      <c r="C440" s="1" t="n">
        <v>46035</v>
      </c>
      <c r="D440" t="inlineStr">
        <is>
          <t>ÖSTERGÖTLANDS LÄN</t>
        </is>
      </c>
      <c r="E440" t="inlineStr">
        <is>
          <t>LINKÖPING</t>
        </is>
      </c>
      <c r="G440" t="n">
        <v>2.8</v>
      </c>
      <c r="H440" t="n">
        <v>0</v>
      </c>
      <c r="I440" t="n">
        <v>0</v>
      </c>
      <c r="J440" t="n">
        <v>0</v>
      </c>
      <c r="K440" t="n">
        <v>0</v>
      </c>
      <c r="L440" t="n">
        <v>0</v>
      </c>
      <c r="M440" t="n">
        <v>0</v>
      </c>
      <c r="N440" t="n">
        <v>0</v>
      </c>
      <c r="O440" t="n">
        <v>0</v>
      </c>
      <c r="P440" t="n">
        <v>0</v>
      </c>
      <c r="Q440" t="n">
        <v>0</v>
      </c>
      <c r="R440" s="2" t="inlineStr"/>
    </row>
    <row r="441" ht="15" customHeight="1">
      <c r="A441" t="inlineStr">
        <is>
          <t>A 16462-2021</t>
        </is>
      </c>
      <c r="B441" s="1" t="n">
        <v>44293</v>
      </c>
      <c r="C441" s="1" t="n">
        <v>46035</v>
      </c>
      <c r="D441" t="inlineStr">
        <is>
          <t>ÖSTERGÖTLANDS LÄN</t>
        </is>
      </c>
      <c r="E441" t="inlineStr">
        <is>
          <t>LINKÖPING</t>
        </is>
      </c>
      <c r="F441" t="inlineStr">
        <is>
          <t>Allmännings- och besparingsskogar</t>
        </is>
      </c>
      <c r="G441" t="n">
        <v>24.7</v>
      </c>
      <c r="H441" t="n">
        <v>0</v>
      </c>
      <c r="I441" t="n">
        <v>0</v>
      </c>
      <c r="J441" t="n">
        <v>0</v>
      </c>
      <c r="K441" t="n">
        <v>0</v>
      </c>
      <c r="L441" t="n">
        <v>0</v>
      </c>
      <c r="M441" t="n">
        <v>0</v>
      </c>
      <c r="N441" t="n">
        <v>0</v>
      </c>
      <c r="O441" t="n">
        <v>0</v>
      </c>
      <c r="P441" t="n">
        <v>0</v>
      </c>
      <c r="Q441" t="n">
        <v>0</v>
      </c>
      <c r="R441" s="2" t="inlineStr"/>
    </row>
    <row r="442" ht="15" customHeight="1">
      <c r="A442" t="inlineStr">
        <is>
          <t>A 25776-2021</t>
        </is>
      </c>
      <c r="B442" s="1" t="n">
        <v>44343</v>
      </c>
      <c r="C442" s="1" t="n">
        <v>46035</v>
      </c>
      <c r="D442" t="inlineStr">
        <is>
          <t>ÖSTERGÖTLANDS LÄN</t>
        </is>
      </c>
      <c r="E442" t="inlineStr">
        <is>
          <t>LINKÖPING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30856-2022</t>
        </is>
      </c>
      <c r="B443" s="1" t="n">
        <v>44767</v>
      </c>
      <c r="C443" s="1" t="n">
        <v>46035</v>
      </c>
      <c r="D443" t="inlineStr">
        <is>
          <t>ÖSTERGÖTLANDS LÄN</t>
        </is>
      </c>
      <c r="E443" t="inlineStr">
        <is>
          <t>LINKÖPING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60703-2025</t>
        </is>
      </c>
      <c r="B444" s="1" t="n">
        <v>45996.6052662037</v>
      </c>
      <c r="C444" s="1" t="n">
        <v>46035</v>
      </c>
      <c r="D444" t="inlineStr">
        <is>
          <t>ÖSTERGÖTLANDS LÄN</t>
        </is>
      </c>
      <c r="E444" t="inlineStr">
        <is>
          <t>LINKÖPING</t>
        </is>
      </c>
      <c r="F444" t="inlineStr">
        <is>
          <t>Övriga Aktiebolag</t>
        </is>
      </c>
      <c r="G444" t="n">
        <v>1.3</v>
      </c>
      <c r="H444" t="n">
        <v>0</v>
      </c>
      <c r="I444" t="n">
        <v>0</v>
      </c>
      <c r="J444" t="n">
        <v>0</v>
      </c>
      <c r="K444" t="n">
        <v>0</v>
      </c>
      <c r="L444" t="n">
        <v>0</v>
      </c>
      <c r="M444" t="n">
        <v>0</v>
      </c>
      <c r="N444" t="n">
        <v>0</v>
      </c>
      <c r="O444" t="n">
        <v>0</v>
      </c>
      <c r="P444" t="n">
        <v>0</v>
      </c>
      <c r="Q444" t="n">
        <v>0</v>
      </c>
      <c r="R444" s="2" t="inlineStr"/>
    </row>
    <row r="445" ht="15" customHeight="1">
      <c r="A445" t="inlineStr">
        <is>
          <t>A 19187-2021</t>
        </is>
      </c>
      <c r="B445" s="1" t="n">
        <v>44308</v>
      </c>
      <c r="C445" s="1" t="n">
        <v>46035</v>
      </c>
      <c r="D445" t="inlineStr">
        <is>
          <t>ÖSTERGÖTLANDS LÄN</t>
        </is>
      </c>
      <c r="E445" t="inlineStr">
        <is>
          <t>LINKÖPING</t>
        </is>
      </c>
      <c r="F445" t="inlineStr">
        <is>
          <t>Allmännings- och besparingsskogar</t>
        </is>
      </c>
      <c r="G445" t="n">
        <v>20</v>
      </c>
      <c r="H445" t="n">
        <v>0</v>
      </c>
      <c r="I445" t="n">
        <v>0</v>
      </c>
      <c r="J445" t="n">
        <v>0</v>
      </c>
      <c r="K445" t="n">
        <v>0</v>
      </c>
      <c r="L445" t="n">
        <v>0</v>
      </c>
      <c r="M445" t="n">
        <v>0</v>
      </c>
      <c r="N445" t="n">
        <v>0</v>
      </c>
      <c r="O445" t="n">
        <v>0</v>
      </c>
      <c r="P445" t="n">
        <v>0</v>
      </c>
      <c r="Q445" t="n">
        <v>0</v>
      </c>
      <c r="R445" s="2" t="inlineStr"/>
    </row>
    <row r="446" ht="15" customHeight="1">
      <c r="A446" t="inlineStr">
        <is>
          <t>A 39219-2021</t>
        </is>
      </c>
      <c r="B446" s="1" t="n">
        <v>44413</v>
      </c>
      <c r="C446" s="1" t="n">
        <v>46035</v>
      </c>
      <c r="D446" t="inlineStr">
        <is>
          <t>ÖSTERGÖTLANDS LÄN</t>
        </is>
      </c>
      <c r="E446" t="inlineStr">
        <is>
          <t>LINKÖPING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39224-2021</t>
        </is>
      </c>
      <c r="B447" s="1" t="n">
        <v>44413</v>
      </c>
      <c r="C447" s="1" t="n">
        <v>46035</v>
      </c>
      <c r="D447" t="inlineStr">
        <is>
          <t>ÖSTERGÖTLANDS LÄN</t>
        </is>
      </c>
      <c r="E447" t="inlineStr">
        <is>
          <t>LINKÖPING</t>
        </is>
      </c>
      <c r="G447" t="n">
        <v>2.1</v>
      </c>
      <c r="H447" t="n">
        <v>0</v>
      </c>
      <c r="I447" t="n">
        <v>0</v>
      </c>
      <c r="J447" t="n">
        <v>0</v>
      </c>
      <c r="K447" t="n">
        <v>0</v>
      </c>
      <c r="L447" t="n">
        <v>0</v>
      </c>
      <c r="M447" t="n">
        <v>0</v>
      </c>
      <c r="N447" t="n">
        <v>0</v>
      </c>
      <c r="O447" t="n">
        <v>0</v>
      </c>
      <c r="P447" t="n">
        <v>0</v>
      </c>
      <c r="Q447" t="n">
        <v>0</v>
      </c>
      <c r="R447" s="2" t="inlineStr"/>
    </row>
    <row r="448" ht="15" customHeight="1">
      <c r="A448" t="inlineStr">
        <is>
          <t>A 43934-2023</t>
        </is>
      </c>
      <c r="B448" s="1" t="n">
        <v>45187</v>
      </c>
      <c r="C448" s="1" t="n">
        <v>46035</v>
      </c>
      <c r="D448" t="inlineStr">
        <is>
          <t>ÖSTERGÖTLANDS LÄN</t>
        </is>
      </c>
      <c r="E448" t="inlineStr">
        <is>
          <t>LINKÖPING</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37057-2025</t>
        </is>
      </c>
      <c r="B449" s="1" t="n">
        <v>45875.37489583333</v>
      </c>
      <c r="C449" s="1" t="n">
        <v>46035</v>
      </c>
      <c r="D449" t="inlineStr">
        <is>
          <t>ÖSTERGÖTLANDS LÄN</t>
        </is>
      </c>
      <c r="E449" t="inlineStr">
        <is>
          <t>LINKÖPING</t>
        </is>
      </c>
      <c r="G449" t="n">
        <v>3.3</v>
      </c>
      <c r="H449" t="n">
        <v>0</v>
      </c>
      <c r="I449" t="n">
        <v>0</v>
      </c>
      <c r="J449" t="n">
        <v>0</v>
      </c>
      <c r="K449" t="n">
        <v>0</v>
      </c>
      <c r="L449" t="n">
        <v>0</v>
      </c>
      <c r="M449" t="n">
        <v>0</v>
      </c>
      <c r="N449" t="n">
        <v>0</v>
      </c>
      <c r="O449" t="n">
        <v>0</v>
      </c>
      <c r="P449" t="n">
        <v>0</v>
      </c>
      <c r="Q449" t="n">
        <v>0</v>
      </c>
      <c r="R449" s="2" t="inlineStr"/>
    </row>
    <row r="450" ht="15" customHeight="1">
      <c r="A450" t="inlineStr">
        <is>
          <t>A 52800-2025</t>
        </is>
      </c>
      <c r="B450" s="1" t="n">
        <v>45957.44152777778</v>
      </c>
      <c r="C450" s="1" t="n">
        <v>46035</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52802-2025</t>
        </is>
      </c>
      <c r="B451" s="1" t="n">
        <v>45957.44295138889</v>
      </c>
      <c r="C451" s="1" t="n">
        <v>46035</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7354-2025</t>
        </is>
      </c>
      <c r="B452" s="1" t="n">
        <v>45704.41174768518</v>
      </c>
      <c r="C452" s="1" t="n">
        <v>46035</v>
      </c>
      <c r="D452" t="inlineStr">
        <is>
          <t>ÖSTERGÖTLANDS LÄN</t>
        </is>
      </c>
      <c r="E452" t="inlineStr">
        <is>
          <t>LINKÖPING</t>
        </is>
      </c>
      <c r="G452" t="n">
        <v>4.8</v>
      </c>
      <c r="H452" t="n">
        <v>0</v>
      </c>
      <c r="I452" t="n">
        <v>0</v>
      </c>
      <c r="J452" t="n">
        <v>0</v>
      </c>
      <c r="K452" t="n">
        <v>0</v>
      </c>
      <c r="L452" t="n">
        <v>0</v>
      </c>
      <c r="M452" t="n">
        <v>0</v>
      </c>
      <c r="N452" t="n">
        <v>0</v>
      </c>
      <c r="O452" t="n">
        <v>0</v>
      </c>
      <c r="P452" t="n">
        <v>0</v>
      </c>
      <c r="Q452" t="n">
        <v>0</v>
      </c>
      <c r="R452" s="2" t="inlineStr"/>
    </row>
    <row r="453" ht="15" customHeight="1">
      <c r="A453" t="inlineStr">
        <is>
          <t>A 63935-2021</t>
        </is>
      </c>
      <c r="B453" s="1" t="n">
        <v>44509</v>
      </c>
      <c r="C453" s="1" t="n">
        <v>46035</v>
      </c>
      <c r="D453" t="inlineStr">
        <is>
          <t>ÖSTERGÖTLANDS LÄN</t>
        </is>
      </c>
      <c r="E453" t="inlineStr">
        <is>
          <t>LINKÖPING</t>
        </is>
      </c>
      <c r="F453" t="inlineStr">
        <is>
          <t>Övriga statliga verk och myndigheter</t>
        </is>
      </c>
      <c r="G453" t="n">
        <v>2.8</v>
      </c>
      <c r="H453" t="n">
        <v>0</v>
      </c>
      <c r="I453" t="n">
        <v>0</v>
      </c>
      <c r="J453" t="n">
        <v>0</v>
      </c>
      <c r="K453" t="n">
        <v>0</v>
      </c>
      <c r="L453" t="n">
        <v>0</v>
      </c>
      <c r="M453" t="n">
        <v>0</v>
      </c>
      <c r="N453" t="n">
        <v>0</v>
      </c>
      <c r="O453" t="n">
        <v>0</v>
      </c>
      <c r="P453" t="n">
        <v>0</v>
      </c>
      <c r="Q453" t="n">
        <v>0</v>
      </c>
      <c r="R453" s="2" t="inlineStr"/>
    </row>
    <row r="454" ht="15" customHeight="1">
      <c r="A454" t="inlineStr">
        <is>
          <t>A 40810-2022</t>
        </is>
      </c>
      <c r="B454" s="1" t="n">
        <v>44824</v>
      </c>
      <c r="C454" s="1" t="n">
        <v>46035</v>
      </c>
      <c r="D454" t="inlineStr">
        <is>
          <t>ÖSTERGÖTLANDS LÄN</t>
        </is>
      </c>
      <c r="E454" t="inlineStr">
        <is>
          <t>LINKÖPING</t>
        </is>
      </c>
      <c r="G454" t="n">
        <v>2.8</v>
      </c>
      <c r="H454" t="n">
        <v>0</v>
      </c>
      <c r="I454" t="n">
        <v>0</v>
      </c>
      <c r="J454" t="n">
        <v>0</v>
      </c>
      <c r="K454" t="n">
        <v>0</v>
      </c>
      <c r="L454" t="n">
        <v>0</v>
      </c>
      <c r="M454" t="n">
        <v>0</v>
      </c>
      <c r="N454" t="n">
        <v>0</v>
      </c>
      <c r="O454" t="n">
        <v>0</v>
      </c>
      <c r="P454" t="n">
        <v>0</v>
      </c>
      <c r="Q454" t="n">
        <v>0</v>
      </c>
      <c r="R454" s="2" t="inlineStr"/>
    </row>
    <row r="455" ht="15" customHeight="1">
      <c r="A455" t="inlineStr">
        <is>
          <t>A 25829-2025</t>
        </is>
      </c>
      <c r="B455" s="1" t="n">
        <v>45804.44505787037</v>
      </c>
      <c r="C455" s="1" t="n">
        <v>46035</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20298-2025</t>
        </is>
      </c>
      <c r="B456" s="1" t="n">
        <v>45774.75024305555</v>
      </c>
      <c r="C456" s="1" t="n">
        <v>46035</v>
      </c>
      <c r="D456" t="inlineStr">
        <is>
          <t>ÖSTERGÖTLANDS LÄN</t>
        </is>
      </c>
      <c r="E456" t="inlineStr">
        <is>
          <t>LINKÖPING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14576-2023</t>
        </is>
      </c>
      <c r="B457" s="1" t="n">
        <v>45013</v>
      </c>
      <c r="C457" s="1" t="n">
        <v>46035</v>
      </c>
      <c r="D457" t="inlineStr">
        <is>
          <t>ÖSTERGÖTLANDS LÄN</t>
        </is>
      </c>
      <c r="E457" t="inlineStr">
        <is>
          <t>LINKÖPING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52740-2025</t>
        </is>
      </c>
      <c r="B458" s="1" t="n">
        <v>45957.37747685185</v>
      </c>
      <c r="C458" s="1" t="n">
        <v>46035</v>
      </c>
      <c r="D458" t="inlineStr">
        <is>
          <t>ÖSTERGÖTLANDS LÄN</t>
        </is>
      </c>
      <c r="E458" t="inlineStr">
        <is>
          <t>LINKÖPING</t>
        </is>
      </c>
      <c r="G458" t="n">
        <v>3.7</v>
      </c>
      <c r="H458" t="n">
        <v>0</v>
      </c>
      <c r="I458" t="n">
        <v>0</v>
      </c>
      <c r="J458" t="n">
        <v>0</v>
      </c>
      <c r="K458" t="n">
        <v>0</v>
      </c>
      <c r="L458" t="n">
        <v>0</v>
      </c>
      <c r="M458" t="n">
        <v>0</v>
      </c>
      <c r="N458" t="n">
        <v>0</v>
      </c>
      <c r="O458" t="n">
        <v>0</v>
      </c>
      <c r="P458" t="n">
        <v>0</v>
      </c>
      <c r="Q458" t="n">
        <v>0</v>
      </c>
      <c r="R458" s="2" t="inlineStr"/>
    </row>
    <row r="459" ht="15" customHeight="1">
      <c r="A459" t="inlineStr">
        <is>
          <t>A 12089-2025</t>
        </is>
      </c>
      <c r="B459" s="1" t="n">
        <v>45729</v>
      </c>
      <c r="C459" s="1" t="n">
        <v>46035</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52743-2025</t>
        </is>
      </c>
      <c r="B460" s="1" t="n">
        <v>45957.38039351852</v>
      </c>
      <c r="C460" s="1" t="n">
        <v>46035</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52807-2025</t>
        </is>
      </c>
      <c r="B461" s="1" t="n">
        <v>45957.44837962963</v>
      </c>
      <c r="C461" s="1" t="n">
        <v>46035</v>
      </c>
      <c r="D461" t="inlineStr">
        <is>
          <t>ÖSTERGÖTLANDS LÄN</t>
        </is>
      </c>
      <c r="E461" t="inlineStr">
        <is>
          <t>LINKÖPING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62321-2022</t>
        </is>
      </c>
      <c r="B462" s="1" t="n">
        <v>44916</v>
      </c>
      <c r="C462" s="1" t="n">
        <v>46035</v>
      </c>
      <c r="D462" t="inlineStr">
        <is>
          <t>ÖSTERGÖTLANDS LÄN</t>
        </is>
      </c>
      <c r="E462" t="inlineStr">
        <is>
          <t>LINKÖPING</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43475-2024</t>
        </is>
      </c>
      <c r="B463" s="1" t="n">
        <v>45568</v>
      </c>
      <c r="C463" s="1" t="n">
        <v>46035</v>
      </c>
      <c r="D463" t="inlineStr">
        <is>
          <t>ÖSTERGÖTLANDS LÄN</t>
        </is>
      </c>
      <c r="E463" t="inlineStr">
        <is>
          <t>LINKÖPING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61447-2025</t>
        </is>
      </c>
      <c r="B464" s="1" t="n">
        <v>46001.57554398148</v>
      </c>
      <c r="C464" s="1" t="n">
        <v>46035</v>
      </c>
      <c r="D464" t="inlineStr">
        <is>
          <t>ÖSTERGÖTLANDS LÄN</t>
        </is>
      </c>
      <c r="E464" t="inlineStr">
        <is>
          <t>LINKÖPING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17103-2025</t>
        </is>
      </c>
      <c r="B465" s="1" t="n">
        <v>45755.66143518518</v>
      </c>
      <c r="C465" s="1" t="n">
        <v>46035</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30551-2023</t>
        </is>
      </c>
      <c r="B466" s="1" t="n">
        <v>45111</v>
      </c>
      <c r="C466" s="1" t="n">
        <v>46035</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50784-2022</t>
        </is>
      </c>
      <c r="B467" s="1" t="n">
        <v>44862</v>
      </c>
      <c r="C467" s="1" t="n">
        <v>46035</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61643-2025</t>
        </is>
      </c>
      <c r="B468" s="1" t="n">
        <v>46002.43575231481</v>
      </c>
      <c r="C468" s="1" t="n">
        <v>46035</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61645-2025</t>
        </is>
      </c>
      <c r="B469" s="1" t="n">
        <v>46002.43697916667</v>
      </c>
      <c r="C469" s="1" t="n">
        <v>46035</v>
      </c>
      <c r="D469" t="inlineStr">
        <is>
          <t>ÖSTERGÖTLANDS LÄN</t>
        </is>
      </c>
      <c r="E469" t="inlineStr">
        <is>
          <t>LINKÖPING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22043-2023</t>
        </is>
      </c>
      <c r="B470" s="1" t="n">
        <v>45069.39050925926</v>
      </c>
      <c r="C470" s="1" t="n">
        <v>46035</v>
      </c>
      <c r="D470" t="inlineStr">
        <is>
          <t>ÖSTERGÖTLANDS LÄN</t>
        </is>
      </c>
      <c r="E470" t="inlineStr">
        <is>
          <t>LINKÖPING</t>
        </is>
      </c>
      <c r="G470" t="n">
        <v>5.9</v>
      </c>
      <c r="H470" t="n">
        <v>0</v>
      </c>
      <c r="I470" t="n">
        <v>0</v>
      </c>
      <c r="J470" t="n">
        <v>0</v>
      </c>
      <c r="K470" t="n">
        <v>0</v>
      </c>
      <c r="L470" t="n">
        <v>0</v>
      </c>
      <c r="M470" t="n">
        <v>0</v>
      </c>
      <c r="N470" t="n">
        <v>0</v>
      </c>
      <c r="O470" t="n">
        <v>0</v>
      </c>
      <c r="P470" t="n">
        <v>0</v>
      </c>
      <c r="Q470" t="n">
        <v>0</v>
      </c>
      <c r="R470" s="2" t="inlineStr"/>
    </row>
    <row r="471" ht="15" customHeight="1">
      <c r="A471" t="inlineStr">
        <is>
          <t>A 49656-2021</t>
        </is>
      </c>
      <c r="B471" s="1" t="n">
        <v>44454</v>
      </c>
      <c r="C471" s="1" t="n">
        <v>46035</v>
      </c>
      <c r="D471" t="inlineStr">
        <is>
          <t>ÖSTERGÖTLANDS LÄN</t>
        </is>
      </c>
      <c r="E471" t="inlineStr">
        <is>
          <t>LINKÖPING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38046-2025</t>
        </is>
      </c>
      <c r="B472" s="1" t="n">
        <v>45882.39939814815</v>
      </c>
      <c r="C472" s="1" t="n">
        <v>46035</v>
      </c>
      <c r="D472" t="inlineStr">
        <is>
          <t>ÖSTERGÖTLANDS LÄN</t>
        </is>
      </c>
      <c r="E472" t="inlineStr">
        <is>
          <t>LINKÖPING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30465-2023</t>
        </is>
      </c>
      <c r="B473" s="1" t="n">
        <v>45111</v>
      </c>
      <c r="C473" s="1" t="n">
        <v>46035</v>
      </c>
      <c r="D473" t="inlineStr">
        <is>
          <t>ÖSTERGÖTLANDS LÄN</t>
        </is>
      </c>
      <c r="E473" t="inlineStr">
        <is>
          <t>LINKÖPING</t>
        </is>
      </c>
      <c r="F473" t="inlineStr">
        <is>
          <t>Övriga Aktiebolag</t>
        </is>
      </c>
      <c r="G473" t="n">
        <v>0.7</v>
      </c>
      <c r="H473" t="n">
        <v>0</v>
      </c>
      <c r="I473" t="n">
        <v>0</v>
      </c>
      <c r="J473" t="n">
        <v>0</v>
      </c>
      <c r="K473" t="n">
        <v>0</v>
      </c>
      <c r="L473" t="n">
        <v>0</v>
      </c>
      <c r="M473" t="n">
        <v>0</v>
      </c>
      <c r="N473" t="n">
        <v>0</v>
      </c>
      <c r="O473" t="n">
        <v>0</v>
      </c>
      <c r="P473" t="n">
        <v>0</v>
      </c>
      <c r="Q473" t="n">
        <v>0</v>
      </c>
      <c r="R473" s="2" t="inlineStr"/>
    </row>
    <row r="474" ht="15" customHeight="1">
      <c r="A474" t="inlineStr">
        <is>
          <t>A 61899-2025</t>
        </is>
      </c>
      <c r="B474" s="1" t="n">
        <v>46003.46635416667</v>
      </c>
      <c r="C474" s="1" t="n">
        <v>46035</v>
      </c>
      <c r="D474" t="inlineStr">
        <is>
          <t>ÖSTERGÖTLANDS LÄN</t>
        </is>
      </c>
      <c r="E474" t="inlineStr">
        <is>
          <t>LINKÖPING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30521-2024</t>
        </is>
      </c>
      <c r="B475" s="1" t="n">
        <v>45492</v>
      </c>
      <c r="C475" s="1" t="n">
        <v>46035</v>
      </c>
      <c r="D475" t="inlineStr">
        <is>
          <t>ÖSTERGÖTLANDS LÄN</t>
        </is>
      </c>
      <c r="E475" t="inlineStr">
        <is>
          <t>LINKÖPING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61230-2025</t>
        </is>
      </c>
      <c r="B476" s="1" t="n">
        <v>46000.63111111111</v>
      </c>
      <c r="C476" s="1" t="n">
        <v>46035</v>
      </c>
      <c r="D476" t="inlineStr">
        <is>
          <t>ÖSTERGÖTLANDS LÄN</t>
        </is>
      </c>
      <c r="E476" t="inlineStr">
        <is>
          <t>LINKÖPING</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40618-2021</t>
        </is>
      </c>
      <c r="B477" s="1" t="n">
        <v>44420.49575231481</v>
      </c>
      <c r="C477" s="1" t="n">
        <v>46035</v>
      </c>
      <c r="D477" t="inlineStr">
        <is>
          <t>ÖSTERGÖTLANDS LÄN</t>
        </is>
      </c>
      <c r="E477" t="inlineStr">
        <is>
          <t>LINKÖPING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23735-2023</t>
        </is>
      </c>
      <c r="B478" s="1" t="n">
        <v>45077</v>
      </c>
      <c r="C478" s="1" t="n">
        <v>46035</v>
      </c>
      <c r="D478" t="inlineStr">
        <is>
          <t>ÖSTERGÖTLANDS LÄN</t>
        </is>
      </c>
      <c r="E478" t="inlineStr">
        <is>
          <t>LINKÖPING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350-2022</t>
        </is>
      </c>
      <c r="B479" s="1" t="n">
        <v>44565</v>
      </c>
      <c r="C479" s="1" t="n">
        <v>46035</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4256-2022</t>
        </is>
      </c>
      <c r="B480" s="1" t="n">
        <v>44588</v>
      </c>
      <c r="C480" s="1" t="n">
        <v>46035</v>
      </c>
      <c r="D480" t="inlineStr">
        <is>
          <t>ÖSTERGÖTLANDS LÄN</t>
        </is>
      </c>
      <c r="E480" t="inlineStr">
        <is>
          <t>LINKÖPING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25948-2023</t>
        </is>
      </c>
      <c r="B481" s="1" t="n">
        <v>45090</v>
      </c>
      <c r="C481" s="1" t="n">
        <v>46035</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33867-2023</t>
        </is>
      </c>
      <c r="B482" s="1" t="n">
        <v>45133.94640046296</v>
      </c>
      <c r="C482" s="1" t="n">
        <v>46035</v>
      </c>
      <c r="D482" t="inlineStr">
        <is>
          <t>ÖSTERGÖTLANDS LÄN</t>
        </is>
      </c>
      <c r="E482" t="inlineStr">
        <is>
          <t>LINKÖPING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62686-2025</t>
        </is>
      </c>
      <c r="B483" s="1" t="n">
        <v>46008.46769675926</v>
      </c>
      <c r="C483" s="1" t="n">
        <v>46035</v>
      </c>
      <c r="D483" t="inlineStr">
        <is>
          <t>ÖSTERGÖTLANDS LÄN</t>
        </is>
      </c>
      <c r="E483" t="inlineStr">
        <is>
          <t>LINKÖPING</t>
        </is>
      </c>
      <c r="G483" t="n">
        <v>7.6</v>
      </c>
      <c r="H483" t="n">
        <v>0</v>
      </c>
      <c r="I483" t="n">
        <v>0</v>
      </c>
      <c r="J483" t="n">
        <v>0</v>
      </c>
      <c r="K483" t="n">
        <v>0</v>
      </c>
      <c r="L483" t="n">
        <v>0</v>
      </c>
      <c r="M483" t="n">
        <v>0</v>
      </c>
      <c r="N483" t="n">
        <v>0</v>
      </c>
      <c r="O483" t="n">
        <v>0</v>
      </c>
      <c r="P483" t="n">
        <v>0</v>
      </c>
      <c r="Q483" t="n">
        <v>0</v>
      </c>
      <c r="R483" s="2" t="inlineStr"/>
    </row>
    <row r="484" ht="15" customHeight="1">
      <c r="A484" t="inlineStr">
        <is>
          <t>A 54333-2025</t>
        </is>
      </c>
      <c r="B484" s="1" t="n">
        <v>45965.35090277778</v>
      </c>
      <c r="C484" s="1" t="n">
        <v>46035</v>
      </c>
      <c r="D484" t="inlineStr">
        <is>
          <t>ÖSTERGÖTLANDS LÄN</t>
        </is>
      </c>
      <c r="E484" t="inlineStr">
        <is>
          <t>LINKÖPING</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24462-2023</t>
        </is>
      </c>
      <c r="B485" s="1" t="n">
        <v>45082</v>
      </c>
      <c r="C485" s="1" t="n">
        <v>46035</v>
      </c>
      <c r="D485" t="inlineStr">
        <is>
          <t>ÖSTERGÖTLANDS LÄN</t>
        </is>
      </c>
      <c r="E485" t="inlineStr">
        <is>
          <t>LINKÖPING</t>
        </is>
      </c>
      <c r="G485" t="n">
        <v>3.5</v>
      </c>
      <c r="H485" t="n">
        <v>0</v>
      </c>
      <c r="I485" t="n">
        <v>0</v>
      </c>
      <c r="J485" t="n">
        <v>0</v>
      </c>
      <c r="K485" t="n">
        <v>0</v>
      </c>
      <c r="L485" t="n">
        <v>0</v>
      </c>
      <c r="M485" t="n">
        <v>0</v>
      </c>
      <c r="N485" t="n">
        <v>0</v>
      </c>
      <c r="O485" t="n">
        <v>0</v>
      </c>
      <c r="P485" t="n">
        <v>0</v>
      </c>
      <c r="Q485" t="n">
        <v>0</v>
      </c>
      <c r="R485" s="2" t="inlineStr"/>
    </row>
    <row r="486" ht="15" customHeight="1">
      <c r="A486" t="inlineStr">
        <is>
          <t>A 54332-2025</t>
        </is>
      </c>
      <c r="B486" s="1" t="n">
        <v>45965.34915509259</v>
      </c>
      <c r="C486" s="1" t="n">
        <v>46035</v>
      </c>
      <c r="D486" t="inlineStr">
        <is>
          <t>ÖSTERGÖTLANDS LÄN</t>
        </is>
      </c>
      <c r="E486" t="inlineStr">
        <is>
          <t>LINKÖPING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48829-2023</t>
        </is>
      </c>
      <c r="B487" s="1" t="n">
        <v>45209.38177083333</v>
      </c>
      <c r="C487" s="1" t="n">
        <v>46035</v>
      </c>
      <c r="D487" t="inlineStr">
        <is>
          <t>ÖSTERGÖTLANDS LÄN</t>
        </is>
      </c>
      <c r="E487" t="inlineStr">
        <is>
          <t>LINKÖPING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62515-2025</t>
        </is>
      </c>
      <c r="B488" s="1" t="n">
        <v>46007.60548611111</v>
      </c>
      <c r="C488" s="1" t="n">
        <v>46035</v>
      </c>
      <c r="D488" t="inlineStr">
        <is>
          <t>ÖSTERGÖTLANDS LÄN</t>
        </is>
      </c>
      <c r="E488" t="inlineStr">
        <is>
          <t>LINKÖPING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38231-2022</t>
        </is>
      </c>
      <c r="B489" s="1" t="n">
        <v>44812</v>
      </c>
      <c r="C489" s="1" t="n">
        <v>46035</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62791-2025</t>
        </is>
      </c>
      <c r="B490" s="1" t="n">
        <v>46008.63266203704</v>
      </c>
      <c r="C490" s="1" t="n">
        <v>46035</v>
      </c>
      <c r="D490" t="inlineStr">
        <is>
          <t>ÖSTERGÖTLANDS LÄN</t>
        </is>
      </c>
      <c r="E490" t="inlineStr">
        <is>
          <t>LINKÖPING</t>
        </is>
      </c>
      <c r="G490" t="n">
        <v>2.4</v>
      </c>
      <c r="H490" t="n">
        <v>0</v>
      </c>
      <c r="I490" t="n">
        <v>0</v>
      </c>
      <c r="J490" t="n">
        <v>0</v>
      </c>
      <c r="K490" t="n">
        <v>0</v>
      </c>
      <c r="L490" t="n">
        <v>0</v>
      </c>
      <c r="M490" t="n">
        <v>0</v>
      </c>
      <c r="N490" t="n">
        <v>0</v>
      </c>
      <c r="O490" t="n">
        <v>0</v>
      </c>
      <c r="P490" t="n">
        <v>0</v>
      </c>
      <c r="Q490" t="n">
        <v>0</v>
      </c>
      <c r="R490" s="2" t="inlineStr"/>
    </row>
    <row r="491" ht="15" customHeight="1">
      <c r="A491" t="inlineStr">
        <is>
          <t>A 50799-2022</t>
        </is>
      </c>
      <c r="B491" s="1" t="n">
        <v>44862</v>
      </c>
      <c r="C491" s="1" t="n">
        <v>46035</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54329-2025</t>
        </is>
      </c>
      <c r="B492" s="1" t="n">
        <v>45965.34706018519</v>
      </c>
      <c r="C492" s="1" t="n">
        <v>46035</v>
      </c>
      <c r="D492" t="inlineStr">
        <is>
          <t>ÖSTERGÖTLANDS LÄN</t>
        </is>
      </c>
      <c r="E492" t="inlineStr">
        <is>
          <t>LINKÖPING</t>
        </is>
      </c>
      <c r="F492" t="inlineStr">
        <is>
          <t>Sveaskog</t>
        </is>
      </c>
      <c r="G492" t="n">
        <v>5.1</v>
      </c>
      <c r="H492" t="n">
        <v>0</v>
      </c>
      <c r="I492" t="n">
        <v>0</v>
      </c>
      <c r="J492" t="n">
        <v>0</v>
      </c>
      <c r="K492" t="n">
        <v>0</v>
      </c>
      <c r="L492" t="n">
        <v>0</v>
      </c>
      <c r="M492" t="n">
        <v>0</v>
      </c>
      <c r="N492" t="n">
        <v>0</v>
      </c>
      <c r="O492" t="n">
        <v>0</v>
      </c>
      <c r="P492" t="n">
        <v>0</v>
      </c>
      <c r="Q492" t="n">
        <v>0</v>
      </c>
      <c r="R492" s="2" t="inlineStr"/>
    </row>
    <row r="493" ht="15" customHeight="1">
      <c r="A493" t="inlineStr">
        <is>
          <t>A 40431-2024</t>
        </is>
      </c>
      <c r="B493" s="1" t="n">
        <v>45555.47070601852</v>
      </c>
      <c r="C493" s="1" t="n">
        <v>46035</v>
      </c>
      <c r="D493" t="inlineStr">
        <is>
          <t>ÖSTERGÖTLANDS LÄN</t>
        </is>
      </c>
      <c r="E493" t="inlineStr">
        <is>
          <t>LINKÖPING</t>
        </is>
      </c>
      <c r="F493" t="inlineStr">
        <is>
          <t>Allmännings- och besparingsskogar</t>
        </is>
      </c>
      <c r="G493" t="n">
        <v>2.9</v>
      </c>
      <c r="H493" t="n">
        <v>0</v>
      </c>
      <c r="I493" t="n">
        <v>0</v>
      </c>
      <c r="J493" t="n">
        <v>0</v>
      </c>
      <c r="K493" t="n">
        <v>0</v>
      </c>
      <c r="L493" t="n">
        <v>0</v>
      </c>
      <c r="M493" t="n">
        <v>0</v>
      </c>
      <c r="N493" t="n">
        <v>0</v>
      </c>
      <c r="O493" t="n">
        <v>0</v>
      </c>
      <c r="P493" t="n">
        <v>0</v>
      </c>
      <c r="Q493" t="n">
        <v>0</v>
      </c>
      <c r="R493" s="2" t="inlineStr"/>
    </row>
    <row r="494" ht="15" customHeight="1">
      <c r="A494" t="inlineStr">
        <is>
          <t>A 267-2023</t>
        </is>
      </c>
      <c r="B494" s="1" t="n">
        <v>44928.80907407407</v>
      </c>
      <c r="C494" s="1" t="n">
        <v>46035</v>
      </c>
      <c r="D494" t="inlineStr">
        <is>
          <t>ÖSTERGÖTLANDS LÄN</t>
        </is>
      </c>
      <c r="E494" t="inlineStr">
        <is>
          <t>LINKÖPING</t>
        </is>
      </c>
      <c r="G494" t="n">
        <v>2.7</v>
      </c>
      <c r="H494" t="n">
        <v>0</v>
      </c>
      <c r="I494" t="n">
        <v>0</v>
      </c>
      <c r="J494" t="n">
        <v>0</v>
      </c>
      <c r="K494" t="n">
        <v>0</v>
      </c>
      <c r="L494" t="n">
        <v>0</v>
      </c>
      <c r="M494" t="n">
        <v>0</v>
      </c>
      <c r="N494" t="n">
        <v>0</v>
      </c>
      <c r="O494" t="n">
        <v>0</v>
      </c>
      <c r="P494" t="n">
        <v>0</v>
      </c>
      <c r="Q494" t="n">
        <v>0</v>
      </c>
      <c r="R494" s="2" t="inlineStr"/>
    </row>
    <row r="495" ht="15" customHeight="1">
      <c r="A495" t="inlineStr">
        <is>
          <t>A 26618-2023</t>
        </is>
      </c>
      <c r="B495" s="1" t="n">
        <v>45092.70306712963</v>
      </c>
      <c r="C495" s="1" t="n">
        <v>46035</v>
      </c>
      <c r="D495" t="inlineStr">
        <is>
          <t>ÖSTERGÖTLANDS LÄN</t>
        </is>
      </c>
      <c r="E495" t="inlineStr">
        <is>
          <t>LINKÖPING</t>
        </is>
      </c>
      <c r="G495" t="n">
        <v>6.9</v>
      </c>
      <c r="H495" t="n">
        <v>0</v>
      </c>
      <c r="I495" t="n">
        <v>0</v>
      </c>
      <c r="J495" t="n">
        <v>0</v>
      </c>
      <c r="K495" t="n">
        <v>0</v>
      </c>
      <c r="L495" t="n">
        <v>0</v>
      </c>
      <c r="M495" t="n">
        <v>0</v>
      </c>
      <c r="N495" t="n">
        <v>0</v>
      </c>
      <c r="O495" t="n">
        <v>0</v>
      </c>
      <c r="P495" t="n">
        <v>0</v>
      </c>
      <c r="Q495" t="n">
        <v>0</v>
      </c>
      <c r="R495" s="2" t="inlineStr"/>
    </row>
    <row r="496" ht="15" customHeight="1">
      <c r="A496" t="inlineStr">
        <is>
          <t>A 63665-2023</t>
        </is>
      </c>
      <c r="B496" s="1" t="n">
        <v>45275</v>
      </c>
      <c r="C496" s="1" t="n">
        <v>46035</v>
      </c>
      <c r="D496" t="inlineStr">
        <is>
          <t>ÖSTERGÖTLANDS LÄN</t>
        </is>
      </c>
      <c r="E496" t="inlineStr">
        <is>
          <t>LINKÖPING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30429-2024</t>
        </is>
      </c>
      <c r="B497" s="1" t="n">
        <v>45491.68972222223</v>
      </c>
      <c r="C497" s="1" t="n">
        <v>46035</v>
      </c>
      <c r="D497" t="inlineStr">
        <is>
          <t>ÖSTERGÖTLANDS LÄN</t>
        </is>
      </c>
      <c r="E497" t="inlineStr">
        <is>
          <t>LINKÖPING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55109-2025</t>
        </is>
      </c>
      <c r="B498" s="1" t="n">
        <v>45968.37731481482</v>
      </c>
      <c r="C498" s="1" t="n">
        <v>46035</v>
      </c>
      <c r="D498" t="inlineStr">
        <is>
          <t>ÖSTERGÖTLANDS LÄN</t>
        </is>
      </c>
      <c r="E498" t="inlineStr">
        <is>
          <t>LINKÖPING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30435-2024</t>
        </is>
      </c>
      <c r="B499" s="1" t="n">
        <v>45491.69962962963</v>
      </c>
      <c r="C499" s="1" t="n">
        <v>46035</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53816-2023</t>
        </is>
      </c>
      <c r="B500" s="1" t="n">
        <v>45231.40012731482</v>
      </c>
      <c r="C500" s="1" t="n">
        <v>46035</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36557-2023</t>
        </is>
      </c>
      <c r="B501" s="1" t="n">
        <v>45153</v>
      </c>
      <c r="C501" s="1" t="n">
        <v>46035</v>
      </c>
      <c r="D501" t="inlineStr">
        <is>
          <t>ÖSTERGÖTLANDS LÄN</t>
        </is>
      </c>
      <c r="E501" t="inlineStr">
        <is>
          <t>LINKÖPING</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6599-2023</t>
        </is>
      </c>
      <c r="B502" s="1" t="n">
        <v>44966.52603009259</v>
      </c>
      <c r="C502" s="1" t="n">
        <v>46035</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43473-2024</t>
        </is>
      </c>
      <c r="B503" s="1" t="n">
        <v>45568</v>
      </c>
      <c r="C503" s="1" t="n">
        <v>46035</v>
      </c>
      <c r="D503" t="inlineStr">
        <is>
          <t>ÖSTERGÖTLANDS LÄN</t>
        </is>
      </c>
      <c r="E503" t="inlineStr">
        <is>
          <t>LINKÖPING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55165-2025</t>
        </is>
      </c>
      <c r="B504" s="1" t="n">
        <v>45968.48194444444</v>
      </c>
      <c r="C504" s="1" t="n">
        <v>46035</v>
      </c>
      <c r="D504" t="inlineStr">
        <is>
          <t>ÖSTERGÖTLANDS LÄN</t>
        </is>
      </c>
      <c r="E504" t="inlineStr">
        <is>
          <t>LINKÖPING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63144-2025</t>
        </is>
      </c>
      <c r="B505" s="1" t="n">
        <v>46010.34716435185</v>
      </c>
      <c r="C505" s="1" t="n">
        <v>46035</v>
      </c>
      <c r="D505" t="inlineStr">
        <is>
          <t>ÖSTERGÖTLANDS LÄN</t>
        </is>
      </c>
      <c r="E505" t="inlineStr">
        <is>
          <t>LINKÖPING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63147-2025</t>
        </is>
      </c>
      <c r="B506" s="1" t="n">
        <v>46010.35003472222</v>
      </c>
      <c r="C506" s="1" t="n">
        <v>46035</v>
      </c>
      <c r="D506" t="inlineStr">
        <is>
          <t>ÖSTERGÖTLANDS LÄN</t>
        </is>
      </c>
      <c r="E506" t="inlineStr">
        <is>
          <t>LINKÖPING</t>
        </is>
      </c>
      <c r="G506" t="n">
        <v>4</v>
      </c>
      <c r="H506" t="n">
        <v>0</v>
      </c>
      <c r="I506" t="n">
        <v>0</v>
      </c>
      <c r="J506" t="n">
        <v>0</v>
      </c>
      <c r="K506" t="n">
        <v>0</v>
      </c>
      <c r="L506" t="n">
        <v>0</v>
      </c>
      <c r="M506" t="n">
        <v>0</v>
      </c>
      <c r="N506" t="n">
        <v>0</v>
      </c>
      <c r="O506" t="n">
        <v>0</v>
      </c>
      <c r="P506" t="n">
        <v>0</v>
      </c>
      <c r="Q506" t="n">
        <v>0</v>
      </c>
      <c r="R506" s="2" t="inlineStr"/>
    </row>
    <row r="507" ht="15" customHeight="1">
      <c r="A507" t="inlineStr">
        <is>
          <t>A 55102-2025</t>
        </is>
      </c>
      <c r="B507" s="1" t="n">
        <v>45968.35410879629</v>
      </c>
      <c r="C507" s="1" t="n">
        <v>46035</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55132-2025</t>
        </is>
      </c>
      <c r="B508" s="1" t="n">
        <v>45968.41912037037</v>
      </c>
      <c r="C508" s="1" t="n">
        <v>46035</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61532-2021</t>
        </is>
      </c>
      <c r="B509" s="1" t="n">
        <v>44501</v>
      </c>
      <c r="C509" s="1" t="n">
        <v>46035</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3374-2023</t>
        </is>
      </c>
      <c r="B510" s="1" t="n">
        <v>44949</v>
      </c>
      <c r="C510" s="1" t="n">
        <v>46035</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224-2024</t>
        </is>
      </c>
      <c r="B511" s="1" t="n">
        <v>45294</v>
      </c>
      <c r="C511" s="1" t="n">
        <v>46035</v>
      </c>
      <c r="D511" t="inlineStr">
        <is>
          <t>ÖSTERGÖTLANDS LÄN</t>
        </is>
      </c>
      <c r="E511" t="inlineStr">
        <is>
          <t>LINKÖPING</t>
        </is>
      </c>
      <c r="G511" t="n">
        <v>2.8</v>
      </c>
      <c r="H511" t="n">
        <v>0</v>
      </c>
      <c r="I511" t="n">
        <v>0</v>
      </c>
      <c r="J511" t="n">
        <v>0</v>
      </c>
      <c r="K511" t="n">
        <v>0</v>
      </c>
      <c r="L511" t="n">
        <v>0</v>
      </c>
      <c r="M511" t="n">
        <v>0</v>
      </c>
      <c r="N511" t="n">
        <v>0</v>
      </c>
      <c r="O511" t="n">
        <v>0</v>
      </c>
      <c r="P511" t="n">
        <v>0</v>
      </c>
      <c r="Q511" t="n">
        <v>0</v>
      </c>
      <c r="R511" s="2" t="inlineStr"/>
    </row>
    <row r="512" ht="15" customHeight="1">
      <c r="A512" t="inlineStr">
        <is>
          <t>A 6726-2024</t>
        </is>
      </c>
      <c r="B512" s="1" t="n">
        <v>45341</v>
      </c>
      <c r="C512" s="1" t="n">
        <v>46035</v>
      </c>
      <c r="D512" t="inlineStr">
        <is>
          <t>ÖSTERGÖTLANDS LÄN</t>
        </is>
      </c>
      <c r="E512" t="inlineStr">
        <is>
          <t>LINKÖPING</t>
        </is>
      </c>
      <c r="G512" t="n">
        <v>2.7</v>
      </c>
      <c r="H512" t="n">
        <v>0</v>
      </c>
      <c r="I512" t="n">
        <v>0</v>
      </c>
      <c r="J512" t="n">
        <v>0</v>
      </c>
      <c r="K512" t="n">
        <v>0</v>
      </c>
      <c r="L512" t="n">
        <v>0</v>
      </c>
      <c r="M512" t="n">
        <v>0</v>
      </c>
      <c r="N512" t="n">
        <v>0</v>
      </c>
      <c r="O512" t="n">
        <v>0</v>
      </c>
      <c r="P512" t="n">
        <v>0</v>
      </c>
      <c r="Q512" t="n">
        <v>0</v>
      </c>
      <c r="R512" s="2" t="inlineStr"/>
    </row>
    <row r="513" ht="15" customHeight="1">
      <c r="A513" t="inlineStr">
        <is>
          <t>A 53814-2023</t>
        </is>
      </c>
      <c r="B513" s="1" t="n">
        <v>45231</v>
      </c>
      <c r="C513" s="1" t="n">
        <v>46035</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56105-2025</t>
        </is>
      </c>
      <c r="B514" s="1" t="n">
        <v>45973.72855324074</v>
      </c>
      <c r="C514" s="1" t="n">
        <v>46035</v>
      </c>
      <c r="D514" t="inlineStr">
        <is>
          <t>ÖSTERGÖTLANDS LÄN</t>
        </is>
      </c>
      <c r="E514" t="inlineStr">
        <is>
          <t>LINKÖPING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56403-2025</t>
        </is>
      </c>
      <c r="B515" s="1" t="n">
        <v>45974</v>
      </c>
      <c r="C515" s="1" t="n">
        <v>46035</v>
      </c>
      <c r="D515" t="inlineStr">
        <is>
          <t>ÖSTERGÖTLANDS LÄN</t>
        </is>
      </c>
      <c r="E515" t="inlineStr">
        <is>
          <t>LINKÖPING</t>
        </is>
      </c>
      <c r="G515" t="n">
        <v>3.3</v>
      </c>
      <c r="H515" t="n">
        <v>0</v>
      </c>
      <c r="I515" t="n">
        <v>0</v>
      </c>
      <c r="J515" t="n">
        <v>0</v>
      </c>
      <c r="K515" t="n">
        <v>0</v>
      </c>
      <c r="L515" t="n">
        <v>0</v>
      </c>
      <c r="M515" t="n">
        <v>0</v>
      </c>
      <c r="N515" t="n">
        <v>0</v>
      </c>
      <c r="O515" t="n">
        <v>0</v>
      </c>
      <c r="P515" t="n">
        <v>0</v>
      </c>
      <c r="Q515" t="n">
        <v>0</v>
      </c>
      <c r="R515" s="2" t="inlineStr"/>
    </row>
    <row r="516" ht="15" customHeight="1">
      <c r="A516" t="inlineStr">
        <is>
          <t>A 60004-2022</t>
        </is>
      </c>
      <c r="B516" s="1" t="n">
        <v>44909.47206018519</v>
      </c>
      <c r="C516" s="1" t="n">
        <v>46035</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56113-2025</t>
        </is>
      </c>
      <c r="B517" s="1" t="n">
        <v>45973.73924768518</v>
      </c>
      <c r="C517" s="1" t="n">
        <v>46035</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52796-2023</t>
        </is>
      </c>
      <c r="B518" s="1" t="n">
        <v>45219</v>
      </c>
      <c r="C518" s="1" t="n">
        <v>46035</v>
      </c>
      <c r="D518" t="inlineStr">
        <is>
          <t>ÖSTERGÖTLANDS LÄN</t>
        </is>
      </c>
      <c r="E518" t="inlineStr">
        <is>
          <t>LINKÖPING</t>
        </is>
      </c>
      <c r="F518" t="inlineStr">
        <is>
          <t>Övriga statliga verk och myndigheter</t>
        </is>
      </c>
      <c r="G518" t="n">
        <v>3.9</v>
      </c>
      <c r="H518" t="n">
        <v>0</v>
      </c>
      <c r="I518" t="n">
        <v>0</v>
      </c>
      <c r="J518" t="n">
        <v>0</v>
      </c>
      <c r="K518" t="n">
        <v>0</v>
      </c>
      <c r="L518" t="n">
        <v>0</v>
      </c>
      <c r="M518" t="n">
        <v>0</v>
      </c>
      <c r="N518" t="n">
        <v>0</v>
      </c>
      <c r="O518" t="n">
        <v>0</v>
      </c>
      <c r="P518" t="n">
        <v>0</v>
      </c>
      <c r="Q518" t="n">
        <v>0</v>
      </c>
      <c r="R518" s="2" t="inlineStr"/>
    </row>
    <row r="519" ht="15" customHeight="1">
      <c r="A519" t="inlineStr">
        <is>
          <t>A 50743-2023</t>
        </is>
      </c>
      <c r="B519" s="1" t="n">
        <v>45217</v>
      </c>
      <c r="C519" s="1" t="n">
        <v>46035</v>
      </c>
      <c r="D519" t="inlineStr">
        <is>
          <t>ÖSTERGÖTLANDS LÄN</t>
        </is>
      </c>
      <c r="E519" t="inlineStr">
        <is>
          <t>LINKÖPING</t>
        </is>
      </c>
      <c r="G519" t="n">
        <v>2.7</v>
      </c>
      <c r="H519" t="n">
        <v>0</v>
      </c>
      <c r="I519" t="n">
        <v>0</v>
      </c>
      <c r="J519" t="n">
        <v>0</v>
      </c>
      <c r="K519" t="n">
        <v>0</v>
      </c>
      <c r="L519" t="n">
        <v>0</v>
      </c>
      <c r="M519" t="n">
        <v>0</v>
      </c>
      <c r="N519" t="n">
        <v>0</v>
      </c>
      <c r="O519" t="n">
        <v>0</v>
      </c>
      <c r="P519" t="n">
        <v>0</v>
      </c>
      <c r="Q519" t="n">
        <v>0</v>
      </c>
      <c r="R519" s="2" t="inlineStr"/>
    </row>
    <row r="520" ht="15" customHeight="1">
      <c r="A520" t="inlineStr">
        <is>
          <t>A 45771-2023</t>
        </is>
      </c>
      <c r="B520" s="1" t="n">
        <v>45195.4384375</v>
      </c>
      <c r="C520" s="1" t="n">
        <v>46035</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56704-2025</t>
        </is>
      </c>
      <c r="B521" s="1" t="n">
        <v>45977.50608796296</v>
      </c>
      <c r="C521" s="1" t="n">
        <v>46035</v>
      </c>
      <c r="D521" t="inlineStr">
        <is>
          <t>ÖSTERGÖTLANDS LÄN</t>
        </is>
      </c>
      <c r="E521" t="inlineStr">
        <is>
          <t>LINKÖPING</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63554-2023</t>
        </is>
      </c>
      <c r="B522" s="1" t="n">
        <v>45275</v>
      </c>
      <c r="C522" s="1" t="n">
        <v>46035</v>
      </c>
      <c r="D522" t="inlineStr">
        <is>
          <t>ÖSTERGÖTLANDS LÄN</t>
        </is>
      </c>
      <c r="E522" t="inlineStr">
        <is>
          <t>LINKÖPING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30111-2024</t>
        </is>
      </c>
      <c r="B523" s="1" t="n">
        <v>45489.46947916667</v>
      </c>
      <c r="C523" s="1" t="n">
        <v>46035</v>
      </c>
      <c r="D523" t="inlineStr">
        <is>
          <t>ÖSTERGÖTLANDS LÄN</t>
        </is>
      </c>
      <c r="E523" t="inlineStr">
        <is>
          <t>LINKÖPING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30119-2024</t>
        </is>
      </c>
      <c r="B524" s="1" t="n">
        <v>45489</v>
      </c>
      <c r="C524" s="1" t="n">
        <v>46035</v>
      </c>
      <c r="D524" t="inlineStr">
        <is>
          <t>ÖSTERGÖTLANDS LÄN</t>
        </is>
      </c>
      <c r="E524" t="inlineStr">
        <is>
          <t>LINKÖPING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6206-2024</t>
        </is>
      </c>
      <c r="B525" s="1" t="n">
        <v>45337.5977662037</v>
      </c>
      <c r="C525" s="1" t="n">
        <v>46035</v>
      </c>
      <c r="D525" t="inlineStr">
        <is>
          <t>ÖSTERGÖTLANDS LÄN</t>
        </is>
      </c>
      <c r="E525" t="inlineStr">
        <is>
          <t>LINKÖPING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15714-2024</t>
        </is>
      </c>
      <c r="B526" s="1" t="n">
        <v>45404.48288194444</v>
      </c>
      <c r="C526" s="1" t="n">
        <v>46035</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30481-2023</t>
        </is>
      </c>
      <c r="B527" s="1" t="n">
        <v>45111</v>
      </c>
      <c r="C527" s="1" t="n">
        <v>46035</v>
      </c>
      <c r="D527" t="inlineStr">
        <is>
          <t>ÖSTERGÖTLANDS LÄN</t>
        </is>
      </c>
      <c r="E527" t="inlineStr">
        <is>
          <t>LINKÖPING</t>
        </is>
      </c>
      <c r="F527" t="inlineStr">
        <is>
          <t>Övriga Aktiebolag</t>
        </is>
      </c>
      <c r="G527" t="n">
        <v>2</v>
      </c>
      <c r="H527" t="n">
        <v>0</v>
      </c>
      <c r="I527" t="n">
        <v>0</v>
      </c>
      <c r="J527" t="n">
        <v>0</v>
      </c>
      <c r="K527" t="n">
        <v>0</v>
      </c>
      <c r="L527" t="n">
        <v>0</v>
      </c>
      <c r="M527" t="n">
        <v>0</v>
      </c>
      <c r="N527" t="n">
        <v>0</v>
      </c>
      <c r="O527" t="n">
        <v>0</v>
      </c>
      <c r="P527" t="n">
        <v>0</v>
      </c>
      <c r="Q527" t="n">
        <v>0</v>
      </c>
      <c r="R527" s="2" t="inlineStr"/>
    </row>
    <row r="528" ht="15" customHeight="1">
      <c r="A528" t="inlineStr">
        <is>
          <t>A 74160-2021</t>
        </is>
      </c>
      <c r="B528" s="1" t="n">
        <v>44558</v>
      </c>
      <c r="C528" s="1" t="n">
        <v>46035</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63559-2023</t>
        </is>
      </c>
      <c r="B529" s="1" t="n">
        <v>45275.35924768518</v>
      </c>
      <c r="C529" s="1" t="n">
        <v>46035</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23491-2024</t>
        </is>
      </c>
      <c r="B530" s="1" t="n">
        <v>45453</v>
      </c>
      <c r="C530" s="1" t="n">
        <v>46035</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29309-2024</t>
        </is>
      </c>
      <c r="B531" s="1" t="n">
        <v>45483</v>
      </c>
      <c r="C531" s="1" t="n">
        <v>46035</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29411-2023</t>
        </is>
      </c>
      <c r="B532" s="1" t="n">
        <v>45106.46225694445</v>
      </c>
      <c r="C532" s="1" t="n">
        <v>46035</v>
      </c>
      <c r="D532" t="inlineStr">
        <is>
          <t>ÖSTERGÖTLANDS LÄN</t>
        </is>
      </c>
      <c r="E532" t="inlineStr">
        <is>
          <t>LINKÖPING</t>
        </is>
      </c>
      <c r="G532" t="n">
        <v>2.5</v>
      </c>
      <c r="H532" t="n">
        <v>0</v>
      </c>
      <c r="I532" t="n">
        <v>0</v>
      </c>
      <c r="J532" t="n">
        <v>0</v>
      </c>
      <c r="K532" t="n">
        <v>0</v>
      </c>
      <c r="L532" t="n">
        <v>0</v>
      </c>
      <c r="M532" t="n">
        <v>0</v>
      </c>
      <c r="N532" t="n">
        <v>0</v>
      </c>
      <c r="O532" t="n">
        <v>0</v>
      </c>
      <c r="P532" t="n">
        <v>0</v>
      </c>
      <c r="Q532" t="n">
        <v>0</v>
      </c>
      <c r="R532" s="2" t="inlineStr"/>
    </row>
    <row r="533" ht="15" customHeight="1">
      <c r="A533" t="inlineStr">
        <is>
          <t>A 29412-2023</t>
        </is>
      </c>
      <c r="B533" s="1" t="n">
        <v>45106.46359953703</v>
      </c>
      <c r="C533" s="1" t="n">
        <v>46035</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29413-2023</t>
        </is>
      </c>
      <c r="B534" s="1" t="n">
        <v>45106.46465277778</v>
      </c>
      <c r="C534" s="1" t="n">
        <v>46035</v>
      </c>
      <c r="D534" t="inlineStr">
        <is>
          <t>ÖSTERGÖTLANDS LÄN</t>
        </is>
      </c>
      <c r="E534" t="inlineStr">
        <is>
          <t>LINKÖPING</t>
        </is>
      </c>
      <c r="G534" t="n">
        <v>8</v>
      </c>
      <c r="H534" t="n">
        <v>0</v>
      </c>
      <c r="I534" t="n">
        <v>0</v>
      </c>
      <c r="J534" t="n">
        <v>0</v>
      </c>
      <c r="K534" t="n">
        <v>0</v>
      </c>
      <c r="L534" t="n">
        <v>0</v>
      </c>
      <c r="M534" t="n">
        <v>0</v>
      </c>
      <c r="N534" t="n">
        <v>0</v>
      </c>
      <c r="O534" t="n">
        <v>0</v>
      </c>
      <c r="P534" t="n">
        <v>0</v>
      </c>
      <c r="Q534" t="n">
        <v>0</v>
      </c>
      <c r="R534" s="2" t="inlineStr"/>
    </row>
    <row r="535" ht="15" customHeight="1">
      <c r="A535" t="inlineStr">
        <is>
          <t>A 24151-2024</t>
        </is>
      </c>
      <c r="B535" s="1" t="n">
        <v>45456.67717592593</v>
      </c>
      <c r="C535" s="1" t="n">
        <v>46035</v>
      </c>
      <c r="D535" t="inlineStr">
        <is>
          <t>ÖSTERGÖTLANDS LÄN</t>
        </is>
      </c>
      <c r="E535" t="inlineStr">
        <is>
          <t>LINKÖPING</t>
        </is>
      </c>
      <c r="G535" t="n">
        <v>2.1</v>
      </c>
      <c r="H535" t="n">
        <v>0</v>
      </c>
      <c r="I535" t="n">
        <v>0</v>
      </c>
      <c r="J535" t="n">
        <v>0</v>
      </c>
      <c r="K535" t="n">
        <v>0</v>
      </c>
      <c r="L535" t="n">
        <v>0</v>
      </c>
      <c r="M535" t="n">
        <v>0</v>
      </c>
      <c r="N535" t="n">
        <v>0</v>
      </c>
      <c r="O535" t="n">
        <v>0</v>
      </c>
      <c r="P535" t="n">
        <v>0</v>
      </c>
      <c r="Q535" t="n">
        <v>0</v>
      </c>
      <c r="R535" s="2" t="inlineStr"/>
    </row>
    <row r="536" ht="15" customHeight="1">
      <c r="A536" t="inlineStr">
        <is>
          <t>A 63845-2021</t>
        </is>
      </c>
      <c r="B536" s="1" t="n">
        <v>44509</v>
      </c>
      <c r="C536" s="1" t="n">
        <v>46035</v>
      </c>
      <c r="D536" t="inlineStr">
        <is>
          <t>ÖSTERGÖTLANDS LÄN</t>
        </is>
      </c>
      <c r="E536" t="inlineStr">
        <is>
          <t>LINKÖPING</t>
        </is>
      </c>
      <c r="G536" t="n">
        <v>5</v>
      </c>
      <c r="H536" t="n">
        <v>0</v>
      </c>
      <c r="I536" t="n">
        <v>0</v>
      </c>
      <c r="J536" t="n">
        <v>0</v>
      </c>
      <c r="K536" t="n">
        <v>0</v>
      </c>
      <c r="L536" t="n">
        <v>0</v>
      </c>
      <c r="M536" t="n">
        <v>0</v>
      </c>
      <c r="N536" t="n">
        <v>0</v>
      </c>
      <c r="O536" t="n">
        <v>0</v>
      </c>
      <c r="P536" t="n">
        <v>0</v>
      </c>
      <c r="Q536" t="n">
        <v>0</v>
      </c>
      <c r="R536" s="2" t="inlineStr"/>
    </row>
    <row r="537" ht="15" customHeight="1">
      <c r="A537" t="inlineStr">
        <is>
          <t>A 17785-2023</t>
        </is>
      </c>
      <c r="B537" s="1" t="n">
        <v>45037.55094907407</v>
      </c>
      <c r="C537" s="1" t="n">
        <v>46035</v>
      </c>
      <c r="D537" t="inlineStr">
        <is>
          <t>ÖSTERGÖTLANDS LÄN</t>
        </is>
      </c>
      <c r="E537" t="inlineStr">
        <is>
          <t>LINKÖPING</t>
        </is>
      </c>
      <c r="F537" t="inlineStr">
        <is>
          <t>Allmännings- och besparingsskogar</t>
        </is>
      </c>
      <c r="G537" t="n">
        <v>3.1</v>
      </c>
      <c r="H537" t="n">
        <v>0</v>
      </c>
      <c r="I537" t="n">
        <v>0</v>
      </c>
      <c r="J537" t="n">
        <v>0</v>
      </c>
      <c r="K537" t="n">
        <v>0</v>
      </c>
      <c r="L537" t="n">
        <v>0</v>
      </c>
      <c r="M537" t="n">
        <v>0</v>
      </c>
      <c r="N537" t="n">
        <v>0</v>
      </c>
      <c r="O537" t="n">
        <v>0</v>
      </c>
      <c r="P537" t="n">
        <v>0</v>
      </c>
      <c r="Q537" t="n">
        <v>0</v>
      </c>
      <c r="R537" s="2" t="inlineStr"/>
    </row>
    <row r="538" ht="15" customHeight="1">
      <c r="A538" t="inlineStr">
        <is>
          <t>A 32346-2023</t>
        </is>
      </c>
      <c r="B538" s="1" t="n">
        <v>45120</v>
      </c>
      <c r="C538" s="1" t="n">
        <v>46035</v>
      </c>
      <c r="D538" t="inlineStr">
        <is>
          <t>ÖSTERGÖTLANDS LÄN</t>
        </is>
      </c>
      <c r="E538" t="inlineStr">
        <is>
          <t>LINKÖPING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1627-2023</t>
        </is>
      </c>
      <c r="B539" s="1" t="n">
        <v>44937</v>
      </c>
      <c r="C539" s="1" t="n">
        <v>46035</v>
      </c>
      <c r="D539" t="inlineStr">
        <is>
          <t>ÖSTERGÖTLANDS LÄN</t>
        </is>
      </c>
      <c r="E539" t="inlineStr">
        <is>
          <t>LINKÖPING</t>
        </is>
      </c>
      <c r="G539" t="n">
        <v>10.8</v>
      </c>
      <c r="H539" t="n">
        <v>0</v>
      </c>
      <c r="I539" t="n">
        <v>0</v>
      </c>
      <c r="J539" t="n">
        <v>0</v>
      </c>
      <c r="K539" t="n">
        <v>0</v>
      </c>
      <c r="L539" t="n">
        <v>0</v>
      </c>
      <c r="M539" t="n">
        <v>0</v>
      </c>
      <c r="N539" t="n">
        <v>0</v>
      </c>
      <c r="O539" t="n">
        <v>0</v>
      </c>
      <c r="P539" t="n">
        <v>0</v>
      </c>
      <c r="Q539" t="n">
        <v>0</v>
      </c>
      <c r="R539" s="2" t="inlineStr"/>
    </row>
    <row r="540" ht="15" customHeight="1">
      <c r="A540" t="inlineStr">
        <is>
          <t>A 16665-2023</t>
        </is>
      </c>
      <c r="B540" s="1" t="n">
        <v>45030.5583912037</v>
      </c>
      <c r="C540" s="1" t="n">
        <v>46035</v>
      </c>
      <c r="D540" t="inlineStr">
        <is>
          <t>ÖSTERGÖTLANDS LÄN</t>
        </is>
      </c>
      <c r="E540" t="inlineStr">
        <is>
          <t>LINKÖPING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60860-2024</t>
        </is>
      </c>
      <c r="B541" s="1" t="n">
        <v>45644.6893287037</v>
      </c>
      <c r="C541" s="1" t="n">
        <v>46035</v>
      </c>
      <c r="D541" t="inlineStr">
        <is>
          <t>ÖSTERGÖTLANDS LÄN</t>
        </is>
      </c>
      <c r="E541" t="inlineStr">
        <is>
          <t>LINKÖPING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31640-2023</t>
        </is>
      </c>
      <c r="B542" s="1" t="n">
        <v>45117</v>
      </c>
      <c r="C542" s="1" t="n">
        <v>46035</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16213-2025</t>
        </is>
      </c>
      <c r="B543" s="1" t="n">
        <v>45750.62740740741</v>
      </c>
      <c r="C543" s="1" t="n">
        <v>46035</v>
      </c>
      <c r="D543" t="inlineStr">
        <is>
          <t>ÖSTERGÖTLANDS LÄN</t>
        </is>
      </c>
      <c r="E543" t="inlineStr">
        <is>
          <t>LINKÖPING</t>
        </is>
      </c>
      <c r="G543" t="n">
        <v>3.4</v>
      </c>
      <c r="H543" t="n">
        <v>0</v>
      </c>
      <c r="I543" t="n">
        <v>0</v>
      </c>
      <c r="J543" t="n">
        <v>0</v>
      </c>
      <c r="K543" t="n">
        <v>0</v>
      </c>
      <c r="L543" t="n">
        <v>0</v>
      </c>
      <c r="M543" t="n">
        <v>0</v>
      </c>
      <c r="N543" t="n">
        <v>0</v>
      </c>
      <c r="O543" t="n">
        <v>0</v>
      </c>
      <c r="P543" t="n">
        <v>0</v>
      </c>
      <c r="Q543" t="n">
        <v>0</v>
      </c>
      <c r="R543" s="2" t="inlineStr"/>
    </row>
    <row r="544" ht="15" customHeight="1">
      <c r="A544" t="inlineStr">
        <is>
          <t>A 34872-2023</t>
        </is>
      </c>
      <c r="B544" s="1" t="n">
        <v>45140</v>
      </c>
      <c r="C544" s="1" t="n">
        <v>46035</v>
      </c>
      <c r="D544" t="inlineStr">
        <is>
          <t>ÖSTERGÖTLANDS LÄN</t>
        </is>
      </c>
      <c r="E544" t="inlineStr">
        <is>
          <t>LINKÖPING</t>
        </is>
      </c>
      <c r="G544" t="n">
        <v>4.8</v>
      </c>
      <c r="H544" t="n">
        <v>0</v>
      </c>
      <c r="I544" t="n">
        <v>0</v>
      </c>
      <c r="J544" t="n">
        <v>0</v>
      </c>
      <c r="K544" t="n">
        <v>0</v>
      </c>
      <c r="L544" t="n">
        <v>0</v>
      </c>
      <c r="M544" t="n">
        <v>0</v>
      </c>
      <c r="N544" t="n">
        <v>0</v>
      </c>
      <c r="O544" t="n">
        <v>0</v>
      </c>
      <c r="P544" t="n">
        <v>0</v>
      </c>
      <c r="Q544" t="n">
        <v>0</v>
      </c>
      <c r="R544" s="2" t="inlineStr"/>
    </row>
    <row r="545" ht="15" customHeight="1">
      <c r="A545" t="inlineStr">
        <is>
          <t>A 33000-2023</t>
        </is>
      </c>
      <c r="B545" s="1" t="n">
        <v>45125</v>
      </c>
      <c r="C545" s="1" t="n">
        <v>46035</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55004-2025</t>
        </is>
      </c>
      <c r="B546" s="1" t="n">
        <v>45967</v>
      </c>
      <c r="C546" s="1" t="n">
        <v>46035</v>
      </c>
      <c r="D546" t="inlineStr">
        <is>
          <t>ÖSTERGÖTLANDS LÄN</t>
        </is>
      </c>
      <c r="E546" t="inlineStr">
        <is>
          <t>LINKÖPING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2997-2025</t>
        </is>
      </c>
      <c r="B547" s="1" t="n">
        <v>45678.54631944445</v>
      </c>
      <c r="C547" s="1" t="n">
        <v>46035</v>
      </c>
      <c r="D547" t="inlineStr">
        <is>
          <t>ÖSTERGÖTLANDS LÄN</t>
        </is>
      </c>
      <c r="E547" t="inlineStr">
        <is>
          <t>LINKÖPING</t>
        </is>
      </c>
      <c r="G547" t="n">
        <v>2.7</v>
      </c>
      <c r="H547" t="n">
        <v>0</v>
      </c>
      <c r="I547" t="n">
        <v>0</v>
      </c>
      <c r="J547" t="n">
        <v>0</v>
      </c>
      <c r="K547" t="n">
        <v>0</v>
      </c>
      <c r="L547" t="n">
        <v>0</v>
      </c>
      <c r="M547" t="n">
        <v>0</v>
      </c>
      <c r="N547" t="n">
        <v>0</v>
      </c>
      <c r="O547" t="n">
        <v>0</v>
      </c>
      <c r="P547" t="n">
        <v>0</v>
      </c>
      <c r="Q547" t="n">
        <v>0</v>
      </c>
      <c r="R547" s="2" t="inlineStr"/>
    </row>
    <row r="548" ht="15" customHeight="1">
      <c r="A548" t="inlineStr">
        <is>
          <t>A 31534-2023</t>
        </is>
      </c>
      <c r="B548" s="1" t="n">
        <v>45116</v>
      </c>
      <c r="C548" s="1" t="n">
        <v>46035</v>
      </c>
      <c r="D548" t="inlineStr">
        <is>
          <t>ÖSTERGÖTLANDS LÄN</t>
        </is>
      </c>
      <c r="E548" t="inlineStr">
        <is>
          <t>LINKÖPING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927-2026</t>
        </is>
      </c>
      <c r="B549" s="1" t="n">
        <v>46030.50560185185</v>
      </c>
      <c r="C549" s="1" t="n">
        <v>46035</v>
      </c>
      <c r="D549" t="inlineStr">
        <is>
          <t>ÖSTERGÖTLANDS LÄN</t>
        </is>
      </c>
      <c r="E549" t="inlineStr">
        <is>
          <t>LINKÖPING</t>
        </is>
      </c>
      <c r="G549" t="n">
        <v>1.4</v>
      </c>
      <c r="H549" t="n">
        <v>0</v>
      </c>
      <c r="I549" t="n">
        <v>0</v>
      </c>
      <c r="J549" t="n">
        <v>0</v>
      </c>
      <c r="K549" t="n">
        <v>0</v>
      </c>
      <c r="L549" t="n">
        <v>0</v>
      </c>
      <c r="M549" t="n">
        <v>0</v>
      </c>
      <c r="N549" t="n">
        <v>0</v>
      </c>
      <c r="O549" t="n">
        <v>0</v>
      </c>
      <c r="P549" t="n">
        <v>0</v>
      </c>
      <c r="Q549" t="n">
        <v>0</v>
      </c>
      <c r="R549" s="2" t="inlineStr"/>
    </row>
    <row r="550" ht="15" customHeight="1">
      <c r="A550" t="inlineStr">
        <is>
          <t>A 856-2026</t>
        </is>
      </c>
      <c r="B550" s="1" t="n">
        <v>46030.40644675926</v>
      </c>
      <c r="C550" s="1" t="n">
        <v>46035</v>
      </c>
      <c r="D550" t="inlineStr">
        <is>
          <t>ÖSTERGÖTLANDS LÄN</t>
        </is>
      </c>
      <c r="E550" t="inlineStr">
        <is>
          <t>LINKÖPING</t>
        </is>
      </c>
      <c r="G550" t="n">
        <v>6.4</v>
      </c>
      <c r="H550" t="n">
        <v>0</v>
      </c>
      <c r="I550" t="n">
        <v>0</v>
      </c>
      <c r="J550" t="n">
        <v>0</v>
      </c>
      <c r="K550" t="n">
        <v>0</v>
      </c>
      <c r="L550" t="n">
        <v>0</v>
      </c>
      <c r="M550" t="n">
        <v>0</v>
      </c>
      <c r="N550" t="n">
        <v>0</v>
      </c>
      <c r="O550" t="n">
        <v>0</v>
      </c>
      <c r="P550" t="n">
        <v>0</v>
      </c>
      <c r="Q550" t="n">
        <v>0</v>
      </c>
      <c r="R550" s="2" t="inlineStr"/>
    </row>
    <row r="551" ht="15" customHeight="1">
      <c r="A551" t="inlineStr">
        <is>
          <t>A 26803-2024</t>
        </is>
      </c>
      <c r="B551" s="1" t="n">
        <v>45470</v>
      </c>
      <c r="C551" s="1" t="n">
        <v>46035</v>
      </c>
      <c r="D551" t="inlineStr">
        <is>
          <t>ÖSTERGÖTLANDS LÄN</t>
        </is>
      </c>
      <c r="E551" t="inlineStr">
        <is>
          <t>LINKÖPING</t>
        </is>
      </c>
      <c r="F551" t="inlineStr">
        <is>
          <t>Allmännings- och besparingsskogar</t>
        </is>
      </c>
      <c r="G551" t="n">
        <v>4.5</v>
      </c>
      <c r="H551" t="n">
        <v>0</v>
      </c>
      <c r="I551" t="n">
        <v>0</v>
      </c>
      <c r="J551" t="n">
        <v>0</v>
      </c>
      <c r="K551" t="n">
        <v>0</v>
      </c>
      <c r="L551" t="n">
        <v>0</v>
      </c>
      <c r="M551" t="n">
        <v>0</v>
      </c>
      <c r="N551" t="n">
        <v>0</v>
      </c>
      <c r="O551" t="n">
        <v>0</v>
      </c>
      <c r="P551" t="n">
        <v>0</v>
      </c>
      <c r="Q551" t="n">
        <v>0</v>
      </c>
      <c r="R551" s="2" t="inlineStr"/>
    </row>
    <row r="552" ht="15" customHeight="1">
      <c r="A552" t="inlineStr">
        <is>
          <t>A 45806-2024</t>
        </is>
      </c>
      <c r="B552" s="1" t="n">
        <v>45579.69619212963</v>
      </c>
      <c r="C552" s="1" t="n">
        <v>46035</v>
      </c>
      <c r="D552" t="inlineStr">
        <is>
          <t>ÖSTERGÖTLANDS LÄN</t>
        </is>
      </c>
      <c r="E552" t="inlineStr">
        <is>
          <t>LINKÖPING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859-2026</t>
        </is>
      </c>
      <c r="B553" s="1" t="n">
        <v>46030.41450231482</v>
      </c>
      <c r="C553" s="1" t="n">
        <v>46035</v>
      </c>
      <c r="D553" t="inlineStr">
        <is>
          <t>ÖSTERGÖTLANDS LÄN</t>
        </is>
      </c>
      <c r="E553" t="inlineStr">
        <is>
          <t>LINKÖPING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37154-2023</t>
        </is>
      </c>
      <c r="B554" s="1" t="n">
        <v>45155</v>
      </c>
      <c r="C554" s="1" t="n">
        <v>46035</v>
      </c>
      <c r="D554" t="inlineStr">
        <is>
          <t>ÖSTERGÖTLANDS LÄN</t>
        </is>
      </c>
      <c r="E554" t="inlineStr">
        <is>
          <t>LINKÖPING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60866-2025</t>
        </is>
      </c>
      <c r="B555" s="1" t="n">
        <v>45999</v>
      </c>
      <c r="C555" s="1" t="n">
        <v>46035</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11330-2023</t>
        </is>
      </c>
      <c r="B556" s="1" t="n">
        <v>44993.24648148148</v>
      </c>
      <c r="C556" s="1" t="n">
        <v>46035</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42000-2023</t>
        </is>
      </c>
      <c r="B557" s="1" t="n">
        <v>45177</v>
      </c>
      <c r="C557" s="1" t="n">
        <v>46035</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59205-2025</t>
        </is>
      </c>
      <c r="B558" s="1" t="n">
        <v>45988.60721064815</v>
      </c>
      <c r="C558" s="1" t="n">
        <v>46035</v>
      </c>
      <c r="D558" t="inlineStr">
        <is>
          <t>ÖSTERGÖTLANDS LÄN</t>
        </is>
      </c>
      <c r="E558" t="inlineStr">
        <is>
          <t>LINKÖPING</t>
        </is>
      </c>
      <c r="F558" t="inlineStr">
        <is>
          <t>Sveaskog</t>
        </is>
      </c>
      <c r="G558" t="n">
        <v>11.3</v>
      </c>
      <c r="H558" t="n">
        <v>0</v>
      </c>
      <c r="I558" t="n">
        <v>0</v>
      </c>
      <c r="J558" t="n">
        <v>0</v>
      </c>
      <c r="K558" t="n">
        <v>0</v>
      </c>
      <c r="L558" t="n">
        <v>0</v>
      </c>
      <c r="M558" t="n">
        <v>0</v>
      </c>
      <c r="N558" t="n">
        <v>0</v>
      </c>
      <c r="O558" t="n">
        <v>0</v>
      </c>
      <c r="P558" t="n">
        <v>0</v>
      </c>
      <c r="Q558" t="n">
        <v>0</v>
      </c>
      <c r="R558" s="2" t="inlineStr"/>
    </row>
    <row r="559" ht="15" customHeight="1">
      <c r="A559" t="inlineStr">
        <is>
          <t>A 873-2026</t>
        </is>
      </c>
      <c r="B559" s="1" t="n">
        <v>46030.43818287037</v>
      </c>
      <c r="C559" s="1" t="n">
        <v>46035</v>
      </c>
      <c r="D559" t="inlineStr">
        <is>
          <t>ÖSTERGÖTLANDS LÄN</t>
        </is>
      </c>
      <c r="E559" t="inlineStr">
        <is>
          <t>LINKÖPING</t>
        </is>
      </c>
      <c r="G559" t="n">
        <v>4.1</v>
      </c>
      <c r="H559" t="n">
        <v>0</v>
      </c>
      <c r="I559" t="n">
        <v>0</v>
      </c>
      <c r="J559" t="n">
        <v>0</v>
      </c>
      <c r="K559" t="n">
        <v>0</v>
      </c>
      <c r="L559" t="n">
        <v>0</v>
      </c>
      <c r="M559" t="n">
        <v>0</v>
      </c>
      <c r="N559" t="n">
        <v>0</v>
      </c>
      <c r="O559" t="n">
        <v>0</v>
      </c>
      <c r="P559" t="n">
        <v>0</v>
      </c>
      <c r="Q559" t="n">
        <v>0</v>
      </c>
      <c r="R559" s="2" t="inlineStr"/>
    </row>
    <row r="560" ht="15" customHeight="1">
      <c r="A560" t="inlineStr">
        <is>
          <t>A 32602-2022</t>
        </is>
      </c>
      <c r="B560" s="1" t="n">
        <v>44783.43192129629</v>
      </c>
      <c r="C560" s="1" t="n">
        <v>46035</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58802-2025</t>
        </is>
      </c>
      <c r="B561" s="1" t="n">
        <v>45986.8768287037</v>
      </c>
      <c r="C561" s="1" t="n">
        <v>46035</v>
      </c>
      <c r="D561" t="inlineStr">
        <is>
          <t>ÖSTERGÖTLANDS LÄN</t>
        </is>
      </c>
      <c r="E561" t="inlineStr">
        <is>
          <t>LINKÖPING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858-2026</t>
        </is>
      </c>
      <c r="B562" s="1" t="n">
        <v>46030.41200231481</v>
      </c>
      <c r="C562" s="1" t="n">
        <v>46035</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860-2026</t>
        </is>
      </c>
      <c r="B563" s="1" t="n">
        <v>46030.41974537037</v>
      </c>
      <c r="C563" s="1" t="n">
        <v>46035</v>
      </c>
      <c r="D563" t="inlineStr">
        <is>
          <t>ÖSTERGÖTLANDS LÄN</t>
        </is>
      </c>
      <c r="E563" t="inlineStr">
        <is>
          <t>LINKÖPING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940-2026</t>
        </is>
      </c>
      <c r="B564" s="1" t="n">
        <v>46030.53052083333</v>
      </c>
      <c r="C564" s="1" t="n">
        <v>46035</v>
      </c>
      <c r="D564" t="inlineStr">
        <is>
          <t>ÖSTERGÖTLANDS LÄN</t>
        </is>
      </c>
      <c r="E564" t="inlineStr">
        <is>
          <t>LINKÖPING</t>
        </is>
      </c>
      <c r="F564" t="inlineStr">
        <is>
          <t>Allmännings- och besparingsskogar</t>
        </is>
      </c>
      <c r="G564" t="n">
        <v>2.9</v>
      </c>
      <c r="H564" t="n">
        <v>0</v>
      </c>
      <c r="I564" t="n">
        <v>0</v>
      </c>
      <c r="J564" t="n">
        <v>0</v>
      </c>
      <c r="K564" t="n">
        <v>0</v>
      </c>
      <c r="L564" t="n">
        <v>0</v>
      </c>
      <c r="M564" t="n">
        <v>0</v>
      </c>
      <c r="N564" t="n">
        <v>0</v>
      </c>
      <c r="O564" t="n">
        <v>0</v>
      </c>
      <c r="P564" t="n">
        <v>0</v>
      </c>
      <c r="Q564" t="n">
        <v>0</v>
      </c>
      <c r="R564" s="2" t="inlineStr"/>
    </row>
    <row r="565" ht="15" customHeight="1">
      <c r="A565" t="inlineStr">
        <is>
          <t>A 944-2026</t>
        </is>
      </c>
      <c r="B565" s="1" t="n">
        <v>46030.53461805556</v>
      </c>
      <c r="C565" s="1" t="n">
        <v>46035</v>
      </c>
      <c r="D565" t="inlineStr">
        <is>
          <t>ÖSTERGÖTLANDS LÄN</t>
        </is>
      </c>
      <c r="E565" t="inlineStr">
        <is>
          <t>LINKÖPING</t>
        </is>
      </c>
      <c r="F565" t="inlineStr">
        <is>
          <t>Allmännings- och besparingsskogar</t>
        </is>
      </c>
      <c r="G565" t="n">
        <v>0.9</v>
      </c>
      <c r="H565" t="n">
        <v>0</v>
      </c>
      <c r="I565" t="n">
        <v>0</v>
      </c>
      <c r="J565" t="n">
        <v>0</v>
      </c>
      <c r="K565" t="n">
        <v>0</v>
      </c>
      <c r="L565" t="n">
        <v>0</v>
      </c>
      <c r="M565" t="n">
        <v>0</v>
      </c>
      <c r="N565" t="n">
        <v>0</v>
      </c>
      <c r="O565" t="n">
        <v>0</v>
      </c>
      <c r="P565" t="n">
        <v>0</v>
      </c>
      <c r="Q565" t="n">
        <v>0</v>
      </c>
      <c r="R565" s="2" t="inlineStr"/>
    </row>
    <row r="566" ht="15" customHeight="1">
      <c r="A566" t="inlineStr">
        <is>
          <t>A 59472-2025</t>
        </is>
      </c>
      <c r="B566" s="1" t="n">
        <v>45989.58321759259</v>
      </c>
      <c r="C566" s="1" t="n">
        <v>46035</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13413-2023</t>
        </is>
      </c>
      <c r="B567" s="1" t="n">
        <v>45005.58341435185</v>
      </c>
      <c r="C567" s="1" t="n">
        <v>46035</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63528-2023</t>
        </is>
      </c>
      <c r="B568" s="1" t="n">
        <v>45274.94810185185</v>
      </c>
      <c r="C568" s="1" t="n">
        <v>46035</v>
      </c>
      <c r="D568" t="inlineStr">
        <is>
          <t>ÖSTERGÖTLANDS LÄN</t>
        </is>
      </c>
      <c r="E568" t="inlineStr">
        <is>
          <t>LINKÖPING</t>
        </is>
      </c>
      <c r="G568" t="n">
        <v>1.6</v>
      </c>
      <c r="H568" t="n">
        <v>0</v>
      </c>
      <c r="I568" t="n">
        <v>0</v>
      </c>
      <c r="J568" t="n">
        <v>0</v>
      </c>
      <c r="K568" t="n">
        <v>0</v>
      </c>
      <c r="L568" t="n">
        <v>0</v>
      </c>
      <c r="M568" t="n">
        <v>0</v>
      </c>
      <c r="N568" t="n">
        <v>0</v>
      </c>
      <c r="O568" t="n">
        <v>0</v>
      </c>
      <c r="P568" t="n">
        <v>0</v>
      </c>
      <c r="Q568" t="n">
        <v>0</v>
      </c>
      <c r="R568" s="2" t="inlineStr"/>
    </row>
    <row r="569" ht="15" customHeight="1">
      <c r="A569" t="inlineStr">
        <is>
          <t>A 63638-2023</t>
        </is>
      </c>
      <c r="B569" s="1" t="n">
        <v>45275</v>
      </c>
      <c r="C569" s="1" t="n">
        <v>46035</v>
      </c>
      <c r="D569" t="inlineStr">
        <is>
          <t>ÖSTERGÖTLANDS LÄN</t>
        </is>
      </c>
      <c r="E569" t="inlineStr">
        <is>
          <t>LINKÖPING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63658-2023</t>
        </is>
      </c>
      <c r="B570" s="1" t="n">
        <v>45275</v>
      </c>
      <c r="C570" s="1" t="n">
        <v>46035</v>
      </c>
      <c r="D570" t="inlineStr">
        <is>
          <t>ÖSTERGÖTLANDS LÄN</t>
        </is>
      </c>
      <c r="E570" t="inlineStr">
        <is>
          <t>LINKÖPING</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7808-2022</t>
        </is>
      </c>
      <c r="B571" s="1" t="n">
        <v>44608</v>
      </c>
      <c r="C571" s="1" t="n">
        <v>46035</v>
      </c>
      <c r="D571" t="inlineStr">
        <is>
          <t>ÖSTERGÖTLANDS LÄN</t>
        </is>
      </c>
      <c r="E571" t="inlineStr">
        <is>
          <t>LINKÖPING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36336-2023</t>
        </is>
      </c>
      <c r="B572" s="1" t="n">
        <v>45152.45078703704</v>
      </c>
      <c r="C572" s="1" t="n">
        <v>46035</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56623-2024</t>
        </is>
      </c>
      <c r="B573" s="1" t="n">
        <v>45625</v>
      </c>
      <c r="C573" s="1" t="n">
        <v>46035</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13011-2022</t>
        </is>
      </c>
      <c r="B574" s="1" t="n">
        <v>44643</v>
      </c>
      <c r="C574" s="1" t="n">
        <v>46035</v>
      </c>
      <c r="D574" t="inlineStr">
        <is>
          <t>ÖSTERGÖTLANDS LÄN</t>
        </is>
      </c>
      <c r="E574" t="inlineStr">
        <is>
          <t>LINKÖPING</t>
        </is>
      </c>
      <c r="G574" t="n">
        <v>3.7</v>
      </c>
      <c r="H574" t="n">
        <v>0</v>
      </c>
      <c r="I574" t="n">
        <v>0</v>
      </c>
      <c r="J574" t="n">
        <v>0</v>
      </c>
      <c r="K574" t="n">
        <v>0</v>
      </c>
      <c r="L574" t="n">
        <v>0</v>
      </c>
      <c r="M574" t="n">
        <v>0</v>
      </c>
      <c r="N574" t="n">
        <v>0</v>
      </c>
      <c r="O574" t="n">
        <v>0</v>
      </c>
      <c r="P574" t="n">
        <v>0</v>
      </c>
      <c r="Q574" t="n">
        <v>0</v>
      </c>
      <c r="R574" s="2" t="inlineStr"/>
    </row>
    <row r="575" ht="15" customHeight="1">
      <c r="A575" t="inlineStr">
        <is>
          <t>A 1223-2026</t>
        </is>
      </c>
      <c r="B575" s="1" t="n">
        <v>46031.40233796297</v>
      </c>
      <c r="C575" s="1" t="n">
        <v>46035</v>
      </c>
      <c r="D575" t="inlineStr">
        <is>
          <t>ÖSTERGÖTLANDS LÄN</t>
        </is>
      </c>
      <c r="E575" t="inlineStr">
        <is>
          <t>LINKÖPING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11595-2025</t>
        </is>
      </c>
      <c r="B576" s="1" t="n">
        <v>45727.41893518518</v>
      </c>
      <c r="C576" s="1" t="n">
        <v>46035</v>
      </c>
      <c r="D576" t="inlineStr">
        <is>
          <t>ÖSTERGÖTLANDS LÄN</t>
        </is>
      </c>
      <c r="E576" t="inlineStr">
        <is>
          <t>LINKÖPING</t>
        </is>
      </c>
      <c r="G576" t="n">
        <v>6.6</v>
      </c>
      <c r="H576" t="n">
        <v>0</v>
      </c>
      <c r="I576" t="n">
        <v>0</v>
      </c>
      <c r="J576" t="n">
        <v>0</v>
      </c>
      <c r="K576" t="n">
        <v>0</v>
      </c>
      <c r="L576" t="n">
        <v>0</v>
      </c>
      <c r="M576" t="n">
        <v>0</v>
      </c>
      <c r="N576" t="n">
        <v>0</v>
      </c>
      <c r="O576" t="n">
        <v>0</v>
      </c>
      <c r="P576" t="n">
        <v>0</v>
      </c>
      <c r="Q576" t="n">
        <v>0</v>
      </c>
      <c r="R576" s="2" t="inlineStr"/>
    </row>
    <row r="577" ht="15" customHeight="1">
      <c r="A577" t="inlineStr">
        <is>
          <t>A 50508-2024</t>
        </is>
      </c>
      <c r="B577" s="1" t="n">
        <v>45601.53907407408</v>
      </c>
      <c r="C577" s="1" t="n">
        <v>46035</v>
      </c>
      <c r="D577" t="inlineStr">
        <is>
          <t>ÖSTERGÖTLANDS LÄN</t>
        </is>
      </c>
      <c r="E577" t="inlineStr">
        <is>
          <t>LINKÖPING</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36336-2022</t>
        </is>
      </c>
      <c r="B578" s="1" t="n">
        <v>44803</v>
      </c>
      <c r="C578" s="1" t="n">
        <v>46035</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48839-2022</t>
        </is>
      </c>
      <c r="B579" s="1" t="n">
        <v>44859</v>
      </c>
      <c r="C579" s="1" t="n">
        <v>46035</v>
      </c>
      <c r="D579" t="inlineStr">
        <is>
          <t>ÖSTERGÖTLANDS LÄN</t>
        </is>
      </c>
      <c r="E579" t="inlineStr">
        <is>
          <t>LINKÖPING</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6387-2022</t>
        </is>
      </c>
      <c r="B580" s="1" t="n">
        <v>44600</v>
      </c>
      <c r="C580" s="1" t="n">
        <v>46035</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34641-2022</t>
        </is>
      </c>
      <c r="B581" s="1" t="n">
        <v>44795</v>
      </c>
      <c r="C581" s="1" t="n">
        <v>46035</v>
      </c>
      <c r="D581" t="inlineStr">
        <is>
          <t>ÖSTERGÖTLANDS LÄN</t>
        </is>
      </c>
      <c r="E581" t="inlineStr">
        <is>
          <t>LINKÖPING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13687-2025</t>
        </is>
      </c>
      <c r="B582" s="1" t="n">
        <v>45737.31425925926</v>
      </c>
      <c r="C582" s="1" t="n">
        <v>46035</v>
      </c>
      <c r="D582" t="inlineStr">
        <is>
          <t>ÖSTERGÖTLANDS LÄN</t>
        </is>
      </c>
      <c r="E582" t="inlineStr">
        <is>
          <t>LINKÖPING</t>
        </is>
      </c>
      <c r="G582" t="n">
        <v>2.7</v>
      </c>
      <c r="H582" t="n">
        <v>0</v>
      </c>
      <c r="I582" t="n">
        <v>0</v>
      </c>
      <c r="J582" t="n">
        <v>0</v>
      </c>
      <c r="K582" t="n">
        <v>0</v>
      </c>
      <c r="L582" t="n">
        <v>0</v>
      </c>
      <c r="M582" t="n">
        <v>0</v>
      </c>
      <c r="N582" t="n">
        <v>0</v>
      </c>
      <c r="O582" t="n">
        <v>0</v>
      </c>
      <c r="P582" t="n">
        <v>0</v>
      </c>
      <c r="Q582" t="n">
        <v>0</v>
      </c>
      <c r="R582" s="2" t="inlineStr"/>
    </row>
    <row r="583" ht="15" customHeight="1">
      <c r="A583" t="inlineStr">
        <is>
          <t>A 13695-2025</t>
        </is>
      </c>
      <c r="B583" s="1" t="n">
        <v>45737.32219907407</v>
      </c>
      <c r="C583" s="1" t="n">
        <v>46035</v>
      </c>
      <c r="D583" t="inlineStr">
        <is>
          <t>ÖSTERGÖTLANDS LÄN</t>
        </is>
      </c>
      <c r="E583" t="inlineStr">
        <is>
          <t>LINKÖPING</t>
        </is>
      </c>
      <c r="G583" t="n">
        <v>5.3</v>
      </c>
      <c r="H583" t="n">
        <v>0</v>
      </c>
      <c r="I583" t="n">
        <v>0</v>
      </c>
      <c r="J583" t="n">
        <v>0</v>
      </c>
      <c r="K583" t="n">
        <v>0</v>
      </c>
      <c r="L583" t="n">
        <v>0</v>
      </c>
      <c r="M583" t="n">
        <v>0</v>
      </c>
      <c r="N583" t="n">
        <v>0</v>
      </c>
      <c r="O583" t="n">
        <v>0</v>
      </c>
      <c r="P583" t="n">
        <v>0</v>
      </c>
      <c r="Q583" t="n">
        <v>0</v>
      </c>
      <c r="R583" s="2" t="inlineStr"/>
    </row>
    <row r="584" ht="15" customHeight="1">
      <c r="A584" t="inlineStr">
        <is>
          <t>A 52413-2023</t>
        </is>
      </c>
      <c r="B584" s="1" t="n">
        <v>45225.27950231481</v>
      </c>
      <c r="C584" s="1" t="n">
        <v>46035</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42054-2022</t>
        </is>
      </c>
      <c r="B585" s="1" t="n">
        <v>44830</v>
      </c>
      <c r="C585" s="1" t="n">
        <v>46035</v>
      </c>
      <c r="D585" t="inlineStr">
        <is>
          <t>ÖSTERGÖTLANDS LÄN</t>
        </is>
      </c>
      <c r="E585" t="inlineStr">
        <is>
          <t>LINKÖPING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53797-2023</t>
        </is>
      </c>
      <c r="B586" s="1" t="n">
        <v>45230</v>
      </c>
      <c r="C586" s="1" t="n">
        <v>46035</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22833-2023</t>
        </is>
      </c>
      <c r="B587" s="1" t="n">
        <v>45071</v>
      </c>
      <c r="C587" s="1" t="n">
        <v>46035</v>
      </c>
      <c r="D587" t="inlineStr">
        <is>
          <t>ÖSTERGÖTLANDS LÄN</t>
        </is>
      </c>
      <c r="E587" t="inlineStr">
        <is>
          <t>LINKÖPING</t>
        </is>
      </c>
      <c r="F587" t="inlineStr">
        <is>
          <t>Kommuner</t>
        </is>
      </c>
      <c r="G587" t="n">
        <v>1</v>
      </c>
      <c r="H587" t="n">
        <v>0</v>
      </c>
      <c r="I587" t="n">
        <v>0</v>
      </c>
      <c r="J587" t="n">
        <v>0</v>
      </c>
      <c r="K587" t="n">
        <v>0</v>
      </c>
      <c r="L587" t="n">
        <v>0</v>
      </c>
      <c r="M587" t="n">
        <v>0</v>
      </c>
      <c r="N587" t="n">
        <v>0</v>
      </c>
      <c r="O587" t="n">
        <v>0</v>
      </c>
      <c r="P587" t="n">
        <v>0</v>
      </c>
      <c r="Q587" t="n">
        <v>0</v>
      </c>
      <c r="R587" s="2" t="inlineStr"/>
    </row>
    <row r="588" ht="15" customHeight="1">
      <c r="A588" t="inlineStr">
        <is>
          <t>A 17898-2022</t>
        </is>
      </c>
      <c r="B588" s="1" t="n">
        <v>44683</v>
      </c>
      <c r="C588" s="1" t="n">
        <v>46035</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62017-2024</t>
        </is>
      </c>
      <c r="B589" s="1" t="n">
        <v>45655.81140046296</v>
      </c>
      <c r="C589" s="1" t="n">
        <v>46035</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12411-2022</t>
        </is>
      </c>
      <c r="B590" s="1" t="n">
        <v>44638.21601851852</v>
      </c>
      <c r="C590" s="1" t="n">
        <v>46035</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10492-2022</t>
        </is>
      </c>
      <c r="B591" s="1" t="n">
        <v>44623.6377199074</v>
      </c>
      <c r="C591" s="1" t="n">
        <v>46035</v>
      </c>
      <c r="D591" t="inlineStr">
        <is>
          <t>ÖSTERGÖTLANDS LÄN</t>
        </is>
      </c>
      <c r="E591" t="inlineStr">
        <is>
          <t>LINKÖPING</t>
        </is>
      </c>
      <c r="G591" t="n">
        <v>2.1</v>
      </c>
      <c r="H591" t="n">
        <v>0</v>
      </c>
      <c r="I591" t="n">
        <v>0</v>
      </c>
      <c r="J591" t="n">
        <v>0</v>
      </c>
      <c r="K591" t="n">
        <v>0</v>
      </c>
      <c r="L591" t="n">
        <v>0</v>
      </c>
      <c r="M591" t="n">
        <v>0</v>
      </c>
      <c r="N591" t="n">
        <v>0</v>
      </c>
      <c r="O591" t="n">
        <v>0</v>
      </c>
      <c r="P591" t="n">
        <v>0</v>
      </c>
      <c r="Q591" t="n">
        <v>0</v>
      </c>
      <c r="R591" s="2" t="inlineStr"/>
    </row>
    <row r="592" ht="15" customHeight="1">
      <c r="A592" t="inlineStr">
        <is>
          <t>A 7343-2025</t>
        </is>
      </c>
      <c r="B592" s="1" t="n">
        <v>45703.67853009259</v>
      </c>
      <c r="C592" s="1" t="n">
        <v>46035</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8967-2025</t>
        </is>
      </c>
      <c r="B593" s="1" t="n">
        <v>45712</v>
      </c>
      <c r="C593" s="1" t="n">
        <v>46035</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35427-2023</t>
        </is>
      </c>
      <c r="B594" s="1" t="n">
        <v>45146</v>
      </c>
      <c r="C594" s="1" t="n">
        <v>46035</v>
      </c>
      <c r="D594" t="inlineStr">
        <is>
          <t>ÖSTERGÖTLANDS LÄN</t>
        </is>
      </c>
      <c r="E594" t="inlineStr">
        <is>
          <t>LINKÖPING</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30468-2023</t>
        </is>
      </c>
      <c r="B595" s="1" t="n">
        <v>45111.58732638889</v>
      </c>
      <c r="C595" s="1" t="n">
        <v>46035</v>
      </c>
      <c r="D595" t="inlineStr">
        <is>
          <t>ÖSTERGÖTLANDS LÄN</t>
        </is>
      </c>
      <c r="E595" t="inlineStr">
        <is>
          <t>LINKÖPING</t>
        </is>
      </c>
      <c r="G595" t="n">
        <v>10.1</v>
      </c>
      <c r="H595" t="n">
        <v>0</v>
      </c>
      <c r="I595" t="n">
        <v>0</v>
      </c>
      <c r="J595" t="n">
        <v>0</v>
      </c>
      <c r="K595" t="n">
        <v>0</v>
      </c>
      <c r="L595" t="n">
        <v>0</v>
      </c>
      <c r="M595" t="n">
        <v>0</v>
      </c>
      <c r="N595" t="n">
        <v>0</v>
      </c>
      <c r="O595" t="n">
        <v>0</v>
      </c>
      <c r="P595" t="n">
        <v>0</v>
      </c>
      <c r="Q595" t="n">
        <v>0</v>
      </c>
      <c r="R595" s="2" t="inlineStr"/>
    </row>
    <row r="596" ht="15" customHeight="1">
      <c r="A596" t="inlineStr">
        <is>
          <t>A 20296-2025</t>
        </is>
      </c>
      <c r="B596" s="1" t="n">
        <v>45774.74922453704</v>
      </c>
      <c r="C596" s="1" t="n">
        <v>46035</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56841-2023</t>
        </is>
      </c>
      <c r="B597" s="1" t="n">
        <v>45244</v>
      </c>
      <c r="C597" s="1" t="n">
        <v>46035</v>
      </c>
      <c r="D597" t="inlineStr">
        <is>
          <t>ÖSTERGÖTLANDS LÄN</t>
        </is>
      </c>
      <c r="E597" t="inlineStr">
        <is>
          <t>LINKÖPING</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53812-2023</t>
        </is>
      </c>
      <c r="B598" s="1" t="n">
        <v>45231.39583333334</v>
      </c>
      <c r="C598" s="1" t="n">
        <v>46035</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53830-2023</t>
        </is>
      </c>
      <c r="B599" s="1" t="n">
        <v>45230</v>
      </c>
      <c r="C599" s="1" t="n">
        <v>46035</v>
      </c>
      <c r="D599" t="inlineStr">
        <is>
          <t>ÖSTERGÖTLANDS LÄN</t>
        </is>
      </c>
      <c r="E599" t="inlineStr">
        <is>
          <t>LINKÖPING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38715-2023</t>
        </is>
      </c>
      <c r="B600" s="1" t="n">
        <v>45160</v>
      </c>
      <c r="C600" s="1" t="n">
        <v>46035</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27766-2022</t>
        </is>
      </c>
      <c r="B601" s="1" t="n">
        <v>44743.53112268518</v>
      </c>
      <c r="C601" s="1" t="n">
        <v>46035</v>
      </c>
      <c r="D601" t="inlineStr">
        <is>
          <t>ÖSTERGÖTLANDS LÄN</t>
        </is>
      </c>
      <c r="E601" t="inlineStr">
        <is>
          <t>LINKÖPING</t>
        </is>
      </c>
      <c r="G601" t="n">
        <v>2</v>
      </c>
      <c r="H601" t="n">
        <v>0</v>
      </c>
      <c r="I601" t="n">
        <v>0</v>
      </c>
      <c r="J601" t="n">
        <v>0</v>
      </c>
      <c r="K601" t="n">
        <v>0</v>
      </c>
      <c r="L601" t="n">
        <v>0</v>
      </c>
      <c r="M601" t="n">
        <v>0</v>
      </c>
      <c r="N601" t="n">
        <v>0</v>
      </c>
      <c r="O601" t="n">
        <v>0</v>
      </c>
      <c r="P601" t="n">
        <v>0</v>
      </c>
      <c r="Q601" t="n">
        <v>0</v>
      </c>
      <c r="R601" s="2" t="inlineStr"/>
    </row>
    <row r="602" ht="15" customHeight="1">
      <c r="A602" t="inlineStr">
        <is>
          <t>A 48271-2023</t>
        </is>
      </c>
      <c r="B602" s="1" t="n">
        <v>45205</v>
      </c>
      <c r="C602" s="1" t="n">
        <v>46035</v>
      </c>
      <c r="D602" t="inlineStr">
        <is>
          <t>ÖSTERGÖTLANDS LÄN</t>
        </is>
      </c>
      <c r="E602" t="inlineStr">
        <is>
          <t>LINKÖPING</t>
        </is>
      </c>
      <c r="G602" t="n">
        <v>3</v>
      </c>
      <c r="H602" t="n">
        <v>0</v>
      </c>
      <c r="I602" t="n">
        <v>0</v>
      </c>
      <c r="J602" t="n">
        <v>0</v>
      </c>
      <c r="K602" t="n">
        <v>0</v>
      </c>
      <c r="L602" t="n">
        <v>0</v>
      </c>
      <c r="M602" t="n">
        <v>0</v>
      </c>
      <c r="N602" t="n">
        <v>0</v>
      </c>
      <c r="O602" t="n">
        <v>0</v>
      </c>
      <c r="P602" t="n">
        <v>0</v>
      </c>
      <c r="Q602" t="n">
        <v>0</v>
      </c>
      <c r="R602" s="2" t="inlineStr"/>
    </row>
    <row r="603" ht="15" customHeight="1">
      <c r="A603" t="inlineStr">
        <is>
          <t>A 13266-2025</t>
        </is>
      </c>
      <c r="B603" s="1" t="n">
        <v>45735.53318287037</v>
      </c>
      <c r="C603" s="1" t="n">
        <v>46035</v>
      </c>
      <c r="D603" t="inlineStr">
        <is>
          <t>ÖSTERGÖTLANDS LÄN</t>
        </is>
      </c>
      <c r="E603" t="inlineStr">
        <is>
          <t>LINKÖPING</t>
        </is>
      </c>
      <c r="G603" t="n">
        <v>3.1</v>
      </c>
      <c r="H603" t="n">
        <v>0</v>
      </c>
      <c r="I603" t="n">
        <v>0</v>
      </c>
      <c r="J603" t="n">
        <v>0</v>
      </c>
      <c r="K603" t="n">
        <v>0</v>
      </c>
      <c r="L603" t="n">
        <v>0</v>
      </c>
      <c r="M603" t="n">
        <v>0</v>
      </c>
      <c r="N603" t="n">
        <v>0</v>
      </c>
      <c r="O603" t="n">
        <v>0</v>
      </c>
      <c r="P603" t="n">
        <v>0</v>
      </c>
      <c r="Q603" t="n">
        <v>0</v>
      </c>
      <c r="R603" s="2" t="inlineStr"/>
    </row>
    <row r="604" ht="15" customHeight="1">
      <c r="A604" t="inlineStr">
        <is>
          <t>A 60001-2022</t>
        </is>
      </c>
      <c r="B604" s="1" t="n">
        <v>44909.47087962963</v>
      </c>
      <c r="C604" s="1" t="n">
        <v>46035</v>
      </c>
      <c r="D604" t="inlineStr">
        <is>
          <t>ÖSTERGÖTLANDS LÄN</t>
        </is>
      </c>
      <c r="E604" t="inlineStr">
        <is>
          <t>LINKÖPING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1657-2024</t>
        </is>
      </c>
      <c r="B605" s="1" t="n">
        <v>45306.82501157407</v>
      </c>
      <c r="C605" s="1" t="n">
        <v>46035</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30976-2022</t>
        </is>
      </c>
      <c r="B606" s="1" t="n">
        <v>44768</v>
      </c>
      <c r="C606" s="1" t="n">
        <v>46035</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30860-2022</t>
        </is>
      </c>
      <c r="B607" s="1" t="n">
        <v>44767</v>
      </c>
      <c r="C607" s="1" t="n">
        <v>46035</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48186-2022</t>
        </is>
      </c>
      <c r="B608" s="1" t="n">
        <v>44858</v>
      </c>
      <c r="C608" s="1" t="n">
        <v>46035</v>
      </c>
      <c r="D608" t="inlineStr">
        <is>
          <t>ÖSTERGÖTLANDS LÄN</t>
        </is>
      </c>
      <c r="E608" t="inlineStr">
        <is>
          <t>LINKÖPING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28266-2024</t>
        </is>
      </c>
      <c r="B609" s="1" t="n">
        <v>45477.43600694444</v>
      </c>
      <c r="C609" s="1" t="n">
        <v>46035</v>
      </c>
      <c r="D609" t="inlineStr">
        <is>
          <t>ÖSTERGÖTLANDS LÄN</t>
        </is>
      </c>
      <c r="E609" t="inlineStr">
        <is>
          <t>LINKÖPING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31548-2022</t>
        </is>
      </c>
      <c r="B610" s="1" t="n">
        <v>44775.39832175926</v>
      </c>
      <c r="C610" s="1" t="n">
        <v>46035</v>
      </c>
      <c r="D610" t="inlineStr">
        <is>
          <t>ÖSTERGÖTLANDS LÄN</t>
        </is>
      </c>
      <c r="E610" t="inlineStr">
        <is>
          <t>LINKÖPING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1211-2023</t>
        </is>
      </c>
      <c r="B611" s="1" t="n">
        <v>44930</v>
      </c>
      <c r="C611" s="1" t="n">
        <v>46035</v>
      </c>
      <c r="D611" t="inlineStr">
        <is>
          <t>ÖSTERGÖTLANDS LÄN</t>
        </is>
      </c>
      <c r="E611" t="inlineStr">
        <is>
          <t>LINKÖPING</t>
        </is>
      </c>
      <c r="F611" t="inlineStr">
        <is>
          <t>Övriga statliga verk och myndigheter</t>
        </is>
      </c>
      <c r="G611" t="n">
        <v>7.9</v>
      </c>
      <c r="H611" t="n">
        <v>0</v>
      </c>
      <c r="I611" t="n">
        <v>0</v>
      </c>
      <c r="J611" t="n">
        <v>0</v>
      </c>
      <c r="K611" t="n">
        <v>0</v>
      </c>
      <c r="L611" t="n">
        <v>0</v>
      </c>
      <c r="M611" t="n">
        <v>0</v>
      </c>
      <c r="N611" t="n">
        <v>0</v>
      </c>
      <c r="O611" t="n">
        <v>0</v>
      </c>
      <c r="P611" t="n">
        <v>0</v>
      </c>
      <c r="Q611" t="n">
        <v>0</v>
      </c>
      <c r="R611" s="2" t="inlineStr"/>
    </row>
    <row r="612" ht="15" customHeight="1">
      <c r="A612" t="inlineStr">
        <is>
          <t>A 51191-2022</t>
        </is>
      </c>
      <c r="B612" s="1" t="n">
        <v>44865</v>
      </c>
      <c r="C612" s="1" t="n">
        <v>46035</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55632-2022</t>
        </is>
      </c>
      <c r="B613" s="1" t="n">
        <v>44888</v>
      </c>
      <c r="C613" s="1" t="n">
        <v>46035</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63669-2023</t>
        </is>
      </c>
      <c r="B614" s="1" t="n">
        <v>45275</v>
      </c>
      <c r="C614" s="1" t="n">
        <v>46035</v>
      </c>
      <c r="D614" t="inlineStr">
        <is>
          <t>ÖSTERGÖTLANDS LÄN</t>
        </is>
      </c>
      <c r="E614" t="inlineStr">
        <is>
          <t>LINKÖPING</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12289-2025</t>
        </is>
      </c>
      <c r="B615" s="1" t="n">
        <v>45729</v>
      </c>
      <c r="C615" s="1" t="n">
        <v>46035</v>
      </c>
      <c r="D615" t="inlineStr">
        <is>
          <t>ÖSTERGÖTLANDS LÄN</t>
        </is>
      </c>
      <c r="E615" t="inlineStr">
        <is>
          <t>LINKÖPING</t>
        </is>
      </c>
      <c r="F615" t="inlineStr">
        <is>
          <t>Övriga statliga verk och myndigheter</t>
        </is>
      </c>
      <c r="G615" t="n">
        <v>6.5</v>
      </c>
      <c r="H615" t="n">
        <v>0</v>
      </c>
      <c r="I615" t="n">
        <v>0</v>
      </c>
      <c r="J615" t="n">
        <v>0</v>
      </c>
      <c r="K615" t="n">
        <v>0</v>
      </c>
      <c r="L615" t="n">
        <v>0</v>
      </c>
      <c r="M615" t="n">
        <v>0</v>
      </c>
      <c r="N615" t="n">
        <v>0</v>
      </c>
      <c r="O615" t="n">
        <v>0</v>
      </c>
      <c r="P615" t="n">
        <v>0</v>
      </c>
      <c r="Q615" t="n">
        <v>0</v>
      </c>
      <c r="R615" s="2" t="inlineStr"/>
    </row>
    <row r="616" ht="15" customHeight="1">
      <c r="A616" t="inlineStr">
        <is>
          <t>A 36657-2023</t>
        </is>
      </c>
      <c r="B616" s="1" t="n">
        <v>45153.5702662037</v>
      </c>
      <c r="C616" s="1" t="n">
        <v>46035</v>
      </c>
      <c r="D616" t="inlineStr">
        <is>
          <t>ÖSTERGÖTLANDS LÄN</t>
        </is>
      </c>
      <c r="E616" t="inlineStr">
        <is>
          <t>LINKÖPING</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19169-2023</t>
        </is>
      </c>
      <c r="B617" s="1" t="n">
        <v>45044</v>
      </c>
      <c r="C617" s="1" t="n">
        <v>46035</v>
      </c>
      <c r="D617" t="inlineStr">
        <is>
          <t>ÖSTERGÖTLANDS LÄN</t>
        </is>
      </c>
      <c r="E617" t="inlineStr">
        <is>
          <t>LINKÖPING</t>
        </is>
      </c>
      <c r="G617" t="n">
        <v>2.7</v>
      </c>
      <c r="H617" t="n">
        <v>0</v>
      </c>
      <c r="I617" t="n">
        <v>0</v>
      </c>
      <c r="J617" t="n">
        <v>0</v>
      </c>
      <c r="K617" t="n">
        <v>0</v>
      </c>
      <c r="L617" t="n">
        <v>0</v>
      </c>
      <c r="M617" t="n">
        <v>0</v>
      </c>
      <c r="N617" t="n">
        <v>0</v>
      </c>
      <c r="O617" t="n">
        <v>0</v>
      </c>
      <c r="P617" t="n">
        <v>0</v>
      </c>
      <c r="Q617" t="n">
        <v>0</v>
      </c>
      <c r="R617" s="2" t="inlineStr"/>
    </row>
    <row r="618" ht="15" customHeight="1">
      <c r="A618" t="inlineStr">
        <is>
          <t>A 1209-2023</t>
        </is>
      </c>
      <c r="B618" s="1" t="n">
        <v>44930</v>
      </c>
      <c r="C618" s="1" t="n">
        <v>46035</v>
      </c>
      <c r="D618" t="inlineStr">
        <is>
          <t>ÖSTERGÖTLANDS LÄN</t>
        </is>
      </c>
      <c r="E618" t="inlineStr">
        <is>
          <t>LINKÖPING</t>
        </is>
      </c>
      <c r="F618" t="inlineStr">
        <is>
          <t>Övriga statliga verk och myndigheter</t>
        </is>
      </c>
      <c r="G618" t="n">
        <v>25.8</v>
      </c>
      <c r="H618" t="n">
        <v>0</v>
      </c>
      <c r="I618" t="n">
        <v>0</v>
      </c>
      <c r="J618" t="n">
        <v>0</v>
      </c>
      <c r="K618" t="n">
        <v>0</v>
      </c>
      <c r="L618" t="n">
        <v>0</v>
      </c>
      <c r="M618" t="n">
        <v>0</v>
      </c>
      <c r="N618" t="n">
        <v>0</v>
      </c>
      <c r="O618" t="n">
        <v>0</v>
      </c>
      <c r="P618" t="n">
        <v>0</v>
      </c>
      <c r="Q618" t="n">
        <v>0</v>
      </c>
      <c r="R618" s="2" t="inlineStr"/>
    </row>
    <row r="619" ht="15" customHeight="1">
      <c r="A619" t="inlineStr">
        <is>
          <t>A 2085-2024</t>
        </is>
      </c>
      <c r="B619" s="1" t="n">
        <v>45309</v>
      </c>
      <c r="C619" s="1" t="n">
        <v>46035</v>
      </c>
      <c r="D619" t="inlineStr">
        <is>
          <t>ÖSTERGÖTLANDS LÄN</t>
        </is>
      </c>
      <c r="E619" t="inlineStr">
        <is>
          <t>LINKÖPING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48-2024</t>
        </is>
      </c>
      <c r="B620" s="1" t="n">
        <v>45293</v>
      </c>
      <c r="C620" s="1" t="n">
        <v>46035</v>
      </c>
      <c r="D620" t="inlineStr">
        <is>
          <t>ÖSTERGÖTLANDS LÄN</t>
        </is>
      </c>
      <c r="E620" t="inlineStr">
        <is>
          <t>LINKÖPING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56560-2023</t>
        </is>
      </c>
      <c r="B621" s="1" t="n">
        <v>45238</v>
      </c>
      <c r="C621" s="1" t="n">
        <v>46035</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19132-2023</t>
        </is>
      </c>
      <c r="B622" s="1" t="n">
        <v>45048.54754629629</v>
      </c>
      <c r="C622" s="1" t="n">
        <v>46035</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52412-2023</t>
        </is>
      </c>
      <c r="B623" s="1" t="n">
        <v>45225.27888888889</v>
      </c>
      <c r="C623" s="1" t="n">
        <v>46035</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62492-2023</t>
        </is>
      </c>
      <c r="B624" s="1" t="n">
        <v>45268.58987268519</v>
      </c>
      <c r="C624" s="1" t="n">
        <v>46035</v>
      </c>
      <c r="D624" t="inlineStr">
        <is>
          <t>ÖSTERGÖTLANDS LÄN</t>
        </is>
      </c>
      <c r="E624" t="inlineStr">
        <is>
          <t>LINKÖPING</t>
        </is>
      </c>
      <c r="G624" t="n">
        <v>1.8</v>
      </c>
      <c r="H624" t="n">
        <v>0</v>
      </c>
      <c r="I624" t="n">
        <v>0</v>
      </c>
      <c r="J624" t="n">
        <v>0</v>
      </c>
      <c r="K624" t="n">
        <v>0</v>
      </c>
      <c r="L624" t="n">
        <v>0</v>
      </c>
      <c r="M624" t="n">
        <v>0</v>
      </c>
      <c r="N624" t="n">
        <v>0</v>
      </c>
      <c r="O624" t="n">
        <v>0</v>
      </c>
      <c r="P624" t="n">
        <v>0</v>
      </c>
      <c r="Q624" t="n">
        <v>0</v>
      </c>
      <c r="R624" s="2" t="inlineStr"/>
    </row>
    <row r="625" ht="15" customHeight="1">
      <c r="A625" t="inlineStr">
        <is>
          <t>A 38230-2023</t>
        </is>
      </c>
      <c r="B625" s="1" t="n">
        <v>45161.55373842592</v>
      </c>
      <c r="C625" s="1" t="n">
        <v>46035</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56756-2023</t>
        </is>
      </c>
      <c r="B626" s="1" t="n">
        <v>45244</v>
      </c>
      <c r="C626" s="1" t="n">
        <v>46035</v>
      </c>
      <c r="D626" t="inlineStr">
        <is>
          <t>ÖSTERGÖTLANDS LÄN</t>
        </is>
      </c>
      <c r="E626" t="inlineStr">
        <is>
          <t>LINKÖPING</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38886-2024</t>
        </is>
      </c>
      <c r="B627" s="1" t="n">
        <v>45547.66443287037</v>
      </c>
      <c r="C627" s="1" t="n">
        <v>46035</v>
      </c>
      <c r="D627" t="inlineStr">
        <is>
          <t>ÖSTERGÖTLANDS LÄN</t>
        </is>
      </c>
      <c r="E627" t="inlineStr">
        <is>
          <t>LINKÖPING</t>
        </is>
      </c>
      <c r="G627" t="n">
        <v>5.3</v>
      </c>
      <c r="H627" t="n">
        <v>0</v>
      </c>
      <c r="I627" t="n">
        <v>0</v>
      </c>
      <c r="J627" t="n">
        <v>0</v>
      </c>
      <c r="K627" t="n">
        <v>0</v>
      </c>
      <c r="L627" t="n">
        <v>0</v>
      </c>
      <c r="M627" t="n">
        <v>0</v>
      </c>
      <c r="N627" t="n">
        <v>0</v>
      </c>
      <c r="O627" t="n">
        <v>0</v>
      </c>
      <c r="P627" t="n">
        <v>0</v>
      </c>
      <c r="Q627" t="n">
        <v>0</v>
      </c>
      <c r="R627" s="2" t="inlineStr"/>
    </row>
    <row r="628" ht="15" customHeight="1">
      <c r="A628" t="inlineStr">
        <is>
          <t>A 11590-2023</t>
        </is>
      </c>
      <c r="B628" s="1" t="n">
        <v>44994.36689814815</v>
      </c>
      <c r="C628" s="1" t="n">
        <v>46035</v>
      </c>
      <c r="D628" t="inlineStr">
        <is>
          <t>ÖSTERGÖTLANDS LÄN</t>
        </is>
      </c>
      <c r="E628" t="inlineStr">
        <is>
          <t>LINKÖPING</t>
        </is>
      </c>
      <c r="G628" t="n">
        <v>3.1</v>
      </c>
      <c r="H628" t="n">
        <v>0</v>
      </c>
      <c r="I628" t="n">
        <v>0</v>
      </c>
      <c r="J628" t="n">
        <v>0</v>
      </c>
      <c r="K628" t="n">
        <v>0</v>
      </c>
      <c r="L628" t="n">
        <v>0</v>
      </c>
      <c r="M628" t="n">
        <v>0</v>
      </c>
      <c r="N628" t="n">
        <v>0</v>
      </c>
      <c r="O628" t="n">
        <v>0</v>
      </c>
      <c r="P628" t="n">
        <v>0</v>
      </c>
      <c r="Q628" t="n">
        <v>0</v>
      </c>
      <c r="R628" s="2" t="inlineStr"/>
    </row>
    <row r="629" ht="15" customHeight="1">
      <c r="A629" t="inlineStr">
        <is>
          <t>A 10461-2023</t>
        </is>
      </c>
      <c r="B629" s="1" t="n">
        <v>44987.5969212963</v>
      </c>
      <c r="C629" s="1" t="n">
        <v>46035</v>
      </c>
      <c r="D629" t="inlineStr">
        <is>
          <t>ÖSTERGÖTLANDS LÄN</t>
        </is>
      </c>
      <c r="E629" t="inlineStr">
        <is>
          <t>LINKÖPING</t>
        </is>
      </c>
      <c r="G629" t="n">
        <v>7.8</v>
      </c>
      <c r="H629" t="n">
        <v>0</v>
      </c>
      <c r="I629" t="n">
        <v>0</v>
      </c>
      <c r="J629" t="n">
        <v>0</v>
      </c>
      <c r="K629" t="n">
        <v>0</v>
      </c>
      <c r="L629" t="n">
        <v>0</v>
      </c>
      <c r="M629" t="n">
        <v>0</v>
      </c>
      <c r="N629" t="n">
        <v>0</v>
      </c>
      <c r="O629" t="n">
        <v>0</v>
      </c>
      <c r="P629" t="n">
        <v>0</v>
      </c>
      <c r="Q629" t="n">
        <v>0</v>
      </c>
      <c r="R629" s="2" t="inlineStr"/>
    </row>
    <row r="630" ht="15" customHeight="1">
      <c r="A630" t="inlineStr">
        <is>
          <t>A 41345-2021</t>
        </is>
      </c>
      <c r="B630" s="1" t="n">
        <v>44424.61851851852</v>
      </c>
      <c r="C630" s="1" t="n">
        <v>46035</v>
      </c>
      <c r="D630" t="inlineStr">
        <is>
          <t>ÖSTERGÖTLANDS LÄN</t>
        </is>
      </c>
      <c r="E630" t="inlineStr">
        <is>
          <t>LINKÖPING</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61307-2021</t>
        </is>
      </c>
      <c r="B631" s="1" t="n">
        <v>44498.63928240741</v>
      </c>
      <c r="C631" s="1" t="n">
        <v>46035</v>
      </c>
      <c r="D631" t="inlineStr">
        <is>
          <t>ÖSTERGÖTLANDS LÄN</t>
        </is>
      </c>
      <c r="E631" t="inlineStr">
        <is>
          <t>LINKÖPING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61325-2021</t>
        </is>
      </c>
      <c r="B632" s="1" t="n">
        <v>44498.66814814815</v>
      </c>
      <c r="C632" s="1" t="n">
        <v>46035</v>
      </c>
      <c r="D632" t="inlineStr">
        <is>
          <t>ÖSTERGÖTLANDS LÄN</t>
        </is>
      </c>
      <c r="E632" t="inlineStr">
        <is>
          <t>LINKÖPING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60010-2022</t>
        </is>
      </c>
      <c r="B633" s="1" t="n">
        <v>44909.4740625</v>
      </c>
      <c r="C633" s="1" t="n">
        <v>46035</v>
      </c>
      <c r="D633" t="inlineStr">
        <is>
          <t>ÖSTERGÖTLANDS LÄN</t>
        </is>
      </c>
      <c r="E633" t="inlineStr">
        <is>
          <t>LINKÖPING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30518-2024</t>
        </is>
      </c>
      <c r="B634" s="1" t="n">
        <v>45492</v>
      </c>
      <c r="C634" s="1" t="n">
        <v>46035</v>
      </c>
      <c r="D634" t="inlineStr">
        <is>
          <t>ÖSTERGÖTLANDS LÄN</t>
        </is>
      </c>
      <c r="E634" t="inlineStr">
        <is>
          <t>LINKÖPING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4908-2023</t>
        </is>
      </c>
      <c r="B635" s="1" t="n">
        <v>44958</v>
      </c>
      <c r="C635" s="1" t="n">
        <v>46035</v>
      </c>
      <c r="D635" t="inlineStr">
        <is>
          <t>ÖSTERGÖTLANDS LÄN</t>
        </is>
      </c>
      <c r="E635" t="inlineStr">
        <is>
          <t>LINKÖPING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37715-2022</t>
        </is>
      </c>
      <c r="B636" s="1" t="n">
        <v>44810</v>
      </c>
      <c r="C636" s="1" t="n">
        <v>46035</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3742-2021</t>
        </is>
      </c>
      <c r="B637" s="1" t="n">
        <v>44221</v>
      </c>
      <c r="C637" s="1" t="n">
        <v>46035</v>
      </c>
      <c r="D637" t="inlineStr">
        <is>
          <t>ÖSTERGÖTLANDS LÄN</t>
        </is>
      </c>
      <c r="E637" t="inlineStr">
        <is>
          <t>LINKÖPING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3011-2023</t>
        </is>
      </c>
      <c r="B638" s="1" t="n">
        <v>44945</v>
      </c>
      <c r="C638" s="1" t="n">
        <v>46035</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45442-2024</t>
        </is>
      </c>
      <c r="B639" s="1" t="n">
        <v>45576.64189814815</v>
      </c>
      <c r="C639" s="1" t="n">
        <v>46035</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3432-2023</t>
        </is>
      </c>
      <c r="B640" s="1" t="n">
        <v>44949</v>
      </c>
      <c r="C640" s="1" t="n">
        <v>46035</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60472-2022</t>
        </is>
      </c>
      <c r="B641" s="1" t="n">
        <v>44911.41037037037</v>
      </c>
      <c r="C641" s="1" t="n">
        <v>46035</v>
      </c>
      <c r="D641" t="inlineStr">
        <is>
          <t>ÖSTERGÖTLANDS LÄN</t>
        </is>
      </c>
      <c r="E641" t="inlineStr">
        <is>
          <t>LINKÖPING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12720-2022</t>
        </is>
      </c>
      <c r="B642" s="1" t="n">
        <v>44641</v>
      </c>
      <c r="C642" s="1" t="n">
        <v>46035</v>
      </c>
      <c r="D642" t="inlineStr">
        <is>
          <t>ÖSTERGÖTLANDS LÄN</t>
        </is>
      </c>
      <c r="E642" t="inlineStr">
        <is>
          <t>LINKÖPING</t>
        </is>
      </c>
      <c r="F642" t="inlineStr">
        <is>
          <t>Övriga Aktiebolag</t>
        </is>
      </c>
      <c r="G642" t="n">
        <v>2</v>
      </c>
      <c r="H642" t="n">
        <v>0</v>
      </c>
      <c r="I642" t="n">
        <v>0</v>
      </c>
      <c r="J642" t="n">
        <v>0</v>
      </c>
      <c r="K642" t="n">
        <v>0</v>
      </c>
      <c r="L642" t="n">
        <v>0</v>
      </c>
      <c r="M642" t="n">
        <v>0</v>
      </c>
      <c r="N642" t="n">
        <v>0</v>
      </c>
      <c r="O642" t="n">
        <v>0</v>
      </c>
      <c r="P642" t="n">
        <v>0</v>
      </c>
      <c r="Q642" t="n">
        <v>0</v>
      </c>
      <c r="R642" s="2" t="inlineStr"/>
    </row>
    <row r="643" ht="15" customHeight="1">
      <c r="A643" t="inlineStr">
        <is>
          <t>A 45831-2024</t>
        </is>
      </c>
      <c r="B643" s="1" t="n">
        <v>45579.90508101852</v>
      </c>
      <c r="C643" s="1" t="n">
        <v>46035</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57396-2021</t>
        </is>
      </c>
      <c r="B644" s="1" t="n">
        <v>44483.56151620371</v>
      </c>
      <c r="C644" s="1" t="n">
        <v>46035</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22842-2023</t>
        </is>
      </c>
      <c r="B645" s="1" t="n">
        <v>45071</v>
      </c>
      <c r="C645" s="1" t="n">
        <v>46035</v>
      </c>
      <c r="D645" t="inlineStr">
        <is>
          <t>ÖSTERGÖTLANDS LÄN</t>
        </is>
      </c>
      <c r="E645" t="inlineStr">
        <is>
          <t>LINKÖPING</t>
        </is>
      </c>
      <c r="F645" t="inlineStr">
        <is>
          <t>Kommuner</t>
        </is>
      </c>
      <c r="G645" t="n">
        <v>1.3</v>
      </c>
      <c r="H645" t="n">
        <v>0</v>
      </c>
      <c r="I645" t="n">
        <v>0</v>
      </c>
      <c r="J645" t="n">
        <v>0</v>
      </c>
      <c r="K645" t="n">
        <v>0</v>
      </c>
      <c r="L645" t="n">
        <v>0</v>
      </c>
      <c r="M645" t="n">
        <v>0</v>
      </c>
      <c r="N645" t="n">
        <v>0</v>
      </c>
      <c r="O645" t="n">
        <v>0</v>
      </c>
      <c r="P645" t="n">
        <v>0</v>
      </c>
      <c r="Q645" t="n">
        <v>0</v>
      </c>
      <c r="R645" s="2" t="inlineStr"/>
    </row>
    <row r="646" ht="15" customHeight="1">
      <c r="A646" t="inlineStr">
        <is>
          <t>A 50386-2021</t>
        </is>
      </c>
      <c r="B646" s="1" t="n">
        <v>44459</v>
      </c>
      <c r="C646" s="1" t="n">
        <v>46035</v>
      </c>
      <c r="D646" t="inlineStr">
        <is>
          <t>ÖSTERGÖTLANDS LÄN</t>
        </is>
      </c>
      <c r="E646" t="inlineStr">
        <is>
          <t>LINKÖPING</t>
        </is>
      </c>
      <c r="G646" t="n">
        <v>2.3</v>
      </c>
      <c r="H646" t="n">
        <v>0</v>
      </c>
      <c r="I646" t="n">
        <v>0</v>
      </c>
      <c r="J646" t="n">
        <v>0</v>
      </c>
      <c r="K646" t="n">
        <v>0</v>
      </c>
      <c r="L646" t="n">
        <v>0</v>
      </c>
      <c r="M646" t="n">
        <v>0</v>
      </c>
      <c r="N646" t="n">
        <v>0</v>
      </c>
      <c r="O646" t="n">
        <v>0</v>
      </c>
      <c r="P646" t="n">
        <v>0</v>
      </c>
      <c r="Q646" t="n">
        <v>0</v>
      </c>
      <c r="R646" s="2" t="inlineStr"/>
    </row>
    <row r="647" ht="15" customHeight="1">
      <c r="A647" t="inlineStr">
        <is>
          <t>A 35781-2023</t>
        </is>
      </c>
      <c r="B647" s="1" t="n">
        <v>45147</v>
      </c>
      <c r="C647" s="1" t="n">
        <v>46035</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22770-2024</t>
        </is>
      </c>
      <c r="B648" s="1" t="n">
        <v>45448.4634375</v>
      </c>
      <c r="C648" s="1" t="n">
        <v>46035</v>
      </c>
      <c r="D648" t="inlineStr">
        <is>
          <t>ÖSTERGÖTLANDS LÄN</t>
        </is>
      </c>
      <c r="E648" t="inlineStr">
        <is>
          <t>LINKÖPING</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11671-2023</t>
        </is>
      </c>
      <c r="B649" s="1" t="n">
        <v>44994.48125</v>
      </c>
      <c r="C649" s="1" t="n">
        <v>46035</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54425-2022</t>
        </is>
      </c>
      <c r="B650" s="1" t="n">
        <v>44882.57453703704</v>
      </c>
      <c r="C650" s="1" t="n">
        <v>46035</v>
      </c>
      <c r="D650" t="inlineStr">
        <is>
          <t>ÖSTERGÖTLANDS LÄN</t>
        </is>
      </c>
      <c r="E650" t="inlineStr">
        <is>
          <t>LINKÖPING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4927-2021</t>
        </is>
      </c>
      <c r="B651" s="1" t="n">
        <v>44227.57215277778</v>
      </c>
      <c r="C651" s="1" t="n">
        <v>46035</v>
      </c>
      <c r="D651" t="inlineStr">
        <is>
          <t>ÖSTERGÖTLANDS LÄN</t>
        </is>
      </c>
      <c r="E651" t="inlineStr">
        <is>
          <t>LINKÖPING</t>
        </is>
      </c>
      <c r="G651" t="n">
        <v>0.3</v>
      </c>
      <c r="H651" t="n">
        <v>0</v>
      </c>
      <c r="I651" t="n">
        <v>0</v>
      </c>
      <c r="J651" t="n">
        <v>0</v>
      </c>
      <c r="K651" t="n">
        <v>0</v>
      </c>
      <c r="L651" t="n">
        <v>0</v>
      </c>
      <c r="M651" t="n">
        <v>0</v>
      </c>
      <c r="N651" t="n">
        <v>0</v>
      </c>
      <c r="O651" t="n">
        <v>0</v>
      </c>
      <c r="P651" t="n">
        <v>0</v>
      </c>
      <c r="Q651" t="n">
        <v>0</v>
      </c>
      <c r="R651" s="2" t="inlineStr"/>
    </row>
    <row r="652" ht="15" customHeight="1">
      <c r="A652" t="inlineStr">
        <is>
          <t>A 30547-2023</t>
        </is>
      </c>
      <c r="B652" s="1" t="n">
        <v>45111.75905092592</v>
      </c>
      <c r="C652" s="1" t="n">
        <v>46035</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24904-2024</t>
        </is>
      </c>
      <c r="B653" s="1" t="n">
        <v>45461</v>
      </c>
      <c r="C653" s="1" t="n">
        <v>46035</v>
      </c>
      <c r="D653" t="inlineStr">
        <is>
          <t>ÖSTERGÖTLANDS LÄN</t>
        </is>
      </c>
      <c r="E653" t="inlineStr">
        <is>
          <t>LINKÖPING</t>
        </is>
      </c>
      <c r="G653" t="n">
        <v>3.8</v>
      </c>
      <c r="H653" t="n">
        <v>0</v>
      </c>
      <c r="I653" t="n">
        <v>0</v>
      </c>
      <c r="J653" t="n">
        <v>0</v>
      </c>
      <c r="K653" t="n">
        <v>0</v>
      </c>
      <c r="L653" t="n">
        <v>0</v>
      </c>
      <c r="M653" t="n">
        <v>0</v>
      </c>
      <c r="N653" t="n">
        <v>0</v>
      </c>
      <c r="O653" t="n">
        <v>0</v>
      </c>
      <c r="P653" t="n">
        <v>0</v>
      </c>
      <c r="Q653" t="n">
        <v>0</v>
      </c>
      <c r="R653" s="2" t="inlineStr"/>
    </row>
    <row r="654" ht="15" customHeight="1">
      <c r="A654" t="inlineStr">
        <is>
          <t>A 26788-2022</t>
        </is>
      </c>
      <c r="B654" s="1" t="n">
        <v>44740</v>
      </c>
      <c r="C654" s="1" t="n">
        <v>46035</v>
      </c>
      <c r="D654" t="inlineStr">
        <is>
          <t>ÖSTERGÖTLANDS LÄN</t>
        </is>
      </c>
      <c r="E654" t="inlineStr">
        <is>
          <t>LINKÖPING</t>
        </is>
      </c>
      <c r="G654" t="n">
        <v>3.2</v>
      </c>
      <c r="H654" t="n">
        <v>0</v>
      </c>
      <c r="I654" t="n">
        <v>0</v>
      </c>
      <c r="J654" t="n">
        <v>0</v>
      </c>
      <c r="K654" t="n">
        <v>0</v>
      </c>
      <c r="L654" t="n">
        <v>0</v>
      </c>
      <c r="M654" t="n">
        <v>0</v>
      </c>
      <c r="N654" t="n">
        <v>0</v>
      </c>
      <c r="O654" t="n">
        <v>0</v>
      </c>
      <c r="P654" t="n">
        <v>0</v>
      </c>
      <c r="Q654" t="n">
        <v>0</v>
      </c>
      <c r="R654" s="2" t="inlineStr"/>
    </row>
    <row r="655" ht="15" customHeight="1">
      <c r="A655" t="inlineStr">
        <is>
          <t>A 15121-2022</t>
        </is>
      </c>
      <c r="B655" s="1" t="n">
        <v>44658</v>
      </c>
      <c r="C655" s="1" t="n">
        <v>46035</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51919-2024</t>
        </is>
      </c>
      <c r="B656" s="1" t="n">
        <v>45607.60791666667</v>
      </c>
      <c r="C656" s="1" t="n">
        <v>46035</v>
      </c>
      <c r="D656" t="inlineStr">
        <is>
          <t>ÖSTERGÖTLANDS LÄN</t>
        </is>
      </c>
      <c r="E656" t="inlineStr">
        <is>
          <t>LINKÖPING</t>
        </is>
      </c>
      <c r="G656" t="n">
        <v>2.5</v>
      </c>
      <c r="H656" t="n">
        <v>0</v>
      </c>
      <c r="I656" t="n">
        <v>0</v>
      </c>
      <c r="J656" t="n">
        <v>0</v>
      </c>
      <c r="K656" t="n">
        <v>0</v>
      </c>
      <c r="L656" t="n">
        <v>0</v>
      </c>
      <c r="M656" t="n">
        <v>0</v>
      </c>
      <c r="N656" t="n">
        <v>0</v>
      </c>
      <c r="O656" t="n">
        <v>0</v>
      </c>
      <c r="P656" t="n">
        <v>0</v>
      </c>
      <c r="Q656" t="n">
        <v>0</v>
      </c>
      <c r="R656" s="2" t="inlineStr"/>
    </row>
    <row r="657" ht="15" customHeight="1">
      <c r="A657" t="inlineStr">
        <is>
          <t>A 55009-2023</t>
        </is>
      </c>
      <c r="B657" s="1" t="n">
        <v>45237</v>
      </c>
      <c r="C657" s="1" t="n">
        <v>46035</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20291-2025</t>
        </is>
      </c>
      <c r="B658" s="1" t="n">
        <v>45774.74288194445</v>
      </c>
      <c r="C658" s="1" t="n">
        <v>46035</v>
      </c>
      <c r="D658" t="inlineStr">
        <is>
          <t>ÖSTERGÖTLANDS LÄN</t>
        </is>
      </c>
      <c r="E658" t="inlineStr">
        <is>
          <t>LINKÖPING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20293-2025</t>
        </is>
      </c>
      <c r="B659" s="1" t="n">
        <v>45774.74611111111</v>
      </c>
      <c r="C659" s="1" t="n">
        <v>46035</v>
      </c>
      <c r="D659" t="inlineStr">
        <is>
          <t>ÖSTERGÖTLANDS LÄN</t>
        </is>
      </c>
      <c r="E659" t="inlineStr">
        <is>
          <t>LINKÖPING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660-2023</t>
        </is>
      </c>
      <c r="B660" s="1" t="n">
        <v>44930</v>
      </c>
      <c r="C660" s="1" t="n">
        <v>46035</v>
      </c>
      <c r="D660" t="inlineStr">
        <is>
          <t>ÖSTERGÖTLANDS LÄN</t>
        </is>
      </c>
      <c r="E660" t="inlineStr">
        <is>
          <t>LINKÖPING</t>
        </is>
      </c>
      <c r="F660" t="inlineStr">
        <is>
          <t>Kyrkan</t>
        </is>
      </c>
      <c r="G660" t="n">
        <v>1.6</v>
      </c>
      <c r="H660" t="n">
        <v>0</v>
      </c>
      <c r="I660" t="n">
        <v>0</v>
      </c>
      <c r="J660" t="n">
        <v>0</v>
      </c>
      <c r="K660" t="n">
        <v>0</v>
      </c>
      <c r="L660" t="n">
        <v>0</v>
      </c>
      <c r="M660" t="n">
        <v>0</v>
      </c>
      <c r="N660" t="n">
        <v>0</v>
      </c>
      <c r="O660" t="n">
        <v>0</v>
      </c>
      <c r="P660" t="n">
        <v>0</v>
      </c>
      <c r="Q660" t="n">
        <v>0</v>
      </c>
      <c r="R660" s="2" t="inlineStr"/>
    </row>
    <row r="661" ht="15" customHeight="1">
      <c r="A661" t="inlineStr">
        <is>
          <t>A 64694-2023</t>
        </is>
      </c>
      <c r="B661" s="1" t="n">
        <v>45281</v>
      </c>
      <c r="C661" s="1" t="n">
        <v>46035</v>
      </c>
      <c r="D661" t="inlineStr">
        <is>
          <t>ÖSTERGÖTLANDS LÄN</t>
        </is>
      </c>
      <c r="E661" t="inlineStr">
        <is>
          <t>LINKÖPING</t>
        </is>
      </c>
      <c r="F661" t="inlineStr">
        <is>
          <t>Övriga statliga verk och myndigheter</t>
        </is>
      </c>
      <c r="G661" t="n">
        <v>4.9</v>
      </c>
      <c r="H661" t="n">
        <v>0</v>
      </c>
      <c r="I661" t="n">
        <v>0</v>
      </c>
      <c r="J661" t="n">
        <v>0</v>
      </c>
      <c r="K661" t="n">
        <v>0</v>
      </c>
      <c r="L661" t="n">
        <v>0</v>
      </c>
      <c r="M661" t="n">
        <v>0</v>
      </c>
      <c r="N661" t="n">
        <v>0</v>
      </c>
      <c r="O661" t="n">
        <v>0</v>
      </c>
      <c r="P661" t="n">
        <v>0</v>
      </c>
      <c r="Q661" t="n">
        <v>0</v>
      </c>
      <c r="R661" s="2" t="inlineStr"/>
    </row>
    <row r="662" ht="15" customHeight="1">
      <c r="A662" t="inlineStr">
        <is>
          <t>A 63487-2023</t>
        </is>
      </c>
      <c r="B662" s="1" t="n">
        <v>45274.66712962963</v>
      </c>
      <c r="C662" s="1" t="n">
        <v>46035</v>
      </c>
      <c r="D662" t="inlineStr">
        <is>
          <t>ÖSTERGÖTLANDS LÄN</t>
        </is>
      </c>
      <c r="E662" t="inlineStr">
        <is>
          <t>LINKÖPING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20455-2024</t>
        </is>
      </c>
      <c r="B663" s="1" t="n">
        <v>45435.65314814815</v>
      </c>
      <c r="C663" s="1" t="n">
        <v>46035</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30471-2023</t>
        </is>
      </c>
      <c r="B664" s="1" t="n">
        <v>45111.58931712963</v>
      </c>
      <c r="C664" s="1" t="n">
        <v>46035</v>
      </c>
      <c r="D664" t="inlineStr">
        <is>
          <t>ÖSTERGÖTLANDS LÄN</t>
        </is>
      </c>
      <c r="E664" t="inlineStr">
        <is>
          <t>LINKÖPING</t>
        </is>
      </c>
      <c r="G664" t="n">
        <v>2.9</v>
      </c>
      <c r="H664" t="n">
        <v>0</v>
      </c>
      <c r="I664" t="n">
        <v>0</v>
      </c>
      <c r="J664" t="n">
        <v>0</v>
      </c>
      <c r="K664" t="n">
        <v>0</v>
      </c>
      <c r="L664" t="n">
        <v>0</v>
      </c>
      <c r="M664" t="n">
        <v>0</v>
      </c>
      <c r="N664" t="n">
        <v>0</v>
      </c>
      <c r="O664" t="n">
        <v>0</v>
      </c>
      <c r="P664" t="n">
        <v>0</v>
      </c>
      <c r="Q664" t="n">
        <v>0</v>
      </c>
      <c r="R664" s="2" t="inlineStr"/>
    </row>
    <row r="665" ht="15" customHeight="1">
      <c r="A665" t="inlineStr">
        <is>
          <t>A 14093-2024</t>
        </is>
      </c>
      <c r="B665" s="1" t="n">
        <v>45392.60278935185</v>
      </c>
      <c r="C665" s="1" t="n">
        <v>46035</v>
      </c>
      <c r="D665" t="inlineStr">
        <is>
          <t>ÖSTERGÖTLANDS LÄN</t>
        </is>
      </c>
      <c r="E665" t="inlineStr">
        <is>
          <t>LINKÖPING</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63304-2021</t>
        </is>
      </c>
      <c r="B666" s="1" t="n">
        <v>44508.4396412037</v>
      </c>
      <c r="C666" s="1" t="n">
        <v>46035</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19362-2023</t>
        </is>
      </c>
      <c r="B667" s="1" t="n">
        <v>45049</v>
      </c>
      <c r="C667" s="1" t="n">
        <v>46035</v>
      </c>
      <c r="D667" t="inlineStr">
        <is>
          <t>ÖSTERGÖTLANDS LÄN</t>
        </is>
      </c>
      <c r="E667" t="inlineStr">
        <is>
          <t>LINKÖPING</t>
        </is>
      </c>
      <c r="G667" t="n">
        <v>0.1</v>
      </c>
      <c r="H667" t="n">
        <v>0</v>
      </c>
      <c r="I667" t="n">
        <v>0</v>
      </c>
      <c r="J667" t="n">
        <v>0</v>
      </c>
      <c r="K667" t="n">
        <v>0</v>
      </c>
      <c r="L667" t="n">
        <v>0</v>
      </c>
      <c r="M667" t="n">
        <v>0</v>
      </c>
      <c r="N667" t="n">
        <v>0</v>
      </c>
      <c r="O667" t="n">
        <v>0</v>
      </c>
      <c r="P667" t="n">
        <v>0</v>
      </c>
      <c r="Q667" t="n">
        <v>0</v>
      </c>
      <c r="R667" s="2" t="inlineStr"/>
    </row>
    <row r="668" ht="15" customHeight="1">
      <c r="A668" t="inlineStr">
        <is>
          <t>A 35463-2023</t>
        </is>
      </c>
      <c r="B668" s="1" t="n">
        <v>45146</v>
      </c>
      <c r="C668" s="1" t="n">
        <v>46035</v>
      </c>
      <c r="D668" t="inlineStr">
        <is>
          <t>ÖSTERGÖTLANDS LÄN</t>
        </is>
      </c>
      <c r="E668" t="inlineStr">
        <is>
          <t>LINKÖPING</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16111-2022</t>
        </is>
      </c>
      <c r="B669" s="1" t="n">
        <v>44665</v>
      </c>
      <c r="C669" s="1" t="n">
        <v>46035</v>
      </c>
      <c r="D669" t="inlineStr">
        <is>
          <t>ÖSTERGÖTLANDS LÄN</t>
        </is>
      </c>
      <c r="E669" t="inlineStr">
        <is>
          <t>LINKÖPING</t>
        </is>
      </c>
      <c r="F669" t="inlineStr">
        <is>
          <t>Övriga Aktiebolag</t>
        </is>
      </c>
      <c r="G669" t="n">
        <v>2.9</v>
      </c>
      <c r="H669" t="n">
        <v>0</v>
      </c>
      <c r="I669" t="n">
        <v>0</v>
      </c>
      <c r="J669" t="n">
        <v>0</v>
      </c>
      <c r="K669" t="n">
        <v>0</v>
      </c>
      <c r="L669" t="n">
        <v>0</v>
      </c>
      <c r="M669" t="n">
        <v>0</v>
      </c>
      <c r="N669" t="n">
        <v>0</v>
      </c>
      <c r="O669" t="n">
        <v>0</v>
      </c>
      <c r="P669" t="n">
        <v>0</v>
      </c>
      <c r="Q669" t="n">
        <v>0</v>
      </c>
      <c r="R669" s="2" t="inlineStr"/>
    </row>
    <row r="670" ht="15" customHeight="1">
      <c r="A670" t="inlineStr">
        <is>
          <t>A 31635-2023</t>
        </is>
      </c>
      <c r="B670" s="1" t="n">
        <v>45105</v>
      </c>
      <c r="C670" s="1" t="n">
        <v>46035</v>
      </c>
      <c r="D670" t="inlineStr">
        <is>
          <t>ÖSTERGÖTLANDS LÄN</t>
        </is>
      </c>
      <c r="E670" t="inlineStr">
        <is>
          <t>LINKÖPING</t>
        </is>
      </c>
      <c r="F670" t="inlineStr">
        <is>
          <t>Övriga statliga verk och myndigheter</t>
        </is>
      </c>
      <c r="G670" t="n">
        <v>4.6</v>
      </c>
      <c r="H670" t="n">
        <v>0</v>
      </c>
      <c r="I670" t="n">
        <v>0</v>
      </c>
      <c r="J670" t="n">
        <v>0</v>
      </c>
      <c r="K670" t="n">
        <v>0</v>
      </c>
      <c r="L670" t="n">
        <v>0</v>
      </c>
      <c r="M670" t="n">
        <v>0</v>
      </c>
      <c r="N670" t="n">
        <v>0</v>
      </c>
      <c r="O670" t="n">
        <v>0</v>
      </c>
      <c r="P670" t="n">
        <v>0</v>
      </c>
      <c r="Q670" t="n">
        <v>0</v>
      </c>
      <c r="R670" s="2" t="inlineStr"/>
    </row>
    <row r="671" ht="15" customHeight="1">
      <c r="A671" t="inlineStr">
        <is>
          <t>A 49928-2024</t>
        </is>
      </c>
      <c r="B671" s="1" t="n">
        <v>45597.57811342592</v>
      </c>
      <c r="C671" s="1" t="n">
        <v>46035</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54845-2023</t>
        </is>
      </c>
      <c r="B672" s="1" t="n">
        <v>45236</v>
      </c>
      <c r="C672" s="1" t="n">
        <v>46035</v>
      </c>
      <c r="D672" t="inlineStr">
        <is>
          <t>ÖSTERGÖTLANDS LÄN</t>
        </is>
      </c>
      <c r="E672" t="inlineStr">
        <is>
          <t>LINKÖPING</t>
        </is>
      </c>
      <c r="F672" t="inlineStr">
        <is>
          <t>Övriga Aktiebolag</t>
        </is>
      </c>
      <c r="G672" t="n">
        <v>5.7</v>
      </c>
      <c r="H672" t="n">
        <v>0</v>
      </c>
      <c r="I672" t="n">
        <v>0</v>
      </c>
      <c r="J672" t="n">
        <v>0</v>
      </c>
      <c r="K672" t="n">
        <v>0</v>
      </c>
      <c r="L672" t="n">
        <v>0</v>
      </c>
      <c r="M672" t="n">
        <v>0</v>
      </c>
      <c r="N672" t="n">
        <v>0</v>
      </c>
      <c r="O672" t="n">
        <v>0</v>
      </c>
      <c r="P672" t="n">
        <v>0</v>
      </c>
      <c r="Q672" t="n">
        <v>0</v>
      </c>
      <c r="R672" s="2" t="inlineStr"/>
    </row>
    <row r="673" ht="15" customHeight="1">
      <c r="A673" t="inlineStr">
        <is>
          <t>A 46687-2021</t>
        </is>
      </c>
      <c r="B673" s="1" t="n">
        <v>44445</v>
      </c>
      <c r="C673" s="1" t="n">
        <v>46035</v>
      </c>
      <c r="D673" t="inlineStr">
        <is>
          <t>ÖSTERGÖTLANDS LÄN</t>
        </is>
      </c>
      <c r="E673" t="inlineStr">
        <is>
          <t>LINKÖPING</t>
        </is>
      </c>
      <c r="F673" t="inlineStr">
        <is>
          <t>Övriga statliga verk och myndigheter</t>
        </is>
      </c>
      <c r="G673" t="n">
        <v>2.3</v>
      </c>
      <c r="H673" t="n">
        <v>0</v>
      </c>
      <c r="I673" t="n">
        <v>0</v>
      </c>
      <c r="J673" t="n">
        <v>0</v>
      </c>
      <c r="K673" t="n">
        <v>0</v>
      </c>
      <c r="L673" t="n">
        <v>0</v>
      </c>
      <c r="M673" t="n">
        <v>0</v>
      </c>
      <c r="N673" t="n">
        <v>0</v>
      </c>
      <c r="O673" t="n">
        <v>0</v>
      </c>
      <c r="P673" t="n">
        <v>0</v>
      </c>
      <c r="Q673" t="n">
        <v>0</v>
      </c>
      <c r="R673" s="2" t="inlineStr"/>
    </row>
    <row r="674" ht="15" customHeight="1">
      <c r="A674" t="inlineStr">
        <is>
          <t>A 30855-2022</t>
        </is>
      </c>
      <c r="B674" s="1" t="n">
        <v>44767</v>
      </c>
      <c r="C674" s="1" t="n">
        <v>46035</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1355-2023</t>
        </is>
      </c>
      <c r="B675" s="1" t="n">
        <v>44931</v>
      </c>
      <c r="C675" s="1" t="n">
        <v>46035</v>
      </c>
      <c r="D675" t="inlineStr">
        <is>
          <t>ÖSTERGÖTLANDS LÄN</t>
        </is>
      </c>
      <c r="E675" t="inlineStr">
        <is>
          <t>LINKÖPING</t>
        </is>
      </c>
      <c r="G675" t="n">
        <v>4</v>
      </c>
      <c r="H675" t="n">
        <v>0</v>
      </c>
      <c r="I675" t="n">
        <v>0</v>
      </c>
      <c r="J675" t="n">
        <v>0</v>
      </c>
      <c r="K675" t="n">
        <v>0</v>
      </c>
      <c r="L675" t="n">
        <v>0</v>
      </c>
      <c r="M675" t="n">
        <v>0</v>
      </c>
      <c r="N675" t="n">
        <v>0</v>
      </c>
      <c r="O675" t="n">
        <v>0</v>
      </c>
      <c r="P675" t="n">
        <v>0</v>
      </c>
      <c r="Q675" t="n">
        <v>0</v>
      </c>
      <c r="R675" s="2" t="inlineStr"/>
    </row>
    <row r="676" ht="15" customHeight="1">
      <c r="A676" t="inlineStr">
        <is>
          <t>A 27844-2024</t>
        </is>
      </c>
      <c r="B676" s="1" t="n">
        <v>45475.63047453704</v>
      </c>
      <c r="C676" s="1" t="n">
        <v>46035</v>
      </c>
      <c r="D676" t="inlineStr">
        <is>
          <t>ÖSTERGÖTLANDS LÄN</t>
        </is>
      </c>
      <c r="E676" t="inlineStr">
        <is>
          <t>LINKÖPING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10741-2023</t>
        </is>
      </c>
      <c r="B677" s="1" t="n">
        <v>44988.70084490741</v>
      </c>
      <c r="C677" s="1" t="n">
        <v>46035</v>
      </c>
      <c r="D677" t="inlineStr">
        <is>
          <t>ÖSTERGÖTLANDS LÄN</t>
        </is>
      </c>
      <c r="E677" t="inlineStr">
        <is>
          <t>LINKÖPING</t>
        </is>
      </c>
      <c r="F677" t="inlineStr">
        <is>
          <t>Allmännings- och besparingsskogar</t>
        </is>
      </c>
      <c r="G677" t="n">
        <v>11.2</v>
      </c>
      <c r="H677" t="n">
        <v>0</v>
      </c>
      <c r="I677" t="n">
        <v>0</v>
      </c>
      <c r="J677" t="n">
        <v>0</v>
      </c>
      <c r="K677" t="n">
        <v>0</v>
      </c>
      <c r="L677" t="n">
        <v>0</v>
      </c>
      <c r="M677" t="n">
        <v>0</v>
      </c>
      <c r="N677" t="n">
        <v>0</v>
      </c>
      <c r="O677" t="n">
        <v>0</v>
      </c>
      <c r="P677" t="n">
        <v>0</v>
      </c>
      <c r="Q677" t="n">
        <v>0</v>
      </c>
      <c r="R677" s="2" t="inlineStr"/>
    </row>
    <row r="678" ht="15" customHeight="1">
      <c r="A678" t="inlineStr">
        <is>
          <t>A 50963-2021</t>
        </is>
      </c>
      <c r="B678" s="1" t="n">
        <v>44460</v>
      </c>
      <c r="C678" s="1" t="n">
        <v>46035</v>
      </c>
      <c r="D678" t="inlineStr">
        <is>
          <t>ÖSTERGÖTLANDS LÄN</t>
        </is>
      </c>
      <c r="E678" t="inlineStr">
        <is>
          <t>LINKÖPING</t>
        </is>
      </c>
      <c r="G678" t="n">
        <v>4.4</v>
      </c>
      <c r="H678" t="n">
        <v>0</v>
      </c>
      <c r="I678" t="n">
        <v>0</v>
      </c>
      <c r="J678" t="n">
        <v>0</v>
      </c>
      <c r="K678" t="n">
        <v>0</v>
      </c>
      <c r="L678" t="n">
        <v>0</v>
      </c>
      <c r="M678" t="n">
        <v>0</v>
      </c>
      <c r="N678" t="n">
        <v>0</v>
      </c>
      <c r="O678" t="n">
        <v>0</v>
      </c>
      <c r="P678" t="n">
        <v>0</v>
      </c>
      <c r="Q678" t="n">
        <v>0</v>
      </c>
      <c r="R678" s="2" t="inlineStr"/>
    </row>
    <row r="679" ht="15" customHeight="1">
      <c r="A679" t="inlineStr">
        <is>
          <t>A 45821-2024</t>
        </is>
      </c>
      <c r="B679" s="1" t="n">
        <v>45579.75803240741</v>
      </c>
      <c r="C679" s="1" t="n">
        <v>46035</v>
      </c>
      <c r="D679" t="inlineStr">
        <is>
          <t>ÖSTERGÖTLANDS LÄN</t>
        </is>
      </c>
      <c r="E679" t="inlineStr">
        <is>
          <t>LINKÖPING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61936-2023</t>
        </is>
      </c>
      <c r="B680" s="1" t="n">
        <v>45266.54534722222</v>
      </c>
      <c r="C680" s="1" t="n">
        <v>46035</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1263-2024</t>
        </is>
      </c>
      <c r="B681" s="1" t="n">
        <v>45302</v>
      </c>
      <c r="C681" s="1" t="n">
        <v>46035</v>
      </c>
      <c r="D681" t="inlineStr">
        <is>
          <t>ÖSTERGÖTLANDS LÄN</t>
        </is>
      </c>
      <c r="E681" t="inlineStr">
        <is>
          <t>LINKÖPING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24464-2023</t>
        </is>
      </c>
      <c r="B682" s="1" t="n">
        <v>45082.58068287037</v>
      </c>
      <c r="C682" s="1" t="n">
        <v>46035</v>
      </c>
      <c r="D682" t="inlineStr">
        <is>
          <t>ÖSTERGÖTLANDS LÄN</t>
        </is>
      </c>
      <c r="E682" t="inlineStr">
        <is>
          <t>LINKÖPING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48389-2024</t>
        </is>
      </c>
      <c r="B683" s="1" t="n">
        <v>45590.59991898148</v>
      </c>
      <c r="C683" s="1" t="n">
        <v>46035</v>
      </c>
      <c r="D683" t="inlineStr">
        <is>
          <t>ÖSTERGÖTLANDS LÄN</t>
        </is>
      </c>
      <c r="E683" t="inlineStr">
        <is>
          <t>LINKÖPING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61281-2021</t>
        </is>
      </c>
      <c r="B684" s="1" t="n">
        <v>44498.60736111111</v>
      </c>
      <c r="C684" s="1" t="n">
        <v>46035</v>
      </c>
      <c r="D684" t="inlineStr">
        <is>
          <t>ÖSTERGÖTLANDS LÄN</t>
        </is>
      </c>
      <c r="E684" t="inlineStr">
        <is>
          <t>LINKÖPING</t>
        </is>
      </c>
      <c r="G684" t="n">
        <v>4.5</v>
      </c>
      <c r="H684" t="n">
        <v>0</v>
      </c>
      <c r="I684" t="n">
        <v>0</v>
      </c>
      <c r="J684" t="n">
        <v>0</v>
      </c>
      <c r="K684" t="n">
        <v>0</v>
      </c>
      <c r="L684" t="n">
        <v>0</v>
      </c>
      <c r="M684" t="n">
        <v>0</v>
      </c>
      <c r="N684" t="n">
        <v>0</v>
      </c>
      <c r="O684" t="n">
        <v>0</v>
      </c>
      <c r="P684" t="n">
        <v>0</v>
      </c>
      <c r="Q684" t="n">
        <v>0</v>
      </c>
      <c r="R684" s="2" t="inlineStr"/>
    </row>
    <row r="685" ht="15" customHeight="1">
      <c r="A685" t="inlineStr">
        <is>
          <t>A 6369-2023</t>
        </is>
      </c>
      <c r="B685" s="1" t="n">
        <v>44965.61106481482</v>
      </c>
      <c r="C685" s="1" t="n">
        <v>46035</v>
      </c>
      <c r="D685" t="inlineStr">
        <is>
          <t>ÖSTERGÖTLANDS LÄN</t>
        </is>
      </c>
      <c r="E685" t="inlineStr">
        <is>
          <t>LINKÖPING</t>
        </is>
      </c>
      <c r="G685" t="n">
        <v>4</v>
      </c>
      <c r="H685" t="n">
        <v>0</v>
      </c>
      <c r="I685" t="n">
        <v>0</v>
      </c>
      <c r="J685" t="n">
        <v>0</v>
      </c>
      <c r="K685" t="n">
        <v>0</v>
      </c>
      <c r="L685" t="n">
        <v>0</v>
      </c>
      <c r="M685" t="n">
        <v>0</v>
      </c>
      <c r="N685" t="n">
        <v>0</v>
      </c>
      <c r="O685" t="n">
        <v>0</v>
      </c>
      <c r="P685" t="n">
        <v>0</v>
      </c>
      <c r="Q685" t="n">
        <v>0</v>
      </c>
      <c r="R685" s="2" t="inlineStr"/>
    </row>
    <row r="686" ht="15" customHeight="1">
      <c r="A686" t="inlineStr">
        <is>
          <t>A 10094-2024</t>
        </is>
      </c>
      <c r="B686" s="1" t="n">
        <v>45364</v>
      </c>
      <c r="C686" s="1" t="n">
        <v>46035</v>
      </c>
      <c r="D686" t="inlineStr">
        <is>
          <t>ÖSTERGÖTLANDS LÄN</t>
        </is>
      </c>
      <c r="E686" t="inlineStr">
        <is>
          <t>LINKÖPING</t>
        </is>
      </c>
      <c r="F686" t="inlineStr">
        <is>
          <t>Övriga Aktiebolag</t>
        </is>
      </c>
      <c r="G686" t="n">
        <v>1.9</v>
      </c>
      <c r="H686" t="n">
        <v>0</v>
      </c>
      <c r="I686" t="n">
        <v>0</v>
      </c>
      <c r="J686" t="n">
        <v>0</v>
      </c>
      <c r="K686" t="n">
        <v>0</v>
      </c>
      <c r="L686" t="n">
        <v>0</v>
      </c>
      <c r="M686" t="n">
        <v>0</v>
      </c>
      <c r="N686" t="n">
        <v>0</v>
      </c>
      <c r="O686" t="n">
        <v>0</v>
      </c>
      <c r="P686" t="n">
        <v>0</v>
      </c>
      <c r="Q686" t="n">
        <v>0</v>
      </c>
      <c r="R686" s="2" t="inlineStr"/>
    </row>
    <row r="687" ht="15" customHeight="1">
      <c r="A687" t="inlineStr">
        <is>
          <t>A 1207-2023</t>
        </is>
      </c>
      <c r="B687" s="1" t="n">
        <v>44930</v>
      </c>
      <c r="C687" s="1" t="n">
        <v>46035</v>
      </c>
      <c r="D687" t="inlineStr">
        <is>
          <t>ÖSTERGÖTLANDS LÄN</t>
        </is>
      </c>
      <c r="E687" t="inlineStr">
        <is>
          <t>LINKÖPING</t>
        </is>
      </c>
      <c r="F687" t="inlineStr">
        <is>
          <t>Övriga statliga verk och myndigheter</t>
        </is>
      </c>
      <c r="G687" t="n">
        <v>32.8</v>
      </c>
      <c r="H687" t="n">
        <v>0</v>
      </c>
      <c r="I687" t="n">
        <v>0</v>
      </c>
      <c r="J687" t="n">
        <v>0</v>
      </c>
      <c r="K687" t="n">
        <v>0</v>
      </c>
      <c r="L687" t="n">
        <v>0</v>
      </c>
      <c r="M687" t="n">
        <v>0</v>
      </c>
      <c r="N687" t="n">
        <v>0</v>
      </c>
      <c r="O687" t="n">
        <v>0</v>
      </c>
      <c r="P687" t="n">
        <v>0</v>
      </c>
      <c r="Q687" t="n">
        <v>0</v>
      </c>
      <c r="R687" s="2" t="inlineStr"/>
    </row>
    <row r="688" ht="15" customHeight="1">
      <c r="A688" t="inlineStr">
        <is>
          <t>A 62015-2024</t>
        </is>
      </c>
      <c r="B688" s="1" t="n">
        <v>45655.80457175926</v>
      </c>
      <c r="C688" s="1" t="n">
        <v>46035</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62020-2024</t>
        </is>
      </c>
      <c r="B689" s="1" t="n">
        <v>45655.83563657408</v>
      </c>
      <c r="C689" s="1" t="n">
        <v>46035</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62021-2024</t>
        </is>
      </c>
      <c r="B690" s="1" t="n">
        <v>45655.84232638889</v>
      </c>
      <c r="C690" s="1" t="n">
        <v>46035</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27891-2021</t>
        </is>
      </c>
      <c r="B691" s="1" t="n">
        <v>44354.65108796296</v>
      </c>
      <c r="C691" s="1" t="n">
        <v>46035</v>
      </c>
      <c r="D691" t="inlineStr">
        <is>
          <t>ÖSTERGÖTLANDS LÄN</t>
        </is>
      </c>
      <c r="E691" t="inlineStr">
        <is>
          <t>LINKÖPING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57391-2023</t>
        </is>
      </c>
      <c r="B692" s="1" t="n">
        <v>45245</v>
      </c>
      <c r="C692" s="1" t="n">
        <v>46035</v>
      </c>
      <c r="D692" t="inlineStr">
        <is>
          <t>ÖSTERGÖTLANDS LÄN</t>
        </is>
      </c>
      <c r="E692" t="inlineStr">
        <is>
          <t>LINKÖPING</t>
        </is>
      </c>
      <c r="F692" t="inlineStr">
        <is>
          <t>Övriga Aktiebolag</t>
        </is>
      </c>
      <c r="G692" t="n">
        <v>1.7</v>
      </c>
      <c r="H692" t="n">
        <v>0</v>
      </c>
      <c r="I692" t="n">
        <v>0</v>
      </c>
      <c r="J692" t="n">
        <v>0</v>
      </c>
      <c r="K692" t="n">
        <v>0</v>
      </c>
      <c r="L692" t="n">
        <v>0</v>
      </c>
      <c r="M692" t="n">
        <v>0</v>
      </c>
      <c r="N692" t="n">
        <v>0</v>
      </c>
      <c r="O692" t="n">
        <v>0</v>
      </c>
      <c r="P692" t="n">
        <v>0</v>
      </c>
      <c r="Q692" t="n">
        <v>0</v>
      </c>
      <c r="R692" s="2" t="inlineStr"/>
    </row>
    <row r="693" ht="15" customHeight="1">
      <c r="A693" t="inlineStr">
        <is>
          <t>A 20294-2025</t>
        </is>
      </c>
      <c r="B693" s="1" t="n">
        <v>45774.74667824074</v>
      </c>
      <c r="C693" s="1" t="n">
        <v>46035</v>
      </c>
      <c r="D693" t="inlineStr">
        <is>
          <t>ÖSTERGÖTLANDS LÄN</t>
        </is>
      </c>
      <c r="E693" t="inlineStr">
        <is>
          <t>LINKÖPING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60013-2022</t>
        </is>
      </c>
      <c r="B694" s="1" t="n">
        <v>44909.47482638889</v>
      </c>
      <c r="C694" s="1" t="n">
        <v>46035</v>
      </c>
      <c r="D694" t="inlineStr">
        <is>
          <t>ÖSTERGÖTLANDS LÄN</t>
        </is>
      </c>
      <c r="E694" t="inlineStr">
        <is>
          <t>LINKÖPING</t>
        </is>
      </c>
      <c r="G694" t="n">
        <v>0.9</v>
      </c>
      <c r="H694" t="n">
        <v>0</v>
      </c>
      <c r="I694" t="n">
        <v>0</v>
      </c>
      <c r="J694" t="n">
        <v>0</v>
      </c>
      <c r="K694" t="n">
        <v>0</v>
      </c>
      <c r="L694" t="n">
        <v>0</v>
      </c>
      <c r="M694" t="n">
        <v>0</v>
      </c>
      <c r="N694" t="n">
        <v>0</v>
      </c>
      <c r="O694" t="n">
        <v>0</v>
      </c>
      <c r="P694" t="n">
        <v>0</v>
      </c>
      <c r="Q694" t="n">
        <v>0</v>
      </c>
      <c r="R694" s="2" t="inlineStr"/>
    </row>
    <row r="695" ht="15" customHeight="1">
      <c r="A695" t="inlineStr">
        <is>
          <t>A 3007-2025</t>
        </is>
      </c>
      <c r="B695" s="1" t="n">
        <v>45678.56328703704</v>
      </c>
      <c r="C695" s="1" t="n">
        <v>46035</v>
      </c>
      <c r="D695" t="inlineStr">
        <is>
          <t>ÖSTERGÖTLANDS LÄN</t>
        </is>
      </c>
      <c r="E695" t="inlineStr">
        <is>
          <t>LINKÖPING</t>
        </is>
      </c>
      <c r="G695" t="n">
        <v>3.1</v>
      </c>
      <c r="H695" t="n">
        <v>0</v>
      </c>
      <c r="I695" t="n">
        <v>0</v>
      </c>
      <c r="J695" t="n">
        <v>0</v>
      </c>
      <c r="K695" t="n">
        <v>0</v>
      </c>
      <c r="L695" t="n">
        <v>0</v>
      </c>
      <c r="M695" t="n">
        <v>0</v>
      </c>
      <c r="N695" t="n">
        <v>0</v>
      </c>
      <c r="O695" t="n">
        <v>0</v>
      </c>
      <c r="P695" t="n">
        <v>0</v>
      </c>
      <c r="Q695" t="n">
        <v>0</v>
      </c>
      <c r="R695" s="2" t="inlineStr"/>
    </row>
    <row r="696" ht="15" customHeight="1">
      <c r="A696" t="inlineStr">
        <is>
          <t>A 34877-2023</t>
        </is>
      </c>
      <c r="B696" s="1" t="n">
        <v>45140</v>
      </c>
      <c r="C696" s="1" t="n">
        <v>46035</v>
      </c>
      <c r="D696" t="inlineStr">
        <is>
          <t>ÖSTERGÖTLANDS LÄN</t>
        </is>
      </c>
      <c r="E696" t="inlineStr">
        <is>
          <t>LINKÖPING</t>
        </is>
      </c>
      <c r="G696" t="n">
        <v>1.9</v>
      </c>
      <c r="H696" t="n">
        <v>0</v>
      </c>
      <c r="I696" t="n">
        <v>0</v>
      </c>
      <c r="J696" t="n">
        <v>0</v>
      </c>
      <c r="K696" t="n">
        <v>0</v>
      </c>
      <c r="L696" t="n">
        <v>0</v>
      </c>
      <c r="M696" t="n">
        <v>0</v>
      </c>
      <c r="N696" t="n">
        <v>0</v>
      </c>
      <c r="O696" t="n">
        <v>0</v>
      </c>
      <c r="P696" t="n">
        <v>0</v>
      </c>
      <c r="Q696" t="n">
        <v>0</v>
      </c>
      <c r="R696" s="2" t="inlineStr"/>
    </row>
    <row r="697" ht="15" customHeight="1">
      <c r="A697" t="inlineStr">
        <is>
          <t>A 1924-2024</t>
        </is>
      </c>
      <c r="B697" s="1" t="n">
        <v>45308</v>
      </c>
      <c r="C697" s="1" t="n">
        <v>46035</v>
      </c>
      <c r="D697" t="inlineStr">
        <is>
          <t>ÖSTERGÖTLANDS LÄN</t>
        </is>
      </c>
      <c r="E697" t="inlineStr">
        <is>
          <t>LINKÖPING</t>
        </is>
      </c>
      <c r="F697" t="inlineStr">
        <is>
          <t>Övriga Aktiebolag</t>
        </is>
      </c>
      <c r="G697" t="n">
        <v>0.5</v>
      </c>
      <c r="H697" t="n">
        <v>0</v>
      </c>
      <c r="I697" t="n">
        <v>0</v>
      </c>
      <c r="J697" t="n">
        <v>0</v>
      </c>
      <c r="K697" t="n">
        <v>0</v>
      </c>
      <c r="L697" t="n">
        <v>0</v>
      </c>
      <c r="M697" t="n">
        <v>0</v>
      </c>
      <c r="N697" t="n">
        <v>0</v>
      </c>
      <c r="O697" t="n">
        <v>0</v>
      </c>
      <c r="P697" t="n">
        <v>0</v>
      </c>
      <c r="Q697" t="n">
        <v>0</v>
      </c>
      <c r="R697" s="2" t="inlineStr"/>
    </row>
    <row r="698" ht="15" customHeight="1">
      <c r="A698" t="inlineStr">
        <is>
          <t>A 34558-2022</t>
        </is>
      </c>
      <c r="B698" s="1" t="n">
        <v>44794.57594907407</v>
      </c>
      <c r="C698" s="1" t="n">
        <v>46035</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168-2024</t>
        </is>
      </c>
      <c r="B699" s="1" t="n">
        <v>45294</v>
      </c>
      <c r="C699" s="1" t="n">
        <v>46035</v>
      </c>
      <c r="D699" t="inlineStr">
        <is>
          <t>ÖSTERGÖTLANDS LÄN</t>
        </is>
      </c>
      <c r="E699" t="inlineStr">
        <is>
          <t>LINKÖPING</t>
        </is>
      </c>
      <c r="F699" t="inlineStr">
        <is>
          <t>Allmännings- och besparingsskogar</t>
        </is>
      </c>
      <c r="G699" t="n">
        <v>8.9</v>
      </c>
      <c r="H699" t="n">
        <v>0</v>
      </c>
      <c r="I699" t="n">
        <v>0</v>
      </c>
      <c r="J699" t="n">
        <v>0</v>
      </c>
      <c r="K699" t="n">
        <v>0</v>
      </c>
      <c r="L699" t="n">
        <v>0</v>
      </c>
      <c r="M699" t="n">
        <v>0</v>
      </c>
      <c r="N699" t="n">
        <v>0</v>
      </c>
      <c r="O699" t="n">
        <v>0</v>
      </c>
      <c r="P699" t="n">
        <v>0</v>
      </c>
      <c r="Q699" t="n">
        <v>0</v>
      </c>
      <c r="R699" s="2" t="inlineStr"/>
    </row>
    <row r="700" ht="15" customHeight="1">
      <c r="A700" t="inlineStr">
        <is>
          <t>A 15658-2023</t>
        </is>
      </c>
      <c r="B700" s="1" t="n">
        <v>45021.41194444444</v>
      </c>
      <c r="C700" s="1" t="n">
        <v>46035</v>
      </c>
      <c r="D700" t="inlineStr">
        <is>
          <t>ÖSTERGÖTLANDS LÄN</t>
        </is>
      </c>
      <c r="E700" t="inlineStr">
        <is>
          <t>LINKÖPING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30433-2024</t>
        </is>
      </c>
      <c r="B701" s="1" t="n">
        <v>45491.69741898148</v>
      </c>
      <c r="C701" s="1" t="n">
        <v>46035</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52220-2023</t>
        </is>
      </c>
      <c r="B702" s="1" t="n">
        <v>45217</v>
      </c>
      <c r="C702" s="1" t="n">
        <v>46035</v>
      </c>
      <c r="D702" t="inlineStr">
        <is>
          <t>ÖSTERGÖTLANDS LÄN</t>
        </is>
      </c>
      <c r="E702" t="inlineStr">
        <is>
          <t>LINKÖPING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52225-2023</t>
        </is>
      </c>
      <c r="B703" s="1" t="n">
        <v>45217</v>
      </c>
      <c r="C703" s="1" t="n">
        <v>46035</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19464-2024</t>
        </is>
      </c>
      <c r="B704" s="1" t="n">
        <v>45429</v>
      </c>
      <c r="C704" s="1" t="n">
        <v>46035</v>
      </c>
      <c r="D704" t="inlineStr">
        <is>
          <t>ÖSTERGÖTLANDS LÄN</t>
        </is>
      </c>
      <c r="E704" t="inlineStr">
        <is>
          <t>LINKÖPING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42044-2023</t>
        </is>
      </c>
      <c r="B705" s="1" t="n">
        <v>45177</v>
      </c>
      <c r="C705" s="1" t="n">
        <v>46035</v>
      </c>
      <c r="D705" t="inlineStr">
        <is>
          <t>ÖSTERGÖTLANDS LÄN</t>
        </is>
      </c>
      <c r="E705" t="inlineStr">
        <is>
          <t>LINKÖPING</t>
        </is>
      </c>
      <c r="G705" t="n">
        <v>3.9</v>
      </c>
      <c r="H705" t="n">
        <v>0</v>
      </c>
      <c r="I705" t="n">
        <v>0</v>
      </c>
      <c r="J705" t="n">
        <v>0</v>
      </c>
      <c r="K705" t="n">
        <v>0</v>
      </c>
      <c r="L705" t="n">
        <v>0</v>
      </c>
      <c r="M705" t="n">
        <v>0</v>
      </c>
      <c r="N705" t="n">
        <v>0</v>
      </c>
      <c r="O705" t="n">
        <v>0</v>
      </c>
      <c r="P705" t="n">
        <v>0</v>
      </c>
      <c r="Q705" t="n">
        <v>0</v>
      </c>
      <c r="R705" s="2" t="inlineStr"/>
    </row>
    <row r="706" ht="15" customHeight="1">
      <c r="A706" t="inlineStr">
        <is>
          <t>A 630-2024</t>
        </is>
      </c>
      <c r="B706" s="1" t="n">
        <v>45299.67736111111</v>
      </c>
      <c r="C706" s="1" t="n">
        <v>46035</v>
      </c>
      <c r="D706" t="inlineStr">
        <is>
          <t>ÖSTERGÖTLANDS LÄN</t>
        </is>
      </c>
      <c r="E706" t="inlineStr">
        <is>
          <t>LINKÖPING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21782-2024</t>
        </is>
      </c>
      <c r="B707" s="1" t="n">
        <v>45442.63368055555</v>
      </c>
      <c r="C707" s="1" t="n">
        <v>46035</v>
      </c>
      <c r="D707" t="inlineStr">
        <is>
          <t>ÖSTERGÖTLANDS LÄN</t>
        </is>
      </c>
      <c r="E707" t="inlineStr">
        <is>
          <t>LINKÖPING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57766-2023</t>
        </is>
      </c>
      <c r="B708" s="1" t="n">
        <v>45246</v>
      </c>
      <c r="C708" s="1" t="n">
        <v>46035</v>
      </c>
      <c r="D708" t="inlineStr">
        <is>
          <t>ÖSTERGÖTLANDS LÄN</t>
        </is>
      </c>
      <c r="E708" t="inlineStr">
        <is>
          <t>LINKÖPING</t>
        </is>
      </c>
      <c r="F708" t="inlineStr">
        <is>
          <t>Allmännings- och besparingsskogar</t>
        </is>
      </c>
      <c r="G708" t="n">
        <v>12.8</v>
      </c>
      <c r="H708" t="n">
        <v>0</v>
      </c>
      <c r="I708" t="n">
        <v>0</v>
      </c>
      <c r="J708" t="n">
        <v>0</v>
      </c>
      <c r="K708" t="n">
        <v>0</v>
      </c>
      <c r="L708" t="n">
        <v>0</v>
      </c>
      <c r="M708" t="n">
        <v>0</v>
      </c>
      <c r="N708" t="n">
        <v>0</v>
      </c>
      <c r="O708" t="n">
        <v>0</v>
      </c>
      <c r="P708" t="n">
        <v>0</v>
      </c>
      <c r="Q708" t="n">
        <v>0</v>
      </c>
      <c r="R708" s="2" t="inlineStr"/>
    </row>
    <row r="709" ht="15" customHeight="1">
      <c r="A709" t="inlineStr">
        <is>
          <t>A 27186-2021</t>
        </is>
      </c>
      <c r="B709" s="1" t="n">
        <v>44350.67715277777</v>
      </c>
      <c r="C709" s="1" t="n">
        <v>46035</v>
      </c>
      <c r="D709" t="inlineStr">
        <is>
          <t>ÖSTERGÖTLANDS LÄN</t>
        </is>
      </c>
      <c r="E709" t="inlineStr">
        <is>
          <t>LINKÖPING</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10194-2023</t>
        </is>
      </c>
      <c r="B710" s="1" t="n">
        <v>44986.52277777778</v>
      </c>
      <c r="C710" s="1" t="n">
        <v>46035</v>
      </c>
      <c r="D710" t="inlineStr">
        <is>
          <t>ÖSTERGÖTLANDS LÄN</t>
        </is>
      </c>
      <c r="E710" t="inlineStr">
        <is>
          <t>LINKÖPING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55944-2024</t>
        </is>
      </c>
      <c r="B711" s="1" t="n">
        <v>45623.61640046296</v>
      </c>
      <c r="C711" s="1" t="n">
        <v>46035</v>
      </c>
      <c r="D711" t="inlineStr">
        <is>
          <t>ÖSTERGÖTLANDS LÄN</t>
        </is>
      </c>
      <c r="E711" t="inlineStr">
        <is>
          <t>LINKÖPING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55947-2024</t>
        </is>
      </c>
      <c r="B712" s="1" t="n">
        <v>45623</v>
      </c>
      <c r="C712" s="1" t="n">
        <v>46035</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47703-2023</t>
        </is>
      </c>
      <c r="B713" s="1" t="n">
        <v>45203</v>
      </c>
      <c r="C713" s="1" t="n">
        <v>46035</v>
      </c>
      <c r="D713" t="inlineStr">
        <is>
          <t>ÖSTERGÖTLANDS LÄN</t>
        </is>
      </c>
      <c r="E713" t="inlineStr">
        <is>
          <t>LINKÖPING</t>
        </is>
      </c>
      <c r="G713" t="n">
        <v>4.1</v>
      </c>
      <c r="H713" t="n">
        <v>0</v>
      </c>
      <c r="I713" t="n">
        <v>0</v>
      </c>
      <c r="J713" t="n">
        <v>0</v>
      </c>
      <c r="K713" t="n">
        <v>0</v>
      </c>
      <c r="L713" t="n">
        <v>0</v>
      </c>
      <c r="M713" t="n">
        <v>0</v>
      </c>
      <c r="N713" t="n">
        <v>0</v>
      </c>
      <c r="O713" t="n">
        <v>0</v>
      </c>
      <c r="P713" t="n">
        <v>0</v>
      </c>
      <c r="Q713" t="n">
        <v>0</v>
      </c>
      <c r="R713" s="2" t="inlineStr"/>
    </row>
    <row r="714" ht="15" customHeight="1">
      <c r="A714" t="inlineStr">
        <is>
          <t>A 51559-2024</t>
        </is>
      </c>
      <c r="B714" s="1" t="n">
        <v>45604.61431712963</v>
      </c>
      <c r="C714" s="1" t="n">
        <v>46035</v>
      </c>
      <c r="D714" t="inlineStr">
        <is>
          <t>ÖSTERGÖTLANDS LÄN</t>
        </is>
      </c>
      <c r="E714" t="inlineStr">
        <is>
          <t>LINKÖPING</t>
        </is>
      </c>
      <c r="F714" t="inlineStr">
        <is>
          <t>Övriga Aktiebolag</t>
        </is>
      </c>
      <c r="G714" t="n">
        <v>2.4</v>
      </c>
      <c r="H714" t="n">
        <v>0</v>
      </c>
      <c r="I714" t="n">
        <v>0</v>
      </c>
      <c r="J714" t="n">
        <v>0</v>
      </c>
      <c r="K714" t="n">
        <v>0</v>
      </c>
      <c r="L714" t="n">
        <v>0</v>
      </c>
      <c r="M714" t="n">
        <v>0</v>
      </c>
      <c r="N714" t="n">
        <v>0</v>
      </c>
      <c r="O714" t="n">
        <v>0</v>
      </c>
      <c r="P714" t="n">
        <v>0</v>
      </c>
      <c r="Q714" t="n">
        <v>0</v>
      </c>
      <c r="R714" s="2" t="inlineStr"/>
    </row>
    <row r="715" ht="15" customHeight="1">
      <c r="A715" t="inlineStr">
        <is>
          <t>A 62353-2022</t>
        </is>
      </c>
      <c r="B715" s="1" t="n">
        <v>44923</v>
      </c>
      <c r="C715" s="1" t="n">
        <v>46035</v>
      </c>
      <c r="D715" t="inlineStr">
        <is>
          <t>ÖSTERGÖTLANDS LÄN</t>
        </is>
      </c>
      <c r="E715" t="inlineStr">
        <is>
          <t>LINKÖPING</t>
        </is>
      </c>
      <c r="F715" t="inlineStr">
        <is>
          <t>Allmännings- och besparingsskogar</t>
        </is>
      </c>
      <c r="G715" t="n">
        <v>1.7</v>
      </c>
      <c r="H715" t="n">
        <v>0</v>
      </c>
      <c r="I715" t="n">
        <v>0</v>
      </c>
      <c r="J715" t="n">
        <v>0</v>
      </c>
      <c r="K715" t="n">
        <v>0</v>
      </c>
      <c r="L715" t="n">
        <v>0</v>
      </c>
      <c r="M715" t="n">
        <v>0</v>
      </c>
      <c r="N715" t="n">
        <v>0</v>
      </c>
      <c r="O715" t="n">
        <v>0</v>
      </c>
      <c r="P715" t="n">
        <v>0</v>
      </c>
      <c r="Q715" t="n">
        <v>0</v>
      </c>
      <c r="R715" s="2" t="inlineStr"/>
    </row>
    <row r="716" ht="15" customHeight="1">
      <c r="A716" t="inlineStr">
        <is>
          <t>A 15754-2025</t>
        </is>
      </c>
      <c r="B716" s="1" t="n">
        <v>45748.56105324074</v>
      </c>
      <c r="C716" s="1" t="n">
        <v>46035</v>
      </c>
      <c r="D716" t="inlineStr">
        <is>
          <t>ÖSTERGÖTLANDS LÄN</t>
        </is>
      </c>
      <c r="E716" t="inlineStr">
        <is>
          <t>LINKÖPING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4298-2023</t>
        </is>
      </c>
      <c r="B717" s="1" t="n">
        <v>44953</v>
      </c>
      <c r="C717" s="1" t="n">
        <v>46035</v>
      </c>
      <c r="D717" t="inlineStr">
        <is>
          <t>ÖSTERGÖTLANDS LÄN</t>
        </is>
      </c>
      <c r="E717" t="inlineStr">
        <is>
          <t>LINKÖPING</t>
        </is>
      </c>
      <c r="G717" t="n">
        <v>2.8</v>
      </c>
      <c r="H717" t="n">
        <v>0</v>
      </c>
      <c r="I717" t="n">
        <v>0</v>
      </c>
      <c r="J717" t="n">
        <v>0</v>
      </c>
      <c r="K717" t="n">
        <v>0</v>
      </c>
      <c r="L717" t="n">
        <v>0</v>
      </c>
      <c r="M717" t="n">
        <v>0</v>
      </c>
      <c r="N717" t="n">
        <v>0</v>
      </c>
      <c r="O717" t="n">
        <v>0</v>
      </c>
      <c r="P717" t="n">
        <v>0</v>
      </c>
      <c r="Q717" t="n">
        <v>0</v>
      </c>
      <c r="R717" s="2" t="inlineStr"/>
    </row>
    <row r="718" ht="15" customHeight="1">
      <c r="A718" t="inlineStr">
        <is>
          <t>A 18145-2021</t>
        </is>
      </c>
      <c r="B718" s="1" t="n">
        <v>44302</v>
      </c>
      <c r="C718" s="1" t="n">
        <v>46035</v>
      </c>
      <c r="D718" t="inlineStr">
        <is>
          <t>ÖSTERGÖTLANDS LÄN</t>
        </is>
      </c>
      <c r="E718" t="inlineStr">
        <is>
          <t>LINKÖPING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25568-2024</t>
        </is>
      </c>
      <c r="B719" s="1" t="n">
        <v>45463.58699074074</v>
      </c>
      <c r="C719" s="1" t="n">
        <v>46035</v>
      </c>
      <c r="D719" t="inlineStr">
        <is>
          <t>ÖSTERGÖTLANDS LÄN</t>
        </is>
      </c>
      <c r="E719" t="inlineStr">
        <is>
          <t>LINKÖPING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38136-2023</t>
        </is>
      </c>
      <c r="B720" s="1" t="n">
        <v>45161.37310185185</v>
      </c>
      <c r="C720" s="1" t="n">
        <v>46035</v>
      </c>
      <c r="D720" t="inlineStr">
        <is>
          <t>ÖSTERGÖTLANDS LÄN</t>
        </is>
      </c>
      <c r="E720" t="inlineStr">
        <is>
          <t>LINKÖPING</t>
        </is>
      </c>
      <c r="G720" t="n">
        <v>5.6</v>
      </c>
      <c r="H720" t="n">
        <v>0</v>
      </c>
      <c r="I720" t="n">
        <v>0</v>
      </c>
      <c r="J720" t="n">
        <v>0</v>
      </c>
      <c r="K720" t="n">
        <v>0</v>
      </c>
      <c r="L720" t="n">
        <v>0</v>
      </c>
      <c r="M720" t="n">
        <v>0</v>
      </c>
      <c r="N720" t="n">
        <v>0</v>
      </c>
      <c r="O720" t="n">
        <v>0</v>
      </c>
      <c r="P720" t="n">
        <v>0</v>
      </c>
      <c r="Q720" t="n">
        <v>0</v>
      </c>
      <c r="R720" s="2" t="inlineStr"/>
    </row>
    <row r="721" ht="15" customHeight="1">
      <c r="A721" t="inlineStr">
        <is>
          <t>A 12317-2025</t>
        </is>
      </c>
      <c r="B721" s="1" t="n">
        <v>45729.8487037037</v>
      </c>
      <c r="C721" s="1" t="n">
        <v>46035</v>
      </c>
      <c r="D721" t="inlineStr">
        <is>
          <t>ÖSTERGÖTLANDS LÄN</t>
        </is>
      </c>
      <c r="E721" t="inlineStr">
        <is>
          <t>LINKÖPING</t>
        </is>
      </c>
      <c r="G721" t="n">
        <v>8</v>
      </c>
      <c r="H721" t="n">
        <v>0</v>
      </c>
      <c r="I721" t="n">
        <v>0</v>
      </c>
      <c r="J721" t="n">
        <v>0</v>
      </c>
      <c r="K721" t="n">
        <v>0</v>
      </c>
      <c r="L721" t="n">
        <v>0</v>
      </c>
      <c r="M721" t="n">
        <v>0</v>
      </c>
      <c r="N721" t="n">
        <v>0</v>
      </c>
      <c r="O721" t="n">
        <v>0</v>
      </c>
      <c r="P721" t="n">
        <v>0</v>
      </c>
      <c r="Q721" t="n">
        <v>0</v>
      </c>
      <c r="R721" s="2" t="inlineStr"/>
    </row>
    <row r="722" ht="15" customHeight="1">
      <c r="A722" t="inlineStr">
        <is>
          <t>A 14528-2025</t>
        </is>
      </c>
      <c r="B722" s="1" t="n">
        <v>45741</v>
      </c>
      <c r="C722" s="1" t="n">
        <v>46035</v>
      </c>
      <c r="D722" t="inlineStr">
        <is>
          <t>ÖSTERGÖTLANDS LÄN</t>
        </is>
      </c>
      <c r="E722" t="inlineStr">
        <is>
          <t>LINKÖPING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61649-2023</t>
        </is>
      </c>
      <c r="B723" s="1" t="n">
        <v>45265</v>
      </c>
      <c r="C723" s="1" t="n">
        <v>46035</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60985-2023</t>
        </is>
      </c>
      <c r="B724" s="1" t="n">
        <v>45261.48429398148</v>
      </c>
      <c r="C724" s="1" t="n">
        <v>46035</v>
      </c>
      <c r="D724" t="inlineStr">
        <is>
          <t>ÖSTERGÖTLANDS LÄN</t>
        </is>
      </c>
      <c r="E724" t="inlineStr">
        <is>
          <t>LINKÖPING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421-2024</t>
        </is>
      </c>
      <c r="B725" s="1" t="n">
        <v>45296.51877314815</v>
      </c>
      <c r="C725" s="1" t="n">
        <v>46035</v>
      </c>
      <c r="D725" t="inlineStr">
        <is>
          <t>ÖSTERGÖTLANDS LÄN</t>
        </is>
      </c>
      <c r="E725" t="inlineStr">
        <is>
          <t>LINKÖPING</t>
        </is>
      </c>
      <c r="G725" t="n">
        <v>3.7</v>
      </c>
      <c r="H725" t="n">
        <v>0</v>
      </c>
      <c r="I725" t="n">
        <v>0</v>
      </c>
      <c r="J725" t="n">
        <v>0</v>
      </c>
      <c r="K725" t="n">
        <v>0</v>
      </c>
      <c r="L725" t="n">
        <v>0</v>
      </c>
      <c r="M725" t="n">
        <v>0</v>
      </c>
      <c r="N725" t="n">
        <v>0</v>
      </c>
      <c r="O725" t="n">
        <v>0</v>
      </c>
      <c r="P725" t="n">
        <v>0</v>
      </c>
      <c r="Q725" t="n">
        <v>0</v>
      </c>
      <c r="R725" s="2" t="inlineStr"/>
    </row>
    <row r="726" ht="15" customHeight="1">
      <c r="A726" t="inlineStr">
        <is>
          <t>A 51405-2023</t>
        </is>
      </c>
      <c r="B726" s="1" t="n">
        <v>45219</v>
      </c>
      <c r="C726" s="1" t="n">
        <v>46035</v>
      </c>
      <c r="D726" t="inlineStr">
        <is>
          <t>ÖSTERGÖTLANDS LÄN</t>
        </is>
      </c>
      <c r="E726" t="inlineStr">
        <is>
          <t>LINKÖPING</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53639-2023</t>
        </is>
      </c>
      <c r="B727" s="1" t="n">
        <v>45230.59686342593</v>
      </c>
      <c r="C727" s="1" t="n">
        <v>46035</v>
      </c>
      <c r="D727" t="inlineStr">
        <is>
          <t>ÖSTERGÖTLANDS LÄN</t>
        </is>
      </c>
      <c r="E727" t="inlineStr">
        <is>
          <t>LINKÖPING</t>
        </is>
      </c>
      <c r="G727" t="n">
        <v>2.3</v>
      </c>
      <c r="H727" t="n">
        <v>0</v>
      </c>
      <c r="I727" t="n">
        <v>0</v>
      </c>
      <c r="J727" t="n">
        <v>0</v>
      </c>
      <c r="K727" t="n">
        <v>0</v>
      </c>
      <c r="L727" t="n">
        <v>0</v>
      </c>
      <c r="M727" t="n">
        <v>0</v>
      </c>
      <c r="N727" t="n">
        <v>0</v>
      </c>
      <c r="O727" t="n">
        <v>0</v>
      </c>
      <c r="P727" t="n">
        <v>0</v>
      </c>
      <c r="Q727" t="n">
        <v>0</v>
      </c>
      <c r="R727" s="2" t="inlineStr"/>
    </row>
    <row r="728" ht="15" customHeight="1">
      <c r="A728" t="inlineStr">
        <is>
          <t>A 24467-2023</t>
        </is>
      </c>
      <c r="B728" s="1" t="n">
        <v>45082</v>
      </c>
      <c r="C728" s="1" t="n">
        <v>46035</v>
      </c>
      <c r="D728" t="inlineStr">
        <is>
          <t>ÖSTERGÖTLANDS LÄN</t>
        </is>
      </c>
      <c r="E728" t="inlineStr">
        <is>
          <t>LINKÖPING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62488-2023</t>
        </is>
      </c>
      <c r="B729" s="1" t="n">
        <v>45268.5847337963</v>
      </c>
      <c r="C729" s="1" t="n">
        <v>46035</v>
      </c>
      <c r="D729" t="inlineStr">
        <is>
          <t>ÖSTERGÖTLANDS LÄN</t>
        </is>
      </c>
      <c r="E729" t="inlineStr">
        <is>
          <t>LINKÖPING</t>
        </is>
      </c>
      <c r="G729" t="n">
        <v>4.1</v>
      </c>
      <c r="H729" t="n">
        <v>0</v>
      </c>
      <c r="I729" t="n">
        <v>0</v>
      </c>
      <c r="J729" t="n">
        <v>0</v>
      </c>
      <c r="K729" t="n">
        <v>0</v>
      </c>
      <c r="L729" t="n">
        <v>0</v>
      </c>
      <c r="M729" t="n">
        <v>0</v>
      </c>
      <c r="N729" t="n">
        <v>0</v>
      </c>
      <c r="O729" t="n">
        <v>0</v>
      </c>
      <c r="P729" t="n">
        <v>0</v>
      </c>
      <c r="Q729" t="n">
        <v>0</v>
      </c>
      <c r="R729" s="2" t="inlineStr"/>
    </row>
    <row r="730" ht="15" customHeight="1">
      <c r="A730" t="inlineStr">
        <is>
          <t>A 62495-2023</t>
        </is>
      </c>
      <c r="B730" s="1" t="n">
        <v>45268.59717592593</v>
      </c>
      <c r="C730" s="1" t="n">
        <v>46035</v>
      </c>
      <c r="D730" t="inlineStr">
        <is>
          <t>ÖSTERGÖTLANDS LÄN</t>
        </is>
      </c>
      <c r="E730" t="inlineStr">
        <is>
          <t>LINKÖPING</t>
        </is>
      </c>
      <c r="G730" t="n">
        <v>4.1</v>
      </c>
      <c r="H730" t="n">
        <v>0</v>
      </c>
      <c r="I730" t="n">
        <v>0</v>
      </c>
      <c r="J730" t="n">
        <v>0</v>
      </c>
      <c r="K730" t="n">
        <v>0</v>
      </c>
      <c r="L730" t="n">
        <v>0</v>
      </c>
      <c r="M730" t="n">
        <v>0</v>
      </c>
      <c r="N730" t="n">
        <v>0</v>
      </c>
      <c r="O730" t="n">
        <v>0</v>
      </c>
      <c r="P730" t="n">
        <v>0</v>
      </c>
      <c r="Q730" t="n">
        <v>0</v>
      </c>
      <c r="R730" s="2" t="inlineStr"/>
    </row>
    <row r="731" ht="15" customHeight="1">
      <c r="A731" t="inlineStr">
        <is>
          <t>A 10198-2023</t>
        </is>
      </c>
      <c r="B731" s="1" t="n">
        <v>44986.54665509259</v>
      </c>
      <c r="C731" s="1" t="n">
        <v>46035</v>
      </c>
      <c r="D731" t="inlineStr">
        <is>
          <t>ÖSTERGÖTLANDS LÄN</t>
        </is>
      </c>
      <c r="E731" t="inlineStr">
        <is>
          <t>LINKÖPING</t>
        </is>
      </c>
      <c r="G731" t="n">
        <v>4.6</v>
      </c>
      <c r="H731" t="n">
        <v>0</v>
      </c>
      <c r="I731" t="n">
        <v>0</v>
      </c>
      <c r="J731" t="n">
        <v>0</v>
      </c>
      <c r="K731" t="n">
        <v>0</v>
      </c>
      <c r="L731" t="n">
        <v>0</v>
      </c>
      <c r="M731" t="n">
        <v>0</v>
      </c>
      <c r="N731" t="n">
        <v>0</v>
      </c>
      <c r="O731" t="n">
        <v>0</v>
      </c>
      <c r="P731" t="n">
        <v>0</v>
      </c>
      <c r="Q731" t="n">
        <v>0</v>
      </c>
      <c r="R731" s="2" t="inlineStr"/>
    </row>
    <row r="732" ht="15" customHeight="1">
      <c r="A732" t="inlineStr">
        <is>
          <t>A 22771-2024</t>
        </is>
      </c>
      <c r="B732" s="1" t="n">
        <v>45448.46574074074</v>
      </c>
      <c r="C732" s="1" t="n">
        <v>46035</v>
      </c>
      <c r="D732" t="inlineStr">
        <is>
          <t>ÖSTERGÖTLANDS LÄN</t>
        </is>
      </c>
      <c r="E732" t="inlineStr">
        <is>
          <t>LINKÖPING</t>
        </is>
      </c>
      <c r="F732" t="inlineStr">
        <is>
          <t>Sveaskog</t>
        </is>
      </c>
      <c r="G732" t="n">
        <v>2.7</v>
      </c>
      <c r="H732" t="n">
        <v>0</v>
      </c>
      <c r="I732" t="n">
        <v>0</v>
      </c>
      <c r="J732" t="n">
        <v>0</v>
      </c>
      <c r="K732" t="n">
        <v>0</v>
      </c>
      <c r="L732" t="n">
        <v>0</v>
      </c>
      <c r="M732" t="n">
        <v>0</v>
      </c>
      <c r="N732" t="n">
        <v>0</v>
      </c>
      <c r="O732" t="n">
        <v>0</v>
      </c>
      <c r="P732" t="n">
        <v>0</v>
      </c>
      <c r="Q732" t="n">
        <v>0</v>
      </c>
      <c r="R732" s="2" t="inlineStr"/>
    </row>
    <row r="733" ht="15" customHeight="1">
      <c r="A733" t="inlineStr">
        <is>
          <t>A 17128-2025</t>
        </is>
      </c>
      <c r="B733" s="1" t="n">
        <v>45755.72622685185</v>
      </c>
      <c r="C733" s="1" t="n">
        <v>46035</v>
      </c>
      <c r="D733" t="inlineStr">
        <is>
          <t>ÖSTERGÖTLANDS LÄN</t>
        </is>
      </c>
      <c r="E733" t="inlineStr">
        <is>
          <t>LINKÖPING</t>
        </is>
      </c>
      <c r="G733" t="n">
        <v>2.9</v>
      </c>
      <c r="H733" t="n">
        <v>0</v>
      </c>
      <c r="I733" t="n">
        <v>0</v>
      </c>
      <c r="J733" t="n">
        <v>0</v>
      </c>
      <c r="K733" t="n">
        <v>0</v>
      </c>
      <c r="L733" t="n">
        <v>0</v>
      </c>
      <c r="M733" t="n">
        <v>0</v>
      </c>
      <c r="N733" t="n">
        <v>0</v>
      </c>
      <c r="O733" t="n">
        <v>0</v>
      </c>
      <c r="P733" t="n">
        <v>0</v>
      </c>
      <c r="Q733" t="n">
        <v>0</v>
      </c>
      <c r="R733" s="2" t="inlineStr"/>
    </row>
    <row r="734" ht="15" customHeight="1">
      <c r="A734" t="inlineStr">
        <is>
          <t>A 62018-2024</t>
        </is>
      </c>
      <c r="B734" s="1" t="n">
        <v>45655.81387731482</v>
      </c>
      <c r="C734" s="1" t="n">
        <v>46035</v>
      </c>
      <c r="D734" t="inlineStr">
        <is>
          <t>ÖSTERGÖTLANDS LÄN</t>
        </is>
      </c>
      <c r="E734" t="inlineStr">
        <is>
          <t>LINKÖPING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62073-2023</t>
        </is>
      </c>
      <c r="B735" s="1" t="n">
        <v>45266.73844907407</v>
      </c>
      <c r="C735" s="1" t="n">
        <v>46035</v>
      </c>
      <c r="D735" t="inlineStr">
        <is>
          <t>ÖSTERGÖTLANDS LÄN</t>
        </is>
      </c>
      <c r="E735" t="inlineStr">
        <is>
          <t>LINKÖPING</t>
        </is>
      </c>
      <c r="F735" t="inlineStr">
        <is>
          <t>Allmännings- och besparingsskogar</t>
        </is>
      </c>
      <c r="G735" t="n">
        <v>1.8</v>
      </c>
      <c r="H735" t="n">
        <v>0</v>
      </c>
      <c r="I735" t="n">
        <v>0</v>
      </c>
      <c r="J735" t="n">
        <v>0</v>
      </c>
      <c r="K735" t="n">
        <v>0</v>
      </c>
      <c r="L735" t="n">
        <v>0</v>
      </c>
      <c r="M735" t="n">
        <v>0</v>
      </c>
      <c r="N735" t="n">
        <v>0</v>
      </c>
      <c r="O735" t="n">
        <v>0</v>
      </c>
      <c r="P735" t="n">
        <v>0</v>
      </c>
      <c r="Q735" t="n">
        <v>0</v>
      </c>
      <c r="R735" s="2" t="inlineStr"/>
    </row>
    <row r="736" ht="15" customHeight="1">
      <c r="A736" t="inlineStr">
        <is>
          <t>A 672-2024</t>
        </is>
      </c>
      <c r="B736" s="1" t="n">
        <v>45300</v>
      </c>
      <c r="C736" s="1" t="n">
        <v>46035</v>
      </c>
      <c r="D736" t="inlineStr">
        <is>
          <t>ÖSTERGÖTLANDS LÄN</t>
        </is>
      </c>
      <c r="E736" t="inlineStr">
        <is>
          <t>LINKÖPING</t>
        </is>
      </c>
      <c r="F736" t="inlineStr">
        <is>
          <t>Sveaskog</t>
        </is>
      </c>
      <c r="G736" t="n">
        <v>4.5</v>
      </c>
      <c r="H736" t="n">
        <v>0</v>
      </c>
      <c r="I736" t="n">
        <v>0</v>
      </c>
      <c r="J736" t="n">
        <v>0</v>
      </c>
      <c r="K736" t="n">
        <v>0</v>
      </c>
      <c r="L736" t="n">
        <v>0</v>
      </c>
      <c r="M736" t="n">
        <v>0</v>
      </c>
      <c r="N736" t="n">
        <v>0</v>
      </c>
      <c r="O736" t="n">
        <v>0</v>
      </c>
      <c r="P736" t="n">
        <v>0</v>
      </c>
      <c r="Q736" t="n">
        <v>0</v>
      </c>
      <c r="R736" s="2" t="inlineStr"/>
    </row>
    <row r="737">
      <c r="A737" t="inlineStr">
        <is>
          <t>A 42832-2023</t>
        </is>
      </c>
      <c r="B737" s="1" t="n">
        <v>45182.38091435185</v>
      </c>
      <c r="C737" s="1" t="n">
        <v>46035</v>
      </c>
      <c r="D737" t="inlineStr">
        <is>
          <t>ÖSTERGÖTLANDS LÄN</t>
        </is>
      </c>
      <c r="E737" t="inlineStr">
        <is>
          <t>LINKÖPING</t>
        </is>
      </c>
      <c r="G737" t="n">
        <v>2.5</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2026-01-13T10:53:16Z</dcterms:created>
  <dcterms:modified xmlns:dcterms="http://purl.org/dc/terms/" xmlns:xsi="http://www.w3.org/2001/XMLSchema-instance" xsi:type="dcterms:W3CDTF">2026-01-13T10:53:16Z</dcterms:modified>
</cp:coreProperties>
</file>