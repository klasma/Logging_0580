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45993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45993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45993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45993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48329-2025</t>
        </is>
      </c>
      <c r="B16" s="1" t="n">
        <v>45932</v>
      </c>
      <c r="C16" s="1" t="n">
        <v>45993</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577-2025</t>
        </is>
      </c>
      <c r="B17" s="1" t="n">
        <v>45664.56525462963</v>
      </c>
      <c r="C17" s="1" t="n">
        <v>45993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55341-2024</t>
        </is>
      </c>
      <c r="B18" s="1" t="n">
        <v>45621.71255787037</v>
      </c>
      <c r="C18" s="1" t="n">
        <v>45993</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17275-2025</t>
        </is>
      </c>
      <c r="B19" s="1" t="n">
        <v>45756.55734953703</v>
      </c>
      <c r="C19" s="1" t="n">
        <v>45993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45993</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45993</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45993</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45993</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58068-2021</t>
        </is>
      </c>
      <c r="B24" s="1" t="n">
        <v>44487</v>
      </c>
      <c r="C24" s="1" t="n">
        <v>45993</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49188-2024</t>
        </is>
      </c>
      <c r="B25" s="1" t="n">
        <v>45595</v>
      </c>
      <c r="C25" s="1" t="n">
        <v>45993</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38913-2023</t>
        </is>
      </c>
      <c r="B26" s="1" t="n">
        <v>45163</v>
      </c>
      <c r="C26" s="1" t="n">
        <v>45993</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20292-2025</t>
        </is>
      </c>
      <c r="B27" s="1" t="n">
        <v>45774.7449537037</v>
      </c>
      <c r="C27" s="1" t="n">
        <v>45993</v>
      </c>
      <c r="D27" t="inlineStr">
        <is>
          <t>ÖSTERGÖTLANDS LÄN</t>
        </is>
      </c>
      <c r="E27" t="inlineStr">
        <is>
          <t>LINKÖPING</t>
        </is>
      </c>
      <c r="G27" t="n">
        <v>8.4</v>
      </c>
      <c r="H27" t="n">
        <v>1</v>
      </c>
      <c r="I27" t="n">
        <v>1</v>
      </c>
      <c r="J27" t="n">
        <v>0</v>
      </c>
      <c r="K27" t="n">
        <v>0</v>
      </c>
      <c r="L27" t="n">
        <v>0</v>
      </c>
      <c r="M27" t="n">
        <v>0</v>
      </c>
      <c r="N27" t="n">
        <v>0</v>
      </c>
      <c r="O27" t="n">
        <v>0</v>
      </c>
      <c r="P27" t="n">
        <v>0</v>
      </c>
      <c r="Q27" t="n">
        <v>2</v>
      </c>
      <c r="R27" s="2" t="inlineStr">
        <is>
          <t>Blåmossa
Blåsippa</t>
        </is>
      </c>
      <c r="S27">
        <f>HYPERLINK("https://klasma.github.io/Logging_0580/artfynd/A 20292-2025 artfynd.xlsx", "A 20292-2025")</f>
        <v/>
      </c>
      <c r="T27">
        <f>HYPERLINK("https://klasma.github.io/Logging_0580/kartor/A 20292-2025 karta.png", "A 20292-2025")</f>
        <v/>
      </c>
      <c r="V27">
        <f>HYPERLINK("https://klasma.github.io/Logging_0580/klagomål/A 20292-2025 FSC-klagomål.docx", "A 20292-2025")</f>
        <v/>
      </c>
      <c r="W27">
        <f>HYPERLINK("https://klasma.github.io/Logging_0580/klagomålsmail/A 20292-2025 FSC-klagomål mail.docx", "A 20292-2025")</f>
        <v/>
      </c>
      <c r="X27">
        <f>HYPERLINK("https://klasma.github.io/Logging_0580/tillsyn/A 20292-2025 tillsynsbegäran.docx", "A 20292-2025")</f>
        <v/>
      </c>
      <c r="Y27">
        <f>HYPERLINK("https://klasma.github.io/Logging_0580/tillsynsmail/A 20292-2025 tillsynsbegäran mail.docx", "A 20292-2025")</f>
        <v/>
      </c>
    </row>
    <row r="28" ht="15" customHeight="1">
      <c r="A28" t="inlineStr">
        <is>
          <t>A 27981-2022</t>
        </is>
      </c>
      <c r="B28" s="1" t="n">
        <v>44745</v>
      </c>
      <c r="C28" s="1" t="n">
        <v>45993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45993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22040-2023</t>
        </is>
      </c>
      <c r="B30" s="1" t="n">
        <v>45068</v>
      </c>
      <c r="C30" s="1" t="n">
        <v>45993</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42858-2023</t>
        </is>
      </c>
      <c r="B31" s="1" t="n">
        <v>45177</v>
      </c>
      <c r="C31" s="1" t="n">
        <v>45993</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45993</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45993</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45993</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45993</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50404-2023</t>
        </is>
      </c>
      <c r="B36" s="1" t="n">
        <v>45216</v>
      </c>
      <c r="C36" s="1" t="n">
        <v>45993</v>
      </c>
      <c r="D36" t="inlineStr">
        <is>
          <t>ÖSTERGÖTLANDS LÄN</t>
        </is>
      </c>
      <c r="E36" t="inlineStr">
        <is>
          <t>LINKÖPING</t>
        </is>
      </c>
      <c r="G36" t="n">
        <v>1.2</v>
      </c>
      <c r="H36" t="n">
        <v>1</v>
      </c>
      <c r="I36" t="n">
        <v>1</v>
      </c>
      <c r="J36" t="n">
        <v>0</v>
      </c>
      <c r="K36" t="n">
        <v>0</v>
      </c>
      <c r="L36" t="n">
        <v>0</v>
      </c>
      <c r="M36" t="n">
        <v>0</v>
      </c>
      <c r="N36" t="n">
        <v>0</v>
      </c>
      <c r="O36" t="n">
        <v>0</v>
      </c>
      <c r="P36" t="n">
        <v>0</v>
      </c>
      <c r="Q36" t="n">
        <v>2</v>
      </c>
      <c r="R36" s="2" t="inlineStr">
        <is>
          <t>Hasselticka
Gullviva</t>
        </is>
      </c>
      <c r="S36">
        <f>HYPERLINK("https://klasma.github.io/Logging_0580/artfynd/A 50404-2023 artfynd.xlsx", "A 50404-2023")</f>
        <v/>
      </c>
      <c r="T36">
        <f>HYPERLINK("https://klasma.github.io/Logging_0580/kartor/A 50404-2023 karta.png", "A 50404-2023")</f>
        <v/>
      </c>
      <c r="V36">
        <f>HYPERLINK("https://klasma.github.io/Logging_0580/klagomål/A 50404-2023 FSC-klagomål.docx", "A 50404-2023")</f>
        <v/>
      </c>
      <c r="W36">
        <f>HYPERLINK("https://klasma.github.io/Logging_0580/klagomålsmail/A 50404-2023 FSC-klagomål mail.docx", "A 50404-2023")</f>
        <v/>
      </c>
      <c r="X36">
        <f>HYPERLINK("https://klasma.github.io/Logging_0580/tillsyn/A 50404-2023 tillsynsbegäran.docx", "A 50404-2023")</f>
        <v/>
      </c>
      <c r="Y36">
        <f>HYPERLINK("https://klasma.github.io/Logging_0580/tillsynsmail/A 50404-2023 tillsynsbegäran mail.docx", "A 50404-2023")</f>
        <v/>
      </c>
    </row>
    <row r="37" ht="15" customHeight="1">
      <c r="A37" t="inlineStr">
        <is>
          <t>A 21326-2025</t>
        </is>
      </c>
      <c r="B37" s="1" t="n">
        <v>45782.35407407407</v>
      </c>
      <c r="C37" s="1" t="n">
        <v>45993</v>
      </c>
      <c r="D37" t="inlineStr">
        <is>
          <t>ÖSTERGÖTLANDS LÄN</t>
        </is>
      </c>
      <c r="E37" t="inlineStr">
        <is>
          <t>LINKÖPING</t>
        </is>
      </c>
      <c r="G37" t="n">
        <v>4.9</v>
      </c>
      <c r="H37" t="n">
        <v>2</v>
      </c>
      <c r="I37" t="n">
        <v>0</v>
      </c>
      <c r="J37" t="n">
        <v>0</v>
      </c>
      <c r="K37" t="n">
        <v>0</v>
      </c>
      <c r="L37" t="n">
        <v>0</v>
      </c>
      <c r="M37" t="n">
        <v>0</v>
      </c>
      <c r="N37" t="n">
        <v>0</v>
      </c>
      <c r="O37" t="n">
        <v>0</v>
      </c>
      <c r="P37" t="n">
        <v>0</v>
      </c>
      <c r="Q37" t="n">
        <v>2</v>
      </c>
      <c r="R37" s="2" t="inlineStr">
        <is>
          <t>Blåsippa
Revlummer</t>
        </is>
      </c>
      <c r="S37">
        <f>HYPERLINK("https://klasma.github.io/Logging_0580/artfynd/A 21326-2025 artfynd.xlsx", "A 21326-2025")</f>
        <v/>
      </c>
      <c r="T37">
        <f>HYPERLINK("https://klasma.github.io/Logging_0580/kartor/A 21326-2025 karta.png", "A 21326-2025")</f>
        <v/>
      </c>
      <c r="V37">
        <f>HYPERLINK("https://klasma.github.io/Logging_0580/klagomål/A 21326-2025 FSC-klagomål.docx", "A 21326-2025")</f>
        <v/>
      </c>
      <c r="W37">
        <f>HYPERLINK("https://klasma.github.io/Logging_0580/klagomålsmail/A 21326-2025 FSC-klagomål mail.docx", "A 21326-2025")</f>
        <v/>
      </c>
      <c r="X37">
        <f>HYPERLINK("https://klasma.github.io/Logging_0580/tillsyn/A 21326-2025 tillsynsbegäran.docx", "A 21326-2025")</f>
        <v/>
      </c>
      <c r="Y37">
        <f>HYPERLINK("https://klasma.github.io/Logging_0580/tillsynsmail/A 21326-2025 tillsynsbegäran mail.docx", "A 21326-2025")</f>
        <v/>
      </c>
    </row>
    <row r="38" ht="15" customHeight="1">
      <c r="A38" t="inlineStr">
        <is>
          <t>A 55344-2024</t>
        </is>
      </c>
      <c r="B38" s="1" t="n">
        <v>45621.7202662037</v>
      </c>
      <c r="C38" s="1" t="n">
        <v>45993</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50048-2025</t>
        </is>
      </c>
      <c r="B39" s="1" t="n">
        <v>45941</v>
      </c>
      <c r="C39" s="1" t="n">
        <v>45993</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27795-2025</t>
        </is>
      </c>
      <c r="B40" s="1" t="n">
        <v>45816.7908912037</v>
      </c>
      <c r="C40" s="1" t="n">
        <v>45993</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45993</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45993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17513-2022</t>
        </is>
      </c>
      <c r="B43" s="1" t="n">
        <v>44679</v>
      </c>
      <c r="C43" s="1" t="n">
        <v>45993</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43017-2021</t>
        </is>
      </c>
      <c r="B44" s="1" t="n">
        <v>44431</v>
      </c>
      <c r="C44" s="1" t="n">
        <v>45993</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46496-2022</t>
        </is>
      </c>
      <c r="B45" s="1" t="n">
        <v>44848</v>
      </c>
      <c r="C45" s="1" t="n">
        <v>45993</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14096-2021</t>
        </is>
      </c>
      <c r="B46" s="1" t="n">
        <v>44278</v>
      </c>
      <c r="C46" s="1" t="n">
        <v>45993</v>
      </c>
      <c r="D46" t="inlineStr">
        <is>
          <t>ÖSTERGÖTLANDS LÄN</t>
        </is>
      </c>
      <c r="E46" t="inlineStr">
        <is>
          <t>LINKÖPING</t>
        </is>
      </c>
      <c r="G46" t="n">
        <v>1.7</v>
      </c>
      <c r="H46" t="n">
        <v>0</v>
      </c>
      <c r="I46" t="n">
        <v>0</v>
      </c>
      <c r="J46" t="n">
        <v>1</v>
      </c>
      <c r="K46" t="n">
        <v>0</v>
      </c>
      <c r="L46" t="n">
        <v>0</v>
      </c>
      <c r="M46" t="n">
        <v>0</v>
      </c>
      <c r="N46" t="n">
        <v>0</v>
      </c>
      <c r="O46" t="n">
        <v>1</v>
      </c>
      <c r="P46" t="n">
        <v>0</v>
      </c>
      <c r="Q46" t="n">
        <v>1</v>
      </c>
      <c r="R46" s="2" t="inlineStr">
        <is>
          <t>Vedtrappmossa</t>
        </is>
      </c>
      <c r="S46">
        <f>HYPERLINK("https://klasma.github.io/Logging_0580/artfynd/A 14096-2021 artfynd.xlsx", "A 14096-2021")</f>
        <v/>
      </c>
      <c r="T46">
        <f>HYPERLINK("https://klasma.github.io/Logging_0580/kartor/A 14096-2021 karta.png", "A 14096-2021")</f>
        <v/>
      </c>
      <c r="V46">
        <f>HYPERLINK("https://klasma.github.io/Logging_0580/klagomål/A 14096-2021 FSC-klagomål.docx", "A 14096-2021")</f>
        <v/>
      </c>
      <c r="W46">
        <f>HYPERLINK("https://klasma.github.io/Logging_0580/klagomålsmail/A 14096-2021 FSC-klagomål mail.docx", "A 14096-2021")</f>
        <v/>
      </c>
      <c r="X46">
        <f>HYPERLINK("https://klasma.github.io/Logging_0580/tillsyn/A 14096-2021 tillsynsbegäran.docx", "A 14096-2021")</f>
        <v/>
      </c>
      <c r="Y46">
        <f>HYPERLINK("https://klasma.github.io/Logging_0580/tillsynsmail/A 14096-2021 tillsynsbegäran mail.docx", "A 14096-2021")</f>
        <v/>
      </c>
    </row>
    <row r="47" ht="15" customHeight="1">
      <c r="A47" t="inlineStr">
        <is>
          <t>A 71127-2021</t>
        </is>
      </c>
      <c r="B47" s="1" t="n">
        <v>44537</v>
      </c>
      <c r="C47" s="1" t="n">
        <v>45993</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56250-2021</t>
        </is>
      </c>
      <c r="B48" s="1" t="n">
        <v>44479</v>
      </c>
      <c r="C48" s="1" t="n">
        <v>45993</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1716-2023</t>
        </is>
      </c>
      <c r="B49" s="1" t="n">
        <v>44938</v>
      </c>
      <c r="C49" s="1" t="n">
        <v>45993</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17389-2021</t>
        </is>
      </c>
      <c r="B50" s="1" t="n">
        <v>44298.96792824074</v>
      </c>
      <c r="C50" s="1" t="n">
        <v>45993</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1213-2023</t>
        </is>
      </c>
      <c r="B51" s="1" t="n">
        <v>44930</v>
      </c>
      <c r="C51" s="1" t="n">
        <v>45993</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40315-2024</t>
        </is>
      </c>
      <c r="B52" s="1" t="n">
        <v>45554.7571875</v>
      </c>
      <c r="C52" s="1" t="n">
        <v>45993</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54835-2023</t>
        </is>
      </c>
      <c r="B53" s="1" t="n">
        <v>45236</v>
      </c>
      <c r="C53" s="1" t="n">
        <v>45993</v>
      </c>
      <c r="D53" t="inlineStr">
        <is>
          <t>ÖSTERGÖTLANDS LÄN</t>
        </is>
      </c>
      <c r="E53" t="inlineStr">
        <is>
          <t>LINKÖPING</t>
        </is>
      </c>
      <c r="G53" t="n">
        <v>2</v>
      </c>
      <c r="H53" t="n">
        <v>1</v>
      </c>
      <c r="I53" t="n">
        <v>0</v>
      </c>
      <c r="J53" t="n">
        <v>0</v>
      </c>
      <c r="K53" t="n">
        <v>0</v>
      </c>
      <c r="L53" t="n">
        <v>0</v>
      </c>
      <c r="M53" t="n">
        <v>0</v>
      </c>
      <c r="N53" t="n">
        <v>0</v>
      </c>
      <c r="O53" t="n">
        <v>0</v>
      </c>
      <c r="P53" t="n">
        <v>0</v>
      </c>
      <c r="Q53" t="n">
        <v>1</v>
      </c>
      <c r="R53" s="2" t="inlineStr">
        <is>
          <t>Sparvuggla</t>
        </is>
      </c>
      <c r="S53">
        <f>HYPERLINK("https://klasma.github.io/Logging_0580/artfynd/A 54835-2023 artfynd.xlsx", "A 54835-2023")</f>
        <v/>
      </c>
      <c r="T53">
        <f>HYPERLINK("https://klasma.github.io/Logging_0580/kartor/A 54835-2023 karta.png", "A 54835-2023")</f>
        <v/>
      </c>
      <c r="V53">
        <f>HYPERLINK("https://klasma.github.io/Logging_0580/klagomål/A 54835-2023 FSC-klagomål.docx", "A 54835-2023")</f>
        <v/>
      </c>
      <c r="W53">
        <f>HYPERLINK("https://klasma.github.io/Logging_0580/klagomålsmail/A 54835-2023 FSC-klagomål mail.docx", "A 54835-2023")</f>
        <v/>
      </c>
      <c r="X53">
        <f>HYPERLINK("https://klasma.github.io/Logging_0580/tillsyn/A 54835-2023 tillsynsbegäran.docx", "A 54835-2023")</f>
        <v/>
      </c>
      <c r="Y53">
        <f>HYPERLINK("https://klasma.github.io/Logging_0580/tillsynsmail/A 54835-2023 tillsynsbegäran mail.docx", "A 54835-2023")</f>
        <v/>
      </c>
      <c r="Z53">
        <f>HYPERLINK("https://klasma.github.io/Logging_0580/fåglar/A 54835-2023 prioriterade fågelarter.docx", "A 54835-2023")</f>
        <v/>
      </c>
    </row>
    <row r="54" ht="15" customHeight="1">
      <c r="A54" t="inlineStr">
        <is>
          <t>A 34881-2023</t>
        </is>
      </c>
      <c r="B54" s="1" t="n">
        <v>45140</v>
      </c>
      <c r="C54" s="1" t="n">
        <v>45993</v>
      </c>
      <c r="D54" t="inlineStr">
        <is>
          <t>ÖSTERGÖTLANDS LÄN</t>
        </is>
      </c>
      <c r="E54" t="inlineStr">
        <is>
          <t>LINKÖPING</t>
        </is>
      </c>
      <c r="G54" t="n">
        <v>1.9</v>
      </c>
      <c r="H54" t="n">
        <v>0</v>
      </c>
      <c r="I54" t="n">
        <v>0</v>
      </c>
      <c r="J54" t="n">
        <v>1</v>
      </c>
      <c r="K54" t="n">
        <v>0</v>
      </c>
      <c r="L54" t="n">
        <v>0</v>
      </c>
      <c r="M54" t="n">
        <v>0</v>
      </c>
      <c r="N54" t="n">
        <v>0</v>
      </c>
      <c r="O54" t="n">
        <v>1</v>
      </c>
      <c r="P54" t="n">
        <v>0</v>
      </c>
      <c r="Q54" t="n">
        <v>1</v>
      </c>
      <c r="R54" s="2" t="inlineStr">
        <is>
          <t>Tallticka</t>
        </is>
      </c>
      <c r="S54">
        <f>HYPERLINK("https://klasma.github.io/Logging_0580/artfynd/A 34881-2023 artfynd.xlsx", "A 34881-2023")</f>
        <v/>
      </c>
      <c r="T54">
        <f>HYPERLINK("https://klasma.github.io/Logging_0580/kartor/A 34881-2023 karta.png", "A 34881-2023")</f>
        <v/>
      </c>
      <c r="U54">
        <f>HYPERLINK("https://klasma.github.io/Logging_0580/knärot/A 34881-2023 karta knärot.png", "A 34881-2023")</f>
        <v/>
      </c>
      <c r="V54">
        <f>HYPERLINK("https://klasma.github.io/Logging_0580/klagomål/A 34881-2023 FSC-klagomål.docx", "A 34881-2023")</f>
        <v/>
      </c>
      <c r="W54">
        <f>HYPERLINK("https://klasma.github.io/Logging_0580/klagomålsmail/A 34881-2023 FSC-klagomål mail.docx", "A 34881-2023")</f>
        <v/>
      </c>
      <c r="X54">
        <f>HYPERLINK("https://klasma.github.io/Logging_0580/tillsyn/A 34881-2023 tillsynsbegäran.docx", "A 34881-2023")</f>
        <v/>
      </c>
      <c r="Y54">
        <f>HYPERLINK("https://klasma.github.io/Logging_0580/tillsynsmail/A 34881-2023 tillsynsbegäran mail.docx", "A 34881-2023")</f>
        <v/>
      </c>
    </row>
    <row r="55" ht="15" customHeight="1">
      <c r="A55" t="inlineStr">
        <is>
          <t>A 931-2025</t>
        </is>
      </c>
      <c r="B55" s="1" t="n">
        <v>45665.88498842593</v>
      </c>
      <c r="C55" s="1" t="n">
        <v>45993</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19103-2021</t>
        </is>
      </c>
      <c r="B56" s="1" t="n">
        <v>44308</v>
      </c>
      <c r="C56" s="1" t="n">
        <v>45993</v>
      </c>
      <c r="D56" t="inlineStr">
        <is>
          <t>ÖSTERGÖTLANDS LÄN</t>
        </is>
      </c>
      <c r="E56" t="inlineStr">
        <is>
          <t>LINKÖPING</t>
        </is>
      </c>
      <c r="G56" t="n">
        <v>4.7</v>
      </c>
      <c r="H56" t="n">
        <v>0</v>
      </c>
      <c r="I56" t="n">
        <v>0</v>
      </c>
      <c r="J56" t="n">
        <v>1</v>
      </c>
      <c r="K56" t="n">
        <v>0</v>
      </c>
      <c r="L56" t="n">
        <v>0</v>
      </c>
      <c r="M56" t="n">
        <v>0</v>
      </c>
      <c r="N56" t="n">
        <v>0</v>
      </c>
      <c r="O56" t="n">
        <v>1</v>
      </c>
      <c r="P56" t="n">
        <v>0</v>
      </c>
      <c r="Q56" t="n">
        <v>1</v>
      </c>
      <c r="R56" s="2" t="inlineStr">
        <is>
          <t>Tallticka</t>
        </is>
      </c>
      <c r="S56">
        <f>HYPERLINK("https://klasma.github.io/Logging_0580/artfynd/A 19103-2021 artfynd.xlsx", "A 19103-2021")</f>
        <v/>
      </c>
      <c r="T56">
        <f>HYPERLINK("https://klasma.github.io/Logging_0580/kartor/A 19103-2021 karta.png", "A 19103-2021")</f>
        <v/>
      </c>
      <c r="V56">
        <f>HYPERLINK("https://klasma.github.io/Logging_0580/klagomål/A 19103-2021 FSC-klagomål.docx", "A 19103-2021")</f>
        <v/>
      </c>
      <c r="W56">
        <f>HYPERLINK("https://klasma.github.io/Logging_0580/klagomålsmail/A 19103-2021 FSC-klagomål mail.docx", "A 19103-2021")</f>
        <v/>
      </c>
      <c r="X56">
        <f>HYPERLINK("https://klasma.github.io/Logging_0580/tillsyn/A 19103-2021 tillsynsbegäran.docx", "A 19103-2021")</f>
        <v/>
      </c>
      <c r="Y56">
        <f>HYPERLINK("https://klasma.github.io/Logging_0580/tillsynsmail/A 19103-2021 tillsynsbegäran mail.docx", "A 19103-2021")</f>
        <v/>
      </c>
    </row>
    <row r="57" ht="15" customHeight="1">
      <c r="A57" t="inlineStr">
        <is>
          <t>A 45317-2023</t>
        </is>
      </c>
      <c r="B57" s="1" t="n">
        <v>45191.74868055555</v>
      </c>
      <c r="C57" s="1" t="n">
        <v>45993</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126-2024</t>
        </is>
      </c>
      <c r="B58" s="1" t="n">
        <v>45294</v>
      </c>
      <c r="C58" s="1" t="n">
        <v>45993</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20295-2025</t>
        </is>
      </c>
      <c r="B59" s="1" t="n">
        <v>45774.74846064814</v>
      </c>
      <c r="C59" s="1" t="n">
        <v>45993</v>
      </c>
      <c r="D59" t="inlineStr">
        <is>
          <t>ÖSTERGÖTLANDS LÄN</t>
        </is>
      </c>
      <c r="E59" t="inlineStr">
        <is>
          <t>LINKÖPING</t>
        </is>
      </c>
      <c r="G59" t="n">
        <v>3</v>
      </c>
      <c r="H59" t="n">
        <v>0</v>
      </c>
      <c r="I59" t="n">
        <v>0</v>
      </c>
      <c r="J59" t="n">
        <v>1</v>
      </c>
      <c r="K59" t="n">
        <v>0</v>
      </c>
      <c r="L59" t="n">
        <v>0</v>
      </c>
      <c r="M59" t="n">
        <v>0</v>
      </c>
      <c r="N59" t="n">
        <v>0</v>
      </c>
      <c r="O59" t="n">
        <v>1</v>
      </c>
      <c r="P59" t="n">
        <v>0</v>
      </c>
      <c r="Q59" t="n">
        <v>1</v>
      </c>
      <c r="R59" s="2" t="inlineStr">
        <is>
          <t>Tallticka</t>
        </is>
      </c>
      <c r="S59">
        <f>HYPERLINK("https://klasma.github.io/Logging_0580/artfynd/A 20295-2025 artfynd.xlsx", "A 20295-2025")</f>
        <v/>
      </c>
      <c r="T59">
        <f>HYPERLINK("https://klasma.github.io/Logging_0580/kartor/A 20295-2025 karta.png", "A 20295-2025")</f>
        <v/>
      </c>
      <c r="V59">
        <f>HYPERLINK("https://klasma.github.io/Logging_0580/klagomål/A 20295-2025 FSC-klagomål.docx", "A 20295-2025")</f>
        <v/>
      </c>
      <c r="W59">
        <f>HYPERLINK("https://klasma.github.io/Logging_0580/klagomålsmail/A 20295-2025 FSC-klagomål mail.docx", "A 20295-2025")</f>
        <v/>
      </c>
      <c r="X59">
        <f>HYPERLINK("https://klasma.github.io/Logging_0580/tillsyn/A 20295-2025 tillsynsbegäran.docx", "A 20295-2025")</f>
        <v/>
      </c>
      <c r="Y59">
        <f>HYPERLINK("https://klasma.github.io/Logging_0580/tillsynsmail/A 20295-2025 tillsynsbegäran mail.docx", "A 20295-2025")</f>
        <v/>
      </c>
    </row>
    <row r="60" ht="15" customHeight="1">
      <c r="A60" t="inlineStr">
        <is>
          <t>A 37683-2024</t>
        </is>
      </c>
      <c r="B60" s="1" t="n">
        <v>45541.59120370371</v>
      </c>
      <c r="C60" s="1" t="n">
        <v>45993</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35948-2023</t>
        </is>
      </c>
      <c r="B61" s="1" t="n">
        <v>45148</v>
      </c>
      <c r="C61" s="1" t="n">
        <v>45993</v>
      </c>
      <c r="D61" t="inlineStr">
        <is>
          <t>ÖSTERGÖTLANDS LÄN</t>
        </is>
      </c>
      <c r="E61" t="inlineStr">
        <is>
          <t>LINKÖPING</t>
        </is>
      </c>
      <c r="G61" t="n">
        <v>1.9</v>
      </c>
      <c r="H61" t="n">
        <v>0</v>
      </c>
      <c r="I61" t="n">
        <v>1</v>
      </c>
      <c r="J61" t="n">
        <v>0</v>
      </c>
      <c r="K61" t="n">
        <v>0</v>
      </c>
      <c r="L61" t="n">
        <v>0</v>
      </c>
      <c r="M61" t="n">
        <v>0</v>
      </c>
      <c r="N61" t="n">
        <v>0</v>
      </c>
      <c r="O61" t="n">
        <v>0</v>
      </c>
      <c r="P61" t="n">
        <v>0</v>
      </c>
      <c r="Q61" t="n">
        <v>1</v>
      </c>
      <c r="R61" s="2" t="inlineStr">
        <is>
          <t>Brun nållav</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50471-2024</t>
        </is>
      </c>
      <c r="B62" s="1" t="n">
        <v>45601.47166666666</v>
      </c>
      <c r="C62" s="1" t="n">
        <v>45993</v>
      </c>
      <c r="D62" t="inlineStr">
        <is>
          <t>ÖSTERGÖTLANDS LÄN</t>
        </is>
      </c>
      <c r="E62" t="inlineStr">
        <is>
          <t>LINKÖPING</t>
        </is>
      </c>
      <c r="F62" t="inlineStr">
        <is>
          <t>Övriga Aktiebolag</t>
        </is>
      </c>
      <c r="G62" t="n">
        <v>2</v>
      </c>
      <c r="H62" t="n">
        <v>0</v>
      </c>
      <c r="I62" t="n">
        <v>1</v>
      </c>
      <c r="J62" t="n">
        <v>0</v>
      </c>
      <c r="K62" t="n">
        <v>0</v>
      </c>
      <c r="L62" t="n">
        <v>0</v>
      </c>
      <c r="M62" t="n">
        <v>0</v>
      </c>
      <c r="N62" t="n">
        <v>0</v>
      </c>
      <c r="O62" t="n">
        <v>0</v>
      </c>
      <c r="P62" t="n">
        <v>0</v>
      </c>
      <c r="Q62" t="n">
        <v>1</v>
      </c>
      <c r="R62" s="2" t="inlineStr">
        <is>
          <t>Västlig hakmossa</t>
        </is>
      </c>
      <c r="S62">
        <f>HYPERLINK("https://klasma.github.io/Logging_0580/artfynd/A 50471-2024 artfynd.xlsx", "A 50471-2024")</f>
        <v/>
      </c>
      <c r="T62">
        <f>HYPERLINK("https://klasma.github.io/Logging_0580/kartor/A 50471-2024 karta.png", "A 50471-2024")</f>
        <v/>
      </c>
      <c r="V62">
        <f>HYPERLINK("https://klasma.github.io/Logging_0580/klagomål/A 50471-2024 FSC-klagomål.docx", "A 50471-2024")</f>
        <v/>
      </c>
      <c r="W62">
        <f>HYPERLINK("https://klasma.github.io/Logging_0580/klagomålsmail/A 50471-2024 FSC-klagomål mail.docx", "A 50471-2024")</f>
        <v/>
      </c>
      <c r="X62">
        <f>HYPERLINK("https://klasma.github.io/Logging_0580/tillsyn/A 50471-2024 tillsynsbegäran.docx", "A 50471-2024")</f>
        <v/>
      </c>
      <c r="Y62">
        <f>HYPERLINK("https://klasma.github.io/Logging_0580/tillsynsmail/A 50471-2024 tillsynsbegäran mail.docx", "A 50471-2024")</f>
        <v/>
      </c>
    </row>
    <row r="63" ht="15" customHeight="1">
      <c r="A63" t="inlineStr">
        <is>
          <t>A 3395-2023</t>
        </is>
      </c>
      <c r="B63" s="1" t="n">
        <v>44949</v>
      </c>
      <c r="C63" s="1" t="n">
        <v>45993</v>
      </c>
      <c r="D63" t="inlineStr">
        <is>
          <t>ÖSTERGÖTLANDS LÄN</t>
        </is>
      </c>
      <c r="E63" t="inlineStr">
        <is>
          <t>LINKÖPING</t>
        </is>
      </c>
      <c r="G63" t="n">
        <v>2</v>
      </c>
      <c r="H63" t="n">
        <v>0</v>
      </c>
      <c r="I63" t="n">
        <v>0</v>
      </c>
      <c r="J63" t="n">
        <v>1</v>
      </c>
      <c r="K63" t="n">
        <v>0</v>
      </c>
      <c r="L63" t="n">
        <v>0</v>
      </c>
      <c r="M63" t="n">
        <v>0</v>
      </c>
      <c r="N63" t="n">
        <v>0</v>
      </c>
      <c r="O63" t="n">
        <v>1</v>
      </c>
      <c r="P63" t="n">
        <v>0</v>
      </c>
      <c r="Q63" t="n">
        <v>1</v>
      </c>
      <c r="R63" s="2" t="inlineStr">
        <is>
          <t>Sommarfibbla</t>
        </is>
      </c>
      <c r="S63">
        <f>HYPERLINK("https://klasma.github.io/Logging_0580/artfynd/A 3395-2023 artfynd.xlsx", "A 3395-2023")</f>
        <v/>
      </c>
      <c r="T63">
        <f>HYPERLINK("https://klasma.github.io/Logging_0580/kartor/A 3395-2023 karta.png", "A 3395-2023")</f>
        <v/>
      </c>
      <c r="V63">
        <f>HYPERLINK("https://klasma.github.io/Logging_0580/klagomål/A 3395-2023 FSC-klagomål.docx", "A 3395-2023")</f>
        <v/>
      </c>
      <c r="W63">
        <f>HYPERLINK("https://klasma.github.io/Logging_0580/klagomålsmail/A 3395-2023 FSC-klagomål mail.docx", "A 3395-2023")</f>
        <v/>
      </c>
      <c r="X63">
        <f>HYPERLINK("https://klasma.github.io/Logging_0580/tillsyn/A 3395-2023 tillsynsbegäran.docx", "A 3395-2023")</f>
        <v/>
      </c>
      <c r="Y63">
        <f>HYPERLINK("https://klasma.github.io/Logging_0580/tillsynsmail/A 3395-2023 tillsynsbegäran mail.docx", "A 3395-2023")</f>
        <v/>
      </c>
    </row>
    <row r="64" ht="15" customHeight="1">
      <c r="A64" t="inlineStr">
        <is>
          <t>A 3397-2023</t>
        </is>
      </c>
      <c r="B64" s="1" t="n">
        <v>44949</v>
      </c>
      <c r="C64" s="1" t="n">
        <v>45993</v>
      </c>
      <c r="D64" t="inlineStr">
        <is>
          <t>ÖSTERGÖTLANDS LÄN</t>
        </is>
      </c>
      <c r="E64" t="inlineStr">
        <is>
          <t>LINKÖPING</t>
        </is>
      </c>
      <c r="G64" t="n">
        <v>4.1</v>
      </c>
      <c r="H64" t="n">
        <v>0</v>
      </c>
      <c r="I64" t="n">
        <v>0</v>
      </c>
      <c r="J64" t="n">
        <v>1</v>
      </c>
      <c r="K64" t="n">
        <v>0</v>
      </c>
      <c r="L64" t="n">
        <v>0</v>
      </c>
      <c r="M64" t="n">
        <v>0</v>
      </c>
      <c r="N64" t="n">
        <v>0</v>
      </c>
      <c r="O64" t="n">
        <v>1</v>
      </c>
      <c r="P64" t="n">
        <v>0</v>
      </c>
      <c r="Q64" t="n">
        <v>1</v>
      </c>
      <c r="R64" s="2" t="inlineStr">
        <is>
          <t>Svinrot</t>
        </is>
      </c>
      <c r="S64">
        <f>HYPERLINK("https://klasma.github.io/Logging_0580/artfynd/A 3397-2023 artfynd.xlsx", "A 3397-2023")</f>
        <v/>
      </c>
      <c r="T64">
        <f>HYPERLINK("https://klasma.github.io/Logging_0580/kartor/A 3397-2023 karta.png", "A 3397-2023")</f>
        <v/>
      </c>
      <c r="V64">
        <f>HYPERLINK("https://klasma.github.io/Logging_0580/klagomål/A 3397-2023 FSC-klagomål.docx", "A 3397-2023")</f>
        <v/>
      </c>
      <c r="W64">
        <f>HYPERLINK("https://klasma.github.io/Logging_0580/klagomålsmail/A 3397-2023 FSC-klagomål mail.docx", "A 3397-2023")</f>
        <v/>
      </c>
      <c r="X64">
        <f>HYPERLINK("https://klasma.github.io/Logging_0580/tillsyn/A 3397-2023 tillsynsbegäran.docx", "A 3397-2023")</f>
        <v/>
      </c>
      <c r="Y64">
        <f>HYPERLINK("https://klasma.github.io/Logging_0580/tillsynsmail/A 3397-2023 tillsynsbegäran mail.docx", "A 3397-2023")</f>
        <v/>
      </c>
    </row>
    <row r="65" ht="15" customHeight="1">
      <c r="A65" t="inlineStr">
        <is>
          <t>A 50806-2023</t>
        </is>
      </c>
      <c r="B65" s="1" t="n">
        <v>45217</v>
      </c>
      <c r="C65" s="1" t="n">
        <v>45993</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22526-2025</t>
        </is>
      </c>
      <c r="B66" s="1" t="n">
        <v>45786.78096064815</v>
      </c>
      <c r="C66" s="1" t="n">
        <v>45993</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60573-2021</t>
        </is>
      </c>
      <c r="B67" s="1" t="n">
        <v>44496</v>
      </c>
      <c r="C67" s="1" t="n">
        <v>45993</v>
      </c>
      <c r="D67" t="inlineStr">
        <is>
          <t>ÖSTERGÖTLANDS LÄN</t>
        </is>
      </c>
      <c r="E67" t="inlineStr">
        <is>
          <t>LINKÖPING</t>
        </is>
      </c>
      <c r="F67" t="inlineStr">
        <is>
          <t>Övriga Aktiebolag</t>
        </is>
      </c>
      <c r="G67" t="n">
        <v>5.6</v>
      </c>
      <c r="H67" t="n">
        <v>0</v>
      </c>
      <c r="I67" t="n">
        <v>0</v>
      </c>
      <c r="J67" t="n">
        <v>1</v>
      </c>
      <c r="K67" t="n">
        <v>0</v>
      </c>
      <c r="L67" t="n">
        <v>0</v>
      </c>
      <c r="M67" t="n">
        <v>0</v>
      </c>
      <c r="N67" t="n">
        <v>0</v>
      </c>
      <c r="O67" t="n">
        <v>1</v>
      </c>
      <c r="P67" t="n">
        <v>0</v>
      </c>
      <c r="Q67" t="n">
        <v>1</v>
      </c>
      <c r="R67" s="2" t="inlineStr">
        <is>
          <t>Sommarfibbla</t>
        </is>
      </c>
      <c r="S67">
        <f>HYPERLINK("https://klasma.github.io/Logging_0580/artfynd/A 60573-2021 artfynd.xlsx", "A 60573-2021")</f>
        <v/>
      </c>
      <c r="T67">
        <f>HYPERLINK("https://klasma.github.io/Logging_0580/kartor/A 60573-2021 karta.png", "A 60573-2021")</f>
        <v/>
      </c>
      <c r="V67">
        <f>HYPERLINK("https://klasma.github.io/Logging_0580/klagomål/A 60573-2021 FSC-klagomål.docx", "A 60573-2021")</f>
        <v/>
      </c>
      <c r="W67">
        <f>HYPERLINK("https://klasma.github.io/Logging_0580/klagomålsmail/A 60573-2021 FSC-klagomål mail.docx", "A 60573-2021")</f>
        <v/>
      </c>
      <c r="X67">
        <f>HYPERLINK("https://klasma.github.io/Logging_0580/tillsyn/A 60573-2021 tillsynsbegäran.docx", "A 60573-2021")</f>
        <v/>
      </c>
      <c r="Y67">
        <f>HYPERLINK("https://klasma.github.io/Logging_0580/tillsynsmail/A 60573-2021 tillsynsbegäran mail.docx", "A 60573-2021")</f>
        <v/>
      </c>
    </row>
    <row r="68" ht="15" customHeight="1">
      <c r="A68" t="inlineStr">
        <is>
          <t>A 56651-2023</t>
        </is>
      </c>
      <c r="B68" s="1" t="n">
        <v>45243</v>
      </c>
      <c r="C68" s="1" t="n">
        <v>45993</v>
      </c>
      <c r="D68" t="inlineStr">
        <is>
          <t>ÖSTERGÖTLANDS LÄN</t>
        </is>
      </c>
      <c r="E68" t="inlineStr">
        <is>
          <t>LINKÖPING</t>
        </is>
      </c>
      <c r="F68" t="inlineStr">
        <is>
          <t>Övriga Aktiebolag</t>
        </is>
      </c>
      <c r="G68" t="n">
        <v>2.3</v>
      </c>
      <c r="H68" t="n">
        <v>0</v>
      </c>
      <c r="I68" t="n">
        <v>0</v>
      </c>
      <c r="J68" t="n">
        <v>1</v>
      </c>
      <c r="K68" t="n">
        <v>0</v>
      </c>
      <c r="L68" t="n">
        <v>0</v>
      </c>
      <c r="M68" t="n">
        <v>0</v>
      </c>
      <c r="N68" t="n">
        <v>0</v>
      </c>
      <c r="O68" t="n">
        <v>1</v>
      </c>
      <c r="P68" t="n">
        <v>0</v>
      </c>
      <c r="Q68" t="n">
        <v>1</v>
      </c>
      <c r="R68" s="2" t="inlineStr">
        <is>
          <t>Gul dropplav</t>
        </is>
      </c>
      <c r="S68">
        <f>HYPERLINK("https://klasma.github.io/Logging_0580/artfynd/A 56651-2023 artfynd.xlsx", "A 56651-2023")</f>
        <v/>
      </c>
      <c r="T68">
        <f>HYPERLINK("https://klasma.github.io/Logging_0580/kartor/A 56651-2023 karta.png", "A 56651-2023")</f>
        <v/>
      </c>
      <c r="V68">
        <f>HYPERLINK("https://klasma.github.io/Logging_0580/klagomål/A 56651-2023 FSC-klagomål.docx", "A 56651-2023")</f>
        <v/>
      </c>
      <c r="W68">
        <f>HYPERLINK("https://klasma.github.io/Logging_0580/klagomålsmail/A 56651-2023 FSC-klagomål mail.docx", "A 56651-2023")</f>
        <v/>
      </c>
      <c r="X68">
        <f>HYPERLINK("https://klasma.github.io/Logging_0580/tillsyn/A 56651-2023 tillsynsbegäran.docx", "A 56651-2023")</f>
        <v/>
      </c>
      <c r="Y68">
        <f>HYPERLINK("https://klasma.github.io/Logging_0580/tillsynsmail/A 56651-2023 tillsynsbegäran mail.docx", "A 56651-2023")</f>
        <v/>
      </c>
    </row>
    <row r="69" ht="15" customHeight="1">
      <c r="A69" t="inlineStr">
        <is>
          <t>A 59948-2022</t>
        </is>
      </c>
      <c r="B69" s="1" t="n">
        <v>44909</v>
      </c>
      <c r="C69" s="1" t="n">
        <v>45993</v>
      </c>
      <c r="D69" t="inlineStr">
        <is>
          <t>ÖSTERGÖTLANDS LÄN</t>
        </is>
      </c>
      <c r="E69" t="inlineStr">
        <is>
          <t>LINKÖPING</t>
        </is>
      </c>
      <c r="G69" t="n">
        <v>6.7</v>
      </c>
      <c r="H69" t="n">
        <v>0</v>
      </c>
      <c r="I69" t="n">
        <v>0</v>
      </c>
      <c r="J69" t="n">
        <v>0</v>
      </c>
      <c r="K69" t="n">
        <v>0</v>
      </c>
      <c r="L69" t="n">
        <v>0</v>
      </c>
      <c r="M69" t="n">
        <v>1</v>
      </c>
      <c r="N69" t="n">
        <v>0</v>
      </c>
      <c r="O69" t="n">
        <v>1</v>
      </c>
      <c r="P69" t="n">
        <v>1</v>
      </c>
      <c r="Q69" t="n">
        <v>1</v>
      </c>
      <c r="R69" s="2" t="inlineStr">
        <is>
          <t>Skogsalm</t>
        </is>
      </c>
      <c r="S69">
        <f>HYPERLINK("https://klasma.github.io/Logging_0580/artfynd/A 59948-2022 artfynd.xlsx", "A 59948-2022")</f>
        <v/>
      </c>
      <c r="T69">
        <f>HYPERLINK("https://klasma.github.io/Logging_0580/kartor/A 59948-2022 karta.png", "A 59948-2022")</f>
        <v/>
      </c>
      <c r="V69">
        <f>HYPERLINK("https://klasma.github.io/Logging_0580/klagomål/A 59948-2022 FSC-klagomål.docx", "A 59948-2022")</f>
        <v/>
      </c>
      <c r="W69">
        <f>HYPERLINK("https://klasma.github.io/Logging_0580/klagomålsmail/A 59948-2022 FSC-klagomål mail.docx", "A 59948-2022")</f>
        <v/>
      </c>
      <c r="X69">
        <f>HYPERLINK("https://klasma.github.io/Logging_0580/tillsyn/A 59948-2022 tillsynsbegäran.docx", "A 59948-2022")</f>
        <v/>
      </c>
      <c r="Y69">
        <f>HYPERLINK("https://klasma.github.io/Logging_0580/tillsynsmail/A 59948-2022 tillsynsbegäran mail.docx", "A 59948-2022")</f>
        <v/>
      </c>
    </row>
    <row r="70" ht="15" customHeight="1">
      <c r="A70" t="inlineStr">
        <is>
          <t>A 39457-2023</t>
        </is>
      </c>
      <c r="B70" s="1" t="n">
        <v>45166</v>
      </c>
      <c r="C70" s="1" t="n">
        <v>45993</v>
      </c>
      <c r="D70" t="inlineStr">
        <is>
          <t>ÖSTERGÖTLANDS LÄN</t>
        </is>
      </c>
      <c r="E70" t="inlineStr">
        <is>
          <t>LINKÖPING</t>
        </is>
      </c>
      <c r="G70" t="n">
        <v>2.1</v>
      </c>
      <c r="H70" t="n">
        <v>1</v>
      </c>
      <c r="I70" t="n">
        <v>0</v>
      </c>
      <c r="J70" t="n">
        <v>0</v>
      </c>
      <c r="K70" t="n">
        <v>0</v>
      </c>
      <c r="L70" t="n">
        <v>0</v>
      </c>
      <c r="M70" t="n">
        <v>0</v>
      </c>
      <c r="N70" t="n">
        <v>0</v>
      </c>
      <c r="O70" t="n">
        <v>0</v>
      </c>
      <c r="P70" t="n">
        <v>0</v>
      </c>
      <c r="Q70" t="n">
        <v>1</v>
      </c>
      <c r="R70" s="2" t="inlineStr">
        <is>
          <t>Sparvuggla</t>
        </is>
      </c>
      <c r="S70">
        <f>HYPERLINK("https://klasma.github.io/Logging_0580/artfynd/A 39457-2023 artfynd.xlsx", "A 39457-2023")</f>
        <v/>
      </c>
      <c r="T70">
        <f>HYPERLINK("https://klasma.github.io/Logging_0580/kartor/A 39457-2023 karta.png", "A 39457-2023")</f>
        <v/>
      </c>
      <c r="V70">
        <f>HYPERLINK("https://klasma.github.io/Logging_0580/klagomål/A 39457-2023 FSC-klagomål.docx", "A 39457-2023")</f>
        <v/>
      </c>
      <c r="W70">
        <f>HYPERLINK("https://klasma.github.io/Logging_0580/klagomålsmail/A 39457-2023 FSC-klagomål mail.docx", "A 39457-2023")</f>
        <v/>
      </c>
      <c r="X70">
        <f>HYPERLINK("https://klasma.github.io/Logging_0580/tillsyn/A 39457-2023 tillsynsbegäran.docx", "A 39457-2023")</f>
        <v/>
      </c>
      <c r="Y70">
        <f>HYPERLINK("https://klasma.github.io/Logging_0580/tillsynsmail/A 39457-2023 tillsynsbegäran mail.docx", "A 39457-2023")</f>
        <v/>
      </c>
      <c r="Z70">
        <f>HYPERLINK("https://klasma.github.io/Logging_0580/fåglar/A 39457-2023 prioriterade fågelarter.docx", "A 39457-2023")</f>
        <v/>
      </c>
    </row>
    <row r="71" ht="15" customHeight="1">
      <c r="A71" t="inlineStr">
        <is>
          <t>A 62071-2023</t>
        </is>
      </c>
      <c r="B71" s="1" t="n">
        <v>45266.73542824074</v>
      </c>
      <c r="C71" s="1" t="n">
        <v>45993</v>
      </c>
      <c r="D71" t="inlineStr">
        <is>
          <t>ÖSTERGÖTLANDS LÄN</t>
        </is>
      </c>
      <c r="E71" t="inlineStr">
        <is>
          <t>LINKÖPING</t>
        </is>
      </c>
      <c r="G71" t="n">
        <v>6.5</v>
      </c>
      <c r="H71" t="n">
        <v>0</v>
      </c>
      <c r="I71" t="n">
        <v>0</v>
      </c>
      <c r="J71" t="n">
        <v>1</v>
      </c>
      <c r="K71" t="n">
        <v>0</v>
      </c>
      <c r="L71" t="n">
        <v>0</v>
      </c>
      <c r="M71" t="n">
        <v>0</v>
      </c>
      <c r="N71" t="n">
        <v>0</v>
      </c>
      <c r="O71" t="n">
        <v>1</v>
      </c>
      <c r="P71" t="n">
        <v>0</v>
      </c>
      <c r="Q71" t="n">
        <v>1</v>
      </c>
      <c r="R71" s="2" t="inlineStr">
        <is>
          <t>Svinrot</t>
        </is>
      </c>
      <c r="S71">
        <f>HYPERLINK("https://klasma.github.io/Logging_0580/artfynd/A 62071-2023 artfynd.xlsx", "A 62071-2023")</f>
        <v/>
      </c>
      <c r="T71">
        <f>HYPERLINK("https://klasma.github.io/Logging_0580/kartor/A 62071-2023 karta.png", "A 62071-2023")</f>
        <v/>
      </c>
      <c r="V71">
        <f>HYPERLINK("https://klasma.github.io/Logging_0580/klagomål/A 62071-2023 FSC-klagomål.docx", "A 62071-2023")</f>
        <v/>
      </c>
      <c r="W71">
        <f>HYPERLINK("https://klasma.github.io/Logging_0580/klagomålsmail/A 62071-2023 FSC-klagomål mail.docx", "A 62071-2023")</f>
        <v/>
      </c>
      <c r="X71">
        <f>HYPERLINK("https://klasma.github.io/Logging_0580/tillsyn/A 62071-2023 tillsynsbegäran.docx", "A 62071-2023")</f>
        <v/>
      </c>
      <c r="Y71">
        <f>HYPERLINK("https://klasma.github.io/Logging_0580/tillsynsmail/A 62071-2023 tillsynsbegäran mail.docx", "A 62071-2023")</f>
        <v/>
      </c>
    </row>
    <row r="72" ht="15" customHeight="1">
      <c r="A72" t="inlineStr">
        <is>
          <t>A 90-2024</t>
        </is>
      </c>
      <c r="B72" s="1" t="n">
        <v>45293</v>
      </c>
      <c r="C72" s="1" t="n">
        <v>45993</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17444-2025</t>
        </is>
      </c>
      <c r="B73" s="1" t="n">
        <v>45757.43452546297</v>
      </c>
      <c r="C73" s="1" t="n">
        <v>45993</v>
      </c>
      <c r="D73" t="inlineStr">
        <is>
          <t>ÖSTERGÖTLANDS LÄN</t>
        </is>
      </c>
      <c r="E73" t="inlineStr">
        <is>
          <t>LINKÖPING</t>
        </is>
      </c>
      <c r="G73" t="n">
        <v>1.3</v>
      </c>
      <c r="H73" t="n">
        <v>1</v>
      </c>
      <c r="I73" t="n">
        <v>0</v>
      </c>
      <c r="J73" t="n">
        <v>1</v>
      </c>
      <c r="K73" t="n">
        <v>0</v>
      </c>
      <c r="L73" t="n">
        <v>0</v>
      </c>
      <c r="M73" t="n">
        <v>0</v>
      </c>
      <c r="N73" t="n">
        <v>0</v>
      </c>
      <c r="O73" t="n">
        <v>1</v>
      </c>
      <c r="P73" t="n">
        <v>0</v>
      </c>
      <c r="Q73" t="n">
        <v>1</v>
      </c>
      <c r="R73" s="2" t="inlineStr">
        <is>
          <t>Dårgräsfjäril</t>
        </is>
      </c>
      <c r="S73">
        <f>HYPERLINK("https://klasma.github.io/Logging_0580/artfynd/A 17444-2025 artfynd.xlsx", "A 17444-2025")</f>
        <v/>
      </c>
      <c r="T73">
        <f>HYPERLINK("https://klasma.github.io/Logging_0580/kartor/A 17444-2025 karta.png", "A 17444-2025")</f>
        <v/>
      </c>
      <c r="V73">
        <f>HYPERLINK("https://klasma.github.io/Logging_0580/klagomål/A 17444-2025 FSC-klagomål.docx", "A 17444-2025")</f>
        <v/>
      </c>
      <c r="W73">
        <f>HYPERLINK("https://klasma.github.io/Logging_0580/klagomålsmail/A 17444-2025 FSC-klagomål mail.docx", "A 17444-2025")</f>
        <v/>
      </c>
      <c r="X73">
        <f>HYPERLINK("https://klasma.github.io/Logging_0580/tillsyn/A 17444-2025 tillsynsbegäran.docx", "A 17444-2025")</f>
        <v/>
      </c>
      <c r="Y73">
        <f>HYPERLINK("https://klasma.github.io/Logging_0580/tillsynsmail/A 17444-2025 tillsynsbegäran mail.docx", "A 17444-2025")</f>
        <v/>
      </c>
    </row>
    <row r="74" ht="15" customHeight="1">
      <c r="A74" t="inlineStr">
        <is>
          <t>A 43989-2025</t>
        </is>
      </c>
      <c r="B74" s="1" t="n">
        <v>45915.44128472222</v>
      </c>
      <c r="C74" s="1" t="n">
        <v>45993</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5911-2022</t>
        </is>
      </c>
      <c r="B75" s="1" t="n">
        <v>44597</v>
      </c>
      <c r="C75" s="1" t="n">
        <v>45993</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44760-2025</t>
        </is>
      </c>
      <c r="B76" s="1" t="n">
        <v>45917.71873842592</v>
      </c>
      <c r="C76" s="1" t="n">
        <v>45993</v>
      </c>
      <c r="D76" t="inlineStr">
        <is>
          <t>ÖSTERGÖTLANDS LÄN</t>
        </is>
      </c>
      <c r="E76" t="inlineStr">
        <is>
          <t>LINKÖPING</t>
        </is>
      </c>
      <c r="G76" t="n">
        <v>0.9</v>
      </c>
      <c r="H76" t="n">
        <v>0</v>
      </c>
      <c r="I76" t="n">
        <v>0</v>
      </c>
      <c r="J76" t="n">
        <v>1</v>
      </c>
      <c r="K76" t="n">
        <v>0</v>
      </c>
      <c r="L76" t="n">
        <v>0</v>
      </c>
      <c r="M76" t="n">
        <v>0</v>
      </c>
      <c r="N76" t="n">
        <v>0</v>
      </c>
      <c r="O76" t="n">
        <v>1</v>
      </c>
      <c r="P76" t="n">
        <v>0</v>
      </c>
      <c r="Q76" t="n">
        <v>1</v>
      </c>
      <c r="R76" s="2" t="inlineStr">
        <is>
          <t>Tallticka</t>
        </is>
      </c>
      <c r="S76">
        <f>HYPERLINK("https://klasma.github.io/Logging_0580/artfynd/A 44760-2025 artfynd.xlsx", "A 44760-2025")</f>
        <v/>
      </c>
      <c r="T76">
        <f>HYPERLINK("https://klasma.github.io/Logging_0580/kartor/A 44760-2025 karta.png", "A 44760-2025")</f>
        <v/>
      </c>
      <c r="V76">
        <f>HYPERLINK("https://klasma.github.io/Logging_0580/klagomål/A 44760-2025 FSC-klagomål.docx", "A 44760-2025")</f>
        <v/>
      </c>
      <c r="W76">
        <f>HYPERLINK("https://klasma.github.io/Logging_0580/klagomålsmail/A 44760-2025 FSC-klagomål mail.docx", "A 44760-2025")</f>
        <v/>
      </c>
      <c r="X76">
        <f>HYPERLINK("https://klasma.github.io/Logging_0580/tillsyn/A 44760-2025 tillsynsbegäran.docx", "A 44760-2025")</f>
        <v/>
      </c>
      <c r="Y76">
        <f>HYPERLINK("https://klasma.github.io/Logging_0580/tillsynsmail/A 44760-2025 tillsynsbegäran mail.docx", "A 44760-2025")</f>
        <v/>
      </c>
    </row>
    <row r="77" ht="15" customHeight="1">
      <c r="A77" t="inlineStr">
        <is>
          <t>A 56128-2022</t>
        </is>
      </c>
      <c r="B77" s="1" t="n">
        <v>44889</v>
      </c>
      <c r="C77" s="1" t="n">
        <v>45993</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45993</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15290-2025</t>
        </is>
      </c>
      <c r="B79" s="1" t="n">
        <v>45745.45288194445</v>
      </c>
      <c r="C79" s="1" t="n">
        <v>45993</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48273-2025</t>
        </is>
      </c>
      <c r="B80" s="1" t="n">
        <v>45932</v>
      </c>
      <c r="C80" s="1" t="n">
        <v>45993</v>
      </c>
      <c r="D80" t="inlineStr">
        <is>
          <t>ÖSTERGÖTLANDS LÄN</t>
        </is>
      </c>
      <c r="E80" t="inlineStr">
        <is>
          <t>LINKÖPING</t>
        </is>
      </c>
      <c r="F80" t="inlineStr">
        <is>
          <t>Övriga Aktiebolag</t>
        </is>
      </c>
      <c r="G80" t="n">
        <v>4.6</v>
      </c>
      <c r="H80" t="n">
        <v>0</v>
      </c>
      <c r="I80" t="n">
        <v>0</v>
      </c>
      <c r="J80" t="n">
        <v>1</v>
      </c>
      <c r="K80" t="n">
        <v>0</v>
      </c>
      <c r="L80" t="n">
        <v>0</v>
      </c>
      <c r="M80" t="n">
        <v>0</v>
      </c>
      <c r="N80" t="n">
        <v>0</v>
      </c>
      <c r="O80" t="n">
        <v>1</v>
      </c>
      <c r="P80" t="n">
        <v>0</v>
      </c>
      <c r="Q80" t="n">
        <v>1</v>
      </c>
      <c r="R80" s="2" t="inlineStr">
        <is>
          <t>Barrviolspindling</t>
        </is>
      </c>
      <c r="S80">
        <f>HYPERLINK("https://klasma.github.io/Logging_0580/artfynd/A 48273-2025 artfynd.xlsx", "A 48273-2025")</f>
        <v/>
      </c>
      <c r="T80">
        <f>HYPERLINK("https://klasma.github.io/Logging_0580/kartor/A 48273-2025 karta.png", "A 48273-2025")</f>
        <v/>
      </c>
      <c r="V80">
        <f>HYPERLINK("https://klasma.github.io/Logging_0580/klagomål/A 48273-2025 FSC-klagomål.docx", "A 48273-2025")</f>
        <v/>
      </c>
      <c r="W80">
        <f>HYPERLINK("https://klasma.github.io/Logging_0580/klagomålsmail/A 48273-2025 FSC-klagomål mail.docx", "A 48273-2025")</f>
        <v/>
      </c>
      <c r="X80">
        <f>HYPERLINK("https://klasma.github.io/Logging_0580/tillsyn/A 48273-2025 tillsynsbegäran.docx", "A 48273-2025")</f>
        <v/>
      </c>
      <c r="Y80">
        <f>HYPERLINK("https://klasma.github.io/Logging_0580/tillsynsmail/A 48273-2025 tillsynsbegäran mail.docx", "A 48273-2025")</f>
        <v/>
      </c>
    </row>
    <row r="81" ht="15" customHeight="1">
      <c r="A81" t="inlineStr">
        <is>
          <t>A 48298-2025</t>
        </is>
      </c>
      <c r="B81" s="1" t="n">
        <v>45932</v>
      </c>
      <c r="C81" s="1" t="n">
        <v>45993</v>
      </c>
      <c r="D81" t="inlineStr">
        <is>
          <t>ÖSTERGÖTLANDS LÄN</t>
        </is>
      </c>
      <c r="E81" t="inlineStr">
        <is>
          <t>LINKÖPING</t>
        </is>
      </c>
      <c r="F81" t="inlineStr">
        <is>
          <t>Övriga Aktiebolag</t>
        </is>
      </c>
      <c r="G81" t="n">
        <v>1.7</v>
      </c>
      <c r="H81" t="n">
        <v>0</v>
      </c>
      <c r="I81" t="n">
        <v>1</v>
      </c>
      <c r="J81" t="n">
        <v>0</v>
      </c>
      <c r="K81" t="n">
        <v>0</v>
      </c>
      <c r="L81" t="n">
        <v>0</v>
      </c>
      <c r="M81" t="n">
        <v>0</v>
      </c>
      <c r="N81" t="n">
        <v>0</v>
      </c>
      <c r="O81" t="n">
        <v>0</v>
      </c>
      <c r="P81" t="n">
        <v>0</v>
      </c>
      <c r="Q81" t="n">
        <v>1</v>
      </c>
      <c r="R81" s="2" t="inlineStr">
        <is>
          <t>Västlig hakmossa</t>
        </is>
      </c>
      <c r="S81">
        <f>HYPERLINK("https://klasma.github.io/Logging_0580/artfynd/A 48298-2025 artfynd.xlsx", "A 48298-2025")</f>
        <v/>
      </c>
      <c r="T81">
        <f>HYPERLINK("https://klasma.github.io/Logging_0580/kartor/A 48298-2025 karta.png", "A 48298-2025")</f>
        <v/>
      </c>
      <c r="V81">
        <f>HYPERLINK("https://klasma.github.io/Logging_0580/klagomål/A 48298-2025 FSC-klagomål.docx", "A 48298-2025")</f>
        <v/>
      </c>
      <c r="W81">
        <f>HYPERLINK("https://klasma.github.io/Logging_0580/klagomålsmail/A 48298-2025 FSC-klagomål mail.docx", "A 48298-2025")</f>
        <v/>
      </c>
      <c r="X81">
        <f>HYPERLINK("https://klasma.github.io/Logging_0580/tillsyn/A 48298-2025 tillsynsbegäran.docx", "A 48298-2025")</f>
        <v/>
      </c>
      <c r="Y81">
        <f>HYPERLINK("https://klasma.github.io/Logging_0580/tillsynsmail/A 48298-2025 tillsynsbegäran mail.docx", "A 48298-2025")</f>
        <v/>
      </c>
    </row>
    <row r="82" ht="15" customHeight="1">
      <c r="A82" t="inlineStr">
        <is>
          <t>A 48353-2025</t>
        </is>
      </c>
      <c r="B82" s="1" t="n">
        <v>45932</v>
      </c>
      <c r="C82" s="1" t="n">
        <v>45993</v>
      </c>
      <c r="D82" t="inlineStr">
        <is>
          <t>ÖSTERGÖTLANDS LÄN</t>
        </is>
      </c>
      <c r="E82" t="inlineStr">
        <is>
          <t>LINKÖPING</t>
        </is>
      </c>
      <c r="F82" t="inlineStr">
        <is>
          <t>Övriga Aktiebolag</t>
        </is>
      </c>
      <c r="G82" t="n">
        <v>4.5</v>
      </c>
      <c r="H82" t="n">
        <v>1</v>
      </c>
      <c r="I82" t="n">
        <v>0</v>
      </c>
      <c r="J82" t="n">
        <v>1</v>
      </c>
      <c r="K82" t="n">
        <v>0</v>
      </c>
      <c r="L82" t="n">
        <v>0</v>
      </c>
      <c r="M82" t="n">
        <v>0</v>
      </c>
      <c r="N82" t="n">
        <v>0</v>
      </c>
      <c r="O82" t="n">
        <v>1</v>
      </c>
      <c r="P82" t="n">
        <v>0</v>
      </c>
      <c r="Q82" t="n">
        <v>1</v>
      </c>
      <c r="R82" s="2" t="inlineStr">
        <is>
          <t>Entita</t>
        </is>
      </c>
      <c r="S82">
        <f>HYPERLINK("https://klasma.github.io/Logging_0580/artfynd/A 48353-2025 artfynd.xlsx", "A 48353-2025")</f>
        <v/>
      </c>
      <c r="T82">
        <f>HYPERLINK("https://klasma.github.io/Logging_0580/kartor/A 48353-2025 karta.png", "A 48353-2025")</f>
        <v/>
      </c>
      <c r="V82">
        <f>HYPERLINK("https://klasma.github.io/Logging_0580/klagomål/A 48353-2025 FSC-klagomål.docx", "A 48353-2025")</f>
        <v/>
      </c>
      <c r="W82">
        <f>HYPERLINK("https://klasma.github.io/Logging_0580/klagomålsmail/A 48353-2025 FSC-klagomål mail.docx", "A 48353-2025")</f>
        <v/>
      </c>
      <c r="X82">
        <f>HYPERLINK("https://klasma.github.io/Logging_0580/tillsyn/A 48353-2025 tillsynsbegäran.docx", "A 48353-2025")</f>
        <v/>
      </c>
      <c r="Y82">
        <f>HYPERLINK("https://klasma.github.io/Logging_0580/tillsynsmail/A 48353-2025 tillsynsbegäran mail.docx", "A 48353-2025")</f>
        <v/>
      </c>
      <c r="Z82">
        <f>HYPERLINK("https://klasma.github.io/Logging_0580/fåglar/A 48353-2025 prioriterade fågelarter.docx", "A 48353-2025")</f>
        <v/>
      </c>
    </row>
    <row r="83" ht="15" customHeight="1">
      <c r="A83" t="inlineStr">
        <is>
          <t>A 56112-2025</t>
        </is>
      </c>
      <c r="B83" s="1" t="n">
        <v>45973.73625</v>
      </c>
      <c r="C83" s="1" t="n">
        <v>45993</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41749-2023</t>
        </is>
      </c>
      <c r="B84" s="1" t="n">
        <v>45176</v>
      </c>
      <c r="C84" s="1" t="n">
        <v>45993</v>
      </c>
      <c r="D84" t="inlineStr">
        <is>
          <t>ÖSTERGÖTLANDS LÄN</t>
        </is>
      </c>
      <c r="E84" t="inlineStr">
        <is>
          <t>LINKÖPING</t>
        </is>
      </c>
      <c r="G84" t="n">
        <v>3.6</v>
      </c>
      <c r="H84" t="n">
        <v>0</v>
      </c>
      <c r="I84" t="n">
        <v>0</v>
      </c>
      <c r="J84" t="n">
        <v>1</v>
      </c>
      <c r="K84" t="n">
        <v>0</v>
      </c>
      <c r="L84" t="n">
        <v>0</v>
      </c>
      <c r="M84" t="n">
        <v>0</v>
      </c>
      <c r="N84" t="n">
        <v>0</v>
      </c>
      <c r="O84" t="n">
        <v>1</v>
      </c>
      <c r="P84" t="n">
        <v>0</v>
      </c>
      <c r="Q84" t="n">
        <v>1</v>
      </c>
      <c r="R84" s="2" t="inlineStr">
        <is>
          <t>Svinrot</t>
        </is>
      </c>
      <c r="S84">
        <f>HYPERLINK("https://klasma.github.io/Logging_0580/artfynd/A 41749-2023 artfynd.xlsx", "A 41749-2023")</f>
        <v/>
      </c>
      <c r="T84">
        <f>HYPERLINK("https://klasma.github.io/Logging_0580/kartor/A 41749-2023 karta.png", "A 41749-2023")</f>
        <v/>
      </c>
      <c r="V84">
        <f>HYPERLINK("https://klasma.github.io/Logging_0580/klagomål/A 41749-2023 FSC-klagomål.docx", "A 41749-2023")</f>
        <v/>
      </c>
      <c r="W84">
        <f>HYPERLINK("https://klasma.github.io/Logging_0580/klagomålsmail/A 41749-2023 FSC-klagomål mail.docx", "A 41749-2023")</f>
        <v/>
      </c>
      <c r="X84">
        <f>HYPERLINK("https://klasma.github.io/Logging_0580/tillsyn/A 41749-2023 tillsynsbegäran.docx", "A 41749-2023")</f>
        <v/>
      </c>
      <c r="Y84">
        <f>HYPERLINK("https://klasma.github.io/Logging_0580/tillsynsmail/A 41749-2023 tillsynsbegäran mail.docx", "A 41749-2023")</f>
        <v/>
      </c>
    </row>
    <row r="85" ht="15" customHeight="1">
      <c r="A85" t="inlineStr">
        <is>
          <t>A 48347-2025</t>
        </is>
      </c>
      <c r="B85" s="1" t="n">
        <v>45932</v>
      </c>
      <c r="C85" s="1" t="n">
        <v>45993</v>
      </c>
      <c r="D85" t="inlineStr">
        <is>
          <t>ÖSTERGÖTLANDS LÄN</t>
        </is>
      </c>
      <c r="E85" t="inlineStr">
        <is>
          <t>LINKÖPING</t>
        </is>
      </c>
      <c r="F85" t="inlineStr">
        <is>
          <t>Övriga Aktiebolag</t>
        </is>
      </c>
      <c r="G85" t="n">
        <v>0.9</v>
      </c>
      <c r="H85" t="n">
        <v>0</v>
      </c>
      <c r="I85" t="n">
        <v>0</v>
      </c>
      <c r="J85" t="n">
        <v>1</v>
      </c>
      <c r="K85" t="n">
        <v>0</v>
      </c>
      <c r="L85" t="n">
        <v>0</v>
      </c>
      <c r="M85" t="n">
        <v>0</v>
      </c>
      <c r="N85" t="n">
        <v>0</v>
      </c>
      <c r="O85" t="n">
        <v>1</v>
      </c>
      <c r="P85" t="n">
        <v>0</v>
      </c>
      <c r="Q85" t="n">
        <v>1</v>
      </c>
      <c r="R85" s="2" t="inlineStr">
        <is>
          <t>Igelkott</t>
        </is>
      </c>
      <c r="S85">
        <f>HYPERLINK("https://klasma.github.io/Logging_0580/artfynd/A 48347-2025 artfynd.xlsx", "A 48347-2025")</f>
        <v/>
      </c>
      <c r="T85">
        <f>HYPERLINK("https://klasma.github.io/Logging_0580/kartor/A 48347-2025 karta.png", "A 48347-2025")</f>
        <v/>
      </c>
      <c r="V85">
        <f>HYPERLINK("https://klasma.github.io/Logging_0580/klagomål/A 48347-2025 FSC-klagomål.docx", "A 48347-2025")</f>
        <v/>
      </c>
      <c r="W85">
        <f>HYPERLINK("https://klasma.github.io/Logging_0580/klagomålsmail/A 48347-2025 FSC-klagomål mail.docx", "A 48347-2025")</f>
        <v/>
      </c>
      <c r="X85">
        <f>HYPERLINK("https://klasma.github.io/Logging_0580/tillsyn/A 48347-2025 tillsynsbegäran.docx", "A 48347-2025")</f>
        <v/>
      </c>
      <c r="Y85">
        <f>HYPERLINK("https://klasma.github.io/Logging_0580/tillsynsmail/A 48347-2025 tillsynsbegäran mail.docx", "A 48347-2025")</f>
        <v/>
      </c>
    </row>
    <row r="86" ht="15" customHeight="1">
      <c r="A86" t="inlineStr">
        <is>
          <t>A 27403-2025</t>
        </is>
      </c>
      <c r="B86" s="1" t="n">
        <v>45812.72518518518</v>
      </c>
      <c r="C86" s="1" t="n">
        <v>45993</v>
      </c>
      <c r="D86" t="inlineStr">
        <is>
          <t>ÖSTERGÖTLANDS LÄN</t>
        </is>
      </c>
      <c r="E86" t="inlineStr">
        <is>
          <t>LINKÖPING</t>
        </is>
      </c>
      <c r="G86" t="n">
        <v>1.4</v>
      </c>
      <c r="H86" t="n">
        <v>0</v>
      </c>
      <c r="I86" t="n">
        <v>0</v>
      </c>
      <c r="J86" t="n">
        <v>1</v>
      </c>
      <c r="K86" t="n">
        <v>0</v>
      </c>
      <c r="L86" t="n">
        <v>0</v>
      </c>
      <c r="M86" t="n">
        <v>0</v>
      </c>
      <c r="N86" t="n">
        <v>0</v>
      </c>
      <c r="O86" t="n">
        <v>1</v>
      </c>
      <c r="P86" t="n">
        <v>0</v>
      </c>
      <c r="Q86" t="n">
        <v>1</v>
      </c>
      <c r="R86" s="2" t="inlineStr">
        <is>
          <t>Tallticka</t>
        </is>
      </c>
      <c r="S86">
        <f>HYPERLINK("https://klasma.github.io/Logging_0580/artfynd/A 27403-2025 artfynd.xlsx", "A 27403-2025")</f>
        <v/>
      </c>
      <c r="T86">
        <f>HYPERLINK("https://klasma.github.io/Logging_0580/kartor/A 27403-2025 karta.png", "A 27403-2025")</f>
        <v/>
      </c>
      <c r="V86">
        <f>HYPERLINK("https://klasma.github.io/Logging_0580/klagomål/A 27403-2025 FSC-klagomål.docx", "A 27403-2025")</f>
        <v/>
      </c>
      <c r="W86">
        <f>HYPERLINK("https://klasma.github.io/Logging_0580/klagomålsmail/A 27403-2025 FSC-klagomål mail.docx", "A 27403-2025")</f>
        <v/>
      </c>
      <c r="X86">
        <f>HYPERLINK("https://klasma.github.io/Logging_0580/tillsyn/A 27403-2025 tillsynsbegäran.docx", "A 27403-2025")</f>
        <v/>
      </c>
      <c r="Y86">
        <f>HYPERLINK("https://klasma.github.io/Logging_0580/tillsynsmail/A 27403-2025 tillsynsbegäran mail.docx", "A 27403-2025")</f>
        <v/>
      </c>
    </row>
    <row r="87" ht="15" customHeight="1">
      <c r="A87" t="inlineStr">
        <is>
          <t>A 50034-2025</t>
        </is>
      </c>
      <c r="B87" s="1" t="n">
        <v>45941</v>
      </c>
      <c r="C87" s="1" t="n">
        <v>45993</v>
      </c>
      <c r="D87" t="inlineStr">
        <is>
          <t>ÖSTERGÖTLANDS LÄN</t>
        </is>
      </c>
      <c r="E87" t="inlineStr">
        <is>
          <t>LINKÖPING</t>
        </is>
      </c>
      <c r="G87" t="n">
        <v>6.2</v>
      </c>
      <c r="H87" t="n">
        <v>0</v>
      </c>
      <c r="I87" t="n">
        <v>0</v>
      </c>
      <c r="J87" t="n">
        <v>0</v>
      </c>
      <c r="K87" t="n">
        <v>0</v>
      </c>
      <c r="L87" t="n">
        <v>0</v>
      </c>
      <c r="M87" t="n">
        <v>1</v>
      </c>
      <c r="N87" t="n">
        <v>0</v>
      </c>
      <c r="O87" t="n">
        <v>1</v>
      </c>
      <c r="P87" t="n">
        <v>1</v>
      </c>
      <c r="Q87" t="n">
        <v>1</v>
      </c>
      <c r="R87" s="2" t="inlineStr">
        <is>
          <t>Skogsalm</t>
        </is>
      </c>
      <c r="S87">
        <f>HYPERLINK("https://klasma.github.io/Logging_0580/artfynd/A 50034-2025 artfynd.xlsx", "A 50034-2025")</f>
        <v/>
      </c>
      <c r="T87">
        <f>HYPERLINK("https://klasma.github.io/Logging_0580/kartor/A 50034-2025 karta.png", "A 50034-2025")</f>
        <v/>
      </c>
      <c r="V87">
        <f>HYPERLINK("https://klasma.github.io/Logging_0580/klagomål/A 50034-2025 FSC-klagomål.docx", "A 50034-2025")</f>
        <v/>
      </c>
      <c r="W87">
        <f>HYPERLINK("https://klasma.github.io/Logging_0580/klagomålsmail/A 50034-2025 FSC-klagomål mail.docx", "A 50034-2025")</f>
        <v/>
      </c>
      <c r="X87">
        <f>HYPERLINK("https://klasma.github.io/Logging_0580/tillsyn/A 50034-2025 tillsynsbegäran.docx", "A 50034-2025")</f>
        <v/>
      </c>
      <c r="Y87">
        <f>HYPERLINK("https://klasma.github.io/Logging_0580/tillsynsmail/A 50034-2025 tillsynsbegäran mail.docx", "A 50034-2025")</f>
        <v/>
      </c>
    </row>
    <row r="88" ht="15" customHeight="1">
      <c r="A88" t="inlineStr">
        <is>
          <t>A 59474-2025</t>
        </is>
      </c>
      <c r="B88" s="1" t="n">
        <v>45989.58512731481</v>
      </c>
      <c r="C88" s="1" t="n">
        <v>45993</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36723-2023</t>
        </is>
      </c>
      <c r="B89" s="1" t="n">
        <v>45153</v>
      </c>
      <c r="C89" s="1" t="n">
        <v>45993</v>
      </c>
      <c r="D89" t="inlineStr">
        <is>
          <t>ÖSTERGÖTLANDS LÄN</t>
        </is>
      </c>
      <c r="E89" t="inlineStr">
        <is>
          <t>LINKÖPING</t>
        </is>
      </c>
      <c r="F89" t="inlineStr">
        <is>
          <t>Allmännings- och besparingsskogar</t>
        </is>
      </c>
      <c r="G89" t="n">
        <v>9.9</v>
      </c>
      <c r="H89" t="n">
        <v>0</v>
      </c>
      <c r="I89" t="n">
        <v>0</v>
      </c>
      <c r="J89" t="n">
        <v>0</v>
      </c>
      <c r="K89" t="n">
        <v>1</v>
      </c>
      <c r="L89" t="n">
        <v>0</v>
      </c>
      <c r="M89" t="n">
        <v>0</v>
      </c>
      <c r="N89" t="n">
        <v>0</v>
      </c>
      <c r="O89" t="n">
        <v>1</v>
      </c>
      <c r="P89" t="n">
        <v>1</v>
      </c>
      <c r="Q89" t="n">
        <v>1</v>
      </c>
      <c r="R89" s="2" t="inlineStr">
        <is>
          <t>Bitter taggsvamp</t>
        </is>
      </c>
      <c r="S89">
        <f>HYPERLINK("https://klasma.github.io/Logging_0580/artfynd/A 36723-2023 artfynd.xlsx", "A 36723-2023")</f>
        <v/>
      </c>
      <c r="T89">
        <f>HYPERLINK("https://klasma.github.io/Logging_0580/kartor/A 36723-2023 karta.png", "A 36723-2023")</f>
        <v/>
      </c>
      <c r="V89">
        <f>HYPERLINK("https://klasma.github.io/Logging_0580/klagomål/A 36723-2023 FSC-klagomål.docx", "A 36723-2023")</f>
        <v/>
      </c>
      <c r="W89">
        <f>HYPERLINK("https://klasma.github.io/Logging_0580/klagomålsmail/A 36723-2023 FSC-klagomål mail.docx", "A 36723-2023")</f>
        <v/>
      </c>
      <c r="X89">
        <f>HYPERLINK("https://klasma.github.io/Logging_0580/tillsyn/A 36723-2023 tillsynsbegäran.docx", "A 36723-2023")</f>
        <v/>
      </c>
      <c r="Y89">
        <f>HYPERLINK("https://klasma.github.io/Logging_0580/tillsynsmail/A 36723-2023 tillsynsbegäran mail.docx", "A 36723-2023")</f>
        <v/>
      </c>
    </row>
    <row r="90" ht="15" customHeight="1">
      <c r="A90" t="inlineStr">
        <is>
          <t>A 38881-2021</t>
        </is>
      </c>
      <c r="B90" s="1" t="n">
        <v>44411.46893518518</v>
      </c>
      <c r="C90" s="1" t="n">
        <v>45993</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45993</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45993</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45993</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45993</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45993</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398-2021</t>
        </is>
      </c>
      <c r="B96" s="1" t="n">
        <v>44201</v>
      </c>
      <c r="C96" s="1" t="n">
        <v>45993</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45993</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45993</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45993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45993</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45993</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45993</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45993</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45993</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45993</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45993</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45993</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45993</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45993</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45993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45993</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45993</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45993</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45993</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45993</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45993</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67120-2020</t>
        </is>
      </c>
      <c r="B117" s="1" t="n">
        <v>44180</v>
      </c>
      <c r="C117" s="1" t="n">
        <v>45993</v>
      </c>
      <c r="D117" t="inlineStr">
        <is>
          <t>ÖSTERGÖTLANDS LÄN</t>
        </is>
      </c>
      <c r="E117" t="inlineStr">
        <is>
          <t>LINKÖPING</t>
        </is>
      </c>
      <c r="F117" t="inlineStr">
        <is>
          <t>Övriga statliga verk och myndigheter</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45993</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45993</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45993</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45993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45993</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45993</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45993</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45993</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45993</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45993</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45993</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45993</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45993</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45993</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45993</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45993</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45993</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45993</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45993</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34487-2021</t>
        </is>
      </c>
      <c r="B137" s="1" t="n">
        <v>44382.29873842592</v>
      </c>
      <c r="C137" s="1" t="n">
        <v>45993</v>
      </c>
      <c r="D137" t="inlineStr">
        <is>
          <t>ÖSTERGÖTLANDS LÄN</t>
        </is>
      </c>
      <c r="E137" t="inlineStr">
        <is>
          <t>LINKÖPING</t>
        </is>
      </c>
      <c r="G137" t="n">
        <v>7.5</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45993</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45993</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27769-2022</t>
        </is>
      </c>
      <c r="B140" s="1" t="n">
        <v>44743.53200231482</v>
      </c>
      <c r="C140" s="1" t="n">
        <v>45993</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44849-2022</t>
        </is>
      </c>
      <c r="B141" s="1" t="n">
        <v>44841</v>
      </c>
      <c r="C141" s="1" t="n">
        <v>45993</v>
      </c>
      <c r="D141" t="inlineStr">
        <is>
          <t>ÖSTERGÖTLANDS LÄN</t>
        </is>
      </c>
      <c r="E141" t="inlineStr">
        <is>
          <t>LINKÖPING</t>
        </is>
      </c>
      <c r="G141" t="n">
        <v>1.1</v>
      </c>
      <c r="H141" t="n">
        <v>0</v>
      </c>
      <c r="I141" t="n">
        <v>0</v>
      </c>
      <c r="J141" t="n">
        <v>0</v>
      </c>
      <c r="K141" t="n">
        <v>0</v>
      </c>
      <c r="L141" t="n">
        <v>0</v>
      </c>
      <c r="M141" t="n">
        <v>0</v>
      </c>
      <c r="N141" t="n">
        <v>0</v>
      </c>
      <c r="O141" t="n">
        <v>0</v>
      </c>
      <c r="P141" t="n">
        <v>0</v>
      </c>
      <c r="Q141" t="n">
        <v>0</v>
      </c>
      <c r="R141" s="2" t="inlineStr"/>
    </row>
    <row r="142" ht="15" customHeight="1">
      <c r="A142" t="inlineStr">
        <is>
          <t>A 70835-2021</t>
        </is>
      </c>
      <c r="B142" s="1" t="n">
        <v>44537</v>
      </c>
      <c r="C142" s="1" t="n">
        <v>45993</v>
      </c>
      <c r="D142" t="inlineStr">
        <is>
          <t>ÖSTERGÖTLANDS LÄN</t>
        </is>
      </c>
      <c r="E142" t="inlineStr">
        <is>
          <t>LINKÖPING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9935-2021</t>
        </is>
      </c>
      <c r="B143" s="1" t="n">
        <v>44253</v>
      </c>
      <c r="C143" s="1" t="n">
        <v>45993</v>
      </c>
      <c r="D143" t="inlineStr">
        <is>
          <t>ÖSTERGÖTLANDS LÄN</t>
        </is>
      </c>
      <c r="E143" t="inlineStr">
        <is>
          <t>LINKÖPING</t>
        </is>
      </c>
      <c r="G143" t="n">
        <v>4.5</v>
      </c>
      <c r="H143" t="n">
        <v>0</v>
      </c>
      <c r="I143" t="n">
        <v>0</v>
      </c>
      <c r="J143" t="n">
        <v>0</v>
      </c>
      <c r="K143" t="n">
        <v>0</v>
      </c>
      <c r="L143" t="n">
        <v>0</v>
      </c>
      <c r="M143" t="n">
        <v>0</v>
      </c>
      <c r="N143" t="n">
        <v>0</v>
      </c>
      <c r="O143" t="n">
        <v>0</v>
      </c>
      <c r="P143" t="n">
        <v>0</v>
      </c>
      <c r="Q143" t="n">
        <v>0</v>
      </c>
      <c r="R143" s="2" t="inlineStr"/>
    </row>
    <row r="144" ht="15" customHeight="1">
      <c r="A144" t="inlineStr">
        <is>
          <t>A 31705-2022</t>
        </is>
      </c>
      <c r="B144" s="1" t="n">
        <v>44776.43607638889</v>
      </c>
      <c r="C144" s="1" t="n">
        <v>45993</v>
      </c>
      <c r="D144" t="inlineStr">
        <is>
          <t>ÖSTERGÖTLANDS LÄN</t>
        </is>
      </c>
      <c r="E144" t="inlineStr">
        <is>
          <t>LINKÖPING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46416-2021</t>
        </is>
      </c>
      <c r="B145" s="1" t="n">
        <v>44442</v>
      </c>
      <c r="C145" s="1" t="n">
        <v>45993</v>
      </c>
      <c r="D145" t="inlineStr">
        <is>
          <t>ÖSTERGÖTLANDS LÄN</t>
        </is>
      </c>
      <c r="E145" t="inlineStr">
        <is>
          <t>LINKÖPING</t>
        </is>
      </c>
      <c r="G145" t="n">
        <v>2.3</v>
      </c>
      <c r="H145" t="n">
        <v>0</v>
      </c>
      <c r="I145" t="n">
        <v>0</v>
      </c>
      <c r="J145" t="n">
        <v>0</v>
      </c>
      <c r="K145" t="n">
        <v>0</v>
      </c>
      <c r="L145" t="n">
        <v>0</v>
      </c>
      <c r="M145" t="n">
        <v>0</v>
      </c>
      <c r="N145" t="n">
        <v>0</v>
      </c>
      <c r="O145" t="n">
        <v>0</v>
      </c>
      <c r="P145" t="n">
        <v>0</v>
      </c>
      <c r="Q145" t="n">
        <v>0</v>
      </c>
      <c r="R145" s="2" t="inlineStr"/>
    </row>
    <row r="146" ht="15" customHeight="1">
      <c r="A146" t="inlineStr">
        <is>
          <t>A 58258-2021</t>
        </is>
      </c>
      <c r="B146" s="1" t="n">
        <v>44487</v>
      </c>
      <c r="C146" s="1" t="n">
        <v>45993</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45993</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58287-2021</t>
        </is>
      </c>
      <c r="B148" s="1" t="n">
        <v>44487</v>
      </c>
      <c r="C148" s="1" t="n">
        <v>45993</v>
      </c>
      <c r="D148" t="inlineStr">
        <is>
          <t>ÖSTERGÖTLANDS LÄN</t>
        </is>
      </c>
      <c r="E148" t="inlineStr">
        <is>
          <t>LINKÖPING</t>
        </is>
      </c>
      <c r="F148" t="inlineStr">
        <is>
          <t>Övriga Aktiebolag</t>
        </is>
      </c>
      <c r="G148" t="n">
        <v>1.5</v>
      </c>
      <c r="H148" t="n">
        <v>0</v>
      </c>
      <c r="I148" t="n">
        <v>0</v>
      </c>
      <c r="J148" t="n">
        <v>0</v>
      </c>
      <c r="K148" t="n">
        <v>0</v>
      </c>
      <c r="L148" t="n">
        <v>0</v>
      </c>
      <c r="M148" t="n">
        <v>0</v>
      </c>
      <c r="N148" t="n">
        <v>0</v>
      </c>
      <c r="O148" t="n">
        <v>0</v>
      </c>
      <c r="P148" t="n">
        <v>0</v>
      </c>
      <c r="Q148" t="n">
        <v>0</v>
      </c>
      <c r="R148" s="2" t="inlineStr"/>
    </row>
    <row r="149" ht="15" customHeight="1">
      <c r="A149" t="inlineStr">
        <is>
          <t>A 53660-2021</t>
        </is>
      </c>
      <c r="B149" s="1" t="n">
        <v>44469</v>
      </c>
      <c r="C149" s="1" t="n">
        <v>45993</v>
      </c>
      <c r="D149" t="inlineStr">
        <is>
          <t>ÖSTERGÖTLANDS LÄN</t>
        </is>
      </c>
      <c r="E149" t="inlineStr">
        <is>
          <t>LINKÖPING</t>
        </is>
      </c>
      <c r="G149" t="n">
        <v>2.6</v>
      </c>
      <c r="H149" t="n">
        <v>0</v>
      </c>
      <c r="I149" t="n">
        <v>0</v>
      </c>
      <c r="J149" t="n">
        <v>0</v>
      </c>
      <c r="K149" t="n">
        <v>0</v>
      </c>
      <c r="L149" t="n">
        <v>0</v>
      </c>
      <c r="M149" t="n">
        <v>0</v>
      </c>
      <c r="N149" t="n">
        <v>0</v>
      </c>
      <c r="O149" t="n">
        <v>0</v>
      </c>
      <c r="P149" t="n">
        <v>0</v>
      </c>
      <c r="Q149" t="n">
        <v>0</v>
      </c>
      <c r="R149" s="2" t="inlineStr"/>
    </row>
    <row r="150" ht="15" customHeight="1">
      <c r="A150" t="inlineStr">
        <is>
          <t>A 52966-2021</t>
        </is>
      </c>
      <c r="B150" s="1" t="n">
        <v>44467</v>
      </c>
      <c r="C150" s="1" t="n">
        <v>45993</v>
      </c>
      <c r="D150" t="inlineStr">
        <is>
          <t>ÖSTERGÖTLANDS LÄN</t>
        </is>
      </c>
      <c r="E150" t="inlineStr">
        <is>
          <t>LINKÖPING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4929-2021</t>
        </is>
      </c>
      <c r="B151" s="1" t="n">
        <v>44227.57533564815</v>
      </c>
      <c r="C151" s="1" t="n">
        <v>45993</v>
      </c>
      <c r="D151" t="inlineStr">
        <is>
          <t>ÖSTERGÖTLANDS LÄN</t>
        </is>
      </c>
      <c r="E151" t="inlineStr">
        <is>
          <t>LINKÖPING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54854-2022</t>
        </is>
      </c>
      <c r="B152" s="1" t="n">
        <v>44884</v>
      </c>
      <c r="C152" s="1" t="n">
        <v>45993</v>
      </c>
      <c r="D152" t="inlineStr">
        <is>
          <t>ÖSTERGÖTLANDS LÄN</t>
        </is>
      </c>
      <c r="E152" t="inlineStr">
        <is>
          <t>LINKÖPING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54855-2022</t>
        </is>
      </c>
      <c r="B153" s="1" t="n">
        <v>44884.59502314815</v>
      </c>
      <c r="C153" s="1" t="n">
        <v>45993</v>
      </c>
      <c r="D153" t="inlineStr">
        <is>
          <t>ÖSTERGÖTLANDS LÄN</t>
        </is>
      </c>
      <c r="E153" t="inlineStr">
        <is>
          <t>LINKÖPING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25305-2021</t>
        </is>
      </c>
      <c r="B154" s="1" t="n">
        <v>44342</v>
      </c>
      <c r="C154" s="1" t="n">
        <v>45993</v>
      </c>
      <c r="D154" t="inlineStr">
        <is>
          <t>ÖSTERGÖTLANDS LÄN</t>
        </is>
      </c>
      <c r="E154" t="inlineStr">
        <is>
          <t>LINKÖPING</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45993</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33891-2021</t>
        </is>
      </c>
      <c r="B156" s="1" t="n">
        <v>44378</v>
      </c>
      <c r="C156" s="1" t="n">
        <v>45993</v>
      </c>
      <c r="D156" t="inlineStr">
        <is>
          <t>ÖSTERGÖTLANDS LÄN</t>
        </is>
      </c>
      <c r="E156" t="inlineStr">
        <is>
          <t>LINKÖPING</t>
        </is>
      </c>
      <c r="G156" t="n">
        <v>5.1</v>
      </c>
      <c r="H156" t="n">
        <v>0</v>
      </c>
      <c r="I156" t="n">
        <v>0</v>
      </c>
      <c r="J156" t="n">
        <v>0</v>
      </c>
      <c r="K156" t="n">
        <v>0</v>
      </c>
      <c r="L156" t="n">
        <v>0</v>
      </c>
      <c r="M156" t="n">
        <v>0</v>
      </c>
      <c r="N156" t="n">
        <v>0</v>
      </c>
      <c r="O156" t="n">
        <v>0</v>
      </c>
      <c r="P156" t="n">
        <v>0</v>
      </c>
      <c r="Q156" t="n">
        <v>0</v>
      </c>
      <c r="R156" s="2" t="inlineStr"/>
    </row>
    <row r="157" ht="15" customHeight="1">
      <c r="A157" t="inlineStr">
        <is>
          <t>A 19254-2021</t>
        </is>
      </c>
      <c r="B157" s="1" t="n">
        <v>44309.38962962963</v>
      </c>
      <c r="C157" s="1" t="n">
        <v>45993</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11079-2022</t>
        </is>
      </c>
      <c r="B158" s="1" t="n">
        <v>44628</v>
      </c>
      <c r="C158" s="1" t="n">
        <v>45993</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20901-2021</t>
        </is>
      </c>
      <c r="B159" s="1" t="n">
        <v>44319</v>
      </c>
      <c r="C159" s="1" t="n">
        <v>45993</v>
      </c>
      <c r="D159" t="inlineStr">
        <is>
          <t>ÖSTERGÖTLANDS LÄN</t>
        </is>
      </c>
      <c r="E159" t="inlineStr">
        <is>
          <t>LINKÖPING</t>
        </is>
      </c>
      <c r="G159" t="n">
        <v>1.4</v>
      </c>
      <c r="H159" t="n">
        <v>0</v>
      </c>
      <c r="I159" t="n">
        <v>0</v>
      </c>
      <c r="J159" t="n">
        <v>0</v>
      </c>
      <c r="K159" t="n">
        <v>0</v>
      </c>
      <c r="L159" t="n">
        <v>0</v>
      </c>
      <c r="M159" t="n">
        <v>0</v>
      </c>
      <c r="N159" t="n">
        <v>0</v>
      </c>
      <c r="O159" t="n">
        <v>0</v>
      </c>
      <c r="P159" t="n">
        <v>0</v>
      </c>
      <c r="Q159" t="n">
        <v>0</v>
      </c>
      <c r="R159" s="2" t="inlineStr"/>
    </row>
    <row r="160" ht="15" customHeight="1">
      <c r="A160" t="inlineStr">
        <is>
          <t>A 4377-2021</t>
        </is>
      </c>
      <c r="B160" s="1" t="n">
        <v>44223</v>
      </c>
      <c r="C160" s="1" t="n">
        <v>45993</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45993</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36341-2022</t>
        </is>
      </c>
      <c r="B162" s="1" t="n">
        <v>44803</v>
      </c>
      <c r="C162" s="1" t="n">
        <v>45993</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61153-2021</t>
        </is>
      </c>
      <c r="B163" s="1" t="n">
        <v>44497</v>
      </c>
      <c r="C163" s="1" t="n">
        <v>45993</v>
      </c>
      <c r="D163" t="inlineStr">
        <is>
          <t>ÖSTERGÖTLANDS LÄN</t>
        </is>
      </c>
      <c r="E163" t="inlineStr">
        <is>
          <t>LINKÖPING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33885-2021</t>
        </is>
      </c>
      <c r="B164" s="1" t="n">
        <v>44378</v>
      </c>
      <c r="C164" s="1" t="n">
        <v>45993</v>
      </c>
      <c r="D164" t="inlineStr">
        <is>
          <t>ÖSTERGÖTLANDS LÄN</t>
        </is>
      </c>
      <c r="E164" t="inlineStr">
        <is>
          <t>LINKÖPING</t>
        </is>
      </c>
      <c r="G164" t="n">
        <v>3.5</v>
      </c>
      <c r="H164" t="n">
        <v>0</v>
      </c>
      <c r="I164" t="n">
        <v>0</v>
      </c>
      <c r="J164" t="n">
        <v>0</v>
      </c>
      <c r="K164" t="n">
        <v>0</v>
      </c>
      <c r="L164" t="n">
        <v>0</v>
      </c>
      <c r="M164" t="n">
        <v>0</v>
      </c>
      <c r="N164" t="n">
        <v>0</v>
      </c>
      <c r="O164" t="n">
        <v>0</v>
      </c>
      <c r="P164" t="n">
        <v>0</v>
      </c>
      <c r="Q164" t="n">
        <v>0</v>
      </c>
      <c r="R164" s="2" t="inlineStr"/>
    </row>
    <row r="165" ht="15" customHeight="1">
      <c r="A165" t="inlineStr">
        <is>
          <t>A 12413-2022</t>
        </is>
      </c>
      <c r="B165" s="1" t="n">
        <v>44638</v>
      </c>
      <c r="C165" s="1" t="n">
        <v>45993</v>
      </c>
      <c r="D165" t="inlineStr">
        <is>
          <t>ÖSTERGÖTLANDS LÄN</t>
        </is>
      </c>
      <c r="E165" t="inlineStr">
        <is>
          <t>LINKÖPING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65398-2021</t>
        </is>
      </c>
      <c r="B166" s="1" t="n">
        <v>44515</v>
      </c>
      <c r="C166" s="1" t="n">
        <v>45993</v>
      </c>
      <c r="D166" t="inlineStr">
        <is>
          <t>ÖSTERGÖTLANDS LÄN</t>
        </is>
      </c>
      <c r="E166" t="inlineStr">
        <is>
          <t>LINKÖPING</t>
        </is>
      </c>
      <c r="F166" t="inlineStr">
        <is>
          <t>Övriga statliga verk och myndigheter</t>
        </is>
      </c>
      <c r="G166" t="n">
        <v>2.4</v>
      </c>
      <c r="H166" t="n">
        <v>0</v>
      </c>
      <c r="I166" t="n">
        <v>0</v>
      </c>
      <c r="J166" t="n">
        <v>0</v>
      </c>
      <c r="K166" t="n">
        <v>0</v>
      </c>
      <c r="L166" t="n">
        <v>0</v>
      </c>
      <c r="M166" t="n">
        <v>0</v>
      </c>
      <c r="N166" t="n">
        <v>0</v>
      </c>
      <c r="O166" t="n">
        <v>0</v>
      </c>
      <c r="P166" t="n">
        <v>0</v>
      </c>
      <c r="Q166" t="n">
        <v>0</v>
      </c>
      <c r="R166" s="2" t="inlineStr"/>
    </row>
    <row r="167" ht="15" customHeight="1">
      <c r="A167" t="inlineStr">
        <is>
          <t>A 4240-2022</t>
        </is>
      </c>
      <c r="B167" s="1" t="n">
        <v>44588</v>
      </c>
      <c r="C167" s="1" t="n">
        <v>45993</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67912-2021</t>
        </is>
      </c>
      <c r="B168" s="1" t="n">
        <v>44525</v>
      </c>
      <c r="C168" s="1" t="n">
        <v>45993</v>
      </c>
      <c r="D168" t="inlineStr">
        <is>
          <t>ÖSTERGÖTLANDS LÄN</t>
        </is>
      </c>
      <c r="E168" t="inlineStr">
        <is>
          <t>LINKÖPING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67940-2021</t>
        </is>
      </c>
      <c r="B169" s="1" t="n">
        <v>44525.62849537037</v>
      </c>
      <c r="C169" s="1" t="n">
        <v>45993</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46490-2022</t>
        </is>
      </c>
      <c r="B170" s="1" t="n">
        <v>44848</v>
      </c>
      <c r="C170" s="1" t="n">
        <v>45993</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384-2021</t>
        </is>
      </c>
      <c r="B171" s="1" t="n">
        <v>44201.57689814815</v>
      </c>
      <c r="C171" s="1" t="n">
        <v>45993</v>
      </c>
      <c r="D171" t="inlineStr">
        <is>
          <t>ÖSTERGÖTLANDS LÄN</t>
        </is>
      </c>
      <c r="E171" t="inlineStr">
        <is>
          <t>LINKÖPING</t>
        </is>
      </c>
      <c r="G171" t="n">
        <v>0.2</v>
      </c>
      <c r="H171" t="n">
        <v>0</v>
      </c>
      <c r="I171" t="n">
        <v>0</v>
      </c>
      <c r="J171" t="n">
        <v>0</v>
      </c>
      <c r="K171" t="n">
        <v>0</v>
      </c>
      <c r="L171" t="n">
        <v>0</v>
      </c>
      <c r="M171" t="n">
        <v>0</v>
      </c>
      <c r="N171" t="n">
        <v>0</v>
      </c>
      <c r="O171" t="n">
        <v>0</v>
      </c>
      <c r="P171" t="n">
        <v>0</v>
      </c>
      <c r="Q171" t="n">
        <v>0</v>
      </c>
      <c r="R171" s="2" t="inlineStr"/>
    </row>
    <row r="172" ht="15" customHeight="1">
      <c r="A172" t="inlineStr">
        <is>
          <t>A 46891-2021</t>
        </is>
      </c>
      <c r="B172" s="1" t="n">
        <v>44446.44587962963</v>
      </c>
      <c r="C172" s="1" t="n">
        <v>45993</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45993</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45993</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27666-2022</t>
        </is>
      </c>
      <c r="B175" s="1" t="n">
        <v>44743.39017361111</v>
      </c>
      <c r="C175" s="1" t="n">
        <v>45993</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19183-2021</t>
        </is>
      </c>
      <c r="B176" s="1" t="n">
        <v>44308.73248842593</v>
      </c>
      <c r="C176" s="1" t="n">
        <v>45993</v>
      </c>
      <c r="D176" t="inlineStr">
        <is>
          <t>ÖSTERGÖTLANDS LÄN</t>
        </is>
      </c>
      <c r="E176" t="inlineStr">
        <is>
          <t>LINKÖPING</t>
        </is>
      </c>
      <c r="F176" t="inlineStr">
        <is>
          <t>Allmännings- och besparingsskogar</t>
        </is>
      </c>
      <c r="G176" t="n">
        <v>4.6</v>
      </c>
      <c r="H176" t="n">
        <v>0</v>
      </c>
      <c r="I176" t="n">
        <v>0</v>
      </c>
      <c r="J176" t="n">
        <v>0</v>
      </c>
      <c r="K176" t="n">
        <v>0</v>
      </c>
      <c r="L176" t="n">
        <v>0</v>
      </c>
      <c r="M176" t="n">
        <v>0</v>
      </c>
      <c r="N176" t="n">
        <v>0</v>
      </c>
      <c r="O176" t="n">
        <v>0</v>
      </c>
      <c r="P176" t="n">
        <v>0</v>
      </c>
      <c r="Q176" t="n">
        <v>0</v>
      </c>
      <c r="R176" s="2" t="inlineStr"/>
    </row>
    <row r="177" ht="15" customHeight="1">
      <c r="A177" t="inlineStr">
        <is>
          <t>A 38130-2021</t>
        </is>
      </c>
      <c r="B177" s="1" t="n">
        <v>44405</v>
      </c>
      <c r="C177" s="1" t="n">
        <v>45993</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13075-2022</t>
        </is>
      </c>
      <c r="B178" s="1" t="n">
        <v>44643</v>
      </c>
      <c r="C178" s="1" t="n">
        <v>45993</v>
      </c>
      <c r="D178" t="inlineStr">
        <is>
          <t>ÖSTERGÖTLANDS LÄN</t>
        </is>
      </c>
      <c r="E178" t="inlineStr">
        <is>
          <t>LINKÖPING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13922-2021</t>
        </is>
      </c>
      <c r="B179" s="1" t="n">
        <v>44277.45946759259</v>
      </c>
      <c r="C179" s="1" t="n">
        <v>45993</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34486-2021</t>
        </is>
      </c>
      <c r="B180" s="1" t="n">
        <v>44382.29295138889</v>
      </c>
      <c r="C180" s="1" t="n">
        <v>45993</v>
      </c>
      <c r="D180" t="inlineStr">
        <is>
          <t>ÖSTERGÖTLANDS LÄN</t>
        </is>
      </c>
      <c r="E180" t="inlineStr">
        <is>
          <t>LINKÖPING</t>
        </is>
      </c>
      <c r="G180" t="n">
        <v>4.4</v>
      </c>
      <c r="H180" t="n">
        <v>0</v>
      </c>
      <c r="I180" t="n">
        <v>0</v>
      </c>
      <c r="J180" t="n">
        <v>0</v>
      </c>
      <c r="K180" t="n">
        <v>0</v>
      </c>
      <c r="L180" t="n">
        <v>0</v>
      </c>
      <c r="M180" t="n">
        <v>0</v>
      </c>
      <c r="N180" t="n">
        <v>0</v>
      </c>
      <c r="O180" t="n">
        <v>0</v>
      </c>
      <c r="P180" t="n">
        <v>0</v>
      </c>
      <c r="Q180" t="n">
        <v>0</v>
      </c>
      <c r="R180" s="2" t="inlineStr"/>
    </row>
    <row r="181" ht="15" customHeight="1">
      <c r="A181" t="inlineStr">
        <is>
          <t>A 23416-2022</t>
        </is>
      </c>
      <c r="B181" s="1" t="n">
        <v>44720.78243055556</v>
      </c>
      <c r="C181" s="1" t="n">
        <v>45993</v>
      </c>
      <c r="D181" t="inlineStr">
        <is>
          <t>ÖSTERGÖTLANDS LÄN</t>
        </is>
      </c>
      <c r="E181" t="inlineStr">
        <is>
          <t>LINKÖPING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1787-2022</t>
        </is>
      </c>
      <c r="B182" s="1" t="n">
        <v>44574</v>
      </c>
      <c r="C182" s="1" t="n">
        <v>45993</v>
      </c>
      <c r="D182" t="inlineStr">
        <is>
          <t>ÖSTERGÖTLANDS LÄN</t>
        </is>
      </c>
      <c r="E182" t="inlineStr">
        <is>
          <t>LINKÖPING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45993</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948-2022</t>
        </is>
      </c>
      <c r="B184" s="1" t="n">
        <v>44571</v>
      </c>
      <c r="C184" s="1" t="n">
        <v>45993</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40527-2022</t>
        </is>
      </c>
      <c r="B185" s="1" t="n">
        <v>44823</v>
      </c>
      <c r="C185" s="1" t="n">
        <v>45993</v>
      </c>
      <c r="D185" t="inlineStr">
        <is>
          <t>ÖSTERGÖTLANDS LÄN</t>
        </is>
      </c>
      <c r="E185" t="inlineStr">
        <is>
          <t>LINKÖPING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45993</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37014-2021</t>
        </is>
      </c>
      <c r="B187" s="1" t="n">
        <v>44393</v>
      </c>
      <c r="C187" s="1" t="n">
        <v>45993</v>
      </c>
      <c r="D187" t="inlineStr">
        <is>
          <t>ÖSTERGÖTLANDS LÄN</t>
        </is>
      </c>
      <c r="E187" t="inlineStr">
        <is>
          <t>LINKÖPING</t>
        </is>
      </c>
      <c r="F187" t="inlineStr">
        <is>
          <t>Allmännings- och besparingsskogar</t>
        </is>
      </c>
      <c r="G187" t="n">
        <v>7.7</v>
      </c>
      <c r="H187" t="n">
        <v>0</v>
      </c>
      <c r="I187" t="n">
        <v>0</v>
      </c>
      <c r="J187" t="n">
        <v>0</v>
      </c>
      <c r="K187" t="n">
        <v>0</v>
      </c>
      <c r="L187" t="n">
        <v>0</v>
      </c>
      <c r="M187" t="n">
        <v>0</v>
      </c>
      <c r="N187" t="n">
        <v>0</v>
      </c>
      <c r="O187" t="n">
        <v>0</v>
      </c>
      <c r="P187" t="n">
        <v>0</v>
      </c>
      <c r="Q187" t="n">
        <v>0</v>
      </c>
      <c r="R187" s="2" t="inlineStr"/>
    </row>
    <row r="188" ht="15" customHeight="1">
      <c r="A188" t="inlineStr">
        <is>
          <t>A 52968-2021</t>
        </is>
      </c>
      <c r="B188" s="1" t="n">
        <v>44467</v>
      </c>
      <c r="C188" s="1" t="n">
        <v>45993</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38134-2021</t>
        </is>
      </c>
      <c r="B189" s="1" t="n">
        <v>44405.3794212963</v>
      </c>
      <c r="C189" s="1" t="n">
        <v>45993</v>
      </c>
      <c r="D189" t="inlineStr">
        <is>
          <t>ÖSTERGÖTLANDS LÄN</t>
        </is>
      </c>
      <c r="E189" t="inlineStr">
        <is>
          <t>LINKÖPING</t>
        </is>
      </c>
      <c r="G189" t="n">
        <v>5.1</v>
      </c>
      <c r="H189" t="n">
        <v>0</v>
      </c>
      <c r="I189" t="n">
        <v>0</v>
      </c>
      <c r="J189" t="n">
        <v>0</v>
      </c>
      <c r="K189" t="n">
        <v>0</v>
      </c>
      <c r="L189" t="n">
        <v>0</v>
      </c>
      <c r="M189" t="n">
        <v>0</v>
      </c>
      <c r="N189" t="n">
        <v>0</v>
      </c>
      <c r="O189" t="n">
        <v>0</v>
      </c>
      <c r="P189" t="n">
        <v>0</v>
      </c>
      <c r="Q189" t="n">
        <v>0</v>
      </c>
      <c r="R189" s="2" t="inlineStr"/>
    </row>
    <row r="190" ht="15" customHeight="1">
      <c r="A190" t="inlineStr">
        <is>
          <t>A 31732-2022</t>
        </is>
      </c>
      <c r="B190" s="1" t="n">
        <v>44776.49267361111</v>
      </c>
      <c r="C190" s="1" t="n">
        <v>45993</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45819-2024</t>
        </is>
      </c>
      <c r="B191" s="1" t="n">
        <v>45579.7454050926</v>
      </c>
      <c r="C191" s="1" t="n">
        <v>45993</v>
      </c>
      <c r="D191" t="inlineStr">
        <is>
          <t>ÖSTERGÖTLANDS LÄN</t>
        </is>
      </c>
      <c r="E191" t="inlineStr">
        <is>
          <t>LINKÖPING</t>
        </is>
      </c>
      <c r="G191" t="n">
        <v>5</v>
      </c>
      <c r="H191" t="n">
        <v>0</v>
      </c>
      <c r="I191" t="n">
        <v>0</v>
      </c>
      <c r="J191" t="n">
        <v>0</v>
      </c>
      <c r="K191" t="n">
        <v>0</v>
      </c>
      <c r="L191" t="n">
        <v>0</v>
      </c>
      <c r="M191" t="n">
        <v>0</v>
      </c>
      <c r="N191" t="n">
        <v>0</v>
      </c>
      <c r="O191" t="n">
        <v>0</v>
      </c>
      <c r="P191" t="n">
        <v>0</v>
      </c>
      <c r="Q191" t="n">
        <v>0</v>
      </c>
      <c r="R191" s="2" t="inlineStr"/>
    </row>
    <row r="192" ht="15" customHeight="1">
      <c r="A192" t="inlineStr">
        <is>
          <t>A 3041-2024</t>
        </is>
      </c>
      <c r="B192" s="1" t="n">
        <v>45316.34875</v>
      </c>
      <c r="C192" s="1" t="n">
        <v>45993</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61302-2021</t>
        </is>
      </c>
      <c r="B193" s="1" t="n">
        <v>44498.63189814815</v>
      </c>
      <c r="C193" s="1" t="n">
        <v>45993</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3530-2024</t>
        </is>
      </c>
      <c r="B194" s="1" t="n">
        <v>45320.54717592592</v>
      </c>
      <c r="C194" s="1" t="n">
        <v>45993</v>
      </c>
      <c r="D194" t="inlineStr">
        <is>
          <t>ÖSTERGÖTLANDS LÄN</t>
        </is>
      </c>
      <c r="E194" t="inlineStr">
        <is>
          <t>LINKÖPING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65395-2021</t>
        </is>
      </c>
      <c r="B195" s="1" t="n">
        <v>44515</v>
      </c>
      <c r="C195" s="1" t="n">
        <v>45993</v>
      </c>
      <c r="D195" t="inlineStr">
        <is>
          <t>ÖSTERGÖTLANDS LÄN</t>
        </is>
      </c>
      <c r="E195" t="inlineStr">
        <is>
          <t>LINKÖPING</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45993</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45993</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48016-2021</t>
        </is>
      </c>
      <c r="B198" s="1" t="n">
        <v>44449</v>
      </c>
      <c r="C198" s="1" t="n">
        <v>45993</v>
      </c>
      <c r="D198" t="inlineStr">
        <is>
          <t>ÖSTERGÖTLANDS LÄN</t>
        </is>
      </c>
      <c r="E198" t="inlineStr">
        <is>
          <t>LINKÖPING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62686-2023</t>
        </is>
      </c>
      <c r="B199" s="1" t="n">
        <v>45271</v>
      </c>
      <c r="C199" s="1" t="n">
        <v>45993</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34162-2022</t>
        </is>
      </c>
      <c r="B200" s="1" t="n">
        <v>44791</v>
      </c>
      <c r="C200" s="1" t="n">
        <v>45993</v>
      </c>
      <c r="D200" t="inlineStr">
        <is>
          <t>ÖSTERGÖTLANDS LÄN</t>
        </is>
      </c>
      <c r="E200" t="inlineStr">
        <is>
          <t>LINKÖPING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61298-2021</t>
        </is>
      </c>
      <c r="B201" s="1" t="n">
        <v>44498.62533564815</v>
      </c>
      <c r="C201" s="1" t="n">
        <v>45993</v>
      </c>
      <c r="D201" t="inlineStr">
        <is>
          <t>ÖSTERGÖTLANDS LÄN</t>
        </is>
      </c>
      <c r="E201" t="inlineStr">
        <is>
          <t>LINKÖPING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61333-2021</t>
        </is>
      </c>
      <c r="B202" s="1" t="n">
        <v>44498.6764699074</v>
      </c>
      <c r="C202" s="1" t="n">
        <v>45993</v>
      </c>
      <c r="D202" t="inlineStr">
        <is>
          <t>ÖSTERGÖTLANDS LÄN</t>
        </is>
      </c>
      <c r="E202" t="inlineStr">
        <is>
          <t>LINKÖPING</t>
        </is>
      </c>
      <c r="G202" t="n">
        <v>7.5</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45993</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55345-2021</t>
        </is>
      </c>
      <c r="B204" s="1" t="n">
        <v>44475</v>
      </c>
      <c r="C204" s="1" t="n">
        <v>45993</v>
      </c>
      <c r="D204" t="inlineStr">
        <is>
          <t>ÖSTERGÖTLANDS LÄN</t>
        </is>
      </c>
      <c r="E204" t="inlineStr">
        <is>
          <t>LINKÖPING</t>
        </is>
      </c>
      <c r="G204" t="n">
        <v>5.7</v>
      </c>
      <c r="H204" t="n">
        <v>0</v>
      </c>
      <c r="I204" t="n">
        <v>0</v>
      </c>
      <c r="J204" t="n">
        <v>0</v>
      </c>
      <c r="K204" t="n">
        <v>0</v>
      </c>
      <c r="L204" t="n">
        <v>0</v>
      </c>
      <c r="M204" t="n">
        <v>0</v>
      </c>
      <c r="N204" t="n">
        <v>0</v>
      </c>
      <c r="O204" t="n">
        <v>0</v>
      </c>
      <c r="P204" t="n">
        <v>0</v>
      </c>
      <c r="Q204" t="n">
        <v>0</v>
      </c>
      <c r="R204" s="2" t="inlineStr"/>
    </row>
    <row r="205" ht="15" customHeight="1">
      <c r="A205" t="inlineStr">
        <is>
          <t>A 12412-2022</t>
        </is>
      </c>
      <c r="B205" s="1" t="n">
        <v>44638</v>
      </c>
      <c r="C205" s="1" t="n">
        <v>45993</v>
      </c>
      <c r="D205" t="inlineStr">
        <is>
          <t>ÖSTERGÖTLANDS LÄN</t>
        </is>
      </c>
      <c r="E205" t="inlineStr">
        <is>
          <t>LINKÖPING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63489-2023</t>
        </is>
      </c>
      <c r="B206" s="1" t="n">
        <v>45274.66761574074</v>
      </c>
      <c r="C206" s="1" t="n">
        <v>45993</v>
      </c>
      <c r="D206" t="inlineStr">
        <is>
          <t>ÖSTERGÖTLANDS LÄN</t>
        </is>
      </c>
      <c r="E206" t="inlineStr">
        <is>
          <t>LINKÖPING</t>
        </is>
      </c>
      <c r="G206" t="n">
        <v>2.3</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45993</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45993</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30858-2022</t>
        </is>
      </c>
      <c r="B209" s="1" t="n">
        <v>44767</v>
      </c>
      <c r="C209" s="1" t="n">
        <v>45993</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70-2024</t>
        </is>
      </c>
      <c r="B210" s="1" t="n">
        <v>45293</v>
      </c>
      <c r="C210" s="1" t="n">
        <v>45993</v>
      </c>
      <c r="D210" t="inlineStr">
        <is>
          <t>ÖSTERGÖTLANDS LÄN</t>
        </is>
      </c>
      <c r="E210" t="inlineStr">
        <is>
          <t>LINKÖPING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23175-2022</t>
        </is>
      </c>
      <c r="B211" s="1" t="n">
        <v>44719</v>
      </c>
      <c r="C211" s="1" t="n">
        <v>45993</v>
      </c>
      <c r="D211" t="inlineStr">
        <is>
          <t>ÖSTERGÖTLANDS LÄN</t>
        </is>
      </c>
      <c r="E211" t="inlineStr">
        <is>
          <t>LINKÖPING</t>
        </is>
      </c>
      <c r="F211" t="inlineStr">
        <is>
          <t>Allmännings- och besparingsskogar</t>
        </is>
      </c>
      <c r="G211" t="n">
        <v>1.4</v>
      </c>
      <c r="H211" t="n">
        <v>0</v>
      </c>
      <c r="I211" t="n">
        <v>0</v>
      </c>
      <c r="J211" t="n">
        <v>0</v>
      </c>
      <c r="K211" t="n">
        <v>0</v>
      </c>
      <c r="L211" t="n">
        <v>0</v>
      </c>
      <c r="M211" t="n">
        <v>0</v>
      </c>
      <c r="N211" t="n">
        <v>0</v>
      </c>
      <c r="O211" t="n">
        <v>0</v>
      </c>
      <c r="P211" t="n">
        <v>0</v>
      </c>
      <c r="Q211" t="n">
        <v>0</v>
      </c>
      <c r="R211" s="2" t="inlineStr"/>
    </row>
    <row r="212" ht="15" customHeight="1">
      <c r="A212" t="inlineStr">
        <is>
          <t>A 6782-2024</t>
        </is>
      </c>
      <c r="B212" s="1" t="n">
        <v>45342</v>
      </c>
      <c r="C212" s="1" t="n">
        <v>45993</v>
      </c>
      <c r="D212" t="inlineStr">
        <is>
          <t>ÖSTERGÖTLANDS LÄN</t>
        </is>
      </c>
      <c r="E212" t="inlineStr">
        <is>
          <t>LINKÖPING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617-2024</t>
        </is>
      </c>
      <c r="B213" s="1" t="n">
        <v>45299.66028935185</v>
      </c>
      <c r="C213" s="1" t="n">
        <v>45993</v>
      </c>
      <c r="D213" t="inlineStr">
        <is>
          <t>ÖSTERGÖTLANDS LÄN</t>
        </is>
      </c>
      <c r="E213" t="inlineStr">
        <is>
          <t>LINKÖPING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670-2024</t>
        </is>
      </c>
      <c r="B214" s="1" t="n">
        <v>45300.3408912037</v>
      </c>
      <c r="C214" s="1" t="n">
        <v>45993</v>
      </c>
      <c r="D214" t="inlineStr">
        <is>
          <t>ÖSTERGÖTLANDS LÄN</t>
        </is>
      </c>
      <c r="E214" t="inlineStr">
        <is>
          <t>LINKÖPING</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52125-2022</t>
        </is>
      </c>
      <c r="B215" s="1" t="n">
        <v>44873</v>
      </c>
      <c r="C215" s="1" t="n">
        <v>45993</v>
      </c>
      <c r="D215" t="inlineStr">
        <is>
          <t>ÖSTERGÖTLANDS LÄN</t>
        </is>
      </c>
      <c r="E215" t="inlineStr">
        <is>
          <t>LINKÖPING</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61532-2021</t>
        </is>
      </c>
      <c r="B216" s="1" t="n">
        <v>44501</v>
      </c>
      <c r="C216" s="1" t="n">
        <v>45993</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10407-2025</t>
        </is>
      </c>
      <c r="B217" s="1" t="n">
        <v>45720.62863425926</v>
      </c>
      <c r="C217" s="1" t="n">
        <v>45993</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3374-2023</t>
        </is>
      </c>
      <c r="B218" s="1" t="n">
        <v>44949</v>
      </c>
      <c r="C218" s="1" t="n">
        <v>45993</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224-2024</t>
        </is>
      </c>
      <c r="B219" s="1" t="n">
        <v>45294</v>
      </c>
      <c r="C219" s="1" t="n">
        <v>45993</v>
      </c>
      <c r="D219" t="inlineStr">
        <is>
          <t>ÖSTERGÖTLANDS LÄN</t>
        </is>
      </c>
      <c r="E219" t="inlineStr">
        <is>
          <t>LINKÖPING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6726-2024</t>
        </is>
      </c>
      <c r="B220" s="1" t="n">
        <v>45341</v>
      </c>
      <c r="C220" s="1" t="n">
        <v>45993</v>
      </c>
      <c r="D220" t="inlineStr">
        <is>
          <t>ÖSTERGÖTLANDS LÄN</t>
        </is>
      </c>
      <c r="E220" t="inlineStr">
        <is>
          <t>LINKÖPING</t>
        </is>
      </c>
      <c r="G220" t="n">
        <v>2.7</v>
      </c>
      <c r="H220" t="n">
        <v>0</v>
      </c>
      <c r="I220" t="n">
        <v>0</v>
      </c>
      <c r="J220" t="n">
        <v>0</v>
      </c>
      <c r="K220" t="n">
        <v>0</v>
      </c>
      <c r="L220" t="n">
        <v>0</v>
      </c>
      <c r="M220" t="n">
        <v>0</v>
      </c>
      <c r="N220" t="n">
        <v>0</v>
      </c>
      <c r="O220" t="n">
        <v>0</v>
      </c>
      <c r="P220" t="n">
        <v>0</v>
      </c>
      <c r="Q220" t="n">
        <v>0</v>
      </c>
      <c r="R220" s="2" t="inlineStr"/>
    </row>
    <row r="221" ht="15" customHeight="1">
      <c r="A221" t="inlineStr">
        <is>
          <t>A 1084-2023</t>
        </is>
      </c>
      <c r="B221" s="1" t="n">
        <v>44929</v>
      </c>
      <c r="C221" s="1" t="n">
        <v>45993</v>
      </c>
      <c r="D221" t="inlineStr">
        <is>
          <t>ÖSTERGÖTLANDS LÄN</t>
        </is>
      </c>
      <c r="E221" t="inlineStr">
        <is>
          <t>LINKÖPING</t>
        </is>
      </c>
      <c r="G221" t="n">
        <v>10.4</v>
      </c>
      <c r="H221" t="n">
        <v>0</v>
      </c>
      <c r="I221" t="n">
        <v>0</v>
      </c>
      <c r="J221" t="n">
        <v>0</v>
      </c>
      <c r="K221" t="n">
        <v>0</v>
      </c>
      <c r="L221" t="n">
        <v>0</v>
      </c>
      <c r="M221" t="n">
        <v>0</v>
      </c>
      <c r="N221" t="n">
        <v>0</v>
      </c>
      <c r="O221" t="n">
        <v>0</v>
      </c>
      <c r="P221" t="n">
        <v>0</v>
      </c>
      <c r="Q221" t="n">
        <v>0</v>
      </c>
      <c r="R221" s="2" t="inlineStr"/>
    </row>
    <row r="222" ht="15" customHeight="1">
      <c r="A222" t="inlineStr">
        <is>
          <t>A 39021-2021</t>
        </is>
      </c>
      <c r="B222" s="1" t="n">
        <v>44412</v>
      </c>
      <c r="C222" s="1" t="n">
        <v>45993</v>
      </c>
      <c r="D222" t="inlineStr">
        <is>
          <t>ÖSTERGÖTLANDS LÄN</t>
        </is>
      </c>
      <c r="E222" t="inlineStr">
        <is>
          <t>LINKÖPING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29859-2024</t>
        </is>
      </c>
      <c r="B223" s="1" t="n">
        <v>45485.6846412037</v>
      </c>
      <c r="C223" s="1" t="n">
        <v>45993</v>
      </c>
      <c r="D223" t="inlineStr">
        <is>
          <t>ÖSTERGÖTLANDS LÄN</t>
        </is>
      </c>
      <c r="E223" t="inlineStr">
        <is>
          <t>LINKÖPING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51571-2024</t>
        </is>
      </c>
      <c r="B224" s="1" t="n">
        <v>45604</v>
      </c>
      <c r="C224" s="1" t="n">
        <v>45993</v>
      </c>
      <c r="D224" t="inlineStr">
        <is>
          <t>ÖSTERGÖTLANDS LÄN</t>
        </is>
      </c>
      <c r="E224" t="inlineStr">
        <is>
          <t>LINKÖPING</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223-2024</t>
        </is>
      </c>
      <c r="B225" s="1" t="n">
        <v>45294.72739583333</v>
      </c>
      <c r="C225" s="1" t="n">
        <v>45993</v>
      </c>
      <c r="D225" t="inlineStr">
        <is>
          <t>ÖSTERGÖTLANDS LÄN</t>
        </is>
      </c>
      <c r="E225" t="inlineStr">
        <is>
          <t>LINKÖPING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227-2024</t>
        </is>
      </c>
      <c r="B226" s="1" t="n">
        <v>45294.73603009259</v>
      </c>
      <c r="C226" s="1" t="n">
        <v>45993</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45993</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53814-2023</t>
        </is>
      </c>
      <c r="B228" s="1" t="n">
        <v>45231</v>
      </c>
      <c r="C228" s="1" t="n">
        <v>45993</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58266-2021</t>
        </is>
      </c>
      <c r="B229" s="1" t="n">
        <v>44487</v>
      </c>
      <c r="C229" s="1" t="n">
        <v>45993</v>
      </c>
      <c r="D229" t="inlineStr">
        <is>
          <t>ÖSTERGÖTLANDS LÄN</t>
        </is>
      </c>
      <c r="E229" t="inlineStr">
        <is>
          <t>LINKÖPING</t>
        </is>
      </c>
      <c r="F229" t="inlineStr">
        <is>
          <t>Övriga Aktiebolag</t>
        </is>
      </c>
      <c r="G229" t="n">
        <v>3.2</v>
      </c>
      <c r="H229" t="n">
        <v>0</v>
      </c>
      <c r="I229" t="n">
        <v>0</v>
      </c>
      <c r="J229" t="n">
        <v>0</v>
      </c>
      <c r="K229" t="n">
        <v>0</v>
      </c>
      <c r="L229" t="n">
        <v>0</v>
      </c>
      <c r="M229" t="n">
        <v>0</v>
      </c>
      <c r="N229" t="n">
        <v>0</v>
      </c>
      <c r="O229" t="n">
        <v>0</v>
      </c>
      <c r="P229" t="n">
        <v>0</v>
      </c>
      <c r="Q229" t="n">
        <v>0</v>
      </c>
      <c r="R229" s="2" t="inlineStr"/>
    </row>
    <row r="230" ht="15" customHeight="1">
      <c r="A230" t="inlineStr">
        <is>
          <t>A 28447-2021</t>
        </is>
      </c>
      <c r="B230" s="1" t="n">
        <v>44356</v>
      </c>
      <c r="C230" s="1" t="n">
        <v>45993</v>
      </c>
      <c r="D230" t="inlineStr">
        <is>
          <t>ÖSTERGÖTLANDS LÄN</t>
        </is>
      </c>
      <c r="E230" t="inlineStr">
        <is>
          <t>LINKÖPING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45821-2024</t>
        </is>
      </c>
      <c r="B231" s="1" t="n">
        <v>45579.75803240741</v>
      </c>
      <c r="C231" s="1" t="n">
        <v>45993</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51484-2023</t>
        </is>
      </c>
      <c r="B232" s="1" t="n">
        <v>45222</v>
      </c>
      <c r="C232" s="1" t="n">
        <v>45993</v>
      </c>
      <c r="D232" t="inlineStr">
        <is>
          <t>ÖSTERGÖTLANDS LÄN</t>
        </is>
      </c>
      <c r="E232" t="inlineStr">
        <is>
          <t>LINKÖPING</t>
        </is>
      </c>
      <c r="F232" t="inlineStr">
        <is>
          <t>Övriga Aktiebolag</t>
        </is>
      </c>
      <c r="G232" t="n">
        <v>7.7</v>
      </c>
      <c r="H232" t="n">
        <v>0</v>
      </c>
      <c r="I232" t="n">
        <v>0</v>
      </c>
      <c r="J232" t="n">
        <v>0</v>
      </c>
      <c r="K232" t="n">
        <v>0</v>
      </c>
      <c r="L232" t="n">
        <v>0</v>
      </c>
      <c r="M232" t="n">
        <v>0</v>
      </c>
      <c r="N232" t="n">
        <v>0</v>
      </c>
      <c r="O232" t="n">
        <v>0</v>
      </c>
      <c r="P232" t="n">
        <v>0</v>
      </c>
      <c r="Q232" t="n">
        <v>0</v>
      </c>
      <c r="R232" s="2" t="inlineStr"/>
    </row>
    <row r="233" ht="15" customHeight="1">
      <c r="A233" t="inlineStr">
        <is>
          <t>A 60004-2022</t>
        </is>
      </c>
      <c r="B233" s="1" t="n">
        <v>44909.47206018519</v>
      </c>
      <c r="C233" s="1" t="n">
        <v>45993</v>
      </c>
      <c r="D233" t="inlineStr">
        <is>
          <t>ÖSTERGÖTLANDS LÄN</t>
        </is>
      </c>
      <c r="E233" t="inlineStr">
        <is>
          <t>LINKÖPING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56917-2022</t>
        </is>
      </c>
      <c r="B234" s="1" t="n">
        <v>44894</v>
      </c>
      <c r="C234" s="1" t="n">
        <v>45993</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52796-2023</t>
        </is>
      </c>
      <c r="B235" s="1" t="n">
        <v>45219</v>
      </c>
      <c r="C235" s="1" t="n">
        <v>45993</v>
      </c>
      <c r="D235" t="inlineStr">
        <is>
          <t>ÖSTERGÖTLANDS LÄN</t>
        </is>
      </c>
      <c r="E235" t="inlineStr">
        <is>
          <t>LINKÖPING</t>
        </is>
      </c>
      <c r="F235" t="inlineStr">
        <is>
          <t>Övriga statliga verk och myndigheter</t>
        </is>
      </c>
      <c r="G235" t="n">
        <v>3.9</v>
      </c>
      <c r="H235" t="n">
        <v>0</v>
      </c>
      <c r="I235" t="n">
        <v>0</v>
      </c>
      <c r="J235" t="n">
        <v>0</v>
      </c>
      <c r="K235" t="n">
        <v>0</v>
      </c>
      <c r="L235" t="n">
        <v>0</v>
      </c>
      <c r="M235" t="n">
        <v>0</v>
      </c>
      <c r="N235" t="n">
        <v>0</v>
      </c>
      <c r="O235" t="n">
        <v>0</v>
      </c>
      <c r="P235" t="n">
        <v>0</v>
      </c>
      <c r="Q235" t="n">
        <v>0</v>
      </c>
      <c r="R235" s="2" t="inlineStr"/>
    </row>
    <row r="236" ht="15" customHeight="1">
      <c r="A236" t="inlineStr">
        <is>
          <t>A 50743-2023</t>
        </is>
      </c>
      <c r="B236" s="1" t="n">
        <v>45217</v>
      </c>
      <c r="C236" s="1" t="n">
        <v>45993</v>
      </c>
      <c r="D236" t="inlineStr">
        <is>
          <t>ÖSTERGÖTLANDS LÄN</t>
        </is>
      </c>
      <c r="E236" t="inlineStr">
        <is>
          <t>LINKÖPING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61936-2023</t>
        </is>
      </c>
      <c r="B237" s="1" t="n">
        <v>45266.54534722222</v>
      </c>
      <c r="C237" s="1" t="n">
        <v>45993</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1263-2024</t>
        </is>
      </c>
      <c r="B238" s="1" t="n">
        <v>45302</v>
      </c>
      <c r="C238" s="1" t="n">
        <v>45993</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45771-2023</t>
        </is>
      </c>
      <c r="B239" s="1" t="n">
        <v>45195.4384375</v>
      </c>
      <c r="C239" s="1" t="n">
        <v>45993</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24464-2023</t>
        </is>
      </c>
      <c r="B240" s="1" t="n">
        <v>45082.58068287037</v>
      </c>
      <c r="C240" s="1" t="n">
        <v>45993</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1265-2023</t>
        </is>
      </c>
      <c r="B241" s="1" t="n">
        <v>44936</v>
      </c>
      <c r="C241" s="1" t="n">
        <v>45993</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1362-2023</t>
        </is>
      </c>
      <c r="B242" s="1" t="n">
        <v>44931</v>
      </c>
      <c r="C242" s="1" t="n">
        <v>45993</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54034-2022</t>
        </is>
      </c>
      <c r="B243" s="1" t="n">
        <v>44881</v>
      </c>
      <c r="C243" s="1" t="n">
        <v>45993</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63554-2023</t>
        </is>
      </c>
      <c r="B244" s="1" t="n">
        <v>45275</v>
      </c>
      <c r="C244" s="1" t="n">
        <v>45993</v>
      </c>
      <c r="D244" t="inlineStr">
        <is>
          <t>ÖSTERGÖTLANDS LÄN</t>
        </is>
      </c>
      <c r="E244" t="inlineStr">
        <is>
          <t>LINKÖPING</t>
        </is>
      </c>
      <c r="G244" t="n">
        <v>4.3</v>
      </c>
      <c r="H244" t="n">
        <v>0</v>
      </c>
      <c r="I244" t="n">
        <v>0</v>
      </c>
      <c r="J244" t="n">
        <v>0</v>
      </c>
      <c r="K244" t="n">
        <v>0</v>
      </c>
      <c r="L244" t="n">
        <v>0</v>
      </c>
      <c r="M244" t="n">
        <v>0</v>
      </c>
      <c r="N244" t="n">
        <v>0</v>
      </c>
      <c r="O244" t="n">
        <v>0</v>
      </c>
      <c r="P244" t="n">
        <v>0</v>
      </c>
      <c r="Q244" t="n">
        <v>0</v>
      </c>
      <c r="R244" s="2" t="inlineStr"/>
    </row>
    <row r="245" ht="15" customHeight="1">
      <c r="A245" t="inlineStr">
        <is>
          <t>A 55493-2021</t>
        </is>
      </c>
      <c r="B245" s="1" t="n">
        <v>44475.61988425926</v>
      </c>
      <c r="C245" s="1" t="n">
        <v>45993</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48389-2024</t>
        </is>
      </c>
      <c r="B246" s="1" t="n">
        <v>45590.59991898148</v>
      </c>
      <c r="C246" s="1" t="n">
        <v>45993</v>
      </c>
      <c r="D246" t="inlineStr">
        <is>
          <t>ÖSTERGÖTLANDS LÄN</t>
        </is>
      </c>
      <c r="E246" t="inlineStr">
        <is>
          <t>LINKÖPING</t>
        </is>
      </c>
      <c r="G246" t="n">
        <v>2.6</v>
      </c>
      <c r="H246" t="n">
        <v>0</v>
      </c>
      <c r="I246" t="n">
        <v>0</v>
      </c>
      <c r="J246" t="n">
        <v>0</v>
      </c>
      <c r="K246" t="n">
        <v>0</v>
      </c>
      <c r="L246" t="n">
        <v>0</v>
      </c>
      <c r="M246" t="n">
        <v>0</v>
      </c>
      <c r="N246" t="n">
        <v>0</v>
      </c>
      <c r="O246" t="n">
        <v>0</v>
      </c>
      <c r="P246" t="n">
        <v>0</v>
      </c>
      <c r="Q246" t="n">
        <v>0</v>
      </c>
      <c r="R246" s="2" t="inlineStr"/>
    </row>
    <row r="247" ht="15" customHeight="1">
      <c r="A247" t="inlineStr">
        <is>
          <t>A 61281-2021</t>
        </is>
      </c>
      <c r="B247" s="1" t="n">
        <v>44498.60736111111</v>
      </c>
      <c r="C247" s="1" t="n">
        <v>45993</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30111-2024</t>
        </is>
      </c>
      <c r="B248" s="1" t="n">
        <v>45489.46947916667</v>
      </c>
      <c r="C248" s="1" t="n">
        <v>45993</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30119-2024</t>
        </is>
      </c>
      <c r="B249" s="1" t="n">
        <v>45489</v>
      </c>
      <c r="C249" s="1" t="n">
        <v>45993</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6054-2022</t>
        </is>
      </c>
      <c r="B250" s="1" t="n">
        <v>44599.53623842593</v>
      </c>
      <c r="C250" s="1" t="n">
        <v>45993</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6206-2024</t>
        </is>
      </c>
      <c r="B251" s="1" t="n">
        <v>45337.5977662037</v>
      </c>
      <c r="C251" s="1" t="n">
        <v>45993</v>
      </c>
      <c r="D251" t="inlineStr">
        <is>
          <t>ÖSTERGÖTLANDS LÄN</t>
        </is>
      </c>
      <c r="E251" t="inlineStr">
        <is>
          <t>LINKÖPING</t>
        </is>
      </c>
      <c r="G251" t="n">
        <v>2</v>
      </c>
      <c r="H251" t="n">
        <v>0</v>
      </c>
      <c r="I251" t="n">
        <v>0</v>
      </c>
      <c r="J251" t="n">
        <v>0</v>
      </c>
      <c r="K251" t="n">
        <v>0</v>
      </c>
      <c r="L251" t="n">
        <v>0</v>
      </c>
      <c r="M251" t="n">
        <v>0</v>
      </c>
      <c r="N251" t="n">
        <v>0</v>
      </c>
      <c r="O251" t="n">
        <v>0</v>
      </c>
      <c r="P251" t="n">
        <v>0</v>
      </c>
      <c r="Q251" t="n">
        <v>0</v>
      </c>
      <c r="R251" s="2" t="inlineStr"/>
    </row>
    <row r="252" ht="15" customHeight="1">
      <c r="A252" t="inlineStr">
        <is>
          <t>A 9434-2024</t>
        </is>
      </c>
      <c r="B252" s="1" t="n">
        <v>45359</v>
      </c>
      <c r="C252" s="1" t="n">
        <v>45993</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25119-2023</t>
        </is>
      </c>
      <c r="B253" s="1" t="n">
        <v>45086.42326388889</v>
      </c>
      <c r="C253" s="1" t="n">
        <v>45993</v>
      </c>
      <c r="D253" t="inlineStr">
        <is>
          <t>ÖSTERGÖTLANDS LÄN</t>
        </is>
      </c>
      <c r="E253" t="inlineStr">
        <is>
          <t>LINKÖPING</t>
        </is>
      </c>
      <c r="G253" t="n">
        <v>3.2</v>
      </c>
      <c r="H253" t="n">
        <v>0</v>
      </c>
      <c r="I253" t="n">
        <v>0</v>
      </c>
      <c r="J253" t="n">
        <v>0</v>
      </c>
      <c r="K253" t="n">
        <v>0</v>
      </c>
      <c r="L253" t="n">
        <v>0</v>
      </c>
      <c r="M253" t="n">
        <v>0</v>
      </c>
      <c r="N253" t="n">
        <v>0</v>
      </c>
      <c r="O253" t="n">
        <v>0</v>
      </c>
      <c r="P253" t="n">
        <v>0</v>
      </c>
      <c r="Q253" t="n">
        <v>0</v>
      </c>
      <c r="R253" s="2" t="inlineStr"/>
    </row>
    <row r="254" ht="15" customHeight="1">
      <c r="A254" t="inlineStr">
        <is>
          <t>A 63678-2023</t>
        </is>
      </c>
      <c r="B254" s="1" t="n">
        <v>45275.64769675926</v>
      </c>
      <c r="C254" s="1" t="n">
        <v>45993</v>
      </c>
      <c r="D254" t="inlineStr">
        <is>
          <t>ÖSTERGÖTLANDS LÄN</t>
        </is>
      </c>
      <c r="E254" t="inlineStr">
        <is>
          <t>LINKÖPING</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63688-2023</t>
        </is>
      </c>
      <c r="B255" s="1" t="n">
        <v>45275</v>
      </c>
      <c r="C255" s="1" t="n">
        <v>45993</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63691-2023</t>
        </is>
      </c>
      <c r="B256" s="1" t="n">
        <v>45275</v>
      </c>
      <c r="C256" s="1" t="n">
        <v>45993</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34557-2022</t>
        </is>
      </c>
      <c r="B257" s="1" t="n">
        <v>44794.57074074074</v>
      </c>
      <c r="C257" s="1" t="n">
        <v>45993</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4456-2024</t>
        </is>
      </c>
      <c r="B258" s="1" t="n">
        <v>45327.52847222222</v>
      </c>
      <c r="C258" s="1" t="n">
        <v>45993</v>
      </c>
      <c r="D258" t="inlineStr">
        <is>
          <t>ÖSTERGÖTLANDS LÄN</t>
        </is>
      </c>
      <c r="E258" t="inlineStr">
        <is>
          <t>LINKÖPING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17157-2024</t>
        </is>
      </c>
      <c r="B259" s="1" t="n">
        <v>45412.70567129629</v>
      </c>
      <c r="C259" s="1" t="n">
        <v>45993</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58114-2021</t>
        </is>
      </c>
      <c r="B260" s="1" t="n">
        <v>44487</v>
      </c>
      <c r="C260" s="1" t="n">
        <v>45993</v>
      </c>
      <c r="D260" t="inlineStr">
        <is>
          <t>ÖSTERGÖTLANDS LÄN</t>
        </is>
      </c>
      <c r="E260" t="inlineStr">
        <is>
          <t>LINKÖPING</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15714-2024</t>
        </is>
      </c>
      <c r="B261" s="1" t="n">
        <v>45404.48288194444</v>
      </c>
      <c r="C261" s="1" t="n">
        <v>45993</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30481-2023</t>
        </is>
      </c>
      <c r="B262" s="1" t="n">
        <v>45111</v>
      </c>
      <c r="C262" s="1" t="n">
        <v>45993</v>
      </c>
      <c r="D262" t="inlineStr">
        <is>
          <t>ÖSTERGÖTLANDS LÄN</t>
        </is>
      </c>
      <c r="E262" t="inlineStr">
        <is>
          <t>LINKÖPING</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74160-2021</t>
        </is>
      </c>
      <c r="B263" s="1" t="n">
        <v>44558</v>
      </c>
      <c r="C263" s="1" t="n">
        <v>45993</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13689-2025</t>
        </is>
      </c>
      <c r="B264" s="1" t="n">
        <v>45737.31590277778</v>
      </c>
      <c r="C264" s="1" t="n">
        <v>45993</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13696-2025</t>
        </is>
      </c>
      <c r="B265" s="1" t="n">
        <v>45737.32273148148</v>
      </c>
      <c r="C265" s="1" t="n">
        <v>45993</v>
      </c>
      <c r="D265" t="inlineStr">
        <is>
          <t>ÖSTERGÖTLANDS LÄN</t>
        </is>
      </c>
      <c r="E265" t="inlineStr">
        <is>
          <t>LINKÖPING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52892-2024</t>
        </is>
      </c>
      <c r="B266" s="1" t="n">
        <v>45610</v>
      </c>
      <c r="C266" s="1" t="n">
        <v>45993</v>
      </c>
      <c r="D266" t="inlineStr">
        <is>
          <t>ÖSTERGÖTLANDS LÄN</t>
        </is>
      </c>
      <c r="E266" t="inlineStr">
        <is>
          <t>LINKÖPING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63559-2023</t>
        </is>
      </c>
      <c r="B267" s="1" t="n">
        <v>45275.35924768518</v>
      </c>
      <c r="C267" s="1" t="n">
        <v>45993</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12428-2024</t>
        </is>
      </c>
      <c r="B268" s="1" t="n">
        <v>45379</v>
      </c>
      <c r="C268" s="1" t="n">
        <v>45993</v>
      </c>
      <c r="D268" t="inlineStr">
        <is>
          <t>ÖSTERGÖTLANDS LÄN</t>
        </is>
      </c>
      <c r="E268" t="inlineStr">
        <is>
          <t>LINKÖPING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6369-2023</t>
        </is>
      </c>
      <c r="B269" s="1" t="n">
        <v>44965.61106481482</v>
      </c>
      <c r="C269" s="1" t="n">
        <v>45993</v>
      </c>
      <c r="D269" t="inlineStr">
        <is>
          <t>ÖSTERGÖTLANDS LÄN</t>
        </is>
      </c>
      <c r="E269" t="inlineStr">
        <is>
          <t>LINKÖPING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23491-2024</t>
        </is>
      </c>
      <c r="B270" s="1" t="n">
        <v>45453</v>
      </c>
      <c r="C270" s="1" t="n">
        <v>45993</v>
      </c>
      <c r="D270" t="inlineStr">
        <is>
          <t>ÖSTERGÖTLANDS LÄN</t>
        </is>
      </c>
      <c r="E270" t="inlineStr">
        <is>
          <t>LINKÖPING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3008-2023</t>
        </is>
      </c>
      <c r="B271" s="1" t="n">
        <v>44945.79784722222</v>
      </c>
      <c r="C271" s="1" t="n">
        <v>45993</v>
      </c>
      <c r="D271" t="inlineStr">
        <is>
          <t>ÖSTERGÖTLANDS LÄN</t>
        </is>
      </c>
      <c r="E271" t="inlineStr">
        <is>
          <t>LINKÖPING</t>
        </is>
      </c>
      <c r="G271" t="n">
        <v>19.3</v>
      </c>
      <c r="H271" t="n">
        <v>0</v>
      </c>
      <c r="I271" t="n">
        <v>0</v>
      </c>
      <c r="J271" t="n">
        <v>0</v>
      </c>
      <c r="K271" t="n">
        <v>0</v>
      </c>
      <c r="L271" t="n">
        <v>0</v>
      </c>
      <c r="M271" t="n">
        <v>0</v>
      </c>
      <c r="N271" t="n">
        <v>0</v>
      </c>
      <c r="O271" t="n">
        <v>0</v>
      </c>
      <c r="P271" t="n">
        <v>0</v>
      </c>
      <c r="Q271" t="n">
        <v>0</v>
      </c>
      <c r="R271" s="2" t="inlineStr"/>
    </row>
    <row r="272" ht="15" customHeight="1">
      <c r="A272" t="inlineStr">
        <is>
          <t>A 29309-2024</t>
        </is>
      </c>
      <c r="B272" s="1" t="n">
        <v>45483</v>
      </c>
      <c r="C272" s="1" t="n">
        <v>45993</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29411-2023</t>
        </is>
      </c>
      <c r="B273" s="1" t="n">
        <v>45106.46225694445</v>
      </c>
      <c r="C273" s="1" t="n">
        <v>45993</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29412-2023</t>
        </is>
      </c>
      <c r="B274" s="1" t="n">
        <v>45106.46359953703</v>
      </c>
      <c r="C274" s="1" t="n">
        <v>45993</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29413-2023</t>
        </is>
      </c>
      <c r="B275" s="1" t="n">
        <v>45106.46465277778</v>
      </c>
      <c r="C275" s="1" t="n">
        <v>45993</v>
      </c>
      <c r="D275" t="inlineStr">
        <is>
          <t>ÖSTERGÖTLANDS LÄN</t>
        </is>
      </c>
      <c r="E275" t="inlineStr">
        <is>
          <t>LINKÖPING</t>
        </is>
      </c>
      <c r="G275" t="n">
        <v>8</v>
      </c>
      <c r="H275" t="n">
        <v>0</v>
      </c>
      <c r="I275" t="n">
        <v>0</v>
      </c>
      <c r="J275" t="n">
        <v>0</v>
      </c>
      <c r="K275" t="n">
        <v>0</v>
      </c>
      <c r="L275" t="n">
        <v>0</v>
      </c>
      <c r="M275" t="n">
        <v>0</v>
      </c>
      <c r="N275" t="n">
        <v>0</v>
      </c>
      <c r="O275" t="n">
        <v>0</v>
      </c>
      <c r="P275" t="n">
        <v>0</v>
      </c>
      <c r="Q275" t="n">
        <v>0</v>
      </c>
      <c r="R275" s="2" t="inlineStr"/>
    </row>
    <row r="276" ht="15" customHeight="1">
      <c r="A276" t="inlineStr">
        <is>
          <t>A 24151-2024</t>
        </is>
      </c>
      <c r="B276" s="1" t="n">
        <v>45456.67717592593</v>
      </c>
      <c r="C276" s="1" t="n">
        <v>45993</v>
      </c>
      <c r="D276" t="inlineStr">
        <is>
          <t>ÖSTERGÖTLANDS LÄN</t>
        </is>
      </c>
      <c r="E276" t="inlineStr">
        <is>
          <t>LINKÖPING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55736-2022</t>
        </is>
      </c>
      <c r="B277" s="1" t="n">
        <v>44888</v>
      </c>
      <c r="C277" s="1" t="n">
        <v>45993</v>
      </c>
      <c r="D277" t="inlineStr">
        <is>
          <t>ÖSTERGÖTLANDS LÄN</t>
        </is>
      </c>
      <c r="E277" t="inlineStr">
        <is>
          <t>LINKÖPING</t>
        </is>
      </c>
      <c r="G277" t="n">
        <v>5.5</v>
      </c>
      <c r="H277" t="n">
        <v>0</v>
      </c>
      <c r="I277" t="n">
        <v>0</v>
      </c>
      <c r="J277" t="n">
        <v>0</v>
      </c>
      <c r="K277" t="n">
        <v>0</v>
      </c>
      <c r="L277" t="n">
        <v>0</v>
      </c>
      <c r="M277" t="n">
        <v>0</v>
      </c>
      <c r="N277" t="n">
        <v>0</v>
      </c>
      <c r="O277" t="n">
        <v>0</v>
      </c>
      <c r="P277" t="n">
        <v>0</v>
      </c>
      <c r="Q277" t="n">
        <v>0</v>
      </c>
      <c r="R277" s="2" t="inlineStr"/>
    </row>
    <row r="278" ht="15" customHeight="1">
      <c r="A278" t="inlineStr">
        <is>
          <t>A 46225-2021</t>
        </is>
      </c>
      <c r="B278" s="1" t="n">
        <v>44442</v>
      </c>
      <c r="C278" s="1" t="n">
        <v>45993</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54428-2022</t>
        </is>
      </c>
      <c r="B279" s="1" t="n">
        <v>44882.57643518518</v>
      </c>
      <c r="C279" s="1" t="n">
        <v>45993</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10094-2024</t>
        </is>
      </c>
      <c r="B280" s="1" t="n">
        <v>45364</v>
      </c>
      <c r="C280" s="1" t="n">
        <v>45993</v>
      </c>
      <c r="D280" t="inlineStr">
        <is>
          <t>ÖSTERGÖTLANDS LÄN</t>
        </is>
      </c>
      <c r="E280" t="inlineStr">
        <is>
          <t>LINKÖPING</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63845-2021</t>
        </is>
      </c>
      <c r="B281" s="1" t="n">
        <v>44509</v>
      </c>
      <c r="C281" s="1" t="n">
        <v>45993</v>
      </c>
      <c r="D281" t="inlineStr">
        <is>
          <t>ÖSTERGÖTLANDS LÄN</t>
        </is>
      </c>
      <c r="E281" t="inlineStr">
        <is>
          <t>LINKÖPING</t>
        </is>
      </c>
      <c r="G281" t="n">
        <v>5</v>
      </c>
      <c r="H281" t="n">
        <v>0</v>
      </c>
      <c r="I281" t="n">
        <v>0</v>
      </c>
      <c r="J281" t="n">
        <v>0</v>
      </c>
      <c r="K281" t="n">
        <v>0</v>
      </c>
      <c r="L281" t="n">
        <v>0</v>
      </c>
      <c r="M281" t="n">
        <v>0</v>
      </c>
      <c r="N281" t="n">
        <v>0</v>
      </c>
      <c r="O281" t="n">
        <v>0</v>
      </c>
      <c r="P281" t="n">
        <v>0</v>
      </c>
      <c r="Q281" t="n">
        <v>0</v>
      </c>
      <c r="R281" s="2" t="inlineStr"/>
    </row>
    <row r="282" ht="15" customHeight="1">
      <c r="A282" t="inlineStr">
        <is>
          <t>A 30434-2024</t>
        </is>
      </c>
      <c r="B282" s="1" t="n">
        <v>45491.69811342593</v>
      </c>
      <c r="C282" s="1" t="n">
        <v>45993</v>
      </c>
      <c r="D282" t="inlineStr">
        <is>
          <t>ÖSTERGÖTLANDS LÄN</t>
        </is>
      </c>
      <c r="E282" t="inlineStr">
        <is>
          <t>LINKÖPING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17785-2023</t>
        </is>
      </c>
      <c r="B283" s="1" t="n">
        <v>45037.55094907407</v>
      </c>
      <c r="C283" s="1" t="n">
        <v>45993</v>
      </c>
      <c r="D283" t="inlineStr">
        <is>
          <t>ÖSTERGÖTLANDS LÄN</t>
        </is>
      </c>
      <c r="E283" t="inlineStr">
        <is>
          <t>LINKÖPING</t>
        </is>
      </c>
      <c r="F283" t="inlineStr">
        <is>
          <t>Allmännings- och besparingsskogar</t>
        </is>
      </c>
      <c r="G283" t="n">
        <v>3.1</v>
      </c>
      <c r="H283" t="n">
        <v>0</v>
      </c>
      <c r="I283" t="n">
        <v>0</v>
      </c>
      <c r="J283" t="n">
        <v>0</v>
      </c>
      <c r="K283" t="n">
        <v>0</v>
      </c>
      <c r="L283" t="n">
        <v>0</v>
      </c>
      <c r="M283" t="n">
        <v>0</v>
      </c>
      <c r="N283" t="n">
        <v>0</v>
      </c>
      <c r="O283" t="n">
        <v>0</v>
      </c>
      <c r="P283" t="n">
        <v>0</v>
      </c>
      <c r="Q283" t="n">
        <v>0</v>
      </c>
      <c r="R283" s="2" t="inlineStr"/>
    </row>
    <row r="284" ht="15" customHeight="1">
      <c r="A284" t="inlineStr">
        <is>
          <t>A 32346-2023</t>
        </is>
      </c>
      <c r="B284" s="1" t="n">
        <v>45120</v>
      </c>
      <c r="C284" s="1" t="n">
        <v>45993</v>
      </c>
      <c r="D284" t="inlineStr">
        <is>
          <t>ÖSTERGÖTLANDS LÄN</t>
        </is>
      </c>
      <c r="E284" t="inlineStr">
        <is>
          <t>LINKÖPING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11790-2024</t>
        </is>
      </c>
      <c r="B285" s="1" t="n">
        <v>45374</v>
      </c>
      <c r="C285" s="1" t="n">
        <v>45993</v>
      </c>
      <c r="D285" t="inlineStr">
        <is>
          <t>ÖSTERGÖTLANDS LÄN</t>
        </is>
      </c>
      <c r="E285" t="inlineStr">
        <is>
          <t>LINKÖPING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48962-2022</t>
        </is>
      </c>
      <c r="B286" s="1" t="n">
        <v>44860.31635416667</v>
      </c>
      <c r="C286" s="1" t="n">
        <v>45993</v>
      </c>
      <c r="D286" t="inlineStr">
        <is>
          <t>ÖSTERGÖTLANDS LÄN</t>
        </is>
      </c>
      <c r="E286" t="inlineStr">
        <is>
          <t>LINKÖPING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53647-2021</t>
        </is>
      </c>
      <c r="B287" s="1" t="n">
        <v>44469</v>
      </c>
      <c r="C287" s="1" t="n">
        <v>45993</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22772-2024</t>
        </is>
      </c>
      <c r="B288" s="1" t="n">
        <v>45448.46712962963</v>
      </c>
      <c r="C288" s="1" t="n">
        <v>45993</v>
      </c>
      <c r="D288" t="inlineStr">
        <is>
          <t>ÖSTERGÖTLANDS LÄN</t>
        </is>
      </c>
      <c r="E288" t="inlineStr">
        <is>
          <t>LINKÖPING</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18916-2024</t>
        </is>
      </c>
      <c r="B289" s="1" t="n">
        <v>45427.39541666667</v>
      </c>
      <c r="C289" s="1" t="n">
        <v>45993</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1627-2023</t>
        </is>
      </c>
      <c r="B290" s="1" t="n">
        <v>44937</v>
      </c>
      <c r="C290" s="1" t="n">
        <v>45993</v>
      </c>
      <c r="D290" t="inlineStr">
        <is>
          <t>ÖSTERGÖTLANDS LÄN</t>
        </is>
      </c>
      <c r="E290" t="inlineStr">
        <is>
          <t>LINKÖPING</t>
        </is>
      </c>
      <c r="G290" t="n">
        <v>10.8</v>
      </c>
      <c r="H290" t="n">
        <v>0</v>
      </c>
      <c r="I290" t="n">
        <v>0</v>
      </c>
      <c r="J290" t="n">
        <v>0</v>
      </c>
      <c r="K290" t="n">
        <v>0</v>
      </c>
      <c r="L290" t="n">
        <v>0</v>
      </c>
      <c r="M290" t="n">
        <v>0</v>
      </c>
      <c r="N290" t="n">
        <v>0</v>
      </c>
      <c r="O290" t="n">
        <v>0</v>
      </c>
      <c r="P290" t="n">
        <v>0</v>
      </c>
      <c r="Q290" t="n">
        <v>0</v>
      </c>
      <c r="R290" s="2" t="inlineStr"/>
    </row>
    <row r="291" ht="15" customHeight="1">
      <c r="A291" t="inlineStr">
        <is>
          <t>A 11084-2022</t>
        </is>
      </c>
      <c r="B291" s="1" t="n">
        <v>44628</v>
      </c>
      <c r="C291" s="1" t="n">
        <v>45993</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24586-2024</t>
        </is>
      </c>
      <c r="B292" s="1" t="n">
        <v>45460.46664351852</v>
      </c>
      <c r="C292" s="1" t="n">
        <v>45993</v>
      </c>
      <c r="D292" t="inlineStr">
        <is>
          <t>ÖSTERGÖTLANDS LÄN</t>
        </is>
      </c>
      <c r="E292" t="inlineStr">
        <is>
          <t>LINKÖPING</t>
        </is>
      </c>
      <c r="G292" t="n">
        <v>4</v>
      </c>
      <c r="H292" t="n">
        <v>0</v>
      </c>
      <c r="I292" t="n">
        <v>0</v>
      </c>
      <c r="J292" t="n">
        <v>0</v>
      </c>
      <c r="K292" t="n">
        <v>0</v>
      </c>
      <c r="L292" t="n">
        <v>0</v>
      </c>
      <c r="M292" t="n">
        <v>0</v>
      </c>
      <c r="N292" t="n">
        <v>0</v>
      </c>
      <c r="O292" t="n">
        <v>0</v>
      </c>
      <c r="P292" t="n">
        <v>0</v>
      </c>
      <c r="Q292" t="n">
        <v>0</v>
      </c>
      <c r="R292" s="2" t="inlineStr"/>
    </row>
    <row r="293" ht="15" customHeight="1">
      <c r="A293" t="inlineStr">
        <is>
          <t>A 17124-2025</t>
        </is>
      </c>
      <c r="B293" s="1" t="n">
        <v>45755.69678240741</v>
      </c>
      <c r="C293" s="1" t="n">
        <v>45993</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17126-2025</t>
        </is>
      </c>
      <c r="B294" s="1" t="n">
        <v>45755.70814814815</v>
      </c>
      <c r="C294" s="1" t="n">
        <v>45993</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17143-2025</t>
        </is>
      </c>
      <c r="B295" s="1" t="n">
        <v>45755.92731481481</v>
      </c>
      <c r="C295" s="1" t="n">
        <v>45993</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1207-2023</t>
        </is>
      </c>
      <c r="B296" s="1" t="n">
        <v>44930</v>
      </c>
      <c r="C296" s="1" t="n">
        <v>45993</v>
      </c>
      <c r="D296" t="inlineStr">
        <is>
          <t>ÖSTERGÖTLANDS LÄN</t>
        </is>
      </c>
      <c r="E296" t="inlineStr">
        <is>
          <t>LINKÖPING</t>
        </is>
      </c>
      <c r="F296" t="inlineStr">
        <is>
          <t>Övriga statliga verk och myndigheter</t>
        </is>
      </c>
      <c r="G296" t="n">
        <v>32.8</v>
      </c>
      <c r="H296" t="n">
        <v>0</v>
      </c>
      <c r="I296" t="n">
        <v>0</v>
      </c>
      <c r="J296" t="n">
        <v>0</v>
      </c>
      <c r="K296" t="n">
        <v>0</v>
      </c>
      <c r="L296" t="n">
        <v>0</v>
      </c>
      <c r="M296" t="n">
        <v>0</v>
      </c>
      <c r="N296" t="n">
        <v>0</v>
      </c>
      <c r="O296" t="n">
        <v>0</v>
      </c>
      <c r="P296" t="n">
        <v>0</v>
      </c>
      <c r="Q296" t="n">
        <v>0</v>
      </c>
      <c r="R296" s="2" t="inlineStr"/>
    </row>
    <row r="297" ht="15" customHeight="1">
      <c r="A297" t="inlineStr">
        <is>
          <t>A 57745-2022</t>
        </is>
      </c>
      <c r="B297" s="1" t="n">
        <v>44897.58119212963</v>
      </c>
      <c r="C297" s="1" t="n">
        <v>45993</v>
      </c>
      <c r="D297" t="inlineStr">
        <is>
          <t>ÖSTERGÖTLANDS LÄN</t>
        </is>
      </c>
      <c r="E297" t="inlineStr">
        <is>
          <t>LINKÖPING</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16665-2023</t>
        </is>
      </c>
      <c r="B298" s="1" t="n">
        <v>45030.5583912037</v>
      </c>
      <c r="C298" s="1" t="n">
        <v>45993</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62015-2024</t>
        </is>
      </c>
      <c r="B299" s="1" t="n">
        <v>45655.80457175926</v>
      </c>
      <c r="C299" s="1" t="n">
        <v>45993</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62020-2024</t>
        </is>
      </c>
      <c r="B300" s="1" t="n">
        <v>45655.83563657408</v>
      </c>
      <c r="C300" s="1" t="n">
        <v>45993</v>
      </c>
      <c r="D300" t="inlineStr">
        <is>
          <t>ÖSTERGÖTLANDS LÄN</t>
        </is>
      </c>
      <c r="E300" t="inlineStr">
        <is>
          <t>LINKÖPING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62021-2024</t>
        </is>
      </c>
      <c r="B301" s="1" t="n">
        <v>45655.84232638889</v>
      </c>
      <c r="C301" s="1" t="n">
        <v>45993</v>
      </c>
      <c r="D301" t="inlineStr">
        <is>
          <t>ÖSTERGÖTLANDS LÄN</t>
        </is>
      </c>
      <c r="E301" t="inlineStr">
        <is>
          <t>LINKÖPING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14520-2025</t>
        </is>
      </c>
      <c r="B302" s="1" t="n">
        <v>45741</v>
      </c>
      <c r="C302" s="1" t="n">
        <v>45993</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60860-2024</t>
        </is>
      </c>
      <c r="B303" s="1" t="n">
        <v>45644.6893287037</v>
      </c>
      <c r="C303" s="1" t="n">
        <v>45993</v>
      </c>
      <c r="D303" t="inlineStr">
        <is>
          <t>ÖSTERGÖTLANDS LÄN</t>
        </is>
      </c>
      <c r="E303" t="inlineStr">
        <is>
          <t>LINKÖPING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31640-2023</t>
        </is>
      </c>
      <c r="B304" s="1" t="n">
        <v>45117</v>
      </c>
      <c r="C304" s="1" t="n">
        <v>45993</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16213-2025</t>
        </is>
      </c>
      <c r="B305" s="1" t="n">
        <v>45750.62740740741</v>
      </c>
      <c r="C305" s="1" t="n">
        <v>45993</v>
      </c>
      <c r="D305" t="inlineStr">
        <is>
          <t>ÖSTERGÖTLANDS LÄN</t>
        </is>
      </c>
      <c r="E305" t="inlineStr">
        <is>
          <t>LINKÖPING</t>
        </is>
      </c>
      <c r="G305" t="n">
        <v>3.4</v>
      </c>
      <c r="H305" t="n">
        <v>0</v>
      </c>
      <c r="I305" t="n">
        <v>0</v>
      </c>
      <c r="J305" t="n">
        <v>0</v>
      </c>
      <c r="K305" t="n">
        <v>0</v>
      </c>
      <c r="L305" t="n">
        <v>0</v>
      </c>
      <c r="M305" t="n">
        <v>0</v>
      </c>
      <c r="N305" t="n">
        <v>0</v>
      </c>
      <c r="O305" t="n">
        <v>0</v>
      </c>
      <c r="P305" t="n">
        <v>0</v>
      </c>
      <c r="Q305" t="n">
        <v>0</v>
      </c>
      <c r="R305" s="2" t="inlineStr"/>
    </row>
    <row r="306" ht="15" customHeight="1">
      <c r="A306" t="inlineStr">
        <is>
          <t>A 39017-2021</t>
        </is>
      </c>
      <c r="B306" s="1" t="n">
        <v>44412</v>
      </c>
      <c r="C306" s="1" t="n">
        <v>45993</v>
      </c>
      <c r="D306" t="inlineStr">
        <is>
          <t>ÖSTERGÖTLANDS LÄN</t>
        </is>
      </c>
      <c r="E306" t="inlineStr">
        <is>
          <t>LINKÖPING</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34872-2023</t>
        </is>
      </c>
      <c r="B307" s="1" t="n">
        <v>45140</v>
      </c>
      <c r="C307" s="1" t="n">
        <v>45993</v>
      </c>
      <c r="D307" t="inlineStr">
        <is>
          <t>ÖSTERGÖTLANDS LÄN</t>
        </is>
      </c>
      <c r="E307" t="inlineStr">
        <is>
          <t>LINKÖPING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33000-2023</t>
        </is>
      </c>
      <c r="B308" s="1" t="n">
        <v>45125</v>
      </c>
      <c r="C308" s="1" t="n">
        <v>45993</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27891-2021</t>
        </is>
      </c>
      <c r="B309" s="1" t="n">
        <v>44354.65108796296</v>
      </c>
      <c r="C309" s="1" t="n">
        <v>45993</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16820-2024</t>
        </is>
      </c>
      <c r="B310" s="1" t="n">
        <v>45411.46809027778</v>
      </c>
      <c r="C310" s="1" t="n">
        <v>45993</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30980-2022</t>
        </is>
      </c>
      <c r="B311" s="1" t="n">
        <v>44768</v>
      </c>
      <c r="C311" s="1" t="n">
        <v>45993</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56064-2022</t>
        </is>
      </c>
      <c r="B312" s="1" t="n">
        <v>44889.59107638889</v>
      </c>
      <c r="C312" s="1" t="n">
        <v>45993</v>
      </c>
      <c r="D312" t="inlineStr">
        <is>
          <t>ÖSTERGÖTLANDS LÄN</t>
        </is>
      </c>
      <c r="E312" t="inlineStr">
        <is>
          <t>LINKÖPING</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57391-2023</t>
        </is>
      </c>
      <c r="B313" s="1" t="n">
        <v>45245</v>
      </c>
      <c r="C313" s="1" t="n">
        <v>45993</v>
      </c>
      <c r="D313" t="inlineStr">
        <is>
          <t>ÖSTERGÖTLANDS LÄN</t>
        </is>
      </c>
      <c r="E313" t="inlineStr">
        <is>
          <t>LINKÖPING</t>
        </is>
      </c>
      <c r="F313" t="inlineStr">
        <is>
          <t>Övriga Aktiebolag</t>
        </is>
      </c>
      <c r="G313" t="n">
        <v>1.7</v>
      </c>
      <c r="H313" t="n">
        <v>0</v>
      </c>
      <c r="I313" t="n">
        <v>0</v>
      </c>
      <c r="J313" t="n">
        <v>0</v>
      </c>
      <c r="K313" t="n">
        <v>0</v>
      </c>
      <c r="L313" t="n">
        <v>0</v>
      </c>
      <c r="M313" t="n">
        <v>0</v>
      </c>
      <c r="N313" t="n">
        <v>0</v>
      </c>
      <c r="O313" t="n">
        <v>0</v>
      </c>
      <c r="P313" t="n">
        <v>0</v>
      </c>
      <c r="Q313" t="n">
        <v>0</v>
      </c>
      <c r="R313" s="2" t="inlineStr"/>
    </row>
    <row r="314" ht="15" customHeight="1">
      <c r="A314" t="inlineStr">
        <is>
          <t>A 40502-2024</t>
        </is>
      </c>
      <c r="B314" s="1" t="n">
        <v>45555.57263888889</v>
      </c>
      <c r="C314" s="1" t="n">
        <v>45993</v>
      </c>
      <c r="D314" t="inlineStr">
        <is>
          <t>ÖSTERGÖTLANDS LÄN</t>
        </is>
      </c>
      <c r="E314" t="inlineStr">
        <is>
          <t>LINKÖPING</t>
        </is>
      </c>
      <c r="F314" t="inlineStr">
        <is>
          <t>Allmännings- och besparingsskogar</t>
        </is>
      </c>
      <c r="G314" t="n">
        <v>17.5</v>
      </c>
      <c r="H314" t="n">
        <v>0</v>
      </c>
      <c r="I314" t="n">
        <v>0</v>
      </c>
      <c r="J314" t="n">
        <v>0</v>
      </c>
      <c r="K314" t="n">
        <v>0</v>
      </c>
      <c r="L314" t="n">
        <v>0</v>
      </c>
      <c r="M314" t="n">
        <v>0</v>
      </c>
      <c r="N314" t="n">
        <v>0</v>
      </c>
      <c r="O314" t="n">
        <v>0</v>
      </c>
      <c r="P314" t="n">
        <v>0</v>
      </c>
      <c r="Q314" t="n">
        <v>0</v>
      </c>
      <c r="R314" s="2" t="inlineStr"/>
    </row>
    <row r="315" ht="15" customHeight="1">
      <c r="A315" t="inlineStr">
        <is>
          <t>A 2997-2025</t>
        </is>
      </c>
      <c r="B315" s="1" t="n">
        <v>45678.54631944445</v>
      </c>
      <c r="C315" s="1" t="n">
        <v>45993</v>
      </c>
      <c r="D315" t="inlineStr">
        <is>
          <t>ÖSTERGÖTLANDS LÄN</t>
        </is>
      </c>
      <c r="E315" t="inlineStr">
        <is>
          <t>LINKÖPING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31534-2023</t>
        </is>
      </c>
      <c r="B316" s="1" t="n">
        <v>45116</v>
      </c>
      <c r="C316" s="1" t="n">
        <v>45993</v>
      </c>
      <c r="D316" t="inlineStr">
        <is>
          <t>ÖSTERGÖTLANDS LÄN</t>
        </is>
      </c>
      <c r="E316" t="inlineStr">
        <is>
          <t>LINKÖPING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26803-2024</t>
        </is>
      </c>
      <c r="B317" s="1" t="n">
        <v>45470</v>
      </c>
      <c r="C317" s="1" t="n">
        <v>45993</v>
      </c>
      <c r="D317" t="inlineStr">
        <is>
          <t>ÖSTERGÖTLANDS LÄN</t>
        </is>
      </c>
      <c r="E317" t="inlineStr">
        <is>
          <t>LINKÖPING</t>
        </is>
      </c>
      <c r="F317" t="inlineStr">
        <is>
          <t>Allmännings- och besparingsskogar</t>
        </is>
      </c>
      <c r="G317" t="n">
        <v>4.5</v>
      </c>
      <c r="H317" t="n">
        <v>0</v>
      </c>
      <c r="I317" t="n">
        <v>0</v>
      </c>
      <c r="J317" t="n">
        <v>0</v>
      </c>
      <c r="K317" t="n">
        <v>0</v>
      </c>
      <c r="L317" t="n">
        <v>0</v>
      </c>
      <c r="M317" t="n">
        <v>0</v>
      </c>
      <c r="N317" t="n">
        <v>0</v>
      </c>
      <c r="O317" t="n">
        <v>0</v>
      </c>
      <c r="P317" t="n">
        <v>0</v>
      </c>
      <c r="Q317" t="n">
        <v>0</v>
      </c>
      <c r="R317" s="2" t="inlineStr"/>
    </row>
    <row r="318" ht="15" customHeight="1">
      <c r="A318" t="inlineStr">
        <is>
          <t>A 20294-2025</t>
        </is>
      </c>
      <c r="B318" s="1" t="n">
        <v>45774.74667824074</v>
      </c>
      <c r="C318" s="1" t="n">
        <v>45993</v>
      </c>
      <c r="D318" t="inlineStr">
        <is>
          <t>ÖSTERGÖTLANDS LÄN</t>
        </is>
      </c>
      <c r="E318" t="inlineStr">
        <is>
          <t>LINKÖPING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60013-2022</t>
        </is>
      </c>
      <c r="B319" s="1" t="n">
        <v>44909.47482638889</v>
      </c>
      <c r="C319" s="1" t="n">
        <v>45993</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24351-2024</t>
        </is>
      </c>
      <c r="B320" s="1" t="n">
        <v>45457.59011574074</v>
      </c>
      <c r="C320" s="1" t="n">
        <v>45993</v>
      </c>
      <c r="D320" t="inlineStr">
        <is>
          <t>ÖSTERGÖTLANDS LÄN</t>
        </is>
      </c>
      <c r="E320" t="inlineStr">
        <is>
          <t>LINKÖPING</t>
        </is>
      </c>
      <c r="G320" t="n">
        <v>11.9</v>
      </c>
      <c r="H320" t="n">
        <v>0</v>
      </c>
      <c r="I320" t="n">
        <v>0</v>
      </c>
      <c r="J320" t="n">
        <v>0</v>
      </c>
      <c r="K320" t="n">
        <v>0</v>
      </c>
      <c r="L320" t="n">
        <v>0</v>
      </c>
      <c r="M320" t="n">
        <v>0</v>
      </c>
      <c r="N320" t="n">
        <v>0</v>
      </c>
      <c r="O320" t="n">
        <v>0</v>
      </c>
      <c r="P320" t="n">
        <v>0</v>
      </c>
      <c r="Q320" t="n">
        <v>0</v>
      </c>
      <c r="R320" s="2" t="inlineStr"/>
    </row>
    <row r="321" ht="15" customHeight="1">
      <c r="A321" t="inlineStr">
        <is>
          <t>A 44155-2024</t>
        </is>
      </c>
      <c r="B321" s="1" t="n">
        <v>45572.68226851852</v>
      </c>
      <c r="C321" s="1" t="n">
        <v>45993</v>
      </c>
      <c r="D321" t="inlineStr">
        <is>
          <t>ÖSTERGÖTLANDS LÄN</t>
        </is>
      </c>
      <c r="E321" t="inlineStr">
        <is>
          <t>LINKÖPING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3007-2025</t>
        </is>
      </c>
      <c r="B322" s="1" t="n">
        <v>45678.56328703704</v>
      </c>
      <c r="C322" s="1" t="n">
        <v>45993</v>
      </c>
      <c r="D322" t="inlineStr">
        <is>
          <t>ÖSTERGÖTLANDS LÄN</t>
        </is>
      </c>
      <c r="E322" t="inlineStr">
        <is>
          <t>LINKÖPING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62501-2023</t>
        </is>
      </c>
      <c r="B323" s="1" t="n">
        <v>45268</v>
      </c>
      <c r="C323" s="1" t="n">
        <v>45993</v>
      </c>
      <c r="D323" t="inlineStr">
        <is>
          <t>ÖSTERGÖTLANDS LÄN</t>
        </is>
      </c>
      <c r="E323" t="inlineStr">
        <is>
          <t>LINKÖPING</t>
        </is>
      </c>
      <c r="G323" t="n">
        <v>7.4</v>
      </c>
      <c r="H323" t="n">
        <v>0</v>
      </c>
      <c r="I323" t="n">
        <v>0</v>
      </c>
      <c r="J323" t="n">
        <v>0</v>
      </c>
      <c r="K323" t="n">
        <v>0</v>
      </c>
      <c r="L323" t="n">
        <v>0</v>
      </c>
      <c r="M323" t="n">
        <v>0</v>
      </c>
      <c r="N323" t="n">
        <v>0</v>
      </c>
      <c r="O323" t="n">
        <v>0</v>
      </c>
      <c r="P323" t="n">
        <v>0</v>
      </c>
      <c r="Q323" t="n">
        <v>0</v>
      </c>
      <c r="R323" s="2" t="inlineStr"/>
    </row>
    <row r="324" ht="15" customHeight="1">
      <c r="A324" t="inlineStr">
        <is>
          <t>A 34877-2023</t>
        </is>
      </c>
      <c r="B324" s="1" t="n">
        <v>45140</v>
      </c>
      <c r="C324" s="1" t="n">
        <v>45993</v>
      </c>
      <c r="D324" t="inlineStr">
        <is>
          <t>ÖSTERGÖTLANDS LÄN</t>
        </is>
      </c>
      <c r="E324" t="inlineStr">
        <is>
          <t>LINKÖPING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58947-2022</t>
        </is>
      </c>
      <c r="B325" s="1" t="n">
        <v>44903.64769675926</v>
      </c>
      <c r="C325" s="1" t="n">
        <v>45993</v>
      </c>
      <c r="D325" t="inlineStr">
        <is>
          <t>ÖSTERGÖTLANDS LÄN</t>
        </is>
      </c>
      <c r="E325" t="inlineStr">
        <is>
          <t>LINKÖPING</t>
        </is>
      </c>
      <c r="G325" t="n">
        <v>4</v>
      </c>
      <c r="H325" t="n">
        <v>0</v>
      </c>
      <c r="I325" t="n">
        <v>0</v>
      </c>
      <c r="J325" t="n">
        <v>0</v>
      </c>
      <c r="K325" t="n">
        <v>0</v>
      </c>
      <c r="L325" t="n">
        <v>0</v>
      </c>
      <c r="M325" t="n">
        <v>0</v>
      </c>
      <c r="N325" t="n">
        <v>0</v>
      </c>
      <c r="O325" t="n">
        <v>0</v>
      </c>
      <c r="P325" t="n">
        <v>0</v>
      </c>
      <c r="Q325" t="n">
        <v>0</v>
      </c>
      <c r="R325" s="2" t="inlineStr"/>
    </row>
    <row r="326" ht="15" customHeight="1">
      <c r="A326" t="inlineStr">
        <is>
          <t>A 45806-2024</t>
        </is>
      </c>
      <c r="B326" s="1" t="n">
        <v>45579.69619212963</v>
      </c>
      <c r="C326" s="1" t="n">
        <v>45993</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49979-2022</t>
        </is>
      </c>
      <c r="B327" s="1" t="n">
        <v>44865</v>
      </c>
      <c r="C327" s="1" t="n">
        <v>45993</v>
      </c>
      <c r="D327" t="inlineStr">
        <is>
          <t>ÖSTERGÖTLANDS LÄN</t>
        </is>
      </c>
      <c r="E327" t="inlineStr">
        <is>
          <t>LINKÖPING</t>
        </is>
      </c>
      <c r="F327" t="inlineStr">
        <is>
          <t>Övriga Aktiebolag</t>
        </is>
      </c>
      <c r="G327" t="n">
        <v>11.4</v>
      </c>
      <c r="H327" t="n">
        <v>0</v>
      </c>
      <c r="I327" t="n">
        <v>0</v>
      </c>
      <c r="J327" t="n">
        <v>0</v>
      </c>
      <c r="K327" t="n">
        <v>0</v>
      </c>
      <c r="L327" t="n">
        <v>0</v>
      </c>
      <c r="M327" t="n">
        <v>0</v>
      </c>
      <c r="N327" t="n">
        <v>0</v>
      </c>
      <c r="O327" t="n">
        <v>0</v>
      </c>
      <c r="P327" t="n">
        <v>0</v>
      </c>
      <c r="Q327" t="n">
        <v>0</v>
      </c>
      <c r="R327" s="2" t="inlineStr"/>
    </row>
    <row r="328" ht="15" customHeight="1">
      <c r="A328" t="inlineStr">
        <is>
          <t>A 1924-2024</t>
        </is>
      </c>
      <c r="B328" s="1" t="n">
        <v>45308</v>
      </c>
      <c r="C328" s="1" t="n">
        <v>45993</v>
      </c>
      <c r="D328" t="inlineStr">
        <is>
          <t>ÖSTERGÖTLANDS LÄN</t>
        </is>
      </c>
      <c r="E328" t="inlineStr">
        <is>
          <t>LINKÖPING</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53827-2023</t>
        </is>
      </c>
      <c r="B329" s="1" t="n">
        <v>45230</v>
      </c>
      <c r="C329" s="1" t="n">
        <v>45993</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37154-2023</t>
        </is>
      </c>
      <c r="B330" s="1" t="n">
        <v>45155</v>
      </c>
      <c r="C330" s="1" t="n">
        <v>45993</v>
      </c>
      <c r="D330" t="inlineStr">
        <is>
          <t>ÖSTERGÖTLANDS LÄN</t>
        </is>
      </c>
      <c r="E330" t="inlineStr">
        <is>
          <t>LINKÖPING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42997-2021</t>
        </is>
      </c>
      <c r="B331" s="1" t="n">
        <v>44431.45556712963</v>
      </c>
      <c r="C331" s="1" t="n">
        <v>45993</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940-2023</t>
        </is>
      </c>
      <c r="B332" s="1" t="n">
        <v>44933</v>
      </c>
      <c r="C332" s="1" t="n">
        <v>45993</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11330-2023</t>
        </is>
      </c>
      <c r="B333" s="1" t="n">
        <v>44993.24648148148</v>
      </c>
      <c r="C333" s="1" t="n">
        <v>45993</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42000-2023</t>
        </is>
      </c>
      <c r="B334" s="1" t="n">
        <v>45177</v>
      </c>
      <c r="C334" s="1" t="n">
        <v>45993</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7992-2023</t>
        </is>
      </c>
      <c r="B335" s="1" t="n">
        <v>44970</v>
      </c>
      <c r="C335" s="1" t="n">
        <v>45993</v>
      </c>
      <c r="D335" t="inlineStr">
        <is>
          <t>ÖSTERGÖTLANDS LÄN</t>
        </is>
      </c>
      <c r="E335" t="inlineStr">
        <is>
          <t>LINKÖPING</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32602-2022</t>
        </is>
      </c>
      <c r="B336" s="1" t="n">
        <v>44783.43192129629</v>
      </c>
      <c r="C336" s="1" t="n">
        <v>45993</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34558-2022</t>
        </is>
      </c>
      <c r="B337" s="1" t="n">
        <v>44794.57594907407</v>
      </c>
      <c r="C337" s="1" t="n">
        <v>45993</v>
      </c>
      <c r="D337" t="inlineStr">
        <is>
          <t>ÖSTERGÖTLANDS LÄN</t>
        </is>
      </c>
      <c r="E337" t="inlineStr">
        <is>
          <t>LINKÖPING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37057-2025</t>
        </is>
      </c>
      <c r="B338" s="1" t="n">
        <v>45875.37489583333</v>
      </c>
      <c r="C338" s="1" t="n">
        <v>45993</v>
      </c>
      <c r="D338" t="inlineStr">
        <is>
          <t>ÖSTERGÖTLANDS LÄN</t>
        </is>
      </c>
      <c r="E338" t="inlineStr">
        <is>
          <t>LINKÖPING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14028-2024</t>
        </is>
      </c>
      <c r="B339" s="1" t="n">
        <v>45392</v>
      </c>
      <c r="C339" s="1" t="n">
        <v>45993</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168-2024</t>
        </is>
      </c>
      <c r="B340" s="1" t="n">
        <v>45294</v>
      </c>
      <c r="C340" s="1" t="n">
        <v>45993</v>
      </c>
      <c r="D340" t="inlineStr">
        <is>
          <t>ÖSTERGÖTLANDS LÄN</t>
        </is>
      </c>
      <c r="E340" t="inlineStr">
        <is>
          <t>LINKÖPING</t>
        </is>
      </c>
      <c r="F340" t="inlineStr">
        <is>
          <t>Allmännings- och besparingsskogar</t>
        </is>
      </c>
      <c r="G340" t="n">
        <v>8.9</v>
      </c>
      <c r="H340" t="n">
        <v>0</v>
      </c>
      <c r="I340" t="n">
        <v>0</v>
      </c>
      <c r="J340" t="n">
        <v>0</v>
      </c>
      <c r="K340" t="n">
        <v>0</v>
      </c>
      <c r="L340" t="n">
        <v>0</v>
      </c>
      <c r="M340" t="n">
        <v>0</v>
      </c>
      <c r="N340" t="n">
        <v>0</v>
      </c>
      <c r="O340" t="n">
        <v>0</v>
      </c>
      <c r="P340" t="n">
        <v>0</v>
      </c>
      <c r="Q340" t="n">
        <v>0</v>
      </c>
      <c r="R340" s="2" t="inlineStr"/>
    </row>
    <row r="341" ht="15" customHeight="1">
      <c r="A341" t="inlineStr">
        <is>
          <t>A 13413-2023</t>
        </is>
      </c>
      <c r="B341" s="1" t="n">
        <v>45005.58341435185</v>
      </c>
      <c r="C341" s="1" t="n">
        <v>45993</v>
      </c>
      <c r="D341" t="inlineStr">
        <is>
          <t>ÖSTERGÖTLANDS LÄN</t>
        </is>
      </c>
      <c r="E341" t="inlineStr">
        <is>
          <t>LINKÖPING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63528-2023</t>
        </is>
      </c>
      <c r="B342" s="1" t="n">
        <v>45274.94810185185</v>
      </c>
      <c r="C342" s="1" t="n">
        <v>45993</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63638-2023</t>
        </is>
      </c>
      <c r="B343" s="1" t="n">
        <v>45275</v>
      </c>
      <c r="C343" s="1" t="n">
        <v>45993</v>
      </c>
      <c r="D343" t="inlineStr">
        <is>
          <t>ÖSTERGÖTLANDS LÄN</t>
        </is>
      </c>
      <c r="E343" t="inlineStr">
        <is>
          <t>LINKÖPING</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63658-2023</t>
        </is>
      </c>
      <c r="B344" s="1" t="n">
        <v>45275</v>
      </c>
      <c r="C344" s="1" t="n">
        <v>45993</v>
      </c>
      <c r="D344" t="inlineStr">
        <is>
          <t>ÖSTERGÖTLANDS LÄN</t>
        </is>
      </c>
      <c r="E344" t="inlineStr">
        <is>
          <t>LINKÖPING</t>
        </is>
      </c>
      <c r="F344" t="inlineStr">
        <is>
          <t>Övriga Aktiebolag</t>
        </is>
      </c>
      <c r="G344" t="n">
        <v>1.5</v>
      </c>
      <c r="H344" t="n">
        <v>0</v>
      </c>
      <c r="I344" t="n">
        <v>0</v>
      </c>
      <c r="J344" t="n">
        <v>0</v>
      </c>
      <c r="K344" t="n">
        <v>0</v>
      </c>
      <c r="L344" t="n">
        <v>0</v>
      </c>
      <c r="M344" t="n">
        <v>0</v>
      </c>
      <c r="N344" t="n">
        <v>0</v>
      </c>
      <c r="O344" t="n">
        <v>0</v>
      </c>
      <c r="P344" t="n">
        <v>0</v>
      </c>
      <c r="Q344" t="n">
        <v>0</v>
      </c>
      <c r="R344" s="2" t="inlineStr"/>
    </row>
    <row r="345" ht="15" customHeight="1">
      <c r="A345" t="inlineStr">
        <is>
          <t>A 7808-2022</t>
        </is>
      </c>
      <c r="B345" s="1" t="n">
        <v>44608</v>
      </c>
      <c r="C345" s="1" t="n">
        <v>45993</v>
      </c>
      <c r="D345" t="inlineStr">
        <is>
          <t>ÖSTERGÖTLANDS LÄN</t>
        </is>
      </c>
      <c r="E345" t="inlineStr">
        <is>
          <t>LINKÖPING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14667-2024</t>
        </is>
      </c>
      <c r="B346" s="1" t="n">
        <v>45397.42005787037</v>
      </c>
      <c r="C346" s="1" t="n">
        <v>45993</v>
      </c>
      <c r="D346" t="inlineStr">
        <is>
          <t>ÖSTERGÖTLANDS LÄN</t>
        </is>
      </c>
      <c r="E346" t="inlineStr">
        <is>
          <t>LINKÖPING</t>
        </is>
      </c>
      <c r="G346" t="n">
        <v>2.3</v>
      </c>
      <c r="H346" t="n">
        <v>0</v>
      </c>
      <c r="I346" t="n">
        <v>0</v>
      </c>
      <c r="J346" t="n">
        <v>0</v>
      </c>
      <c r="K346" t="n">
        <v>0</v>
      </c>
      <c r="L346" t="n">
        <v>0</v>
      </c>
      <c r="M346" t="n">
        <v>0</v>
      </c>
      <c r="N346" t="n">
        <v>0</v>
      </c>
      <c r="O346" t="n">
        <v>0</v>
      </c>
      <c r="P346" t="n">
        <v>0</v>
      </c>
      <c r="Q346" t="n">
        <v>0</v>
      </c>
      <c r="R346" s="2" t="inlineStr"/>
    </row>
    <row r="347" ht="15" customHeight="1">
      <c r="A347" t="inlineStr">
        <is>
          <t>A 2697-2023</t>
        </is>
      </c>
      <c r="B347" s="1" t="n">
        <v>44944</v>
      </c>
      <c r="C347" s="1" t="n">
        <v>45993</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36336-2023</t>
        </is>
      </c>
      <c r="B348" s="1" t="n">
        <v>45152.45078703704</v>
      </c>
      <c r="C348" s="1" t="n">
        <v>45993</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53641-2023</t>
        </is>
      </c>
      <c r="B349" s="1" t="n">
        <v>45230</v>
      </c>
      <c r="C349" s="1" t="n">
        <v>45993</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56623-2024</t>
        </is>
      </c>
      <c r="B350" s="1" t="n">
        <v>45625</v>
      </c>
      <c r="C350" s="1" t="n">
        <v>45993</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48707-2023</t>
        </is>
      </c>
      <c r="B351" s="1" t="n">
        <v>45202</v>
      </c>
      <c r="C351" s="1" t="n">
        <v>45993</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25829-2025</t>
        </is>
      </c>
      <c r="B352" s="1" t="n">
        <v>45804.44505787037</v>
      </c>
      <c r="C352" s="1" t="n">
        <v>45993</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53411-2023</t>
        </is>
      </c>
      <c r="B353" s="1" t="n">
        <v>45229.81049768518</v>
      </c>
      <c r="C353" s="1" t="n">
        <v>45993</v>
      </c>
      <c r="D353" t="inlineStr">
        <is>
          <t>ÖSTERGÖTLANDS LÄN</t>
        </is>
      </c>
      <c r="E353" t="inlineStr">
        <is>
          <t>LINKÖPING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15658-2023</t>
        </is>
      </c>
      <c r="B354" s="1" t="n">
        <v>45021.41194444444</v>
      </c>
      <c r="C354" s="1" t="n">
        <v>45993</v>
      </c>
      <c r="D354" t="inlineStr">
        <is>
          <t>ÖSTERGÖTLANDS LÄN</t>
        </is>
      </c>
      <c r="E354" t="inlineStr">
        <is>
          <t>LINKÖPING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56741-2023</t>
        </is>
      </c>
      <c r="B355" s="1" t="n">
        <v>45244</v>
      </c>
      <c r="C355" s="1" t="n">
        <v>45993</v>
      </c>
      <c r="D355" t="inlineStr">
        <is>
          <t>ÖSTERGÖTLANDS LÄN</t>
        </is>
      </c>
      <c r="E355" t="inlineStr">
        <is>
          <t>LINKÖPING</t>
        </is>
      </c>
      <c r="F355" t="inlineStr">
        <is>
          <t>Övriga Aktiebolag</t>
        </is>
      </c>
      <c r="G355" t="n">
        <v>1.1</v>
      </c>
      <c r="H355" t="n">
        <v>0</v>
      </c>
      <c r="I355" t="n">
        <v>0</v>
      </c>
      <c r="J355" t="n">
        <v>0</v>
      </c>
      <c r="K355" t="n">
        <v>0</v>
      </c>
      <c r="L355" t="n">
        <v>0</v>
      </c>
      <c r="M355" t="n">
        <v>0</v>
      </c>
      <c r="N355" t="n">
        <v>0</v>
      </c>
      <c r="O355" t="n">
        <v>0</v>
      </c>
      <c r="P355" t="n">
        <v>0</v>
      </c>
      <c r="Q355" t="n">
        <v>0</v>
      </c>
      <c r="R355" s="2" t="inlineStr"/>
    </row>
    <row r="356" ht="15" customHeight="1">
      <c r="A356" t="inlineStr">
        <is>
          <t>A 56792-2023</t>
        </is>
      </c>
      <c r="B356" s="1" t="n">
        <v>45244</v>
      </c>
      <c r="C356" s="1" t="n">
        <v>45993</v>
      </c>
      <c r="D356" t="inlineStr">
        <is>
          <t>ÖSTERGÖTLANDS LÄN</t>
        </is>
      </c>
      <c r="E356" t="inlineStr">
        <is>
          <t>LINKÖPING</t>
        </is>
      </c>
      <c r="F356" t="inlineStr">
        <is>
          <t>Övriga Aktiebolag</t>
        </is>
      </c>
      <c r="G356" t="n">
        <v>0.9</v>
      </c>
      <c r="H356" t="n">
        <v>0</v>
      </c>
      <c r="I356" t="n">
        <v>0</v>
      </c>
      <c r="J356" t="n">
        <v>0</v>
      </c>
      <c r="K356" t="n">
        <v>0</v>
      </c>
      <c r="L356" t="n">
        <v>0</v>
      </c>
      <c r="M356" t="n">
        <v>0</v>
      </c>
      <c r="N356" t="n">
        <v>0</v>
      </c>
      <c r="O356" t="n">
        <v>0</v>
      </c>
      <c r="P356" t="n">
        <v>0</v>
      </c>
      <c r="Q356" t="n">
        <v>0</v>
      </c>
      <c r="R356" s="2" t="inlineStr"/>
    </row>
    <row r="357" ht="15" customHeight="1">
      <c r="A357" t="inlineStr">
        <is>
          <t>A 3007-2023</t>
        </is>
      </c>
      <c r="B357" s="1" t="n">
        <v>44945</v>
      </c>
      <c r="C357" s="1" t="n">
        <v>45993</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40338-2024</t>
        </is>
      </c>
      <c r="B358" s="1" t="n">
        <v>45555.32940972222</v>
      </c>
      <c r="C358" s="1" t="n">
        <v>45993</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3013-2023</t>
        </is>
      </c>
      <c r="B359" s="1" t="n">
        <v>44945.8092824074</v>
      </c>
      <c r="C359" s="1" t="n">
        <v>45993</v>
      </c>
      <c r="D359" t="inlineStr">
        <is>
          <t>ÖSTERGÖTLANDS LÄN</t>
        </is>
      </c>
      <c r="E359" t="inlineStr">
        <is>
          <t>LINKÖPING</t>
        </is>
      </c>
      <c r="G359" t="n">
        <v>5.2</v>
      </c>
      <c r="H359" t="n">
        <v>0</v>
      </c>
      <c r="I359" t="n">
        <v>0</v>
      </c>
      <c r="J359" t="n">
        <v>0</v>
      </c>
      <c r="K359" t="n">
        <v>0</v>
      </c>
      <c r="L359" t="n">
        <v>0</v>
      </c>
      <c r="M359" t="n">
        <v>0</v>
      </c>
      <c r="N359" t="n">
        <v>0</v>
      </c>
      <c r="O359" t="n">
        <v>0</v>
      </c>
      <c r="P359" t="n">
        <v>0</v>
      </c>
      <c r="Q359" t="n">
        <v>0</v>
      </c>
      <c r="R359" s="2" t="inlineStr"/>
    </row>
    <row r="360" ht="15" customHeight="1">
      <c r="A360" t="inlineStr">
        <is>
          <t>A 13011-2022</t>
        </is>
      </c>
      <c r="B360" s="1" t="n">
        <v>44643</v>
      </c>
      <c r="C360" s="1" t="n">
        <v>45993</v>
      </c>
      <c r="D360" t="inlineStr">
        <is>
          <t>ÖSTERGÖTLANDS LÄN</t>
        </is>
      </c>
      <c r="E360" t="inlineStr">
        <is>
          <t>LINKÖPING</t>
        </is>
      </c>
      <c r="G360" t="n">
        <v>3.7</v>
      </c>
      <c r="H360" t="n">
        <v>0</v>
      </c>
      <c r="I360" t="n">
        <v>0</v>
      </c>
      <c r="J360" t="n">
        <v>0</v>
      </c>
      <c r="K360" t="n">
        <v>0</v>
      </c>
      <c r="L360" t="n">
        <v>0</v>
      </c>
      <c r="M360" t="n">
        <v>0</v>
      </c>
      <c r="N360" t="n">
        <v>0</v>
      </c>
      <c r="O360" t="n">
        <v>0</v>
      </c>
      <c r="P360" t="n">
        <v>0</v>
      </c>
      <c r="Q360" t="n">
        <v>0</v>
      </c>
      <c r="R360" s="2" t="inlineStr"/>
    </row>
    <row r="361" ht="15" customHeight="1">
      <c r="A361" t="inlineStr">
        <is>
          <t>A 30433-2024</t>
        </is>
      </c>
      <c r="B361" s="1" t="n">
        <v>45491.69741898148</v>
      </c>
      <c r="C361" s="1" t="n">
        <v>45993</v>
      </c>
      <c r="D361" t="inlineStr">
        <is>
          <t>ÖSTERGÖTLANDS LÄN</t>
        </is>
      </c>
      <c r="E361" t="inlineStr">
        <is>
          <t>LINKÖPING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55945-2024</t>
        </is>
      </c>
      <c r="B362" s="1" t="n">
        <v>45623.61754629629</v>
      </c>
      <c r="C362" s="1" t="n">
        <v>45993</v>
      </c>
      <c r="D362" t="inlineStr">
        <is>
          <t>ÖSTERGÖTLANDS LÄN</t>
        </is>
      </c>
      <c r="E362" t="inlineStr">
        <is>
          <t>LINKÖPING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11595-2025</t>
        </is>
      </c>
      <c r="B363" s="1" t="n">
        <v>45727.41893518518</v>
      </c>
      <c r="C363" s="1" t="n">
        <v>45993</v>
      </c>
      <c r="D363" t="inlineStr">
        <is>
          <t>ÖSTERGÖTLANDS LÄN</t>
        </is>
      </c>
      <c r="E363" t="inlineStr">
        <is>
          <t>LINKÖPING</t>
        </is>
      </c>
      <c r="G363" t="n">
        <v>6.6</v>
      </c>
      <c r="H363" t="n">
        <v>0</v>
      </c>
      <c r="I363" t="n">
        <v>0</v>
      </c>
      <c r="J363" t="n">
        <v>0</v>
      </c>
      <c r="K363" t="n">
        <v>0</v>
      </c>
      <c r="L363" t="n">
        <v>0</v>
      </c>
      <c r="M363" t="n">
        <v>0</v>
      </c>
      <c r="N363" t="n">
        <v>0</v>
      </c>
      <c r="O363" t="n">
        <v>0</v>
      </c>
      <c r="P363" t="n">
        <v>0</v>
      </c>
      <c r="Q363" t="n">
        <v>0</v>
      </c>
      <c r="R363" s="2" t="inlineStr"/>
    </row>
    <row r="364" ht="15" customHeight="1">
      <c r="A364" t="inlineStr">
        <is>
          <t>A 1993-2023</t>
        </is>
      </c>
      <c r="B364" s="1" t="n">
        <v>44939</v>
      </c>
      <c r="C364" s="1" t="n">
        <v>45993</v>
      </c>
      <c r="D364" t="inlineStr">
        <is>
          <t>ÖSTERGÖTLANDS LÄN</t>
        </is>
      </c>
      <c r="E364" t="inlineStr">
        <is>
          <t>LINKÖPING</t>
        </is>
      </c>
      <c r="G364" t="n">
        <v>3.7</v>
      </c>
      <c r="H364" t="n">
        <v>0</v>
      </c>
      <c r="I364" t="n">
        <v>0</v>
      </c>
      <c r="J364" t="n">
        <v>0</v>
      </c>
      <c r="K364" t="n">
        <v>0</v>
      </c>
      <c r="L364" t="n">
        <v>0</v>
      </c>
      <c r="M364" t="n">
        <v>0</v>
      </c>
      <c r="N364" t="n">
        <v>0</v>
      </c>
      <c r="O364" t="n">
        <v>0</v>
      </c>
      <c r="P364" t="n">
        <v>0</v>
      </c>
      <c r="Q364" t="n">
        <v>0</v>
      </c>
      <c r="R364" s="2" t="inlineStr"/>
    </row>
    <row r="365" ht="15" customHeight="1">
      <c r="A365" t="inlineStr">
        <is>
          <t>A 2618-2023</t>
        </is>
      </c>
      <c r="B365" s="1" t="n">
        <v>44944.35847222222</v>
      </c>
      <c r="C365" s="1" t="n">
        <v>45993</v>
      </c>
      <c r="D365" t="inlineStr">
        <is>
          <t>ÖSTERGÖTLANDS LÄN</t>
        </is>
      </c>
      <c r="E365" t="inlineStr">
        <is>
          <t>LINKÖPING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10203-2023</t>
        </is>
      </c>
      <c r="B366" s="1" t="n">
        <v>44986.55711805556</v>
      </c>
      <c r="C366" s="1" t="n">
        <v>45993</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50508-2024</t>
        </is>
      </c>
      <c r="B367" s="1" t="n">
        <v>45601.53907407408</v>
      </c>
      <c r="C367" s="1" t="n">
        <v>45993</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34889-2023</t>
        </is>
      </c>
      <c r="B368" s="1" t="n">
        <v>45140</v>
      </c>
      <c r="C368" s="1" t="n">
        <v>45993</v>
      </c>
      <c r="D368" t="inlineStr">
        <is>
          <t>ÖSTERGÖTLANDS LÄN</t>
        </is>
      </c>
      <c r="E368" t="inlineStr">
        <is>
          <t>LINKÖPING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34928-2023</t>
        </is>
      </c>
      <c r="B369" s="1" t="n">
        <v>45142</v>
      </c>
      <c r="C369" s="1" t="n">
        <v>45993</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52220-2023</t>
        </is>
      </c>
      <c r="B370" s="1" t="n">
        <v>45217</v>
      </c>
      <c r="C370" s="1" t="n">
        <v>45993</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52225-2023</t>
        </is>
      </c>
      <c r="B371" s="1" t="n">
        <v>45217</v>
      </c>
      <c r="C371" s="1" t="n">
        <v>45993</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36336-2022</t>
        </is>
      </c>
      <c r="B372" s="1" t="n">
        <v>44803</v>
      </c>
      <c r="C372" s="1" t="n">
        <v>45993</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19464-2024</t>
        </is>
      </c>
      <c r="B373" s="1" t="n">
        <v>45429</v>
      </c>
      <c r="C373" s="1" t="n">
        <v>45993</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1268-2023</t>
        </is>
      </c>
      <c r="B374" s="1" t="n">
        <v>44936</v>
      </c>
      <c r="C374" s="1" t="n">
        <v>45993</v>
      </c>
      <c r="D374" t="inlineStr">
        <is>
          <t>ÖSTERGÖTLANDS LÄN</t>
        </is>
      </c>
      <c r="E374" t="inlineStr">
        <is>
          <t>LINKÖPING</t>
        </is>
      </c>
      <c r="G374" t="n">
        <v>4.6</v>
      </c>
      <c r="H374" t="n">
        <v>0</v>
      </c>
      <c r="I374" t="n">
        <v>0</v>
      </c>
      <c r="J374" t="n">
        <v>0</v>
      </c>
      <c r="K374" t="n">
        <v>0</v>
      </c>
      <c r="L374" t="n">
        <v>0</v>
      </c>
      <c r="M374" t="n">
        <v>0</v>
      </c>
      <c r="N374" t="n">
        <v>0</v>
      </c>
      <c r="O374" t="n">
        <v>0</v>
      </c>
      <c r="P374" t="n">
        <v>0</v>
      </c>
      <c r="Q374" t="n">
        <v>0</v>
      </c>
      <c r="R374" s="2" t="inlineStr"/>
    </row>
    <row r="375" ht="15" customHeight="1">
      <c r="A375" t="inlineStr">
        <is>
          <t>A 42044-2023</t>
        </is>
      </c>
      <c r="B375" s="1" t="n">
        <v>45177</v>
      </c>
      <c r="C375" s="1" t="n">
        <v>45993</v>
      </c>
      <c r="D375" t="inlineStr">
        <is>
          <t>ÖSTERGÖTLANDS LÄN</t>
        </is>
      </c>
      <c r="E375" t="inlineStr">
        <is>
          <t>LINKÖPING</t>
        </is>
      </c>
      <c r="G375" t="n">
        <v>3.9</v>
      </c>
      <c r="H375" t="n">
        <v>0</v>
      </c>
      <c r="I375" t="n">
        <v>0</v>
      </c>
      <c r="J375" t="n">
        <v>0</v>
      </c>
      <c r="K375" t="n">
        <v>0</v>
      </c>
      <c r="L375" t="n">
        <v>0</v>
      </c>
      <c r="M375" t="n">
        <v>0</v>
      </c>
      <c r="N375" t="n">
        <v>0</v>
      </c>
      <c r="O375" t="n">
        <v>0</v>
      </c>
      <c r="P375" t="n">
        <v>0</v>
      </c>
      <c r="Q375" t="n">
        <v>0</v>
      </c>
      <c r="R375" s="2" t="inlineStr"/>
    </row>
    <row r="376" ht="15" customHeight="1">
      <c r="A376" t="inlineStr">
        <is>
          <t>A 5314-2021</t>
        </is>
      </c>
      <c r="B376" s="1" t="n">
        <v>44229</v>
      </c>
      <c r="C376" s="1" t="n">
        <v>45993</v>
      </c>
      <c r="D376" t="inlineStr">
        <is>
          <t>ÖSTERGÖTLANDS LÄN</t>
        </is>
      </c>
      <c r="E376" t="inlineStr">
        <is>
          <t>LINKÖPING</t>
        </is>
      </c>
      <c r="G376" t="n">
        <v>6.2</v>
      </c>
      <c r="H376" t="n">
        <v>0</v>
      </c>
      <c r="I376" t="n">
        <v>0</v>
      </c>
      <c r="J376" t="n">
        <v>0</v>
      </c>
      <c r="K376" t="n">
        <v>0</v>
      </c>
      <c r="L376" t="n">
        <v>0</v>
      </c>
      <c r="M376" t="n">
        <v>0</v>
      </c>
      <c r="N376" t="n">
        <v>0</v>
      </c>
      <c r="O376" t="n">
        <v>0</v>
      </c>
      <c r="P376" t="n">
        <v>0</v>
      </c>
      <c r="Q376" t="n">
        <v>0</v>
      </c>
      <c r="R376" s="2" t="inlineStr"/>
    </row>
    <row r="377" ht="15" customHeight="1">
      <c r="A377" t="inlineStr">
        <is>
          <t>A 48839-2022</t>
        </is>
      </c>
      <c r="B377" s="1" t="n">
        <v>44859</v>
      </c>
      <c r="C377" s="1" t="n">
        <v>45993</v>
      </c>
      <c r="D377" t="inlineStr">
        <is>
          <t>ÖSTERGÖTLANDS LÄN</t>
        </is>
      </c>
      <c r="E377" t="inlineStr">
        <is>
          <t>LINKÖPING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38046-2025</t>
        </is>
      </c>
      <c r="B378" s="1" t="n">
        <v>45882.39939814815</v>
      </c>
      <c r="C378" s="1" t="n">
        <v>45993</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630-2024</t>
        </is>
      </c>
      <c r="B379" s="1" t="n">
        <v>45299.67736111111</v>
      </c>
      <c r="C379" s="1" t="n">
        <v>45993</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49747-2024</t>
        </is>
      </c>
      <c r="B380" s="1" t="n">
        <v>45596</v>
      </c>
      <c r="C380" s="1" t="n">
        <v>45993</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6387-2022</t>
        </is>
      </c>
      <c r="B381" s="1" t="n">
        <v>44600</v>
      </c>
      <c r="C381" s="1" t="n">
        <v>45993</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3008-2023</t>
        </is>
      </c>
      <c r="B382" s="1" t="n">
        <v>44945.79784722222</v>
      </c>
      <c r="C382" s="1" t="n">
        <v>45993</v>
      </c>
      <c r="D382" t="inlineStr">
        <is>
          <t>ÖSTERGÖTLANDS LÄN</t>
        </is>
      </c>
      <c r="E382" t="inlineStr">
        <is>
          <t>LINKÖPING</t>
        </is>
      </c>
      <c r="G382" t="n">
        <v>19.3</v>
      </c>
      <c r="H382" t="n">
        <v>0</v>
      </c>
      <c r="I382" t="n">
        <v>0</v>
      </c>
      <c r="J382" t="n">
        <v>0</v>
      </c>
      <c r="K382" t="n">
        <v>0</v>
      </c>
      <c r="L382" t="n">
        <v>0</v>
      </c>
      <c r="M382" t="n">
        <v>0</v>
      </c>
      <c r="N382" t="n">
        <v>0</v>
      </c>
      <c r="O382" t="n">
        <v>0</v>
      </c>
      <c r="P382" t="n">
        <v>0</v>
      </c>
      <c r="Q382" t="n">
        <v>0</v>
      </c>
      <c r="R382" s="2" t="inlineStr"/>
    </row>
    <row r="383" ht="15" customHeight="1">
      <c r="A383" t="inlineStr">
        <is>
          <t>A 34641-2022</t>
        </is>
      </c>
      <c r="B383" s="1" t="n">
        <v>44795</v>
      </c>
      <c r="C383" s="1" t="n">
        <v>45993</v>
      </c>
      <c r="D383" t="inlineStr">
        <is>
          <t>ÖSTERGÖTLANDS LÄN</t>
        </is>
      </c>
      <c r="E383" t="inlineStr">
        <is>
          <t>LINKÖPING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31725-2022</t>
        </is>
      </c>
      <c r="B384" s="1" t="n">
        <v>44776.48541666667</v>
      </c>
      <c r="C384" s="1" t="n">
        <v>45993</v>
      </c>
      <c r="D384" t="inlineStr">
        <is>
          <t>ÖSTERGÖTLANDS LÄN</t>
        </is>
      </c>
      <c r="E384" t="inlineStr">
        <is>
          <t>LINKÖPING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13687-2025</t>
        </is>
      </c>
      <c r="B385" s="1" t="n">
        <v>45737.31425925926</v>
      </c>
      <c r="C385" s="1" t="n">
        <v>45993</v>
      </c>
      <c r="D385" t="inlineStr">
        <is>
          <t>ÖSTERGÖTLANDS LÄN</t>
        </is>
      </c>
      <c r="E385" t="inlineStr">
        <is>
          <t>LINKÖPING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13695-2025</t>
        </is>
      </c>
      <c r="B386" s="1" t="n">
        <v>45737.32219907407</v>
      </c>
      <c r="C386" s="1" t="n">
        <v>45993</v>
      </c>
      <c r="D386" t="inlineStr">
        <is>
          <t>ÖSTERGÖTLANDS LÄN</t>
        </is>
      </c>
      <c r="E386" t="inlineStr">
        <is>
          <t>LINKÖPING</t>
        </is>
      </c>
      <c r="G386" t="n">
        <v>5.3</v>
      </c>
      <c r="H386" t="n">
        <v>0</v>
      </c>
      <c r="I386" t="n">
        <v>0</v>
      </c>
      <c r="J386" t="n">
        <v>0</v>
      </c>
      <c r="K386" t="n">
        <v>0</v>
      </c>
      <c r="L386" t="n">
        <v>0</v>
      </c>
      <c r="M386" t="n">
        <v>0</v>
      </c>
      <c r="N386" t="n">
        <v>0</v>
      </c>
      <c r="O386" t="n">
        <v>0</v>
      </c>
      <c r="P386" t="n">
        <v>0</v>
      </c>
      <c r="Q386" t="n">
        <v>0</v>
      </c>
      <c r="R386" s="2" t="inlineStr"/>
    </row>
    <row r="387" ht="15" customHeight="1">
      <c r="A387" t="inlineStr">
        <is>
          <t>A 55345-2021</t>
        </is>
      </c>
      <c r="B387" s="1" t="n">
        <v>44475</v>
      </c>
      <c r="C387" s="1" t="n">
        <v>45993</v>
      </c>
      <c r="D387" t="inlineStr">
        <is>
          <t>ÖSTERGÖTLANDS LÄN</t>
        </is>
      </c>
      <c r="E387" t="inlineStr">
        <is>
          <t>LINKÖPING</t>
        </is>
      </c>
      <c r="G387" t="n">
        <v>5.7</v>
      </c>
      <c r="H387" t="n">
        <v>0</v>
      </c>
      <c r="I387" t="n">
        <v>0</v>
      </c>
      <c r="J387" t="n">
        <v>0</v>
      </c>
      <c r="K387" t="n">
        <v>0</v>
      </c>
      <c r="L387" t="n">
        <v>0</v>
      </c>
      <c r="M387" t="n">
        <v>0</v>
      </c>
      <c r="N387" t="n">
        <v>0</v>
      </c>
      <c r="O387" t="n">
        <v>0</v>
      </c>
      <c r="P387" t="n">
        <v>0</v>
      </c>
      <c r="Q387" t="n">
        <v>0</v>
      </c>
      <c r="R387" s="2" t="inlineStr"/>
    </row>
    <row r="388" ht="15" customHeight="1">
      <c r="A388" t="inlineStr">
        <is>
          <t>A 21782-2024</t>
        </is>
      </c>
      <c r="B388" s="1" t="n">
        <v>45442.63368055555</v>
      </c>
      <c r="C388" s="1" t="n">
        <v>45993</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61281-2021</t>
        </is>
      </c>
      <c r="B389" s="1" t="n">
        <v>44498.60736111111</v>
      </c>
      <c r="C389" s="1" t="n">
        <v>45993</v>
      </c>
      <c r="D389" t="inlineStr">
        <is>
          <t>ÖSTERGÖTLANDS LÄN</t>
        </is>
      </c>
      <c r="E389" t="inlineStr">
        <is>
          <t>LINKÖPING</t>
        </is>
      </c>
      <c r="G389" t="n">
        <v>4.5</v>
      </c>
      <c r="H389" t="n">
        <v>0</v>
      </c>
      <c r="I389" t="n">
        <v>0</v>
      </c>
      <c r="J389" t="n">
        <v>0</v>
      </c>
      <c r="K389" t="n">
        <v>0</v>
      </c>
      <c r="L389" t="n">
        <v>0</v>
      </c>
      <c r="M389" t="n">
        <v>0</v>
      </c>
      <c r="N389" t="n">
        <v>0</v>
      </c>
      <c r="O389" t="n">
        <v>0</v>
      </c>
      <c r="P389" t="n">
        <v>0</v>
      </c>
      <c r="Q389" t="n">
        <v>0</v>
      </c>
      <c r="R389" s="2" t="inlineStr"/>
    </row>
    <row r="390" ht="15" customHeight="1">
      <c r="A390" t="inlineStr">
        <is>
          <t>A 63935-2021</t>
        </is>
      </c>
      <c r="B390" s="1" t="n">
        <v>44509</v>
      </c>
      <c r="C390" s="1" t="n">
        <v>45993</v>
      </c>
      <c r="D390" t="inlineStr">
        <is>
          <t>ÖSTERGÖTLANDS LÄN</t>
        </is>
      </c>
      <c r="E390" t="inlineStr">
        <is>
          <t>LINKÖPING</t>
        </is>
      </c>
      <c r="F390" t="inlineStr">
        <is>
          <t>Övriga statliga verk och myndigheter</t>
        </is>
      </c>
      <c r="G390" t="n">
        <v>2.8</v>
      </c>
      <c r="H390" t="n">
        <v>0</v>
      </c>
      <c r="I390" t="n">
        <v>0</v>
      </c>
      <c r="J390" t="n">
        <v>0</v>
      </c>
      <c r="K390" t="n">
        <v>0</v>
      </c>
      <c r="L390" t="n">
        <v>0</v>
      </c>
      <c r="M390" t="n">
        <v>0</v>
      </c>
      <c r="N390" t="n">
        <v>0</v>
      </c>
      <c r="O390" t="n">
        <v>0</v>
      </c>
      <c r="P390" t="n">
        <v>0</v>
      </c>
      <c r="Q390" t="n">
        <v>0</v>
      </c>
      <c r="R390" s="2" t="inlineStr"/>
    </row>
    <row r="391" ht="15" customHeight="1">
      <c r="A391" t="inlineStr">
        <is>
          <t>A 25292-2021</t>
        </is>
      </c>
      <c r="B391" s="1" t="n">
        <v>44342</v>
      </c>
      <c r="C391" s="1" t="n">
        <v>45993</v>
      </c>
      <c r="D391" t="inlineStr">
        <is>
          <t>ÖSTERGÖTLANDS LÄN</t>
        </is>
      </c>
      <c r="E391" t="inlineStr">
        <is>
          <t>LINKÖPING</t>
        </is>
      </c>
      <c r="F391" t="inlineStr">
        <is>
          <t>Övriga Aktiebolag</t>
        </is>
      </c>
      <c r="G391" t="n">
        <v>12.8</v>
      </c>
      <c r="H391" t="n">
        <v>0</v>
      </c>
      <c r="I391" t="n">
        <v>0</v>
      </c>
      <c r="J391" t="n">
        <v>0</v>
      </c>
      <c r="K391" t="n">
        <v>0</v>
      </c>
      <c r="L391" t="n">
        <v>0</v>
      </c>
      <c r="M391" t="n">
        <v>0</v>
      </c>
      <c r="N391" t="n">
        <v>0</v>
      </c>
      <c r="O391" t="n">
        <v>0</v>
      </c>
      <c r="P391" t="n">
        <v>0</v>
      </c>
      <c r="Q391" t="n">
        <v>0</v>
      </c>
      <c r="R391" s="2" t="inlineStr"/>
    </row>
    <row r="392" ht="15" customHeight="1">
      <c r="A392" t="inlineStr">
        <is>
          <t>A 52413-2023</t>
        </is>
      </c>
      <c r="B392" s="1" t="n">
        <v>45225.27950231481</v>
      </c>
      <c r="C392" s="1" t="n">
        <v>45993</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2389-2023</t>
        </is>
      </c>
      <c r="B393" s="1" t="n">
        <v>44942</v>
      </c>
      <c r="C393" s="1" t="n">
        <v>45993</v>
      </c>
      <c r="D393" t="inlineStr">
        <is>
          <t>ÖSTERGÖTLANDS LÄN</t>
        </is>
      </c>
      <c r="E393" t="inlineStr">
        <is>
          <t>LINKÖPING</t>
        </is>
      </c>
      <c r="G393" t="n">
        <v>3.3</v>
      </c>
      <c r="H393" t="n">
        <v>0</v>
      </c>
      <c r="I393" t="n">
        <v>0</v>
      </c>
      <c r="J393" t="n">
        <v>0</v>
      </c>
      <c r="K393" t="n">
        <v>0</v>
      </c>
      <c r="L393" t="n">
        <v>0</v>
      </c>
      <c r="M393" t="n">
        <v>0</v>
      </c>
      <c r="N393" t="n">
        <v>0</v>
      </c>
      <c r="O393" t="n">
        <v>0</v>
      </c>
      <c r="P393" t="n">
        <v>0</v>
      </c>
      <c r="Q393" t="n">
        <v>0</v>
      </c>
      <c r="R393" s="2" t="inlineStr"/>
    </row>
    <row r="394" ht="15" customHeight="1">
      <c r="A394" t="inlineStr">
        <is>
          <t>A 3627-2023</t>
        </is>
      </c>
      <c r="B394" s="1" t="n">
        <v>44950.64782407408</v>
      </c>
      <c r="C394" s="1" t="n">
        <v>45993</v>
      </c>
      <c r="D394" t="inlineStr">
        <is>
          <t>ÖSTERGÖTLANDS LÄN</t>
        </is>
      </c>
      <c r="E394" t="inlineStr">
        <is>
          <t>LINKÖPING</t>
        </is>
      </c>
      <c r="G394" t="n">
        <v>3.1</v>
      </c>
      <c r="H394" t="n">
        <v>0</v>
      </c>
      <c r="I394" t="n">
        <v>0</v>
      </c>
      <c r="J394" t="n">
        <v>0</v>
      </c>
      <c r="K394" t="n">
        <v>0</v>
      </c>
      <c r="L394" t="n">
        <v>0</v>
      </c>
      <c r="M394" t="n">
        <v>0</v>
      </c>
      <c r="N394" t="n">
        <v>0</v>
      </c>
      <c r="O394" t="n">
        <v>0</v>
      </c>
      <c r="P394" t="n">
        <v>0</v>
      </c>
      <c r="Q394" t="n">
        <v>0</v>
      </c>
      <c r="R394" s="2" t="inlineStr"/>
    </row>
    <row r="395" ht="15" customHeight="1">
      <c r="A395" t="inlineStr">
        <is>
          <t>A 62687-2023</t>
        </is>
      </c>
      <c r="B395" s="1" t="n">
        <v>45271</v>
      </c>
      <c r="C395" s="1" t="n">
        <v>45993</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42054-2022</t>
        </is>
      </c>
      <c r="B396" s="1" t="n">
        <v>44830</v>
      </c>
      <c r="C396" s="1" t="n">
        <v>45993</v>
      </c>
      <c r="D396" t="inlineStr">
        <is>
          <t>ÖSTERGÖTLANDS LÄN</t>
        </is>
      </c>
      <c r="E396" t="inlineStr">
        <is>
          <t>LINKÖPING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53797-2023</t>
        </is>
      </c>
      <c r="B397" s="1" t="n">
        <v>45230</v>
      </c>
      <c r="C397" s="1" t="n">
        <v>45993</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39074-2025</t>
        </is>
      </c>
      <c r="B398" s="1" t="n">
        <v>45888</v>
      </c>
      <c r="C398" s="1" t="n">
        <v>45993</v>
      </c>
      <c r="D398" t="inlineStr">
        <is>
          <t>ÖSTERGÖTLANDS LÄN</t>
        </is>
      </c>
      <c r="E398" t="inlineStr">
        <is>
          <t>LINKÖPING</t>
        </is>
      </c>
      <c r="G398" t="n">
        <v>2.9</v>
      </c>
      <c r="H398" t="n">
        <v>0</v>
      </c>
      <c r="I398" t="n">
        <v>0</v>
      </c>
      <c r="J398" t="n">
        <v>0</v>
      </c>
      <c r="K398" t="n">
        <v>0</v>
      </c>
      <c r="L398" t="n">
        <v>0</v>
      </c>
      <c r="M398" t="n">
        <v>0</v>
      </c>
      <c r="N398" t="n">
        <v>0</v>
      </c>
      <c r="O398" t="n">
        <v>0</v>
      </c>
      <c r="P398" t="n">
        <v>0</v>
      </c>
      <c r="Q398" t="n">
        <v>0</v>
      </c>
      <c r="R398" s="2" t="inlineStr"/>
    </row>
    <row r="399" ht="15" customHeight="1">
      <c r="A399" t="inlineStr">
        <is>
          <t>A 18891-2022</t>
        </is>
      </c>
      <c r="B399" s="1" t="n">
        <v>44690</v>
      </c>
      <c r="C399" s="1" t="n">
        <v>45993</v>
      </c>
      <c r="D399" t="inlineStr">
        <is>
          <t>ÖSTERGÖTLANDS LÄN</t>
        </is>
      </c>
      <c r="E399" t="inlineStr">
        <is>
          <t>LINKÖPING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26620-2023</t>
        </is>
      </c>
      <c r="B400" s="1" t="n">
        <v>45092.70390046296</v>
      </c>
      <c r="C400" s="1" t="n">
        <v>45993</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22833-2023</t>
        </is>
      </c>
      <c r="B401" s="1" t="n">
        <v>45071</v>
      </c>
      <c r="C401" s="1" t="n">
        <v>45993</v>
      </c>
      <c r="D401" t="inlineStr">
        <is>
          <t>ÖSTERGÖTLANDS LÄN</t>
        </is>
      </c>
      <c r="E401" t="inlineStr">
        <is>
          <t>LINKÖPING</t>
        </is>
      </c>
      <c r="F401" t="inlineStr">
        <is>
          <t>Kommuner</t>
        </is>
      </c>
      <c r="G401" t="n">
        <v>1</v>
      </c>
      <c r="H401" t="n">
        <v>0</v>
      </c>
      <c r="I401" t="n">
        <v>0</v>
      </c>
      <c r="J401" t="n">
        <v>0</v>
      </c>
      <c r="K401" t="n">
        <v>0</v>
      </c>
      <c r="L401" t="n">
        <v>0</v>
      </c>
      <c r="M401" t="n">
        <v>0</v>
      </c>
      <c r="N401" t="n">
        <v>0</v>
      </c>
      <c r="O401" t="n">
        <v>0</v>
      </c>
      <c r="P401" t="n">
        <v>0</v>
      </c>
      <c r="Q401" t="n">
        <v>0</v>
      </c>
      <c r="R401" s="2" t="inlineStr"/>
    </row>
    <row r="402" ht="15" customHeight="1">
      <c r="A402" t="inlineStr">
        <is>
          <t>A 17898-2022</t>
        </is>
      </c>
      <c r="B402" s="1" t="n">
        <v>44683</v>
      </c>
      <c r="C402" s="1" t="n">
        <v>45993</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62017-2024</t>
        </is>
      </c>
      <c r="B403" s="1" t="n">
        <v>45655.81140046296</v>
      </c>
      <c r="C403" s="1" t="n">
        <v>45993</v>
      </c>
      <c r="D403" t="inlineStr">
        <is>
          <t>ÖSTERGÖTLANDS LÄN</t>
        </is>
      </c>
      <c r="E403" t="inlineStr">
        <is>
          <t>LINKÖPING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38971-2025</t>
        </is>
      </c>
      <c r="B404" s="1" t="n">
        <v>45887.71827546296</v>
      </c>
      <c r="C404" s="1" t="n">
        <v>45993</v>
      </c>
      <c r="D404" t="inlineStr">
        <is>
          <t>ÖSTERGÖTLANDS LÄN</t>
        </is>
      </c>
      <c r="E404" t="inlineStr">
        <is>
          <t>LINKÖPING</t>
        </is>
      </c>
      <c r="G404" t="n">
        <v>3.9</v>
      </c>
      <c r="H404" t="n">
        <v>0</v>
      </c>
      <c r="I404" t="n">
        <v>0</v>
      </c>
      <c r="J404" t="n">
        <v>0</v>
      </c>
      <c r="K404" t="n">
        <v>0</v>
      </c>
      <c r="L404" t="n">
        <v>0</v>
      </c>
      <c r="M404" t="n">
        <v>0</v>
      </c>
      <c r="N404" t="n">
        <v>0</v>
      </c>
      <c r="O404" t="n">
        <v>0</v>
      </c>
      <c r="P404" t="n">
        <v>0</v>
      </c>
      <c r="Q404" t="n">
        <v>0</v>
      </c>
      <c r="R404" s="2" t="inlineStr"/>
    </row>
    <row r="405" ht="15" customHeight="1">
      <c r="A405" t="inlineStr">
        <is>
          <t>A 72567-2021</t>
        </is>
      </c>
      <c r="B405" s="1" t="n">
        <v>44546.45023148148</v>
      </c>
      <c r="C405" s="1" t="n">
        <v>45993</v>
      </c>
      <c r="D405" t="inlineStr">
        <is>
          <t>ÖSTERGÖTLANDS LÄN</t>
        </is>
      </c>
      <c r="E405" t="inlineStr">
        <is>
          <t>LINKÖPING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57766-2023</t>
        </is>
      </c>
      <c r="B406" s="1" t="n">
        <v>45246</v>
      </c>
      <c r="C406" s="1" t="n">
        <v>45993</v>
      </c>
      <c r="D406" t="inlineStr">
        <is>
          <t>ÖSTERGÖTLANDS LÄN</t>
        </is>
      </c>
      <c r="E406" t="inlineStr">
        <is>
          <t>LINKÖPING</t>
        </is>
      </c>
      <c r="F406" t="inlineStr">
        <is>
          <t>Allmännings- och besparingsskogar</t>
        </is>
      </c>
      <c r="G406" t="n">
        <v>12.8</v>
      </c>
      <c r="H406" t="n">
        <v>0</v>
      </c>
      <c r="I406" t="n">
        <v>0</v>
      </c>
      <c r="J406" t="n">
        <v>0</v>
      </c>
      <c r="K406" t="n">
        <v>0</v>
      </c>
      <c r="L406" t="n">
        <v>0</v>
      </c>
      <c r="M406" t="n">
        <v>0</v>
      </c>
      <c r="N406" t="n">
        <v>0</v>
      </c>
      <c r="O406" t="n">
        <v>0</v>
      </c>
      <c r="P406" t="n">
        <v>0</v>
      </c>
      <c r="Q406" t="n">
        <v>0</v>
      </c>
      <c r="R406" s="2" t="inlineStr"/>
    </row>
    <row r="407" ht="15" customHeight="1">
      <c r="A407" t="inlineStr">
        <is>
          <t>A 56180-2024</t>
        </is>
      </c>
      <c r="B407" s="1" t="n">
        <v>45624.56611111111</v>
      </c>
      <c r="C407" s="1" t="n">
        <v>45993</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938-2023</t>
        </is>
      </c>
      <c r="B408" s="1" t="n">
        <v>44933</v>
      </c>
      <c r="C408" s="1" t="n">
        <v>45993</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25418-2023</t>
        </is>
      </c>
      <c r="B409" s="1" t="n">
        <v>45089</v>
      </c>
      <c r="C409" s="1" t="n">
        <v>45993</v>
      </c>
      <c r="D409" t="inlineStr">
        <is>
          <t>ÖSTERGÖTLANDS LÄN</t>
        </is>
      </c>
      <c r="E409" t="inlineStr">
        <is>
          <t>LINKÖPING</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60007-2022</t>
        </is>
      </c>
      <c r="B410" s="1" t="n">
        <v>44909.47282407407</v>
      </c>
      <c r="C410" s="1" t="n">
        <v>45993</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12411-2022</t>
        </is>
      </c>
      <c r="B411" s="1" t="n">
        <v>44638.21601851852</v>
      </c>
      <c r="C411" s="1" t="n">
        <v>45993</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10492-2022</t>
        </is>
      </c>
      <c r="B412" s="1" t="n">
        <v>44623.6377199074</v>
      </c>
      <c r="C412" s="1" t="n">
        <v>45993</v>
      </c>
      <c r="D412" t="inlineStr">
        <is>
          <t>ÖSTERGÖTLANDS LÄN</t>
        </is>
      </c>
      <c r="E412" t="inlineStr">
        <is>
          <t>LINKÖPING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27264-2025</t>
        </is>
      </c>
      <c r="B413" s="1" t="n">
        <v>45812.4794212963</v>
      </c>
      <c r="C413" s="1" t="n">
        <v>45993</v>
      </c>
      <c r="D413" t="inlineStr">
        <is>
          <t>ÖSTERGÖTLANDS LÄN</t>
        </is>
      </c>
      <c r="E413" t="inlineStr">
        <is>
          <t>LINKÖPING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11601-2023</t>
        </is>
      </c>
      <c r="B414" s="1" t="n">
        <v>44994</v>
      </c>
      <c r="C414" s="1" t="n">
        <v>45993</v>
      </c>
      <c r="D414" t="inlineStr">
        <is>
          <t>ÖSTERGÖTLANDS LÄN</t>
        </is>
      </c>
      <c r="E414" t="inlineStr">
        <is>
          <t>LINKÖPING</t>
        </is>
      </c>
      <c r="G414" t="n">
        <v>1.7</v>
      </c>
      <c r="H414" t="n">
        <v>0</v>
      </c>
      <c r="I414" t="n">
        <v>0</v>
      </c>
      <c r="J414" t="n">
        <v>0</v>
      </c>
      <c r="K414" t="n">
        <v>0</v>
      </c>
      <c r="L414" t="n">
        <v>0</v>
      </c>
      <c r="M414" t="n">
        <v>0</v>
      </c>
      <c r="N414" t="n">
        <v>0</v>
      </c>
      <c r="O414" t="n">
        <v>0</v>
      </c>
      <c r="P414" t="n">
        <v>0</v>
      </c>
      <c r="Q414" t="n">
        <v>0</v>
      </c>
      <c r="R414" s="2" t="inlineStr"/>
    </row>
    <row r="415" ht="15" customHeight="1">
      <c r="A415" t="inlineStr">
        <is>
          <t>A 7343-2025</t>
        </is>
      </c>
      <c r="B415" s="1" t="n">
        <v>45703.67853009259</v>
      </c>
      <c r="C415" s="1" t="n">
        <v>45993</v>
      </c>
      <c r="D415" t="inlineStr">
        <is>
          <t>ÖSTERGÖTLANDS LÄN</t>
        </is>
      </c>
      <c r="E415" t="inlineStr">
        <is>
          <t>LINKÖPING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8967-2025</t>
        </is>
      </c>
      <c r="B416" s="1" t="n">
        <v>45712</v>
      </c>
      <c r="C416" s="1" t="n">
        <v>45993</v>
      </c>
      <c r="D416" t="inlineStr">
        <is>
          <t>ÖSTERGÖTLANDS LÄN</t>
        </is>
      </c>
      <c r="E416" t="inlineStr">
        <is>
          <t>LINKÖPING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39438-2025</t>
        </is>
      </c>
      <c r="B417" s="1" t="n">
        <v>45889.68641203704</v>
      </c>
      <c r="C417" s="1" t="n">
        <v>45993</v>
      </c>
      <c r="D417" t="inlineStr">
        <is>
          <t>ÖSTERGÖTLANDS LÄN</t>
        </is>
      </c>
      <c r="E417" t="inlineStr">
        <is>
          <t>LINKÖPING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35427-2023</t>
        </is>
      </c>
      <c r="B418" s="1" t="n">
        <v>45146</v>
      </c>
      <c r="C418" s="1" t="n">
        <v>45993</v>
      </c>
      <c r="D418" t="inlineStr">
        <is>
          <t>ÖSTERGÖTLANDS LÄN</t>
        </is>
      </c>
      <c r="E418" t="inlineStr">
        <is>
          <t>LINKÖPING</t>
        </is>
      </c>
      <c r="F418" t="inlineStr">
        <is>
          <t>Övriga Aktiebolag</t>
        </is>
      </c>
      <c r="G418" t="n">
        <v>2.5</v>
      </c>
      <c r="H418" t="n">
        <v>0</v>
      </c>
      <c r="I418" t="n">
        <v>0</v>
      </c>
      <c r="J418" t="n">
        <v>0</v>
      </c>
      <c r="K418" t="n">
        <v>0</v>
      </c>
      <c r="L418" t="n">
        <v>0</v>
      </c>
      <c r="M418" t="n">
        <v>0</v>
      </c>
      <c r="N418" t="n">
        <v>0</v>
      </c>
      <c r="O418" t="n">
        <v>0</v>
      </c>
      <c r="P418" t="n">
        <v>0</v>
      </c>
      <c r="Q418" t="n">
        <v>0</v>
      </c>
      <c r="R418" s="2" t="inlineStr"/>
    </row>
    <row r="419" ht="15" customHeight="1">
      <c r="A419" t="inlineStr">
        <is>
          <t>A 30468-2023</t>
        </is>
      </c>
      <c r="B419" s="1" t="n">
        <v>45111.58732638889</v>
      </c>
      <c r="C419" s="1" t="n">
        <v>45993</v>
      </c>
      <c r="D419" t="inlineStr">
        <is>
          <t>ÖSTERGÖTLANDS LÄN</t>
        </is>
      </c>
      <c r="E419" t="inlineStr">
        <is>
          <t>LINKÖPING</t>
        </is>
      </c>
      <c r="G419" t="n">
        <v>10.1</v>
      </c>
      <c r="H419" t="n">
        <v>0</v>
      </c>
      <c r="I419" t="n">
        <v>0</v>
      </c>
      <c r="J419" t="n">
        <v>0</v>
      </c>
      <c r="K419" t="n">
        <v>0</v>
      </c>
      <c r="L419" t="n">
        <v>0</v>
      </c>
      <c r="M419" t="n">
        <v>0</v>
      </c>
      <c r="N419" t="n">
        <v>0</v>
      </c>
      <c r="O419" t="n">
        <v>0</v>
      </c>
      <c r="P419" t="n">
        <v>0</v>
      </c>
      <c r="Q419" t="n">
        <v>0</v>
      </c>
      <c r="R419" s="2" t="inlineStr"/>
    </row>
    <row r="420" ht="15" customHeight="1">
      <c r="A420" t="inlineStr">
        <is>
          <t>A 27186-2021</t>
        </is>
      </c>
      <c r="B420" s="1" t="n">
        <v>44350.67715277777</v>
      </c>
      <c r="C420" s="1" t="n">
        <v>45993</v>
      </c>
      <c r="D420" t="inlineStr">
        <is>
          <t>ÖSTERGÖTLANDS LÄN</t>
        </is>
      </c>
      <c r="E420" t="inlineStr">
        <is>
          <t>LINKÖPING</t>
        </is>
      </c>
      <c r="F420" t="inlineStr">
        <is>
          <t>Allmännings- och besparingsskogar</t>
        </is>
      </c>
      <c r="G420" t="n">
        <v>1.4</v>
      </c>
      <c r="H420" t="n">
        <v>0</v>
      </c>
      <c r="I420" t="n">
        <v>0</v>
      </c>
      <c r="J420" t="n">
        <v>0</v>
      </c>
      <c r="K420" t="n">
        <v>0</v>
      </c>
      <c r="L420" t="n">
        <v>0</v>
      </c>
      <c r="M420" t="n">
        <v>0</v>
      </c>
      <c r="N420" t="n">
        <v>0</v>
      </c>
      <c r="O420" t="n">
        <v>0</v>
      </c>
      <c r="P420" t="n">
        <v>0</v>
      </c>
      <c r="Q420" t="n">
        <v>0</v>
      </c>
      <c r="R420" s="2" t="inlineStr"/>
    </row>
    <row r="421" ht="15" customHeight="1">
      <c r="A421" t="inlineStr">
        <is>
          <t>A 10194-2023</t>
        </is>
      </c>
      <c r="B421" s="1" t="n">
        <v>44986.52277777778</v>
      </c>
      <c r="C421" s="1" t="n">
        <v>45993</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55944-2024</t>
        </is>
      </c>
      <c r="B422" s="1" t="n">
        <v>45623.61640046296</v>
      </c>
      <c r="C422" s="1" t="n">
        <v>45993</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55947-2024</t>
        </is>
      </c>
      <c r="B423" s="1" t="n">
        <v>45623</v>
      </c>
      <c r="C423" s="1" t="n">
        <v>45993</v>
      </c>
      <c r="D423" t="inlineStr">
        <is>
          <t>ÖSTERGÖTLANDS LÄN</t>
        </is>
      </c>
      <c r="E423" t="inlineStr">
        <is>
          <t>LINKÖPING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47703-2023</t>
        </is>
      </c>
      <c r="B424" s="1" t="n">
        <v>45203</v>
      </c>
      <c r="C424" s="1" t="n">
        <v>45993</v>
      </c>
      <c r="D424" t="inlineStr">
        <is>
          <t>ÖSTERGÖTLANDS LÄN</t>
        </is>
      </c>
      <c r="E424" t="inlineStr">
        <is>
          <t>LINKÖPING</t>
        </is>
      </c>
      <c r="G424" t="n">
        <v>4.1</v>
      </c>
      <c r="H424" t="n">
        <v>0</v>
      </c>
      <c r="I424" t="n">
        <v>0</v>
      </c>
      <c r="J424" t="n">
        <v>0</v>
      </c>
      <c r="K424" t="n">
        <v>0</v>
      </c>
      <c r="L424" t="n">
        <v>0</v>
      </c>
      <c r="M424" t="n">
        <v>0</v>
      </c>
      <c r="N424" t="n">
        <v>0</v>
      </c>
      <c r="O424" t="n">
        <v>0</v>
      </c>
      <c r="P424" t="n">
        <v>0</v>
      </c>
      <c r="Q424" t="n">
        <v>0</v>
      </c>
      <c r="R424" s="2" t="inlineStr"/>
    </row>
    <row r="425" ht="15" customHeight="1">
      <c r="A425" t="inlineStr">
        <is>
          <t>A 20296-2025</t>
        </is>
      </c>
      <c r="B425" s="1" t="n">
        <v>45774.74922453704</v>
      </c>
      <c r="C425" s="1" t="n">
        <v>45993</v>
      </c>
      <c r="D425" t="inlineStr">
        <is>
          <t>ÖSTERGÖTLANDS LÄN</t>
        </is>
      </c>
      <c r="E425" t="inlineStr">
        <is>
          <t>LINKÖPING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1260-2023</t>
        </is>
      </c>
      <c r="B426" s="1" t="n">
        <v>44936</v>
      </c>
      <c r="C426" s="1" t="n">
        <v>45993</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7702-2023</t>
        </is>
      </c>
      <c r="B427" s="1" t="n">
        <v>44967</v>
      </c>
      <c r="C427" s="1" t="n">
        <v>45993</v>
      </c>
      <c r="D427" t="inlineStr">
        <is>
          <t>ÖSTERGÖTLANDS LÄN</t>
        </is>
      </c>
      <c r="E427" t="inlineStr">
        <is>
          <t>LINKÖPING</t>
        </is>
      </c>
      <c r="F427" t="inlineStr">
        <is>
          <t>Övriga statliga verk och myndigheter</t>
        </is>
      </c>
      <c r="G427" t="n">
        <v>8</v>
      </c>
      <c r="H427" t="n">
        <v>0</v>
      </c>
      <c r="I427" t="n">
        <v>0</v>
      </c>
      <c r="J427" t="n">
        <v>0</v>
      </c>
      <c r="K427" t="n">
        <v>0</v>
      </c>
      <c r="L427" t="n">
        <v>0</v>
      </c>
      <c r="M427" t="n">
        <v>0</v>
      </c>
      <c r="N427" t="n">
        <v>0</v>
      </c>
      <c r="O427" t="n">
        <v>0</v>
      </c>
      <c r="P427" t="n">
        <v>0</v>
      </c>
      <c r="Q427" t="n">
        <v>0</v>
      </c>
      <c r="R427" s="2" t="inlineStr"/>
    </row>
    <row r="428" ht="15" customHeight="1">
      <c r="A428" t="inlineStr">
        <is>
          <t>A 51559-2024</t>
        </is>
      </c>
      <c r="B428" s="1" t="n">
        <v>45604.61431712963</v>
      </c>
      <c r="C428" s="1" t="n">
        <v>45993</v>
      </c>
      <c r="D428" t="inlineStr">
        <is>
          <t>ÖSTERGÖTLANDS LÄN</t>
        </is>
      </c>
      <c r="E428" t="inlineStr">
        <is>
          <t>LINKÖPING</t>
        </is>
      </c>
      <c r="F428" t="inlineStr">
        <is>
          <t>Övriga Aktiebolag</t>
        </is>
      </c>
      <c r="G428" t="n">
        <v>2.4</v>
      </c>
      <c r="H428" t="n">
        <v>0</v>
      </c>
      <c r="I428" t="n">
        <v>0</v>
      </c>
      <c r="J428" t="n">
        <v>0</v>
      </c>
      <c r="K428" t="n">
        <v>0</v>
      </c>
      <c r="L428" t="n">
        <v>0</v>
      </c>
      <c r="M428" t="n">
        <v>0</v>
      </c>
      <c r="N428" t="n">
        <v>0</v>
      </c>
      <c r="O428" t="n">
        <v>0</v>
      </c>
      <c r="P428" t="n">
        <v>0</v>
      </c>
      <c r="Q428" t="n">
        <v>0</v>
      </c>
      <c r="R428" s="2" t="inlineStr"/>
    </row>
    <row r="429" ht="15" customHeight="1">
      <c r="A429" t="inlineStr">
        <is>
          <t>A 674-2024</t>
        </is>
      </c>
      <c r="B429" s="1" t="n">
        <v>45300.34408564815</v>
      </c>
      <c r="C429" s="1" t="n">
        <v>45993</v>
      </c>
      <c r="D429" t="inlineStr">
        <is>
          <t>ÖSTERGÖTLANDS LÄN</t>
        </is>
      </c>
      <c r="E429" t="inlineStr">
        <is>
          <t>LINKÖPING</t>
        </is>
      </c>
      <c r="F429" t="inlineStr">
        <is>
          <t>Sveaskog</t>
        </is>
      </c>
      <c r="G429" t="n">
        <v>2.9</v>
      </c>
      <c r="H429" t="n">
        <v>0</v>
      </c>
      <c r="I429" t="n">
        <v>0</v>
      </c>
      <c r="J429" t="n">
        <v>0</v>
      </c>
      <c r="K429" t="n">
        <v>0</v>
      </c>
      <c r="L429" t="n">
        <v>0</v>
      </c>
      <c r="M429" t="n">
        <v>0</v>
      </c>
      <c r="N429" t="n">
        <v>0</v>
      </c>
      <c r="O429" t="n">
        <v>0</v>
      </c>
      <c r="P429" t="n">
        <v>0</v>
      </c>
      <c r="Q429" t="n">
        <v>0</v>
      </c>
      <c r="R429" s="2" t="inlineStr"/>
    </row>
    <row r="430" ht="15" customHeight="1">
      <c r="A430" t="inlineStr">
        <is>
          <t>A 40169-2025</t>
        </is>
      </c>
      <c r="B430" s="1" t="n">
        <v>45894.62824074074</v>
      </c>
      <c r="C430" s="1" t="n">
        <v>45993</v>
      </c>
      <c r="D430" t="inlineStr">
        <is>
          <t>ÖSTERGÖTLANDS LÄN</t>
        </is>
      </c>
      <c r="E430" t="inlineStr">
        <is>
          <t>LINKÖPING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63684-2023</t>
        </is>
      </c>
      <c r="B431" s="1" t="n">
        <v>45275</v>
      </c>
      <c r="C431" s="1" t="n">
        <v>45993</v>
      </c>
      <c r="D431" t="inlineStr">
        <is>
          <t>ÖSTERGÖTLANDS LÄN</t>
        </is>
      </c>
      <c r="E431" t="inlineStr">
        <is>
          <t>LINKÖPING</t>
        </is>
      </c>
      <c r="G431" t="n">
        <v>0.4</v>
      </c>
      <c r="H431" t="n">
        <v>0</v>
      </c>
      <c r="I431" t="n">
        <v>0</v>
      </c>
      <c r="J431" t="n">
        <v>0</v>
      </c>
      <c r="K431" t="n">
        <v>0</v>
      </c>
      <c r="L431" t="n">
        <v>0</v>
      </c>
      <c r="M431" t="n">
        <v>0</v>
      </c>
      <c r="N431" t="n">
        <v>0</v>
      </c>
      <c r="O431" t="n">
        <v>0</v>
      </c>
      <c r="P431" t="n">
        <v>0</v>
      </c>
      <c r="Q431" t="n">
        <v>0</v>
      </c>
      <c r="R431" s="2" t="inlineStr"/>
    </row>
    <row r="432" ht="15" customHeight="1">
      <c r="A432" t="inlineStr">
        <is>
          <t>A 167-2024</t>
        </is>
      </c>
      <c r="B432" s="1" t="n">
        <v>45294</v>
      </c>
      <c r="C432" s="1" t="n">
        <v>45993</v>
      </c>
      <c r="D432" t="inlineStr">
        <is>
          <t>ÖSTERGÖTLANDS LÄN</t>
        </is>
      </c>
      <c r="E432" t="inlineStr">
        <is>
          <t>LINKÖPING</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56841-2023</t>
        </is>
      </c>
      <c r="B433" s="1" t="n">
        <v>45244</v>
      </c>
      <c r="C433" s="1" t="n">
        <v>45993</v>
      </c>
      <c r="D433" t="inlineStr">
        <is>
          <t>ÖSTERGÖTLANDS LÄN</t>
        </is>
      </c>
      <c r="E433" t="inlineStr">
        <is>
          <t>LINKÖPING</t>
        </is>
      </c>
      <c r="F433" t="inlineStr">
        <is>
          <t>Övriga Aktiebolag</t>
        </is>
      </c>
      <c r="G433" t="n">
        <v>0.5</v>
      </c>
      <c r="H433" t="n">
        <v>0</v>
      </c>
      <c r="I433" t="n">
        <v>0</v>
      </c>
      <c r="J433" t="n">
        <v>0</v>
      </c>
      <c r="K433" t="n">
        <v>0</v>
      </c>
      <c r="L433" t="n">
        <v>0</v>
      </c>
      <c r="M433" t="n">
        <v>0</v>
      </c>
      <c r="N433" t="n">
        <v>0</v>
      </c>
      <c r="O433" t="n">
        <v>0</v>
      </c>
      <c r="P433" t="n">
        <v>0</v>
      </c>
      <c r="Q433" t="n">
        <v>0</v>
      </c>
      <c r="R433" s="2" t="inlineStr"/>
    </row>
    <row r="434" ht="15" customHeight="1">
      <c r="A434" t="inlineStr">
        <is>
          <t>A 36725-2023</t>
        </is>
      </c>
      <c r="B434" s="1" t="n">
        <v>45153.68471064815</v>
      </c>
      <c r="C434" s="1" t="n">
        <v>45993</v>
      </c>
      <c r="D434" t="inlineStr">
        <is>
          <t>ÖSTERGÖTLANDS LÄN</t>
        </is>
      </c>
      <c r="E434" t="inlineStr">
        <is>
          <t>LINKÖPING</t>
        </is>
      </c>
      <c r="F434" t="inlineStr">
        <is>
          <t>Allmännings- och besparingsskogar</t>
        </is>
      </c>
      <c r="G434" t="n">
        <v>2.6</v>
      </c>
      <c r="H434" t="n">
        <v>0</v>
      </c>
      <c r="I434" t="n">
        <v>0</v>
      </c>
      <c r="J434" t="n">
        <v>0</v>
      </c>
      <c r="K434" t="n">
        <v>0</v>
      </c>
      <c r="L434" t="n">
        <v>0</v>
      </c>
      <c r="M434" t="n">
        <v>0</v>
      </c>
      <c r="N434" t="n">
        <v>0</v>
      </c>
      <c r="O434" t="n">
        <v>0</v>
      </c>
      <c r="P434" t="n">
        <v>0</v>
      </c>
      <c r="Q434" t="n">
        <v>0</v>
      </c>
      <c r="R434" s="2" t="inlineStr"/>
    </row>
    <row r="435" ht="15" customHeight="1">
      <c r="A435" t="inlineStr">
        <is>
          <t>A 27343-2023</t>
        </is>
      </c>
      <c r="B435" s="1" t="n">
        <v>45096</v>
      </c>
      <c r="C435" s="1" t="n">
        <v>45993</v>
      </c>
      <c r="D435" t="inlineStr">
        <is>
          <t>ÖSTERGÖTLANDS LÄN</t>
        </is>
      </c>
      <c r="E435" t="inlineStr">
        <is>
          <t>LINKÖPING</t>
        </is>
      </c>
      <c r="F435" t="inlineStr">
        <is>
          <t>Allmännings- och besparingsskogar</t>
        </is>
      </c>
      <c r="G435" t="n">
        <v>6.9</v>
      </c>
      <c r="H435" t="n">
        <v>0</v>
      </c>
      <c r="I435" t="n">
        <v>0</v>
      </c>
      <c r="J435" t="n">
        <v>0</v>
      </c>
      <c r="K435" t="n">
        <v>0</v>
      </c>
      <c r="L435" t="n">
        <v>0</v>
      </c>
      <c r="M435" t="n">
        <v>0</v>
      </c>
      <c r="N435" t="n">
        <v>0</v>
      </c>
      <c r="O435" t="n">
        <v>0</v>
      </c>
      <c r="P435" t="n">
        <v>0</v>
      </c>
      <c r="Q435" t="n">
        <v>0</v>
      </c>
      <c r="R435" s="2" t="inlineStr"/>
    </row>
    <row r="436" ht="15" customHeight="1">
      <c r="A436" t="inlineStr">
        <is>
          <t>A 22774-2024</t>
        </is>
      </c>
      <c r="B436" s="1" t="n">
        <v>45448.46924768519</v>
      </c>
      <c r="C436" s="1" t="n">
        <v>45993</v>
      </c>
      <c r="D436" t="inlineStr">
        <is>
          <t>ÖSTERGÖTLANDS LÄN</t>
        </is>
      </c>
      <c r="E436" t="inlineStr">
        <is>
          <t>LINKÖPING</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22778-2024</t>
        </is>
      </c>
      <c r="B437" s="1" t="n">
        <v>45448.47233796296</v>
      </c>
      <c r="C437" s="1" t="n">
        <v>45993</v>
      </c>
      <c r="D437" t="inlineStr">
        <is>
          <t>ÖSTERGÖTLANDS LÄN</t>
        </is>
      </c>
      <c r="E437" t="inlineStr">
        <is>
          <t>LINKÖPING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62353-2022</t>
        </is>
      </c>
      <c r="B438" s="1" t="n">
        <v>44923</v>
      </c>
      <c r="C438" s="1" t="n">
        <v>45993</v>
      </c>
      <c r="D438" t="inlineStr">
        <is>
          <t>ÖSTERGÖTLANDS LÄN</t>
        </is>
      </c>
      <c r="E438" t="inlineStr">
        <is>
          <t>LINKÖPING</t>
        </is>
      </c>
      <c r="F438" t="inlineStr">
        <is>
          <t>Allmännings- och besparingsskogar</t>
        </is>
      </c>
      <c r="G438" t="n">
        <v>1.7</v>
      </c>
      <c r="H438" t="n">
        <v>0</v>
      </c>
      <c r="I438" t="n">
        <v>0</v>
      </c>
      <c r="J438" t="n">
        <v>0</v>
      </c>
      <c r="K438" t="n">
        <v>0</v>
      </c>
      <c r="L438" t="n">
        <v>0</v>
      </c>
      <c r="M438" t="n">
        <v>0</v>
      </c>
      <c r="N438" t="n">
        <v>0</v>
      </c>
      <c r="O438" t="n">
        <v>0</v>
      </c>
      <c r="P438" t="n">
        <v>0</v>
      </c>
      <c r="Q438" t="n">
        <v>0</v>
      </c>
      <c r="R438" s="2" t="inlineStr"/>
    </row>
    <row r="439" ht="15" customHeight="1">
      <c r="A439" t="inlineStr">
        <is>
          <t>A 15754-2025</t>
        </is>
      </c>
      <c r="B439" s="1" t="n">
        <v>45748.56105324074</v>
      </c>
      <c r="C439" s="1" t="n">
        <v>45993</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34864-2023</t>
        </is>
      </c>
      <c r="B440" s="1" t="n">
        <v>45141</v>
      </c>
      <c r="C440" s="1" t="n">
        <v>45993</v>
      </c>
      <c r="D440" t="inlineStr">
        <is>
          <t>ÖSTERGÖTLANDS LÄN</t>
        </is>
      </c>
      <c r="E440" t="inlineStr">
        <is>
          <t>LINKÖPING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52531-2023</t>
        </is>
      </c>
      <c r="B441" s="1" t="n">
        <v>45225</v>
      </c>
      <c r="C441" s="1" t="n">
        <v>45993</v>
      </c>
      <c r="D441" t="inlineStr">
        <is>
          <t>ÖSTERGÖTLANDS LÄN</t>
        </is>
      </c>
      <c r="E441" t="inlineStr">
        <is>
          <t>LINKÖPING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4298-2023</t>
        </is>
      </c>
      <c r="B442" s="1" t="n">
        <v>44953</v>
      </c>
      <c r="C442" s="1" t="n">
        <v>45993</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34930-2023</t>
        </is>
      </c>
      <c r="B443" s="1" t="n">
        <v>45142</v>
      </c>
      <c r="C443" s="1" t="n">
        <v>45993</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53812-2023</t>
        </is>
      </c>
      <c r="B444" s="1" t="n">
        <v>45231.39583333334</v>
      </c>
      <c r="C444" s="1" t="n">
        <v>45993</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53830-2023</t>
        </is>
      </c>
      <c r="B445" s="1" t="n">
        <v>45230</v>
      </c>
      <c r="C445" s="1" t="n">
        <v>45993</v>
      </c>
      <c r="D445" t="inlineStr">
        <is>
          <t>ÖSTERGÖTLANDS LÄN</t>
        </is>
      </c>
      <c r="E445" t="inlineStr">
        <is>
          <t>LINKÖPING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30985-2022</t>
        </is>
      </c>
      <c r="B446" s="1" t="n">
        <v>44768</v>
      </c>
      <c r="C446" s="1" t="n">
        <v>45993</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18145-2021</t>
        </is>
      </c>
      <c r="B447" s="1" t="n">
        <v>44302</v>
      </c>
      <c r="C447" s="1" t="n">
        <v>45993</v>
      </c>
      <c r="D447" t="inlineStr">
        <is>
          <t>ÖSTERGÖTLANDS LÄN</t>
        </is>
      </c>
      <c r="E447" t="inlineStr">
        <is>
          <t>LINKÖPING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38715-2023</t>
        </is>
      </c>
      <c r="B448" s="1" t="n">
        <v>45160</v>
      </c>
      <c r="C448" s="1" t="n">
        <v>45993</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25568-2024</t>
        </is>
      </c>
      <c r="B449" s="1" t="n">
        <v>45463.58699074074</v>
      </c>
      <c r="C449" s="1" t="n">
        <v>45993</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38136-2023</t>
        </is>
      </c>
      <c r="B450" s="1" t="n">
        <v>45161.37310185185</v>
      </c>
      <c r="C450" s="1" t="n">
        <v>45993</v>
      </c>
      <c r="D450" t="inlineStr">
        <is>
          <t>ÖSTERGÖTLANDS LÄN</t>
        </is>
      </c>
      <c r="E450" t="inlineStr">
        <is>
          <t>LINKÖPING</t>
        </is>
      </c>
      <c r="G450" t="n">
        <v>5.6</v>
      </c>
      <c r="H450" t="n">
        <v>0</v>
      </c>
      <c r="I450" t="n">
        <v>0</v>
      </c>
      <c r="J450" t="n">
        <v>0</v>
      </c>
      <c r="K450" t="n">
        <v>0</v>
      </c>
      <c r="L450" t="n">
        <v>0</v>
      </c>
      <c r="M450" t="n">
        <v>0</v>
      </c>
      <c r="N450" t="n">
        <v>0</v>
      </c>
      <c r="O450" t="n">
        <v>0</v>
      </c>
      <c r="P450" t="n">
        <v>0</v>
      </c>
      <c r="Q450" t="n">
        <v>0</v>
      </c>
      <c r="R450" s="2" t="inlineStr"/>
    </row>
    <row r="451" ht="15" customHeight="1">
      <c r="A451" t="inlineStr">
        <is>
          <t>A 12317-2025</t>
        </is>
      </c>
      <c r="B451" s="1" t="n">
        <v>45729.8487037037</v>
      </c>
      <c r="C451" s="1" t="n">
        <v>45993</v>
      </c>
      <c r="D451" t="inlineStr">
        <is>
          <t>ÖSTERGÖTLANDS LÄN</t>
        </is>
      </c>
      <c r="E451" t="inlineStr">
        <is>
          <t>LINKÖPING</t>
        </is>
      </c>
      <c r="G451" t="n">
        <v>8</v>
      </c>
      <c r="H451" t="n">
        <v>0</v>
      </c>
      <c r="I451" t="n">
        <v>0</v>
      </c>
      <c r="J451" t="n">
        <v>0</v>
      </c>
      <c r="K451" t="n">
        <v>0</v>
      </c>
      <c r="L451" t="n">
        <v>0</v>
      </c>
      <c r="M451" t="n">
        <v>0</v>
      </c>
      <c r="N451" t="n">
        <v>0</v>
      </c>
      <c r="O451" t="n">
        <v>0</v>
      </c>
      <c r="P451" t="n">
        <v>0</v>
      </c>
      <c r="Q451" t="n">
        <v>0</v>
      </c>
      <c r="R451" s="2" t="inlineStr"/>
    </row>
    <row r="452" ht="15" customHeight="1">
      <c r="A452" t="inlineStr">
        <is>
          <t>A 14528-2025</t>
        </is>
      </c>
      <c r="B452" s="1" t="n">
        <v>45741</v>
      </c>
      <c r="C452" s="1" t="n">
        <v>45993</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61649-2023</t>
        </is>
      </c>
      <c r="B453" s="1" t="n">
        <v>45265</v>
      </c>
      <c r="C453" s="1" t="n">
        <v>45993</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27766-2022</t>
        </is>
      </c>
      <c r="B454" s="1" t="n">
        <v>44743.53112268518</v>
      </c>
      <c r="C454" s="1" t="n">
        <v>45993</v>
      </c>
      <c r="D454" t="inlineStr">
        <is>
          <t>ÖSTERGÖTLANDS LÄN</t>
        </is>
      </c>
      <c r="E454" t="inlineStr">
        <is>
          <t>LINKÖPING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41706-2025</t>
        </is>
      </c>
      <c r="B455" s="1" t="n">
        <v>45902.42209490741</v>
      </c>
      <c r="C455" s="1" t="n">
        <v>45993</v>
      </c>
      <c r="D455" t="inlineStr">
        <is>
          <t>ÖSTERGÖTLANDS LÄN</t>
        </is>
      </c>
      <c r="E455" t="inlineStr">
        <is>
          <t>LINKÖPING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59642-2024</t>
        </is>
      </c>
      <c r="B456" s="1" t="n">
        <v>45639.31511574074</v>
      </c>
      <c r="C456" s="1" t="n">
        <v>45993</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15748-2025</t>
        </is>
      </c>
      <c r="B457" s="1" t="n">
        <v>45748.55282407408</v>
      </c>
      <c r="C457" s="1" t="n">
        <v>45993</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31792-2021</t>
        </is>
      </c>
      <c r="B458" s="1" t="n">
        <v>44369</v>
      </c>
      <c r="C458" s="1" t="n">
        <v>45993</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25097-2023</t>
        </is>
      </c>
      <c r="B459" s="1" t="n">
        <v>45086</v>
      </c>
      <c r="C459" s="1" t="n">
        <v>45993</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60985-2023</t>
        </is>
      </c>
      <c r="B460" s="1" t="n">
        <v>45261.48429398148</v>
      </c>
      <c r="C460" s="1" t="n">
        <v>45993</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35735-2023</t>
        </is>
      </c>
      <c r="B461" s="1" t="n">
        <v>45147</v>
      </c>
      <c r="C461" s="1" t="n">
        <v>45993</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16462-2021</t>
        </is>
      </c>
      <c r="B462" s="1" t="n">
        <v>44293</v>
      </c>
      <c r="C462" s="1" t="n">
        <v>45993</v>
      </c>
      <c r="D462" t="inlineStr">
        <is>
          <t>ÖSTERGÖTLANDS LÄN</t>
        </is>
      </c>
      <c r="E462" t="inlineStr">
        <is>
          <t>LINKÖPING</t>
        </is>
      </c>
      <c r="F462" t="inlineStr">
        <is>
          <t>Allmännings- och besparingsskogar</t>
        </is>
      </c>
      <c r="G462" t="n">
        <v>24.7</v>
      </c>
      <c r="H462" t="n">
        <v>0</v>
      </c>
      <c r="I462" t="n">
        <v>0</v>
      </c>
      <c r="J462" t="n">
        <v>0</v>
      </c>
      <c r="K462" t="n">
        <v>0</v>
      </c>
      <c r="L462" t="n">
        <v>0</v>
      </c>
      <c r="M462" t="n">
        <v>0</v>
      </c>
      <c r="N462" t="n">
        <v>0</v>
      </c>
      <c r="O462" t="n">
        <v>0</v>
      </c>
      <c r="P462" t="n">
        <v>0</v>
      </c>
      <c r="Q462" t="n">
        <v>0</v>
      </c>
      <c r="R462" s="2" t="inlineStr"/>
    </row>
    <row r="463" ht="15" customHeight="1">
      <c r="A463" t="inlineStr">
        <is>
          <t>A 25776-2021</t>
        </is>
      </c>
      <c r="B463" s="1" t="n">
        <v>44343</v>
      </c>
      <c r="C463" s="1" t="n">
        <v>45993</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30856-2022</t>
        </is>
      </c>
      <c r="B464" s="1" t="n">
        <v>44767</v>
      </c>
      <c r="C464" s="1" t="n">
        <v>45993</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421-2024</t>
        </is>
      </c>
      <c r="B465" s="1" t="n">
        <v>45296.51877314815</v>
      </c>
      <c r="C465" s="1" t="n">
        <v>45993</v>
      </c>
      <c r="D465" t="inlineStr">
        <is>
          <t>ÖSTERGÖTLANDS LÄN</t>
        </is>
      </c>
      <c r="E465" t="inlineStr">
        <is>
          <t>LINKÖPING</t>
        </is>
      </c>
      <c r="G465" t="n">
        <v>3.7</v>
      </c>
      <c r="H465" t="n">
        <v>0</v>
      </c>
      <c r="I465" t="n">
        <v>0</v>
      </c>
      <c r="J465" t="n">
        <v>0</v>
      </c>
      <c r="K465" t="n">
        <v>0</v>
      </c>
      <c r="L465" t="n">
        <v>0</v>
      </c>
      <c r="M465" t="n">
        <v>0</v>
      </c>
      <c r="N465" t="n">
        <v>0</v>
      </c>
      <c r="O465" t="n">
        <v>0</v>
      </c>
      <c r="P465" t="n">
        <v>0</v>
      </c>
      <c r="Q465" t="n">
        <v>0</v>
      </c>
      <c r="R465" s="2" t="inlineStr"/>
    </row>
    <row r="466" ht="15" customHeight="1">
      <c r="A466" t="inlineStr">
        <is>
          <t>A 48271-2023</t>
        </is>
      </c>
      <c r="B466" s="1" t="n">
        <v>45205</v>
      </c>
      <c r="C466" s="1" t="n">
        <v>45993</v>
      </c>
      <c r="D466" t="inlineStr">
        <is>
          <t>ÖSTERGÖTLANDS LÄN</t>
        </is>
      </c>
      <c r="E466" t="inlineStr">
        <is>
          <t>LINKÖPING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19187-2021</t>
        </is>
      </c>
      <c r="B467" s="1" t="n">
        <v>44308</v>
      </c>
      <c r="C467" s="1" t="n">
        <v>45993</v>
      </c>
      <c r="D467" t="inlineStr">
        <is>
          <t>ÖSTERGÖTLANDS LÄN</t>
        </is>
      </c>
      <c r="E467" t="inlineStr">
        <is>
          <t>LINKÖPING</t>
        </is>
      </c>
      <c r="F467" t="inlineStr">
        <is>
          <t>Allmännings- och besparingsskogar</t>
        </is>
      </c>
      <c r="G467" t="n">
        <v>20</v>
      </c>
      <c r="H467" t="n">
        <v>0</v>
      </c>
      <c r="I467" t="n">
        <v>0</v>
      </c>
      <c r="J467" t="n">
        <v>0</v>
      </c>
      <c r="K467" t="n">
        <v>0</v>
      </c>
      <c r="L467" t="n">
        <v>0</v>
      </c>
      <c r="M467" t="n">
        <v>0</v>
      </c>
      <c r="N467" t="n">
        <v>0</v>
      </c>
      <c r="O467" t="n">
        <v>0</v>
      </c>
      <c r="P467" t="n">
        <v>0</v>
      </c>
      <c r="Q467" t="n">
        <v>0</v>
      </c>
      <c r="R467" s="2" t="inlineStr"/>
    </row>
    <row r="468" ht="15" customHeight="1">
      <c r="A468" t="inlineStr">
        <is>
          <t>A 41511-2025</t>
        </is>
      </c>
      <c r="B468" s="1" t="n">
        <v>45901.53839120371</v>
      </c>
      <c r="C468" s="1" t="n">
        <v>45993</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51405-2023</t>
        </is>
      </c>
      <c r="B469" s="1" t="n">
        <v>45219</v>
      </c>
      <c r="C469" s="1" t="n">
        <v>45993</v>
      </c>
      <c r="D469" t="inlineStr">
        <is>
          <t>ÖSTERGÖTLANDS LÄN</t>
        </is>
      </c>
      <c r="E469" t="inlineStr">
        <is>
          <t>LINKÖPING</t>
        </is>
      </c>
      <c r="F469" t="inlineStr">
        <is>
          <t>Övriga Aktiebolag</t>
        </is>
      </c>
      <c r="G469" t="n">
        <v>3</v>
      </c>
      <c r="H469" t="n">
        <v>0</v>
      </c>
      <c r="I469" t="n">
        <v>0</v>
      </c>
      <c r="J469" t="n">
        <v>0</v>
      </c>
      <c r="K469" t="n">
        <v>0</v>
      </c>
      <c r="L469" t="n">
        <v>0</v>
      </c>
      <c r="M469" t="n">
        <v>0</v>
      </c>
      <c r="N469" t="n">
        <v>0</v>
      </c>
      <c r="O469" t="n">
        <v>0</v>
      </c>
      <c r="P469" t="n">
        <v>0</v>
      </c>
      <c r="Q469" t="n">
        <v>0</v>
      </c>
      <c r="R469" s="2" t="inlineStr"/>
    </row>
    <row r="470" ht="15" customHeight="1">
      <c r="A470" t="inlineStr">
        <is>
          <t>A 53639-2023</t>
        </is>
      </c>
      <c r="B470" s="1" t="n">
        <v>45230.59686342593</v>
      </c>
      <c r="C470" s="1" t="n">
        <v>45993</v>
      </c>
      <c r="D470" t="inlineStr">
        <is>
          <t>ÖSTERGÖTLANDS LÄN</t>
        </is>
      </c>
      <c r="E470" t="inlineStr">
        <is>
          <t>LINKÖPING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24467-2023</t>
        </is>
      </c>
      <c r="B471" s="1" t="n">
        <v>45082</v>
      </c>
      <c r="C471" s="1" t="n">
        <v>45993</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13266-2025</t>
        </is>
      </c>
      <c r="B472" s="1" t="n">
        <v>45735.53318287037</v>
      </c>
      <c r="C472" s="1" t="n">
        <v>45993</v>
      </c>
      <c r="D472" t="inlineStr">
        <is>
          <t>ÖSTERGÖTLANDS LÄN</t>
        </is>
      </c>
      <c r="E472" t="inlineStr">
        <is>
          <t>LINKÖPING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3042-2024</t>
        </is>
      </c>
      <c r="B473" s="1" t="n">
        <v>45316.35028935185</v>
      </c>
      <c r="C473" s="1" t="n">
        <v>45993</v>
      </c>
      <c r="D473" t="inlineStr">
        <is>
          <t>ÖSTERGÖTLANDS LÄN</t>
        </is>
      </c>
      <c r="E473" t="inlineStr">
        <is>
          <t>LINKÖPING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39219-2021</t>
        </is>
      </c>
      <c r="B474" s="1" t="n">
        <v>44413</v>
      </c>
      <c r="C474" s="1" t="n">
        <v>45993</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39224-2021</t>
        </is>
      </c>
      <c r="B475" s="1" t="n">
        <v>44413</v>
      </c>
      <c r="C475" s="1" t="n">
        <v>45993</v>
      </c>
      <c r="D475" t="inlineStr">
        <is>
          <t>ÖSTERGÖTLANDS LÄN</t>
        </is>
      </c>
      <c r="E475" t="inlineStr">
        <is>
          <t>LINKÖPING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29293-2025</t>
        </is>
      </c>
      <c r="B476" s="1" t="n">
        <v>45824</v>
      </c>
      <c r="C476" s="1" t="n">
        <v>45993</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60001-2022</t>
        </is>
      </c>
      <c r="B477" s="1" t="n">
        <v>44909.47087962963</v>
      </c>
      <c r="C477" s="1" t="n">
        <v>45993</v>
      </c>
      <c r="D477" t="inlineStr">
        <is>
          <t>ÖSTERGÖTLANDS LÄN</t>
        </is>
      </c>
      <c r="E477" t="inlineStr">
        <is>
          <t>LINKÖPING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1657-2024</t>
        </is>
      </c>
      <c r="B478" s="1" t="n">
        <v>45306.82501157407</v>
      </c>
      <c r="C478" s="1" t="n">
        <v>45993</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42623-2025</t>
        </is>
      </c>
      <c r="B479" s="1" t="n">
        <v>45905</v>
      </c>
      <c r="C479" s="1" t="n">
        <v>45993</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62488-2023</t>
        </is>
      </c>
      <c r="B480" s="1" t="n">
        <v>45268.5847337963</v>
      </c>
      <c r="C480" s="1" t="n">
        <v>45993</v>
      </c>
      <c r="D480" t="inlineStr">
        <is>
          <t>ÖSTERGÖTLANDS LÄN</t>
        </is>
      </c>
      <c r="E480" t="inlineStr">
        <is>
          <t>LINKÖPING</t>
        </is>
      </c>
      <c r="G480" t="n">
        <v>4.1</v>
      </c>
      <c r="H480" t="n">
        <v>0</v>
      </c>
      <c r="I480" t="n">
        <v>0</v>
      </c>
      <c r="J480" t="n">
        <v>0</v>
      </c>
      <c r="K480" t="n">
        <v>0</v>
      </c>
      <c r="L480" t="n">
        <v>0</v>
      </c>
      <c r="M480" t="n">
        <v>0</v>
      </c>
      <c r="N480" t="n">
        <v>0</v>
      </c>
      <c r="O480" t="n">
        <v>0</v>
      </c>
      <c r="P480" t="n">
        <v>0</v>
      </c>
      <c r="Q480" t="n">
        <v>0</v>
      </c>
      <c r="R480" s="2" t="inlineStr"/>
    </row>
    <row r="481" ht="15" customHeight="1">
      <c r="A481" t="inlineStr">
        <is>
          <t>A 43934-2023</t>
        </is>
      </c>
      <c r="B481" s="1" t="n">
        <v>45187</v>
      </c>
      <c r="C481" s="1" t="n">
        <v>45993</v>
      </c>
      <c r="D481" t="inlineStr">
        <is>
          <t>ÖSTERGÖTLANDS LÄN</t>
        </is>
      </c>
      <c r="E481" t="inlineStr">
        <is>
          <t>LINKÖPING</t>
        </is>
      </c>
      <c r="F481" t="inlineStr">
        <is>
          <t>Övriga Aktiebolag</t>
        </is>
      </c>
      <c r="G481" t="n">
        <v>3.8</v>
      </c>
      <c r="H481" t="n">
        <v>0</v>
      </c>
      <c r="I481" t="n">
        <v>0</v>
      </c>
      <c r="J481" t="n">
        <v>0</v>
      </c>
      <c r="K481" t="n">
        <v>0</v>
      </c>
      <c r="L481" t="n">
        <v>0</v>
      </c>
      <c r="M481" t="n">
        <v>0</v>
      </c>
      <c r="N481" t="n">
        <v>0</v>
      </c>
      <c r="O481" t="n">
        <v>0</v>
      </c>
      <c r="P481" t="n">
        <v>0</v>
      </c>
      <c r="Q481" t="n">
        <v>0</v>
      </c>
      <c r="R481" s="2" t="inlineStr"/>
    </row>
    <row r="482" ht="15" customHeight="1">
      <c r="A482" t="inlineStr">
        <is>
          <t>A 62495-2023</t>
        </is>
      </c>
      <c r="B482" s="1" t="n">
        <v>45268.59717592593</v>
      </c>
      <c r="C482" s="1" t="n">
        <v>45993</v>
      </c>
      <c r="D482" t="inlineStr">
        <is>
          <t>ÖSTERGÖTLANDS LÄN</t>
        </is>
      </c>
      <c r="E482" t="inlineStr">
        <is>
          <t>LINKÖPING</t>
        </is>
      </c>
      <c r="G482" t="n">
        <v>4.1</v>
      </c>
      <c r="H482" t="n">
        <v>0</v>
      </c>
      <c r="I482" t="n">
        <v>0</v>
      </c>
      <c r="J482" t="n">
        <v>0</v>
      </c>
      <c r="K482" t="n">
        <v>0</v>
      </c>
      <c r="L482" t="n">
        <v>0</v>
      </c>
      <c r="M482" t="n">
        <v>0</v>
      </c>
      <c r="N482" t="n">
        <v>0</v>
      </c>
      <c r="O482" t="n">
        <v>0</v>
      </c>
      <c r="P482" t="n">
        <v>0</v>
      </c>
      <c r="Q482" t="n">
        <v>0</v>
      </c>
      <c r="R482" s="2" t="inlineStr"/>
    </row>
    <row r="483" ht="15" customHeight="1">
      <c r="A483" t="inlineStr">
        <is>
          <t>A 30976-2022</t>
        </is>
      </c>
      <c r="B483" s="1" t="n">
        <v>44768</v>
      </c>
      <c r="C483" s="1" t="n">
        <v>45993</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42624-2025</t>
        </is>
      </c>
      <c r="B484" s="1" t="n">
        <v>45905</v>
      </c>
      <c r="C484" s="1" t="n">
        <v>45993</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42626-2025</t>
        </is>
      </c>
      <c r="B485" s="1" t="n">
        <v>45905</v>
      </c>
      <c r="C485" s="1" t="n">
        <v>45993</v>
      </c>
      <c r="D485" t="inlineStr">
        <is>
          <t>ÖSTERGÖTLANDS LÄN</t>
        </is>
      </c>
      <c r="E485" t="inlineStr">
        <is>
          <t>LINKÖPING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30860-2022</t>
        </is>
      </c>
      <c r="B486" s="1" t="n">
        <v>44767</v>
      </c>
      <c r="C486" s="1" t="n">
        <v>45993</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48186-2022</t>
        </is>
      </c>
      <c r="B487" s="1" t="n">
        <v>44858</v>
      </c>
      <c r="C487" s="1" t="n">
        <v>45993</v>
      </c>
      <c r="D487" t="inlineStr">
        <is>
          <t>ÖSTERGÖTLANDS LÄN</t>
        </is>
      </c>
      <c r="E487" t="inlineStr">
        <is>
          <t>LINKÖPING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28266-2024</t>
        </is>
      </c>
      <c r="B488" s="1" t="n">
        <v>45477.43600694444</v>
      </c>
      <c r="C488" s="1" t="n">
        <v>45993</v>
      </c>
      <c r="D488" t="inlineStr">
        <is>
          <t>ÖSTERGÖTLANDS LÄN</t>
        </is>
      </c>
      <c r="E488" t="inlineStr">
        <is>
          <t>LINKÖPING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31548-2022</t>
        </is>
      </c>
      <c r="B489" s="1" t="n">
        <v>44775.39832175926</v>
      </c>
      <c r="C489" s="1" t="n">
        <v>45993</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1211-2023</t>
        </is>
      </c>
      <c r="B490" s="1" t="n">
        <v>44930</v>
      </c>
      <c r="C490" s="1" t="n">
        <v>45993</v>
      </c>
      <c r="D490" t="inlineStr">
        <is>
          <t>ÖSTERGÖTLANDS LÄN</t>
        </is>
      </c>
      <c r="E490" t="inlineStr">
        <is>
          <t>LINKÖPING</t>
        </is>
      </c>
      <c r="F490" t="inlineStr">
        <is>
          <t>Övriga statliga verk och myndigheter</t>
        </is>
      </c>
      <c r="G490" t="n">
        <v>7.9</v>
      </c>
      <c r="H490" t="n">
        <v>0</v>
      </c>
      <c r="I490" t="n">
        <v>0</v>
      </c>
      <c r="J490" t="n">
        <v>0</v>
      </c>
      <c r="K490" t="n">
        <v>0</v>
      </c>
      <c r="L490" t="n">
        <v>0</v>
      </c>
      <c r="M490" t="n">
        <v>0</v>
      </c>
      <c r="N490" t="n">
        <v>0</v>
      </c>
      <c r="O490" t="n">
        <v>0</v>
      </c>
      <c r="P490" t="n">
        <v>0</v>
      </c>
      <c r="Q490" t="n">
        <v>0</v>
      </c>
      <c r="R490" s="2" t="inlineStr"/>
    </row>
    <row r="491" ht="15" customHeight="1">
      <c r="A491" t="inlineStr">
        <is>
          <t>A 51191-2022</t>
        </is>
      </c>
      <c r="B491" s="1" t="n">
        <v>44865</v>
      </c>
      <c r="C491" s="1" t="n">
        <v>45993</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7354-2025</t>
        </is>
      </c>
      <c r="B492" s="1" t="n">
        <v>45704.41174768518</v>
      </c>
      <c r="C492" s="1" t="n">
        <v>45993</v>
      </c>
      <c r="D492" t="inlineStr">
        <is>
          <t>ÖSTERGÖTLANDS LÄN</t>
        </is>
      </c>
      <c r="E492" t="inlineStr">
        <is>
          <t>LINKÖPING</t>
        </is>
      </c>
      <c r="G492" t="n">
        <v>4.8</v>
      </c>
      <c r="H492" t="n">
        <v>0</v>
      </c>
      <c r="I492" t="n">
        <v>0</v>
      </c>
      <c r="J492" t="n">
        <v>0</v>
      </c>
      <c r="K492" t="n">
        <v>0</v>
      </c>
      <c r="L492" t="n">
        <v>0</v>
      </c>
      <c r="M492" t="n">
        <v>0</v>
      </c>
      <c r="N492" t="n">
        <v>0</v>
      </c>
      <c r="O492" t="n">
        <v>0</v>
      </c>
      <c r="P492" t="n">
        <v>0</v>
      </c>
      <c r="Q492" t="n">
        <v>0</v>
      </c>
      <c r="R492" s="2" t="inlineStr"/>
    </row>
    <row r="493" ht="15" customHeight="1">
      <c r="A493" t="inlineStr">
        <is>
          <t>A 10198-2023</t>
        </is>
      </c>
      <c r="B493" s="1" t="n">
        <v>44986.54665509259</v>
      </c>
      <c r="C493" s="1" t="n">
        <v>45993</v>
      </c>
      <c r="D493" t="inlineStr">
        <is>
          <t>ÖSTERGÖTLANDS LÄN</t>
        </is>
      </c>
      <c r="E493" t="inlineStr">
        <is>
          <t>LINKÖPING</t>
        </is>
      </c>
      <c r="G493" t="n">
        <v>4.6</v>
      </c>
      <c r="H493" t="n">
        <v>0</v>
      </c>
      <c r="I493" t="n">
        <v>0</v>
      </c>
      <c r="J493" t="n">
        <v>0</v>
      </c>
      <c r="K493" t="n">
        <v>0</v>
      </c>
      <c r="L493" t="n">
        <v>0</v>
      </c>
      <c r="M493" t="n">
        <v>0</v>
      </c>
      <c r="N493" t="n">
        <v>0</v>
      </c>
      <c r="O493" t="n">
        <v>0</v>
      </c>
      <c r="P493" t="n">
        <v>0</v>
      </c>
      <c r="Q493" t="n">
        <v>0</v>
      </c>
      <c r="R493" s="2" t="inlineStr"/>
    </row>
    <row r="494" ht="15" customHeight="1">
      <c r="A494" t="inlineStr">
        <is>
          <t>A 55632-2022</t>
        </is>
      </c>
      <c r="B494" s="1" t="n">
        <v>44888</v>
      </c>
      <c r="C494" s="1" t="n">
        <v>45993</v>
      </c>
      <c r="D494" t="inlineStr">
        <is>
          <t>ÖSTERGÖTLANDS LÄN</t>
        </is>
      </c>
      <c r="E494" t="inlineStr">
        <is>
          <t>LINKÖPING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63935-2021</t>
        </is>
      </c>
      <c r="B495" s="1" t="n">
        <v>44509</v>
      </c>
      <c r="C495" s="1" t="n">
        <v>45993</v>
      </c>
      <c r="D495" t="inlineStr">
        <is>
          <t>ÖSTERGÖTLANDS LÄN</t>
        </is>
      </c>
      <c r="E495" t="inlineStr">
        <is>
          <t>LINKÖPING</t>
        </is>
      </c>
      <c r="F495" t="inlineStr">
        <is>
          <t>Övriga statliga verk och myndigheter</t>
        </is>
      </c>
      <c r="G495" t="n">
        <v>2.8</v>
      </c>
      <c r="H495" t="n">
        <v>0</v>
      </c>
      <c r="I495" t="n">
        <v>0</v>
      </c>
      <c r="J495" t="n">
        <v>0</v>
      </c>
      <c r="K495" t="n">
        <v>0</v>
      </c>
      <c r="L495" t="n">
        <v>0</v>
      </c>
      <c r="M495" t="n">
        <v>0</v>
      </c>
      <c r="N495" t="n">
        <v>0</v>
      </c>
      <c r="O495" t="n">
        <v>0</v>
      </c>
      <c r="P495" t="n">
        <v>0</v>
      </c>
      <c r="Q495" t="n">
        <v>0</v>
      </c>
      <c r="R495" s="2" t="inlineStr"/>
    </row>
    <row r="496" ht="15" customHeight="1">
      <c r="A496" t="inlineStr">
        <is>
          <t>A 63669-2023</t>
        </is>
      </c>
      <c r="B496" s="1" t="n">
        <v>45275</v>
      </c>
      <c r="C496" s="1" t="n">
        <v>45993</v>
      </c>
      <c r="D496" t="inlineStr">
        <is>
          <t>ÖSTERGÖTLANDS LÄN</t>
        </is>
      </c>
      <c r="E496" t="inlineStr">
        <is>
          <t>LINKÖPING</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52111-2025</t>
        </is>
      </c>
      <c r="B497" s="1" t="n">
        <v>45952.69527777778</v>
      </c>
      <c r="C497" s="1" t="n">
        <v>45993</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12289-2025</t>
        </is>
      </c>
      <c r="B498" s="1" t="n">
        <v>45729</v>
      </c>
      <c r="C498" s="1" t="n">
        <v>45993</v>
      </c>
      <c r="D498" t="inlineStr">
        <is>
          <t>ÖSTERGÖTLANDS LÄN</t>
        </is>
      </c>
      <c r="E498" t="inlineStr">
        <is>
          <t>LINKÖPING</t>
        </is>
      </c>
      <c r="F498" t="inlineStr">
        <is>
          <t>Övriga statliga verk och myndigheter</t>
        </is>
      </c>
      <c r="G498" t="n">
        <v>6.5</v>
      </c>
      <c r="H498" t="n">
        <v>0</v>
      </c>
      <c r="I498" t="n">
        <v>0</v>
      </c>
      <c r="J498" t="n">
        <v>0</v>
      </c>
      <c r="K498" t="n">
        <v>0</v>
      </c>
      <c r="L498" t="n">
        <v>0</v>
      </c>
      <c r="M498" t="n">
        <v>0</v>
      </c>
      <c r="N498" t="n">
        <v>0</v>
      </c>
      <c r="O498" t="n">
        <v>0</v>
      </c>
      <c r="P498" t="n">
        <v>0</v>
      </c>
      <c r="Q498" t="n">
        <v>0</v>
      </c>
      <c r="R498" s="2" t="inlineStr"/>
    </row>
    <row r="499" ht="15" customHeight="1">
      <c r="A499" t="inlineStr">
        <is>
          <t>A 36657-2023</t>
        </is>
      </c>
      <c r="B499" s="1" t="n">
        <v>45153.5702662037</v>
      </c>
      <c r="C499" s="1" t="n">
        <v>45993</v>
      </c>
      <c r="D499" t="inlineStr">
        <is>
          <t>ÖSTERGÖTLANDS LÄN</t>
        </is>
      </c>
      <c r="E499" t="inlineStr">
        <is>
          <t>LINKÖPING</t>
        </is>
      </c>
      <c r="F499" t="inlineStr">
        <is>
          <t>Allmännings- och besparingsskogar</t>
        </is>
      </c>
      <c r="G499" t="n">
        <v>2</v>
      </c>
      <c r="H499" t="n">
        <v>0</v>
      </c>
      <c r="I499" t="n">
        <v>0</v>
      </c>
      <c r="J499" t="n">
        <v>0</v>
      </c>
      <c r="K499" t="n">
        <v>0</v>
      </c>
      <c r="L499" t="n">
        <v>0</v>
      </c>
      <c r="M499" t="n">
        <v>0</v>
      </c>
      <c r="N499" t="n">
        <v>0</v>
      </c>
      <c r="O499" t="n">
        <v>0</v>
      </c>
      <c r="P499" t="n">
        <v>0</v>
      </c>
      <c r="Q499" t="n">
        <v>0</v>
      </c>
      <c r="R499" s="2" t="inlineStr"/>
    </row>
    <row r="500" ht="15" customHeight="1">
      <c r="A500" t="inlineStr">
        <is>
          <t>A 19169-2023</t>
        </is>
      </c>
      <c r="B500" s="1" t="n">
        <v>45044</v>
      </c>
      <c r="C500" s="1" t="n">
        <v>45993</v>
      </c>
      <c r="D500" t="inlineStr">
        <is>
          <t>ÖSTERGÖTLANDS LÄN</t>
        </is>
      </c>
      <c r="E500" t="inlineStr">
        <is>
          <t>LINKÖPING</t>
        </is>
      </c>
      <c r="G500" t="n">
        <v>2.7</v>
      </c>
      <c r="H500" t="n">
        <v>0</v>
      </c>
      <c r="I500" t="n">
        <v>0</v>
      </c>
      <c r="J500" t="n">
        <v>0</v>
      </c>
      <c r="K500" t="n">
        <v>0</v>
      </c>
      <c r="L500" t="n">
        <v>0</v>
      </c>
      <c r="M500" t="n">
        <v>0</v>
      </c>
      <c r="N500" t="n">
        <v>0</v>
      </c>
      <c r="O500" t="n">
        <v>0</v>
      </c>
      <c r="P500" t="n">
        <v>0</v>
      </c>
      <c r="Q500" t="n">
        <v>0</v>
      </c>
      <c r="R500" s="2" t="inlineStr"/>
    </row>
    <row r="501" ht="15" customHeight="1">
      <c r="A501" t="inlineStr">
        <is>
          <t>A 1209-2023</t>
        </is>
      </c>
      <c r="B501" s="1" t="n">
        <v>44930</v>
      </c>
      <c r="C501" s="1" t="n">
        <v>45993</v>
      </c>
      <c r="D501" t="inlineStr">
        <is>
          <t>ÖSTERGÖTLANDS LÄN</t>
        </is>
      </c>
      <c r="E501" t="inlineStr">
        <is>
          <t>LINKÖPING</t>
        </is>
      </c>
      <c r="F501" t="inlineStr">
        <is>
          <t>Övriga statliga verk och myndigheter</t>
        </is>
      </c>
      <c r="G501" t="n">
        <v>25.8</v>
      </c>
      <c r="H501" t="n">
        <v>0</v>
      </c>
      <c r="I501" t="n">
        <v>0</v>
      </c>
      <c r="J501" t="n">
        <v>0</v>
      </c>
      <c r="K501" t="n">
        <v>0</v>
      </c>
      <c r="L501" t="n">
        <v>0</v>
      </c>
      <c r="M501" t="n">
        <v>0</v>
      </c>
      <c r="N501" t="n">
        <v>0</v>
      </c>
      <c r="O501" t="n">
        <v>0</v>
      </c>
      <c r="P501" t="n">
        <v>0</v>
      </c>
      <c r="Q501" t="n">
        <v>0</v>
      </c>
      <c r="R501" s="2" t="inlineStr"/>
    </row>
    <row r="502" ht="15" customHeight="1">
      <c r="A502" t="inlineStr">
        <is>
          <t>A 22771-2024</t>
        </is>
      </c>
      <c r="B502" s="1" t="n">
        <v>45448.46574074074</v>
      </c>
      <c r="C502" s="1" t="n">
        <v>45993</v>
      </c>
      <c r="D502" t="inlineStr">
        <is>
          <t>ÖSTERGÖTLANDS LÄN</t>
        </is>
      </c>
      <c r="E502" t="inlineStr">
        <is>
          <t>LINKÖPING</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40810-2022</t>
        </is>
      </c>
      <c r="B503" s="1" t="n">
        <v>44824</v>
      </c>
      <c r="C503" s="1" t="n">
        <v>45993</v>
      </c>
      <c r="D503" t="inlineStr">
        <is>
          <t>ÖSTERGÖTLANDS LÄN</t>
        </is>
      </c>
      <c r="E503" t="inlineStr">
        <is>
          <t>LINKÖPING</t>
        </is>
      </c>
      <c r="G503" t="n">
        <v>2.8</v>
      </c>
      <c r="H503" t="n">
        <v>0</v>
      </c>
      <c r="I503" t="n">
        <v>0</v>
      </c>
      <c r="J503" t="n">
        <v>0</v>
      </c>
      <c r="K503" t="n">
        <v>0</v>
      </c>
      <c r="L503" t="n">
        <v>0</v>
      </c>
      <c r="M503" t="n">
        <v>0</v>
      </c>
      <c r="N503" t="n">
        <v>0</v>
      </c>
      <c r="O503" t="n">
        <v>0</v>
      </c>
      <c r="P503" t="n">
        <v>0</v>
      </c>
      <c r="Q503" t="n">
        <v>0</v>
      </c>
      <c r="R503" s="2" t="inlineStr"/>
    </row>
    <row r="504" ht="15" customHeight="1">
      <c r="A504" t="inlineStr">
        <is>
          <t>A 17128-2025</t>
        </is>
      </c>
      <c r="B504" s="1" t="n">
        <v>45755.72622685185</v>
      </c>
      <c r="C504" s="1" t="n">
        <v>45993</v>
      </c>
      <c r="D504" t="inlineStr">
        <is>
          <t>ÖSTERGÖTLANDS LÄN</t>
        </is>
      </c>
      <c r="E504" t="inlineStr">
        <is>
          <t>LINKÖPING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2085-2024</t>
        </is>
      </c>
      <c r="B505" s="1" t="n">
        <v>45309</v>
      </c>
      <c r="C505" s="1" t="n">
        <v>45993</v>
      </c>
      <c r="D505" t="inlineStr">
        <is>
          <t>ÖSTERGÖTLANDS LÄN</t>
        </is>
      </c>
      <c r="E505" t="inlineStr">
        <is>
          <t>LINKÖPING</t>
        </is>
      </c>
      <c r="G505" t="n">
        <v>4.5</v>
      </c>
      <c r="H505" t="n">
        <v>0</v>
      </c>
      <c r="I505" t="n">
        <v>0</v>
      </c>
      <c r="J505" t="n">
        <v>0</v>
      </c>
      <c r="K505" t="n">
        <v>0</v>
      </c>
      <c r="L505" t="n">
        <v>0</v>
      </c>
      <c r="M505" t="n">
        <v>0</v>
      </c>
      <c r="N505" t="n">
        <v>0</v>
      </c>
      <c r="O505" t="n">
        <v>0</v>
      </c>
      <c r="P505" t="n">
        <v>0</v>
      </c>
      <c r="Q505" t="n">
        <v>0</v>
      </c>
      <c r="R505" s="2" t="inlineStr"/>
    </row>
    <row r="506" ht="15" customHeight="1">
      <c r="A506" t="inlineStr">
        <is>
          <t>A 48-2024</t>
        </is>
      </c>
      <c r="B506" s="1" t="n">
        <v>45293</v>
      </c>
      <c r="C506" s="1" t="n">
        <v>45993</v>
      </c>
      <c r="D506" t="inlineStr">
        <is>
          <t>ÖSTERGÖTLANDS LÄN</t>
        </is>
      </c>
      <c r="E506" t="inlineStr">
        <is>
          <t>LINKÖPING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20298-2025</t>
        </is>
      </c>
      <c r="B507" s="1" t="n">
        <v>45774.75024305555</v>
      </c>
      <c r="C507" s="1" t="n">
        <v>45993</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14576-2023</t>
        </is>
      </c>
      <c r="B508" s="1" t="n">
        <v>45013</v>
      </c>
      <c r="C508" s="1" t="n">
        <v>45993</v>
      </c>
      <c r="D508" t="inlineStr">
        <is>
          <t>ÖSTERGÖTLANDS LÄN</t>
        </is>
      </c>
      <c r="E508" t="inlineStr">
        <is>
          <t>LINKÖPING</t>
        </is>
      </c>
      <c r="G508" t="n">
        <v>3.2</v>
      </c>
      <c r="H508" t="n">
        <v>0</v>
      </c>
      <c r="I508" t="n">
        <v>0</v>
      </c>
      <c r="J508" t="n">
        <v>0</v>
      </c>
      <c r="K508" t="n">
        <v>0</v>
      </c>
      <c r="L508" t="n">
        <v>0</v>
      </c>
      <c r="M508" t="n">
        <v>0</v>
      </c>
      <c r="N508" t="n">
        <v>0</v>
      </c>
      <c r="O508" t="n">
        <v>0</v>
      </c>
      <c r="P508" t="n">
        <v>0</v>
      </c>
      <c r="Q508" t="n">
        <v>0</v>
      </c>
      <c r="R508" s="2" t="inlineStr"/>
    </row>
    <row r="509" ht="15" customHeight="1">
      <c r="A509" t="inlineStr">
        <is>
          <t>A 56560-2023</t>
        </is>
      </c>
      <c r="B509" s="1" t="n">
        <v>45238</v>
      </c>
      <c r="C509" s="1" t="n">
        <v>45993</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12089-2025</t>
        </is>
      </c>
      <c r="B510" s="1" t="n">
        <v>45729</v>
      </c>
      <c r="C510" s="1" t="n">
        <v>45993</v>
      </c>
      <c r="D510" t="inlineStr">
        <is>
          <t>ÖSTERGÖTLANDS LÄN</t>
        </is>
      </c>
      <c r="E510" t="inlineStr">
        <is>
          <t>LINKÖPING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19132-2023</t>
        </is>
      </c>
      <c r="B511" s="1" t="n">
        <v>45048.54754629629</v>
      </c>
      <c r="C511" s="1" t="n">
        <v>45993</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43755-2025</t>
        </is>
      </c>
      <c r="B512" s="1" t="n">
        <v>45912.47329861111</v>
      </c>
      <c r="C512" s="1" t="n">
        <v>45993</v>
      </c>
      <c r="D512" t="inlineStr">
        <is>
          <t>ÖSTERGÖTLANDS LÄN</t>
        </is>
      </c>
      <c r="E512" t="inlineStr">
        <is>
          <t>LINKÖPING</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62018-2024</t>
        </is>
      </c>
      <c r="B513" s="1" t="n">
        <v>45655.81387731482</v>
      </c>
      <c r="C513" s="1" t="n">
        <v>45993</v>
      </c>
      <c r="D513" t="inlineStr">
        <is>
          <t>ÖSTERGÖTLANDS LÄN</t>
        </is>
      </c>
      <c r="E513" t="inlineStr">
        <is>
          <t>LINKÖPING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52412-2023</t>
        </is>
      </c>
      <c r="B514" s="1" t="n">
        <v>45225.27888888889</v>
      </c>
      <c r="C514" s="1" t="n">
        <v>45993</v>
      </c>
      <c r="D514" t="inlineStr">
        <is>
          <t>ÖSTERGÖTLANDS LÄN</t>
        </is>
      </c>
      <c r="E514" t="inlineStr">
        <is>
          <t>LINKÖPING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62073-2023</t>
        </is>
      </c>
      <c r="B515" s="1" t="n">
        <v>45266.73844907407</v>
      </c>
      <c r="C515" s="1" t="n">
        <v>45993</v>
      </c>
      <c r="D515" t="inlineStr">
        <is>
          <t>ÖSTERGÖTLANDS LÄN</t>
        </is>
      </c>
      <c r="E515" t="inlineStr">
        <is>
          <t>LINKÖPING</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62492-2023</t>
        </is>
      </c>
      <c r="B516" s="1" t="n">
        <v>45268.58987268519</v>
      </c>
      <c r="C516" s="1" t="n">
        <v>45993</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43753-2025</t>
        </is>
      </c>
      <c r="B517" s="1" t="n">
        <v>45912.4715625</v>
      </c>
      <c r="C517" s="1" t="n">
        <v>45993</v>
      </c>
      <c r="D517" t="inlineStr">
        <is>
          <t>ÖSTERGÖTLANDS LÄN</t>
        </is>
      </c>
      <c r="E517" t="inlineStr">
        <is>
          <t>LINKÖPING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43758-2025</t>
        </is>
      </c>
      <c r="B518" s="1" t="n">
        <v>45912.47711805555</v>
      </c>
      <c r="C518" s="1" t="n">
        <v>45993</v>
      </c>
      <c r="D518" t="inlineStr">
        <is>
          <t>ÖSTERGÖTLANDS LÄN</t>
        </is>
      </c>
      <c r="E518" t="inlineStr">
        <is>
          <t>LINKÖPING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44170-2025</t>
        </is>
      </c>
      <c r="B519" s="1" t="n">
        <v>45915.59864583334</v>
      </c>
      <c r="C519" s="1" t="n">
        <v>45993</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52743-2025</t>
        </is>
      </c>
      <c r="B520" s="1" t="n">
        <v>45957.38039351852</v>
      </c>
      <c r="C520" s="1" t="n">
        <v>45993</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38230-2023</t>
        </is>
      </c>
      <c r="B521" s="1" t="n">
        <v>45161.55373842592</v>
      </c>
      <c r="C521" s="1" t="n">
        <v>45993</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56756-2023</t>
        </is>
      </c>
      <c r="B522" s="1" t="n">
        <v>45244</v>
      </c>
      <c r="C522" s="1" t="n">
        <v>45993</v>
      </c>
      <c r="D522" t="inlineStr">
        <is>
          <t>ÖSTERGÖTLANDS LÄN</t>
        </is>
      </c>
      <c r="E522" t="inlineStr">
        <is>
          <t>LINKÖPING</t>
        </is>
      </c>
      <c r="F522" t="inlineStr">
        <is>
          <t>Övriga Aktiebolag</t>
        </is>
      </c>
      <c r="G522" t="n">
        <v>0.8</v>
      </c>
      <c r="H522" t="n">
        <v>0</v>
      </c>
      <c r="I522" t="n">
        <v>0</v>
      </c>
      <c r="J522" t="n">
        <v>0</v>
      </c>
      <c r="K522" t="n">
        <v>0</v>
      </c>
      <c r="L522" t="n">
        <v>0</v>
      </c>
      <c r="M522" t="n">
        <v>0</v>
      </c>
      <c r="N522" t="n">
        <v>0</v>
      </c>
      <c r="O522" t="n">
        <v>0</v>
      </c>
      <c r="P522" t="n">
        <v>0</v>
      </c>
      <c r="Q522" t="n">
        <v>0</v>
      </c>
      <c r="R522" s="2" t="inlineStr"/>
    </row>
    <row r="523" ht="15" customHeight="1">
      <c r="A523" t="inlineStr">
        <is>
          <t>A 672-2024</t>
        </is>
      </c>
      <c r="B523" s="1" t="n">
        <v>45300</v>
      </c>
      <c r="C523" s="1" t="n">
        <v>45993</v>
      </c>
      <c r="D523" t="inlineStr">
        <is>
          <t>ÖSTERGÖTLANDS LÄN</t>
        </is>
      </c>
      <c r="E523" t="inlineStr">
        <is>
          <t>LINKÖPING</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38886-2024</t>
        </is>
      </c>
      <c r="B524" s="1" t="n">
        <v>45547.66443287037</v>
      </c>
      <c r="C524" s="1" t="n">
        <v>45993</v>
      </c>
      <c r="D524" t="inlineStr">
        <is>
          <t>ÖSTERGÖTLANDS LÄN</t>
        </is>
      </c>
      <c r="E524" t="inlineStr">
        <is>
          <t>LINKÖPING</t>
        </is>
      </c>
      <c r="G524" t="n">
        <v>5.3</v>
      </c>
      <c r="H524" t="n">
        <v>0</v>
      </c>
      <c r="I524" t="n">
        <v>0</v>
      </c>
      <c r="J524" t="n">
        <v>0</v>
      </c>
      <c r="K524" t="n">
        <v>0</v>
      </c>
      <c r="L524" t="n">
        <v>0</v>
      </c>
      <c r="M524" t="n">
        <v>0</v>
      </c>
      <c r="N524" t="n">
        <v>0</v>
      </c>
      <c r="O524" t="n">
        <v>0</v>
      </c>
      <c r="P524" t="n">
        <v>0</v>
      </c>
      <c r="Q524" t="n">
        <v>0</v>
      </c>
      <c r="R524" s="2" t="inlineStr"/>
    </row>
    <row r="525" ht="15" customHeight="1">
      <c r="A525" t="inlineStr">
        <is>
          <t>A 62321-2022</t>
        </is>
      </c>
      <c r="B525" s="1" t="n">
        <v>44916</v>
      </c>
      <c r="C525" s="1" t="n">
        <v>45993</v>
      </c>
      <c r="D525" t="inlineStr">
        <is>
          <t>ÖSTERGÖTLANDS LÄN</t>
        </is>
      </c>
      <c r="E525" t="inlineStr">
        <is>
          <t>LINKÖPING</t>
        </is>
      </c>
      <c r="F525" t="inlineStr">
        <is>
          <t>Kommuner</t>
        </is>
      </c>
      <c r="G525" t="n">
        <v>5.3</v>
      </c>
      <c r="H525" t="n">
        <v>0</v>
      </c>
      <c r="I525" t="n">
        <v>0</v>
      </c>
      <c r="J525" t="n">
        <v>0</v>
      </c>
      <c r="K525" t="n">
        <v>0</v>
      </c>
      <c r="L525" t="n">
        <v>0</v>
      </c>
      <c r="M525" t="n">
        <v>0</v>
      </c>
      <c r="N525" t="n">
        <v>0</v>
      </c>
      <c r="O525" t="n">
        <v>0</v>
      </c>
      <c r="P525" t="n">
        <v>0</v>
      </c>
      <c r="Q525" t="n">
        <v>0</v>
      </c>
      <c r="R525" s="2" t="inlineStr"/>
    </row>
    <row r="526" ht="15" customHeight="1">
      <c r="A526" t="inlineStr">
        <is>
          <t>A 11590-2023</t>
        </is>
      </c>
      <c r="B526" s="1" t="n">
        <v>44994.36689814815</v>
      </c>
      <c r="C526" s="1" t="n">
        <v>45993</v>
      </c>
      <c r="D526" t="inlineStr">
        <is>
          <t>ÖSTERGÖTLANDS LÄN</t>
        </is>
      </c>
      <c r="E526" t="inlineStr">
        <is>
          <t>LINKÖPING</t>
        </is>
      </c>
      <c r="G526" t="n">
        <v>3.1</v>
      </c>
      <c r="H526" t="n">
        <v>0</v>
      </c>
      <c r="I526" t="n">
        <v>0</v>
      </c>
      <c r="J526" t="n">
        <v>0</v>
      </c>
      <c r="K526" t="n">
        <v>0</v>
      </c>
      <c r="L526" t="n">
        <v>0</v>
      </c>
      <c r="M526" t="n">
        <v>0</v>
      </c>
      <c r="N526" t="n">
        <v>0</v>
      </c>
      <c r="O526" t="n">
        <v>0</v>
      </c>
      <c r="P526" t="n">
        <v>0</v>
      </c>
      <c r="Q526" t="n">
        <v>0</v>
      </c>
      <c r="R526" s="2" t="inlineStr"/>
    </row>
    <row r="527" ht="15" customHeight="1">
      <c r="A527" t="inlineStr">
        <is>
          <t>A 52800-2025</t>
        </is>
      </c>
      <c r="B527" s="1" t="n">
        <v>45957.44152777778</v>
      </c>
      <c r="C527" s="1" t="n">
        <v>45993</v>
      </c>
      <c r="D527" t="inlineStr">
        <is>
          <t>ÖSTERGÖTLANDS LÄN</t>
        </is>
      </c>
      <c r="E527" t="inlineStr">
        <is>
          <t>LINKÖPING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43475-2024</t>
        </is>
      </c>
      <c r="B528" s="1" t="n">
        <v>45568</v>
      </c>
      <c r="C528" s="1" t="n">
        <v>45993</v>
      </c>
      <c r="D528" t="inlineStr">
        <is>
          <t>ÖSTERGÖTLANDS LÄN</t>
        </is>
      </c>
      <c r="E528" t="inlineStr">
        <is>
          <t>LINKÖPING</t>
        </is>
      </c>
      <c r="G528" t="n">
        <v>3.2</v>
      </c>
      <c r="H528" t="n">
        <v>0</v>
      </c>
      <c r="I528" t="n">
        <v>0</v>
      </c>
      <c r="J528" t="n">
        <v>0</v>
      </c>
      <c r="K528" t="n">
        <v>0</v>
      </c>
      <c r="L528" t="n">
        <v>0</v>
      </c>
      <c r="M528" t="n">
        <v>0</v>
      </c>
      <c r="N528" t="n">
        <v>0</v>
      </c>
      <c r="O528" t="n">
        <v>0</v>
      </c>
      <c r="P528" t="n">
        <v>0</v>
      </c>
      <c r="Q528" t="n">
        <v>0</v>
      </c>
      <c r="R528" s="2" t="inlineStr"/>
    </row>
    <row r="529" ht="15" customHeight="1">
      <c r="A529" t="inlineStr">
        <is>
          <t>A 10461-2023</t>
        </is>
      </c>
      <c r="B529" s="1" t="n">
        <v>44987.5969212963</v>
      </c>
      <c r="C529" s="1" t="n">
        <v>45993</v>
      </c>
      <c r="D529" t="inlineStr">
        <is>
          <t>ÖSTERGÖTLANDS LÄN</t>
        </is>
      </c>
      <c r="E529" t="inlineStr">
        <is>
          <t>LINKÖPING</t>
        </is>
      </c>
      <c r="G529" t="n">
        <v>7.8</v>
      </c>
      <c r="H529" t="n">
        <v>0</v>
      </c>
      <c r="I529" t="n">
        <v>0</v>
      </c>
      <c r="J529" t="n">
        <v>0</v>
      </c>
      <c r="K529" t="n">
        <v>0</v>
      </c>
      <c r="L529" t="n">
        <v>0</v>
      </c>
      <c r="M529" t="n">
        <v>0</v>
      </c>
      <c r="N529" t="n">
        <v>0</v>
      </c>
      <c r="O529" t="n">
        <v>0</v>
      </c>
      <c r="P529" t="n">
        <v>0</v>
      </c>
      <c r="Q529" t="n">
        <v>0</v>
      </c>
      <c r="R529" s="2" t="inlineStr"/>
    </row>
    <row r="530" ht="15" customHeight="1">
      <c r="A530" t="inlineStr">
        <is>
          <t>A 41345-2021</t>
        </is>
      </c>
      <c r="B530" s="1" t="n">
        <v>44424.61851851852</v>
      </c>
      <c r="C530" s="1" t="n">
        <v>45993</v>
      </c>
      <c r="D530" t="inlineStr">
        <is>
          <t>ÖSTERGÖTLANDS LÄN</t>
        </is>
      </c>
      <c r="E530" t="inlineStr">
        <is>
          <t>LINKÖPING</t>
        </is>
      </c>
      <c r="F530" t="inlineStr">
        <is>
          <t>Sveaskog</t>
        </is>
      </c>
      <c r="G530" t="n">
        <v>6.3</v>
      </c>
      <c r="H530" t="n">
        <v>0</v>
      </c>
      <c r="I530" t="n">
        <v>0</v>
      </c>
      <c r="J530" t="n">
        <v>0</v>
      </c>
      <c r="K530" t="n">
        <v>0</v>
      </c>
      <c r="L530" t="n">
        <v>0</v>
      </c>
      <c r="M530" t="n">
        <v>0</v>
      </c>
      <c r="N530" t="n">
        <v>0</v>
      </c>
      <c r="O530" t="n">
        <v>0</v>
      </c>
      <c r="P530" t="n">
        <v>0</v>
      </c>
      <c r="Q530" t="n">
        <v>0</v>
      </c>
      <c r="R530" s="2" t="inlineStr"/>
    </row>
    <row r="531" ht="15" customHeight="1">
      <c r="A531" t="inlineStr">
        <is>
          <t>A 42832-2023</t>
        </is>
      </c>
      <c r="B531" s="1" t="n">
        <v>45182.38091435185</v>
      </c>
      <c r="C531" s="1" t="n">
        <v>45993</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17103-2025</t>
        </is>
      </c>
      <c r="B532" s="1" t="n">
        <v>45755.66143518518</v>
      </c>
      <c r="C532" s="1" t="n">
        <v>45993</v>
      </c>
      <c r="D532" t="inlineStr">
        <is>
          <t>ÖSTERGÖTLANDS LÄN</t>
        </is>
      </c>
      <c r="E532" t="inlineStr">
        <is>
          <t>LINKÖPING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30551-2023</t>
        </is>
      </c>
      <c r="B533" s="1" t="n">
        <v>45111</v>
      </c>
      <c r="C533" s="1" t="n">
        <v>45993</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50784-2022</t>
        </is>
      </c>
      <c r="B534" s="1" t="n">
        <v>44862</v>
      </c>
      <c r="C534" s="1" t="n">
        <v>45993</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22043-2023</t>
        </is>
      </c>
      <c r="B535" s="1" t="n">
        <v>45069.39050925926</v>
      </c>
      <c r="C535" s="1" t="n">
        <v>45993</v>
      </c>
      <c r="D535" t="inlineStr">
        <is>
          <t>ÖSTERGÖTLANDS LÄN</t>
        </is>
      </c>
      <c r="E535" t="inlineStr">
        <is>
          <t>LINKÖPING</t>
        </is>
      </c>
      <c r="G535" t="n">
        <v>5.9</v>
      </c>
      <c r="H535" t="n">
        <v>0</v>
      </c>
      <c r="I535" t="n">
        <v>0</v>
      </c>
      <c r="J535" t="n">
        <v>0</v>
      </c>
      <c r="K535" t="n">
        <v>0</v>
      </c>
      <c r="L535" t="n">
        <v>0</v>
      </c>
      <c r="M535" t="n">
        <v>0</v>
      </c>
      <c r="N535" t="n">
        <v>0</v>
      </c>
      <c r="O535" t="n">
        <v>0</v>
      </c>
      <c r="P535" t="n">
        <v>0</v>
      </c>
      <c r="Q535" t="n">
        <v>0</v>
      </c>
      <c r="R535" s="2" t="inlineStr"/>
    </row>
    <row r="536" ht="15" customHeight="1">
      <c r="A536" t="inlineStr">
        <is>
          <t>A 52802-2025</t>
        </is>
      </c>
      <c r="B536" s="1" t="n">
        <v>45957.44295138889</v>
      </c>
      <c r="C536" s="1" t="n">
        <v>45993</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67129-2020</t>
        </is>
      </c>
      <c r="B537" s="1" t="n">
        <v>44180</v>
      </c>
      <c r="C537" s="1" t="n">
        <v>45993</v>
      </c>
      <c r="D537" t="inlineStr">
        <is>
          <t>ÖSTERGÖTLANDS LÄN</t>
        </is>
      </c>
      <c r="E537" t="inlineStr">
        <is>
          <t>LINKÖPING</t>
        </is>
      </c>
      <c r="F537" t="inlineStr">
        <is>
          <t>Övriga statliga verk och myndigheter</t>
        </is>
      </c>
      <c r="G537" t="n">
        <v>2.7</v>
      </c>
      <c r="H537" t="n">
        <v>0</v>
      </c>
      <c r="I537" t="n">
        <v>0</v>
      </c>
      <c r="J537" t="n">
        <v>0</v>
      </c>
      <c r="K537" t="n">
        <v>0</v>
      </c>
      <c r="L537" t="n">
        <v>0</v>
      </c>
      <c r="M537" t="n">
        <v>0</v>
      </c>
      <c r="N537" t="n">
        <v>0</v>
      </c>
      <c r="O537" t="n">
        <v>0</v>
      </c>
      <c r="P537" t="n">
        <v>0</v>
      </c>
      <c r="Q537" t="n">
        <v>0</v>
      </c>
      <c r="R537" s="2" t="inlineStr"/>
    </row>
    <row r="538" ht="15" customHeight="1">
      <c r="A538" t="inlineStr">
        <is>
          <t>A 49656-2021</t>
        </is>
      </c>
      <c r="B538" s="1" t="n">
        <v>44454</v>
      </c>
      <c r="C538" s="1" t="n">
        <v>45993</v>
      </c>
      <c r="D538" t="inlineStr">
        <is>
          <t>ÖSTERGÖTLANDS LÄN</t>
        </is>
      </c>
      <c r="E538" t="inlineStr">
        <is>
          <t>LINKÖPING</t>
        </is>
      </c>
      <c r="G538" t="n">
        <v>2.3</v>
      </c>
      <c r="H538" t="n">
        <v>0</v>
      </c>
      <c r="I538" t="n">
        <v>0</v>
      </c>
      <c r="J538" t="n">
        <v>0</v>
      </c>
      <c r="K538" t="n">
        <v>0</v>
      </c>
      <c r="L538" t="n">
        <v>0</v>
      </c>
      <c r="M538" t="n">
        <v>0</v>
      </c>
      <c r="N538" t="n">
        <v>0</v>
      </c>
      <c r="O538" t="n">
        <v>0</v>
      </c>
      <c r="P538" t="n">
        <v>0</v>
      </c>
      <c r="Q538" t="n">
        <v>0</v>
      </c>
      <c r="R538" s="2" t="inlineStr"/>
    </row>
    <row r="539" ht="15" customHeight="1">
      <c r="A539" t="inlineStr">
        <is>
          <t>A 44759-2025</t>
        </is>
      </c>
      <c r="B539" s="1" t="n">
        <v>45917.7152662037</v>
      </c>
      <c r="C539" s="1" t="n">
        <v>45993</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30465-2023</t>
        </is>
      </c>
      <c r="B540" s="1" t="n">
        <v>45111</v>
      </c>
      <c r="C540" s="1" t="n">
        <v>45993</v>
      </c>
      <c r="D540" t="inlineStr">
        <is>
          <t>ÖSTERGÖTLANDS LÄN</t>
        </is>
      </c>
      <c r="E540" t="inlineStr">
        <is>
          <t>LINKÖPING</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44764-2025</t>
        </is>
      </c>
      <c r="B541" s="1" t="n">
        <v>45917.72821759259</v>
      </c>
      <c r="C541" s="1" t="n">
        <v>45993</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61307-2021</t>
        </is>
      </c>
      <c r="B542" s="1" t="n">
        <v>44498.63928240741</v>
      </c>
      <c r="C542" s="1" t="n">
        <v>45993</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61325-2021</t>
        </is>
      </c>
      <c r="B543" s="1" t="n">
        <v>44498.66814814815</v>
      </c>
      <c r="C543" s="1" t="n">
        <v>45993</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60010-2022</t>
        </is>
      </c>
      <c r="B544" s="1" t="n">
        <v>44909.4740625</v>
      </c>
      <c r="C544" s="1" t="n">
        <v>45993</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30521-2024</t>
        </is>
      </c>
      <c r="B545" s="1" t="n">
        <v>45492</v>
      </c>
      <c r="C545" s="1" t="n">
        <v>45993</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30518-2024</t>
        </is>
      </c>
      <c r="B546" s="1" t="n">
        <v>45492</v>
      </c>
      <c r="C546" s="1" t="n">
        <v>45993</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5872-2025</t>
        </is>
      </c>
      <c r="B547" s="1" t="n">
        <v>45695.36659722222</v>
      </c>
      <c r="C547" s="1" t="n">
        <v>45993</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4908-2023</t>
        </is>
      </c>
      <c r="B548" s="1" t="n">
        <v>44958</v>
      </c>
      <c r="C548" s="1" t="n">
        <v>45993</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40618-2021</t>
        </is>
      </c>
      <c r="B549" s="1" t="n">
        <v>44420.49575231481</v>
      </c>
      <c r="C549" s="1" t="n">
        <v>45993</v>
      </c>
      <c r="D549" t="inlineStr">
        <is>
          <t>ÖSTERGÖTLANDS LÄN</t>
        </is>
      </c>
      <c r="E549" t="inlineStr">
        <is>
          <t>LINKÖPING</t>
        </is>
      </c>
      <c r="G549" t="n">
        <v>2.3</v>
      </c>
      <c r="H549" t="n">
        <v>0</v>
      </c>
      <c r="I549" t="n">
        <v>0</v>
      </c>
      <c r="J549" t="n">
        <v>0</v>
      </c>
      <c r="K549" t="n">
        <v>0</v>
      </c>
      <c r="L549" t="n">
        <v>0</v>
      </c>
      <c r="M549" t="n">
        <v>0</v>
      </c>
      <c r="N549" t="n">
        <v>0</v>
      </c>
      <c r="O549" t="n">
        <v>0</v>
      </c>
      <c r="P549" t="n">
        <v>0</v>
      </c>
      <c r="Q549" t="n">
        <v>0</v>
      </c>
      <c r="R549" s="2" t="inlineStr"/>
    </row>
    <row r="550" ht="15" customHeight="1">
      <c r="A550" t="inlineStr">
        <is>
          <t>A 59674-2024</t>
        </is>
      </c>
      <c r="B550" s="1" t="n">
        <v>45639</v>
      </c>
      <c r="C550" s="1" t="n">
        <v>45993</v>
      </c>
      <c r="D550" t="inlineStr">
        <is>
          <t>ÖSTERGÖTLANDS LÄN</t>
        </is>
      </c>
      <c r="E550" t="inlineStr">
        <is>
          <t>LINKÖPING</t>
        </is>
      </c>
      <c r="G550" t="n">
        <v>6.3</v>
      </c>
      <c r="H550" t="n">
        <v>0</v>
      </c>
      <c r="I550" t="n">
        <v>0</v>
      </c>
      <c r="J550" t="n">
        <v>0</v>
      </c>
      <c r="K550" t="n">
        <v>0</v>
      </c>
      <c r="L550" t="n">
        <v>0</v>
      </c>
      <c r="M550" t="n">
        <v>0</v>
      </c>
      <c r="N550" t="n">
        <v>0</v>
      </c>
      <c r="O550" t="n">
        <v>0</v>
      </c>
      <c r="P550" t="n">
        <v>0</v>
      </c>
      <c r="Q550" t="n">
        <v>0</v>
      </c>
      <c r="R550" s="2" t="inlineStr"/>
    </row>
    <row r="551" ht="15" customHeight="1">
      <c r="A551" t="inlineStr">
        <is>
          <t>A 37715-2022</t>
        </is>
      </c>
      <c r="B551" s="1" t="n">
        <v>44810</v>
      </c>
      <c r="C551" s="1" t="n">
        <v>45993</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23735-2023</t>
        </is>
      </c>
      <c r="B552" s="1" t="n">
        <v>45077</v>
      </c>
      <c r="C552" s="1" t="n">
        <v>45993</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350-2022</t>
        </is>
      </c>
      <c r="B553" s="1" t="n">
        <v>44565</v>
      </c>
      <c r="C553" s="1" t="n">
        <v>45993</v>
      </c>
      <c r="D553" t="inlineStr">
        <is>
          <t>ÖSTERGÖTLANDS LÄN</t>
        </is>
      </c>
      <c r="E553" t="inlineStr">
        <is>
          <t>LINKÖPING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59576-2024</t>
        </is>
      </c>
      <c r="B554" s="1" t="n">
        <v>45638.66378472222</v>
      </c>
      <c r="C554" s="1" t="n">
        <v>45993</v>
      </c>
      <c r="D554" t="inlineStr">
        <is>
          <t>ÖSTERGÖTLANDS LÄN</t>
        </is>
      </c>
      <c r="E554" t="inlineStr">
        <is>
          <t>LINKÖPING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4256-2022</t>
        </is>
      </c>
      <c r="B555" s="1" t="n">
        <v>44588</v>
      </c>
      <c r="C555" s="1" t="n">
        <v>45993</v>
      </c>
      <c r="D555" t="inlineStr">
        <is>
          <t>ÖSTERGÖTLANDS LÄN</t>
        </is>
      </c>
      <c r="E555" t="inlineStr">
        <is>
          <t>LINKÖPING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51583-2024</t>
        </is>
      </c>
      <c r="B556" s="1" t="n">
        <v>45604.6397337963</v>
      </c>
      <c r="C556" s="1" t="n">
        <v>45993</v>
      </c>
      <c r="D556" t="inlineStr">
        <is>
          <t>ÖSTERGÖTLANDS LÄN</t>
        </is>
      </c>
      <c r="E556" t="inlineStr">
        <is>
          <t>LINKÖPING</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62019-2024</t>
        </is>
      </c>
      <c r="B557" s="1" t="n">
        <v>45655.82</v>
      </c>
      <c r="C557" s="1" t="n">
        <v>45993</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25948-2023</t>
        </is>
      </c>
      <c r="B558" s="1" t="n">
        <v>45090</v>
      </c>
      <c r="C558" s="1" t="n">
        <v>45993</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38317-2024</t>
        </is>
      </c>
      <c r="B559" s="1" t="n">
        <v>45545.65766203704</v>
      </c>
      <c r="C559" s="1" t="n">
        <v>45993</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50182-2023</t>
        </is>
      </c>
      <c r="B560" s="1" t="n">
        <v>45208</v>
      </c>
      <c r="C560" s="1" t="n">
        <v>45993</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1844-2025</t>
        </is>
      </c>
      <c r="B561" s="1" t="n">
        <v>45671.57730324074</v>
      </c>
      <c r="C561" s="1" t="n">
        <v>45993</v>
      </c>
      <c r="D561" t="inlineStr">
        <is>
          <t>ÖSTERGÖTLANDS LÄN</t>
        </is>
      </c>
      <c r="E561" t="inlineStr">
        <is>
          <t>LINKÖPING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3742-2021</t>
        </is>
      </c>
      <c r="B562" s="1" t="n">
        <v>44221</v>
      </c>
      <c r="C562" s="1" t="n">
        <v>45993</v>
      </c>
      <c r="D562" t="inlineStr">
        <is>
          <t>ÖSTERGÖTLANDS LÄN</t>
        </is>
      </c>
      <c r="E562" t="inlineStr">
        <is>
          <t>LINKÖPING</t>
        </is>
      </c>
      <c r="G562" t="n">
        <v>5.5</v>
      </c>
      <c r="H562" t="n">
        <v>0</v>
      </c>
      <c r="I562" t="n">
        <v>0</v>
      </c>
      <c r="J562" t="n">
        <v>0</v>
      </c>
      <c r="K562" t="n">
        <v>0</v>
      </c>
      <c r="L562" t="n">
        <v>0</v>
      </c>
      <c r="M562" t="n">
        <v>0</v>
      </c>
      <c r="N562" t="n">
        <v>0</v>
      </c>
      <c r="O562" t="n">
        <v>0</v>
      </c>
      <c r="P562" t="n">
        <v>0</v>
      </c>
      <c r="Q562" t="n">
        <v>0</v>
      </c>
      <c r="R562" s="2" t="inlineStr"/>
    </row>
    <row r="563" ht="15" customHeight="1">
      <c r="A563" t="inlineStr">
        <is>
          <t>A 33867-2023</t>
        </is>
      </c>
      <c r="B563" s="1" t="n">
        <v>45133.94640046296</v>
      </c>
      <c r="C563" s="1" t="n">
        <v>45993</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3011-2023</t>
        </is>
      </c>
      <c r="B564" s="1" t="n">
        <v>44945</v>
      </c>
      <c r="C564" s="1" t="n">
        <v>45993</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45442-2024</t>
        </is>
      </c>
      <c r="B565" s="1" t="n">
        <v>45576.64189814815</v>
      </c>
      <c r="C565" s="1" t="n">
        <v>45993</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3432-2023</t>
        </is>
      </c>
      <c r="B566" s="1" t="n">
        <v>44949</v>
      </c>
      <c r="C566" s="1" t="n">
        <v>45993</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1440-2021</t>
        </is>
      </c>
      <c r="B567" s="1" t="n">
        <v>44208</v>
      </c>
      <c r="C567" s="1" t="n">
        <v>45993</v>
      </c>
      <c r="D567" t="inlineStr">
        <is>
          <t>ÖSTERGÖTLANDS LÄN</t>
        </is>
      </c>
      <c r="E567" t="inlineStr">
        <is>
          <t>LINKÖPING</t>
        </is>
      </c>
      <c r="G567" t="n">
        <v>8.4</v>
      </c>
      <c r="H567" t="n">
        <v>0</v>
      </c>
      <c r="I567" t="n">
        <v>0</v>
      </c>
      <c r="J567" t="n">
        <v>0</v>
      </c>
      <c r="K567" t="n">
        <v>0</v>
      </c>
      <c r="L567" t="n">
        <v>0</v>
      </c>
      <c r="M567" t="n">
        <v>0</v>
      </c>
      <c r="N567" t="n">
        <v>0</v>
      </c>
      <c r="O567" t="n">
        <v>0</v>
      </c>
      <c r="P567" t="n">
        <v>0</v>
      </c>
      <c r="Q567" t="n">
        <v>0</v>
      </c>
      <c r="R567" s="2" t="inlineStr"/>
    </row>
    <row r="568" ht="15" customHeight="1">
      <c r="A568" t="inlineStr">
        <is>
          <t>A 60472-2022</t>
        </is>
      </c>
      <c r="B568" s="1" t="n">
        <v>44911.41037037037</v>
      </c>
      <c r="C568" s="1" t="n">
        <v>45993</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12720-2022</t>
        </is>
      </c>
      <c r="B569" s="1" t="n">
        <v>44641</v>
      </c>
      <c r="C569" s="1" t="n">
        <v>45993</v>
      </c>
      <c r="D569" t="inlineStr">
        <is>
          <t>ÖSTERGÖTLANDS LÄN</t>
        </is>
      </c>
      <c r="E569" t="inlineStr">
        <is>
          <t>LINKÖPING</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45112-2025</t>
        </is>
      </c>
      <c r="B570" s="1" t="n">
        <v>45919</v>
      </c>
      <c r="C570" s="1" t="n">
        <v>45993</v>
      </c>
      <c r="D570" t="inlineStr">
        <is>
          <t>ÖSTERGÖTLANDS LÄN</t>
        </is>
      </c>
      <c r="E570" t="inlineStr">
        <is>
          <t>LINKÖPING</t>
        </is>
      </c>
      <c r="G570" t="n">
        <v>3.5</v>
      </c>
      <c r="H570" t="n">
        <v>0</v>
      </c>
      <c r="I570" t="n">
        <v>0</v>
      </c>
      <c r="J570" t="n">
        <v>0</v>
      </c>
      <c r="K570" t="n">
        <v>0</v>
      </c>
      <c r="L570" t="n">
        <v>0</v>
      </c>
      <c r="M570" t="n">
        <v>0</v>
      </c>
      <c r="N570" t="n">
        <v>0</v>
      </c>
      <c r="O570" t="n">
        <v>0</v>
      </c>
      <c r="P570" t="n">
        <v>0</v>
      </c>
      <c r="Q570" t="n">
        <v>0</v>
      </c>
      <c r="R570" s="2" t="inlineStr"/>
    </row>
    <row r="571" ht="15" customHeight="1">
      <c r="A571" t="inlineStr">
        <is>
          <t>A 24462-2023</t>
        </is>
      </c>
      <c r="B571" s="1" t="n">
        <v>45082</v>
      </c>
      <c r="C571" s="1" t="n">
        <v>45993</v>
      </c>
      <c r="D571" t="inlineStr">
        <is>
          <t>ÖSTERGÖTLANDS LÄN</t>
        </is>
      </c>
      <c r="E571" t="inlineStr">
        <is>
          <t>LINKÖPING</t>
        </is>
      </c>
      <c r="G571" t="n">
        <v>3.5</v>
      </c>
      <c r="H571" t="n">
        <v>0</v>
      </c>
      <c r="I571" t="n">
        <v>0</v>
      </c>
      <c r="J571" t="n">
        <v>0</v>
      </c>
      <c r="K571" t="n">
        <v>0</v>
      </c>
      <c r="L571" t="n">
        <v>0</v>
      </c>
      <c r="M571" t="n">
        <v>0</v>
      </c>
      <c r="N571" t="n">
        <v>0</v>
      </c>
      <c r="O571" t="n">
        <v>0</v>
      </c>
      <c r="P571" t="n">
        <v>0</v>
      </c>
      <c r="Q571" t="n">
        <v>0</v>
      </c>
      <c r="R571" s="2" t="inlineStr"/>
    </row>
    <row r="572" ht="15" customHeight="1">
      <c r="A572" t="inlineStr">
        <is>
          <t>A 48829-2023</t>
        </is>
      </c>
      <c r="B572" s="1" t="n">
        <v>45209.38177083333</v>
      </c>
      <c r="C572" s="1" t="n">
        <v>45993</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45831-2024</t>
        </is>
      </c>
      <c r="B573" s="1" t="n">
        <v>45579.90508101852</v>
      </c>
      <c r="C573" s="1" t="n">
        <v>45993</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38231-2022</t>
        </is>
      </c>
      <c r="B574" s="1" t="n">
        <v>44812</v>
      </c>
      <c r="C574" s="1" t="n">
        <v>45993</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57396-2021</t>
        </is>
      </c>
      <c r="B575" s="1" t="n">
        <v>44483.56151620371</v>
      </c>
      <c r="C575" s="1" t="n">
        <v>45993</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50799-2022</t>
        </is>
      </c>
      <c r="B576" s="1" t="n">
        <v>44862</v>
      </c>
      <c r="C576" s="1" t="n">
        <v>45993</v>
      </c>
      <c r="D576" t="inlineStr">
        <is>
          <t>ÖSTERGÖTLANDS LÄN</t>
        </is>
      </c>
      <c r="E576" t="inlineStr">
        <is>
          <t>LINKÖPING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22842-2023</t>
        </is>
      </c>
      <c r="B577" s="1" t="n">
        <v>45071</v>
      </c>
      <c r="C577" s="1" t="n">
        <v>45993</v>
      </c>
      <c r="D577" t="inlineStr">
        <is>
          <t>ÖSTERGÖTLANDS LÄN</t>
        </is>
      </c>
      <c r="E577" t="inlineStr">
        <is>
          <t>LINKÖPING</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50386-2021</t>
        </is>
      </c>
      <c r="B578" s="1" t="n">
        <v>44459</v>
      </c>
      <c r="C578" s="1" t="n">
        <v>45993</v>
      </c>
      <c r="D578" t="inlineStr">
        <is>
          <t>ÖSTERGÖTLANDS LÄN</t>
        </is>
      </c>
      <c r="E578" t="inlineStr">
        <is>
          <t>LINKÖPING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35781-2023</t>
        </is>
      </c>
      <c r="B579" s="1" t="n">
        <v>45147</v>
      </c>
      <c r="C579" s="1" t="n">
        <v>45993</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40431-2024</t>
        </is>
      </c>
      <c r="B580" s="1" t="n">
        <v>45555.47070601852</v>
      </c>
      <c r="C580" s="1" t="n">
        <v>45993</v>
      </c>
      <c r="D580" t="inlineStr">
        <is>
          <t>ÖSTERGÖTLANDS LÄN</t>
        </is>
      </c>
      <c r="E580" t="inlineStr">
        <is>
          <t>LINKÖPING</t>
        </is>
      </c>
      <c r="F580" t="inlineStr">
        <is>
          <t>Allmännings- och besparingsskogar</t>
        </is>
      </c>
      <c r="G580" t="n">
        <v>2.9</v>
      </c>
      <c r="H580" t="n">
        <v>0</v>
      </c>
      <c r="I580" t="n">
        <v>0</v>
      </c>
      <c r="J580" t="n">
        <v>0</v>
      </c>
      <c r="K580" t="n">
        <v>0</v>
      </c>
      <c r="L580" t="n">
        <v>0</v>
      </c>
      <c r="M580" t="n">
        <v>0</v>
      </c>
      <c r="N580" t="n">
        <v>0</v>
      </c>
      <c r="O580" t="n">
        <v>0</v>
      </c>
      <c r="P580" t="n">
        <v>0</v>
      </c>
      <c r="Q580" t="n">
        <v>0</v>
      </c>
      <c r="R580" s="2" t="inlineStr"/>
    </row>
    <row r="581" ht="15" customHeight="1">
      <c r="A581" t="inlineStr">
        <is>
          <t>A 22770-2024</t>
        </is>
      </c>
      <c r="B581" s="1" t="n">
        <v>45448.4634375</v>
      </c>
      <c r="C581" s="1" t="n">
        <v>45993</v>
      </c>
      <c r="D581" t="inlineStr">
        <is>
          <t>ÖSTERGÖTLANDS LÄN</t>
        </is>
      </c>
      <c r="E581" t="inlineStr">
        <is>
          <t>LINKÖPING</t>
        </is>
      </c>
      <c r="F581" t="inlineStr">
        <is>
          <t>Sveaskog</t>
        </is>
      </c>
      <c r="G581" t="n">
        <v>3.4</v>
      </c>
      <c r="H581" t="n">
        <v>0</v>
      </c>
      <c r="I581" t="n">
        <v>0</v>
      </c>
      <c r="J581" t="n">
        <v>0</v>
      </c>
      <c r="K581" t="n">
        <v>0</v>
      </c>
      <c r="L581" t="n">
        <v>0</v>
      </c>
      <c r="M581" t="n">
        <v>0</v>
      </c>
      <c r="N581" t="n">
        <v>0</v>
      </c>
      <c r="O581" t="n">
        <v>0</v>
      </c>
      <c r="P581" t="n">
        <v>0</v>
      </c>
      <c r="Q581" t="n">
        <v>0</v>
      </c>
      <c r="R581" s="2" t="inlineStr"/>
    </row>
    <row r="582" ht="15" customHeight="1">
      <c r="A582" t="inlineStr">
        <is>
          <t>A 267-2023</t>
        </is>
      </c>
      <c r="B582" s="1" t="n">
        <v>44928.80907407407</v>
      </c>
      <c r="C582" s="1" t="n">
        <v>45993</v>
      </c>
      <c r="D582" t="inlineStr">
        <is>
          <t>ÖSTERGÖTLANDS LÄN</t>
        </is>
      </c>
      <c r="E582" t="inlineStr">
        <is>
          <t>LINKÖPING</t>
        </is>
      </c>
      <c r="G582" t="n">
        <v>2.7</v>
      </c>
      <c r="H582" t="n">
        <v>0</v>
      </c>
      <c r="I582" t="n">
        <v>0</v>
      </c>
      <c r="J582" t="n">
        <v>0</v>
      </c>
      <c r="K582" t="n">
        <v>0</v>
      </c>
      <c r="L582" t="n">
        <v>0</v>
      </c>
      <c r="M582" t="n">
        <v>0</v>
      </c>
      <c r="N582" t="n">
        <v>0</v>
      </c>
      <c r="O582" t="n">
        <v>0</v>
      </c>
      <c r="P582" t="n">
        <v>0</v>
      </c>
      <c r="Q582" t="n">
        <v>0</v>
      </c>
      <c r="R582" s="2" t="inlineStr"/>
    </row>
    <row r="583" ht="15" customHeight="1">
      <c r="A583" t="inlineStr">
        <is>
          <t>A 11671-2023</t>
        </is>
      </c>
      <c r="B583" s="1" t="n">
        <v>44994.48125</v>
      </c>
      <c r="C583" s="1" t="n">
        <v>45993</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26618-2023</t>
        </is>
      </c>
      <c r="B584" s="1" t="n">
        <v>45092.70306712963</v>
      </c>
      <c r="C584" s="1" t="n">
        <v>45993</v>
      </c>
      <c r="D584" t="inlineStr">
        <is>
          <t>ÖSTERGÖTLANDS LÄN</t>
        </is>
      </c>
      <c r="E584" t="inlineStr">
        <is>
          <t>LINKÖPING</t>
        </is>
      </c>
      <c r="G584" t="n">
        <v>6.9</v>
      </c>
      <c r="H584" t="n">
        <v>0</v>
      </c>
      <c r="I584" t="n">
        <v>0</v>
      </c>
      <c r="J584" t="n">
        <v>0</v>
      </c>
      <c r="K584" t="n">
        <v>0</v>
      </c>
      <c r="L584" t="n">
        <v>0</v>
      </c>
      <c r="M584" t="n">
        <v>0</v>
      </c>
      <c r="N584" t="n">
        <v>0</v>
      </c>
      <c r="O584" t="n">
        <v>0</v>
      </c>
      <c r="P584" t="n">
        <v>0</v>
      </c>
      <c r="Q584" t="n">
        <v>0</v>
      </c>
      <c r="R584" s="2" t="inlineStr"/>
    </row>
    <row r="585" ht="15" customHeight="1">
      <c r="A585" t="inlineStr">
        <is>
          <t>A 54333-2025</t>
        </is>
      </c>
      <c r="B585" s="1" t="n">
        <v>45965.35090277778</v>
      </c>
      <c r="C585" s="1" t="n">
        <v>45993</v>
      </c>
      <c r="D585" t="inlineStr">
        <is>
          <t>ÖSTERGÖTLANDS LÄN</t>
        </is>
      </c>
      <c r="E585" t="inlineStr">
        <is>
          <t>LINKÖPING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63665-2023</t>
        </is>
      </c>
      <c r="B586" s="1" t="n">
        <v>45275</v>
      </c>
      <c r="C586" s="1" t="n">
        <v>45993</v>
      </c>
      <c r="D586" t="inlineStr">
        <is>
          <t>ÖSTERGÖTLANDS LÄN</t>
        </is>
      </c>
      <c r="E586" t="inlineStr">
        <is>
          <t>LINKÖPING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45634-2025</t>
        </is>
      </c>
      <c r="B587" s="1" t="n">
        <v>45922.85089120371</v>
      </c>
      <c r="C587" s="1" t="n">
        <v>45993</v>
      </c>
      <c r="D587" t="inlineStr">
        <is>
          <t>ÖSTERGÖTLANDS LÄN</t>
        </is>
      </c>
      <c r="E587" t="inlineStr">
        <is>
          <t>LINKÖPING</t>
        </is>
      </c>
      <c r="F587" t="inlineStr">
        <is>
          <t>Övriga Aktiebolag</t>
        </is>
      </c>
      <c r="G587" t="n">
        <v>0.3</v>
      </c>
      <c r="H587" t="n">
        <v>0</v>
      </c>
      <c r="I587" t="n">
        <v>0</v>
      </c>
      <c r="J587" t="n">
        <v>0</v>
      </c>
      <c r="K587" t="n">
        <v>0</v>
      </c>
      <c r="L587" t="n">
        <v>0</v>
      </c>
      <c r="M587" t="n">
        <v>0</v>
      </c>
      <c r="N587" t="n">
        <v>0</v>
      </c>
      <c r="O587" t="n">
        <v>0</v>
      </c>
      <c r="P587" t="n">
        <v>0</v>
      </c>
      <c r="Q587" t="n">
        <v>0</v>
      </c>
      <c r="R587" s="2" t="inlineStr"/>
    </row>
    <row r="588" ht="15" customHeight="1">
      <c r="A588" t="inlineStr">
        <is>
          <t>A 54425-2022</t>
        </is>
      </c>
      <c r="B588" s="1" t="n">
        <v>44882.57453703704</v>
      </c>
      <c r="C588" s="1" t="n">
        <v>45993</v>
      </c>
      <c r="D588" t="inlineStr">
        <is>
          <t>ÖSTERGÖTLANDS LÄN</t>
        </is>
      </c>
      <c r="E588" t="inlineStr">
        <is>
          <t>LINKÖPING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45792-2025</t>
        </is>
      </c>
      <c r="B589" s="1" t="n">
        <v>45923.56998842592</v>
      </c>
      <c r="C589" s="1" t="n">
        <v>45993</v>
      </c>
      <c r="D589" t="inlineStr">
        <is>
          <t>ÖSTERGÖTLANDS LÄN</t>
        </is>
      </c>
      <c r="E589" t="inlineStr">
        <is>
          <t>LINKÖPING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67123-2020</t>
        </is>
      </c>
      <c r="B590" s="1" t="n">
        <v>44180</v>
      </c>
      <c r="C590" s="1" t="n">
        <v>45993</v>
      </c>
      <c r="D590" t="inlineStr">
        <is>
          <t>ÖSTERGÖTLANDS LÄN</t>
        </is>
      </c>
      <c r="E590" t="inlineStr">
        <is>
          <t>LINKÖPING</t>
        </is>
      </c>
      <c r="F590" t="inlineStr">
        <is>
          <t>Övriga statliga verk och myndigheter</t>
        </is>
      </c>
      <c r="G590" t="n">
        <v>1.3</v>
      </c>
      <c r="H590" t="n">
        <v>0</v>
      </c>
      <c r="I590" t="n">
        <v>0</v>
      </c>
      <c r="J590" t="n">
        <v>0</v>
      </c>
      <c r="K590" t="n">
        <v>0</v>
      </c>
      <c r="L590" t="n">
        <v>0</v>
      </c>
      <c r="M590" t="n">
        <v>0</v>
      </c>
      <c r="N590" t="n">
        <v>0</v>
      </c>
      <c r="O590" t="n">
        <v>0</v>
      </c>
      <c r="P590" t="n">
        <v>0</v>
      </c>
      <c r="Q590" t="n">
        <v>0</v>
      </c>
      <c r="R590" s="2" t="inlineStr"/>
    </row>
    <row r="591" ht="15" customHeight="1">
      <c r="A591" t="inlineStr">
        <is>
          <t>A 21155-2025</t>
        </is>
      </c>
      <c r="B591" s="1" t="n">
        <v>45779.37586805555</v>
      </c>
      <c r="C591" s="1" t="n">
        <v>45993</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45804-2025</t>
        </is>
      </c>
      <c r="B592" s="1" t="n">
        <v>45923.5819675926</v>
      </c>
      <c r="C592" s="1" t="n">
        <v>45993</v>
      </c>
      <c r="D592" t="inlineStr">
        <is>
          <t>ÖSTERGÖTLANDS LÄN</t>
        </is>
      </c>
      <c r="E592" t="inlineStr">
        <is>
          <t>LINKÖPING</t>
        </is>
      </c>
      <c r="G592" t="n">
        <v>3.3</v>
      </c>
      <c r="H592" t="n">
        <v>0</v>
      </c>
      <c r="I592" t="n">
        <v>0</v>
      </c>
      <c r="J592" t="n">
        <v>0</v>
      </c>
      <c r="K592" t="n">
        <v>0</v>
      </c>
      <c r="L592" t="n">
        <v>0</v>
      </c>
      <c r="M592" t="n">
        <v>0</v>
      </c>
      <c r="N592" t="n">
        <v>0</v>
      </c>
      <c r="O592" t="n">
        <v>0</v>
      </c>
      <c r="P592" t="n">
        <v>0</v>
      </c>
      <c r="Q592" t="n">
        <v>0</v>
      </c>
      <c r="R592" s="2" t="inlineStr"/>
    </row>
    <row r="593" ht="15" customHeight="1">
      <c r="A593" t="inlineStr">
        <is>
          <t>A 4927-2021</t>
        </is>
      </c>
      <c r="B593" s="1" t="n">
        <v>44227.57215277778</v>
      </c>
      <c r="C593" s="1" t="n">
        <v>45993</v>
      </c>
      <c r="D593" t="inlineStr">
        <is>
          <t>ÖSTERGÖTLANDS LÄN</t>
        </is>
      </c>
      <c r="E593" t="inlineStr">
        <is>
          <t>LINKÖPING</t>
        </is>
      </c>
      <c r="G593" t="n">
        <v>0.3</v>
      </c>
      <c r="H593" t="n">
        <v>0</v>
      </c>
      <c r="I593" t="n">
        <v>0</v>
      </c>
      <c r="J593" t="n">
        <v>0</v>
      </c>
      <c r="K593" t="n">
        <v>0</v>
      </c>
      <c r="L593" t="n">
        <v>0</v>
      </c>
      <c r="M593" t="n">
        <v>0</v>
      </c>
      <c r="N593" t="n">
        <v>0</v>
      </c>
      <c r="O593" t="n">
        <v>0</v>
      </c>
      <c r="P593" t="n">
        <v>0</v>
      </c>
      <c r="Q593" t="n">
        <v>0</v>
      </c>
      <c r="R593" s="2" t="inlineStr"/>
    </row>
    <row r="594" ht="15" customHeight="1">
      <c r="A594" t="inlineStr">
        <is>
          <t>A 30547-2023</t>
        </is>
      </c>
      <c r="B594" s="1" t="n">
        <v>45111.75905092592</v>
      </c>
      <c r="C594" s="1" t="n">
        <v>45993</v>
      </c>
      <c r="D594" t="inlineStr">
        <is>
          <t>ÖSTERGÖTLANDS LÄN</t>
        </is>
      </c>
      <c r="E594" t="inlineStr">
        <is>
          <t>LINKÖPING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24904-2024</t>
        </is>
      </c>
      <c r="B595" s="1" t="n">
        <v>45461</v>
      </c>
      <c r="C595" s="1" t="n">
        <v>45993</v>
      </c>
      <c r="D595" t="inlineStr">
        <is>
          <t>ÖSTERGÖTLANDS LÄN</t>
        </is>
      </c>
      <c r="E595" t="inlineStr">
        <is>
          <t>LINKÖPING</t>
        </is>
      </c>
      <c r="G595" t="n">
        <v>3.8</v>
      </c>
      <c r="H595" t="n">
        <v>0</v>
      </c>
      <c r="I595" t="n">
        <v>0</v>
      </c>
      <c r="J595" t="n">
        <v>0</v>
      </c>
      <c r="K595" t="n">
        <v>0</v>
      </c>
      <c r="L595" t="n">
        <v>0</v>
      </c>
      <c r="M595" t="n">
        <v>0</v>
      </c>
      <c r="N595" t="n">
        <v>0</v>
      </c>
      <c r="O595" t="n">
        <v>0</v>
      </c>
      <c r="P595" t="n">
        <v>0</v>
      </c>
      <c r="Q595" t="n">
        <v>0</v>
      </c>
      <c r="R595" s="2" t="inlineStr"/>
    </row>
    <row r="596" ht="15" customHeight="1">
      <c r="A596" t="inlineStr">
        <is>
          <t>A 30429-2024</t>
        </is>
      </c>
      <c r="B596" s="1" t="n">
        <v>45491.68972222223</v>
      </c>
      <c r="C596" s="1" t="n">
        <v>45993</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26788-2022</t>
        </is>
      </c>
      <c r="B597" s="1" t="n">
        <v>44740</v>
      </c>
      <c r="C597" s="1" t="n">
        <v>45993</v>
      </c>
      <c r="D597" t="inlineStr">
        <is>
          <t>ÖSTERGÖTLANDS LÄN</t>
        </is>
      </c>
      <c r="E597" t="inlineStr">
        <is>
          <t>LINKÖPING</t>
        </is>
      </c>
      <c r="G597" t="n">
        <v>3.2</v>
      </c>
      <c r="H597" t="n">
        <v>0</v>
      </c>
      <c r="I597" t="n">
        <v>0</v>
      </c>
      <c r="J597" t="n">
        <v>0</v>
      </c>
      <c r="K597" t="n">
        <v>0</v>
      </c>
      <c r="L597" t="n">
        <v>0</v>
      </c>
      <c r="M597" t="n">
        <v>0</v>
      </c>
      <c r="N597" t="n">
        <v>0</v>
      </c>
      <c r="O597" t="n">
        <v>0</v>
      </c>
      <c r="P597" t="n">
        <v>0</v>
      </c>
      <c r="Q597" t="n">
        <v>0</v>
      </c>
      <c r="R597" s="2" t="inlineStr"/>
    </row>
    <row r="598" ht="15" customHeight="1">
      <c r="A598" t="inlineStr">
        <is>
          <t>A 15121-2022</t>
        </is>
      </c>
      <c r="B598" s="1" t="n">
        <v>44658</v>
      </c>
      <c r="C598" s="1" t="n">
        <v>45993</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51919-2024</t>
        </is>
      </c>
      <c r="B599" s="1" t="n">
        <v>45607.60791666667</v>
      </c>
      <c r="C599" s="1" t="n">
        <v>45993</v>
      </c>
      <c r="D599" t="inlineStr">
        <is>
          <t>ÖSTERGÖTLANDS LÄN</t>
        </is>
      </c>
      <c r="E599" t="inlineStr">
        <is>
          <t>LINKÖPING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55132-2025</t>
        </is>
      </c>
      <c r="B600" s="1" t="n">
        <v>45968.41912037037</v>
      </c>
      <c r="C600" s="1" t="n">
        <v>45993</v>
      </c>
      <c r="D600" t="inlineStr">
        <is>
          <t>ÖSTERGÖTLANDS LÄN</t>
        </is>
      </c>
      <c r="E600" t="inlineStr">
        <is>
          <t>LINKÖPING</t>
        </is>
      </c>
      <c r="G600" t="n">
        <v>2.4</v>
      </c>
      <c r="H600" t="n">
        <v>0</v>
      </c>
      <c r="I600" t="n">
        <v>0</v>
      </c>
      <c r="J600" t="n">
        <v>0</v>
      </c>
      <c r="K600" t="n">
        <v>0</v>
      </c>
      <c r="L600" t="n">
        <v>0</v>
      </c>
      <c r="M600" t="n">
        <v>0</v>
      </c>
      <c r="N600" t="n">
        <v>0</v>
      </c>
      <c r="O600" t="n">
        <v>0</v>
      </c>
      <c r="P600" t="n">
        <v>0</v>
      </c>
      <c r="Q600" t="n">
        <v>0</v>
      </c>
      <c r="R600" s="2" t="inlineStr"/>
    </row>
    <row r="601" ht="15" customHeight="1">
      <c r="A601" t="inlineStr">
        <is>
          <t>A 21165-2025</t>
        </is>
      </c>
      <c r="B601" s="1" t="n">
        <v>45779.39417824074</v>
      </c>
      <c r="C601" s="1" t="n">
        <v>45993</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55009-2023</t>
        </is>
      </c>
      <c r="B602" s="1" t="n">
        <v>45237</v>
      </c>
      <c r="C602" s="1" t="n">
        <v>45993</v>
      </c>
      <c r="D602" t="inlineStr">
        <is>
          <t>ÖSTERGÖTLANDS LÄN</t>
        </is>
      </c>
      <c r="E602" t="inlineStr">
        <is>
          <t>LINKÖPING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20291-2025</t>
        </is>
      </c>
      <c r="B603" s="1" t="n">
        <v>45774.74288194445</v>
      </c>
      <c r="C603" s="1" t="n">
        <v>45993</v>
      </c>
      <c r="D603" t="inlineStr">
        <is>
          <t>ÖSTERGÖTLANDS LÄN</t>
        </is>
      </c>
      <c r="E603" t="inlineStr">
        <is>
          <t>LINKÖPING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20293-2025</t>
        </is>
      </c>
      <c r="B604" s="1" t="n">
        <v>45774.74611111111</v>
      </c>
      <c r="C604" s="1" t="n">
        <v>45993</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30435-2024</t>
        </is>
      </c>
      <c r="B605" s="1" t="n">
        <v>45491.69962962963</v>
      </c>
      <c r="C605" s="1" t="n">
        <v>45993</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660-2023</t>
        </is>
      </c>
      <c r="B606" s="1" t="n">
        <v>44930</v>
      </c>
      <c r="C606" s="1" t="n">
        <v>45993</v>
      </c>
      <c r="D606" t="inlineStr">
        <is>
          <t>ÖSTERGÖTLANDS LÄN</t>
        </is>
      </c>
      <c r="E606" t="inlineStr">
        <is>
          <t>LINKÖPING</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53816-2023</t>
        </is>
      </c>
      <c r="B607" s="1" t="n">
        <v>45231.40012731482</v>
      </c>
      <c r="C607" s="1" t="n">
        <v>45993</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36557-2023</t>
        </is>
      </c>
      <c r="B608" s="1" t="n">
        <v>45153</v>
      </c>
      <c r="C608" s="1" t="n">
        <v>45993</v>
      </c>
      <c r="D608" t="inlineStr">
        <is>
          <t>ÖSTERGÖTLANDS LÄN</t>
        </is>
      </c>
      <c r="E608" t="inlineStr">
        <is>
          <t>LINKÖPING</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6599-2023</t>
        </is>
      </c>
      <c r="B609" s="1" t="n">
        <v>44966.52603009259</v>
      </c>
      <c r="C609" s="1" t="n">
        <v>45993</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43473-2024</t>
        </is>
      </c>
      <c r="B610" s="1" t="n">
        <v>45568</v>
      </c>
      <c r="C610" s="1" t="n">
        <v>45993</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64694-2023</t>
        </is>
      </c>
      <c r="B611" s="1" t="n">
        <v>45281</v>
      </c>
      <c r="C611" s="1" t="n">
        <v>45993</v>
      </c>
      <c r="D611" t="inlineStr">
        <is>
          <t>ÖSTERGÖTLANDS LÄN</t>
        </is>
      </c>
      <c r="E611" t="inlineStr">
        <is>
          <t>LINKÖPING</t>
        </is>
      </c>
      <c r="F611" t="inlineStr">
        <is>
          <t>Övriga statliga verk och myndigheter</t>
        </is>
      </c>
      <c r="G611" t="n">
        <v>4.9</v>
      </c>
      <c r="H611" t="n">
        <v>0</v>
      </c>
      <c r="I611" t="n">
        <v>0</v>
      </c>
      <c r="J611" t="n">
        <v>0</v>
      </c>
      <c r="K611" t="n">
        <v>0</v>
      </c>
      <c r="L611" t="n">
        <v>0</v>
      </c>
      <c r="M611" t="n">
        <v>0</v>
      </c>
      <c r="N611" t="n">
        <v>0</v>
      </c>
      <c r="O611" t="n">
        <v>0</v>
      </c>
      <c r="P611" t="n">
        <v>0</v>
      </c>
      <c r="Q611" t="n">
        <v>0</v>
      </c>
      <c r="R611" s="2" t="inlineStr"/>
    </row>
    <row r="612" ht="15" customHeight="1">
      <c r="A612" t="inlineStr">
        <is>
          <t>A 46428-2025</t>
        </is>
      </c>
      <c r="B612" s="1" t="n">
        <v>45925.60758101852</v>
      </c>
      <c r="C612" s="1" t="n">
        <v>45993</v>
      </c>
      <c r="D612" t="inlineStr">
        <is>
          <t>ÖSTERGÖTLANDS LÄN</t>
        </is>
      </c>
      <c r="E612" t="inlineStr">
        <is>
          <t>LINKÖPING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46426-2025</t>
        </is>
      </c>
      <c r="B613" s="1" t="n">
        <v>45925.6012962963</v>
      </c>
      <c r="C613" s="1" t="n">
        <v>45993</v>
      </c>
      <c r="D613" t="inlineStr">
        <is>
          <t>ÖSTERGÖTLANDS LÄN</t>
        </is>
      </c>
      <c r="E613" t="inlineStr">
        <is>
          <t>LINKÖPING</t>
        </is>
      </c>
      <c r="G613" t="n">
        <v>4.4</v>
      </c>
      <c r="H613" t="n">
        <v>0</v>
      </c>
      <c r="I613" t="n">
        <v>0</v>
      </c>
      <c r="J613" t="n">
        <v>0</v>
      </c>
      <c r="K613" t="n">
        <v>0</v>
      </c>
      <c r="L613" t="n">
        <v>0</v>
      </c>
      <c r="M613" t="n">
        <v>0</v>
      </c>
      <c r="N613" t="n">
        <v>0</v>
      </c>
      <c r="O613" t="n">
        <v>0</v>
      </c>
      <c r="P613" t="n">
        <v>0</v>
      </c>
      <c r="Q613" t="n">
        <v>0</v>
      </c>
      <c r="R613" s="2" t="inlineStr"/>
    </row>
    <row r="614" ht="15" customHeight="1">
      <c r="A614" t="inlineStr">
        <is>
          <t>A 63487-2023</t>
        </is>
      </c>
      <c r="B614" s="1" t="n">
        <v>45274.66712962963</v>
      </c>
      <c r="C614" s="1" t="n">
        <v>45993</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55102-2025</t>
        </is>
      </c>
      <c r="B615" s="1" t="n">
        <v>45968.35410879629</v>
      </c>
      <c r="C615" s="1" t="n">
        <v>45993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55109-2025</t>
        </is>
      </c>
      <c r="B616" s="1" t="n">
        <v>45968.37731481482</v>
      </c>
      <c r="C616" s="1" t="n">
        <v>45993</v>
      </c>
      <c r="D616" t="inlineStr">
        <is>
          <t>ÖSTERGÖTLANDS LÄN</t>
        </is>
      </c>
      <c r="E616" t="inlineStr">
        <is>
          <t>LINKÖPING</t>
        </is>
      </c>
      <c r="G616" t="n">
        <v>3.2</v>
      </c>
      <c r="H616" t="n">
        <v>0</v>
      </c>
      <c r="I616" t="n">
        <v>0</v>
      </c>
      <c r="J616" t="n">
        <v>0</v>
      </c>
      <c r="K616" t="n">
        <v>0</v>
      </c>
      <c r="L616" t="n">
        <v>0</v>
      </c>
      <c r="M616" t="n">
        <v>0</v>
      </c>
      <c r="N616" t="n">
        <v>0</v>
      </c>
      <c r="O616" t="n">
        <v>0</v>
      </c>
      <c r="P616" t="n">
        <v>0</v>
      </c>
      <c r="Q616" t="n">
        <v>0</v>
      </c>
      <c r="R616" s="2" t="inlineStr"/>
    </row>
    <row r="617" ht="15" customHeight="1">
      <c r="A617" t="inlineStr">
        <is>
          <t>A 46377-2025</t>
        </is>
      </c>
      <c r="B617" s="1" t="n">
        <v>45925.51773148148</v>
      </c>
      <c r="C617" s="1" t="n">
        <v>45993</v>
      </c>
      <c r="D617" t="inlineStr">
        <is>
          <t>ÖSTERGÖTLANDS LÄN</t>
        </is>
      </c>
      <c r="E617" t="inlineStr">
        <is>
          <t>LINKÖPING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55165-2025</t>
        </is>
      </c>
      <c r="B618" s="1" t="n">
        <v>45968.48194444444</v>
      </c>
      <c r="C618" s="1" t="n">
        <v>45993</v>
      </c>
      <c r="D618" t="inlineStr">
        <is>
          <t>ÖSTERGÖTLANDS LÄN</t>
        </is>
      </c>
      <c r="E618" t="inlineStr">
        <is>
          <t>LINKÖPING</t>
        </is>
      </c>
      <c r="G618" t="n">
        <v>2.4</v>
      </c>
      <c r="H618" t="n">
        <v>0</v>
      </c>
      <c r="I618" t="n">
        <v>0</v>
      </c>
      <c r="J618" t="n">
        <v>0</v>
      </c>
      <c r="K618" t="n">
        <v>0</v>
      </c>
      <c r="L618" t="n">
        <v>0</v>
      </c>
      <c r="M618" t="n">
        <v>0</v>
      </c>
      <c r="N618" t="n">
        <v>0</v>
      </c>
      <c r="O618" t="n">
        <v>0</v>
      </c>
      <c r="P618" t="n">
        <v>0</v>
      </c>
      <c r="Q618" t="n">
        <v>0</v>
      </c>
      <c r="R618" s="2" t="inlineStr"/>
    </row>
    <row r="619" ht="15" customHeight="1">
      <c r="A619" t="inlineStr">
        <is>
          <t>A 20455-2024</t>
        </is>
      </c>
      <c r="B619" s="1" t="n">
        <v>45435.65314814815</v>
      </c>
      <c r="C619" s="1" t="n">
        <v>45993</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30471-2023</t>
        </is>
      </c>
      <c r="B620" s="1" t="n">
        <v>45111.58931712963</v>
      </c>
      <c r="C620" s="1" t="n">
        <v>45993</v>
      </c>
      <c r="D620" t="inlineStr">
        <is>
          <t>ÖSTERGÖTLANDS LÄN</t>
        </is>
      </c>
      <c r="E620" t="inlineStr">
        <is>
          <t>LINKÖPING</t>
        </is>
      </c>
      <c r="G620" t="n">
        <v>2.9</v>
      </c>
      <c r="H620" t="n">
        <v>0</v>
      </c>
      <c r="I620" t="n">
        <v>0</v>
      </c>
      <c r="J620" t="n">
        <v>0</v>
      </c>
      <c r="K620" t="n">
        <v>0</v>
      </c>
      <c r="L620" t="n">
        <v>0</v>
      </c>
      <c r="M620" t="n">
        <v>0</v>
      </c>
      <c r="N620" t="n">
        <v>0</v>
      </c>
      <c r="O620" t="n">
        <v>0</v>
      </c>
      <c r="P620" t="n">
        <v>0</v>
      </c>
      <c r="Q620" t="n">
        <v>0</v>
      </c>
      <c r="R620" s="2" t="inlineStr"/>
    </row>
    <row r="621" ht="15" customHeight="1">
      <c r="A621" t="inlineStr">
        <is>
          <t>A 47304-2025</t>
        </is>
      </c>
      <c r="B621" s="1" t="n">
        <v>45930.52037037037</v>
      </c>
      <c r="C621" s="1" t="n">
        <v>45993</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14093-2024</t>
        </is>
      </c>
      <c r="B622" s="1" t="n">
        <v>45392.60278935185</v>
      </c>
      <c r="C622" s="1" t="n">
        <v>45993</v>
      </c>
      <c r="D622" t="inlineStr">
        <is>
          <t>ÖSTERGÖTLANDS LÄN</t>
        </is>
      </c>
      <c r="E622" t="inlineStr">
        <is>
          <t>LINKÖPING</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47233-2025</t>
        </is>
      </c>
      <c r="B623" s="1" t="n">
        <v>45930.40612268518</v>
      </c>
      <c r="C623" s="1" t="n">
        <v>45993</v>
      </c>
      <c r="D623" t="inlineStr">
        <is>
          <t>ÖSTERGÖTLANDS LÄN</t>
        </is>
      </c>
      <c r="E623" t="inlineStr">
        <is>
          <t>LINKÖPING</t>
        </is>
      </c>
      <c r="G623" t="n">
        <v>4.3</v>
      </c>
      <c r="H623" t="n">
        <v>0</v>
      </c>
      <c r="I623" t="n">
        <v>0</v>
      </c>
      <c r="J623" t="n">
        <v>0</v>
      </c>
      <c r="K623" t="n">
        <v>0</v>
      </c>
      <c r="L623" t="n">
        <v>0</v>
      </c>
      <c r="M623" t="n">
        <v>0</v>
      </c>
      <c r="N623" t="n">
        <v>0</v>
      </c>
      <c r="O623" t="n">
        <v>0</v>
      </c>
      <c r="P623" t="n">
        <v>0</v>
      </c>
      <c r="Q623" t="n">
        <v>0</v>
      </c>
      <c r="R623" s="2" t="inlineStr"/>
    </row>
    <row r="624" ht="15" customHeight="1">
      <c r="A624" t="inlineStr">
        <is>
          <t>A 63304-2021</t>
        </is>
      </c>
      <c r="B624" s="1" t="n">
        <v>44508.4396412037</v>
      </c>
      <c r="C624" s="1" t="n">
        <v>45993</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55683-2025</t>
        </is>
      </c>
      <c r="B625" s="1" t="n">
        <v>45972.4255324074</v>
      </c>
      <c r="C625" s="1" t="n">
        <v>45993</v>
      </c>
      <c r="D625" t="inlineStr">
        <is>
          <t>ÖSTERGÖTLANDS LÄN</t>
        </is>
      </c>
      <c r="E625" t="inlineStr">
        <is>
          <t>LINKÖPING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19362-2023</t>
        </is>
      </c>
      <c r="B626" s="1" t="n">
        <v>45049</v>
      </c>
      <c r="C626" s="1" t="n">
        <v>45993</v>
      </c>
      <c r="D626" t="inlineStr">
        <is>
          <t>ÖSTERGÖTLANDS LÄN</t>
        </is>
      </c>
      <c r="E626" t="inlineStr">
        <is>
          <t>LINKÖPING</t>
        </is>
      </c>
      <c r="G626" t="n">
        <v>0.1</v>
      </c>
      <c r="H626" t="n">
        <v>0</v>
      </c>
      <c r="I626" t="n">
        <v>0</v>
      </c>
      <c r="J626" t="n">
        <v>0</v>
      </c>
      <c r="K626" t="n">
        <v>0</v>
      </c>
      <c r="L626" t="n">
        <v>0</v>
      </c>
      <c r="M626" t="n">
        <v>0</v>
      </c>
      <c r="N626" t="n">
        <v>0</v>
      </c>
      <c r="O626" t="n">
        <v>0</v>
      </c>
      <c r="P626" t="n">
        <v>0</v>
      </c>
      <c r="Q626" t="n">
        <v>0</v>
      </c>
      <c r="R626" s="2" t="inlineStr"/>
    </row>
    <row r="627" ht="15" customHeight="1">
      <c r="A627" t="inlineStr">
        <is>
          <t>A 57752-2023</t>
        </is>
      </c>
      <c r="B627" s="1" t="n">
        <v>45246.78474537037</v>
      </c>
      <c r="C627" s="1" t="n">
        <v>45993</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35463-2023</t>
        </is>
      </c>
      <c r="B628" s="1" t="n">
        <v>45146</v>
      </c>
      <c r="C628" s="1" t="n">
        <v>45993</v>
      </c>
      <c r="D628" t="inlineStr">
        <is>
          <t>ÖSTERGÖTLANDS LÄN</t>
        </is>
      </c>
      <c r="E628" t="inlineStr">
        <is>
          <t>LINKÖPING</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16111-2022</t>
        </is>
      </c>
      <c r="B629" s="1" t="n">
        <v>44665</v>
      </c>
      <c r="C629" s="1" t="n">
        <v>45993</v>
      </c>
      <c r="D629" t="inlineStr">
        <is>
          <t>ÖSTERGÖTLANDS LÄN</t>
        </is>
      </c>
      <c r="E629" t="inlineStr">
        <is>
          <t>LINKÖPING</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46847-2025</t>
        </is>
      </c>
      <c r="B630" s="1" t="n">
        <v>45928.69971064815</v>
      </c>
      <c r="C630" s="1" t="n">
        <v>45993</v>
      </c>
      <c r="D630" t="inlineStr">
        <is>
          <t>ÖSTERGÖTLANDS LÄN</t>
        </is>
      </c>
      <c r="E630" t="inlineStr">
        <is>
          <t>LINKÖPING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31635-2023</t>
        </is>
      </c>
      <c r="B631" s="1" t="n">
        <v>45105</v>
      </c>
      <c r="C631" s="1" t="n">
        <v>45993</v>
      </c>
      <c r="D631" t="inlineStr">
        <is>
          <t>ÖSTERGÖTLANDS LÄN</t>
        </is>
      </c>
      <c r="E631" t="inlineStr">
        <is>
          <t>LINKÖPING</t>
        </is>
      </c>
      <c r="F631" t="inlineStr">
        <is>
          <t>Övriga statliga verk och myndigheter</t>
        </is>
      </c>
      <c r="G631" t="n">
        <v>4.6</v>
      </c>
      <c r="H631" t="n">
        <v>0</v>
      </c>
      <c r="I631" t="n">
        <v>0</v>
      </c>
      <c r="J631" t="n">
        <v>0</v>
      </c>
      <c r="K631" t="n">
        <v>0</v>
      </c>
      <c r="L631" t="n">
        <v>0</v>
      </c>
      <c r="M631" t="n">
        <v>0</v>
      </c>
      <c r="N631" t="n">
        <v>0</v>
      </c>
      <c r="O631" t="n">
        <v>0</v>
      </c>
      <c r="P631" t="n">
        <v>0</v>
      </c>
      <c r="Q631" t="n">
        <v>0</v>
      </c>
      <c r="R631" s="2" t="inlineStr"/>
    </row>
    <row r="632" ht="15" customHeight="1">
      <c r="A632" t="inlineStr">
        <is>
          <t>A 49928-2024</t>
        </is>
      </c>
      <c r="B632" s="1" t="n">
        <v>45597.57811342592</v>
      </c>
      <c r="C632" s="1" t="n">
        <v>45993</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56113-2025</t>
        </is>
      </c>
      <c r="B633" s="1" t="n">
        <v>45973.73924768518</v>
      </c>
      <c r="C633" s="1" t="n">
        <v>45993</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48343-2025</t>
        </is>
      </c>
      <c r="B634" s="1" t="n">
        <v>45932</v>
      </c>
      <c r="C634" s="1" t="n">
        <v>45993</v>
      </c>
      <c r="D634" t="inlineStr">
        <is>
          <t>ÖSTERGÖTLANDS LÄN</t>
        </is>
      </c>
      <c r="E634" t="inlineStr">
        <is>
          <t>LINKÖPING</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54845-2023</t>
        </is>
      </c>
      <c r="B635" s="1" t="n">
        <v>45236</v>
      </c>
      <c r="C635" s="1" t="n">
        <v>45993</v>
      </c>
      <c r="D635" t="inlineStr">
        <is>
          <t>ÖSTERGÖTLANDS LÄN</t>
        </is>
      </c>
      <c r="E635" t="inlineStr">
        <is>
          <t>LINKÖPING</t>
        </is>
      </c>
      <c r="F635" t="inlineStr">
        <is>
          <t>Övriga Aktiebolag</t>
        </is>
      </c>
      <c r="G635" t="n">
        <v>5.7</v>
      </c>
      <c r="H635" t="n">
        <v>0</v>
      </c>
      <c r="I635" t="n">
        <v>0</v>
      </c>
      <c r="J635" t="n">
        <v>0</v>
      </c>
      <c r="K635" t="n">
        <v>0</v>
      </c>
      <c r="L635" t="n">
        <v>0</v>
      </c>
      <c r="M635" t="n">
        <v>0</v>
      </c>
      <c r="N635" t="n">
        <v>0</v>
      </c>
      <c r="O635" t="n">
        <v>0</v>
      </c>
      <c r="P635" t="n">
        <v>0</v>
      </c>
      <c r="Q635" t="n">
        <v>0</v>
      </c>
      <c r="R635" s="2" t="inlineStr"/>
    </row>
    <row r="636" ht="15" customHeight="1">
      <c r="A636" t="inlineStr">
        <is>
          <t>A 9473-2024</t>
        </is>
      </c>
      <c r="B636" s="1" t="n">
        <v>45359.55474537037</v>
      </c>
      <c r="C636" s="1" t="n">
        <v>45993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47606-2025</t>
        </is>
      </c>
      <c r="B637" s="1" t="n">
        <v>45931.46402777778</v>
      </c>
      <c r="C637" s="1" t="n">
        <v>45993</v>
      </c>
      <c r="D637" t="inlineStr">
        <is>
          <t>ÖSTERGÖTLANDS LÄN</t>
        </is>
      </c>
      <c r="E637" t="inlineStr">
        <is>
          <t>LINKÖPING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46687-2021</t>
        </is>
      </c>
      <c r="B638" s="1" t="n">
        <v>44445</v>
      </c>
      <c r="C638" s="1" t="n">
        <v>45993</v>
      </c>
      <c r="D638" t="inlineStr">
        <is>
          <t>ÖSTERGÖTLANDS LÄN</t>
        </is>
      </c>
      <c r="E638" t="inlineStr">
        <is>
          <t>LINKÖPING</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30855-2022</t>
        </is>
      </c>
      <c r="B639" s="1" t="n">
        <v>44767</v>
      </c>
      <c r="C639" s="1" t="n">
        <v>45993</v>
      </c>
      <c r="D639" t="inlineStr">
        <is>
          <t>ÖSTERGÖTLANDS LÄN</t>
        </is>
      </c>
      <c r="E639" t="inlineStr">
        <is>
          <t>LINKÖPING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1355-2023</t>
        </is>
      </c>
      <c r="B640" s="1" t="n">
        <v>44931</v>
      </c>
      <c r="C640" s="1" t="n">
        <v>45993</v>
      </c>
      <c r="D640" t="inlineStr">
        <is>
          <t>ÖSTERGÖTLANDS LÄN</t>
        </is>
      </c>
      <c r="E640" t="inlineStr">
        <is>
          <t>LINKÖPING</t>
        </is>
      </c>
      <c r="G640" t="n">
        <v>4</v>
      </c>
      <c r="H640" t="n">
        <v>0</v>
      </c>
      <c r="I640" t="n">
        <v>0</v>
      </c>
      <c r="J640" t="n">
        <v>0</v>
      </c>
      <c r="K640" t="n">
        <v>0</v>
      </c>
      <c r="L640" t="n">
        <v>0</v>
      </c>
      <c r="M640" t="n">
        <v>0</v>
      </c>
      <c r="N640" t="n">
        <v>0</v>
      </c>
      <c r="O640" t="n">
        <v>0</v>
      </c>
      <c r="P640" t="n">
        <v>0</v>
      </c>
      <c r="Q640" t="n">
        <v>0</v>
      </c>
      <c r="R640" s="2" t="inlineStr"/>
    </row>
    <row r="641" ht="15" customHeight="1">
      <c r="A641" t="inlineStr">
        <is>
          <t>A 10797-2024</t>
        </is>
      </c>
      <c r="B641" s="1" t="n">
        <v>45369.6190162037</v>
      </c>
      <c r="C641" s="1" t="n">
        <v>45993</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22264-2025</t>
        </is>
      </c>
      <c r="B642" s="1" t="n">
        <v>45785</v>
      </c>
      <c r="C642" s="1" t="n">
        <v>45993</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27844-2024</t>
        </is>
      </c>
      <c r="B643" s="1" t="n">
        <v>45475.63047453704</v>
      </c>
      <c r="C643" s="1" t="n">
        <v>45993</v>
      </c>
      <c r="D643" t="inlineStr">
        <is>
          <t>ÖSTERGÖTLANDS LÄN</t>
        </is>
      </c>
      <c r="E643" t="inlineStr">
        <is>
          <t>LINKÖPING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48254-2025</t>
        </is>
      </c>
      <c r="B644" s="1" t="n">
        <v>45932</v>
      </c>
      <c r="C644" s="1" t="n">
        <v>45993</v>
      </c>
      <c r="D644" t="inlineStr">
        <is>
          <t>ÖSTERGÖTLANDS LÄN</t>
        </is>
      </c>
      <c r="E644" t="inlineStr">
        <is>
          <t>LINKÖPING</t>
        </is>
      </c>
      <c r="F644" t="inlineStr">
        <is>
          <t>Övriga Aktiebolag</t>
        </is>
      </c>
      <c r="G644" t="n">
        <v>0.8</v>
      </c>
      <c r="H644" t="n">
        <v>0</v>
      </c>
      <c r="I644" t="n">
        <v>0</v>
      </c>
      <c r="J644" t="n">
        <v>0</v>
      </c>
      <c r="K644" t="n">
        <v>0</v>
      </c>
      <c r="L644" t="n">
        <v>0</v>
      </c>
      <c r="M644" t="n">
        <v>0</v>
      </c>
      <c r="N644" t="n">
        <v>0</v>
      </c>
      <c r="O644" t="n">
        <v>0</v>
      </c>
      <c r="P644" t="n">
        <v>0</v>
      </c>
      <c r="Q644" t="n">
        <v>0</v>
      </c>
      <c r="R644" s="2" t="inlineStr"/>
    </row>
    <row r="645" ht="15" customHeight="1">
      <c r="A645" t="inlineStr">
        <is>
          <t>A 48266-2025</t>
        </is>
      </c>
      <c r="B645" s="1" t="n">
        <v>45932</v>
      </c>
      <c r="C645" s="1" t="n">
        <v>45993</v>
      </c>
      <c r="D645" t="inlineStr">
        <is>
          <t>ÖSTERGÖTLANDS LÄN</t>
        </is>
      </c>
      <c r="E645" t="inlineStr">
        <is>
          <t>LINKÖPING</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6859-2024</t>
        </is>
      </c>
      <c r="B646" s="1" t="n">
        <v>45342</v>
      </c>
      <c r="C646" s="1" t="n">
        <v>45993</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38580-2024</t>
        </is>
      </c>
      <c r="B647" s="1" t="n">
        <v>45546.64825231482</v>
      </c>
      <c r="C647" s="1" t="n">
        <v>45993</v>
      </c>
      <c r="D647" t="inlineStr">
        <is>
          <t>ÖSTERGÖTLANDS LÄN</t>
        </is>
      </c>
      <c r="E647" t="inlineStr">
        <is>
          <t>LINKÖPING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572-2025</t>
        </is>
      </c>
      <c r="B648" s="1" t="n">
        <v>45664.56349537037</v>
      </c>
      <c r="C648" s="1" t="n">
        <v>45993</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22364-2025</t>
        </is>
      </c>
      <c r="B649" s="1" t="n">
        <v>45786.46930555555</v>
      </c>
      <c r="C649" s="1" t="n">
        <v>45993</v>
      </c>
      <c r="D649" t="inlineStr">
        <is>
          <t>ÖSTERGÖTLANDS LÄN</t>
        </is>
      </c>
      <c r="E649" t="inlineStr">
        <is>
          <t>LINKÖPING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10741-2023</t>
        </is>
      </c>
      <c r="B650" s="1" t="n">
        <v>44988.70084490741</v>
      </c>
      <c r="C650" s="1" t="n">
        <v>45993</v>
      </c>
      <c r="D650" t="inlineStr">
        <is>
          <t>ÖSTERGÖTLANDS LÄN</t>
        </is>
      </c>
      <c r="E650" t="inlineStr">
        <is>
          <t>LINKÖPING</t>
        </is>
      </c>
      <c r="F650" t="inlineStr">
        <is>
          <t>Allmännings- och besparingsskogar</t>
        </is>
      </c>
      <c r="G650" t="n">
        <v>11.2</v>
      </c>
      <c r="H650" t="n">
        <v>0</v>
      </c>
      <c r="I650" t="n">
        <v>0</v>
      </c>
      <c r="J650" t="n">
        <v>0</v>
      </c>
      <c r="K650" t="n">
        <v>0</v>
      </c>
      <c r="L650" t="n">
        <v>0</v>
      </c>
      <c r="M650" t="n">
        <v>0</v>
      </c>
      <c r="N650" t="n">
        <v>0</v>
      </c>
      <c r="O650" t="n">
        <v>0</v>
      </c>
      <c r="P650" t="n">
        <v>0</v>
      </c>
      <c r="Q650" t="n">
        <v>0</v>
      </c>
      <c r="R650" s="2" t="inlineStr"/>
    </row>
    <row r="651" ht="15" customHeight="1">
      <c r="A651" t="inlineStr">
        <is>
          <t>A 56105-2025</t>
        </is>
      </c>
      <c r="B651" s="1" t="n">
        <v>45973.72855324074</v>
      </c>
      <c r="C651" s="1" t="n">
        <v>45993</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50963-2021</t>
        </is>
      </c>
      <c r="B652" s="1" t="n">
        <v>44460</v>
      </c>
      <c r="C652" s="1" t="n">
        <v>45993</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44287-2024</t>
        </is>
      </c>
      <c r="B653" s="1" t="n">
        <v>45573.50582175926</v>
      </c>
      <c r="C653" s="1" t="n">
        <v>45993</v>
      </c>
      <c r="D653" t="inlineStr">
        <is>
          <t>ÖSTERGÖTLANDS LÄN</t>
        </is>
      </c>
      <c r="E653" t="inlineStr">
        <is>
          <t>LINKÖPING</t>
        </is>
      </c>
      <c r="G653" t="n">
        <v>12.7</v>
      </c>
      <c r="H653" t="n">
        <v>0</v>
      </c>
      <c r="I653" t="n">
        <v>0</v>
      </c>
      <c r="J653" t="n">
        <v>0</v>
      </c>
      <c r="K653" t="n">
        <v>0</v>
      </c>
      <c r="L653" t="n">
        <v>0</v>
      </c>
      <c r="M653" t="n">
        <v>0</v>
      </c>
      <c r="N653" t="n">
        <v>0</v>
      </c>
      <c r="O653" t="n">
        <v>0</v>
      </c>
      <c r="P653" t="n">
        <v>0</v>
      </c>
      <c r="Q653" t="n">
        <v>0</v>
      </c>
      <c r="R653" s="2" t="inlineStr"/>
    </row>
    <row r="654" ht="15" customHeight="1">
      <c r="A654" t="inlineStr">
        <is>
          <t>A 29312-2024</t>
        </is>
      </c>
      <c r="B654" s="1" t="n">
        <v>45483</v>
      </c>
      <c r="C654" s="1" t="n">
        <v>45993</v>
      </c>
      <c r="D654" t="inlineStr">
        <is>
          <t>ÖSTERGÖTLANDS LÄN</t>
        </is>
      </c>
      <c r="E654" t="inlineStr">
        <is>
          <t>LINKÖPING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54329-2025</t>
        </is>
      </c>
      <c r="B655" s="1" t="n">
        <v>45965.34706018519</v>
      </c>
      <c r="C655" s="1" t="n">
        <v>45993</v>
      </c>
      <c r="D655" t="inlineStr">
        <is>
          <t>ÖSTERGÖTLANDS LÄN</t>
        </is>
      </c>
      <c r="E655" t="inlineStr">
        <is>
          <t>LINKÖPING</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52740-2025</t>
        </is>
      </c>
      <c r="B656" s="1" t="n">
        <v>45957.37747685185</v>
      </c>
      <c r="C656" s="1" t="n">
        <v>45993</v>
      </c>
      <c r="D656" t="inlineStr">
        <is>
          <t>ÖSTERGÖTLANDS LÄN</t>
        </is>
      </c>
      <c r="E656" t="inlineStr">
        <is>
          <t>LINKÖPING</t>
        </is>
      </c>
      <c r="G656" t="n">
        <v>3.7</v>
      </c>
      <c r="H656" t="n">
        <v>0</v>
      </c>
      <c r="I656" t="n">
        <v>0</v>
      </c>
      <c r="J656" t="n">
        <v>0</v>
      </c>
      <c r="K656" t="n">
        <v>0</v>
      </c>
      <c r="L656" t="n">
        <v>0</v>
      </c>
      <c r="M656" t="n">
        <v>0</v>
      </c>
      <c r="N656" t="n">
        <v>0</v>
      </c>
      <c r="O656" t="n">
        <v>0</v>
      </c>
      <c r="P656" t="n">
        <v>0</v>
      </c>
      <c r="Q656" t="n">
        <v>0</v>
      </c>
      <c r="R656" s="2" t="inlineStr"/>
    </row>
    <row r="657" ht="15" customHeight="1">
      <c r="A657" t="inlineStr">
        <is>
          <t>A 23120-2025</t>
        </is>
      </c>
      <c r="B657" s="1" t="n">
        <v>45791.37481481482</v>
      </c>
      <c r="C657" s="1" t="n">
        <v>45993</v>
      </c>
      <c r="D657" t="inlineStr">
        <is>
          <t>ÖSTERGÖTLANDS LÄN</t>
        </is>
      </c>
      <c r="E657" t="inlineStr">
        <is>
          <t>LINKÖPING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56704-2025</t>
        </is>
      </c>
      <c r="B658" s="1" t="n">
        <v>45977.50608796296</v>
      </c>
      <c r="C658" s="1" t="n">
        <v>45993</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54332-2025</t>
        </is>
      </c>
      <c r="B659" s="1" t="n">
        <v>45965.34915509259</v>
      </c>
      <c r="C659" s="1" t="n">
        <v>45993</v>
      </c>
      <c r="D659" t="inlineStr">
        <is>
          <t>ÖSTERGÖTLANDS LÄN</t>
        </is>
      </c>
      <c r="E659" t="inlineStr">
        <is>
          <t>LINKÖPING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48699-2024</t>
        </is>
      </c>
      <c r="B660" s="1" t="n">
        <v>45593.52091435185</v>
      </c>
      <c r="C660" s="1" t="n">
        <v>45993</v>
      </c>
      <c r="D660" t="inlineStr">
        <is>
          <t>ÖSTERGÖTLANDS LÄN</t>
        </is>
      </c>
      <c r="E660" t="inlineStr">
        <is>
          <t>LINKÖPING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13911-2025</t>
        </is>
      </c>
      <c r="B661" s="1" t="n">
        <v>45737.64784722222</v>
      </c>
      <c r="C661" s="1" t="n">
        <v>45993</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23768-2025</t>
        </is>
      </c>
      <c r="B662" s="1" t="n">
        <v>45793.47493055555</v>
      </c>
      <c r="C662" s="1" t="n">
        <v>45993</v>
      </c>
      <c r="D662" t="inlineStr">
        <is>
          <t>ÖSTERGÖTLANDS LÄN</t>
        </is>
      </c>
      <c r="E662" t="inlineStr">
        <is>
          <t>LINKÖPING</t>
        </is>
      </c>
      <c r="G662" t="n">
        <v>3.4</v>
      </c>
      <c r="H662" t="n">
        <v>0</v>
      </c>
      <c r="I662" t="n">
        <v>0</v>
      </c>
      <c r="J662" t="n">
        <v>0</v>
      </c>
      <c r="K662" t="n">
        <v>0</v>
      </c>
      <c r="L662" t="n">
        <v>0</v>
      </c>
      <c r="M662" t="n">
        <v>0</v>
      </c>
      <c r="N662" t="n">
        <v>0</v>
      </c>
      <c r="O662" t="n">
        <v>0</v>
      </c>
      <c r="P662" t="n">
        <v>0</v>
      </c>
      <c r="Q662" t="n">
        <v>0</v>
      </c>
      <c r="R662" s="2" t="inlineStr"/>
    </row>
    <row r="663" ht="15" customHeight="1">
      <c r="A663" t="inlineStr">
        <is>
          <t>A 56403-2025</t>
        </is>
      </c>
      <c r="B663" s="1" t="n">
        <v>45974</v>
      </c>
      <c r="C663" s="1" t="n">
        <v>45993</v>
      </c>
      <c r="D663" t="inlineStr">
        <is>
          <t>ÖSTERGÖTLANDS LÄN</t>
        </is>
      </c>
      <c r="E663" t="inlineStr">
        <is>
          <t>LINKÖPING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49605-2025</t>
        </is>
      </c>
      <c r="B664" s="1" t="n">
        <v>45938</v>
      </c>
      <c r="C664" s="1" t="n">
        <v>45993</v>
      </c>
      <c r="D664" t="inlineStr">
        <is>
          <t>ÖSTERGÖTLANDS LÄN</t>
        </is>
      </c>
      <c r="E664" t="inlineStr">
        <is>
          <t>LINKÖPING</t>
        </is>
      </c>
      <c r="F664" t="inlineStr">
        <is>
          <t>Övriga Aktiebolag</t>
        </is>
      </c>
      <c r="G664" t="n">
        <v>3.3</v>
      </c>
      <c r="H664" t="n">
        <v>0</v>
      </c>
      <c r="I664" t="n">
        <v>0</v>
      </c>
      <c r="J664" t="n">
        <v>0</v>
      </c>
      <c r="K664" t="n">
        <v>0</v>
      </c>
      <c r="L664" t="n">
        <v>0</v>
      </c>
      <c r="M664" t="n">
        <v>0</v>
      </c>
      <c r="N664" t="n">
        <v>0</v>
      </c>
      <c r="O664" t="n">
        <v>0</v>
      </c>
      <c r="P664" t="n">
        <v>0</v>
      </c>
      <c r="Q664" t="n">
        <v>0</v>
      </c>
      <c r="R664" s="2" t="inlineStr"/>
    </row>
    <row r="665" ht="15" customHeight="1">
      <c r="A665" t="inlineStr">
        <is>
          <t>A 49647-2025</t>
        </is>
      </c>
      <c r="B665" s="1" t="n">
        <v>45938</v>
      </c>
      <c r="C665" s="1" t="n">
        <v>45993</v>
      </c>
      <c r="D665" t="inlineStr">
        <is>
          <t>ÖSTERGÖTLANDS LÄN</t>
        </is>
      </c>
      <c r="E665" t="inlineStr">
        <is>
          <t>LINKÖPING</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49633-2025</t>
        </is>
      </c>
      <c r="B666" s="1" t="n">
        <v>45938</v>
      </c>
      <c r="C666" s="1" t="n">
        <v>45993</v>
      </c>
      <c r="D666" t="inlineStr">
        <is>
          <t>ÖSTERGÖTLANDS LÄN</t>
        </is>
      </c>
      <c r="E666" t="inlineStr">
        <is>
          <t>LINKÖPING</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49663-2025</t>
        </is>
      </c>
      <c r="B667" s="1" t="n">
        <v>45938</v>
      </c>
      <c r="C667" s="1" t="n">
        <v>45993</v>
      </c>
      <c r="D667" t="inlineStr">
        <is>
          <t>ÖSTERGÖTLANDS LÄN</t>
        </is>
      </c>
      <c r="E667" t="inlineStr">
        <is>
          <t>LINKÖPING</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49455-2025</t>
        </is>
      </c>
      <c r="B668" s="1" t="n">
        <v>45938</v>
      </c>
      <c r="C668" s="1" t="n">
        <v>45993</v>
      </c>
      <c r="D668" t="inlineStr">
        <is>
          <t>ÖSTERGÖTLANDS LÄN</t>
        </is>
      </c>
      <c r="E668" t="inlineStr">
        <is>
          <t>LINKÖPING</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49652-2025</t>
        </is>
      </c>
      <c r="B669" s="1" t="n">
        <v>45938</v>
      </c>
      <c r="C669" s="1" t="n">
        <v>45993</v>
      </c>
      <c r="D669" t="inlineStr">
        <is>
          <t>ÖSTERGÖTLANDS LÄN</t>
        </is>
      </c>
      <c r="E669" t="inlineStr">
        <is>
          <t>LINKÖPING</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49654-2025</t>
        </is>
      </c>
      <c r="B670" s="1" t="n">
        <v>45938</v>
      </c>
      <c r="C670" s="1" t="n">
        <v>45993</v>
      </c>
      <c r="D670" t="inlineStr">
        <is>
          <t>ÖSTERGÖTLANDS LÄN</t>
        </is>
      </c>
      <c r="E670" t="inlineStr">
        <is>
          <t>LINKÖPING</t>
        </is>
      </c>
      <c r="F670" t="inlineStr">
        <is>
          <t>Övriga Aktiebolag</t>
        </is>
      </c>
      <c r="G670" t="n">
        <v>3.1</v>
      </c>
      <c r="H670" t="n">
        <v>0</v>
      </c>
      <c r="I670" t="n">
        <v>0</v>
      </c>
      <c r="J670" t="n">
        <v>0</v>
      </c>
      <c r="K670" t="n">
        <v>0</v>
      </c>
      <c r="L670" t="n">
        <v>0</v>
      </c>
      <c r="M670" t="n">
        <v>0</v>
      </c>
      <c r="N670" t="n">
        <v>0</v>
      </c>
      <c r="O670" t="n">
        <v>0</v>
      </c>
      <c r="P670" t="n">
        <v>0</v>
      </c>
      <c r="Q670" t="n">
        <v>0</v>
      </c>
      <c r="R670" s="2" t="inlineStr"/>
    </row>
    <row r="671" ht="15" customHeight="1">
      <c r="A671" t="inlineStr">
        <is>
          <t>A 49619-2025</t>
        </is>
      </c>
      <c r="B671" s="1" t="n">
        <v>45938</v>
      </c>
      <c r="C671" s="1" t="n">
        <v>45993</v>
      </c>
      <c r="D671" t="inlineStr">
        <is>
          <t>ÖSTERGÖTLANDS LÄN</t>
        </is>
      </c>
      <c r="E671" t="inlineStr">
        <is>
          <t>LINKÖPING</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49629-2025</t>
        </is>
      </c>
      <c r="B672" s="1" t="n">
        <v>45938</v>
      </c>
      <c r="C672" s="1" t="n">
        <v>45993</v>
      </c>
      <c r="D672" t="inlineStr">
        <is>
          <t>ÖSTERGÖTLANDS LÄN</t>
        </is>
      </c>
      <c r="E672" t="inlineStr">
        <is>
          <t>LINKÖPING</t>
        </is>
      </c>
      <c r="F672" t="inlineStr">
        <is>
          <t>Övriga Aktiebolag</t>
        </is>
      </c>
      <c r="G672" t="n">
        <v>4.5</v>
      </c>
      <c r="H672" t="n">
        <v>0</v>
      </c>
      <c r="I672" t="n">
        <v>0</v>
      </c>
      <c r="J672" t="n">
        <v>0</v>
      </c>
      <c r="K672" t="n">
        <v>0</v>
      </c>
      <c r="L672" t="n">
        <v>0</v>
      </c>
      <c r="M672" t="n">
        <v>0</v>
      </c>
      <c r="N672" t="n">
        <v>0</v>
      </c>
      <c r="O672" t="n">
        <v>0</v>
      </c>
      <c r="P672" t="n">
        <v>0</v>
      </c>
      <c r="Q672" t="n">
        <v>0</v>
      </c>
      <c r="R672" s="2" t="inlineStr"/>
    </row>
    <row r="673" ht="15" customHeight="1">
      <c r="A673" t="inlineStr">
        <is>
          <t>A 49650-2025</t>
        </is>
      </c>
      <c r="B673" s="1" t="n">
        <v>45938</v>
      </c>
      <c r="C673" s="1" t="n">
        <v>45993</v>
      </c>
      <c r="D673" t="inlineStr">
        <is>
          <t>ÖSTERGÖTLANDS LÄN</t>
        </is>
      </c>
      <c r="E673" t="inlineStr">
        <is>
          <t>LINKÖPING</t>
        </is>
      </c>
      <c r="F673" t="inlineStr">
        <is>
          <t>Övriga Aktiebolag</t>
        </is>
      </c>
      <c r="G673" t="n">
        <v>1.5</v>
      </c>
      <c r="H673" t="n">
        <v>0</v>
      </c>
      <c r="I673" t="n">
        <v>0</v>
      </c>
      <c r="J673" t="n">
        <v>0</v>
      </c>
      <c r="K673" t="n">
        <v>0</v>
      </c>
      <c r="L673" t="n">
        <v>0</v>
      </c>
      <c r="M673" t="n">
        <v>0</v>
      </c>
      <c r="N673" t="n">
        <v>0</v>
      </c>
      <c r="O673" t="n">
        <v>0</v>
      </c>
      <c r="P673" t="n">
        <v>0</v>
      </c>
      <c r="Q673" t="n">
        <v>0</v>
      </c>
      <c r="R673" s="2" t="inlineStr"/>
    </row>
    <row r="674" ht="15" customHeight="1">
      <c r="A674" t="inlineStr">
        <is>
          <t>A 49632-2025</t>
        </is>
      </c>
      <c r="B674" s="1" t="n">
        <v>45938</v>
      </c>
      <c r="C674" s="1" t="n">
        <v>45993</v>
      </c>
      <c r="D674" t="inlineStr">
        <is>
          <t>ÖSTERGÖTLANDS LÄN</t>
        </is>
      </c>
      <c r="E674" t="inlineStr">
        <is>
          <t>LINKÖPING</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44280-2024</t>
        </is>
      </c>
      <c r="B675" s="1" t="n">
        <v>45573.49461805556</v>
      </c>
      <c r="C675" s="1" t="n">
        <v>45993</v>
      </c>
      <c r="D675" t="inlineStr">
        <is>
          <t>ÖSTERGÖTLANDS LÄN</t>
        </is>
      </c>
      <c r="E675" t="inlineStr">
        <is>
          <t>LINKÖPING</t>
        </is>
      </c>
      <c r="G675" t="n">
        <v>5.3</v>
      </c>
      <c r="H675" t="n">
        <v>0</v>
      </c>
      <c r="I675" t="n">
        <v>0</v>
      </c>
      <c r="J675" t="n">
        <v>0</v>
      </c>
      <c r="K675" t="n">
        <v>0</v>
      </c>
      <c r="L675" t="n">
        <v>0</v>
      </c>
      <c r="M675" t="n">
        <v>0</v>
      </c>
      <c r="N675" t="n">
        <v>0</v>
      </c>
      <c r="O675" t="n">
        <v>0</v>
      </c>
      <c r="P675" t="n">
        <v>0</v>
      </c>
      <c r="Q675" t="n">
        <v>0</v>
      </c>
      <c r="R675" s="2" t="inlineStr"/>
    </row>
    <row r="676" ht="15" customHeight="1">
      <c r="A676" t="inlineStr">
        <is>
          <t>A 49615-2025</t>
        </is>
      </c>
      <c r="B676" s="1" t="n">
        <v>45938</v>
      </c>
      <c r="C676" s="1" t="n">
        <v>45993</v>
      </c>
      <c r="D676" t="inlineStr">
        <is>
          <t>ÖSTERGÖTLANDS LÄN</t>
        </is>
      </c>
      <c r="E676" t="inlineStr">
        <is>
          <t>LINKÖPING</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25996-2025</t>
        </is>
      </c>
      <c r="B677" s="1" t="n">
        <v>45804.65851851852</v>
      </c>
      <c r="C677" s="1" t="n">
        <v>45993</v>
      </c>
      <c r="D677" t="inlineStr">
        <is>
          <t>ÖSTERGÖTLANDS LÄN</t>
        </is>
      </c>
      <c r="E677" t="inlineStr">
        <is>
          <t>LINKÖPING</t>
        </is>
      </c>
      <c r="G677" t="n">
        <v>3.2</v>
      </c>
      <c r="H677" t="n">
        <v>0</v>
      </c>
      <c r="I677" t="n">
        <v>0</v>
      </c>
      <c r="J677" t="n">
        <v>0</v>
      </c>
      <c r="K677" t="n">
        <v>0</v>
      </c>
      <c r="L677" t="n">
        <v>0</v>
      </c>
      <c r="M677" t="n">
        <v>0</v>
      </c>
      <c r="N677" t="n">
        <v>0</v>
      </c>
      <c r="O677" t="n">
        <v>0</v>
      </c>
      <c r="P677" t="n">
        <v>0</v>
      </c>
      <c r="Q677" t="n">
        <v>0</v>
      </c>
      <c r="R677" s="2" t="inlineStr"/>
    </row>
    <row r="678" ht="15" customHeight="1">
      <c r="A678" t="inlineStr">
        <is>
          <t>A 26002-2025</t>
        </is>
      </c>
      <c r="B678" s="1" t="n">
        <v>45804.66534722222</v>
      </c>
      <c r="C678" s="1" t="n">
        <v>45993</v>
      </c>
      <c r="D678" t="inlineStr">
        <is>
          <t>ÖSTERGÖTLANDS LÄN</t>
        </is>
      </c>
      <c r="E678" t="inlineStr">
        <is>
          <t>LINKÖPING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40983-2025</t>
        </is>
      </c>
      <c r="B679" s="1" t="n">
        <v>45898</v>
      </c>
      <c r="C679" s="1" t="n">
        <v>45993</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52807-2025</t>
        </is>
      </c>
      <c r="B680" s="1" t="n">
        <v>45957.44837962963</v>
      </c>
      <c r="C680" s="1" t="n">
        <v>45993</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50056-2025</t>
        </is>
      </c>
      <c r="B681" s="1" t="n">
        <v>45941</v>
      </c>
      <c r="C681" s="1" t="n">
        <v>45993</v>
      </c>
      <c r="D681" t="inlineStr">
        <is>
          <t>ÖSTERGÖTLANDS LÄN</t>
        </is>
      </c>
      <c r="E681" t="inlineStr">
        <is>
          <t>LINKÖPING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55004-2025</t>
        </is>
      </c>
      <c r="B682" s="1" t="n">
        <v>45967</v>
      </c>
      <c r="C682" s="1" t="n">
        <v>45993</v>
      </c>
      <c r="D682" t="inlineStr">
        <is>
          <t>ÖSTERGÖTLANDS LÄN</t>
        </is>
      </c>
      <c r="E682" t="inlineStr">
        <is>
          <t>LINKÖPING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59205-2025</t>
        </is>
      </c>
      <c r="B683" s="1" t="n">
        <v>45988.60721064815</v>
      </c>
      <c r="C683" s="1" t="n">
        <v>45993</v>
      </c>
      <c r="D683" t="inlineStr">
        <is>
          <t>ÖSTERGÖTLANDS LÄN</t>
        </is>
      </c>
      <c r="E683" t="inlineStr">
        <is>
          <t>LINKÖPING</t>
        </is>
      </c>
      <c r="F683" t="inlineStr">
        <is>
          <t>Sveaskog</t>
        </is>
      </c>
      <c r="G683" t="n">
        <v>11.3</v>
      </c>
      <c r="H683" t="n">
        <v>0</v>
      </c>
      <c r="I683" t="n">
        <v>0</v>
      </c>
      <c r="J683" t="n">
        <v>0</v>
      </c>
      <c r="K683" t="n">
        <v>0</v>
      </c>
      <c r="L683" t="n">
        <v>0</v>
      </c>
      <c r="M683" t="n">
        <v>0</v>
      </c>
      <c r="N683" t="n">
        <v>0</v>
      </c>
      <c r="O683" t="n">
        <v>0</v>
      </c>
      <c r="P683" t="n">
        <v>0</v>
      </c>
      <c r="Q683" t="n">
        <v>0</v>
      </c>
      <c r="R683" s="2" t="inlineStr"/>
    </row>
    <row r="684" ht="15" customHeight="1">
      <c r="A684" t="inlineStr">
        <is>
          <t>A 28200-2025</t>
        </is>
      </c>
      <c r="B684" s="1" t="n">
        <v>45818.4428125</v>
      </c>
      <c r="C684" s="1" t="n">
        <v>45993</v>
      </c>
      <c r="D684" t="inlineStr">
        <is>
          <t>ÖSTERGÖTLANDS LÄN</t>
        </is>
      </c>
      <c r="E684" t="inlineStr">
        <is>
          <t>LINKÖPING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58802-2025</t>
        </is>
      </c>
      <c r="B685" s="1" t="n">
        <v>45986.8768287037</v>
      </c>
      <c r="C685" s="1" t="n">
        <v>45993</v>
      </c>
      <c r="D685" t="inlineStr">
        <is>
          <t>ÖSTERGÖTLANDS LÄN</t>
        </is>
      </c>
      <c r="E685" t="inlineStr">
        <is>
          <t>LINKÖPING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27950-2025</t>
        </is>
      </c>
      <c r="B686" s="1" t="n">
        <v>45817.52960648148</v>
      </c>
      <c r="C686" s="1" t="n">
        <v>45993</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50667-2025</t>
        </is>
      </c>
      <c r="B687" s="1" t="n">
        <v>45945</v>
      </c>
      <c r="C687" s="1" t="n">
        <v>45993</v>
      </c>
      <c r="D687" t="inlineStr">
        <is>
          <t>ÖSTERGÖTLANDS LÄN</t>
        </is>
      </c>
      <c r="E687" t="inlineStr">
        <is>
          <t>LINKÖPING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27797-2025</t>
        </is>
      </c>
      <c r="B688" s="1" t="n">
        <v>45816.80521990741</v>
      </c>
      <c r="C688" s="1" t="n">
        <v>45993</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27798-2025</t>
        </is>
      </c>
      <c r="B689" s="1" t="n">
        <v>45816.81532407407</v>
      </c>
      <c r="C689" s="1" t="n">
        <v>45993</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28209-2025</t>
        </is>
      </c>
      <c r="B690" s="1" t="n">
        <v>45818.45112268518</v>
      </c>
      <c r="C690" s="1" t="n">
        <v>45993</v>
      </c>
      <c r="D690" t="inlineStr">
        <is>
          <t>ÖSTERGÖTLANDS LÄN</t>
        </is>
      </c>
      <c r="E690" t="inlineStr">
        <is>
          <t>LINKÖPING</t>
        </is>
      </c>
      <c r="G690" t="n">
        <v>4.2</v>
      </c>
      <c r="H690" t="n">
        <v>0</v>
      </c>
      <c r="I690" t="n">
        <v>0</v>
      </c>
      <c r="J690" t="n">
        <v>0</v>
      </c>
      <c r="K690" t="n">
        <v>0</v>
      </c>
      <c r="L690" t="n">
        <v>0</v>
      </c>
      <c r="M690" t="n">
        <v>0</v>
      </c>
      <c r="N690" t="n">
        <v>0</v>
      </c>
      <c r="O690" t="n">
        <v>0</v>
      </c>
      <c r="P690" t="n">
        <v>0</v>
      </c>
      <c r="Q690" t="n">
        <v>0</v>
      </c>
      <c r="R690" s="2" t="inlineStr"/>
    </row>
    <row r="691" ht="15" customHeight="1">
      <c r="A691" t="inlineStr">
        <is>
          <t>A 28204-2025</t>
        </is>
      </c>
      <c r="B691" s="1" t="n">
        <v>45818.4477662037</v>
      </c>
      <c r="C691" s="1" t="n">
        <v>45993</v>
      </c>
      <c r="D691" t="inlineStr">
        <is>
          <t>ÖSTERGÖTLANDS LÄN</t>
        </is>
      </c>
      <c r="E691" t="inlineStr">
        <is>
          <t>LINKÖPING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28398-2025</t>
        </is>
      </c>
      <c r="B692" s="1" t="n">
        <v>45819.34208333334</v>
      </c>
      <c r="C692" s="1" t="n">
        <v>45993</v>
      </c>
      <c r="D692" t="inlineStr">
        <is>
          <t>ÖSTERGÖTLANDS LÄN</t>
        </is>
      </c>
      <c r="E692" t="inlineStr">
        <is>
          <t>LINKÖPING</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28416-2025</t>
        </is>
      </c>
      <c r="B693" s="1" t="n">
        <v>45819.35346064815</v>
      </c>
      <c r="C693" s="1" t="n">
        <v>45993</v>
      </c>
      <c r="D693" t="inlineStr">
        <is>
          <t>ÖSTERGÖTLANDS LÄN</t>
        </is>
      </c>
      <c r="E693" t="inlineStr">
        <is>
          <t>LINKÖPING</t>
        </is>
      </c>
      <c r="F693" t="inlineStr">
        <is>
          <t>Sveaskog</t>
        </is>
      </c>
      <c r="G693" t="n">
        <v>3.7</v>
      </c>
      <c r="H693" t="n">
        <v>0</v>
      </c>
      <c r="I693" t="n">
        <v>0</v>
      </c>
      <c r="J693" t="n">
        <v>0</v>
      </c>
      <c r="K693" t="n">
        <v>0</v>
      </c>
      <c r="L693" t="n">
        <v>0</v>
      </c>
      <c r="M693" t="n">
        <v>0</v>
      </c>
      <c r="N693" t="n">
        <v>0</v>
      </c>
      <c r="O693" t="n">
        <v>0</v>
      </c>
      <c r="P693" t="n">
        <v>0</v>
      </c>
      <c r="Q693" t="n">
        <v>0</v>
      </c>
      <c r="R693" s="2" t="inlineStr"/>
    </row>
    <row r="694" ht="15" customHeight="1">
      <c r="A694" t="inlineStr">
        <is>
          <t>A 29027-2025</t>
        </is>
      </c>
      <c r="B694" s="1" t="n">
        <v>45821.4375462963</v>
      </c>
      <c r="C694" s="1" t="n">
        <v>45993</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29393-2025</t>
        </is>
      </c>
      <c r="B695" s="1" t="n">
        <v>45824.6057175926</v>
      </c>
      <c r="C695" s="1" t="n">
        <v>45993</v>
      </c>
      <c r="D695" t="inlineStr">
        <is>
          <t>ÖSTERGÖTLANDS LÄN</t>
        </is>
      </c>
      <c r="E695" t="inlineStr">
        <is>
          <t>LINKÖPING</t>
        </is>
      </c>
      <c r="F695" t="inlineStr">
        <is>
          <t>Sveaskog</t>
        </is>
      </c>
      <c r="G695" t="n">
        <v>24.6</v>
      </c>
      <c r="H695" t="n">
        <v>0</v>
      </c>
      <c r="I695" t="n">
        <v>0</v>
      </c>
      <c r="J695" t="n">
        <v>0</v>
      </c>
      <c r="K695" t="n">
        <v>0</v>
      </c>
      <c r="L695" t="n">
        <v>0</v>
      </c>
      <c r="M695" t="n">
        <v>0</v>
      </c>
      <c r="N695" t="n">
        <v>0</v>
      </c>
      <c r="O695" t="n">
        <v>0</v>
      </c>
      <c r="P695" t="n">
        <v>0</v>
      </c>
      <c r="Q695" t="n">
        <v>0</v>
      </c>
      <c r="R695" s="2" t="inlineStr"/>
    </row>
    <row r="696" ht="15" customHeight="1">
      <c r="A696" t="inlineStr">
        <is>
          <t>A 59472-2025</t>
        </is>
      </c>
      <c r="B696" s="1" t="n">
        <v>45989.58321759259</v>
      </c>
      <c r="C696" s="1" t="n">
        <v>45993</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29411-2025</t>
        </is>
      </c>
      <c r="B697" s="1" t="n">
        <v>45824.6219212963</v>
      </c>
      <c r="C697" s="1" t="n">
        <v>45993</v>
      </c>
      <c r="D697" t="inlineStr">
        <is>
          <t>ÖSTERGÖTLANDS LÄN</t>
        </is>
      </c>
      <c r="E697" t="inlineStr">
        <is>
          <t>LINKÖPING</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51802-2025</t>
        </is>
      </c>
      <c r="B698" s="1" t="n">
        <v>45950</v>
      </c>
      <c r="C698" s="1" t="n">
        <v>45993</v>
      </c>
      <c r="D698" t="inlineStr">
        <is>
          <t>ÖSTERGÖTLANDS LÄN</t>
        </is>
      </c>
      <c r="E698" t="inlineStr">
        <is>
          <t>LINKÖPING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29599-2025</t>
        </is>
      </c>
      <c r="B699" s="1" t="n">
        <v>45825.41101851852</v>
      </c>
      <c r="C699" s="1" t="n">
        <v>45993</v>
      </c>
      <c r="D699" t="inlineStr">
        <is>
          <t>ÖSTERGÖTLANDS LÄN</t>
        </is>
      </c>
      <c r="E699" t="inlineStr">
        <is>
          <t>LINKÖPING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10253-2022</t>
        </is>
      </c>
      <c r="B700" s="1" t="n">
        <v>44622</v>
      </c>
      <c r="C700" s="1" t="n">
        <v>45993</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30355-2025</t>
        </is>
      </c>
      <c r="B701" s="1" t="n">
        <v>45827</v>
      </c>
      <c r="C701" s="1" t="n">
        <v>45993</v>
      </c>
      <c r="D701" t="inlineStr">
        <is>
          <t>ÖSTERGÖTLANDS LÄN</t>
        </is>
      </c>
      <c r="E701" t="inlineStr">
        <is>
          <t>LINKÖPING</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30353-2025</t>
        </is>
      </c>
      <c r="B702" s="1" t="n">
        <v>45827</v>
      </c>
      <c r="C702" s="1" t="n">
        <v>45993</v>
      </c>
      <c r="D702" t="inlineStr">
        <is>
          <t>ÖSTERGÖTLANDS LÄN</t>
        </is>
      </c>
      <c r="E702" t="inlineStr">
        <is>
          <t>LINKÖPING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31581-2025</t>
        </is>
      </c>
      <c r="B703" s="1" t="n">
        <v>45833.6840162037</v>
      </c>
      <c r="C703" s="1" t="n">
        <v>45993</v>
      </c>
      <c r="D703" t="inlineStr">
        <is>
          <t>ÖSTERGÖTLANDS LÄN</t>
        </is>
      </c>
      <c r="E703" t="inlineStr">
        <is>
          <t>LINKÖPING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31585-2025</t>
        </is>
      </c>
      <c r="B704" s="1" t="n">
        <v>45833.68815972222</v>
      </c>
      <c r="C704" s="1" t="n">
        <v>45993</v>
      </c>
      <c r="D704" t="inlineStr">
        <is>
          <t>ÖSTERGÖTLANDS LÄN</t>
        </is>
      </c>
      <c r="E704" t="inlineStr">
        <is>
          <t>LINKÖPING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32723-2025</t>
        </is>
      </c>
      <c r="B705" s="1" t="n">
        <v>45838</v>
      </c>
      <c r="C705" s="1" t="n">
        <v>45993</v>
      </c>
      <c r="D705" t="inlineStr">
        <is>
          <t>ÖSTERGÖTLANDS LÄN</t>
        </is>
      </c>
      <c r="E705" t="inlineStr">
        <is>
          <t>LINKÖPING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33947-2025</t>
        </is>
      </c>
      <c r="B706" s="1" t="n">
        <v>45842.65444444444</v>
      </c>
      <c r="C706" s="1" t="n">
        <v>45993</v>
      </c>
      <c r="D706" t="inlineStr">
        <is>
          <t>ÖSTERGÖTLANDS LÄN</t>
        </is>
      </c>
      <c r="E706" t="inlineStr">
        <is>
          <t>LINKÖPING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62012-2024</t>
        </is>
      </c>
      <c r="B707" s="1" t="n">
        <v>45655.79679398148</v>
      </c>
      <c r="C707" s="1" t="n">
        <v>45993</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53529-2024</t>
        </is>
      </c>
      <c r="B708" s="1" t="n">
        <v>45614</v>
      </c>
      <c r="C708" s="1" t="n">
        <v>45993</v>
      </c>
      <c r="D708" t="inlineStr">
        <is>
          <t>ÖSTERGÖTLANDS LÄN</t>
        </is>
      </c>
      <c r="E708" t="inlineStr">
        <is>
          <t>LINKÖPING</t>
        </is>
      </c>
      <c r="G708" t="n">
        <v>6.7</v>
      </c>
      <c r="H708" t="n">
        <v>0</v>
      </c>
      <c r="I708" t="n">
        <v>0</v>
      </c>
      <c r="J708" t="n">
        <v>0</v>
      </c>
      <c r="K708" t="n">
        <v>0</v>
      </c>
      <c r="L708" t="n">
        <v>0</v>
      </c>
      <c r="M708" t="n">
        <v>0</v>
      </c>
      <c r="N708" t="n">
        <v>0</v>
      </c>
      <c r="O708" t="n">
        <v>0</v>
      </c>
      <c r="P708" t="n">
        <v>0</v>
      </c>
      <c r="Q708" t="n">
        <v>0</v>
      </c>
      <c r="R708" s="2" t="inlineStr"/>
    </row>
    <row r="709" ht="15" customHeight="1">
      <c r="A709" t="inlineStr">
        <is>
          <t>A 20469-2025</t>
        </is>
      </c>
      <c r="B709" s="1" t="n">
        <v>45775</v>
      </c>
      <c r="C709" s="1" t="n">
        <v>45993</v>
      </c>
      <c r="D709" t="inlineStr">
        <is>
          <t>ÖSTERGÖTLANDS LÄN</t>
        </is>
      </c>
      <c r="E709" t="inlineStr">
        <is>
          <t>LINKÖPING</t>
        </is>
      </c>
      <c r="F709" t="inlineStr">
        <is>
          <t>Kyrkan</t>
        </is>
      </c>
      <c r="G709" t="n">
        <v>6.1</v>
      </c>
      <c r="H709" t="n">
        <v>0</v>
      </c>
      <c r="I709" t="n">
        <v>0</v>
      </c>
      <c r="J709" t="n">
        <v>0</v>
      </c>
      <c r="K709" t="n">
        <v>0</v>
      </c>
      <c r="L709" t="n">
        <v>0</v>
      </c>
      <c r="M709" t="n">
        <v>0</v>
      </c>
      <c r="N709" t="n">
        <v>0</v>
      </c>
      <c r="O709" t="n">
        <v>0</v>
      </c>
      <c r="P709" t="n">
        <v>0</v>
      </c>
      <c r="Q709" t="n">
        <v>0</v>
      </c>
      <c r="R709" s="2" t="inlineStr"/>
    </row>
    <row r="710" ht="15" customHeight="1">
      <c r="A710" t="inlineStr">
        <is>
          <t>A 33800-2023</t>
        </is>
      </c>
      <c r="B710" s="1" t="n">
        <v>45121</v>
      </c>
      <c r="C710" s="1" t="n">
        <v>45993</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47991-2023</t>
        </is>
      </c>
      <c r="B711" s="1" t="n">
        <v>45204.62655092592</v>
      </c>
      <c r="C711" s="1" t="n">
        <v>45993</v>
      </c>
      <c r="D711" t="inlineStr">
        <is>
          <t>ÖSTERGÖTLANDS LÄN</t>
        </is>
      </c>
      <c r="E711" t="inlineStr">
        <is>
          <t>LINKÖPING</t>
        </is>
      </c>
      <c r="F711" t="inlineStr">
        <is>
          <t>Allmännings- och besparingsskogar</t>
        </is>
      </c>
      <c r="G711" t="n">
        <v>7.3</v>
      </c>
      <c r="H711" t="n">
        <v>0</v>
      </c>
      <c r="I711" t="n">
        <v>0</v>
      </c>
      <c r="J711" t="n">
        <v>0</v>
      </c>
      <c r="K711" t="n">
        <v>0</v>
      </c>
      <c r="L711" t="n">
        <v>0</v>
      </c>
      <c r="M711" t="n">
        <v>0</v>
      </c>
      <c r="N711" t="n">
        <v>0</v>
      </c>
      <c r="O711" t="n">
        <v>0</v>
      </c>
      <c r="P711" t="n">
        <v>0</v>
      </c>
      <c r="Q711" t="n">
        <v>0</v>
      </c>
      <c r="R711" s="2" t="inlineStr"/>
    </row>
    <row r="712" ht="15" customHeight="1">
      <c r="A712" t="inlineStr">
        <is>
          <t>A 35178-2025</t>
        </is>
      </c>
      <c r="B712" s="1" t="n">
        <v>45852.91939814815</v>
      </c>
      <c r="C712" s="1" t="n">
        <v>45993</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35174-2025</t>
        </is>
      </c>
      <c r="B713" s="1" t="n">
        <v>45852.90648148148</v>
      </c>
      <c r="C713" s="1" t="n">
        <v>45993</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26007-2025</t>
        </is>
      </c>
      <c r="B714" s="1" t="n">
        <v>45804.67081018518</v>
      </c>
      <c r="C714" s="1" t="n">
        <v>45993</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35179-2025</t>
        </is>
      </c>
      <c r="B715" s="1" t="n">
        <v>45852.93737268518</v>
      </c>
      <c r="C715" s="1" t="n">
        <v>45993</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35180-2025</t>
        </is>
      </c>
      <c r="B716" s="1" t="n">
        <v>45852.9413425926</v>
      </c>
      <c r="C716" s="1" t="n">
        <v>45993</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35747-2025</t>
        </is>
      </c>
      <c r="B717" s="1" t="n">
        <v>45860.56385416666</v>
      </c>
      <c r="C717" s="1" t="n">
        <v>45993</v>
      </c>
      <c r="D717" t="inlineStr">
        <is>
          <t>ÖSTERGÖTLANDS LÄN</t>
        </is>
      </c>
      <c r="E717" t="inlineStr">
        <is>
          <t>LINKÖPING</t>
        </is>
      </c>
      <c r="G717" t="n">
        <v>2.4</v>
      </c>
      <c r="H717" t="n">
        <v>0</v>
      </c>
      <c r="I717" t="n">
        <v>0</v>
      </c>
      <c r="J717" t="n">
        <v>0</v>
      </c>
      <c r="K717" t="n">
        <v>0</v>
      </c>
      <c r="L717" t="n">
        <v>0</v>
      </c>
      <c r="M717" t="n">
        <v>0</v>
      </c>
      <c r="N717" t="n">
        <v>0</v>
      </c>
      <c r="O717" t="n">
        <v>0</v>
      </c>
      <c r="P717" t="n">
        <v>0</v>
      </c>
      <c r="Q717" t="n">
        <v>0</v>
      </c>
      <c r="R717" s="2" t="inlineStr"/>
    </row>
    <row r="718" ht="15" customHeight="1">
      <c r="A718" t="inlineStr">
        <is>
          <t>A 35745-2025</t>
        </is>
      </c>
      <c r="B718" s="1" t="n">
        <v>45860.54739583333</v>
      </c>
      <c r="C718" s="1" t="n">
        <v>45993</v>
      </c>
      <c r="D718" t="inlineStr">
        <is>
          <t>ÖSTERGÖTLANDS LÄN</t>
        </is>
      </c>
      <c r="E718" t="inlineStr">
        <is>
          <t>LINKÖPING</t>
        </is>
      </c>
      <c r="G718" t="n">
        <v>4.4</v>
      </c>
      <c r="H718" t="n">
        <v>0</v>
      </c>
      <c r="I718" t="n">
        <v>0</v>
      </c>
      <c r="J718" t="n">
        <v>0</v>
      </c>
      <c r="K718" t="n">
        <v>0</v>
      </c>
      <c r="L718" t="n">
        <v>0</v>
      </c>
      <c r="M718" t="n">
        <v>0</v>
      </c>
      <c r="N718" t="n">
        <v>0</v>
      </c>
      <c r="O718" t="n">
        <v>0</v>
      </c>
      <c r="P718" t="n">
        <v>0</v>
      </c>
      <c r="Q718" t="n">
        <v>0</v>
      </c>
      <c r="R718" s="2" t="inlineStr"/>
    </row>
    <row r="719" ht="15" customHeight="1">
      <c r="A719" t="inlineStr">
        <is>
          <t>A 35757-2025</t>
        </is>
      </c>
      <c r="B719" s="1" t="n">
        <v>45860.59876157407</v>
      </c>
      <c r="C719" s="1" t="n">
        <v>45993</v>
      </c>
      <c r="D719" t="inlineStr">
        <is>
          <t>ÖSTERGÖTLANDS LÄN</t>
        </is>
      </c>
      <c r="E719" t="inlineStr">
        <is>
          <t>LINKÖPING</t>
        </is>
      </c>
      <c r="G719" t="n">
        <v>5.7</v>
      </c>
      <c r="H719" t="n">
        <v>0</v>
      </c>
      <c r="I719" t="n">
        <v>0</v>
      </c>
      <c r="J719" t="n">
        <v>0</v>
      </c>
      <c r="K719" t="n">
        <v>0</v>
      </c>
      <c r="L719" t="n">
        <v>0</v>
      </c>
      <c r="M719" t="n">
        <v>0</v>
      </c>
      <c r="N719" t="n">
        <v>0</v>
      </c>
      <c r="O719" t="n">
        <v>0</v>
      </c>
      <c r="P719" t="n">
        <v>0</v>
      </c>
      <c r="Q719" t="n">
        <v>0</v>
      </c>
      <c r="R719" s="2" t="inlineStr"/>
    </row>
    <row r="720">
      <c r="A720" t="inlineStr">
        <is>
          <t>A 35759-2025</t>
        </is>
      </c>
      <c r="B720" s="1" t="n">
        <v>45860</v>
      </c>
      <c r="C720" s="1" t="n">
        <v>45993</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2025-12-02T10:26:52Z</dcterms:created>
  <dcterms:modified xmlns:dcterms="http://purl.org/dc/terms/" xmlns:xsi="http://www.w3.org/2001/XMLSchema-instance" xsi:type="dcterms:W3CDTF">2025-12-02T10:26:53Z</dcterms:modified>
</cp:coreProperties>
</file>