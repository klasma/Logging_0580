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45963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45963</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45963</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40469-2024</t>
        </is>
      </c>
      <c r="B15" s="1" t="n">
        <v>45555.53145833333</v>
      </c>
      <c r="C15" s="1" t="n">
        <v>45963</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48329-2025</t>
        </is>
      </c>
      <c r="B16" s="1" t="n">
        <v>45932</v>
      </c>
      <c r="C16" s="1" t="n">
        <v>45963</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55341-2024</t>
        </is>
      </c>
      <c r="B17" s="1" t="n">
        <v>45621.71255787037</v>
      </c>
      <c r="C17" s="1" t="n">
        <v>45963</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45963</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45963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45963</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45963</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45963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41751-2023</t>
        </is>
      </c>
      <c r="B23" s="1" t="n">
        <v>45176</v>
      </c>
      <c r="C23" s="1" t="n">
        <v>45963</v>
      </c>
      <c r="D23" t="inlineStr">
        <is>
          <t>ÖSTERGÖTLANDS LÄN</t>
        </is>
      </c>
      <c r="E23" t="inlineStr">
        <is>
          <t>LINKÖPING</t>
        </is>
      </c>
      <c r="G23" t="n">
        <v>1.5</v>
      </c>
      <c r="H23" t="n">
        <v>1</v>
      </c>
      <c r="I23" t="n">
        <v>0</v>
      </c>
      <c r="J23" t="n">
        <v>1</v>
      </c>
      <c r="K23" t="n">
        <v>0</v>
      </c>
      <c r="L23" t="n">
        <v>0</v>
      </c>
      <c r="M23" t="n">
        <v>0</v>
      </c>
      <c r="N23" t="n">
        <v>0</v>
      </c>
      <c r="O23" t="n">
        <v>1</v>
      </c>
      <c r="P23" t="n">
        <v>0</v>
      </c>
      <c r="Q23" t="n">
        <v>2</v>
      </c>
      <c r="R23" s="2" t="inlineStr">
        <is>
          <t>Svinrot
Grönvit nattviol</t>
        </is>
      </c>
      <c r="S23">
        <f>HYPERLINK("https://klasma.github.io/Logging_0580/artfynd/A 41751-2023 artfynd.xlsx", "A 41751-2023")</f>
        <v/>
      </c>
      <c r="T23">
        <f>HYPERLINK("https://klasma.github.io/Logging_0580/kartor/A 41751-2023 karta.png", "A 41751-2023")</f>
        <v/>
      </c>
      <c r="V23">
        <f>HYPERLINK("https://klasma.github.io/Logging_0580/klagomål/A 41751-2023 FSC-klagomål.docx", "A 41751-2023")</f>
        <v/>
      </c>
      <c r="W23">
        <f>HYPERLINK("https://klasma.github.io/Logging_0580/klagomålsmail/A 41751-2023 FSC-klagomål mail.docx", "A 41751-2023")</f>
        <v/>
      </c>
      <c r="X23">
        <f>HYPERLINK("https://klasma.github.io/Logging_0580/tillsyn/A 41751-2023 tillsynsbegäran.docx", "A 41751-2023")</f>
        <v/>
      </c>
      <c r="Y23">
        <f>HYPERLINK("https://klasma.github.io/Logging_0580/tillsynsmail/A 41751-2023 tillsynsbegäran mail.docx", "A 41751-2023")</f>
        <v/>
      </c>
    </row>
    <row r="24" ht="15" customHeight="1">
      <c r="A24" t="inlineStr">
        <is>
          <t>A 22040-2023</t>
        </is>
      </c>
      <c r="B24" s="1" t="n">
        <v>45068</v>
      </c>
      <c r="C24" s="1" t="n">
        <v>45963</v>
      </c>
      <c r="D24" t="inlineStr">
        <is>
          <t>ÖSTERGÖTLANDS LÄN</t>
        </is>
      </c>
      <c r="E24" t="inlineStr">
        <is>
          <t>LINKÖPING</t>
        </is>
      </c>
      <c r="F24" t="inlineStr">
        <is>
          <t>Kommuner</t>
        </is>
      </c>
      <c r="G24" t="n">
        <v>1</v>
      </c>
      <c r="H24" t="n">
        <v>1</v>
      </c>
      <c r="I24" t="n">
        <v>1</v>
      </c>
      <c r="J24" t="n">
        <v>0</v>
      </c>
      <c r="K24" t="n">
        <v>1</v>
      </c>
      <c r="L24" t="n">
        <v>0</v>
      </c>
      <c r="M24" t="n">
        <v>0</v>
      </c>
      <c r="N24" t="n">
        <v>0</v>
      </c>
      <c r="O24" t="n">
        <v>1</v>
      </c>
      <c r="P24" t="n">
        <v>1</v>
      </c>
      <c r="Q24" t="n">
        <v>2</v>
      </c>
      <c r="R24" s="2" t="inlineStr">
        <is>
          <t>Bombmurkla
Skarp dropptaggsvamp</t>
        </is>
      </c>
      <c r="S24">
        <f>HYPERLINK("https://klasma.github.io/Logging_0580/artfynd/A 22040-2023 artfynd.xlsx", "A 22040-2023")</f>
        <v/>
      </c>
      <c r="T24">
        <f>HYPERLINK("https://klasma.github.io/Logging_0580/kartor/A 22040-2023 karta.png", "A 22040-2023")</f>
        <v/>
      </c>
      <c r="V24">
        <f>HYPERLINK("https://klasma.github.io/Logging_0580/klagomål/A 22040-2023 FSC-klagomål.docx", "A 22040-2023")</f>
        <v/>
      </c>
      <c r="W24">
        <f>HYPERLINK("https://klasma.github.io/Logging_0580/klagomålsmail/A 22040-2023 FSC-klagomål mail.docx", "A 22040-2023")</f>
        <v/>
      </c>
      <c r="X24">
        <f>HYPERLINK("https://klasma.github.io/Logging_0580/tillsyn/A 22040-2023 tillsynsbegäran.docx", "A 22040-2023")</f>
        <v/>
      </c>
      <c r="Y24">
        <f>HYPERLINK("https://klasma.github.io/Logging_0580/tillsynsmail/A 22040-2023 tillsynsbegäran mail.docx", "A 22040-2023")</f>
        <v/>
      </c>
    </row>
    <row r="25" ht="15" customHeight="1">
      <c r="A25" t="inlineStr">
        <is>
          <t>A 49188-2024</t>
        </is>
      </c>
      <c r="B25" s="1" t="n">
        <v>45595</v>
      </c>
      <c r="C25" s="1" t="n">
        <v>45963</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27981-2022</t>
        </is>
      </c>
      <c r="B26" s="1" t="n">
        <v>44745</v>
      </c>
      <c r="C26" s="1" t="n">
        <v>45963</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11613-2025</t>
        </is>
      </c>
      <c r="B27" s="1" t="n">
        <v>45727.44623842592</v>
      </c>
      <c r="C27" s="1" t="n">
        <v>45963</v>
      </c>
      <c r="D27" t="inlineStr">
        <is>
          <t>ÖSTERGÖTLANDS LÄN</t>
        </is>
      </c>
      <c r="E27" t="inlineStr">
        <is>
          <t>LINKÖPING</t>
        </is>
      </c>
      <c r="G27" t="n">
        <v>5.7</v>
      </c>
      <c r="H27" t="n">
        <v>1</v>
      </c>
      <c r="I27" t="n">
        <v>1</v>
      </c>
      <c r="J27" t="n">
        <v>0</v>
      </c>
      <c r="K27" t="n">
        <v>1</v>
      </c>
      <c r="L27" t="n">
        <v>0</v>
      </c>
      <c r="M27" t="n">
        <v>0</v>
      </c>
      <c r="N27" t="n">
        <v>0</v>
      </c>
      <c r="O27" t="n">
        <v>1</v>
      </c>
      <c r="P27" t="n">
        <v>1</v>
      </c>
      <c r="Q27" t="n">
        <v>2</v>
      </c>
      <c r="R27" s="2" t="inlineStr">
        <is>
          <t>Knärot
Grönpyrola</t>
        </is>
      </c>
      <c r="S27">
        <f>HYPERLINK("https://klasma.github.io/Logging_0580/artfynd/A 11613-2025 artfynd.xlsx", "A 11613-2025")</f>
        <v/>
      </c>
      <c r="T27">
        <f>HYPERLINK("https://klasma.github.io/Logging_0580/kartor/A 11613-2025 karta.png", "A 11613-2025")</f>
        <v/>
      </c>
      <c r="U27">
        <f>HYPERLINK("https://klasma.github.io/Logging_0580/knärot/A 11613-2025 karta knärot.png", "A 11613-2025")</f>
        <v/>
      </c>
      <c r="V27">
        <f>HYPERLINK("https://klasma.github.io/Logging_0580/klagomål/A 11613-2025 FSC-klagomål.docx", "A 11613-2025")</f>
        <v/>
      </c>
      <c r="W27">
        <f>HYPERLINK("https://klasma.github.io/Logging_0580/klagomålsmail/A 11613-2025 FSC-klagomål mail.docx", "A 11613-2025")</f>
        <v/>
      </c>
      <c r="X27">
        <f>HYPERLINK("https://klasma.github.io/Logging_0580/tillsyn/A 11613-2025 tillsynsbegäran.docx", "A 11613-2025")</f>
        <v/>
      </c>
      <c r="Y27">
        <f>HYPERLINK("https://klasma.github.io/Logging_0580/tillsynsmail/A 11613-2025 tillsynsbegäran mail.docx", "A 11613-2025")</f>
        <v/>
      </c>
    </row>
    <row r="28" ht="15" customHeight="1">
      <c r="A28" t="inlineStr">
        <is>
          <t>A 42858-2023</t>
        </is>
      </c>
      <c r="B28" s="1" t="n">
        <v>45177</v>
      </c>
      <c r="C28" s="1" t="n">
        <v>45963</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50404-2023</t>
        </is>
      </c>
      <c r="B29" s="1" t="n">
        <v>45216</v>
      </c>
      <c r="C29" s="1" t="n">
        <v>45963</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55344-2024</t>
        </is>
      </c>
      <c r="B30" s="1" t="n">
        <v>45621.7202662037</v>
      </c>
      <c r="C30" s="1" t="n">
        <v>45963</v>
      </c>
      <c r="D30" t="inlineStr">
        <is>
          <t>ÖSTERGÖTLANDS LÄN</t>
        </is>
      </c>
      <c r="E30" t="inlineStr">
        <is>
          <t>LINKÖPING</t>
        </is>
      </c>
      <c r="G30" t="n">
        <v>6.6</v>
      </c>
      <c r="H30" t="n">
        <v>0</v>
      </c>
      <c r="I30" t="n">
        <v>0</v>
      </c>
      <c r="J30" t="n">
        <v>2</v>
      </c>
      <c r="K30" t="n">
        <v>0</v>
      </c>
      <c r="L30" t="n">
        <v>0</v>
      </c>
      <c r="M30" t="n">
        <v>0</v>
      </c>
      <c r="N30" t="n">
        <v>0</v>
      </c>
      <c r="O30" t="n">
        <v>2</v>
      </c>
      <c r="P30" t="n">
        <v>0</v>
      </c>
      <c r="Q30" t="n">
        <v>2</v>
      </c>
      <c r="R30" s="2" t="inlineStr">
        <is>
          <t>Kandelabersvamp
Stjärnnästing</t>
        </is>
      </c>
      <c r="S30">
        <f>HYPERLINK("https://klasma.github.io/Logging_0580/artfynd/A 55344-2024 artfynd.xlsx", "A 55344-2024")</f>
        <v/>
      </c>
      <c r="T30">
        <f>HYPERLINK("https://klasma.github.io/Logging_0580/kartor/A 55344-2024 karta.png", "A 55344-2024")</f>
        <v/>
      </c>
      <c r="V30">
        <f>HYPERLINK("https://klasma.github.io/Logging_0580/klagomål/A 55344-2024 FSC-klagomål.docx", "A 55344-2024")</f>
        <v/>
      </c>
      <c r="W30">
        <f>HYPERLINK("https://klasma.github.io/Logging_0580/klagomålsmail/A 55344-2024 FSC-klagomål mail.docx", "A 55344-2024")</f>
        <v/>
      </c>
      <c r="X30">
        <f>HYPERLINK("https://klasma.github.io/Logging_0580/tillsyn/A 55344-2024 tillsynsbegäran.docx", "A 55344-2024")</f>
        <v/>
      </c>
      <c r="Y30">
        <f>HYPERLINK("https://klasma.github.io/Logging_0580/tillsynsmail/A 55344-2024 tillsynsbegäran mail.docx", "A 55344-2024")</f>
        <v/>
      </c>
    </row>
    <row r="31" ht="15" customHeight="1">
      <c r="A31" t="inlineStr">
        <is>
          <t>A 21326-2025</t>
        </is>
      </c>
      <c r="B31" s="1" t="n">
        <v>45782.35407407407</v>
      </c>
      <c r="C31" s="1" t="n">
        <v>45963</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20292-2025</t>
        </is>
      </c>
      <c r="B32" s="1" t="n">
        <v>45774.7449537037</v>
      </c>
      <c r="C32" s="1" t="n">
        <v>45963</v>
      </c>
      <c r="D32" t="inlineStr">
        <is>
          <t>ÖSTERGÖTLANDS LÄN</t>
        </is>
      </c>
      <c r="E32" t="inlineStr">
        <is>
          <t>LINKÖPING</t>
        </is>
      </c>
      <c r="G32" t="n">
        <v>8.4</v>
      </c>
      <c r="H32" t="n">
        <v>1</v>
      </c>
      <c r="I32" t="n">
        <v>1</v>
      </c>
      <c r="J32" t="n">
        <v>0</v>
      </c>
      <c r="K32" t="n">
        <v>0</v>
      </c>
      <c r="L32" t="n">
        <v>0</v>
      </c>
      <c r="M32" t="n">
        <v>0</v>
      </c>
      <c r="N32" t="n">
        <v>0</v>
      </c>
      <c r="O32" t="n">
        <v>0</v>
      </c>
      <c r="P32" t="n">
        <v>0</v>
      </c>
      <c r="Q32" t="n">
        <v>2</v>
      </c>
      <c r="R32" s="2" t="inlineStr">
        <is>
          <t>Blåmossa
Blåsippa</t>
        </is>
      </c>
      <c r="S32">
        <f>HYPERLINK("https://klasma.github.io/Logging_0580/artfynd/A 20292-2025 artfynd.xlsx", "A 20292-2025")</f>
        <v/>
      </c>
      <c r="T32">
        <f>HYPERLINK("https://klasma.github.io/Logging_0580/kartor/A 20292-2025 karta.png", "A 20292-2025")</f>
        <v/>
      </c>
      <c r="V32">
        <f>HYPERLINK("https://klasma.github.io/Logging_0580/klagomål/A 20292-2025 FSC-klagomål.docx", "A 20292-2025")</f>
        <v/>
      </c>
      <c r="W32">
        <f>HYPERLINK("https://klasma.github.io/Logging_0580/klagomålsmail/A 20292-2025 FSC-klagomål mail.docx", "A 20292-2025")</f>
        <v/>
      </c>
      <c r="X32">
        <f>HYPERLINK("https://klasma.github.io/Logging_0580/tillsyn/A 20292-2025 tillsynsbegäran.docx", "A 20292-2025")</f>
        <v/>
      </c>
      <c r="Y32">
        <f>HYPERLINK("https://klasma.github.io/Logging_0580/tillsynsmail/A 20292-2025 tillsynsbegäran mail.docx", "A 20292-2025")</f>
        <v/>
      </c>
    </row>
    <row r="33" ht="15" customHeight="1">
      <c r="A33" t="inlineStr">
        <is>
          <t>A 20297-2025</t>
        </is>
      </c>
      <c r="B33" s="1" t="n">
        <v>45774.74971064815</v>
      </c>
      <c r="C33" s="1" t="n">
        <v>45963</v>
      </c>
      <c r="D33" t="inlineStr">
        <is>
          <t>ÖSTERGÖTLANDS LÄN</t>
        </is>
      </c>
      <c r="E33" t="inlineStr">
        <is>
          <t>LINKÖPING</t>
        </is>
      </c>
      <c r="G33" t="n">
        <v>1.5</v>
      </c>
      <c r="H33" t="n">
        <v>1</v>
      </c>
      <c r="I33" t="n">
        <v>1</v>
      </c>
      <c r="J33" t="n">
        <v>0</v>
      </c>
      <c r="K33" t="n">
        <v>0</v>
      </c>
      <c r="L33" t="n">
        <v>0</v>
      </c>
      <c r="M33" t="n">
        <v>0</v>
      </c>
      <c r="N33" t="n">
        <v>0</v>
      </c>
      <c r="O33" t="n">
        <v>0</v>
      </c>
      <c r="P33" t="n">
        <v>0</v>
      </c>
      <c r="Q33" t="n">
        <v>2</v>
      </c>
      <c r="R33" s="2" t="inlineStr">
        <is>
          <t>Blanksvart trämyra
Blåsippa</t>
        </is>
      </c>
      <c r="S33">
        <f>HYPERLINK("https://klasma.github.io/Logging_0580/artfynd/A 20297-2025 artfynd.xlsx", "A 20297-2025")</f>
        <v/>
      </c>
      <c r="T33">
        <f>HYPERLINK("https://klasma.github.io/Logging_0580/kartor/A 20297-2025 karta.png", "A 20297-2025")</f>
        <v/>
      </c>
      <c r="V33">
        <f>HYPERLINK("https://klasma.github.io/Logging_0580/klagomål/A 20297-2025 FSC-klagomål.docx", "A 20297-2025")</f>
        <v/>
      </c>
      <c r="W33">
        <f>HYPERLINK("https://klasma.github.io/Logging_0580/klagomålsmail/A 20297-2025 FSC-klagomål mail.docx", "A 20297-2025")</f>
        <v/>
      </c>
      <c r="X33">
        <f>HYPERLINK("https://klasma.github.io/Logging_0580/tillsyn/A 20297-2025 tillsynsbegäran.docx", "A 20297-2025")</f>
        <v/>
      </c>
      <c r="Y33">
        <f>HYPERLINK("https://klasma.github.io/Logging_0580/tillsynsmail/A 20297-2025 tillsynsbegäran mail.docx", "A 20297-2025")</f>
        <v/>
      </c>
    </row>
    <row r="34" ht="15" customHeight="1">
      <c r="A34" t="inlineStr">
        <is>
          <t>A 14879-2024</t>
        </is>
      </c>
      <c r="B34" s="1" t="n">
        <v>45398</v>
      </c>
      <c r="C34" s="1" t="n">
        <v>45963</v>
      </c>
      <c r="D34" t="inlineStr">
        <is>
          <t>ÖSTERGÖTLANDS LÄN</t>
        </is>
      </c>
      <c r="E34" t="inlineStr">
        <is>
          <t>LINKÖPING</t>
        </is>
      </c>
      <c r="F34" t="inlineStr">
        <is>
          <t>Övriga Aktiebolag</t>
        </is>
      </c>
      <c r="G34" t="n">
        <v>1.7</v>
      </c>
      <c r="H34" t="n">
        <v>1</v>
      </c>
      <c r="I34" t="n">
        <v>1</v>
      </c>
      <c r="J34" t="n">
        <v>0</v>
      </c>
      <c r="K34" t="n">
        <v>0</v>
      </c>
      <c r="L34" t="n">
        <v>0</v>
      </c>
      <c r="M34" t="n">
        <v>0</v>
      </c>
      <c r="N34" t="n">
        <v>0</v>
      </c>
      <c r="O34" t="n">
        <v>0</v>
      </c>
      <c r="P34" t="n">
        <v>0</v>
      </c>
      <c r="Q34" t="n">
        <v>2</v>
      </c>
      <c r="R34" s="2" t="inlineStr">
        <is>
          <t>Svart trolldruva
Grönvit nattviol</t>
        </is>
      </c>
      <c r="S34">
        <f>HYPERLINK("https://klasma.github.io/Logging_0580/artfynd/A 14879-2024 artfynd.xlsx", "A 14879-2024")</f>
        <v/>
      </c>
      <c r="T34">
        <f>HYPERLINK("https://klasma.github.io/Logging_0580/kartor/A 14879-2024 karta.png", "A 14879-2024")</f>
        <v/>
      </c>
      <c r="V34">
        <f>HYPERLINK("https://klasma.github.io/Logging_0580/klagomål/A 14879-2024 FSC-klagomål.docx", "A 14879-2024")</f>
        <v/>
      </c>
      <c r="W34">
        <f>HYPERLINK("https://klasma.github.io/Logging_0580/klagomålsmail/A 14879-2024 FSC-klagomål mail.docx", "A 14879-2024")</f>
        <v/>
      </c>
      <c r="X34">
        <f>HYPERLINK("https://klasma.github.io/Logging_0580/tillsyn/A 14879-2024 tillsynsbegäran.docx", "A 14879-2024")</f>
        <v/>
      </c>
      <c r="Y34">
        <f>HYPERLINK("https://klasma.github.io/Logging_0580/tillsynsmail/A 14879-2024 tillsynsbegäran mail.docx", "A 14879-2024")</f>
        <v/>
      </c>
    </row>
    <row r="35" ht="15" customHeight="1">
      <c r="A35" t="inlineStr">
        <is>
          <t>A 8818-2025</t>
        </is>
      </c>
      <c r="B35" s="1" t="n">
        <v>45712</v>
      </c>
      <c r="C35" s="1" t="n">
        <v>45963</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27795-2025</t>
        </is>
      </c>
      <c r="B36" s="1" t="n">
        <v>45816.7908912037</v>
      </c>
      <c r="C36" s="1" t="n">
        <v>45963</v>
      </c>
      <c r="D36" t="inlineStr">
        <is>
          <t>ÖSTERGÖTLANDS LÄN</t>
        </is>
      </c>
      <c r="E36" t="inlineStr">
        <is>
          <t>LINKÖPING</t>
        </is>
      </c>
      <c r="G36" t="n">
        <v>5</v>
      </c>
      <c r="H36" t="n">
        <v>0</v>
      </c>
      <c r="I36" t="n">
        <v>0</v>
      </c>
      <c r="J36" t="n">
        <v>2</v>
      </c>
      <c r="K36" t="n">
        <v>0</v>
      </c>
      <c r="L36" t="n">
        <v>0</v>
      </c>
      <c r="M36" t="n">
        <v>0</v>
      </c>
      <c r="N36" t="n">
        <v>0</v>
      </c>
      <c r="O36" t="n">
        <v>2</v>
      </c>
      <c r="P36" t="n">
        <v>0</v>
      </c>
      <c r="Q36" t="n">
        <v>2</v>
      </c>
      <c r="R36" s="2" t="inlineStr">
        <is>
          <t>Svinrot
Ängsskära</t>
        </is>
      </c>
      <c r="S36">
        <f>HYPERLINK("https://klasma.github.io/Logging_0580/artfynd/A 27795-2025 artfynd.xlsx", "A 27795-2025")</f>
        <v/>
      </c>
      <c r="T36">
        <f>HYPERLINK("https://klasma.github.io/Logging_0580/kartor/A 27795-2025 karta.png", "A 27795-2025")</f>
        <v/>
      </c>
      <c r="V36">
        <f>HYPERLINK("https://klasma.github.io/Logging_0580/klagomål/A 27795-2025 FSC-klagomål.docx", "A 27795-2025")</f>
        <v/>
      </c>
      <c r="W36">
        <f>HYPERLINK("https://klasma.github.io/Logging_0580/klagomålsmail/A 27795-2025 FSC-klagomål mail.docx", "A 27795-2025")</f>
        <v/>
      </c>
      <c r="X36">
        <f>HYPERLINK("https://klasma.github.io/Logging_0580/tillsyn/A 27795-2025 tillsynsbegäran.docx", "A 27795-2025")</f>
        <v/>
      </c>
      <c r="Y36">
        <f>HYPERLINK("https://klasma.github.io/Logging_0580/tillsynsmail/A 27795-2025 tillsynsbegäran mail.docx", "A 27795-2025")</f>
        <v/>
      </c>
    </row>
    <row r="37" ht="15" customHeight="1">
      <c r="A37" t="inlineStr">
        <is>
          <t>A 58068-2021</t>
        </is>
      </c>
      <c r="B37" s="1" t="n">
        <v>44487</v>
      </c>
      <c r="C37" s="1" t="n">
        <v>45963</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58068-2021</t>
        </is>
      </c>
      <c r="B38" s="1" t="n">
        <v>44487</v>
      </c>
      <c r="C38" s="1" t="n">
        <v>45963</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25985-2025</t>
        </is>
      </c>
      <c r="B39" s="1" t="n">
        <v>45804.64479166667</v>
      </c>
      <c r="C39" s="1" t="n">
        <v>45963</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38913-2023</t>
        </is>
      </c>
      <c r="B40" s="1" t="n">
        <v>45163</v>
      </c>
      <c r="C40" s="1" t="n">
        <v>45963</v>
      </c>
      <c r="D40" t="inlineStr">
        <is>
          <t>ÖSTERGÖTLANDS LÄN</t>
        </is>
      </c>
      <c r="E40" t="inlineStr">
        <is>
          <t>LINKÖPING</t>
        </is>
      </c>
      <c r="G40" t="n">
        <v>2.7</v>
      </c>
      <c r="H40" t="n">
        <v>1</v>
      </c>
      <c r="I40" t="n">
        <v>1</v>
      </c>
      <c r="J40" t="n">
        <v>0</v>
      </c>
      <c r="K40" t="n">
        <v>0</v>
      </c>
      <c r="L40" t="n">
        <v>0</v>
      </c>
      <c r="M40" t="n">
        <v>0</v>
      </c>
      <c r="N40" t="n">
        <v>0</v>
      </c>
      <c r="O40" t="n">
        <v>0</v>
      </c>
      <c r="P40" t="n">
        <v>0</v>
      </c>
      <c r="Q40" t="n">
        <v>2</v>
      </c>
      <c r="R40" s="2" t="inlineStr">
        <is>
          <t>Skogsbräsma
Revlummer</t>
        </is>
      </c>
      <c r="S40">
        <f>HYPERLINK("https://klasma.github.io/Logging_0580/artfynd/A 38913-2023 artfynd.xlsx", "A 38913-2023")</f>
        <v/>
      </c>
      <c r="T40">
        <f>HYPERLINK("https://klasma.github.io/Logging_0580/kartor/A 38913-2023 karta.png", "A 38913-2023")</f>
        <v/>
      </c>
      <c r="V40">
        <f>HYPERLINK("https://klasma.github.io/Logging_0580/klagomål/A 38913-2023 FSC-klagomål.docx", "A 38913-2023")</f>
        <v/>
      </c>
      <c r="W40">
        <f>HYPERLINK("https://klasma.github.io/Logging_0580/klagomålsmail/A 38913-2023 FSC-klagomål mail.docx", "A 38913-2023")</f>
        <v/>
      </c>
      <c r="X40">
        <f>HYPERLINK("https://klasma.github.io/Logging_0580/tillsyn/A 38913-2023 tillsynsbegäran.docx", "A 38913-2023")</f>
        <v/>
      </c>
      <c r="Y40">
        <f>HYPERLINK("https://klasma.github.io/Logging_0580/tillsynsmail/A 38913-2023 tillsynsbegäran mail.docx", "A 38913-2023")</f>
        <v/>
      </c>
    </row>
    <row r="41" ht="15" customHeight="1">
      <c r="A41" t="inlineStr">
        <is>
          <t>A 50048-2025</t>
        </is>
      </c>
      <c r="B41" s="1" t="n">
        <v>45941</v>
      </c>
      <c r="C41" s="1" t="n">
        <v>45963</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45963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45963</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45963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46496-2022</t>
        </is>
      </c>
      <c r="B45" s="1" t="n">
        <v>44848</v>
      </c>
      <c r="C45" s="1" t="n">
        <v>45963</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43017-2021</t>
        </is>
      </c>
      <c r="B46" s="1" t="n">
        <v>44431</v>
      </c>
      <c r="C46" s="1" t="n">
        <v>45963</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34881-2023</t>
        </is>
      </c>
      <c r="B47" s="1" t="n">
        <v>45140</v>
      </c>
      <c r="C47" s="1" t="n">
        <v>45963</v>
      </c>
      <c r="D47" t="inlineStr">
        <is>
          <t>ÖSTERGÖTLANDS LÄN</t>
        </is>
      </c>
      <c r="E47" t="inlineStr">
        <is>
          <t>LINKÖPING</t>
        </is>
      </c>
      <c r="G47" t="n">
        <v>1.9</v>
      </c>
      <c r="H47" t="n">
        <v>0</v>
      </c>
      <c r="I47" t="n">
        <v>0</v>
      </c>
      <c r="J47" t="n">
        <v>1</v>
      </c>
      <c r="K47" t="n">
        <v>0</v>
      </c>
      <c r="L47" t="n">
        <v>0</v>
      </c>
      <c r="M47" t="n">
        <v>0</v>
      </c>
      <c r="N47" t="n">
        <v>0</v>
      </c>
      <c r="O47" t="n">
        <v>1</v>
      </c>
      <c r="P47" t="n">
        <v>0</v>
      </c>
      <c r="Q47" t="n">
        <v>1</v>
      </c>
      <c r="R47" s="2" t="inlineStr">
        <is>
          <t>Tallticka</t>
        </is>
      </c>
      <c r="S47">
        <f>HYPERLINK("https://klasma.github.io/Logging_0580/artfynd/A 34881-2023 artfynd.xlsx", "A 34881-2023")</f>
        <v/>
      </c>
      <c r="T47">
        <f>HYPERLINK("https://klasma.github.io/Logging_0580/kartor/A 34881-2023 karta.png", "A 34881-2023")</f>
        <v/>
      </c>
      <c r="U47">
        <f>HYPERLINK("https://klasma.github.io/Logging_0580/knärot/A 34881-2023 karta knärot.png", "A 34881-2023")</f>
        <v/>
      </c>
      <c r="V47">
        <f>HYPERLINK("https://klasma.github.io/Logging_0580/klagomål/A 34881-2023 FSC-klagomål.docx", "A 34881-2023")</f>
        <v/>
      </c>
      <c r="W47">
        <f>HYPERLINK("https://klasma.github.io/Logging_0580/klagomålsmail/A 34881-2023 FSC-klagomål mail.docx", "A 34881-2023")</f>
        <v/>
      </c>
      <c r="X47">
        <f>HYPERLINK("https://klasma.github.io/Logging_0580/tillsyn/A 34881-2023 tillsynsbegäran.docx", "A 34881-2023")</f>
        <v/>
      </c>
      <c r="Y47">
        <f>HYPERLINK("https://klasma.github.io/Logging_0580/tillsynsmail/A 34881-2023 tillsynsbegäran mail.docx", "A 34881-2023")</f>
        <v/>
      </c>
    </row>
    <row r="48" ht="15" customHeight="1">
      <c r="A48" t="inlineStr">
        <is>
          <t>A 35948-2023</t>
        </is>
      </c>
      <c r="B48" s="1" t="n">
        <v>45148</v>
      </c>
      <c r="C48" s="1" t="n">
        <v>45963</v>
      </c>
      <c r="D48" t="inlineStr">
        <is>
          <t>ÖSTERGÖTLANDS LÄN</t>
        </is>
      </c>
      <c r="E48" t="inlineStr">
        <is>
          <t>LINKÖPING</t>
        </is>
      </c>
      <c r="G48" t="n">
        <v>1.9</v>
      </c>
      <c r="H48" t="n">
        <v>0</v>
      </c>
      <c r="I48" t="n">
        <v>1</v>
      </c>
      <c r="J48" t="n">
        <v>0</v>
      </c>
      <c r="K48" t="n">
        <v>0</v>
      </c>
      <c r="L48" t="n">
        <v>0</v>
      </c>
      <c r="M48" t="n">
        <v>0</v>
      </c>
      <c r="N48" t="n">
        <v>0</v>
      </c>
      <c r="O48" t="n">
        <v>0</v>
      </c>
      <c r="P48" t="n">
        <v>0</v>
      </c>
      <c r="Q48" t="n">
        <v>1</v>
      </c>
      <c r="R48" s="2" t="inlineStr">
        <is>
          <t>Brun nållav</t>
        </is>
      </c>
      <c r="S48">
        <f>HYPERLINK("https://klasma.github.io/Logging_0580/artfynd/A 35948-2023 artfynd.xlsx", "A 35948-2023")</f>
        <v/>
      </c>
      <c r="T48">
        <f>HYPERLINK("https://klasma.github.io/Logging_0580/kartor/A 35948-2023 karta.png", "A 35948-2023")</f>
        <v/>
      </c>
      <c r="V48">
        <f>HYPERLINK("https://klasma.github.io/Logging_0580/klagomål/A 35948-2023 FSC-klagomål.docx", "A 35948-2023")</f>
        <v/>
      </c>
      <c r="W48">
        <f>HYPERLINK("https://klasma.github.io/Logging_0580/klagomålsmail/A 35948-2023 FSC-klagomål mail.docx", "A 35948-2023")</f>
        <v/>
      </c>
      <c r="X48">
        <f>HYPERLINK("https://klasma.github.io/Logging_0580/tillsyn/A 35948-2023 tillsynsbegäran.docx", "A 35948-2023")</f>
        <v/>
      </c>
      <c r="Y48">
        <f>HYPERLINK("https://klasma.github.io/Logging_0580/tillsynsmail/A 35948-2023 tillsynsbegäran mail.docx", "A 35948-2023")</f>
        <v/>
      </c>
    </row>
    <row r="49" ht="15" customHeight="1">
      <c r="A49" t="inlineStr">
        <is>
          <t>A 62071-2023</t>
        </is>
      </c>
      <c r="B49" s="1" t="n">
        <v>45266.73542824074</v>
      </c>
      <c r="C49" s="1" t="n">
        <v>45963</v>
      </c>
      <c r="D49" t="inlineStr">
        <is>
          <t>ÖSTERGÖTLANDS LÄN</t>
        </is>
      </c>
      <c r="E49" t="inlineStr">
        <is>
          <t>LINKÖPING</t>
        </is>
      </c>
      <c r="G49" t="n">
        <v>6.5</v>
      </c>
      <c r="H49" t="n">
        <v>0</v>
      </c>
      <c r="I49" t="n">
        <v>0</v>
      </c>
      <c r="J49" t="n">
        <v>1</v>
      </c>
      <c r="K49" t="n">
        <v>0</v>
      </c>
      <c r="L49" t="n">
        <v>0</v>
      </c>
      <c r="M49" t="n">
        <v>0</v>
      </c>
      <c r="N49" t="n">
        <v>0</v>
      </c>
      <c r="O49" t="n">
        <v>1</v>
      </c>
      <c r="P49" t="n">
        <v>0</v>
      </c>
      <c r="Q49" t="n">
        <v>1</v>
      </c>
      <c r="R49" s="2" t="inlineStr">
        <is>
          <t>Svinrot</t>
        </is>
      </c>
      <c r="S49">
        <f>HYPERLINK("https://klasma.github.io/Logging_0580/artfynd/A 62071-2023 artfynd.xlsx", "A 62071-2023")</f>
        <v/>
      </c>
      <c r="T49">
        <f>HYPERLINK("https://klasma.github.io/Logging_0580/kartor/A 62071-2023 karta.png", "A 62071-2023")</f>
        <v/>
      </c>
      <c r="V49">
        <f>HYPERLINK("https://klasma.github.io/Logging_0580/klagomål/A 62071-2023 FSC-klagomål.docx", "A 62071-2023")</f>
        <v/>
      </c>
      <c r="W49">
        <f>HYPERLINK("https://klasma.github.io/Logging_0580/klagomålsmail/A 62071-2023 FSC-klagomål mail.docx", "A 62071-2023")</f>
        <v/>
      </c>
      <c r="X49">
        <f>HYPERLINK("https://klasma.github.io/Logging_0580/tillsyn/A 62071-2023 tillsynsbegäran.docx", "A 62071-2023")</f>
        <v/>
      </c>
      <c r="Y49">
        <f>HYPERLINK("https://klasma.github.io/Logging_0580/tillsynsmail/A 62071-2023 tillsynsbegäran mail.docx", "A 62071-2023")</f>
        <v/>
      </c>
    </row>
    <row r="50" ht="15" customHeight="1">
      <c r="A50" t="inlineStr">
        <is>
          <t>A 50471-2024</t>
        </is>
      </c>
      <c r="B50" s="1" t="n">
        <v>45601.47166666666</v>
      </c>
      <c r="C50" s="1" t="n">
        <v>45963</v>
      </c>
      <c r="D50" t="inlineStr">
        <is>
          <t>ÖSTERGÖTLANDS LÄN</t>
        </is>
      </c>
      <c r="E50" t="inlineStr">
        <is>
          <t>LINKÖPING</t>
        </is>
      </c>
      <c r="F50" t="inlineStr">
        <is>
          <t>Övriga Aktiebolag</t>
        </is>
      </c>
      <c r="G50" t="n">
        <v>2</v>
      </c>
      <c r="H50" t="n">
        <v>0</v>
      </c>
      <c r="I50" t="n">
        <v>1</v>
      </c>
      <c r="J50" t="n">
        <v>0</v>
      </c>
      <c r="K50" t="n">
        <v>0</v>
      </c>
      <c r="L50" t="n">
        <v>0</v>
      </c>
      <c r="M50" t="n">
        <v>0</v>
      </c>
      <c r="N50" t="n">
        <v>0</v>
      </c>
      <c r="O50" t="n">
        <v>0</v>
      </c>
      <c r="P50" t="n">
        <v>0</v>
      </c>
      <c r="Q50" t="n">
        <v>1</v>
      </c>
      <c r="R50" s="2" t="inlineStr">
        <is>
          <t>Västlig hakmossa</t>
        </is>
      </c>
      <c r="S50">
        <f>HYPERLINK("https://klasma.github.io/Logging_0580/artfynd/A 50471-2024 artfynd.xlsx", "A 50471-2024")</f>
        <v/>
      </c>
      <c r="T50">
        <f>HYPERLINK("https://klasma.github.io/Logging_0580/kartor/A 50471-2024 karta.png", "A 50471-2024")</f>
        <v/>
      </c>
      <c r="V50">
        <f>HYPERLINK("https://klasma.github.io/Logging_0580/klagomål/A 50471-2024 FSC-klagomål.docx", "A 50471-2024")</f>
        <v/>
      </c>
      <c r="W50">
        <f>HYPERLINK("https://klasma.github.io/Logging_0580/klagomålsmail/A 50471-2024 FSC-klagomål mail.docx", "A 50471-2024")</f>
        <v/>
      </c>
      <c r="X50">
        <f>HYPERLINK("https://klasma.github.io/Logging_0580/tillsyn/A 50471-2024 tillsynsbegäran.docx", "A 50471-2024")</f>
        <v/>
      </c>
      <c r="Y50">
        <f>HYPERLINK("https://klasma.github.io/Logging_0580/tillsynsmail/A 50471-2024 tillsynsbegäran mail.docx", "A 50471-2024")</f>
        <v/>
      </c>
    </row>
    <row r="51" ht="15" customHeight="1">
      <c r="A51" t="inlineStr">
        <is>
          <t>A 3397-2023</t>
        </is>
      </c>
      <c r="B51" s="1" t="n">
        <v>44949</v>
      </c>
      <c r="C51" s="1" t="n">
        <v>45963</v>
      </c>
      <c r="D51" t="inlineStr">
        <is>
          <t>ÖSTERGÖTLANDS LÄN</t>
        </is>
      </c>
      <c r="E51" t="inlineStr">
        <is>
          <t>LINKÖPING</t>
        </is>
      </c>
      <c r="G51" t="n">
        <v>4.1</v>
      </c>
      <c r="H51" t="n">
        <v>0</v>
      </c>
      <c r="I51" t="n">
        <v>0</v>
      </c>
      <c r="J51" t="n">
        <v>1</v>
      </c>
      <c r="K51" t="n">
        <v>0</v>
      </c>
      <c r="L51" t="n">
        <v>0</v>
      </c>
      <c r="M51" t="n">
        <v>0</v>
      </c>
      <c r="N51" t="n">
        <v>0</v>
      </c>
      <c r="O51" t="n">
        <v>1</v>
      </c>
      <c r="P51" t="n">
        <v>0</v>
      </c>
      <c r="Q51" t="n">
        <v>1</v>
      </c>
      <c r="R51" s="2" t="inlineStr">
        <is>
          <t>Svinrot</t>
        </is>
      </c>
      <c r="S51">
        <f>HYPERLINK("https://klasma.github.io/Logging_0580/artfynd/A 3397-2023 artfynd.xlsx", "A 3397-2023")</f>
        <v/>
      </c>
      <c r="T51">
        <f>HYPERLINK("https://klasma.github.io/Logging_0580/kartor/A 3397-2023 karta.png", "A 3397-2023")</f>
        <v/>
      </c>
      <c r="V51">
        <f>HYPERLINK("https://klasma.github.io/Logging_0580/klagomål/A 3397-2023 FSC-klagomål.docx", "A 3397-2023")</f>
        <v/>
      </c>
      <c r="W51">
        <f>HYPERLINK("https://klasma.github.io/Logging_0580/klagomålsmail/A 3397-2023 FSC-klagomål mail.docx", "A 3397-2023")</f>
        <v/>
      </c>
      <c r="X51">
        <f>HYPERLINK("https://klasma.github.io/Logging_0580/tillsyn/A 3397-2023 tillsynsbegäran.docx", "A 3397-2023")</f>
        <v/>
      </c>
      <c r="Y51">
        <f>HYPERLINK("https://klasma.github.io/Logging_0580/tillsynsmail/A 3397-2023 tillsynsbegäran mail.docx", "A 3397-2023")</f>
        <v/>
      </c>
    </row>
    <row r="52" ht="15" customHeight="1">
      <c r="A52" t="inlineStr">
        <is>
          <t>A 17389-2021</t>
        </is>
      </c>
      <c r="B52" s="1" t="n">
        <v>44298.96792824074</v>
      </c>
      <c r="C52" s="1" t="n">
        <v>45963</v>
      </c>
      <c r="D52" t="inlineStr">
        <is>
          <t>ÖSTERGÖTLANDS LÄN</t>
        </is>
      </c>
      <c r="E52" t="inlineStr">
        <is>
          <t>LINKÖPING</t>
        </is>
      </c>
      <c r="G52" t="n">
        <v>5.1</v>
      </c>
      <c r="H52" t="n">
        <v>0</v>
      </c>
      <c r="I52" t="n">
        <v>1</v>
      </c>
      <c r="J52" t="n">
        <v>0</v>
      </c>
      <c r="K52" t="n">
        <v>0</v>
      </c>
      <c r="L52" t="n">
        <v>0</v>
      </c>
      <c r="M52" t="n">
        <v>0</v>
      </c>
      <c r="N52" t="n">
        <v>0</v>
      </c>
      <c r="O52" t="n">
        <v>0</v>
      </c>
      <c r="P52" t="n">
        <v>0</v>
      </c>
      <c r="Q52" t="n">
        <v>1</v>
      </c>
      <c r="R52" s="2" t="inlineStr">
        <is>
          <t>Blomkålssvamp</t>
        </is>
      </c>
      <c r="S52">
        <f>HYPERLINK("https://klasma.github.io/Logging_0580/artfynd/A 17389-2021 artfynd.xlsx", "A 17389-2021")</f>
        <v/>
      </c>
      <c r="T52">
        <f>HYPERLINK("https://klasma.github.io/Logging_0580/kartor/A 17389-2021 karta.png", "A 17389-2021")</f>
        <v/>
      </c>
      <c r="V52">
        <f>HYPERLINK("https://klasma.github.io/Logging_0580/klagomål/A 17389-2021 FSC-klagomål.docx", "A 17389-2021")</f>
        <v/>
      </c>
      <c r="W52">
        <f>HYPERLINK("https://klasma.github.io/Logging_0580/klagomålsmail/A 17389-2021 FSC-klagomål mail.docx", "A 17389-2021")</f>
        <v/>
      </c>
      <c r="X52">
        <f>HYPERLINK("https://klasma.github.io/Logging_0580/tillsyn/A 17389-2021 tillsynsbegäran.docx", "A 17389-2021")</f>
        <v/>
      </c>
      <c r="Y52">
        <f>HYPERLINK("https://klasma.github.io/Logging_0580/tillsynsmail/A 17389-2021 tillsynsbegäran mail.docx", "A 17389-2021")</f>
        <v/>
      </c>
    </row>
    <row r="53" ht="15" customHeight="1">
      <c r="A53" t="inlineStr">
        <is>
          <t>A 931-2025</t>
        </is>
      </c>
      <c r="B53" s="1" t="n">
        <v>45665.88498842593</v>
      </c>
      <c r="C53" s="1" t="n">
        <v>45963</v>
      </c>
      <c r="D53" t="inlineStr">
        <is>
          <t>ÖSTERGÖTLANDS LÄN</t>
        </is>
      </c>
      <c r="E53" t="inlineStr">
        <is>
          <t>LINKÖPING</t>
        </is>
      </c>
      <c r="F53" t="inlineStr">
        <is>
          <t>Övriga Aktiebolag</t>
        </is>
      </c>
      <c r="G53" t="n">
        <v>0.8</v>
      </c>
      <c r="H53" t="n">
        <v>0</v>
      </c>
      <c r="I53" t="n">
        <v>0</v>
      </c>
      <c r="J53" t="n">
        <v>1</v>
      </c>
      <c r="K53" t="n">
        <v>0</v>
      </c>
      <c r="L53" t="n">
        <v>0</v>
      </c>
      <c r="M53" t="n">
        <v>0</v>
      </c>
      <c r="N53" t="n">
        <v>0</v>
      </c>
      <c r="O53" t="n">
        <v>1</v>
      </c>
      <c r="P53" t="n">
        <v>0</v>
      </c>
      <c r="Q53" t="n">
        <v>1</v>
      </c>
      <c r="R53" s="2" t="inlineStr">
        <is>
          <t>Tallticka</t>
        </is>
      </c>
      <c r="S53">
        <f>HYPERLINK("https://klasma.github.io/Logging_0580/artfynd/A 931-2025 artfynd.xlsx", "A 931-2025")</f>
        <v/>
      </c>
      <c r="T53">
        <f>HYPERLINK("https://klasma.github.io/Logging_0580/kartor/A 931-2025 karta.png", "A 931-2025")</f>
        <v/>
      </c>
      <c r="V53">
        <f>HYPERLINK("https://klasma.github.io/Logging_0580/klagomål/A 931-2025 FSC-klagomål.docx", "A 931-2025")</f>
        <v/>
      </c>
      <c r="W53">
        <f>HYPERLINK("https://klasma.github.io/Logging_0580/klagomålsmail/A 931-2025 FSC-klagomål mail.docx", "A 931-2025")</f>
        <v/>
      </c>
      <c r="X53">
        <f>HYPERLINK("https://klasma.github.io/Logging_0580/tillsyn/A 931-2025 tillsynsbegäran.docx", "A 931-2025")</f>
        <v/>
      </c>
      <c r="Y53">
        <f>HYPERLINK("https://klasma.github.io/Logging_0580/tillsynsmail/A 931-2025 tillsynsbegäran mail.docx", "A 931-2025")</f>
        <v/>
      </c>
    </row>
    <row r="54" ht="15" customHeight="1">
      <c r="A54" t="inlineStr">
        <is>
          <t>A 1716-2023</t>
        </is>
      </c>
      <c r="B54" s="1" t="n">
        <v>44938</v>
      </c>
      <c r="C54" s="1" t="n">
        <v>45963</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1716-2023 artfynd.xlsx", "A 1716-2023")</f>
        <v/>
      </c>
      <c r="T54">
        <f>HYPERLINK("https://klasma.github.io/Logging_0580/kartor/A 1716-2023 karta.png", "A 1716-2023")</f>
        <v/>
      </c>
      <c r="V54">
        <f>HYPERLINK("https://klasma.github.io/Logging_0580/klagomål/A 1716-2023 FSC-klagomål.docx", "A 1716-2023")</f>
        <v/>
      </c>
      <c r="W54">
        <f>HYPERLINK("https://klasma.github.io/Logging_0580/klagomålsmail/A 1716-2023 FSC-klagomål mail.docx", "A 1716-2023")</f>
        <v/>
      </c>
      <c r="X54">
        <f>HYPERLINK("https://klasma.github.io/Logging_0580/tillsyn/A 1716-2023 tillsynsbegäran.docx", "A 1716-2023")</f>
        <v/>
      </c>
      <c r="Y54">
        <f>HYPERLINK("https://klasma.github.io/Logging_0580/tillsynsmail/A 1716-2023 tillsynsbegäran mail.docx", "A 1716-2023")</f>
        <v/>
      </c>
    </row>
    <row r="55" ht="15" customHeight="1">
      <c r="A55" t="inlineStr">
        <is>
          <t>A 1213-2023</t>
        </is>
      </c>
      <c r="B55" s="1" t="n">
        <v>44930</v>
      </c>
      <c r="C55" s="1" t="n">
        <v>45963</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45317-2023</t>
        </is>
      </c>
      <c r="B56" s="1" t="n">
        <v>45191.74868055555</v>
      </c>
      <c r="C56" s="1" t="n">
        <v>45963</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56128-2022</t>
        </is>
      </c>
      <c r="B57" s="1" t="n">
        <v>44889</v>
      </c>
      <c r="C57" s="1" t="n">
        <v>45963</v>
      </c>
      <c r="D57" t="inlineStr">
        <is>
          <t>ÖSTERGÖTLANDS LÄN</t>
        </is>
      </c>
      <c r="E57" t="inlineStr">
        <is>
          <t>LINKÖPING</t>
        </is>
      </c>
      <c r="G57" t="n">
        <v>2</v>
      </c>
      <c r="H57" t="n">
        <v>0</v>
      </c>
      <c r="I57" t="n">
        <v>1</v>
      </c>
      <c r="J57" t="n">
        <v>0</v>
      </c>
      <c r="K57" t="n">
        <v>0</v>
      </c>
      <c r="L57" t="n">
        <v>0</v>
      </c>
      <c r="M57" t="n">
        <v>0</v>
      </c>
      <c r="N57" t="n">
        <v>0</v>
      </c>
      <c r="O57" t="n">
        <v>0</v>
      </c>
      <c r="P57" t="n">
        <v>0</v>
      </c>
      <c r="Q57" t="n">
        <v>1</v>
      </c>
      <c r="R57" s="2" t="inlineStr">
        <is>
          <t>Tibast</t>
        </is>
      </c>
      <c r="S57">
        <f>HYPERLINK("https://klasma.github.io/Logging_0580/artfynd/A 56128-2022 artfynd.xlsx", "A 56128-2022")</f>
        <v/>
      </c>
      <c r="T57">
        <f>HYPERLINK("https://klasma.github.io/Logging_0580/kartor/A 56128-2022 karta.png", "A 56128-2022")</f>
        <v/>
      </c>
      <c r="V57">
        <f>HYPERLINK("https://klasma.github.io/Logging_0580/klagomål/A 56128-2022 FSC-klagomål.docx", "A 56128-2022")</f>
        <v/>
      </c>
      <c r="W57">
        <f>HYPERLINK("https://klasma.github.io/Logging_0580/klagomålsmail/A 56128-2022 FSC-klagomål mail.docx", "A 56128-2022")</f>
        <v/>
      </c>
      <c r="X57">
        <f>HYPERLINK("https://klasma.github.io/Logging_0580/tillsyn/A 56128-2022 tillsynsbegäran.docx", "A 56128-2022")</f>
        <v/>
      </c>
      <c r="Y57">
        <f>HYPERLINK("https://klasma.github.io/Logging_0580/tillsynsmail/A 56128-2022 tillsynsbegäran mail.docx", "A 56128-2022")</f>
        <v/>
      </c>
    </row>
    <row r="58" ht="15" customHeight="1">
      <c r="A58" t="inlineStr">
        <is>
          <t>A 40309-2024</t>
        </is>
      </c>
      <c r="B58" s="1" t="n">
        <v>45554.724375</v>
      </c>
      <c r="C58" s="1" t="n">
        <v>45963</v>
      </c>
      <c r="D58" t="inlineStr">
        <is>
          <t>ÖSTERGÖTLANDS LÄN</t>
        </is>
      </c>
      <c r="E58" t="inlineStr">
        <is>
          <t>LINKÖPING</t>
        </is>
      </c>
      <c r="F58" t="inlineStr">
        <is>
          <t>Allmännings- och besparingsskogar</t>
        </is>
      </c>
      <c r="G58" t="n">
        <v>6</v>
      </c>
      <c r="H58" t="n">
        <v>0</v>
      </c>
      <c r="I58" t="n">
        <v>0</v>
      </c>
      <c r="J58" t="n">
        <v>1</v>
      </c>
      <c r="K58" t="n">
        <v>0</v>
      </c>
      <c r="L58" t="n">
        <v>0</v>
      </c>
      <c r="M58" t="n">
        <v>0</v>
      </c>
      <c r="N58" t="n">
        <v>0</v>
      </c>
      <c r="O58" t="n">
        <v>1</v>
      </c>
      <c r="P58" t="n">
        <v>0</v>
      </c>
      <c r="Q58" t="n">
        <v>1</v>
      </c>
      <c r="R58" s="2" t="inlineStr">
        <is>
          <t>Garnlav</t>
        </is>
      </c>
      <c r="S58">
        <f>HYPERLINK("https://klasma.github.io/Logging_0580/artfynd/A 40309-2024 artfynd.xlsx", "A 40309-2024")</f>
        <v/>
      </c>
      <c r="T58">
        <f>HYPERLINK("https://klasma.github.io/Logging_0580/kartor/A 40309-2024 karta.png", "A 40309-2024")</f>
        <v/>
      </c>
      <c r="V58">
        <f>HYPERLINK("https://klasma.github.io/Logging_0580/klagomål/A 40309-2024 FSC-klagomål.docx", "A 40309-2024")</f>
        <v/>
      </c>
      <c r="W58">
        <f>HYPERLINK("https://klasma.github.io/Logging_0580/klagomålsmail/A 40309-2024 FSC-klagomål mail.docx", "A 40309-2024")</f>
        <v/>
      </c>
      <c r="X58">
        <f>HYPERLINK("https://klasma.github.io/Logging_0580/tillsyn/A 40309-2024 tillsynsbegäran.docx", "A 40309-2024")</f>
        <v/>
      </c>
      <c r="Y58">
        <f>HYPERLINK("https://klasma.github.io/Logging_0580/tillsynsmail/A 40309-2024 tillsynsbegäran mail.docx", "A 40309-2024")</f>
        <v/>
      </c>
    </row>
    <row r="59" ht="15" customHeight="1">
      <c r="A59" t="inlineStr">
        <is>
          <t>A 54835-2023</t>
        </is>
      </c>
      <c r="B59" s="1" t="n">
        <v>45236</v>
      </c>
      <c r="C59" s="1" t="n">
        <v>45963</v>
      </c>
      <c r="D59" t="inlineStr">
        <is>
          <t>ÖSTERGÖTLANDS LÄN</t>
        </is>
      </c>
      <c r="E59" t="inlineStr">
        <is>
          <t>LINKÖPING</t>
        </is>
      </c>
      <c r="G59" t="n">
        <v>2</v>
      </c>
      <c r="H59" t="n">
        <v>1</v>
      </c>
      <c r="I59" t="n">
        <v>0</v>
      </c>
      <c r="J59" t="n">
        <v>0</v>
      </c>
      <c r="K59" t="n">
        <v>0</v>
      </c>
      <c r="L59" t="n">
        <v>0</v>
      </c>
      <c r="M59" t="n">
        <v>0</v>
      </c>
      <c r="N59" t="n">
        <v>0</v>
      </c>
      <c r="O59" t="n">
        <v>0</v>
      </c>
      <c r="P59" t="n">
        <v>0</v>
      </c>
      <c r="Q59" t="n">
        <v>1</v>
      </c>
      <c r="R59" s="2" t="inlineStr">
        <is>
          <t>Sparvuggla</t>
        </is>
      </c>
      <c r="S59">
        <f>HYPERLINK("https://klasma.github.io/Logging_0580/artfynd/A 54835-2023 artfynd.xlsx", "A 54835-2023")</f>
        <v/>
      </c>
      <c r="T59">
        <f>HYPERLINK("https://klasma.github.io/Logging_0580/kartor/A 54835-2023 karta.png", "A 54835-2023")</f>
        <v/>
      </c>
      <c r="V59">
        <f>HYPERLINK("https://klasma.github.io/Logging_0580/klagomål/A 54835-2023 FSC-klagomål.docx", "A 54835-2023")</f>
        <v/>
      </c>
      <c r="W59">
        <f>HYPERLINK("https://klasma.github.io/Logging_0580/klagomålsmail/A 54835-2023 FSC-klagomål mail.docx", "A 54835-2023")</f>
        <v/>
      </c>
      <c r="X59">
        <f>HYPERLINK("https://klasma.github.io/Logging_0580/tillsyn/A 54835-2023 tillsynsbegäran.docx", "A 54835-2023")</f>
        <v/>
      </c>
      <c r="Y59">
        <f>HYPERLINK("https://klasma.github.io/Logging_0580/tillsynsmail/A 54835-2023 tillsynsbegäran mail.docx", "A 54835-2023")</f>
        <v/>
      </c>
      <c r="Z59">
        <f>HYPERLINK("https://klasma.github.io/Logging_0580/fåglar/A 54835-2023 prioriterade fågelarter.docx", "A 54835-2023")</f>
        <v/>
      </c>
    </row>
    <row r="60" ht="15" customHeight="1">
      <c r="A60" t="inlineStr">
        <is>
          <t>A 56250-2021</t>
        </is>
      </c>
      <c r="B60" s="1" t="n">
        <v>44479</v>
      </c>
      <c r="C60" s="1" t="n">
        <v>45963</v>
      </c>
      <c r="D60" t="inlineStr">
        <is>
          <t>ÖSTERGÖTLANDS LÄN</t>
        </is>
      </c>
      <c r="E60" t="inlineStr">
        <is>
          <t>LINKÖPING</t>
        </is>
      </c>
      <c r="F60" t="inlineStr">
        <is>
          <t>Övriga Aktiebolag</t>
        </is>
      </c>
      <c r="G60" t="n">
        <v>3.2</v>
      </c>
      <c r="H60" t="n">
        <v>0</v>
      </c>
      <c r="I60" t="n">
        <v>1</v>
      </c>
      <c r="J60" t="n">
        <v>0</v>
      </c>
      <c r="K60" t="n">
        <v>0</v>
      </c>
      <c r="L60" t="n">
        <v>0</v>
      </c>
      <c r="M60" t="n">
        <v>0</v>
      </c>
      <c r="N60" t="n">
        <v>0</v>
      </c>
      <c r="O60" t="n">
        <v>0</v>
      </c>
      <c r="P60" t="n">
        <v>0</v>
      </c>
      <c r="Q60" t="n">
        <v>1</v>
      </c>
      <c r="R60" s="2" t="inlineStr">
        <is>
          <t>Strutbräken</t>
        </is>
      </c>
      <c r="S60">
        <f>HYPERLINK("https://klasma.github.io/Logging_0580/artfynd/A 56250-2021 artfynd.xlsx", "A 56250-2021")</f>
        <v/>
      </c>
      <c r="T60">
        <f>HYPERLINK("https://klasma.github.io/Logging_0580/kartor/A 56250-2021 karta.png", "A 56250-2021")</f>
        <v/>
      </c>
      <c r="V60">
        <f>HYPERLINK("https://klasma.github.io/Logging_0580/klagomål/A 56250-2021 FSC-klagomål.docx", "A 56250-2021")</f>
        <v/>
      </c>
      <c r="W60">
        <f>HYPERLINK("https://klasma.github.io/Logging_0580/klagomålsmail/A 56250-2021 FSC-klagomål mail.docx", "A 56250-2021")</f>
        <v/>
      </c>
      <c r="X60">
        <f>HYPERLINK("https://klasma.github.io/Logging_0580/tillsyn/A 56250-2021 tillsynsbegäran.docx", "A 56250-2021")</f>
        <v/>
      </c>
      <c r="Y60">
        <f>HYPERLINK("https://klasma.github.io/Logging_0580/tillsynsmail/A 56250-2021 tillsynsbegäran mail.docx", "A 56250-2021")</f>
        <v/>
      </c>
    </row>
    <row r="61" ht="15" customHeight="1">
      <c r="A61" t="inlineStr">
        <is>
          <t>A 20295-2025</t>
        </is>
      </c>
      <c r="B61" s="1" t="n">
        <v>45774.74846064814</v>
      </c>
      <c r="C61" s="1" t="n">
        <v>45963</v>
      </c>
      <c r="D61" t="inlineStr">
        <is>
          <t>ÖSTERGÖTLANDS LÄN</t>
        </is>
      </c>
      <c r="E61" t="inlineStr">
        <is>
          <t>LINKÖPING</t>
        </is>
      </c>
      <c r="G61" t="n">
        <v>3</v>
      </c>
      <c r="H61" t="n">
        <v>0</v>
      </c>
      <c r="I61" t="n">
        <v>0</v>
      </c>
      <c r="J61" t="n">
        <v>1</v>
      </c>
      <c r="K61" t="n">
        <v>0</v>
      </c>
      <c r="L61" t="n">
        <v>0</v>
      </c>
      <c r="M61" t="n">
        <v>0</v>
      </c>
      <c r="N61" t="n">
        <v>0</v>
      </c>
      <c r="O61" t="n">
        <v>1</v>
      </c>
      <c r="P61" t="n">
        <v>0</v>
      </c>
      <c r="Q61" t="n">
        <v>1</v>
      </c>
      <c r="R61" s="2" t="inlineStr">
        <is>
          <t>Tallticka</t>
        </is>
      </c>
      <c r="S61">
        <f>HYPERLINK("https://klasma.github.io/Logging_0580/artfynd/A 20295-2025 artfynd.xlsx", "A 20295-2025")</f>
        <v/>
      </c>
      <c r="T61">
        <f>HYPERLINK("https://klasma.github.io/Logging_0580/kartor/A 20295-2025 karta.png", "A 20295-2025")</f>
        <v/>
      </c>
      <c r="V61">
        <f>HYPERLINK("https://klasma.github.io/Logging_0580/klagomål/A 20295-2025 FSC-klagomål.docx", "A 20295-2025")</f>
        <v/>
      </c>
      <c r="W61">
        <f>HYPERLINK("https://klasma.github.io/Logging_0580/klagomålsmail/A 20295-2025 FSC-klagomål mail.docx", "A 20295-2025")</f>
        <v/>
      </c>
      <c r="X61">
        <f>HYPERLINK("https://klasma.github.io/Logging_0580/tillsyn/A 20295-2025 tillsynsbegäran.docx", "A 20295-2025")</f>
        <v/>
      </c>
      <c r="Y61">
        <f>HYPERLINK("https://klasma.github.io/Logging_0580/tillsynsmail/A 20295-2025 tillsynsbegäran mail.docx", "A 20295-2025")</f>
        <v/>
      </c>
    </row>
    <row r="62" ht="15" customHeight="1">
      <c r="A62" t="inlineStr">
        <is>
          <t>A 59948-2022</t>
        </is>
      </c>
      <c r="B62" s="1" t="n">
        <v>44909</v>
      </c>
      <c r="C62" s="1" t="n">
        <v>45963</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60573-2021</t>
        </is>
      </c>
      <c r="B63" s="1" t="n">
        <v>44496</v>
      </c>
      <c r="C63" s="1" t="n">
        <v>45963</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126-2024</t>
        </is>
      </c>
      <c r="B64" s="1" t="n">
        <v>45294</v>
      </c>
      <c r="C64" s="1" t="n">
        <v>45963</v>
      </c>
      <c r="D64" t="inlineStr">
        <is>
          <t>ÖSTERGÖTLANDS LÄN</t>
        </is>
      </c>
      <c r="E64" t="inlineStr">
        <is>
          <t>LINKÖPING</t>
        </is>
      </c>
      <c r="G64" t="n">
        <v>1</v>
      </c>
      <c r="H64" t="n">
        <v>0</v>
      </c>
      <c r="I64" t="n">
        <v>1</v>
      </c>
      <c r="J64" t="n">
        <v>0</v>
      </c>
      <c r="K64" t="n">
        <v>0</v>
      </c>
      <c r="L64" t="n">
        <v>0</v>
      </c>
      <c r="M64" t="n">
        <v>0</v>
      </c>
      <c r="N64" t="n">
        <v>0</v>
      </c>
      <c r="O64" t="n">
        <v>0</v>
      </c>
      <c r="P64" t="n">
        <v>0</v>
      </c>
      <c r="Q64" t="n">
        <v>1</v>
      </c>
      <c r="R64" s="2" t="inlineStr">
        <is>
          <t>Blåmossa</t>
        </is>
      </c>
      <c r="S64">
        <f>HYPERLINK("https://klasma.github.io/Logging_0580/artfynd/A 126-2024 artfynd.xlsx", "A 126-2024")</f>
        <v/>
      </c>
      <c r="T64">
        <f>HYPERLINK("https://klasma.github.io/Logging_0580/kartor/A 126-2024 karta.png", "A 126-2024")</f>
        <v/>
      </c>
      <c r="V64">
        <f>HYPERLINK("https://klasma.github.io/Logging_0580/klagomål/A 126-2024 FSC-klagomål.docx", "A 126-2024")</f>
        <v/>
      </c>
      <c r="W64">
        <f>HYPERLINK("https://klasma.github.io/Logging_0580/klagomålsmail/A 126-2024 FSC-klagomål mail.docx", "A 126-2024")</f>
        <v/>
      </c>
      <c r="X64">
        <f>HYPERLINK("https://klasma.github.io/Logging_0580/tillsyn/A 126-2024 tillsynsbegäran.docx", "A 126-2024")</f>
        <v/>
      </c>
      <c r="Y64">
        <f>HYPERLINK("https://klasma.github.io/Logging_0580/tillsynsmail/A 126-2024 tillsynsbegäran mail.docx", "A 126-2024")</f>
        <v/>
      </c>
    </row>
    <row r="65" ht="15" customHeight="1">
      <c r="A65" t="inlineStr">
        <is>
          <t>A 41749-2023</t>
        </is>
      </c>
      <c r="B65" s="1" t="n">
        <v>45176</v>
      </c>
      <c r="C65" s="1" t="n">
        <v>45963</v>
      </c>
      <c r="D65" t="inlineStr">
        <is>
          <t>ÖSTERGÖTLANDS LÄN</t>
        </is>
      </c>
      <c r="E65" t="inlineStr">
        <is>
          <t>LINKÖPING</t>
        </is>
      </c>
      <c r="G65" t="n">
        <v>3.6</v>
      </c>
      <c r="H65" t="n">
        <v>0</v>
      </c>
      <c r="I65" t="n">
        <v>0</v>
      </c>
      <c r="J65" t="n">
        <v>1</v>
      </c>
      <c r="K65" t="n">
        <v>0</v>
      </c>
      <c r="L65" t="n">
        <v>0</v>
      </c>
      <c r="M65" t="n">
        <v>0</v>
      </c>
      <c r="N65" t="n">
        <v>0</v>
      </c>
      <c r="O65" t="n">
        <v>1</v>
      </c>
      <c r="P65" t="n">
        <v>0</v>
      </c>
      <c r="Q65" t="n">
        <v>1</v>
      </c>
      <c r="R65" s="2" t="inlineStr">
        <is>
          <t>Svinrot</t>
        </is>
      </c>
      <c r="S65">
        <f>HYPERLINK("https://klasma.github.io/Logging_0580/artfynd/A 41749-2023 artfynd.xlsx", "A 41749-2023")</f>
        <v/>
      </c>
      <c r="T65">
        <f>HYPERLINK("https://klasma.github.io/Logging_0580/kartor/A 41749-2023 karta.png", "A 41749-2023")</f>
        <v/>
      </c>
      <c r="V65">
        <f>HYPERLINK("https://klasma.github.io/Logging_0580/klagomål/A 41749-2023 FSC-klagomål.docx", "A 41749-2023")</f>
        <v/>
      </c>
      <c r="W65">
        <f>HYPERLINK("https://klasma.github.io/Logging_0580/klagomålsmail/A 41749-2023 FSC-klagomål mail.docx", "A 41749-2023")</f>
        <v/>
      </c>
      <c r="X65">
        <f>HYPERLINK("https://klasma.github.io/Logging_0580/tillsyn/A 41749-2023 tillsynsbegäran.docx", "A 41749-2023")</f>
        <v/>
      </c>
      <c r="Y65">
        <f>HYPERLINK("https://klasma.github.io/Logging_0580/tillsynsmail/A 41749-2023 tillsynsbegäran mail.docx", "A 41749-2023")</f>
        <v/>
      </c>
    </row>
    <row r="66" ht="15" customHeight="1">
      <c r="A66" t="inlineStr">
        <is>
          <t>A 71127-2021</t>
        </is>
      </c>
      <c r="B66" s="1" t="n">
        <v>44537</v>
      </c>
      <c r="C66" s="1" t="n">
        <v>45963</v>
      </c>
      <c r="D66" t="inlineStr">
        <is>
          <t>ÖSTERGÖTLANDS LÄN</t>
        </is>
      </c>
      <c r="E66" t="inlineStr">
        <is>
          <t>LINKÖPING</t>
        </is>
      </c>
      <c r="F66" t="inlineStr">
        <is>
          <t>Kommuner</t>
        </is>
      </c>
      <c r="G66" t="n">
        <v>7.2</v>
      </c>
      <c r="H66" t="n">
        <v>0</v>
      </c>
      <c r="I66" t="n">
        <v>0</v>
      </c>
      <c r="J66" t="n">
        <v>1</v>
      </c>
      <c r="K66" t="n">
        <v>0</v>
      </c>
      <c r="L66" t="n">
        <v>0</v>
      </c>
      <c r="M66" t="n">
        <v>0</v>
      </c>
      <c r="N66" t="n">
        <v>0</v>
      </c>
      <c r="O66" t="n">
        <v>1</v>
      </c>
      <c r="P66" t="n">
        <v>0</v>
      </c>
      <c r="Q66" t="n">
        <v>1</v>
      </c>
      <c r="R66" s="2" t="inlineStr">
        <is>
          <t>Svinrot</t>
        </is>
      </c>
      <c r="S66">
        <f>HYPERLINK("https://klasma.github.io/Logging_0580/artfynd/A 71127-2021 artfynd.xlsx", "A 71127-2021")</f>
        <v/>
      </c>
      <c r="T66">
        <f>HYPERLINK("https://klasma.github.io/Logging_0580/kartor/A 71127-2021 karta.png", "A 71127-2021")</f>
        <v/>
      </c>
      <c r="V66">
        <f>HYPERLINK("https://klasma.github.io/Logging_0580/klagomål/A 71127-2021 FSC-klagomål.docx", "A 71127-2021")</f>
        <v/>
      </c>
      <c r="W66">
        <f>HYPERLINK("https://klasma.github.io/Logging_0580/klagomålsmail/A 71127-2021 FSC-klagomål mail.docx", "A 71127-2021")</f>
        <v/>
      </c>
      <c r="X66">
        <f>HYPERLINK("https://klasma.github.io/Logging_0580/tillsyn/A 71127-2021 tillsynsbegäran.docx", "A 71127-2021")</f>
        <v/>
      </c>
      <c r="Y66">
        <f>HYPERLINK("https://klasma.github.io/Logging_0580/tillsynsmail/A 71127-2021 tillsynsbegäran mail.docx", "A 71127-2021")</f>
        <v/>
      </c>
    </row>
    <row r="67" ht="15" customHeight="1">
      <c r="A67" t="inlineStr">
        <is>
          <t>A 56651-2023</t>
        </is>
      </c>
      <c r="B67" s="1" t="n">
        <v>45243</v>
      </c>
      <c r="C67" s="1" t="n">
        <v>45963</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27403-2025</t>
        </is>
      </c>
      <c r="B68" s="1" t="n">
        <v>45812.72518518518</v>
      </c>
      <c r="C68" s="1" t="n">
        <v>45963</v>
      </c>
      <c r="D68" t="inlineStr">
        <is>
          <t>ÖSTERGÖTLANDS LÄN</t>
        </is>
      </c>
      <c r="E68" t="inlineStr">
        <is>
          <t>LINKÖPING</t>
        </is>
      </c>
      <c r="G68" t="n">
        <v>1.4</v>
      </c>
      <c r="H68" t="n">
        <v>0</v>
      </c>
      <c r="I68" t="n">
        <v>0</v>
      </c>
      <c r="J68" t="n">
        <v>1</v>
      </c>
      <c r="K68" t="n">
        <v>0</v>
      </c>
      <c r="L68" t="n">
        <v>0</v>
      </c>
      <c r="M68" t="n">
        <v>0</v>
      </c>
      <c r="N68" t="n">
        <v>0</v>
      </c>
      <c r="O68" t="n">
        <v>1</v>
      </c>
      <c r="P68" t="n">
        <v>0</v>
      </c>
      <c r="Q68" t="n">
        <v>1</v>
      </c>
      <c r="R68" s="2" t="inlineStr">
        <is>
          <t>Tallticka</t>
        </is>
      </c>
      <c r="S68">
        <f>HYPERLINK("https://klasma.github.io/Logging_0580/artfynd/A 27403-2025 artfynd.xlsx", "A 27403-2025")</f>
        <v/>
      </c>
      <c r="T68">
        <f>HYPERLINK("https://klasma.github.io/Logging_0580/kartor/A 27403-2025 karta.png", "A 27403-2025")</f>
        <v/>
      </c>
      <c r="V68">
        <f>HYPERLINK("https://klasma.github.io/Logging_0580/klagomål/A 27403-2025 FSC-klagomål.docx", "A 27403-2025")</f>
        <v/>
      </c>
      <c r="W68">
        <f>HYPERLINK("https://klasma.github.io/Logging_0580/klagomålsmail/A 27403-2025 FSC-klagomål mail.docx", "A 27403-2025")</f>
        <v/>
      </c>
      <c r="X68">
        <f>HYPERLINK("https://klasma.github.io/Logging_0580/tillsyn/A 27403-2025 tillsynsbegäran.docx", "A 27403-2025")</f>
        <v/>
      </c>
      <c r="Y68">
        <f>HYPERLINK("https://klasma.github.io/Logging_0580/tillsynsmail/A 27403-2025 tillsynsbegäran mail.docx", "A 27403-2025")</f>
        <v/>
      </c>
    </row>
    <row r="69" ht="15" customHeight="1">
      <c r="A69" t="inlineStr">
        <is>
          <t>A 17444-2025</t>
        </is>
      </c>
      <c r="B69" s="1" t="n">
        <v>45757.43452546297</v>
      </c>
      <c r="C69" s="1" t="n">
        <v>45963</v>
      </c>
      <c r="D69" t="inlineStr">
        <is>
          <t>ÖSTERGÖTLANDS LÄN</t>
        </is>
      </c>
      <c r="E69" t="inlineStr">
        <is>
          <t>LINKÖPING</t>
        </is>
      </c>
      <c r="G69" t="n">
        <v>1.3</v>
      </c>
      <c r="H69" t="n">
        <v>1</v>
      </c>
      <c r="I69" t="n">
        <v>0</v>
      </c>
      <c r="J69" t="n">
        <v>1</v>
      </c>
      <c r="K69" t="n">
        <v>0</v>
      </c>
      <c r="L69" t="n">
        <v>0</v>
      </c>
      <c r="M69" t="n">
        <v>0</v>
      </c>
      <c r="N69" t="n">
        <v>0</v>
      </c>
      <c r="O69" t="n">
        <v>1</v>
      </c>
      <c r="P69" t="n">
        <v>0</v>
      </c>
      <c r="Q69" t="n">
        <v>1</v>
      </c>
      <c r="R69" s="2" t="inlineStr">
        <is>
          <t>Dårgräsfjäril</t>
        </is>
      </c>
      <c r="S69">
        <f>HYPERLINK("https://klasma.github.io/Logging_0580/artfynd/A 17444-2025 artfynd.xlsx", "A 17444-2025")</f>
        <v/>
      </c>
      <c r="T69">
        <f>HYPERLINK("https://klasma.github.io/Logging_0580/kartor/A 17444-2025 karta.png", "A 17444-2025")</f>
        <v/>
      </c>
      <c r="V69">
        <f>HYPERLINK("https://klasma.github.io/Logging_0580/klagomål/A 17444-2025 FSC-klagomål.docx", "A 17444-2025")</f>
        <v/>
      </c>
      <c r="W69">
        <f>HYPERLINK("https://klasma.github.io/Logging_0580/klagomålsmail/A 17444-2025 FSC-klagomål mail.docx", "A 17444-2025")</f>
        <v/>
      </c>
      <c r="X69">
        <f>HYPERLINK("https://klasma.github.io/Logging_0580/tillsyn/A 17444-2025 tillsynsbegäran.docx", "A 17444-2025")</f>
        <v/>
      </c>
      <c r="Y69">
        <f>HYPERLINK("https://klasma.github.io/Logging_0580/tillsynsmail/A 17444-2025 tillsynsbegäran mail.docx", "A 17444-2025")</f>
        <v/>
      </c>
    </row>
    <row r="70" ht="15" customHeight="1">
      <c r="A70" t="inlineStr">
        <is>
          <t>A 5911-2022</t>
        </is>
      </c>
      <c r="B70" s="1" t="n">
        <v>44597</v>
      </c>
      <c r="C70" s="1" t="n">
        <v>45963</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45963</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45963</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36723-2023</t>
        </is>
      </c>
      <c r="B73" s="1" t="n">
        <v>45153</v>
      </c>
      <c r="C73" s="1" t="n">
        <v>45963</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15290-2025</t>
        </is>
      </c>
      <c r="B74" s="1" t="n">
        <v>45745.45288194445</v>
      </c>
      <c r="C74" s="1" t="n">
        <v>45963</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3395-2023</t>
        </is>
      </c>
      <c r="B75" s="1" t="n">
        <v>44949</v>
      </c>
      <c r="C75" s="1" t="n">
        <v>45963</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19103-2021</t>
        </is>
      </c>
      <c r="B76" s="1" t="n">
        <v>44308</v>
      </c>
      <c r="C76" s="1" t="n">
        <v>45963</v>
      </c>
      <c r="D76" t="inlineStr">
        <is>
          <t>ÖSTERGÖTLANDS LÄN</t>
        </is>
      </c>
      <c r="E76" t="inlineStr">
        <is>
          <t>LINKÖPING</t>
        </is>
      </c>
      <c r="G76" t="n">
        <v>4.7</v>
      </c>
      <c r="H76" t="n">
        <v>0</v>
      </c>
      <c r="I76" t="n">
        <v>0</v>
      </c>
      <c r="J76" t="n">
        <v>1</v>
      </c>
      <c r="K76" t="n">
        <v>0</v>
      </c>
      <c r="L76" t="n">
        <v>0</v>
      </c>
      <c r="M76" t="n">
        <v>0</v>
      </c>
      <c r="N76" t="n">
        <v>0</v>
      </c>
      <c r="O76" t="n">
        <v>1</v>
      </c>
      <c r="P76" t="n">
        <v>0</v>
      </c>
      <c r="Q76" t="n">
        <v>1</v>
      </c>
      <c r="R76" s="2" t="inlineStr">
        <is>
          <t>Tallticka</t>
        </is>
      </c>
      <c r="S76">
        <f>HYPERLINK("https://klasma.github.io/Logging_0580/artfynd/A 19103-2021 artfynd.xlsx", "A 19103-2021")</f>
        <v/>
      </c>
      <c r="T76">
        <f>HYPERLINK("https://klasma.github.io/Logging_0580/kartor/A 19103-2021 karta.png", "A 19103-2021")</f>
        <v/>
      </c>
      <c r="V76">
        <f>HYPERLINK("https://klasma.github.io/Logging_0580/klagomål/A 19103-2021 FSC-klagomål.docx", "A 19103-2021")</f>
        <v/>
      </c>
      <c r="W76">
        <f>HYPERLINK("https://klasma.github.io/Logging_0580/klagomålsmail/A 19103-2021 FSC-klagomål mail.docx", "A 19103-2021")</f>
        <v/>
      </c>
      <c r="X76">
        <f>HYPERLINK("https://klasma.github.io/Logging_0580/tillsyn/A 19103-2021 tillsynsbegäran.docx", "A 19103-2021")</f>
        <v/>
      </c>
      <c r="Y76">
        <f>HYPERLINK("https://klasma.github.io/Logging_0580/tillsynsmail/A 19103-2021 tillsynsbegäran mail.docx", "A 19103-2021")</f>
        <v/>
      </c>
    </row>
    <row r="77" ht="15" customHeight="1">
      <c r="A77" t="inlineStr">
        <is>
          <t>A 22526-2025</t>
        </is>
      </c>
      <c r="B77" s="1" t="n">
        <v>45786.78096064815</v>
      </c>
      <c r="C77" s="1" t="n">
        <v>45963</v>
      </c>
      <c r="D77" t="inlineStr">
        <is>
          <t>ÖSTERGÖTLANDS LÄN</t>
        </is>
      </c>
      <c r="E77" t="inlineStr">
        <is>
          <t>LINKÖPING</t>
        </is>
      </c>
      <c r="G77" t="n">
        <v>1.8</v>
      </c>
      <c r="H77" t="n">
        <v>1</v>
      </c>
      <c r="I77" t="n">
        <v>0</v>
      </c>
      <c r="J77" t="n">
        <v>1</v>
      </c>
      <c r="K77" t="n">
        <v>0</v>
      </c>
      <c r="L77" t="n">
        <v>0</v>
      </c>
      <c r="M77" t="n">
        <v>0</v>
      </c>
      <c r="N77" t="n">
        <v>0</v>
      </c>
      <c r="O77" t="n">
        <v>1</v>
      </c>
      <c r="P77" t="n">
        <v>0</v>
      </c>
      <c r="Q77" t="n">
        <v>1</v>
      </c>
      <c r="R77" s="2" t="inlineStr">
        <is>
          <t>Röd skogslilja</t>
        </is>
      </c>
      <c r="S77">
        <f>HYPERLINK("https://klasma.github.io/Logging_0580/artfynd/A 22526-2025 artfynd.xlsx", "A 22526-2025")</f>
        <v/>
      </c>
      <c r="T77">
        <f>HYPERLINK("https://klasma.github.io/Logging_0580/kartor/A 22526-2025 karta.png", "A 22526-2025")</f>
        <v/>
      </c>
      <c r="V77">
        <f>HYPERLINK("https://klasma.github.io/Logging_0580/klagomål/A 22526-2025 FSC-klagomål.docx", "A 22526-2025")</f>
        <v/>
      </c>
      <c r="W77">
        <f>HYPERLINK("https://klasma.github.io/Logging_0580/klagomålsmail/A 22526-2025 FSC-klagomål mail.docx", "A 22526-2025")</f>
        <v/>
      </c>
      <c r="X77">
        <f>HYPERLINK("https://klasma.github.io/Logging_0580/tillsyn/A 22526-2025 tillsynsbegäran.docx", "A 22526-2025")</f>
        <v/>
      </c>
      <c r="Y77">
        <f>HYPERLINK("https://klasma.github.io/Logging_0580/tillsynsmail/A 22526-2025 tillsynsbegäran mail.docx", "A 22526-2025")</f>
        <v/>
      </c>
    </row>
    <row r="78" ht="15" customHeight="1">
      <c r="A78" t="inlineStr">
        <is>
          <t>A 48347-2025</t>
        </is>
      </c>
      <c r="B78" s="1" t="n">
        <v>45932</v>
      </c>
      <c r="C78" s="1" t="n">
        <v>45963</v>
      </c>
      <c r="D78" t="inlineStr">
        <is>
          <t>ÖSTERGÖTLANDS LÄN</t>
        </is>
      </c>
      <c r="E78" t="inlineStr">
        <is>
          <t>LINKÖPING</t>
        </is>
      </c>
      <c r="F78" t="inlineStr">
        <is>
          <t>Övriga Aktiebolag</t>
        </is>
      </c>
      <c r="G78" t="n">
        <v>0.9</v>
      </c>
      <c r="H78" t="n">
        <v>0</v>
      </c>
      <c r="I78" t="n">
        <v>0</v>
      </c>
      <c r="J78" t="n">
        <v>1</v>
      </c>
      <c r="K78" t="n">
        <v>0</v>
      </c>
      <c r="L78" t="n">
        <v>0</v>
      </c>
      <c r="M78" t="n">
        <v>0</v>
      </c>
      <c r="N78" t="n">
        <v>0</v>
      </c>
      <c r="O78" t="n">
        <v>1</v>
      </c>
      <c r="P78" t="n">
        <v>0</v>
      </c>
      <c r="Q78" t="n">
        <v>1</v>
      </c>
      <c r="R78" s="2" t="inlineStr">
        <is>
          <t>Igelkott</t>
        </is>
      </c>
      <c r="S78">
        <f>HYPERLINK("https://klasma.github.io/Logging_0580/artfynd/A 48347-2025 artfynd.xlsx", "A 48347-2025")</f>
        <v/>
      </c>
      <c r="T78">
        <f>HYPERLINK("https://klasma.github.io/Logging_0580/kartor/A 48347-2025 karta.png", "A 48347-2025")</f>
        <v/>
      </c>
      <c r="V78">
        <f>HYPERLINK("https://klasma.github.io/Logging_0580/klagomål/A 48347-2025 FSC-klagomål.docx", "A 48347-2025")</f>
        <v/>
      </c>
      <c r="W78">
        <f>HYPERLINK("https://klasma.github.io/Logging_0580/klagomålsmail/A 48347-2025 FSC-klagomål mail.docx", "A 48347-2025")</f>
        <v/>
      </c>
      <c r="X78">
        <f>HYPERLINK("https://klasma.github.io/Logging_0580/tillsyn/A 48347-2025 tillsynsbegäran.docx", "A 48347-2025")</f>
        <v/>
      </c>
      <c r="Y78">
        <f>HYPERLINK("https://klasma.github.io/Logging_0580/tillsynsmail/A 48347-2025 tillsynsbegäran mail.docx", "A 48347-2025")</f>
        <v/>
      </c>
    </row>
    <row r="79" ht="15" customHeight="1">
      <c r="A79" t="inlineStr">
        <is>
          <t>A 48353-2025</t>
        </is>
      </c>
      <c r="B79" s="1" t="n">
        <v>45932</v>
      </c>
      <c r="C79" s="1" t="n">
        <v>45963</v>
      </c>
      <c r="D79" t="inlineStr">
        <is>
          <t>ÖSTERGÖTLANDS LÄN</t>
        </is>
      </c>
      <c r="E79" t="inlineStr">
        <is>
          <t>LINKÖPING</t>
        </is>
      </c>
      <c r="F79" t="inlineStr">
        <is>
          <t>Övriga Aktiebolag</t>
        </is>
      </c>
      <c r="G79" t="n">
        <v>4.5</v>
      </c>
      <c r="H79" t="n">
        <v>1</v>
      </c>
      <c r="I79" t="n">
        <v>0</v>
      </c>
      <c r="J79" t="n">
        <v>1</v>
      </c>
      <c r="K79" t="n">
        <v>0</v>
      </c>
      <c r="L79" t="n">
        <v>0</v>
      </c>
      <c r="M79" t="n">
        <v>0</v>
      </c>
      <c r="N79" t="n">
        <v>0</v>
      </c>
      <c r="O79" t="n">
        <v>1</v>
      </c>
      <c r="P79" t="n">
        <v>0</v>
      </c>
      <c r="Q79" t="n">
        <v>1</v>
      </c>
      <c r="R79" s="2" t="inlineStr">
        <is>
          <t>Entita</t>
        </is>
      </c>
      <c r="S79">
        <f>HYPERLINK("https://klasma.github.io/Logging_0580/artfynd/A 48353-2025 artfynd.xlsx", "A 48353-2025")</f>
        <v/>
      </c>
      <c r="T79">
        <f>HYPERLINK("https://klasma.github.io/Logging_0580/kartor/A 48353-2025 karta.png", "A 48353-2025")</f>
        <v/>
      </c>
      <c r="V79">
        <f>HYPERLINK("https://klasma.github.io/Logging_0580/klagomål/A 48353-2025 FSC-klagomål.docx", "A 48353-2025")</f>
        <v/>
      </c>
      <c r="W79">
        <f>HYPERLINK("https://klasma.github.io/Logging_0580/klagomålsmail/A 48353-2025 FSC-klagomål mail.docx", "A 48353-2025")</f>
        <v/>
      </c>
      <c r="X79">
        <f>HYPERLINK("https://klasma.github.io/Logging_0580/tillsyn/A 48353-2025 tillsynsbegäran.docx", "A 48353-2025")</f>
        <v/>
      </c>
      <c r="Y79">
        <f>HYPERLINK("https://klasma.github.io/Logging_0580/tillsynsmail/A 48353-2025 tillsynsbegäran mail.docx", "A 48353-2025")</f>
        <v/>
      </c>
      <c r="Z79">
        <f>HYPERLINK("https://klasma.github.io/Logging_0580/fåglar/A 48353-2025 prioriterade fågelarter.docx", "A 48353-2025")</f>
        <v/>
      </c>
    </row>
    <row r="80" ht="15" customHeight="1">
      <c r="A80" t="inlineStr">
        <is>
          <t>A 48273-2025</t>
        </is>
      </c>
      <c r="B80" s="1" t="n">
        <v>45932</v>
      </c>
      <c r="C80" s="1" t="n">
        <v>45963</v>
      </c>
      <c r="D80" t="inlineStr">
        <is>
          <t>ÖSTERGÖTLANDS LÄN</t>
        </is>
      </c>
      <c r="E80" t="inlineStr">
        <is>
          <t>LINKÖPING</t>
        </is>
      </c>
      <c r="F80" t="inlineStr">
        <is>
          <t>Övriga Aktiebolag</t>
        </is>
      </c>
      <c r="G80" t="n">
        <v>4.6</v>
      </c>
      <c r="H80" t="n">
        <v>0</v>
      </c>
      <c r="I80" t="n">
        <v>0</v>
      </c>
      <c r="J80" t="n">
        <v>1</v>
      </c>
      <c r="K80" t="n">
        <v>0</v>
      </c>
      <c r="L80" t="n">
        <v>0</v>
      </c>
      <c r="M80" t="n">
        <v>0</v>
      </c>
      <c r="N80" t="n">
        <v>0</v>
      </c>
      <c r="O80" t="n">
        <v>1</v>
      </c>
      <c r="P80" t="n">
        <v>0</v>
      </c>
      <c r="Q80" t="n">
        <v>1</v>
      </c>
      <c r="R80" s="2" t="inlineStr">
        <is>
          <t>Barrviolspindling</t>
        </is>
      </c>
      <c r="S80">
        <f>HYPERLINK("https://klasma.github.io/Logging_0580/artfynd/A 48273-2025 artfynd.xlsx", "A 48273-2025")</f>
        <v/>
      </c>
      <c r="T80">
        <f>HYPERLINK("https://klasma.github.io/Logging_0580/kartor/A 48273-2025 karta.png", "A 48273-2025")</f>
        <v/>
      </c>
      <c r="V80">
        <f>HYPERLINK("https://klasma.github.io/Logging_0580/klagomål/A 48273-2025 FSC-klagomål.docx", "A 48273-2025")</f>
        <v/>
      </c>
      <c r="W80">
        <f>HYPERLINK("https://klasma.github.io/Logging_0580/klagomålsmail/A 48273-2025 FSC-klagomål mail.docx", "A 48273-2025")</f>
        <v/>
      </c>
      <c r="X80">
        <f>HYPERLINK("https://klasma.github.io/Logging_0580/tillsyn/A 48273-2025 tillsynsbegäran.docx", "A 48273-2025")</f>
        <v/>
      </c>
      <c r="Y80">
        <f>HYPERLINK("https://klasma.github.io/Logging_0580/tillsynsmail/A 48273-2025 tillsynsbegäran mail.docx", "A 48273-2025")</f>
        <v/>
      </c>
    </row>
    <row r="81" ht="15" customHeight="1">
      <c r="A81" t="inlineStr">
        <is>
          <t>A 48298-2025</t>
        </is>
      </c>
      <c r="B81" s="1" t="n">
        <v>45932</v>
      </c>
      <c r="C81" s="1" t="n">
        <v>45963</v>
      </c>
      <c r="D81" t="inlineStr">
        <is>
          <t>ÖSTERGÖTLANDS LÄN</t>
        </is>
      </c>
      <c r="E81" t="inlineStr">
        <is>
          <t>LINKÖPING</t>
        </is>
      </c>
      <c r="F81" t="inlineStr">
        <is>
          <t>Övriga Aktiebolag</t>
        </is>
      </c>
      <c r="G81" t="n">
        <v>1.7</v>
      </c>
      <c r="H81" t="n">
        <v>0</v>
      </c>
      <c r="I81" t="n">
        <v>1</v>
      </c>
      <c r="J81" t="n">
        <v>0</v>
      </c>
      <c r="K81" t="n">
        <v>0</v>
      </c>
      <c r="L81" t="n">
        <v>0</v>
      </c>
      <c r="M81" t="n">
        <v>0</v>
      </c>
      <c r="N81" t="n">
        <v>0</v>
      </c>
      <c r="O81" t="n">
        <v>0</v>
      </c>
      <c r="P81" t="n">
        <v>0</v>
      </c>
      <c r="Q81" t="n">
        <v>1</v>
      </c>
      <c r="R81" s="2" t="inlineStr">
        <is>
          <t>Västlig hakmossa</t>
        </is>
      </c>
      <c r="S81">
        <f>HYPERLINK("https://klasma.github.io/Logging_0580/artfynd/A 48298-2025 artfynd.xlsx", "A 48298-2025")</f>
        <v/>
      </c>
      <c r="T81">
        <f>HYPERLINK("https://klasma.github.io/Logging_0580/kartor/A 48298-2025 karta.png", "A 48298-2025")</f>
        <v/>
      </c>
      <c r="V81">
        <f>HYPERLINK("https://klasma.github.io/Logging_0580/klagomål/A 48298-2025 FSC-klagomål.docx", "A 48298-2025")</f>
        <v/>
      </c>
      <c r="W81">
        <f>HYPERLINK("https://klasma.github.io/Logging_0580/klagomålsmail/A 48298-2025 FSC-klagomål mail.docx", "A 48298-2025")</f>
        <v/>
      </c>
      <c r="X81">
        <f>HYPERLINK("https://klasma.github.io/Logging_0580/tillsyn/A 48298-2025 tillsynsbegäran.docx", "A 48298-2025")</f>
        <v/>
      </c>
      <c r="Y81">
        <f>HYPERLINK("https://klasma.github.io/Logging_0580/tillsynsmail/A 48298-2025 tillsynsbegäran mail.docx", "A 48298-2025")</f>
        <v/>
      </c>
    </row>
    <row r="82" ht="15" customHeight="1">
      <c r="A82" t="inlineStr">
        <is>
          <t>A 50806-2023</t>
        </is>
      </c>
      <c r="B82" s="1" t="n">
        <v>45217</v>
      </c>
      <c r="C82" s="1" t="n">
        <v>45963</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43989-2025</t>
        </is>
      </c>
      <c r="B83" s="1" t="n">
        <v>45915.44128472222</v>
      </c>
      <c r="C83" s="1" t="n">
        <v>45963</v>
      </c>
      <c r="D83" t="inlineStr">
        <is>
          <t>ÖSTERGÖTLANDS LÄN</t>
        </is>
      </c>
      <c r="E83" t="inlineStr">
        <is>
          <t>LINKÖPING</t>
        </is>
      </c>
      <c r="F83" t="inlineStr">
        <is>
          <t>Allmännings- och besparingsskogar</t>
        </is>
      </c>
      <c r="G83" t="n">
        <v>3.5</v>
      </c>
      <c r="H83" t="n">
        <v>0</v>
      </c>
      <c r="I83" t="n">
        <v>0</v>
      </c>
      <c r="J83" t="n">
        <v>1</v>
      </c>
      <c r="K83" t="n">
        <v>0</v>
      </c>
      <c r="L83" t="n">
        <v>0</v>
      </c>
      <c r="M83" t="n">
        <v>0</v>
      </c>
      <c r="N83" t="n">
        <v>0</v>
      </c>
      <c r="O83" t="n">
        <v>1</v>
      </c>
      <c r="P83" t="n">
        <v>0</v>
      </c>
      <c r="Q83" t="n">
        <v>1</v>
      </c>
      <c r="R83" s="2" t="inlineStr">
        <is>
          <t>Kavelhirs</t>
        </is>
      </c>
      <c r="S83">
        <f>HYPERLINK("https://klasma.github.io/Logging_0580/artfynd/A 43989-2025 artfynd.xlsx", "A 43989-2025")</f>
        <v/>
      </c>
      <c r="T83">
        <f>HYPERLINK("https://klasma.github.io/Logging_0580/kartor/A 43989-2025 karta.png", "A 43989-2025")</f>
        <v/>
      </c>
      <c r="V83">
        <f>HYPERLINK("https://klasma.github.io/Logging_0580/klagomål/A 43989-2025 FSC-klagomål.docx", "A 43989-2025")</f>
        <v/>
      </c>
      <c r="W83">
        <f>HYPERLINK("https://klasma.github.io/Logging_0580/klagomålsmail/A 43989-2025 FSC-klagomål mail.docx", "A 43989-2025")</f>
        <v/>
      </c>
      <c r="X83">
        <f>HYPERLINK("https://klasma.github.io/Logging_0580/tillsyn/A 43989-2025 tillsynsbegäran.docx", "A 43989-2025")</f>
        <v/>
      </c>
      <c r="Y83">
        <f>HYPERLINK("https://klasma.github.io/Logging_0580/tillsynsmail/A 43989-2025 tillsynsbegäran mail.docx", "A 43989-2025")</f>
        <v/>
      </c>
    </row>
    <row r="84" ht="15" customHeight="1">
      <c r="A84" t="inlineStr">
        <is>
          <t>A 44760-2025</t>
        </is>
      </c>
      <c r="B84" s="1" t="n">
        <v>45917.71873842592</v>
      </c>
      <c r="C84" s="1" t="n">
        <v>45963</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Tallticka</t>
        </is>
      </c>
      <c r="S84">
        <f>HYPERLINK("https://klasma.github.io/Logging_0580/artfynd/A 44760-2025 artfynd.xlsx", "A 44760-2025")</f>
        <v/>
      </c>
      <c r="T84">
        <f>HYPERLINK("https://klasma.github.io/Logging_0580/kartor/A 44760-2025 karta.png", "A 44760-2025")</f>
        <v/>
      </c>
      <c r="V84">
        <f>HYPERLINK("https://klasma.github.io/Logging_0580/klagomål/A 44760-2025 FSC-klagomål.docx", "A 44760-2025")</f>
        <v/>
      </c>
      <c r="W84">
        <f>HYPERLINK("https://klasma.github.io/Logging_0580/klagomålsmail/A 44760-2025 FSC-klagomål mail.docx", "A 44760-2025")</f>
        <v/>
      </c>
      <c r="X84">
        <f>HYPERLINK("https://klasma.github.io/Logging_0580/tillsyn/A 44760-2025 tillsynsbegäran.docx", "A 44760-2025")</f>
        <v/>
      </c>
      <c r="Y84">
        <f>HYPERLINK("https://klasma.github.io/Logging_0580/tillsynsmail/A 44760-2025 tillsynsbegäran mail.docx", "A 44760-2025")</f>
        <v/>
      </c>
    </row>
    <row r="85" ht="15" customHeight="1">
      <c r="A85" t="inlineStr">
        <is>
          <t>A 50034-2025</t>
        </is>
      </c>
      <c r="B85" s="1" t="n">
        <v>45941</v>
      </c>
      <c r="C85" s="1" t="n">
        <v>45963</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38881-2021</t>
        </is>
      </c>
      <c r="B86" s="1" t="n">
        <v>44411.46893518518</v>
      </c>
      <c r="C86" s="1" t="n">
        <v>45963</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38887-2021</t>
        </is>
      </c>
      <c r="B87" s="1" t="n">
        <v>44411</v>
      </c>
      <c r="C87" s="1" t="n">
        <v>45963</v>
      </c>
      <c r="D87" t="inlineStr">
        <is>
          <t>ÖSTERGÖTLANDS LÄN</t>
        </is>
      </c>
      <c r="E87" t="inlineStr">
        <is>
          <t>LINKÖPING</t>
        </is>
      </c>
      <c r="G87" t="n">
        <v>1.6</v>
      </c>
      <c r="H87" t="n">
        <v>0</v>
      </c>
      <c r="I87" t="n">
        <v>0</v>
      </c>
      <c r="J87" t="n">
        <v>0</v>
      </c>
      <c r="K87" t="n">
        <v>0</v>
      </c>
      <c r="L87" t="n">
        <v>0</v>
      </c>
      <c r="M87" t="n">
        <v>0</v>
      </c>
      <c r="N87" t="n">
        <v>0</v>
      </c>
      <c r="O87" t="n">
        <v>0</v>
      </c>
      <c r="P87" t="n">
        <v>0</v>
      </c>
      <c r="Q87" t="n">
        <v>0</v>
      </c>
      <c r="R87" s="2" t="inlineStr"/>
    </row>
    <row r="88" ht="15" customHeight="1">
      <c r="A88" t="inlineStr">
        <is>
          <t>A 5008-2021</t>
        </is>
      </c>
      <c r="B88" s="1" t="n">
        <v>44228</v>
      </c>
      <c r="C88" s="1" t="n">
        <v>45963</v>
      </c>
      <c r="D88" t="inlineStr">
        <is>
          <t>ÖSTERGÖTLANDS LÄN</t>
        </is>
      </c>
      <c r="E88" t="inlineStr">
        <is>
          <t>LINKÖPING</t>
        </is>
      </c>
      <c r="F88" t="inlineStr">
        <is>
          <t>Övriga Aktiebolag</t>
        </is>
      </c>
      <c r="G88" t="n">
        <v>0.3</v>
      </c>
      <c r="H88" t="n">
        <v>0</v>
      </c>
      <c r="I88" t="n">
        <v>0</v>
      </c>
      <c r="J88" t="n">
        <v>0</v>
      </c>
      <c r="K88" t="n">
        <v>0</v>
      </c>
      <c r="L88" t="n">
        <v>0</v>
      </c>
      <c r="M88" t="n">
        <v>0</v>
      </c>
      <c r="N88" t="n">
        <v>0</v>
      </c>
      <c r="O88" t="n">
        <v>0</v>
      </c>
      <c r="P88" t="n">
        <v>0</v>
      </c>
      <c r="Q88" t="n">
        <v>0</v>
      </c>
      <c r="R88" s="2" t="inlineStr"/>
    </row>
    <row r="89" ht="15" customHeight="1">
      <c r="A89" t="inlineStr">
        <is>
          <t>A 56239-2021</t>
        </is>
      </c>
      <c r="B89" s="1" t="n">
        <v>44478</v>
      </c>
      <c r="C89" s="1" t="n">
        <v>45963</v>
      </c>
      <c r="D89" t="inlineStr">
        <is>
          <t>ÖSTERGÖTLANDS LÄN</t>
        </is>
      </c>
      <c r="E89" t="inlineStr">
        <is>
          <t>LINKÖPING</t>
        </is>
      </c>
      <c r="F89" t="inlineStr">
        <is>
          <t>Övriga Aktiebolag</t>
        </is>
      </c>
      <c r="G89" t="n">
        <v>3</v>
      </c>
      <c r="H89" t="n">
        <v>0</v>
      </c>
      <c r="I89" t="n">
        <v>0</v>
      </c>
      <c r="J89" t="n">
        <v>0</v>
      </c>
      <c r="K89" t="n">
        <v>0</v>
      </c>
      <c r="L89" t="n">
        <v>0</v>
      </c>
      <c r="M89" t="n">
        <v>0</v>
      </c>
      <c r="N89" t="n">
        <v>0</v>
      </c>
      <c r="O89" t="n">
        <v>0</v>
      </c>
      <c r="P89" t="n">
        <v>0</v>
      </c>
      <c r="Q89" t="n">
        <v>0</v>
      </c>
      <c r="R89" s="2" t="inlineStr"/>
    </row>
    <row r="90" ht="15" customHeight="1">
      <c r="A90" t="inlineStr">
        <is>
          <t>A 7289-2021</t>
        </is>
      </c>
      <c r="B90" s="1" t="n">
        <v>44238</v>
      </c>
      <c r="C90" s="1" t="n">
        <v>45963</v>
      </c>
      <c r="D90" t="inlineStr">
        <is>
          <t>ÖSTERGÖTLANDS LÄN</t>
        </is>
      </c>
      <c r="E90" t="inlineStr">
        <is>
          <t>LINKÖPING</t>
        </is>
      </c>
      <c r="G90" t="n">
        <v>0.7</v>
      </c>
      <c r="H90" t="n">
        <v>0</v>
      </c>
      <c r="I90" t="n">
        <v>0</v>
      </c>
      <c r="J90" t="n">
        <v>0</v>
      </c>
      <c r="K90" t="n">
        <v>0</v>
      </c>
      <c r="L90" t="n">
        <v>0</v>
      </c>
      <c r="M90" t="n">
        <v>0</v>
      </c>
      <c r="N90" t="n">
        <v>0</v>
      </c>
      <c r="O90" t="n">
        <v>0</v>
      </c>
      <c r="P90" t="n">
        <v>0</v>
      </c>
      <c r="Q90" t="n">
        <v>0</v>
      </c>
      <c r="R90" s="2" t="inlineStr"/>
    </row>
    <row r="91" ht="15" customHeight="1">
      <c r="A91" t="inlineStr">
        <is>
          <t>A 6958-2021</t>
        </is>
      </c>
      <c r="B91" s="1" t="n">
        <v>44237</v>
      </c>
      <c r="C91" s="1" t="n">
        <v>45963</v>
      </c>
      <c r="D91" t="inlineStr">
        <is>
          <t>ÖSTERGÖTLANDS LÄN</t>
        </is>
      </c>
      <c r="E91" t="inlineStr">
        <is>
          <t>LINKÖPING</t>
        </is>
      </c>
      <c r="G91" t="n">
        <v>0.6</v>
      </c>
      <c r="H91" t="n">
        <v>0</v>
      </c>
      <c r="I91" t="n">
        <v>0</v>
      </c>
      <c r="J91" t="n">
        <v>0</v>
      </c>
      <c r="K91" t="n">
        <v>0</v>
      </c>
      <c r="L91" t="n">
        <v>0</v>
      </c>
      <c r="M91" t="n">
        <v>0</v>
      </c>
      <c r="N91" t="n">
        <v>0</v>
      </c>
      <c r="O91" t="n">
        <v>0</v>
      </c>
      <c r="P91" t="n">
        <v>0</v>
      </c>
      <c r="Q91" t="n">
        <v>0</v>
      </c>
      <c r="R91" s="2" t="inlineStr"/>
    </row>
    <row r="92" ht="15" customHeight="1">
      <c r="A92" t="inlineStr">
        <is>
          <t>A 398-2021</t>
        </is>
      </c>
      <c r="B92" s="1" t="n">
        <v>44201</v>
      </c>
      <c r="C92" s="1" t="n">
        <v>45963</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45963</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7840-2022</t>
        </is>
      </c>
      <c r="B94" s="1" t="n">
        <v>44608</v>
      </c>
      <c r="C94" s="1" t="n">
        <v>45963</v>
      </c>
      <c r="D94" t="inlineStr">
        <is>
          <t>ÖSTERGÖTLANDS LÄN</t>
        </is>
      </c>
      <c r="E94" t="inlineStr">
        <is>
          <t>LINKÖPING</t>
        </is>
      </c>
      <c r="G94" t="n">
        <v>1</v>
      </c>
      <c r="H94" t="n">
        <v>0</v>
      </c>
      <c r="I94" t="n">
        <v>0</v>
      </c>
      <c r="J94" t="n">
        <v>0</v>
      </c>
      <c r="K94" t="n">
        <v>0</v>
      </c>
      <c r="L94" t="n">
        <v>0</v>
      </c>
      <c r="M94" t="n">
        <v>0</v>
      </c>
      <c r="N94" t="n">
        <v>0</v>
      </c>
      <c r="O94" t="n">
        <v>0</v>
      </c>
      <c r="P94" t="n">
        <v>0</v>
      </c>
      <c r="Q94" t="n">
        <v>0</v>
      </c>
      <c r="R94" s="2" t="inlineStr"/>
    </row>
    <row r="95" ht="15" customHeight="1">
      <c r="A95" t="inlineStr">
        <is>
          <t>A 40506-2021</t>
        </is>
      </c>
      <c r="B95" s="1" t="n">
        <v>44420</v>
      </c>
      <c r="C95" s="1" t="n">
        <v>45963</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64269-2021</t>
        </is>
      </c>
      <c r="B96" s="1" t="n">
        <v>44510</v>
      </c>
      <c r="C96" s="1" t="n">
        <v>45963</v>
      </c>
      <c r="D96" t="inlineStr">
        <is>
          <t>ÖSTERGÖTLANDS LÄN</t>
        </is>
      </c>
      <c r="E96" t="inlineStr">
        <is>
          <t>LINKÖPING</t>
        </is>
      </c>
      <c r="G96" t="n">
        <v>1.9</v>
      </c>
      <c r="H96" t="n">
        <v>0</v>
      </c>
      <c r="I96" t="n">
        <v>0</v>
      </c>
      <c r="J96" t="n">
        <v>0</v>
      </c>
      <c r="K96" t="n">
        <v>0</v>
      </c>
      <c r="L96" t="n">
        <v>0</v>
      </c>
      <c r="M96" t="n">
        <v>0</v>
      </c>
      <c r="N96" t="n">
        <v>0</v>
      </c>
      <c r="O96" t="n">
        <v>0</v>
      </c>
      <c r="P96" t="n">
        <v>0</v>
      </c>
      <c r="Q96" t="n">
        <v>0</v>
      </c>
      <c r="R96" s="2" t="inlineStr"/>
    </row>
    <row r="97" ht="15" customHeight="1">
      <c r="A97" t="inlineStr">
        <is>
          <t>A 58407-2021</t>
        </is>
      </c>
      <c r="B97" s="1" t="n">
        <v>44488</v>
      </c>
      <c r="C97" s="1" t="n">
        <v>45963</v>
      </c>
      <c r="D97" t="inlineStr">
        <is>
          <t>ÖSTERGÖTLANDS LÄN</t>
        </is>
      </c>
      <c r="E97" t="inlineStr">
        <is>
          <t>LINKÖPING</t>
        </is>
      </c>
      <c r="G97" t="n">
        <v>1.1</v>
      </c>
      <c r="H97" t="n">
        <v>0</v>
      </c>
      <c r="I97" t="n">
        <v>0</v>
      </c>
      <c r="J97" t="n">
        <v>0</v>
      </c>
      <c r="K97" t="n">
        <v>0</v>
      </c>
      <c r="L97" t="n">
        <v>0</v>
      </c>
      <c r="M97" t="n">
        <v>0</v>
      </c>
      <c r="N97" t="n">
        <v>0</v>
      </c>
      <c r="O97" t="n">
        <v>0</v>
      </c>
      <c r="P97" t="n">
        <v>0</v>
      </c>
      <c r="Q97" t="n">
        <v>0</v>
      </c>
      <c r="R97" s="2" t="inlineStr"/>
    </row>
    <row r="98" ht="15" customHeight="1">
      <c r="A98" t="inlineStr">
        <is>
          <t>A 30800-2022</t>
        </is>
      </c>
      <c r="B98" s="1" t="n">
        <v>44764.75119212963</v>
      </c>
      <c r="C98" s="1" t="n">
        <v>45963</v>
      </c>
      <c r="D98" t="inlineStr">
        <is>
          <t>ÖSTERGÖTLANDS LÄN</t>
        </is>
      </c>
      <c r="E98" t="inlineStr">
        <is>
          <t>LINKÖPING</t>
        </is>
      </c>
      <c r="G98" t="n">
        <v>0.9</v>
      </c>
      <c r="H98" t="n">
        <v>0</v>
      </c>
      <c r="I98" t="n">
        <v>0</v>
      </c>
      <c r="J98" t="n">
        <v>0</v>
      </c>
      <c r="K98" t="n">
        <v>0</v>
      </c>
      <c r="L98" t="n">
        <v>0</v>
      </c>
      <c r="M98" t="n">
        <v>0</v>
      </c>
      <c r="N98" t="n">
        <v>0</v>
      </c>
      <c r="O98" t="n">
        <v>0</v>
      </c>
      <c r="P98" t="n">
        <v>0</v>
      </c>
      <c r="Q98" t="n">
        <v>0</v>
      </c>
      <c r="R98" s="2" t="inlineStr"/>
    </row>
    <row r="99" ht="15" customHeight="1">
      <c r="A99" t="inlineStr">
        <is>
          <t>A 40635-2021</t>
        </is>
      </c>
      <c r="B99" s="1" t="n">
        <v>44420</v>
      </c>
      <c r="C99" s="1" t="n">
        <v>45963</v>
      </c>
      <c r="D99" t="inlineStr">
        <is>
          <t>ÖSTERGÖTLANDS LÄN</t>
        </is>
      </c>
      <c r="E99" t="inlineStr">
        <is>
          <t>LINKÖPING</t>
        </is>
      </c>
      <c r="G99" t="n">
        <v>2.7</v>
      </c>
      <c r="H99" t="n">
        <v>0</v>
      </c>
      <c r="I99" t="n">
        <v>0</v>
      </c>
      <c r="J99" t="n">
        <v>0</v>
      </c>
      <c r="K99" t="n">
        <v>0</v>
      </c>
      <c r="L99" t="n">
        <v>0</v>
      </c>
      <c r="M99" t="n">
        <v>0</v>
      </c>
      <c r="N99" t="n">
        <v>0</v>
      </c>
      <c r="O99" t="n">
        <v>0</v>
      </c>
      <c r="P99" t="n">
        <v>0</v>
      </c>
      <c r="Q99" t="n">
        <v>0</v>
      </c>
      <c r="R99" s="2" t="inlineStr"/>
    </row>
    <row r="100" ht="15" customHeight="1">
      <c r="A100" t="inlineStr">
        <is>
          <t>A 49018-2022</t>
        </is>
      </c>
      <c r="B100" s="1" t="n">
        <v>44855</v>
      </c>
      <c r="C100" s="1" t="n">
        <v>45963</v>
      </c>
      <c r="D100" t="inlineStr">
        <is>
          <t>ÖSTERGÖTLANDS LÄN</t>
        </is>
      </c>
      <c r="E100" t="inlineStr">
        <is>
          <t>LINKÖPING</t>
        </is>
      </c>
      <c r="F100" t="inlineStr">
        <is>
          <t>Kommuner</t>
        </is>
      </c>
      <c r="G100" t="n">
        <v>0.4</v>
      </c>
      <c r="H100" t="n">
        <v>0</v>
      </c>
      <c r="I100" t="n">
        <v>0</v>
      </c>
      <c r="J100" t="n">
        <v>0</v>
      </c>
      <c r="K100" t="n">
        <v>0</v>
      </c>
      <c r="L100" t="n">
        <v>0</v>
      </c>
      <c r="M100" t="n">
        <v>0</v>
      </c>
      <c r="N100" t="n">
        <v>0</v>
      </c>
      <c r="O100" t="n">
        <v>0</v>
      </c>
      <c r="P100" t="n">
        <v>0</v>
      </c>
      <c r="Q100" t="n">
        <v>0</v>
      </c>
      <c r="R100" s="2" t="inlineStr"/>
    </row>
    <row r="101" ht="15" customHeight="1">
      <c r="A101" t="inlineStr">
        <is>
          <t>A 1581-2022</t>
        </is>
      </c>
      <c r="B101" s="1" t="n">
        <v>44573</v>
      </c>
      <c r="C101" s="1" t="n">
        <v>45963</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46234-2022</t>
        </is>
      </c>
      <c r="B102" s="1" t="n">
        <v>44846</v>
      </c>
      <c r="C102" s="1" t="n">
        <v>45963</v>
      </c>
      <c r="D102" t="inlineStr">
        <is>
          <t>ÖSTERGÖTLANDS LÄN</t>
        </is>
      </c>
      <c r="E102" t="inlineStr">
        <is>
          <t>LINKÖPING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45963</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45963</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159-2022</t>
        </is>
      </c>
      <c r="B105" s="1" t="n">
        <v>44564</v>
      </c>
      <c r="C105" s="1" t="n">
        <v>45963</v>
      </c>
      <c r="D105" t="inlineStr">
        <is>
          <t>ÖSTERGÖTLANDS LÄN</t>
        </is>
      </c>
      <c r="E105" t="inlineStr">
        <is>
          <t>LINKÖPING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45963</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47462-2022</t>
        </is>
      </c>
      <c r="B107" s="1" t="n">
        <v>44853.62758101852</v>
      </c>
      <c r="C107" s="1" t="n">
        <v>45963</v>
      </c>
      <c r="D107" t="inlineStr">
        <is>
          <t>ÖSTERGÖTLANDS LÄN</t>
        </is>
      </c>
      <c r="E107" t="inlineStr">
        <is>
          <t>LINKÖPING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32433-2022</t>
        </is>
      </c>
      <c r="B108" s="1" t="n">
        <v>44782.48431712963</v>
      </c>
      <c r="C108" s="1" t="n">
        <v>45963</v>
      </c>
      <c r="D108" t="inlineStr">
        <is>
          <t>ÖSTERGÖTLANDS LÄN</t>
        </is>
      </c>
      <c r="E108" t="inlineStr">
        <is>
          <t>LINKÖPING</t>
        </is>
      </c>
      <c r="G108" t="n">
        <v>11.3</v>
      </c>
      <c r="H108" t="n">
        <v>0</v>
      </c>
      <c r="I108" t="n">
        <v>0</v>
      </c>
      <c r="J108" t="n">
        <v>0</v>
      </c>
      <c r="K108" t="n">
        <v>0</v>
      </c>
      <c r="L108" t="n">
        <v>0</v>
      </c>
      <c r="M108" t="n">
        <v>0</v>
      </c>
      <c r="N108" t="n">
        <v>0</v>
      </c>
      <c r="O108" t="n">
        <v>0</v>
      </c>
      <c r="P108" t="n">
        <v>0</v>
      </c>
      <c r="Q108" t="n">
        <v>0</v>
      </c>
      <c r="R108" s="2" t="inlineStr"/>
    </row>
    <row r="109" ht="15" customHeight="1">
      <c r="A109" t="inlineStr">
        <is>
          <t>A 38143-2021</t>
        </is>
      </c>
      <c r="B109" s="1" t="n">
        <v>44405</v>
      </c>
      <c r="C109" s="1" t="n">
        <v>45963</v>
      </c>
      <c r="D109" t="inlineStr">
        <is>
          <t>ÖSTERGÖTLANDS LÄN</t>
        </is>
      </c>
      <c r="E109" t="inlineStr">
        <is>
          <t>LINKÖPING</t>
        </is>
      </c>
      <c r="G109" t="n">
        <v>4.1</v>
      </c>
      <c r="H109" t="n">
        <v>0</v>
      </c>
      <c r="I109" t="n">
        <v>0</v>
      </c>
      <c r="J109" t="n">
        <v>0</v>
      </c>
      <c r="K109" t="n">
        <v>0</v>
      </c>
      <c r="L109" t="n">
        <v>0</v>
      </c>
      <c r="M109" t="n">
        <v>0</v>
      </c>
      <c r="N109" t="n">
        <v>0</v>
      </c>
      <c r="O109" t="n">
        <v>0</v>
      </c>
      <c r="P109" t="n">
        <v>0</v>
      </c>
      <c r="Q109" t="n">
        <v>0</v>
      </c>
      <c r="R109" s="2" t="inlineStr"/>
    </row>
    <row r="110" ht="15" customHeight="1">
      <c r="A110" t="inlineStr">
        <is>
          <t>A 38254-2021</t>
        </is>
      </c>
      <c r="B110" s="1" t="n">
        <v>44405</v>
      </c>
      <c r="C110" s="1" t="n">
        <v>45963</v>
      </c>
      <c r="D110" t="inlineStr">
        <is>
          <t>ÖSTERGÖTLANDS LÄN</t>
        </is>
      </c>
      <c r="E110" t="inlineStr">
        <is>
          <t>LINKÖPING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261-2021</t>
        </is>
      </c>
      <c r="B111" s="1" t="n">
        <v>44200</v>
      </c>
      <c r="C111" s="1" t="n">
        <v>45963</v>
      </c>
      <c r="D111" t="inlineStr">
        <is>
          <t>ÖSTERGÖTLANDS LÄN</t>
        </is>
      </c>
      <c r="E111" t="inlineStr">
        <is>
          <t>LINKÖPING</t>
        </is>
      </c>
      <c r="G111" t="n">
        <v>3.1</v>
      </c>
      <c r="H111" t="n">
        <v>0</v>
      </c>
      <c r="I111" t="n">
        <v>0</v>
      </c>
      <c r="J111" t="n">
        <v>0</v>
      </c>
      <c r="K111" t="n">
        <v>0</v>
      </c>
      <c r="L111" t="n">
        <v>0</v>
      </c>
      <c r="M111" t="n">
        <v>0</v>
      </c>
      <c r="N111" t="n">
        <v>0</v>
      </c>
      <c r="O111" t="n">
        <v>0</v>
      </c>
      <c r="P111" t="n">
        <v>0</v>
      </c>
      <c r="Q111" t="n">
        <v>0</v>
      </c>
      <c r="R111" s="2" t="inlineStr"/>
    </row>
    <row r="112" ht="15" customHeight="1">
      <c r="A112" t="inlineStr">
        <is>
          <t>A 31703-2022</t>
        </is>
      </c>
      <c r="B112" s="1" t="n">
        <v>44776</v>
      </c>
      <c r="C112" s="1" t="n">
        <v>45963</v>
      </c>
      <c r="D112" t="inlineStr">
        <is>
          <t>ÖSTERGÖTLANDS LÄN</t>
        </is>
      </c>
      <c r="E112" t="inlineStr">
        <is>
          <t>LINKÖPING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67120-2020</t>
        </is>
      </c>
      <c r="B113" s="1" t="n">
        <v>44180</v>
      </c>
      <c r="C113" s="1" t="n">
        <v>45963</v>
      </c>
      <c r="D113" t="inlineStr">
        <is>
          <t>ÖSTERGÖTLANDS LÄN</t>
        </is>
      </c>
      <c r="E113" t="inlineStr">
        <is>
          <t>LINKÖPING</t>
        </is>
      </c>
      <c r="F113" t="inlineStr">
        <is>
          <t>Övriga statliga verk och myndigheter</t>
        </is>
      </c>
      <c r="G113" t="n">
        <v>1.4</v>
      </c>
      <c r="H113" t="n">
        <v>0</v>
      </c>
      <c r="I113" t="n">
        <v>0</v>
      </c>
      <c r="J113" t="n">
        <v>0</v>
      </c>
      <c r="K113" t="n">
        <v>0</v>
      </c>
      <c r="L113" t="n">
        <v>0</v>
      </c>
      <c r="M113" t="n">
        <v>0</v>
      </c>
      <c r="N113" t="n">
        <v>0</v>
      </c>
      <c r="O113" t="n">
        <v>0</v>
      </c>
      <c r="P113" t="n">
        <v>0</v>
      </c>
      <c r="Q113" t="n">
        <v>0</v>
      </c>
      <c r="R113" s="2" t="inlineStr"/>
    </row>
    <row r="114" ht="15" customHeight="1">
      <c r="A114" t="inlineStr">
        <is>
          <t>A 44054-2021</t>
        </is>
      </c>
      <c r="B114" s="1" t="n">
        <v>44434</v>
      </c>
      <c r="C114" s="1" t="n">
        <v>45963</v>
      </c>
      <c r="D114" t="inlineStr">
        <is>
          <t>ÖSTERGÖTLANDS LÄN</t>
        </is>
      </c>
      <c r="E114" t="inlineStr">
        <is>
          <t>LINKÖPING</t>
        </is>
      </c>
      <c r="F114" t="inlineStr">
        <is>
          <t>Övriga Aktiebolag</t>
        </is>
      </c>
      <c r="G114" t="n">
        <v>2.3</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45963</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45963</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40437-2021</t>
        </is>
      </c>
      <c r="B117" s="1" t="n">
        <v>44419</v>
      </c>
      <c r="C117" s="1" t="n">
        <v>45963</v>
      </c>
      <c r="D117" t="inlineStr">
        <is>
          <t>ÖSTERGÖTLANDS LÄN</t>
        </is>
      </c>
      <c r="E117" t="inlineStr">
        <is>
          <t>LINKÖPING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45963</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45963</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45963</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45963</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45963</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45963</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45963</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45963</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45963</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45963</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45963</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45963</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45963</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45963</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45963</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45963</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45963</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45963</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45963</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45963</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45963</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45963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45963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45963</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384-2021</t>
        </is>
      </c>
      <c r="B142" s="1" t="n">
        <v>44201.57689814815</v>
      </c>
      <c r="C142" s="1" t="n">
        <v>45963</v>
      </c>
      <c r="D142" t="inlineStr">
        <is>
          <t>ÖSTERGÖTLANDS LÄN</t>
        </is>
      </c>
      <c r="E142" t="inlineStr">
        <is>
          <t>LINKÖPING</t>
        </is>
      </c>
      <c r="G142" t="n">
        <v>0.2</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45963</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45963</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45963</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45963</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45963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45963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38134-2021</t>
        </is>
      </c>
      <c r="B149" s="1" t="n">
        <v>44405.3794212963</v>
      </c>
      <c r="C149" s="1" t="n">
        <v>45963</v>
      </c>
      <c r="D149" t="inlineStr">
        <is>
          <t>ÖSTERGÖTLANDS LÄN</t>
        </is>
      </c>
      <c r="E149" t="inlineStr">
        <is>
          <t>LINKÖPING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4929-2021</t>
        </is>
      </c>
      <c r="B150" s="1" t="n">
        <v>44227.57533564815</v>
      </c>
      <c r="C150" s="1" t="n">
        <v>45963</v>
      </c>
      <c r="D150" t="inlineStr">
        <is>
          <t>ÖSTERGÖTLANDS LÄN</t>
        </is>
      </c>
      <c r="E150" t="inlineStr">
        <is>
          <t>LINKÖPING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45963</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44849-2022</t>
        </is>
      </c>
      <c r="B152" s="1" t="n">
        <v>44841</v>
      </c>
      <c r="C152" s="1" t="n">
        <v>45963</v>
      </c>
      <c r="D152" t="inlineStr">
        <is>
          <t>ÖSTERGÖTLANDS LÄN</t>
        </is>
      </c>
      <c r="E152" t="inlineStr">
        <is>
          <t>LINKÖPING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70835-2021</t>
        </is>
      </c>
      <c r="B153" s="1" t="n">
        <v>44537</v>
      </c>
      <c r="C153" s="1" t="n">
        <v>45963</v>
      </c>
      <c r="D153" t="inlineStr">
        <is>
          <t>ÖSTERGÖTLANDS LÄN</t>
        </is>
      </c>
      <c r="E153" t="inlineStr">
        <is>
          <t>LINKÖPING</t>
        </is>
      </c>
      <c r="G153" t="n">
        <v>2.3</v>
      </c>
      <c r="H153" t="n">
        <v>0</v>
      </c>
      <c r="I153" t="n">
        <v>0</v>
      </c>
      <c r="J153" t="n">
        <v>0</v>
      </c>
      <c r="K153" t="n">
        <v>0</v>
      </c>
      <c r="L153" t="n">
        <v>0</v>
      </c>
      <c r="M153" t="n">
        <v>0</v>
      </c>
      <c r="N153" t="n">
        <v>0</v>
      </c>
      <c r="O153" t="n">
        <v>0</v>
      </c>
      <c r="P153" t="n">
        <v>0</v>
      </c>
      <c r="Q153" t="n">
        <v>0</v>
      </c>
      <c r="R153" s="2" t="inlineStr"/>
    </row>
    <row r="154" ht="15" customHeight="1">
      <c r="A154" t="inlineStr">
        <is>
          <t>A 33891-2021</t>
        </is>
      </c>
      <c r="B154" s="1" t="n">
        <v>44378</v>
      </c>
      <c r="C154" s="1" t="n">
        <v>45963</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45963</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45963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45963</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45963</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45963</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58266-2021</t>
        </is>
      </c>
      <c r="B160" s="1" t="n">
        <v>44487</v>
      </c>
      <c r="C160" s="1" t="n">
        <v>45963</v>
      </c>
      <c r="D160" t="inlineStr">
        <is>
          <t>ÖSTERGÖTLANDS LÄN</t>
        </is>
      </c>
      <c r="E160" t="inlineStr">
        <is>
          <t>LINKÖPING</t>
        </is>
      </c>
      <c r="F160" t="inlineStr">
        <is>
          <t>Övriga Aktiebolag</t>
        </is>
      </c>
      <c r="G160" t="n">
        <v>3.2</v>
      </c>
      <c r="H160" t="n">
        <v>0</v>
      </c>
      <c r="I160" t="n">
        <v>0</v>
      </c>
      <c r="J160" t="n">
        <v>0</v>
      </c>
      <c r="K160" t="n">
        <v>0</v>
      </c>
      <c r="L160" t="n">
        <v>0</v>
      </c>
      <c r="M160" t="n">
        <v>0</v>
      </c>
      <c r="N160" t="n">
        <v>0</v>
      </c>
      <c r="O160" t="n">
        <v>0</v>
      </c>
      <c r="P160" t="n">
        <v>0</v>
      </c>
      <c r="Q160" t="n">
        <v>0</v>
      </c>
      <c r="R160" s="2" t="inlineStr"/>
    </row>
    <row r="161" ht="15" customHeight="1">
      <c r="A161" t="inlineStr">
        <is>
          <t>A 4377-2021</t>
        </is>
      </c>
      <c r="B161" s="1" t="n">
        <v>44223</v>
      </c>
      <c r="C161" s="1" t="n">
        <v>45963</v>
      </c>
      <c r="D161" t="inlineStr">
        <is>
          <t>ÖSTERGÖTLANDS LÄN</t>
        </is>
      </c>
      <c r="E161" t="inlineStr">
        <is>
          <t>LINKÖPING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28447-2021</t>
        </is>
      </c>
      <c r="B162" s="1" t="n">
        <v>44356</v>
      </c>
      <c r="C162" s="1" t="n">
        <v>45963</v>
      </c>
      <c r="D162" t="inlineStr">
        <is>
          <t>ÖSTERGÖTLANDS LÄN</t>
        </is>
      </c>
      <c r="E162" t="inlineStr">
        <is>
          <t>LINKÖPING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61153-2021</t>
        </is>
      </c>
      <c r="B163" s="1" t="n">
        <v>44497</v>
      </c>
      <c r="C163" s="1" t="n">
        <v>45963</v>
      </c>
      <c r="D163" t="inlineStr">
        <is>
          <t>ÖSTERGÖTLANDS LÄN</t>
        </is>
      </c>
      <c r="E163" t="inlineStr">
        <is>
          <t>LINKÖPING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11079-2022</t>
        </is>
      </c>
      <c r="B164" s="1" t="n">
        <v>44628</v>
      </c>
      <c r="C164" s="1" t="n">
        <v>45963</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33885-2021</t>
        </is>
      </c>
      <c r="B165" s="1" t="n">
        <v>44378</v>
      </c>
      <c r="C165" s="1" t="n">
        <v>45963</v>
      </c>
      <c r="D165" t="inlineStr">
        <is>
          <t>ÖSTERGÖTLANDS LÄN</t>
        </is>
      </c>
      <c r="E165" t="inlineStr">
        <is>
          <t>LINKÖPING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20901-2021</t>
        </is>
      </c>
      <c r="B166" s="1" t="n">
        <v>44319</v>
      </c>
      <c r="C166" s="1" t="n">
        <v>45963</v>
      </c>
      <c r="D166" t="inlineStr">
        <is>
          <t>ÖSTERGÖTLANDS LÄN</t>
        </is>
      </c>
      <c r="E166" t="inlineStr">
        <is>
          <t>LINKÖPING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9935-2021</t>
        </is>
      </c>
      <c r="B167" s="1" t="n">
        <v>44253</v>
      </c>
      <c r="C167" s="1" t="n">
        <v>45963</v>
      </c>
      <c r="D167" t="inlineStr">
        <is>
          <t>ÖSTERGÖTLANDS LÄN</t>
        </is>
      </c>
      <c r="E167" t="inlineStr">
        <is>
          <t>LINKÖPING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45963</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12413-2022</t>
        </is>
      </c>
      <c r="B169" s="1" t="n">
        <v>44638</v>
      </c>
      <c r="C169" s="1" t="n">
        <v>45963</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45963</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46490-2022</t>
        </is>
      </c>
      <c r="B171" s="1" t="n">
        <v>44848</v>
      </c>
      <c r="C171" s="1" t="n">
        <v>45963</v>
      </c>
      <c r="D171" t="inlineStr">
        <is>
          <t>ÖSTERGÖTLANDS LÄN</t>
        </is>
      </c>
      <c r="E171" t="inlineStr">
        <is>
          <t>LINKÖPING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45963</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54467-2022</t>
        </is>
      </c>
      <c r="B173" s="1" t="n">
        <v>44882</v>
      </c>
      <c r="C173" s="1" t="n">
        <v>45963</v>
      </c>
      <c r="D173" t="inlineStr">
        <is>
          <t>ÖSTERGÖTLANDS LÄN</t>
        </is>
      </c>
      <c r="E173" t="inlineStr">
        <is>
          <t>LINKÖPING</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36341-2022</t>
        </is>
      </c>
      <c r="B174" s="1" t="n">
        <v>44803</v>
      </c>
      <c r="C174" s="1" t="n">
        <v>45963</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45963</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45963</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4240-2022</t>
        </is>
      </c>
      <c r="B177" s="1" t="n">
        <v>44588</v>
      </c>
      <c r="C177" s="1" t="n">
        <v>45963</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10951-2022</t>
        </is>
      </c>
      <c r="B178" s="1" t="n">
        <v>44627</v>
      </c>
      <c r="C178" s="1" t="n">
        <v>45963</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33134-2022</t>
        </is>
      </c>
      <c r="B179" s="1" t="n">
        <v>44785</v>
      </c>
      <c r="C179" s="1" t="n">
        <v>45963</v>
      </c>
      <c r="D179" t="inlineStr">
        <is>
          <t>ÖSTERGÖTLANDS LÄN</t>
        </is>
      </c>
      <c r="E179" t="inlineStr">
        <is>
          <t>LINKÖPING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46891-2021</t>
        </is>
      </c>
      <c r="B180" s="1" t="n">
        <v>44446.44587962963</v>
      </c>
      <c r="C180" s="1" t="n">
        <v>45963</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45963</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34486-2021</t>
        </is>
      </c>
      <c r="B182" s="1" t="n">
        <v>44382.29295138889</v>
      </c>
      <c r="C182" s="1" t="n">
        <v>45963</v>
      </c>
      <c r="D182" t="inlineStr">
        <is>
          <t>ÖSTERGÖTLANDS LÄN</t>
        </is>
      </c>
      <c r="E182" t="inlineStr">
        <is>
          <t>LINKÖPING</t>
        </is>
      </c>
      <c r="G182" t="n">
        <v>4.4</v>
      </c>
      <c r="H182" t="n">
        <v>0</v>
      </c>
      <c r="I182" t="n">
        <v>0</v>
      </c>
      <c r="J182" t="n">
        <v>0</v>
      </c>
      <c r="K182" t="n">
        <v>0</v>
      </c>
      <c r="L182" t="n">
        <v>0</v>
      </c>
      <c r="M182" t="n">
        <v>0</v>
      </c>
      <c r="N182" t="n">
        <v>0</v>
      </c>
      <c r="O182" t="n">
        <v>0</v>
      </c>
      <c r="P182" t="n">
        <v>0</v>
      </c>
      <c r="Q182" t="n">
        <v>0</v>
      </c>
      <c r="R182" s="2" t="inlineStr"/>
    </row>
    <row r="183" ht="15" customHeight="1">
      <c r="A183" t="inlineStr">
        <is>
          <t>A 27666-2022</t>
        </is>
      </c>
      <c r="B183" s="1" t="n">
        <v>44743.39017361111</v>
      </c>
      <c r="C183" s="1" t="n">
        <v>45963</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19183-2021</t>
        </is>
      </c>
      <c r="B184" s="1" t="n">
        <v>44308.73248842593</v>
      </c>
      <c r="C184" s="1" t="n">
        <v>45963</v>
      </c>
      <c r="D184" t="inlineStr">
        <is>
          <t>ÖSTERGÖTLANDS LÄN</t>
        </is>
      </c>
      <c r="E184" t="inlineStr">
        <is>
          <t>LINKÖPING</t>
        </is>
      </c>
      <c r="F184" t="inlineStr">
        <is>
          <t>Allmännings- och besparingsskogar</t>
        </is>
      </c>
      <c r="G184" t="n">
        <v>4.6</v>
      </c>
      <c r="H184" t="n">
        <v>0</v>
      </c>
      <c r="I184" t="n">
        <v>0</v>
      </c>
      <c r="J184" t="n">
        <v>0</v>
      </c>
      <c r="K184" t="n">
        <v>0</v>
      </c>
      <c r="L184" t="n">
        <v>0</v>
      </c>
      <c r="M184" t="n">
        <v>0</v>
      </c>
      <c r="N184" t="n">
        <v>0</v>
      </c>
      <c r="O184" t="n">
        <v>0</v>
      </c>
      <c r="P184" t="n">
        <v>0</v>
      </c>
      <c r="Q184" t="n">
        <v>0</v>
      </c>
      <c r="R184" s="2" t="inlineStr"/>
    </row>
    <row r="185" ht="15" customHeight="1">
      <c r="A185" t="inlineStr">
        <is>
          <t>A 59288-2020</t>
        </is>
      </c>
      <c r="B185" s="1" t="n">
        <v>44147</v>
      </c>
      <c r="C185" s="1" t="n">
        <v>45963</v>
      </c>
      <c r="D185" t="inlineStr">
        <is>
          <t>ÖSTERGÖTLANDS LÄN</t>
        </is>
      </c>
      <c r="E185" t="inlineStr">
        <is>
          <t>LINKÖPING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38235-2022</t>
        </is>
      </c>
      <c r="B186" s="1" t="n">
        <v>44812</v>
      </c>
      <c r="C186" s="1" t="n">
        <v>45963</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23416-2022</t>
        </is>
      </c>
      <c r="B187" s="1" t="n">
        <v>44720.78243055556</v>
      </c>
      <c r="C187" s="1" t="n">
        <v>45963</v>
      </c>
      <c r="D187" t="inlineStr">
        <is>
          <t>ÖSTERGÖTLANDS LÄN</t>
        </is>
      </c>
      <c r="E187" t="inlineStr">
        <is>
          <t>LINKÖPING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5605-2022</t>
        </is>
      </c>
      <c r="B188" s="1" t="n">
        <v>44595</v>
      </c>
      <c r="C188" s="1" t="n">
        <v>45963</v>
      </c>
      <c r="D188" t="inlineStr">
        <is>
          <t>ÖSTERGÖTLANDS LÄN</t>
        </is>
      </c>
      <c r="E188" t="inlineStr">
        <is>
          <t>LINKÖPING</t>
        </is>
      </c>
      <c r="F188" t="inlineStr">
        <is>
          <t>Övriga statliga verk och myndigheter</t>
        </is>
      </c>
      <c r="G188" t="n">
        <v>3</v>
      </c>
      <c r="H188" t="n">
        <v>0</v>
      </c>
      <c r="I188" t="n">
        <v>0</v>
      </c>
      <c r="J188" t="n">
        <v>0</v>
      </c>
      <c r="K188" t="n">
        <v>0</v>
      </c>
      <c r="L188" t="n">
        <v>0</v>
      </c>
      <c r="M188" t="n">
        <v>0</v>
      </c>
      <c r="N188" t="n">
        <v>0</v>
      </c>
      <c r="O188" t="n">
        <v>0</v>
      </c>
      <c r="P188" t="n">
        <v>0</v>
      </c>
      <c r="Q188" t="n">
        <v>0</v>
      </c>
      <c r="R188" s="2" t="inlineStr"/>
    </row>
    <row r="189" ht="15" customHeight="1">
      <c r="A189" t="inlineStr">
        <is>
          <t>A 56688-2021</t>
        </is>
      </c>
      <c r="B189" s="1" t="n">
        <v>44481</v>
      </c>
      <c r="C189" s="1" t="n">
        <v>45963</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34880-2022</t>
        </is>
      </c>
      <c r="B190" s="1" t="n">
        <v>44796</v>
      </c>
      <c r="C190" s="1" t="n">
        <v>45963</v>
      </c>
      <c r="D190" t="inlineStr">
        <is>
          <t>ÖSTERGÖTLANDS LÄN</t>
        </is>
      </c>
      <c r="E190" t="inlineStr">
        <is>
          <t>LINKÖPING</t>
        </is>
      </c>
      <c r="F190" t="inlineStr">
        <is>
          <t>Övriga statliga verk och myndigheter</t>
        </is>
      </c>
      <c r="G190" t="n">
        <v>4</v>
      </c>
      <c r="H190" t="n">
        <v>0</v>
      </c>
      <c r="I190" t="n">
        <v>0</v>
      </c>
      <c r="J190" t="n">
        <v>0</v>
      </c>
      <c r="K190" t="n">
        <v>0</v>
      </c>
      <c r="L190" t="n">
        <v>0</v>
      </c>
      <c r="M190" t="n">
        <v>0</v>
      </c>
      <c r="N190" t="n">
        <v>0</v>
      </c>
      <c r="O190" t="n">
        <v>0</v>
      </c>
      <c r="P190" t="n">
        <v>0</v>
      </c>
      <c r="Q190" t="n">
        <v>0</v>
      </c>
      <c r="R190" s="2" t="inlineStr"/>
    </row>
    <row r="191" ht="15" customHeight="1">
      <c r="A191" t="inlineStr">
        <is>
          <t>A 48042-2022</t>
        </is>
      </c>
      <c r="B191" s="1" t="n">
        <v>44855</v>
      </c>
      <c r="C191" s="1" t="n">
        <v>45963</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13922-2021</t>
        </is>
      </c>
      <c r="B192" s="1" t="n">
        <v>44277.45946759259</v>
      </c>
      <c r="C192" s="1" t="n">
        <v>45963</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27769-2022</t>
        </is>
      </c>
      <c r="B193" s="1" t="n">
        <v>44743.53200231482</v>
      </c>
      <c r="C193" s="1" t="n">
        <v>45963</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1787-2022</t>
        </is>
      </c>
      <c r="B194" s="1" t="n">
        <v>44574</v>
      </c>
      <c r="C194" s="1" t="n">
        <v>45963</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948-2022</t>
        </is>
      </c>
      <c r="B195" s="1" t="n">
        <v>44571</v>
      </c>
      <c r="C195" s="1" t="n">
        <v>45963</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3008-2023</t>
        </is>
      </c>
      <c r="B196" s="1" t="n">
        <v>44945.79784722222</v>
      </c>
      <c r="C196" s="1" t="n">
        <v>45963</v>
      </c>
      <c r="D196" t="inlineStr">
        <is>
          <t>ÖSTERGÖTLANDS LÄN</t>
        </is>
      </c>
      <c r="E196" t="inlineStr">
        <is>
          <t>LINKÖPING</t>
        </is>
      </c>
      <c r="G196" t="n">
        <v>19.3</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45963</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45806-2024</t>
        </is>
      </c>
      <c r="B198" s="1" t="n">
        <v>45579.69619212963</v>
      </c>
      <c r="C198" s="1" t="n">
        <v>45963</v>
      </c>
      <c r="D198" t="inlineStr">
        <is>
          <t>ÖSTERGÖTLANDS LÄN</t>
        </is>
      </c>
      <c r="E198" t="inlineStr">
        <is>
          <t>LINKÖPING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37014-2021</t>
        </is>
      </c>
      <c r="B199" s="1" t="n">
        <v>44393</v>
      </c>
      <c r="C199" s="1" t="n">
        <v>45963</v>
      </c>
      <c r="D199" t="inlineStr">
        <is>
          <t>ÖSTERGÖTLANDS LÄN</t>
        </is>
      </c>
      <c r="E199" t="inlineStr">
        <is>
          <t>LINKÖPING</t>
        </is>
      </c>
      <c r="F199" t="inlineStr">
        <is>
          <t>Allmännings- och besparingsskogar</t>
        </is>
      </c>
      <c r="G199" t="n">
        <v>7.7</v>
      </c>
      <c r="H199" t="n">
        <v>0</v>
      </c>
      <c r="I199" t="n">
        <v>0</v>
      </c>
      <c r="J199" t="n">
        <v>0</v>
      </c>
      <c r="K199" t="n">
        <v>0</v>
      </c>
      <c r="L199" t="n">
        <v>0</v>
      </c>
      <c r="M199" t="n">
        <v>0</v>
      </c>
      <c r="N199" t="n">
        <v>0</v>
      </c>
      <c r="O199" t="n">
        <v>0</v>
      </c>
      <c r="P199" t="n">
        <v>0</v>
      </c>
      <c r="Q199" t="n">
        <v>0</v>
      </c>
      <c r="R199" s="2" t="inlineStr"/>
    </row>
    <row r="200" ht="15" customHeight="1">
      <c r="A200" t="inlineStr">
        <is>
          <t>A 56756-2023</t>
        </is>
      </c>
      <c r="B200" s="1" t="n">
        <v>45244</v>
      </c>
      <c r="C200" s="1" t="n">
        <v>45963</v>
      </c>
      <c r="D200" t="inlineStr">
        <is>
          <t>ÖSTERGÖTLANDS LÄN</t>
        </is>
      </c>
      <c r="E200" t="inlineStr">
        <is>
          <t>LINKÖPING</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34558-2022</t>
        </is>
      </c>
      <c r="B201" s="1" t="n">
        <v>44794.57594907407</v>
      </c>
      <c r="C201" s="1" t="n">
        <v>45963</v>
      </c>
      <c r="D201" t="inlineStr">
        <is>
          <t>ÖSTERGÖTLANDS LÄN</t>
        </is>
      </c>
      <c r="E201" t="inlineStr">
        <is>
          <t>LINKÖPING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45963</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40338-2024</t>
        </is>
      </c>
      <c r="B203" s="1" t="n">
        <v>45555.32940972222</v>
      </c>
      <c r="C203" s="1" t="n">
        <v>45963</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45963</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167-2024</t>
        </is>
      </c>
      <c r="B205" s="1" t="n">
        <v>45294</v>
      </c>
      <c r="C205" s="1" t="n">
        <v>45963</v>
      </c>
      <c r="D205" t="inlineStr">
        <is>
          <t>ÖSTERGÖTLANDS LÄN</t>
        </is>
      </c>
      <c r="E205" t="inlineStr">
        <is>
          <t>LINKÖPING</t>
        </is>
      </c>
      <c r="F205" t="inlineStr">
        <is>
          <t>Allmännings- och besparingsskogar</t>
        </is>
      </c>
      <c r="G205" t="n">
        <v>11.6</v>
      </c>
      <c r="H205" t="n">
        <v>0</v>
      </c>
      <c r="I205" t="n">
        <v>0</v>
      </c>
      <c r="J205" t="n">
        <v>0</v>
      </c>
      <c r="K205" t="n">
        <v>0</v>
      </c>
      <c r="L205" t="n">
        <v>0</v>
      </c>
      <c r="M205" t="n">
        <v>0</v>
      </c>
      <c r="N205" t="n">
        <v>0</v>
      </c>
      <c r="O205" t="n">
        <v>0</v>
      </c>
      <c r="P205" t="n">
        <v>0</v>
      </c>
      <c r="Q205" t="n">
        <v>0</v>
      </c>
      <c r="R205" s="2" t="inlineStr"/>
    </row>
    <row r="206" ht="15" customHeight="1">
      <c r="A206" t="inlineStr">
        <is>
          <t>A 25418-2023</t>
        </is>
      </c>
      <c r="B206" s="1" t="n">
        <v>45089</v>
      </c>
      <c r="C206" s="1" t="n">
        <v>45963</v>
      </c>
      <c r="D206" t="inlineStr">
        <is>
          <t>ÖSTERGÖTLANDS LÄN</t>
        </is>
      </c>
      <c r="E206" t="inlineStr">
        <is>
          <t>LINKÖPING</t>
        </is>
      </c>
      <c r="F206" t="inlineStr">
        <is>
          <t>Övriga Aktiebolag</t>
        </is>
      </c>
      <c r="G206" t="n">
        <v>2.4</v>
      </c>
      <c r="H206" t="n">
        <v>0</v>
      </c>
      <c r="I206" t="n">
        <v>0</v>
      </c>
      <c r="J206" t="n">
        <v>0</v>
      </c>
      <c r="K206" t="n">
        <v>0</v>
      </c>
      <c r="L206" t="n">
        <v>0</v>
      </c>
      <c r="M206" t="n">
        <v>0</v>
      </c>
      <c r="N206" t="n">
        <v>0</v>
      </c>
      <c r="O206" t="n">
        <v>0</v>
      </c>
      <c r="P206" t="n">
        <v>0</v>
      </c>
      <c r="Q206" t="n">
        <v>0</v>
      </c>
      <c r="R206" s="2" t="inlineStr"/>
    </row>
    <row r="207" ht="15" customHeight="1">
      <c r="A207" t="inlineStr">
        <is>
          <t>A 27186-2021</t>
        </is>
      </c>
      <c r="B207" s="1" t="n">
        <v>44350.67715277777</v>
      </c>
      <c r="C207" s="1" t="n">
        <v>45963</v>
      </c>
      <c r="D207" t="inlineStr">
        <is>
          <t>ÖSTERGÖTLANDS LÄN</t>
        </is>
      </c>
      <c r="E207" t="inlineStr">
        <is>
          <t>LINKÖPING</t>
        </is>
      </c>
      <c r="F207" t="inlineStr">
        <is>
          <t>Allmännings- och besparingsskogar</t>
        </is>
      </c>
      <c r="G207" t="n">
        <v>1.4</v>
      </c>
      <c r="H207" t="n">
        <v>0</v>
      </c>
      <c r="I207" t="n">
        <v>0</v>
      </c>
      <c r="J207" t="n">
        <v>0</v>
      </c>
      <c r="K207" t="n">
        <v>0</v>
      </c>
      <c r="L207" t="n">
        <v>0</v>
      </c>
      <c r="M207" t="n">
        <v>0</v>
      </c>
      <c r="N207" t="n">
        <v>0</v>
      </c>
      <c r="O207" t="n">
        <v>0</v>
      </c>
      <c r="P207" t="n">
        <v>0</v>
      </c>
      <c r="Q207" t="n">
        <v>0</v>
      </c>
      <c r="R207" s="2" t="inlineStr"/>
    </row>
    <row r="208" ht="15" customHeight="1">
      <c r="A208" t="inlineStr">
        <is>
          <t>A 22772-2024</t>
        </is>
      </c>
      <c r="B208" s="1" t="n">
        <v>45448.46712962963</v>
      </c>
      <c r="C208" s="1" t="n">
        <v>45963</v>
      </c>
      <c r="D208" t="inlineStr">
        <is>
          <t>ÖSTERGÖTLANDS LÄN</t>
        </is>
      </c>
      <c r="E208" t="inlineStr">
        <is>
          <t>LINKÖPING</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60985-2023</t>
        </is>
      </c>
      <c r="B209" s="1" t="n">
        <v>45261.48429398148</v>
      </c>
      <c r="C209" s="1" t="n">
        <v>45963</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7343-2025</t>
        </is>
      </c>
      <c r="B210" s="1" t="n">
        <v>45703.67853009259</v>
      </c>
      <c r="C210" s="1" t="n">
        <v>45963</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20455-2024</t>
        </is>
      </c>
      <c r="B211" s="1" t="n">
        <v>45435.65314814815</v>
      </c>
      <c r="C211" s="1" t="n">
        <v>45963</v>
      </c>
      <c r="D211" t="inlineStr">
        <is>
          <t>ÖSTERGÖTLANDS LÄN</t>
        </is>
      </c>
      <c r="E211" t="inlineStr">
        <is>
          <t>LINKÖPING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45963</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24904-2024</t>
        </is>
      </c>
      <c r="B213" s="1" t="n">
        <v>45461</v>
      </c>
      <c r="C213" s="1" t="n">
        <v>45963</v>
      </c>
      <c r="D213" t="inlineStr">
        <is>
          <t>ÖSTERGÖTLANDS LÄN</t>
        </is>
      </c>
      <c r="E213" t="inlineStr">
        <is>
          <t>LINKÖPING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55009-2023</t>
        </is>
      </c>
      <c r="B214" s="1" t="n">
        <v>45237</v>
      </c>
      <c r="C214" s="1" t="n">
        <v>45963</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34872-2023</t>
        </is>
      </c>
      <c r="B215" s="1" t="n">
        <v>45140</v>
      </c>
      <c r="C215" s="1" t="n">
        <v>45963</v>
      </c>
      <c r="D215" t="inlineStr">
        <is>
          <t>ÖSTERGÖTLANDS LÄN</t>
        </is>
      </c>
      <c r="E215" t="inlineStr">
        <is>
          <t>LINKÖPING</t>
        </is>
      </c>
      <c r="G215" t="n">
        <v>4.8</v>
      </c>
      <c r="H215" t="n">
        <v>0</v>
      </c>
      <c r="I215" t="n">
        <v>0</v>
      </c>
      <c r="J215" t="n">
        <v>0</v>
      </c>
      <c r="K215" t="n">
        <v>0</v>
      </c>
      <c r="L215" t="n">
        <v>0</v>
      </c>
      <c r="M215" t="n">
        <v>0</v>
      </c>
      <c r="N215" t="n">
        <v>0</v>
      </c>
      <c r="O215" t="n">
        <v>0</v>
      </c>
      <c r="P215" t="n">
        <v>0</v>
      </c>
      <c r="Q215" t="n">
        <v>0</v>
      </c>
      <c r="R215" s="2" t="inlineStr"/>
    </row>
    <row r="216" ht="15" customHeight="1">
      <c r="A216" t="inlineStr">
        <is>
          <t>A 54845-2023</t>
        </is>
      </c>
      <c r="B216" s="1" t="n">
        <v>45236</v>
      </c>
      <c r="C216" s="1" t="n">
        <v>45963</v>
      </c>
      <c r="D216" t="inlineStr">
        <is>
          <t>ÖSTERGÖTLANDS LÄN</t>
        </is>
      </c>
      <c r="E216" t="inlineStr">
        <is>
          <t>LINKÖPING</t>
        </is>
      </c>
      <c r="F216" t="inlineStr">
        <is>
          <t>Övriga Aktiebolag</t>
        </is>
      </c>
      <c r="G216" t="n">
        <v>5.7</v>
      </c>
      <c r="H216" t="n">
        <v>0</v>
      </c>
      <c r="I216" t="n">
        <v>0</v>
      </c>
      <c r="J216" t="n">
        <v>0</v>
      </c>
      <c r="K216" t="n">
        <v>0</v>
      </c>
      <c r="L216" t="n">
        <v>0</v>
      </c>
      <c r="M216" t="n">
        <v>0</v>
      </c>
      <c r="N216" t="n">
        <v>0</v>
      </c>
      <c r="O216" t="n">
        <v>0</v>
      </c>
      <c r="P216" t="n">
        <v>0</v>
      </c>
      <c r="Q216" t="n">
        <v>0</v>
      </c>
      <c r="R216" s="2" t="inlineStr"/>
    </row>
    <row r="217" ht="15" customHeight="1">
      <c r="A217" t="inlineStr">
        <is>
          <t>A 62488-2023</t>
        </is>
      </c>
      <c r="B217" s="1" t="n">
        <v>45268.5847337963</v>
      </c>
      <c r="C217" s="1" t="n">
        <v>45963</v>
      </c>
      <c r="D217" t="inlineStr">
        <is>
          <t>ÖSTERGÖTLANDS LÄN</t>
        </is>
      </c>
      <c r="E217" t="inlineStr">
        <is>
          <t>LINKÖPING</t>
        </is>
      </c>
      <c r="G217" t="n">
        <v>4.1</v>
      </c>
      <c r="H217" t="n">
        <v>0</v>
      </c>
      <c r="I217" t="n">
        <v>0</v>
      </c>
      <c r="J217" t="n">
        <v>0</v>
      </c>
      <c r="K217" t="n">
        <v>0</v>
      </c>
      <c r="L217" t="n">
        <v>0</v>
      </c>
      <c r="M217" t="n">
        <v>0</v>
      </c>
      <c r="N217" t="n">
        <v>0</v>
      </c>
      <c r="O217" t="n">
        <v>0</v>
      </c>
      <c r="P217" t="n">
        <v>0</v>
      </c>
      <c r="Q217" t="n">
        <v>0</v>
      </c>
      <c r="R217" s="2" t="inlineStr"/>
    </row>
    <row r="218" ht="15" customHeight="1">
      <c r="A218" t="inlineStr">
        <is>
          <t>A 48271-2023</t>
        </is>
      </c>
      <c r="B218" s="1" t="n">
        <v>45205</v>
      </c>
      <c r="C218" s="1" t="n">
        <v>45963</v>
      </c>
      <c r="D218" t="inlineStr">
        <is>
          <t>ÖSTERGÖTLANDS LÄN</t>
        </is>
      </c>
      <c r="E218" t="inlineStr">
        <is>
          <t>LINKÖPING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24351-2024</t>
        </is>
      </c>
      <c r="B219" s="1" t="n">
        <v>45457.59011574074</v>
      </c>
      <c r="C219" s="1" t="n">
        <v>45963</v>
      </c>
      <c r="D219" t="inlineStr">
        <is>
          <t>ÖSTERGÖTLANDS LÄN</t>
        </is>
      </c>
      <c r="E219" t="inlineStr">
        <is>
          <t>LINKÖPING</t>
        </is>
      </c>
      <c r="G219" t="n">
        <v>11.9</v>
      </c>
      <c r="H219" t="n">
        <v>0</v>
      </c>
      <c r="I219" t="n">
        <v>0</v>
      </c>
      <c r="J219" t="n">
        <v>0</v>
      </c>
      <c r="K219" t="n">
        <v>0</v>
      </c>
      <c r="L219" t="n">
        <v>0</v>
      </c>
      <c r="M219" t="n">
        <v>0</v>
      </c>
      <c r="N219" t="n">
        <v>0</v>
      </c>
      <c r="O219" t="n">
        <v>0</v>
      </c>
      <c r="P219" t="n">
        <v>0</v>
      </c>
      <c r="Q219" t="n">
        <v>0</v>
      </c>
      <c r="R219" s="2" t="inlineStr"/>
    </row>
    <row r="220" ht="15" customHeight="1">
      <c r="A220" t="inlineStr">
        <is>
          <t>A 12720-2022</t>
        </is>
      </c>
      <c r="B220" s="1" t="n">
        <v>44641</v>
      </c>
      <c r="C220" s="1" t="n">
        <v>45963</v>
      </c>
      <c r="D220" t="inlineStr">
        <is>
          <t>ÖSTERGÖTLANDS LÄN</t>
        </is>
      </c>
      <c r="E220" t="inlineStr">
        <is>
          <t>LINKÖPING</t>
        </is>
      </c>
      <c r="F220" t="inlineStr">
        <is>
          <t>Övriga Aktiebolag</t>
        </is>
      </c>
      <c r="G220" t="n">
        <v>2</v>
      </c>
      <c r="H220" t="n">
        <v>0</v>
      </c>
      <c r="I220" t="n">
        <v>0</v>
      </c>
      <c r="J220" t="n">
        <v>0</v>
      </c>
      <c r="K220" t="n">
        <v>0</v>
      </c>
      <c r="L220" t="n">
        <v>0</v>
      </c>
      <c r="M220" t="n">
        <v>0</v>
      </c>
      <c r="N220" t="n">
        <v>0</v>
      </c>
      <c r="O220" t="n">
        <v>0</v>
      </c>
      <c r="P220" t="n">
        <v>0</v>
      </c>
      <c r="Q220" t="n">
        <v>0</v>
      </c>
      <c r="R220" s="2" t="inlineStr"/>
    </row>
    <row r="221" ht="15" customHeight="1">
      <c r="A221" t="inlineStr">
        <is>
          <t>A 62018-2024</t>
        </is>
      </c>
      <c r="B221" s="1" t="n">
        <v>45655.81387731482</v>
      </c>
      <c r="C221" s="1" t="n">
        <v>45963</v>
      </c>
      <c r="D221" t="inlineStr">
        <is>
          <t>ÖSTERGÖTLANDS LÄN</t>
        </is>
      </c>
      <c r="E221" t="inlineStr">
        <is>
          <t>LINKÖPING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36336-2022</t>
        </is>
      </c>
      <c r="B222" s="1" t="n">
        <v>44803</v>
      </c>
      <c r="C222" s="1" t="n">
        <v>45963</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52796-2023</t>
        </is>
      </c>
      <c r="B223" s="1" t="n">
        <v>45219</v>
      </c>
      <c r="C223" s="1" t="n">
        <v>45963</v>
      </c>
      <c r="D223" t="inlineStr">
        <is>
          <t>ÖSTERGÖTLANDS LÄN</t>
        </is>
      </c>
      <c r="E223" t="inlineStr">
        <is>
          <t>LINKÖPING</t>
        </is>
      </c>
      <c r="F223" t="inlineStr">
        <is>
          <t>Övriga statliga verk och myndigheter</t>
        </is>
      </c>
      <c r="G223" t="n">
        <v>3.9</v>
      </c>
      <c r="H223" t="n">
        <v>0</v>
      </c>
      <c r="I223" t="n">
        <v>0</v>
      </c>
      <c r="J223" t="n">
        <v>0</v>
      </c>
      <c r="K223" t="n">
        <v>0</v>
      </c>
      <c r="L223" t="n">
        <v>0</v>
      </c>
      <c r="M223" t="n">
        <v>0</v>
      </c>
      <c r="N223" t="n">
        <v>0</v>
      </c>
      <c r="O223" t="n">
        <v>0</v>
      </c>
      <c r="P223" t="n">
        <v>0</v>
      </c>
      <c r="Q223" t="n">
        <v>0</v>
      </c>
      <c r="R223" s="2" t="inlineStr"/>
    </row>
    <row r="224" ht="15" customHeight="1">
      <c r="A224" t="inlineStr">
        <is>
          <t>A 30855-2022</t>
        </is>
      </c>
      <c r="B224" s="1" t="n">
        <v>44767</v>
      </c>
      <c r="C224" s="1" t="n">
        <v>45963</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30551-2023</t>
        </is>
      </c>
      <c r="B225" s="1" t="n">
        <v>45111</v>
      </c>
      <c r="C225" s="1" t="n">
        <v>45963</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25097-2023</t>
        </is>
      </c>
      <c r="B226" s="1" t="n">
        <v>45086</v>
      </c>
      <c r="C226" s="1" t="n">
        <v>45963</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30860-2022</t>
        </is>
      </c>
      <c r="B227" s="1" t="n">
        <v>44767</v>
      </c>
      <c r="C227" s="1" t="n">
        <v>45963</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34877-2023</t>
        </is>
      </c>
      <c r="B228" s="1" t="n">
        <v>45140</v>
      </c>
      <c r="C228" s="1" t="n">
        <v>45963</v>
      </c>
      <c r="D228" t="inlineStr">
        <is>
          <t>ÖSTERGÖTLANDS LÄN</t>
        </is>
      </c>
      <c r="E228" t="inlineStr">
        <is>
          <t>LINKÖPING</t>
        </is>
      </c>
      <c r="G228" t="n">
        <v>1.9</v>
      </c>
      <c r="H228" t="n">
        <v>0</v>
      </c>
      <c r="I228" t="n">
        <v>0</v>
      </c>
      <c r="J228" t="n">
        <v>0</v>
      </c>
      <c r="K228" t="n">
        <v>0</v>
      </c>
      <c r="L228" t="n">
        <v>0</v>
      </c>
      <c r="M228" t="n">
        <v>0</v>
      </c>
      <c r="N228" t="n">
        <v>0</v>
      </c>
      <c r="O228" t="n">
        <v>0</v>
      </c>
      <c r="P228" t="n">
        <v>0</v>
      </c>
      <c r="Q228" t="n">
        <v>0</v>
      </c>
      <c r="R228" s="2" t="inlineStr"/>
    </row>
    <row r="229" ht="15" customHeight="1">
      <c r="A229" t="inlineStr">
        <is>
          <t>A 60004-2022</t>
        </is>
      </c>
      <c r="B229" s="1" t="n">
        <v>44909.47206018519</v>
      </c>
      <c r="C229" s="1" t="n">
        <v>45963</v>
      </c>
      <c r="D229" t="inlineStr">
        <is>
          <t>ÖSTERGÖTLANDS LÄN</t>
        </is>
      </c>
      <c r="E229" t="inlineStr">
        <is>
          <t>LINKÖPING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60010-2022</t>
        </is>
      </c>
      <c r="B230" s="1" t="n">
        <v>44909.4740625</v>
      </c>
      <c r="C230" s="1" t="n">
        <v>45963</v>
      </c>
      <c r="D230" t="inlineStr">
        <is>
          <t>ÖSTERGÖTLANDS LÄN</t>
        </is>
      </c>
      <c r="E230" t="inlineStr">
        <is>
          <t>LINKÖPING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53827-2023</t>
        </is>
      </c>
      <c r="B231" s="1" t="n">
        <v>45230</v>
      </c>
      <c r="C231" s="1" t="n">
        <v>45963</v>
      </c>
      <c r="D231" t="inlineStr">
        <is>
          <t>ÖSTERGÖTLANDS LÄN</t>
        </is>
      </c>
      <c r="E231" t="inlineStr">
        <is>
          <t>LINKÖPING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30856-2022</t>
        </is>
      </c>
      <c r="B232" s="1" t="n">
        <v>44767</v>
      </c>
      <c r="C232" s="1" t="n">
        <v>45963</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4256-2022</t>
        </is>
      </c>
      <c r="B233" s="1" t="n">
        <v>44588</v>
      </c>
      <c r="C233" s="1" t="n">
        <v>45963</v>
      </c>
      <c r="D233" t="inlineStr">
        <is>
          <t>ÖSTERGÖTLANDS LÄN</t>
        </is>
      </c>
      <c r="E233" t="inlineStr">
        <is>
          <t>LINKÖPING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61649-2023</t>
        </is>
      </c>
      <c r="B234" s="1" t="n">
        <v>45265</v>
      </c>
      <c r="C234" s="1" t="n">
        <v>45963</v>
      </c>
      <c r="D234" t="inlineStr">
        <is>
          <t>ÖSTERGÖTLANDS LÄN</t>
        </is>
      </c>
      <c r="E234" t="inlineStr">
        <is>
          <t>LINKÖPING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10461-2023</t>
        </is>
      </c>
      <c r="B235" s="1" t="n">
        <v>44987.5969212963</v>
      </c>
      <c r="C235" s="1" t="n">
        <v>45963</v>
      </c>
      <c r="D235" t="inlineStr">
        <is>
          <t>ÖSTERGÖTLANDS LÄN</t>
        </is>
      </c>
      <c r="E235" t="inlineStr">
        <is>
          <t>LINKÖPING</t>
        </is>
      </c>
      <c r="G235" t="n">
        <v>7.8</v>
      </c>
      <c r="H235" t="n">
        <v>0</v>
      </c>
      <c r="I235" t="n">
        <v>0</v>
      </c>
      <c r="J235" t="n">
        <v>0</v>
      </c>
      <c r="K235" t="n">
        <v>0</v>
      </c>
      <c r="L235" t="n">
        <v>0</v>
      </c>
      <c r="M235" t="n">
        <v>0</v>
      </c>
      <c r="N235" t="n">
        <v>0</v>
      </c>
      <c r="O235" t="n">
        <v>0</v>
      </c>
      <c r="P235" t="n">
        <v>0</v>
      </c>
      <c r="Q235" t="n">
        <v>0</v>
      </c>
      <c r="R235" s="2" t="inlineStr"/>
    </row>
    <row r="236" ht="15" customHeight="1">
      <c r="A236" t="inlineStr">
        <is>
          <t>A 50386-2021</t>
        </is>
      </c>
      <c r="B236" s="1" t="n">
        <v>44459</v>
      </c>
      <c r="C236" s="1" t="n">
        <v>45963</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350-2022</t>
        </is>
      </c>
      <c r="B237" s="1" t="n">
        <v>44565</v>
      </c>
      <c r="C237" s="1" t="n">
        <v>45963</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57745-2022</t>
        </is>
      </c>
      <c r="B238" s="1" t="n">
        <v>44897.58119212963</v>
      </c>
      <c r="C238" s="1" t="n">
        <v>45963</v>
      </c>
      <c r="D238" t="inlineStr">
        <is>
          <t>ÖSTERGÖTLANDS LÄN</t>
        </is>
      </c>
      <c r="E238" t="inlineStr">
        <is>
          <t>LINKÖPING</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223-2024</t>
        </is>
      </c>
      <c r="B239" s="1" t="n">
        <v>45294.72739583333</v>
      </c>
      <c r="C239" s="1" t="n">
        <v>45963</v>
      </c>
      <c r="D239" t="inlineStr">
        <is>
          <t>ÖSTERGÖTLANDS LÄN</t>
        </is>
      </c>
      <c r="E239" t="inlineStr">
        <is>
          <t>LINKÖPING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34889-2023</t>
        </is>
      </c>
      <c r="B240" s="1" t="n">
        <v>45140</v>
      </c>
      <c r="C240" s="1" t="n">
        <v>45963</v>
      </c>
      <c r="D240" t="inlineStr">
        <is>
          <t>ÖSTERGÖTLANDS LÄN</t>
        </is>
      </c>
      <c r="E240" t="inlineStr">
        <is>
          <t>LINKÖPING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18891-2022</t>
        </is>
      </c>
      <c r="B241" s="1" t="n">
        <v>44690</v>
      </c>
      <c r="C241" s="1" t="n">
        <v>45963</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19464-2024</t>
        </is>
      </c>
      <c r="B242" s="1" t="n">
        <v>45429</v>
      </c>
      <c r="C242" s="1" t="n">
        <v>45963</v>
      </c>
      <c r="D242" t="inlineStr">
        <is>
          <t>ÖSTERGÖTLANDS LÄN</t>
        </is>
      </c>
      <c r="E242" t="inlineStr">
        <is>
          <t>LINKÖPING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1993-2023</t>
        </is>
      </c>
      <c r="B243" s="1" t="n">
        <v>44939</v>
      </c>
      <c r="C243" s="1" t="n">
        <v>45963</v>
      </c>
      <c r="D243" t="inlineStr">
        <is>
          <t>ÖSTERGÖTLANDS LÄN</t>
        </is>
      </c>
      <c r="E243" t="inlineStr">
        <is>
          <t>LINKÖPING</t>
        </is>
      </c>
      <c r="G243" t="n">
        <v>3.7</v>
      </c>
      <c r="H243" t="n">
        <v>0</v>
      </c>
      <c r="I243" t="n">
        <v>0</v>
      </c>
      <c r="J243" t="n">
        <v>0</v>
      </c>
      <c r="K243" t="n">
        <v>0</v>
      </c>
      <c r="L243" t="n">
        <v>0</v>
      </c>
      <c r="M243" t="n">
        <v>0</v>
      </c>
      <c r="N243" t="n">
        <v>0</v>
      </c>
      <c r="O243" t="n">
        <v>0</v>
      </c>
      <c r="P243" t="n">
        <v>0</v>
      </c>
      <c r="Q243" t="n">
        <v>0</v>
      </c>
      <c r="R243" s="2" t="inlineStr"/>
    </row>
    <row r="244" ht="15" customHeight="1">
      <c r="A244" t="inlineStr">
        <is>
          <t>A 30976-2022</t>
        </is>
      </c>
      <c r="B244" s="1" t="n">
        <v>44768</v>
      </c>
      <c r="C244" s="1" t="n">
        <v>45963</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630-2024</t>
        </is>
      </c>
      <c r="B245" s="1" t="n">
        <v>45299.67736111111</v>
      </c>
      <c r="C245" s="1" t="n">
        <v>45963</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31732-2022</t>
        </is>
      </c>
      <c r="B246" s="1" t="n">
        <v>44776.49267361111</v>
      </c>
      <c r="C246" s="1" t="n">
        <v>45963</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55736-2022</t>
        </is>
      </c>
      <c r="B247" s="1" t="n">
        <v>44888</v>
      </c>
      <c r="C247" s="1" t="n">
        <v>45963</v>
      </c>
      <c r="D247" t="inlineStr">
        <is>
          <t>ÖSTERGÖTLANDS LÄN</t>
        </is>
      </c>
      <c r="E247" t="inlineStr">
        <is>
          <t>LINKÖPING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30433-2024</t>
        </is>
      </c>
      <c r="B248" s="1" t="n">
        <v>45491.69741898148</v>
      </c>
      <c r="C248" s="1" t="n">
        <v>45963</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22771-2024</t>
        </is>
      </c>
      <c r="B249" s="1" t="n">
        <v>45448.46574074074</v>
      </c>
      <c r="C249" s="1" t="n">
        <v>45963</v>
      </c>
      <c r="D249" t="inlineStr">
        <is>
          <t>ÖSTERGÖTLANDS LÄN</t>
        </is>
      </c>
      <c r="E249" t="inlineStr">
        <is>
          <t>LINKÖPING</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52220-2023</t>
        </is>
      </c>
      <c r="B250" s="1" t="n">
        <v>45217</v>
      </c>
      <c r="C250" s="1" t="n">
        <v>45963</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52225-2023</t>
        </is>
      </c>
      <c r="B251" s="1" t="n">
        <v>45217</v>
      </c>
      <c r="C251" s="1" t="n">
        <v>45963</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10194-2023</t>
        </is>
      </c>
      <c r="B252" s="1" t="n">
        <v>44986.52277777778</v>
      </c>
      <c r="C252" s="1" t="n">
        <v>45963</v>
      </c>
      <c r="D252" t="inlineStr">
        <is>
          <t>ÖSTERGÖTLANDS LÄN</t>
        </is>
      </c>
      <c r="E252" t="inlineStr">
        <is>
          <t>LINKÖPING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42832-2023</t>
        </is>
      </c>
      <c r="B253" s="1" t="n">
        <v>45182.38091435185</v>
      </c>
      <c r="C253" s="1" t="n">
        <v>45963</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63528-2023</t>
        </is>
      </c>
      <c r="B254" s="1" t="n">
        <v>45274.94810185185</v>
      </c>
      <c r="C254" s="1" t="n">
        <v>45963</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56560-2023</t>
        </is>
      </c>
      <c r="B255" s="1" t="n">
        <v>45238</v>
      </c>
      <c r="C255" s="1" t="n">
        <v>45963</v>
      </c>
      <c r="D255" t="inlineStr">
        <is>
          <t>ÖSTERGÖTLANDS LÄN</t>
        </is>
      </c>
      <c r="E255" t="inlineStr">
        <is>
          <t>LINKÖPING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52412-2023</t>
        </is>
      </c>
      <c r="B256" s="1" t="n">
        <v>45225.27888888889</v>
      </c>
      <c r="C256" s="1" t="n">
        <v>45963</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52413-2023</t>
        </is>
      </c>
      <c r="B257" s="1" t="n">
        <v>45225.27950231481</v>
      </c>
      <c r="C257" s="1" t="n">
        <v>45963</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7354-2025</t>
        </is>
      </c>
      <c r="B258" s="1" t="n">
        <v>45704.41174768518</v>
      </c>
      <c r="C258" s="1" t="n">
        <v>45963</v>
      </c>
      <c r="D258" t="inlineStr">
        <is>
          <t>ÖSTERGÖTLANDS LÄN</t>
        </is>
      </c>
      <c r="E258" t="inlineStr">
        <is>
          <t>LINKÖPING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61936-2023</t>
        </is>
      </c>
      <c r="B259" s="1" t="n">
        <v>45266.54534722222</v>
      </c>
      <c r="C259" s="1" t="n">
        <v>45963</v>
      </c>
      <c r="D259" t="inlineStr">
        <is>
          <t>ÖSTERGÖTLANDS LÄN</t>
        </is>
      </c>
      <c r="E259" t="inlineStr">
        <is>
          <t>LINKÖPING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62492-2023</t>
        </is>
      </c>
      <c r="B260" s="1" t="n">
        <v>45268.58987268519</v>
      </c>
      <c r="C260" s="1" t="n">
        <v>45963</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674-2024</t>
        </is>
      </c>
      <c r="B261" s="1" t="n">
        <v>45300.34408564815</v>
      </c>
      <c r="C261" s="1" t="n">
        <v>45963</v>
      </c>
      <c r="D261" t="inlineStr">
        <is>
          <t>ÖSTERGÖTLANDS LÄN</t>
        </is>
      </c>
      <c r="E261" t="inlineStr">
        <is>
          <t>LINKÖPING</t>
        </is>
      </c>
      <c r="F261" t="inlineStr">
        <is>
          <t>Sveaskog</t>
        </is>
      </c>
      <c r="G261" t="n">
        <v>2.9</v>
      </c>
      <c r="H261" t="n">
        <v>0</v>
      </c>
      <c r="I261" t="n">
        <v>0</v>
      </c>
      <c r="J261" t="n">
        <v>0</v>
      </c>
      <c r="K261" t="n">
        <v>0</v>
      </c>
      <c r="L261" t="n">
        <v>0</v>
      </c>
      <c r="M261" t="n">
        <v>0</v>
      </c>
      <c r="N261" t="n">
        <v>0</v>
      </c>
      <c r="O261" t="n">
        <v>0</v>
      </c>
      <c r="P261" t="n">
        <v>0</v>
      </c>
      <c r="Q261" t="n">
        <v>0</v>
      </c>
      <c r="R261" s="2" t="inlineStr"/>
    </row>
    <row r="262" ht="15" customHeight="1">
      <c r="A262" t="inlineStr">
        <is>
          <t>A 6782-2024</t>
        </is>
      </c>
      <c r="B262" s="1" t="n">
        <v>45342</v>
      </c>
      <c r="C262" s="1" t="n">
        <v>45963</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10094-2024</t>
        </is>
      </c>
      <c r="B263" s="1" t="n">
        <v>45364</v>
      </c>
      <c r="C263" s="1" t="n">
        <v>45963</v>
      </c>
      <c r="D263" t="inlineStr">
        <is>
          <t>ÖSTERGÖTLANDS LÄN</t>
        </is>
      </c>
      <c r="E263" t="inlineStr">
        <is>
          <t>LINKÖPING</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7702-2023</t>
        </is>
      </c>
      <c r="B264" s="1" t="n">
        <v>44967</v>
      </c>
      <c r="C264" s="1" t="n">
        <v>45963</v>
      </c>
      <c r="D264" t="inlineStr">
        <is>
          <t>ÖSTERGÖTLANDS LÄN</t>
        </is>
      </c>
      <c r="E264" t="inlineStr">
        <is>
          <t>LINKÖPING</t>
        </is>
      </c>
      <c r="F264" t="inlineStr">
        <is>
          <t>Övriga statliga verk och myndigheter</t>
        </is>
      </c>
      <c r="G264" t="n">
        <v>8</v>
      </c>
      <c r="H264" t="n">
        <v>0</v>
      </c>
      <c r="I264" t="n">
        <v>0</v>
      </c>
      <c r="J264" t="n">
        <v>0</v>
      </c>
      <c r="K264" t="n">
        <v>0</v>
      </c>
      <c r="L264" t="n">
        <v>0</v>
      </c>
      <c r="M264" t="n">
        <v>0</v>
      </c>
      <c r="N264" t="n">
        <v>0</v>
      </c>
      <c r="O264" t="n">
        <v>0</v>
      </c>
      <c r="P264" t="n">
        <v>0</v>
      </c>
      <c r="Q264" t="n">
        <v>0</v>
      </c>
      <c r="R264" s="2" t="inlineStr"/>
    </row>
    <row r="265" ht="15" customHeight="1">
      <c r="A265" t="inlineStr">
        <is>
          <t>A 63684-2023</t>
        </is>
      </c>
      <c r="B265" s="1" t="n">
        <v>45275</v>
      </c>
      <c r="C265" s="1" t="n">
        <v>45963</v>
      </c>
      <c r="D265" t="inlineStr">
        <is>
          <t>ÖSTERGÖTLANDS LÄN</t>
        </is>
      </c>
      <c r="E265" t="inlineStr">
        <is>
          <t>LINKÖPING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63688-2023</t>
        </is>
      </c>
      <c r="B266" s="1" t="n">
        <v>45275</v>
      </c>
      <c r="C266" s="1" t="n">
        <v>45963</v>
      </c>
      <c r="D266" t="inlineStr">
        <is>
          <t>ÖSTERGÖTLANDS LÄN</t>
        </is>
      </c>
      <c r="E266" t="inlineStr">
        <is>
          <t>LINKÖPING</t>
        </is>
      </c>
      <c r="F266" t="inlineStr">
        <is>
          <t>Övriga Aktiebolag</t>
        </is>
      </c>
      <c r="G266" t="n">
        <v>2.4</v>
      </c>
      <c r="H266" t="n">
        <v>0</v>
      </c>
      <c r="I266" t="n">
        <v>0</v>
      </c>
      <c r="J266" t="n">
        <v>0</v>
      </c>
      <c r="K266" t="n">
        <v>0</v>
      </c>
      <c r="L266" t="n">
        <v>0</v>
      </c>
      <c r="M266" t="n">
        <v>0</v>
      </c>
      <c r="N266" t="n">
        <v>0</v>
      </c>
      <c r="O266" t="n">
        <v>0</v>
      </c>
      <c r="P266" t="n">
        <v>0</v>
      </c>
      <c r="Q266" t="n">
        <v>0</v>
      </c>
      <c r="R266" s="2" t="inlineStr"/>
    </row>
    <row r="267" ht="15" customHeight="1">
      <c r="A267" t="inlineStr">
        <is>
          <t>A 63691-2023</t>
        </is>
      </c>
      <c r="B267" s="1" t="n">
        <v>45275</v>
      </c>
      <c r="C267" s="1" t="n">
        <v>45963</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36657-2023</t>
        </is>
      </c>
      <c r="B268" s="1" t="n">
        <v>45153.5702662037</v>
      </c>
      <c r="C268" s="1" t="n">
        <v>45963</v>
      </c>
      <c r="D268" t="inlineStr">
        <is>
          <t>ÖSTERGÖTLANDS LÄN</t>
        </is>
      </c>
      <c r="E268" t="inlineStr">
        <is>
          <t>LINKÖPING</t>
        </is>
      </c>
      <c r="F268" t="inlineStr">
        <is>
          <t>Allmännings- och besparingsskogar</t>
        </is>
      </c>
      <c r="G268" t="n">
        <v>2</v>
      </c>
      <c r="H268" t="n">
        <v>0</v>
      </c>
      <c r="I268" t="n">
        <v>0</v>
      </c>
      <c r="J268" t="n">
        <v>0</v>
      </c>
      <c r="K268" t="n">
        <v>0</v>
      </c>
      <c r="L268" t="n">
        <v>0</v>
      </c>
      <c r="M268" t="n">
        <v>0</v>
      </c>
      <c r="N268" t="n">
        <v>0</v>
      </c>
      <c r="O268" t="n">
        <v>0</v>
      </c>
      <c r="P268" t="n">
        <v>0</v>
      </c>
      <c r="Q268" t="n">
        <v>0</v>
      </c>
      <c r="R268" s="2" t="inlineStr"/>
    </row>
    <row r="269" ht="15" customHeight="1">
      <c r="A269" t="inlineStr">
        <is>
          <t>A 14667-2024</t>
        </is>
      </c>
      <c r="B269" s="1" t="n">
        <v>45397.42005787037</v>
      </c>
      <c r="C269" s="1" t="n">
        <v>45963</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42000-2023</t>
        </is>
      </c>
      <c r="B270" s="1" t="n">
        <v>45177</v>
      </c>
      <c r="C270" s="1" t="n">
        <v>45963</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55945-2024</t>
        </is>
      </c>
      <c r="B271" s="1" t="n">
        <v>45623.61754629629</v>
      </c>
      <c r="C271" s="1" t="n">
        <v>45963</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31534-2023</t>
        </is>
      </c>
      <c r="B272" s="1" t="n">
        <v>45116</v>
      </c>
      <c r="C272" s="1" t="n">
        <v>45963</v>
      </c>
      <c r="D272" t="inlineStr">
        <is>
          <t>ÖSTERGÖTLANDS LÄN</t>
        </is>
      </c>
      <c r="E272" t="inlineStr">
        <is>
          <t>LINKÖPING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34928-2023</t>
        </is>
      </c>
      <c r="B273" s="1" t="n">
        <v>45142</v>
      </c>
      <c r="C273" s="1" t="n">
        <v>45963</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35427-2023</t>
        </is>
      </c>
      <c r="B274" s="1" t="n">
        <v>45146</v>
      </c>
      <c r="C274" s="1" t="n">
        <v>45963</v>
      </c>
      <c r="D274" t="inlineStr">
        <is>
          <t>ÖSTERGÖTLANDS LÄN</t>
        </is>
      </c>
      <c r="E274" t="inlineStr">
        <is>
          <t>LINKÖPING</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1263-2024</t>
        </is>
      </c>
      <c r="B275" s="1" t="n">
        <v>45302</v>
      </c>
      <c r="C275" s="1" t="n">
        <v>45963</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52531-2023</t>
        </is>
      </c>
      <c r="B276" s="1" t="n">
        <v>45225</v>
      </c>
      <c r="C276" s="1" t="n">
        <v>45963</v>
      </c>
      <c r="D276" t="inlineStr">
        <is>
          <t>ÖSTERGÖTLANDS LÄN</t>
        </is>
      </c>
      <c r="E276" t="inlineStr">
        <is>
          <t>LINKÖPING</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36725-2023</t>
        </is>
      </c>
      <c r="B277" s="1" t="n">
        <v>45153.68471064815</v>
      </c>
      <c r="C277" s="1" t="n">
        <v>45963</v>
      </c>
      <c r="D277" t="inlineStr">
        <is>
          <t>ÖSTERGÖTLANDS LÄN</t>
        </is>
      </c>
      <c r="E277" t="inlineStr">
        <is>
          <t>LINKÖPING</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20291-2025</t>
        </is>
      </c>
      <c r="B278" s="1" t="n">
        <v>45774.74288194445</v>
      </c>
      <c r="C278" s="1" t="n">
        <v>45963</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20293-2025</t>
        </is>
      </c>
      <c r="B279" s="1" t="n">
        <v>45774.74611111111</v>
      </c>
      <c r="C279" s="1" t="n">
        <v>45963</v>
      </c>
      <c r="D279" t="inlineStr">
        <is>
          <t>ÖSTERGÖTLANDS LÄN</t>
        </is>
      </c>
      <c r="E279" t="inlineStr">
        <is>
          <t>LINKÖPING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53639-2023</t>
        </is>
      </c>
      <c r="B280" s="1" t="n">
        <v>45230.59686342593</v>
      </c>
      <c r="C280" s="1" t="n">
        <v>45963</v>
      </c>
      <c r="D280" t="inlineStr">
        <is>
          <t>ÖSTERGÖTLANDS LÄN</t>
        </is>
      </c>
      <c r="E280" t="inlineStr">
        <is>
          <t>LINKÖPING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15714-2024</t>
        </is>
      </c>
      <c r="B281" s="1" t="n">
        <v>45404.48288194444</v>
      </c>
      <c r="C281" s="1" t="n">
        <v>45963</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1657-2024</t>
        </is>
      </c>
      <c r="B282" s="1" t="n">
        <v>45306.82501157407</v>
      </c>
      <c r="C282" s="1" t="n">
        <v>45963</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37715-2022</t>
        </is>
      </c>
      <c r="B283" s="1" t="n">
        <v>44810</v>
      </c>
      <c r="C283" s="1" t="n">
        <v>45963</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50784-2022</t>
        </is>
      </c>
      <c r="B284" s="1" t="n">
        <v>44862</v>
      </c>
      <c r="C284" s="1" t="n">
        <v>45963</v>
      </c>
      <c r="D284" t="inlineStr">
        <is>
          <t>ÖSTERGÖTLANDS LÄN</t>
        </is>
      </c>
      <c r="E284" t="inlineStr">
        <is>
          <t>LINKÖPING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26803-2024</t>
        </is>
      </c>
      <c r="B285" s="1" t="n">
        <v>45470</v>
      </c>
      <c r="C285" s="1" t="n">
        <v>45963</v>
      </c>
      <c r="D285" t="inlineStr">
        <is>
          <t>ÖSTERGÖTLANDS LÄN</t>
        </is>
      </c>
      <c r="E285" t="inlineStr">
        <is>
          <t>LINKÖPING</t>
        </is>
      </c>
      <c r="F285" t="inlineStr">
        <is>
          <t>Allmännings- och besparingsskogar</t>
        </is>
      </c>
      <c r="G285" t="n">
        <v>4.5</v>
      </c>
      <c r="H285" t="n">
        <v>0</v>
      </c>
      <c r="I285" t="n">
        <v>0</v>
      </c>
      <c r="J285" t="n">
        <v>0</v>
      </c>
      <c r="K285" t="n">
        <v>0</v>
      </c>
      <c r="L285" t="n">
        <v>0</v>
      </c>
      <c r="M285" t="n">
        <v>0</v>
      </c>
      <c r="N285" t="n">
        <v>0</v>
      </c>
      <c r="O285" t="n">
        <v>0</v>
      </c>
      <c r="P285" t="n">
        <v>0</v>
      </c>
      <c r="Q285" t="n">
        <v>0</v>
      </c>
      <c r="R285" s="2" t="inlineStr"/>
    </row>
    <row r="286" ht="15" customHeight="1">
      <c r="A286" t="inlineStr">
        <is>
          <t>A 30429-2024</t>
        </is>
      </c>
      <c r="B286" s="1" t="n">
        <v>45491.68972222223</v>
      </c>
      <c r="C286" s="1" t="n">
        <v>45963</v>
      </c>
      <c r="D286" t="inlineStr">
        <is>
          <t>ÖSTERGÖTLANDS LÄN</t>
        </is>
      </c>
      <c r="E286" t="inlineStr">
        <is>
          <t>LINKÖPING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61302-2021</t>
        </is>
      </c>
      <c r="B287" s="1" t="n">
        <v>44498.63189814815</v>
      </c>
      <c r="C287" s="1" t="n">
        <v>45963</v>
      </c>
      <c r="D287" t="inlineStr">
        <is>
          <t>ÖSTERGÖTLANDS LÄN</t>
        </is>
      </c>
      <c r="E287" t="inlineStr">
        <is>
          <t>LINKÖPING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19187-2021</t>
        </is>
      </c>
      <c r="B288" s="1" t="n">
        <v>44308</v>
      </c>
      <c r="C288" s="1" t="n">
        <v>45963</v>
      </c>
      <c r="D288" t="inlineStr">
        <is>
          <t>ÖSTERGÖTLANDS LÄN</t>
        </is>
      </c>
      <c r="E288" t="inlineStr">
        <is>
          <t>LINKÖPING</t>
        </is>
      </c>
      <c r="F288" t="inlineStr">
        <is>
          <t>Allmännings- och besparingsskogar</t>
        </is>
      </c>
      <c r="G288" t="n">
        <v>20</v>
      </c>
      <c r="H288" t="n">
        <v>0</v>
      </c>
      <c r="I288" t="n">
        <v>0</v>
      </c>
      <c r="J288" t="n">
        <v>0</v>
      </c>
      <c r="K288" t="n">
        <v>0</v>
      </c>
      <c r="L288" t="n">
        <v>0</v>
      </c>
      <c r="M288" t="n">
        <v>0</v>
      </c>
      <c r="N288" t="n">
        <v>0</v>
      </c>
      <c r="O288" t="n">
        <v>0</v>
      </c>
      <c r="P288" t="n">
        <v>0</v>
      </c>
      <c r="Q288" t="n">
        <v>0</v>
      </c>
      <c r="R288" s="2" t="inlineStr"/>
    </row>
    <row r="289" ht="15" customHeight="1">
      <c r="A289" t="inlineStr">
        <is>
          <t>A 30435-2024</t>
        </is>
      </c>
      <c r="B289" s="1" t="n">
        <v>45491.69962962963</v>
      </c>
      <c r="C289" s="1" t="n">
        <v>45963</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4927-2021</t>
        </is>
      </c>
      <c r="B290" s="1" t="n">
        <v>44227.57215277778</v>
      </c>
      <c r="C290" s="1" t="n">
        <v>45963</v>
      </c>
      <c r="D290" t="inlineStr">
        <is>
          <t>ÖSTERGÖTLANDS LÄN</t>
        </is>
      </c>
      <c r="E290" t="inlineStr">
        <is>
          <t>LINKÖPING</t>
        </is>
      </c>
      <c r="G290" t="n">
        <v>0.3</v>
      </c>
      <c r="H290" t="n">
        <v>0</v>
      </c>
      <c r="I290" t="n">
        <v>0</v>
      </c>
      <c r="J290" t="n">
        <v>0</v>
      </c>
      <c r="K290" t="n">
        <v>0</v>
      </c>
      <c r="L290" t="n">
        <v>0</v>
      </c>
      <c r="M290" t="n">
        <v>0</v>
      </c>
      <c r="N290" t="n">
        <v>0</v>
      </c>
      <c r="O290" t="n">
        <v>0</v>
      </c>
      <c r="P290" t="n">
        <v>0</v>
      </c>
      <c r="Q290" t="n">
        <v>0</v>
      </c>
      <c r="R290" s="2" t="inlineStr"/>
    </row>
    <row r="291" ht="15" customHeight="1">
      <c r="A291" t="inlineStr">
        <is>
          <t>A 38231-2022</t>
        </is>
      </c>
      <c r="B291" s="1" t="n">
        <v>44812</v>
      </c>
      <c r="C291" s="1" t="n">
        <v>45963</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3041-2024</t>
        </is>
      </c>
      <c r="B292" s="1" t="n">
        <v>45316.34875</v>
      </c>
      <c r="C292" s="1" t="n">
        <v>45963</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34557-2022</t>
        </is>
      </c>
      <c r="B293" s="1" t="n">
        <v>44794.57074074074</v>
      </c>
      <c r="C293" s="1" t="n">
        <v>45963</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50963-2021</t>
        </is>
      </c>
      <c r="B294" s="1" t="n">
        <v>44460</v>
      </c>
      <c r="C294" s="1" t="n">
        <v>45963</v>
      </c>
      <c r="D294" t="inlineStr">
        <is>
          <t>ÖSTERGÖTLANDS LÄN</t>
        </is>
      </c>
      <c r="E294" t="inlineStr">
        <is>
          <t>LINKÖPING</t>
        </is>
      </c>
      <c r="G294" t="n">
        <v>4.4</v>
      </c>
      <c r="H294" t="n">
        <v>0</v>
      </c>
      <c r="I294" t="n">
        <v>0</v>
      </c>
      <c r="J294" t="n">
        <v>0</v>
      </c>
      <c r="K294" t="n">
        <v>0</v>
      </c>
      <c r="L294" t="n">
        <v>0</v>
      </c>
      <c r="M294" t="n">
        <v>0</v>
      </c>
      <c r="N294" t="n">
        <v>0</v>
      </c>
      <c r="O294" t="n">
        <v>0</v>
      </c>
      <c r="P294" t="n">
        <v>0</v>
      </c>
      <c r="Q294" t="n">
        <v>0</v>
      </c>
      <c r="R294" s="2" t="inlineStr"/>
    </row>
    <row r="295" ht="15" customHeight="1">
      <c r="A295" t="inlineStr">
        <is>
          <t>A 61307-2021</t>
        </is>
      </c>
      <c r="B295" s="1" t="n">
        <v>44498.63928240741</v>
      </c>
      <c r="C295" s="1" t="n">
        <v>45963</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61325-2021</t>
        </is>
      </c>
      <c r="B296" s="1" t="n">
        <v>44498.66814814815</v>
      </c>
      <c r="C296" s="1" t="n">
        <v>45963</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13011-2022</t>
        </is>
      </c>
      <c r="B297" s="1" t="n">
        <v>44643</v>
      </c>
      <c r="C297" s="1" t="n">
        <v>45963</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60472-2022</t>
        </is>
      </c>
      <c r="B298" s="1" t="n">
        <v>44911.41037037037</v>
      </c>
      <c r="C298" s="1" t="n">
        <v>45963</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63665-2023</t>
        </is>
      </c>
      <c r="B299" s="1" t="n">
        <v>45275</v>
      </c>
      <c r="C299" s="1" t="n">
        <v>45963</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617-2024</t>
        </is>
      </c>
      <c r="B300" s="1" t="n">
        <v>45299.66028935185</v>
      </c>
      <c r="C300" s="1" t="n">
        <v>45963</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33867-2023</t>
        </is>
      </c>
      <c r="B301" s="1" t="n">
        <v>45133.94640046296</v>
      </c>
      <c r="C301" s="1" t="n">
        <v>45963</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43934-2023</t>
        </is>
      </c>
      <c r="B302" s="1" t="n">
        <v>45187</v>
      </c>
      <c r="C302" s="1" t="n">
        <v>45963</v>
      </c>
      <c r="D302" t="inlineStr">
        <is>
          <t>ÖSTERGÖTLANDS LÄN</t>
        </is>
      </c>
      <c r="E302" t="inlineStr">
        <is>
          <t>LINKÖPING</t>
        </is>
      </c>
      <c r="F302" t="inlineStr">
        <is>
          <t>Övriga Aktiebolag</t>
        </is>
      </c>
      <c r="G302" t="n">
        <v>3.8</v>
      </c>
      <c r="H302" t="n">
        <v>0</v>
      </c>
      <c r="I302" t="n">
        <v>0</v>
      </c>
      <c r="J302" t="n">
        <v>0</v>
      </c>
      <c r="K302" t="n">
        <v>0</v>
      </c>
      <c r="L302" t="n">
        <v>0</v>
      </c>
      <c r="M302" t="n">
        <v>0</v>
      </c>
      <c r="N302" t="n">
        <v>0</v>
      </c>
      <c r="O302" t="n">
        <v>0</v>
      </c>
      <c r="P302" t="n">
        <v>0</v>
      </c>
      <c r="Q302" t="n">
        <v>0</v>
      </c>
      <c r="R302" s="2" t="inlineStr"/>
    </row>
    <row r="303" ht="15" customHeight="1">
      <c r="A303" t="inlineStr">
        <is>
          <t>A 22774-2024</t>
        </is>
      </c>
      <c r="B303" s="1" t="n">
        <v>45448.46924768519</v>
      </c>
      <c r="C303" s="1" t="n">
        <v>45963</v>
      </c>
      <c r="D303" t="inlineStr">
        <is>
          <t>ÖSTERGÖTLANDS LÄN</t>
        </is>
      </c>
      <c r="E303" t="inlineStr">
        <is>
          <t>LINKÖPING</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22778-2024</t>
        </is>
      </c>
      <c r="B304" s="1" t="n">
        <v>45448.47233796296</v>
      </c>
      <c r="C304" s="1" t="n">
        <v>45963</v>
      </c>
      <c r="D304" t="inlineStr">
        <is>
          <t>ÖSTERGÖTLANDS LÄN</t>
        </is>
      </c>
      <c r="E304" t="inlineStr">
        <is>
          <t>LINKÖPING</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1209-2023</t>
        </is>
      </c>
      <c r="B305" s="1" t="n">
        <v>44930</v>
      </c>
      <c r="C305" s="1" t="n">
        <v>45963</v>
      </c>
      <c r="D305" t="inlineStr">
        <is>
          <t>ÖSTERGÖTLANDS LÄN</t>
        </is>
      </c>
      <c r="E305" t="inlineStr">
        <is>
          <t>LINKÖPING</t>
        </is>
      </c>
      <c r="F305" t="inlineStr">
        <is>
          <t>Övriga statliga verk och myndigheter</t>
        </is>
      </c>
      <c r="G305" t="n">
        <v>25.8</v>
      </c>
      <c r="H305" t="n">
        <v>0</v>
      </c>
      <c r="I305" t="n">
        <v>0</v>
      </c>
      <c r="J305" t="n">
        <v>0</v>
      </c>
      <c r="K305" t="n">
        <v>0</v>
      </c>
      <c r="L305" t="n">
        <v>0</v>
      </c>
      <c r="M305" t="n">
        <v>0</v>
      </c>
      <c r="N305" t="n">
        <v>0</v>
      </c>
      <c r="O305" t="n">
        <v>0</v>
      </c>
      <c r="P305" t="n">
        <v>0</v>
      </c>
      <c r="Q305" t="n">
        <v>0</v>
      </c>
      <c r="R305" s="2" t="inlineStr"/>
    </row>
    <row r="306" ht="15" customHeight="1">
      <c r="A306" t="inlineStr">
        <is>
          <t>A 19362-2023</t>
        </is>
      </c>
      <c r="B306" s="1" t="n">
        <v>45049</v>
      </c>
      <c r="C306" s="1" t="n">
        <v>45963</v>
      </c>
      <c r="D306" t="inlineStr">
        <is>
          <t>ÖSTERGÖTLANDS LÄN</t>
        </is>
      </c>
      <c r="E306" t="inlineStr">
        <is>
          <t>LINKÖPING</t>
        </is>
      </c>
      <c r="G306" t="n">
        <v>0.1</v>
      </c>
      <c r="H306" t="n">
        <v>0</v>
      </c>
      <c r="I306" t="n">
        <v>0</v>
      </c>
      <c r="J306" t="n">
        <v>0</v>
      </c>
      <c r="K306" t="n">
        <v>0</v>
      </c>
      <c r="L306" t="n">
        <v>0</v>
      </c>
      <c r="M306" t="n">
        <v>0</v>
      </c>
      <c r="N306" t="n">
        <v>0</v>
      </c>
      <c r="O306" t="n">
        <v>0</v>
      </c>
      <c r="P306" t="n">
        <v>0</v>
      </c>
      <c r="Q306" t="n">
        <v>0</v>
      </c>
      <c r="R306" s="2" t="inlineStr"/>
    </row>
    <row r="307" ht="15" customHeight="1">
      <c r="A307" t="inlineStr">
        <is>
          <t>A 19132-2023</t>
        </is>
      </c>
      <c r="B307" s="1" t="n">
        <v>45048.54754629629</v>
      </c>
      <c r="C307" s="1" t="n">
        <v>45963</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10407-2025</t>
        </is>
      </c>
      <c r="B308" s="1" t="n">
        <v>45720.62863425926</v>
      </c>
      <c r="C308" s="1" t="n">
        <v>45963</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11590-2023</t>
        </is>
      </c>
      <c r="B309" s="1" t="n">
        <v>44994.36689814815</v>
      </c>
      <c r="C309" s="1" t="n">
        <v>45963</v>
      </c>
      <c r="D309" t="inlineStr">
        <is>
          <t>ÖSTERGÖTLANDS LÄN</t>
        </is>
      </c>
      <c r="E309" t="inlineStr">
        <is>
          <t>LINKÖPING</t>
        </is>
      </c>
      <c r="G309" t="n">
        <v>3.1</v>
      </c>
      <c r="H309" t="n">
        <v>0</v>
      </c>
      <c r="I309" t="n">
        <v>0</v>
      </c>
      <c r="J309" t="n">
        <v>0</v>
      </c>
      <c r="K309" t="n">
        <v>0</v>
      </c>
      <c r="L309" t="n">
        <v>0</v>
      </c>
      <c r="M309" t="n">
        <v>0</v>
      </c>
      <c r="N309" t="n">
        <v>0</v>
      </c>
      <c r="O309" t="n">
        <v>0</v>
      </c>
      <c r="P309" t="n">
        <v>0</v>
      </c>
      <c r="Q309" t="n">
        <v>0</v>
      </c>
      <c r="R309" s="2" t="inlineStr"/>
    </row>
    <row r="310" ht="15" customHeight="1">
      <c r="A310" t="inlineStr">
        <is>
          <t>A 30985-2022</t>
        </is>
      </c>
      <c r="B310" s="1" t="n">
        <v>44768</v>
      </c>
      <c r="C310" s="1" t="n">
        <v>45963</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38317-2024</t>
        </is>
      </c>
      <c r="B311" s="1" t="n">
        <v>45545.65766203704</v>
      </c>
      <c r="C311" s="1" t="n">
        <v>45963</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19169-2023</t>
        </is>
      </c>
      <c r="B312" s="1" t="n">
        <v>45044</v>
      </c>
      <c r="C312" s="1" t="n">
        <v>45963</v>
      </c>
      <c r="D312" t="inlineStr">
        <is>
          <t>ÖSTERGÖTLANDS LÄN</t>
        </is>
      </c>
      <c r="E312" t="inlineStr">
        <is>
          <t>LINKÖPING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672-2024</t>
        </is>
      </c>
      <c r="B313" s="1" t="n">
        <v>45300</v>
      </c>
      <c r="C313" s="1" t="n">
        <v>45963</v>
      </c>
      <c r="D313" t="inlineStr">
        <is>
          <t>ÖSTERGÖTLANDS LÄN</t>
        </is>
      </c>
      <c r="E313" t="inlineStr">
        <is>
          <t>LINKÖPING</t>
        </is>
      </c>
      <c r="F313" t="inlineStr">
        <is>
          <t>Sveaskog</t>
        </is>
      </c>
      <c r="G313" t="n">
        <v>4.5</v>
      </c>
      <c r="H313" t="n">
        <v>0</v>
      </c>
      <c r="I313" t="n">
        <v>0</v>
      </c>
      <c r="J313" t="n">
        <v>0</v>
      </c>
      <c r="K313" t="n">
        <v>0</v>
      </c>
      <c r="L313" t="n">
        <v>0</v>
      </c>
      <c r="M313" t="n">
        <v>0</v>
      </c>
      <c r="N313" t="n">
        <v>0</v>
      </c>
      <c r="O313" t="n">
        <v>0</v>
      </c>
      <c r="P313" t="n">
        <v>0</v>
      </c>
      <c r="Q313" t="n">
        <v>0</v>
      </c>
      <c r="R313" s="2" t="inlineStr"/>
    </row>
    <row r="314" ht="15" customHeight="1">
      <c r="A314" t="inlineStr">
        <is>
          <t>A 55493-2021</t>
        </is>
      </c>
      <c r="B314" s="1" t="n">
        <v>44475.61988425926</v>
      </c>
      <c r="C314" s="1" t="n">
        <v>45963</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31635-2023</t>
        </is>
      </c>
      <c r="B315" s="1" t="n">
        <v>45105</v>
      </c>
      <c r="C315" s="1" t="n">
        <v>45963</v>
      </c>
      <c r="D315" t="inlineStr">
        <is>
          <t>ÖSTERGÖTLANDS LÄN</t>
        </is>
      </c>
      <c r="E315" t="inlineStr">
        <is>
          <t>LINKÖPING</t>
        </is>
      </c>
      <c r="F315" t="inlineStr">
        <is>
          <t>Övriga statliga verk och myndigheter</t>
        </is>
      </c>
      <c r="G315" t="n">
        <v>4.6</v>
      </c>
      <c r="H315" t="n">
        <v>0</v>
      </c>
      <c r="I315" t="n">
        <v>0</v>
      </c>
      <c r="J315" t="n">
        <v>0</v>
      </c>
      <c r="K315" t="n">
        <v>0</v>
      </c>
      <c r="L315" t="n">
        <v>0</v>
      </c>
      <c r="M315" t="n">
        <v>0</v>
      </c>
      <c r="N315" t="n">
        <v>0</v>
      </c>
      <c r="O315" t="n">
        <v>0</v>
      </c>
      <c r="P315" t="n">
        <v>0</v>
      </c>
      <c r="Q315" t="n">
        <v>0</v>
      </c>
      <c r="R315" s="2" t="inlineStr"/>
    </row>
    <row r="316" ht="15" customHeight="1">
      <c r="A316" t="inlineStr">
        <is>
          <t>A 14093-2024</t>
        </is>
      </c>
      <c r="B316" s="1" t="n">
        <v>45392.60278935185</v>
      </c>
      <c r="C316" s="1" t="n">
        <v>45963</v>
      </c>
      <c r="D316" t="inlineStr">
        <is>
          <t>ÖSTERGÖTLANDS LÄN</t>
        </is>
      </c>
      <c r="E316" t="inlineStr">
        <is>
          <t>LINKÖPING</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20296-2025</t>
        </is>
      </c>
      <c r="B317" s="1" t="n">
        <v>45774.74922453704</v>
      </c>
      <c r="C317" s="1" t="n">
        <v>45963</v>
      </c>
      <c r="D317" t="inlineStr">
        <is>
          <t>ÖSTERGÖTLANDS LÄN</t>
        </is>
      </c>
      <c r="E317" t="inlineStr">
        <is>
          <t>LINKÖPING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62019-2024</t>
        </is>
      </c>
      <c r="B318" s="1" t="n">
        <v>45655.82</v>
      </c>
      <c r="C318" s="1" t="n">
        <v>45963</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67129-2020</t>
        </is>
      </c>
      <c r="B319" s="1" t="n">
        <v>44180</v>
      </c>
      <c r="C319" s="1" t="n">
        <v>45963</v>
      </c>
      <c r="D319" t="inlineStr">
        <is>
          <t>ÖSTERGÖTLANDS LÄN</t>
        </is>
      </c>
      <c r="E319" t="inlineStr">
        <is>
          <t>LINKÖPING</t>
        </is>
      </c>
      <c r="F319" t="inlineStr">
        <is>
          <t>Övriga statliga verk och myndigheter</t>
        </is>
      </c>
      <c r="G319" t="n">
        <v>2.7</v>
      </c>
      <c r="H319" t="n">
        <v>0</v>
      </c>
      <c r="I319" t="n">
        <v>0</v>
      </c>
      <c r="J319" t="n">
        <v>0</v>
      </c>
      <c r="K319" t="n">
        <v>0</v>
      </c>
      <c r="L319" t="n">
        <v>0</v>
      </c>
      <c r="M319" t="n">
        <v>0</v>
      </c>
      <c r="N319" t="n">
        <v>0</v>
      </c>
      <c r="O319" t="n">
        <v>0</v>
      </c>
      <c r="P319" t="n">
        <v>0</v>
      </c>
      <c r="Q319" t="n">
        <v>0</v>
      </c>
      <c r="R319" s="2" t="inlineStr"/>
    </row>
    <row r="320" ht="15" customHeight="1">
      <c r="A320" t="inlineStr">
        <is>
          <t>A 58947-2022</t>
        </is>
      </c>
      <c r="B320" s="1" t="n">
        <v>44903.64769675926</v>
      </c>
      <c r="C320" s="1" t="n">
        <v>45963</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25119-2023</t>
        </is>
      </c>
      <c r="B321" s="1" t="n">
        <v>45086.42326388889</v>
      </c>
      <c r="C321" s="1" t="n">
        <v>45963</v>
      </c>
      <c r="D321" t="inlineStr">
        <is>
          <t>ÖSTERGÖTLANDS LÄN</t>
        </is>
      </c>
      <c r="E321" t="inlineStr">
        <is>
          <t>LINKÖPING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22770-2024</t>
        </is>
      </c>
      <c r="B322" s="1" t="n">
        <v>45448.4634375</v>
      </c>
      <c r="C322" s="1" t="n">
        <v>45963</v>
      </c>
      <c r="D322" t="inlineStr">
        <is>
          <t>ÖSTERGÖTLANDS LÄN</t>
        </is>
      </c>
      <c r="E322" t="inlineStr">
        <is>
          <t>LINKÖPING</t>
        </is>
      </c>
      <c r="F322" t="inlineStr">
        <is>
          <t>Sveaskog</t>
        </is>
      </c>
      <c r="G322" t="n">
        <v>3.4</v>
      </c>
      <c r="H322" t="n">
        <v>0</v>
      </c>
      <c r="I322" t="n">
        <v>0</v>
      </c>
      <c r="J322" t="n">
        <v>0</v>
      </c>
      <c r="K322" t="n">
        <v>0</v>
      </c>
      <c r="L322" t="n">
        <v>0</v>
      </c>
      <c r="M322" t="n">
        <v>0</v>
      </c>
      <c r="N322" t="n">
        <v>0</v>
      </c>
      <c r="O322" t="n">
        <v>0</v>
      </c>
      <c r="P322" t="n">
        <v>0</v>
      </c>
      <c r="Q322" t="n">
        <v>0</v>
      </c>
      <c r="R322" s="2" t="inlineStr"/>
    </row>
    <row r="323" ht="15" customHeight="1">
      <c r="A323" t="inlineStr">
        <is>
          <t>A 57396-2021</t>
        </is>
      </c>
      <c r="B323" s="1" t="n">
        <v>44483.56151620371</v>
      </c>
      <c r="C323" s="1" t="n">
        <v>45963</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51571-2024</t>
        </is>
      </c>
      <c r="B324" s="1" t="n">
        <v>45604</v>
      </c>
      <c r="C324" s="1" t="n">
        <v>45963</v>
      </c>
      <c r="D324" t="inlineStr">
        <is>
          <t>ÖSTERGÖTLANDS LÄN</t>
        </is>
      </c>
      <c r="E324" t="inlineStr">
        <is>
          <t>LINKÖPING</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11595-2025</t>
        </is>
      </c>
      <c r="B325" s="1" t="n">
        <v>45727.41893518518</v>
      </c>
      <c r="C325" s="1" t="n">
        <v>45963</v>
      </c>
      <c r="D325" t="inlineStr">
        <is>
          <t>ÖSTERGÖTLANDS LÄN</t>
        </is>
      </c>
      <c r="E325" t="inlineStr">
        <is>
          <t>LINKÖPING</t>
        </is>
      </c>
      <c r="G325" t="n">
        <v>6.6</v>
      </c>
      <c r="H325" t="n">
        <v>0</v>
      </c>
      <c r="I325" t="n">
        <v>0</v>
      </c>
      <c r="J325" t="n">
        <v>0</v>
      </c>
      <c r="K325" t="n">
        <v>0</v>
      </c>
      <c r="L325" t="n">
        <v>0</v>
      </c>
      <c r="M325" t="n">
        <v>0</v>
      </c>
      <c r="N325" t="n">
        <v>0</v>
      </c>
      <c r="O325" t="n">
        <v>0</v>
      </c>
      <c r="P325" t="n">
        <v>0</v>
      </c>
      <c r="Q325" t="n">
        <v>0</v>
      </c>
      <c r="R325" s="2" t="inlineStr"/>
    </row>
    <row r="326" ht="15" customHeight="1">
      <c r="A326" t="inlineStr">
        <is>
          <t>A 17143-2025</t>
        </is>
      </c>
      <c r="B326" s="1" t="n">
        <v>45755.92731481481</v>
      </c>
      <c r="C326" s="1" t="n">
        <v>45963</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16665-2023</t>
        </is>
      </c>
      <c r="B327" s="1" t="n">
        <v>45030.5583912037</v>
      </c>
      <c r="C327" s="1" t="n">
        <v>45963</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60001-2022</t>
        </is>
      </c>
      <c r="B328" s="1" t="n">
        <v>44909.47087962963</v>
      </c>
      <c r="C328" s="1" t="n">
        <v>45963</v>
      </c>
      <c r="D328" t="inlineStr">
        <is>
          <t>ÖSTERGÖTLANDS LÄN</t>
        </is>
      </c>
      <c r="E328" t="inlineStr">
        <is>
          <t>LINKÖPING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60013-2022</t>
        </is>
      </c>
      <c r="B329" s="1" t="n">
        <v>44909.47482638889</v>
      </c>
      <c r="C329" s="1" t="n">
        <v>45963</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1211-2023</t>
        </is>
      </c>
      <c r="B330" s="1" t="n">
        <v>44930</v>
      </c>
      <c r="C330" s="1" t="n">
        <v>45963</v>
      </c>
      <c r="D330" t="inlineStr">
        <is>
          <t>ÖSTERGÖTLANDS LÄN</t>
        </is>
      </c>
      <c r="E330" t="inlineStr">
        <is>
          <t>LINKÖPING</t>
        </is>
      </c>
      <c r="F330" t="inlineStr">
        <is>
          <t>Övriga statliga verk och myndigheter</t>
        </is>
      </c>
      <c r="G330" t="n">
        <v>7.9</v>
      </c>
      <c r="H330" t="n">
        <v>0</v>
      </c>
      <c r="I330" t="n">
        <v>0</v>
      </c>
      <c r="J330" t="n">
        <v>0</v>
      </c>
      <c r="K330" t="n">
        <v>0</v>
      </c>
      <c r="L330" t="n">
        <v>0</v>
      </c>
      <c r="M330" t="n">
        <v>0</v>
      </c>
      <c r="N330" t="n">
        <v>0</v>
      </c>
      <c r="O330" t="n">
        <v>0</v>
      </c>
      <c r="P330" t="n">
        <v>0</v>
      </c>
      <c r="Q330" t="n">
        <v>0</v>
      </c>
      <c r="R330" s="2" t="inlineStr"/>
    </row>
    <row r="331" ht="15" customHeight="1">
      <c r="A331" t="inlineStr">
        <is>
          <t>A 48839-2022</t>
        </is>
      </c>
      <c r="B331" s="1" t="n">
        <v>44859</v>
      </c>
      <c r="C331" s="1" t="n">
        <v>45963</v>
      </c>
      <c r="D331" t="inlineStr">
        <is>
          <t>ÖSTERGÖTLANDS LÄN</t>
        </is>
      </c>
      <c r="E331" t="inlineStr">
        <is>
          <t>LINKÖPING</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17124-2025</t>
        </is>
      </c>
      <c r="B332" s="1" t="n">
        <v>45755.69678240741</v>
      </c>
      <c r="C332" s="1" t="n">
        <v>45963</v>
      </c>
      <c r="D332" t="inlineStr">
        <is>
          <t>ÖSTERGÖTLANDS LÄN</t>
        </is>
      </c>
      <c r="E332" t="inlineStr">
        <is>
          <t>LINKÖPING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17126-2025</t>
        </is>
      </c>
      <c r="B333" s="1" t="n">
        <v>45755.70814814815</v>
      </c>
      <c r="C333" s="1" t="n">
        <v>45963</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8967-2025</t>
        </is>
      </c>
      <c r="B334" s="1" t="n">
        <v>45712</v>
      </c>
      <c r="C334" s="1" t="n">
        <v>45963</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31640-2023</t>
        </is>
      </c>
      <c r="B335" s="1" t="n">
        <v>45117</v>
      </c>
      <c r="C335" s="1" t="n">
        <v>45963</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38136-2023</t>
        </is>
      </c>
      <c r="B336" s="1" t="n">
        <v>45161.37310185185</v>
      </c>
      <c r="C336" s="1" t="n">
        <v>45963</v>
      </c>
      <c r="D336" t="inlineStr">
        <is>
          <t>ÖSTERGÖTLANDS LÄN</t>
        </is>
      </c>
      <c r="E336" t="inlineStr">
        <is>
          <t>LINKÖPING</t>
        </is>
      </c>
      <c r="G336" t="n">
        <v>5.6</v>
      </c>
      <c r="H336" t="n">
        <v>0</v>
      </c>
      <c r="I336" t="n">
        <v>0</v>
      </c>
      <c r="J336" t="n">
        <v>0</v>
      </c>
      <c r="K336" t="n">
        <v>0</v>
      </c>
      <c r="L336" t="n">
        <v>0</v>
      </c>
      <c r="M336" t="n">
        <v>0</v>
      </c>
      <c r="N336" t="n">
        <v>0</v>
      </c>
      <c r="O336" t="n">
        <v>0</v>
      </c>
      <c r="P336" t="n">
        <v>0</v>
      </c>
      <c r="Q336" t="n">
        <v>0</v>
      </c>
      <c r="R336" s="2" t="inlineStr"/>
    </row>
    <row r="337" ht="15" customHeight="1">
      <c r="A337" t="inlineStr">
        <is>
          <t>A 63678-2023</t>
        </is>
      </c>
      <c r="B337" s="1" t="n">
        <v>45275.64769675926</v>
      </c>
      <c r="C337" s="1" t="n">
        <v>45963</v>
      </c>
      <c r="D337" t="inlineStr">
        <is>
          <t>ÖSTERGÖTLANDS LÄN</t>
        </is>
      </c>
      <c r="E337" t="inlineStr">
        <is>
          <t>LINKÖPING</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11790-2024</t>
        </is>
      </c>
      <c r="B338" s="1" t="n">
        <v>45374</v>
      </c>
      <c r="C338" s="1" t="n">
        <v>45963</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41426-2022</t>
        </is>
      </c>
      <c r="B339" s="1" t="n">
        <v>44826</v>
      </c>
      <c r="C339" s="1" t="n">
        <v>45963</v>
      </c>
      <c r="D339" t="inlineStr">
        <is>
          <t>ÖSTERGÖTLANDS LÄN</t>
        </is>
      </c>
      <c r="E339" t="inlineStr">
        <is>
          <t>LINKÖPING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61281-2021</t>
        </is>
      </c>
      <c r="B340" s="1" t="n">
        <v>44498.60736111111</v>
      </c>
      <c r="C340" s="1" t="n">
        <v>45963</v>
      </c>
      <c r="D340" t="inlineStr">
        <is>
          <t>ÖSTERGÖTLANDS LÄN</t>
        </is>
      </c>
      <c r="E340" t="inlineStr">
        <is>
          <t>LINKÖPING</t>
        </is>
      </c>
      <c r="G340" t="n">
        <v>4.5</v>
      </c>
      <c r="H340" t="n">
        <v>0</v>
      </c>
      <c r="I340" t="n">
        <v>0</v>
      </c>
      <c r="J340" t="n">
        <v>0</v>
      </c>
      <c r="K340" t="n">
        <v>0</v>
      </c>
      <c r="L340" t="n">
        <v>0</v>
      </c>
      <c r="M340" t="n">
        <v>0</v>
      </c>
      <c r="N340" t="n">
        <v>0</v>
      </c>
      <c r="O340" t="n">
        <v>0</v>
      </c>
      <c r="P340" t="n">
        <v>0</v>
      </c>
      <c r="Q340" t="n">
        <v>0</v>
      </c>
      <c r="R340" s="2" t="inlineStr"/>
    </row>
    <row r="341" ht="15" customHeight="1">
      <c r="A341" t="inlineStr">
        <is>
          <t>A 12317-2025</t>
        </is>
      </c>
      <c r="B341" s="1" t="n">
        <v>45729.8487037037</v>
      </c>
      <c r="C341" s="1" t="n">
        <v>45963</v>
      </c>
      <c r="D341" t="inlineStr">
        <is>
          <t>ÖSTERGÖTLANDS LÄN</t>
        </is>
      </c>
      <c r="E341" t="inlineStr">
        <is>
          <t>LINKÖPING</t>
        </is>
      </c>
      <c r="G341" t="n">
        <v>8</v>
      </c>
      <c r="H341" t="n">
        <v>0</v>
      </c>
      <c r="I341" t="n">
        <v>0</v>
      </c>
      <c r="J341" t="n">
        <v>0</v>
      </c>
      <c r="K341" t="n">
        <v>0</v>
      </c>
      <c r="L341" t="n">
        <v>0</v>
      </c>
      <c r="M341" t="n">
        <v>0</v>
      </c>
      <c r="N341" t="n">
        <v>0</v>
      </c>
      <c r="O341" t="n">
        <v>0</v>
      </c>
      <c r="P341" t="n">
        <v>0</v>
      </c>
      <c r="Q341" t="n">
        <v>0</v>
      </c>
      <c r="R341" s="2" t="inlineStr"/>
    </row>
    <row r="342" ht="15" customHeight="1">
      <c r="A342" t="inlineStr">
        <is>
          <t>A 36557-2023</t>
        </is>
      </c>
      <c r="B342" s="1" t="n">
        <v>45153</v>
      </c>
      <c r="C342" s="1" t="n">
        <v>45963</v>
      </c>
      <c r="D342" t="inlineStr">
        <is>
          <t>ÖSTERGÖTLANDS LÄN</t>
        </is>
      </c>
      <c r="E342" t="inlineStr">
        <is>
          <t>LINKÖPING</t>
        </is>
      </c>
      <c r="F342" t="inlineStr">
        <is>
          <t>Övriga Aktiebolag</t>
        </is>
      </c>
      <c r="G342" t="n">
        <v>3.1</v>
      </c>
      <c r="H342" t="n">
        <v>0</v>
      </c>
      <c r="I342" t="n">
        <v>0</v>
      </c>
      <c r="J342" t="n">
        <v>0</v>
      </c>
      <c r="K342" t="n">
        <v>0</v>
      </c>
      <c r="L342" t="n">
        <v>0</v>
      </c>
      <c r="M342" t="n">
        <v>0</v>
      </c>
      <c r="N342" t="n">
        <v>0</v>
      </c>
      <c r="O342" t="n">
        <v>0</v>
      </c>
      <c r="P342" t="n">
        <v>0</v>
      </c>
      <c r="Q342" t="n">
        <v>0</v>
      </c>
      <c r="R342" s="2" t="inlineStr"/>
    </row>
    <row r="343" ht="15" customHeight="1">
      <c r="A343" t="inlineStr">
        <is>
          <t>A 34162-2022</t>
        </is>
      </c>
      <c r="B343" s="1" t="n">
        <v>44791</v>
      </c>
      <c r="C343" s="1" t="n">
        <v>45963</v>
      </c>
      <c r="D343" t="inlineStr">
        <is>
          <t>ÖSTERGÖTLANDS LÄN</t>
        </is>
      </c>
      <c r="E343" t="inlineStr">
        <is>
          <t>LINKÖPING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2085-2024</t>
        </is>
      </c>
      <c r="B344" s="1" t="n">
        <v>45309</v>
      </c>
      <c r="C344" s="1" t="n">
        <v>45963</v>
      </c>
      <c r="D344" t="inlineStr">
        <is>
          <t>ÖSTERGÖTLANDS LÄN</t>
        </is>
      </c>
      <c r="E344" t="inlineStr">
        <is>
          <t>LINKÖPING</t>
        </is>
      </c>
      <c r="G344" t="n">
        <v>4.5</v>
      </c>
      <c r="H344" t="n">
        <v>0</v>
      </c>
      <c r="I344" t="n">
        <v>0</v>
      </c>
      <c r="J344" t="n">
        <v>0</v>
      </c>
      <c r="K344" t="n">
        <v>0</v>
      </c>
      <c r="L344" t="n">
        <v>0</v>
      </c>
      <c r="M344" t="n">
        <v>0</v>
      </c>
      <c r="N344" t="n">
        <v>0</v>
      </c>
      <c r="O344" t="n">
        <v>0</v>
      </c>
      <c r="P344" t="n">
        <v>0</v>
      </c>
      <c r="Q344" t="n">
        <v>0</v>
      </c>
      <c r="R344" s="2" t="inlineStr"/>
    </row>
    <row r="345" ht="15" customHeight="1">
      <c r="A345" t="inlineStr">
        <is>
          <t>A 1844-2025</t>
        </is>
      </c>
      <c r="B345" s="1" t="n">
        <v>45671.57730324074</v>
      </c>
      <c r="C345" s="1" t="n">
        <v>45963</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6206-2024</t>
        </is>
      </c>
      <c r="B346" s="1" t="n">
        <v>45337.5977662037</v>
      </c>
      <c r="C346" s="1" t="n">
        <v>45963</v>
      </c>
      <c r="D346" t="inlineStr">
        <is>
          <t>ÖSTERGÖTLANDS LÄN</t>
        </is>
      </c>
      <c r="E346" t="inlineStr">
        <is>
          <t>LINKÖPING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30468-2023</t>
        </is>
      </c>
      <c r="B347" s="1" t="n">
        <v>45111.58732638889</v>
      </c>
      <c r="C347" s="1" t="n">
        <v>45963</v>
      </c>
      <c r="D347" t="inlineStr">
        <is>
          <t>ÖSTERGÖTLANDS LÄN</t>
        </is>
      </c>
      <c r="E347" t="inlineStr">
        <is>
          <t>LINKÖPING</t>
        </is>
      </c>
      <c r="G347" t="n">
        <v>10.1</v>
      </c>
      <c r="H347" t="n">
        <v>0</v>
      </c>
      <c r="I347" t="n">
        <v>0</v>
      </c>
      <c r="J347" t="n">
        <v>0</v>
      </c>
      <c r="K347" t="n">
        <v>0</v>
      </c>
      <c r="L347" t="n">
        <v>0</v>
      </c>
      <c r="M347" t="n">
        <v>0</v>
      </c>
      <c r="N347" t="n">
        <v>0</v>
      </c>
      <c r="O347" t="n">
        <v>0</v>
      </c>
      <c r="P347" t="n">
        <v>0</v>
      </c>
      <c r="Q347" t="n">
        <v>0</v>
      </c>
      <c r="R347" s="2" t="inlineStr"/>
    </row>
    <row r="348" ht="15" customHeight="1">
      <c r="A348" t="inlineStr">
        <is>
          <t>A 168-2024</t>
        </is>
      </c>
      <c r="B348" s="1" t="n">
        <v>45294</v>
      </c>
      <c r="C348" s="1" t="n">
        <v>45963</v>
      </c>
      <c r="D348" t="inlineStr">
        <is>
          <t>ÖSTERGÖTLANDS LÄN</t>
        </is>
      </c>
      <c r="E348" t="inlineStr">
        <is>
          <t>LINKÖPING</t>
        </is>
      </c>
      <c r="F348" t="inlineStr">
        <is>
          <t>Allmännings- och besparingsskogar</t>
        </is>
      </c>
      <c r="G348" t="n">
        <v>8.9</v>
      </c>
      <c r="H348" t="n">
        <v>0</v>
      </c>
      <c r="I348" t="n">
        <v>0</v>
      </c>
      <c r="J348" t="n">
        <v>0</v>
      </c>
      <c r="K348" t="n">
        <v>0</v>
      </c>
      <c r="L348" t="n">
        <v>0</v>
      </c>
      <c r="M348" t="n">
        <v>0</v>
      </c>
      <c r="N348" t="n">
        <v>0</v>
      </c>
      <c r="O348" t="n">
        <v>0</v>
      </c>
      <c r="P348" t="n">
        <v>0</v>
      </c>
      <c r="Q348" t="n">
        <v>0</v>
      </c>
      <c r="R348" s="2" t="inlineStr"/>
    </row>
    <row r="349" ht="15" customHeight="1">
      <c r="A349" t="inlineStr">
        <is>
          <t>A 38715-2023</t>
        </is>
      </c>
      <c r="B349" s="1" t="n">
        <v>45160</v>
      </c>
      <c r="C349" s="1" t="n">
        <v>45963</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51919-2024</t>
        </is>
      </c>
      <c r="B350" s="1" t="n">
        <v>45607.60791666667</v>
      </c>
      <c r="C350" s="1" t="n">
        <v>45963</v>
      </c>
      <c r="D350" t="inlineStr">
        <is>
          <t>ÖSTERGÖTLANDS LÄN</t>
        </is>
      </c>
      <c r="E350" t="inlineStr">
        <is>
          <t>LINKÖPING</t>
        </is>
      </c>
      <c r="G350" t="n">
        <v>2.5</v>
      </c>
      <c r="H350" t="n">
        <v>0</v>
      </c>
      <c r="I350" t="n">
        <v>0</v>
      </c>
      <c r="J350" t="n">
        <v>0</v>
      </c>
      <c r="K350" t="n">
        <v>0</v>
      </c>
      <c r="L350" t="n">
        <v>0</v>
      </c>
      <c r="M350" t="n">
        <v>0</v>
      </c>
      <c r="N350" t="n">
        <v>0</v>
      </c>
      <c r="O350" t="n">
        <v>0</v>
      </c>
      <c r="P350" t="n">
        <v>0</v>
      </c>
      <c r="Q350" t="n">
        <v>0</v>
      </c>
      <c r="R350" s="2" t="inlineStr"/>
    </row>
    <row r="351" ht="15" customHeight="1">
      <c r="A351" t="inlineStr">
        <is>
          <t>A 56623-2024</t>
        </is>
      </c>
      <c r="B351" s="1" t="n">
        <v>45625</v>
      </c>
      <c r="C351" s="1" t="n">
        <v>45963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11330-2023</t>
        </is>
      </c>
      <c r="B352" s="1" t="n">
        <v>44993.24648148148</v>
      </c>
      <c r="C352" s="1" t="n">
        <v>45963</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63304-2021</t>
        </is>
      </c>
      <c r="B353" s="1" t="n">
        <v>44508.4396412037</v>
      </c>
      <c r="C353" s="1" t="n">
        <v>45963</v>
      </c>
      <c r="D353" t="inlineStr">
        <is>
          <t>ÖSTERGÖTLANDS LÄN</t>
        </is>
      </c>
      <c r="E353" t="inlineStr">
        <is>
          <t>LINKÖPING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21165-2025</t>
        </is>
      </c>
      <c r="B354" s="1" t="n">
        <v>45779.39417824074</v>
      </c>
      <c r="C354" s="1" t="n">
        <v>45963</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21155-2025</t>
        </is>
      </c>
      <c r="B355" s="1" t="n">
        <v>45779.37586805555</v>
      </c>
      <c r="C355" s="1" t="n">
        <v>45963</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14528-2025</t>
        </is>
      </c>
      <c r="B356" s="1" t="n">
        <v>45741</v>
      </c>
      <c r="C356" s="1" t="n">
        <v>45963</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34864-2023</t>
        </is>
      </c>
      <c r="B357" s="1" t="n">
        <v>45141</v>
      </c>
      <c r="C357" s="1" t="n">
        <v>45963</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46687-2021</t>
        </is>
      </c>
      <c r="B358" s="1" t="n">
        <v>44445</v>
      </c>
      <c r="C358" s="1" t="n">
        <v>45963</v>
      </c>
      <c r="D358" t="inlineStr">
        <is>
          <t>ÖSTERGÖTLANDS LÄN</t>
        </is>
      </c>
      <c r="E358" t="inlineStr">
        <is>
          <t>LINKÖPING</t>
        </is>
      </c>
      <c r="F358" t="inlineStr">
        <is>
          <t>Övriga statliga verk och myndigheter</t>
        </is>
      </c>
      <c r="G358" t="n">
        <v>2.3</v>
      </c>
      <c r="H358" t="n">
        <v>0</v>
      </c>
      <c r="I358" t="n">
        <v>0</v>
      </c>
      <c r="J358" t="n">
        <v>0</v>
      </c>
      <c r="K358" t="n">
        <v>0</v>
      </c>
      <c r="L358" t="n">
        <v>0</v>
      </c>
      <c r="M358" t="n">
        <v>0</v>
      </c>
      <c r="N358" t="n">
        <v>0</v>
      </c>
      <c r="O358" t="n">
        <v>0</v>
      </c>
      <c r="P358" t="n">
        <v>0</v>
      </c>
      <c r="Q358" t="n">
        <v>0</v>
      </c>
      <c r="R358" s="2" t="inlineStr"/>
    </row>
    <row r="359" ht="15" customHeight="1">
      <c r="A359" t="inlineStr">
        <is>
          <t>A 17103-2025</t>
        </is>
      </c>
      <c r="B359" s="1" t="n">
        <v>45755.66143518518</v>
      </c>
      <c r="C359" s="1" t="n">
        <v>45963</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61298-2021</t>
        </is>
      </c>
      <c r="B360" s="1" t="n">
        <v>44498.62533564815</v>
      </c>
      <c r="C360" s="1" t="n">
        <v>45963</v>
      </c>
      <c r="D360" t="inlineStr">
        <is>
          <t>ÖSTERGÖTLANDS LÄN</t>
        </is>
      </c>
      <c r="E360" t="inlineStr">
        <is>
          <t>LINKÖPING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61333-2021</t>
        </is>
      </c>
      <c r="B361" s="1" t="n">
        <v>44498.6764699074</v>
      </c>
      <c r="C361" s="1" t="n">
        <v>45963</v>
      </c>
      <c r="D361" t="inlineStr">
        <is>
          <t>ÖSTERGÖTLANDS LÄN</t>
        </is>
      </c>
      <c r="E361" t="inlineStr">
        <is>
          <t>LINKÖPING</t>
        </is>
      </c>
      <c r="G361" t="n">
        <v>7.5</v>
      </c>
      <c r="H361" t="n">
        <v>0</v>
      </c>
      <c r="I361" t="n">
        <v>0</v>
      </c>
      <c r="J361" t="n">
        <v>0</v>
      </c>
      <c r="K361" t="n">
        <v>0</v>
      </c>
      <c r="L361" t="n">
        <v>0</v>
      </c>
      <c r="M361" t="n">
        <v>0</v>
      </c>
      <c r="N361" t="n">
        <v>0</v>
      </c>
      <c r="O361" t="n">
        <v>0</v>
      </c>
      <c r="P361" t="n">
        <v>0</v>
      </c>
      <c r="Q361" t="n">
        <v>0</v>
      </c>
      <c r="R361" s="2" t="inlineStr"/>
    </row>
    <row r="362" ht="15" customHeight="1">
      <c r="A362" t="inlineStr">
        <is>
          <t>A 3530-2024</t>
        </is>
      </c>
      <c r="B362" s="1" t="n">
        <v>45320.54717592592</v>
      </c>
      <c r="C362" s="1" t="n">
        <v>45963</v>
      </c>
      <c r="D362" t="inlineStr">
        <is>
          <t>ÖSTERGÖTLANDS LÄN</t>
        </is>
      </c>
      <c r="E362" t="inlineStr">
        <is>
          <t>LINKÖPING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62073-2023</t>
        </is>
      </c>
      <c r="B363" s="1" t="n">
        <v>45266.73844907407</v>
      </c>
      <c r="C363" s="1" t="n">
        <v>45963</v>
      </c>
      <c r="D363" t="inlineStr">
        <is>
          <t>ÖSTERGÖTLANDS LÄN</t>
        </is>
      </c>
      <c r="E363" t="inlineStr">
        <is>
          <t>LINKÖPING</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5872-2025</t>
        </is>
      </c>
      <c r="B364" s="1" t="n">
        <v>45695.36659722222</v>
      </c>
      <c r="C364" s="1" t="n">
        <v>45963</v>
      </c>
      <c r="D364" t="inlineStr">
        <is>
          <t>ÖSTERGÖTLANDS LÄN</t>
        </is>
      </c>
      <c r="E364" t="inlineStr">
        <is>
          <t>LINKÖPING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53814-2023</t>
        </is>
      </c>
      <c r="B365" s="1" t="n">
        <v>45231</v>
      </c>
      <c r="C365" s="1" t="n">
        <v>45963</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3432-2023</t>
        </is>
      </c>
      <c r="B366" s="1" t="n">
        <v>44949</v>
      </c>
      <c r="C366" s="1" t="n">
        <v>45963</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12412-2022</t>
        </is>
      </c>
      <c r="B367" s="1" t="n">
        <v>44638</v>
      </c>
      <c r="C367" s="1" t="n">
        <v>45963</v>
      </c>
      <c r="D367" t="inlineStr">
        <is>
          <t>ÖSTERGÖTLANDS LÄN</t>
        </is>
      </c>
      <c r="E367" t="inlineStr">
        <is>
          <t>LINKÖPING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40618-2021</t>
        </is>
      </c>
      <c r="B368" s="1" t="n">
        <v>44420.49575231481</v>
      </c>
      <c r="C368" s="1" t="n">
        <v>45963</v>
      </c>
      <c r="D368" t="inlineStr">
        <is>
          <t>ÖSTERGÖTLANDS LÄN</t>
        </is>
      </c>
      <c r="E368" t="inlineStr">
        <is>
          <t>LINKÖPING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56180-2024</t>
        </is>
      </c>
      <c r="B369" s="1" t="n">
        <v>45624.56611111111</v>
      </c>
      <c r="C369" s="1" t="n">
        <v>45963</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54425-2022</t>
        </is>
      </c>
      <c r="B370" s="1" t="n">
        <v>44882.57453703704</v>
      </c>
      <c r="C370" s="1" t="n">
        <v>45963</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54428-2022</t>
        </is>
      </c>
      <c r="B371" s="1" t="n">
        <v>44882.57643518518</v>
      </c>
      <c r="C371" s="1" t="n">
        <v>45963</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30471-2023</t>
        </is>
      </c>
      <c r="B372" s="1" t="n">
        <v>45111.58931712963</v>
      </c>
      <c r="C372" s="1" t="n">
        <v>45963</v>
      </c>
      <c r="D372" t="inlineStr">
        <is>
          <t>ÖSTERGÖTLANDS LÄN</t>
        </is>
      </c>
      <c r="E372" t="inlineStr">
        <is>
          <t>LINKÖPING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22264-2025</t>
        </is>
      </c>
      <c r="B373" s="1" t="n">
        <v>45785</v>
      </c>
      <c r="C373" s="1" t="n">
        <v>45963</v>
      </c>
      <c r="D373" t="inlineStr">
        <is>
          <t>ÖSTERGÖTLANDS LÄN</t>
        </is>
      </c>
      <c r="E373" t="inlineStr">
        <is>
          <t>LINKÖPING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227-2024</t>
        </is>
      </c>
      <c r="B374" s="1" t="n">
        <v>45294.73603009259</v>
      </c>
      <c r="C374" s="1" t="n">
        <v>45963</v>
      </c>
      <c r="D374" t="inlineStr">
        <is>
          <t>ÖSTERGÖTLANDS LÄN</t>
        </is>
      </c>
      <c r="E374" t="inlineStr">
        <is>
          <t>LINKÖPING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660-2023</t>
        </is>
      </c>
      <c r="B375" s="1" t="n">
        <v>44930</v>
      </c>
      <c r="C375" s="1" t="n">
        <v>45963</v>
      </c>
      <c r="D375" t="inlineStr">
        <is>
          <t>ÖSTERGÖTLANDS LÄN</t>
        </is>
      </c>
      <c r="E375" t="inlineStr">
        <is>
          <t>LINKÖPING</t>
        </is>
      </c>
      <c r="F375" t="inlineStr">
        <is>
          <t>Kyrkan</t>
        </is>
      </c>
      <c r="G375" t="n">
        <v>1.6</v>
      </c>
      <c r="H375" t="n">
        <v>0</v>
      </c>
      <c r="I375" t="n">
        <v>0</v>
      </c>
      <c r="J375" t="n">
        <v>0</v>
      </c>
      <c r="K375" t="n">
        <v>0</v>
      </c>
      <c r="L375" t="n">
        <v>0</v>
      </c>
      <c r="M375" t="n">
        <v>0</v>
      </c>
      <c r="N375" t="n">
        <v>0</v>
      </c>
      <c r="O375" t="n">
        <v>0</v>
      </c>
      <c r="P375" t="n">
        <v>0</v>
      </c>
      <c r="Q375" t="n">
        <v>0</v>
      </c>
      <c r="R375" s="2" t="inlineStr"/>
    </row>
    <row r="376" ht="15" customHeight="1">
      <c r="A376" t="inlineStr">
        <is>
          <t>A 62501-2023</t>
        </is>
      </c>
      <c r="B376" s="1" t="n">
        <v>45268</v>
      </c>
      <c r="C376" s="1" t="n">
        <v>45963</v>
      </c>
      <c r="D376" t="inlineStr">
        <is>
          <t>ÖSTERGÖTLANDS LÄN</t>
        </is>
      </c>
      <c r="E376" t="inlineStr">
        <is>
          <t>LINKÖPING</t>
        </is>
      </c>
      <c r="G376" t="n">
        <v>7.4</v>
      </c>
      <c r="H376" t="n">
        <v>0</v>
      </c>
      <c r="I376" t="n">
        <v>0</v>
      </c>
      <c r="J376" t="n">
        <v>0</v>
      </c>
      <c r="K376" t="n">
        <v>0</v>
      </c>
      <c r="L376" t="n">
        <v>0</v>
      </c>
      <c r="M376" t="n">
        <v>0</v>
      </c>
      <c r="N376" t="n">
        <v>0</v>
      </c>
      <c r="O376" t="n">
        <v>0</v>
      </c>
      <c r="P376" t="n">
        <v>0</v>
      </c>
      <c r="Q376" t="n">
        <v>0</v>
      </c>
      <c r="R376" s="2" t="inlineStr"/>
    </row>
    <row r="377" ht="15" customHeight="1">
      <c r="A377" t="inlineStr">
        <is>
          <t>A 13413-2023</t>
        </is>
      </c>
      <c r="B377" s="1" t="n">
        <v>45005.58341435185</v>
      </c>
      <c r="C377" s="1" t="n">
        <v>45963</v>
      </c>
      <c r="D377" t="inlineStr">
        <is>
          <t>ÖSTERGÖTLANDS LÄN</t>
        </is>
      </c>
      <c r="E377" t="inlineStr">
        <is>
          <t>LINKÖPING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44155-2024</t>
        </is>
      </c>
      <c r="B378" s="1" t="n">
        <v>45572.68226851852</v>
      </c>
      <c r="C378" s="1" t="n">
        <v>45963</v>
      </c>
      <c r="D378" t="inlineStr">
        <is>
          <t>ÖSTERGÖTLANDS LÄN</t>
        </is>
      </c>
      <c r="E378" t="inlineStr">
        <is>
          <t>LINKÖPING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9473-2024</t>
        </is>
      </c>
      <c r="B379" s="1" t="n">
        <v>45359.55474537037</v>
      </c>
      <c r="C379" s="1" t="n">
        <v>45963</v>
      </c>
      <c r="D379" t="inlineStr">
        <is>
          <t>ÖSTERGÖTLANDS LÄN</t>
        </is>
      </c>
      <c r="E379" t="inlineStr">
        <is>
          <t>LINKÖPING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26620-2023</t>
        </is>
      </c>
      <c r="B380" s="1" t="n">
        <v>45092.70390046296</v>
      </c>
      <c r="C380" s="1" t="n">
        <v>45963</v>
      </c>
      <c r="D380" t="inlineStr">
        <is>
          <t>ÖSTERGÖTLANDS LÄN</t>
        </is>
      </c>
      <c r="E380" t="inlineStr">
        <is>
          <t>LINKÖPING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6859-2024</t>
        </is>
      </c>
      <c r="B381" s="1" t="n">
        <v>45342</v>
      </c>
      <c r="C381" s="1" t="n">
        <v>45963</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44287-2024</t>
        </is>
      </c>
      <c r="B382" s="1" t="n">
        <v>45573.50582175926</v>
      </c>
      <c r="C382" s="1" t="n">
        <v>45963</v>
      </c>
      <c r="D382" t="inlineStr">
        <is>
          <t>ÖSTERGÖTLANDS LÄN</t>
        </is>
      </c>
      <c r="E382" t="inlineStr">
        <is>
          <t>LINKÖPING</t>
        </is>
      </c>
      <c r="G382" t="n">
        <v>12.7</v>
      </c>
      <c r="H382" t="n">
        <v>0</v>
      </c>
      <c r="I382" t="n">
        <v>0</v>
      </c>
      <c r="J382" t="n">
        <v>0</v>
      </c>
      <c r="K382" t="n">
        <v>0</v>
      </c>
      <c r="L382" t="n">
        <v>0</v>
      </c>
      <c r="M382" t="n">
        <v>0</v>
      </c>
      <c r="N382" t="n">
        <v>0</v>
      </c>
      <c r="O382" t="n">
        <v>0</v>
      </c>
      <c r="P382" t="n">
        <v>0</v>
      </c>
      <c r="Q382" t="n">
        <v>0</v>
      </c>
      <c r="R382" s="2" t="inlineStr"/>
    </row>
    <row r="383" ht="15" customHeight="1">
      <c r="A383" t="inlineStr">
        <is>
          <t>A 30434-2024</t>
        </is>
      </c>
      <c r="B383" s="1" t="n">
        <v>45491.69811342593</v>
      </c>
      <c r="C383" s="1" t="n">
        <v>45963</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56917-2022</t>
        </is>
      </c>
      <c r="B384" s="1" t="n">
        <v>44894</v>
      </c>
      <c r="C384" s="1" t="n">
        <v>45963</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57766-2023</t>
        </is>
      </c>
      <c r="B385" s="1" t="n">
        <v>45246</v>
      </c>
      <c r="C385" s="1" t="n">
        <v>45963</v>
      </c>
      <c r="D385" t="inlineStr">
        <is>
          <t>ÖSTERGÖTLANDS LÄN</t>
        </is>
      </c>
      <c r="E385" t="inlineStr">
        <is>
          <t>LINKÖPING</t>
        </is>
      </c>
      <c r="F385" t="inlineStr">
        <is>
          <t>Allmännings- och besparingsskogar</t>
        </is>
      </c>
      <c r="G385" t="n">
        <v>12.8</v>
      </c>
      <c r="H385" t="n">
        <v>0</v>
      </c>
      <c r="I385" t="n">
        <v>0</v>
      </c>
      <c r="J385" t="n">
        <v>0</v>
      </c>
      <c r="K385" t="n">
        <v>0</v>
      </c>
      <c r="L385" t="n">
        <v>0</v>
      </c>
      <c r="M385" t="n">
        <v>0</v>
      </c>
      <c r="N385" t="n">
        <v>0</v>
      </c>
      <c r="O385" t="n">
        <v>0</v>
      </c>
      <c r="P385" t="n">
        <v>0</v>
      </c>
      <c r="Q385" t="n">
        <v>0</v>
      </c>
      <c r="R385" s="2" t="inlineStr"/>
    </row>
    <row r="386" ht="15" customHeight="1">
      <c r="A386" t="inlineStr">
        <is>
          <t>A 62374-2020</t>
        </is>
      </c>
      <c r="B386" s="1" t="n">
        <v>44159</v>
      </c>
      <c r="C386" s="1" t="n">
        <v>45963</v>
      </c>
      <c r="D386" t="inlineStr">
        <is>
          <t>ÖSTERGÖTLANDS LÄN</t>
        </is>
      </c>
      <c r="E386" t="inlineStr">
        <is>
          <t>LINKÖPING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22364-2025</t>
        </is>
      </c>
      <c r="B387" s="1" t="n">
        <v>45786.46930555555</v>
      </c>
      <c r="C387" s="1" t="n">
        <v>45963</v>
      </c>
      <c r="D387" t="inlineStr">
        <is>
          <t>ÖSTERGÖTLANDS LÄN</t>
        </is>
      </c>
      <c r="E387" t="inlineStr">
        <is>
          <t>LINKÖPING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16462-2021</t>
        </is>
      </c>
      <c r="B388" s="1" t="n">
        <v>44293</v>
      </c>
      <c r="C388" s="1" t="n">
        <v>45963</v>
      </c>
      <c r="D388" t="inlineStr">
        <is>
          <t>ÖSTERGÖTLANDS LÄN</t>
        </is>
      </c>
      <c r="E388" t="inlineStr">
        <is>
          <t>LINKÖPING</t>
        </is>
      </c>
      <c r="F388" t="inlineStr">
        <is>
          <t>Allmännings- och besparingsskogar</t>
        </is>
      </c>
      <c r="G388" t="n">
        <v>24.7</v>
      </c>
      <c r="H388" t="n">
        <v>0</v>
      </c>
      <c r="I388" t="n">
        <v>0</v>
      </c>
      <c r="J388" t="n">
        <v>0</v>
      </c>
      <c r="K388" t="n">
        <v>0</v>
      </c>
      <c r="L388" t="n">
        <v>0</v>
      </c>
      <c r="M388" t="n">
        <v>0</v>
      </c>
      <c r="N388" t="n">
        <v>0</v>
      </c>
      <c r="O388" t="n">
        <v>0</v>
      </c>
      <c r="P388" t="n">
        <v>0</v>
      </c>
      <c r="Q388" t="n">
        <v>0</v>
      </c>
      <c r="R388" s="2" t="inlineStr"/>
    </row>
    <row r="389" ht="15" customHeight="1">
      <c r="A389" t="inlineStr">
        <is>
          <t>A 572-2025</t>
        </is>
      </c>
      <c r="B389" s="1" t="n">
        <v>45664.56349537037</v>
      </c>
      <c r="C389" s="1" t="n">
        <v>45963</v>
      </c>
      <c r="D389" t="inlineStr">
        <is>
          <t>ÖSTERGÖTLANDS LÄN</t>
        </is>
      </c>
      <c r="E389" t="inlineStr">
        <is>
          <t>LINKÖPING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10797-2024</t>
        </is>
      </c>
      <c r="B390" s="1" t="n">
        <v>45369.6190162037</v>
      </c>
      <c r="C390" s="1" t="n">
        <v>45963</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38580-2024</t>
        </is>
      </c>
      <c r="B391" s="1" t="n">
        <v>45546.64825231482</v>
      </c>
      <c r="C391" s="1" t="n">
        <v>45963</v>
      </c>
      <c r="D391" t="inlineStr">
        <is>
          <t>ÖSTERGÖTLANDS LÄN</t>
        </is>
      </c>
      <c r="E391" t="inlineStr">
        <is>
          <t>LINKÖPING</t>
        </is>
      </c>
      <c r="G391" t="n">
        <v>4.8</v>
      </c>
      <c r="H391" t="n">
        <v>0</v>
      </c>
      <c r="I391" t="n">
        <v>0</v>
      </c>
      <c r="J391" t="n">
        <v>0</v>
      </c>
      <c r="K391" t="n">
        <v>0</v>
      </c>
      <c r="L391" t="n">
        <v>0</v>
      </c>
      <c r="M391" t="n">
        <v>0</v>
      </c>
      <c r="N391" t="n">
        <v>0</v>
      </c>
      <c r="O391" t="n">
        <v>0</v>
      </c>
      <c r="P391" t="n">
        <v>0</v>
      </c>
      <c r="Q391" t="n">
        <v>0</v>
      </c>
      <c r="R391" s="2" t="inlineStr"/>
    </row>
    <row r="392" ht="15" customHeight="1">
      <c r="A392" t="inlineStr">
        <is>
          <t>A 57752-2023</t>
        </is>
      </c>
      <c r="B392" s="1" t="n">
        <v>45246.78474537037</v>
      </c>
      <c r="C392" s="1" t="n">
        <v>45963</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25568-2024</t>
        </is>
      </c>
      <c r="B393" s="1" t="n">
        <v>45463.58699074074</v>
      </c>
      <c r="C393" s="1" t="n">
        <v>45963</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29312-2024</t>
        </is>
      </c>
      <c r="B394" s="1" t="n">
        <v>45483</v>
      </c>
      <c r="C394" s="1" t="n">
        <v>45963</v>
      </c>
      <c r="D394" t="inlineStr">
        <is>
          <t>ÖSTERGÖTLANDS LÄN</t>
        </is>
      </c>
      <c r="E394" t="inlineStr">
        <is>
          <t>LINKÖPING</t>
        </is>
      </c>
      <c r="G394" t="n">
        <v>2.1</v>
      </c>
      <c r="H394" t="n">
        <v>0</v>
      </c>
      <c r="I394" t="n">
        <v>0</v>
      </c>
      <c r="J394" t="n">
        <v>0</v>
      </c>
      <c r="K394" t="n">
        <v>0</v>
      </c>
      <c r="L394" t="n">
        <v>0</v>
      </c>
      <c r="M394" t="n">
        <v>0</v>
      </c>
      <c r="N394" t="n">
        <v>0</v>
      </c>
      <c r="O394" t="n">
        <v>0</v>
      </c>
      <c r="P394" t="n">
        <v>0</v>
      </c>
      <c r="Q394" t="n">
        <v>0</v>
      </c>
      <c r="R394" s="2" t="inlineStr"/>
    </row>
    <row r="395" ht="15" customHeight="1">
      <c r="A395" t="inlineStr">
        <is>
          <t>A 22833-2023</t>
        </is>
      </c>
      <c r="B395" s="1" t="n">
        <v>45071</v>
      </c>
      <c r="C395" s="1" t="n">
        <v>45963</v>
      </c>
      <c r="D395" t="inlineStr">
        <is>
          <t>ÖSTERGÖTLANDS LÄN</t>
        </is>
      </c>
      <c r="E395" t="inlineStr">
        <is>
          <t>LINKÖPING</t>
        </is>
      </c>
      <c r="F395" t="inlineStr">
        <is>
          <t>Kommuner</t>
        </is>
      </c>
      <c r="G395" t="n">
        <v>1</v>
      </c>
      <c r="H395" t="n">
        <v>0</v>
      </c>
      <c r="I395" t="n">
        <v>0</v>
      </c>
      <c r="J395" t="n">
        <v>0</v>
      </c>
      <c r="K395" t="n">
        <v>0</v>
      </c>
      <c r="L395" t="n">
        <v>0</v>
      </c>
      <c r="M395" t="n">
        <v>0</v>
      </c>
      <c r="N395" t="n">
        <v>0</v>
      </c>
      <c r="O395" t="n">
        <v>0</v>
      </c>
      <c r="P395" t="n">
        <v>0</v>
      </c>
      <c r="Q395" t="n">
        <v>0</v>
      </c>
      <c r="R395" s="2" t="inlineStr"/>
    </row>
    <row r="396" ht="15" customHeight="1">
      <c r="A396" t="inlineStr">
        <is>
          <t>A 23120-2025</t>
        </is>
      </c>
      <c r="B396" s="1" t="n">
        <v>45791.37481481482</v>
      </c>
      <c r="C396" s="1" t="n">
        <v>45963</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63554-2023</t>
        </is>
      </c>
      <c r="B397" s="1" t="n">
        <v>45275</v>
      </c>
      <c r="C397" s="1" t="n">
        <v>45963</v>
      </c>
      <c r="D397" t="inlineStr">
        <is>
          <t>ÖSTERGÖTLANDS LÄN</t>
        </is>
      </c>
      <c r="E397" t="inlineStr">
        <is>
          <t>LINKÖPING</t>
        </is>
      </c>
      <c r="G397" t="n">
        <v>4.3</v>
      </c>
      <c r="H397" t="n">
        <v>0</v>
      </c>
      <c r="I397" t="n">
        <v>0</v>
      </c>
      <c r="J397" t="n">
        <v>0</v>
      </c>
      <c r="K397" t="n">
        <v>0</v>
      </c>
      <c r="L397" t="n">
        <v>0</v>
      </c>
      <c r="M397" t="n">
        <v>0</v>
      </c>
      <c r="N397" t="n">
        <v>0</v>
      </c>
      <c r="O397" t="n">
        <v>0</v>
      </c>
      <c r="P397" t="n">
        <v>0</v>
      </c>
      <c r="Q397" t="n">
        <v>0</v>
      </c>
      <c r="R397" s="2" t="inlineStr"/>
    </row>
    <row r="398" ht="15" customHeight="1">
      <c r="A398" t="inlineStr">
        <is>
          <t>A 2997-2025</t>
        </is>
      </c>
      <c r="B398" s="1" t="n">
        <v>45678.54631944445</v>
      </c>
      <c r="C398" s="1" t="n">
        <v>45963</v>
      </c>
      <c r="D398" t="inlineStr">
        <is>
          <t>ÖSTERGÖTLANDS LÄN</t>
        </is>
      </c>
      <c r="E398" t="inlineStr">
        <is>
          <t>LINKÖPING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63638-2023</t>
        </is>
      </c>
      <c r="B399" s="1" t="n">
        <v>45275</v>
      </c>
      <c r="C399" s="1" t="n">
        <v>45963</v>
      </c>
      <c r="D399" t="inlineStr">
        <is>
          <t>ÖSTERGÖTLANDS LÄN</t>
        </is>
      </c>
      <c r="E399" t="inlineStr">
        <is>
          <t>LINKÖPING</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63658-2023</t>
        </is>
      </c>
      <c r="B400" s="1" t="n">
        <v>45275</v>
      </c>
      <c r="C400" s="1" t="n">
        <v>45963</v>
      </c>
      <c r="D400" t="inlineStr">
        <is>
          <t>ÖSTERGÖTLANDS LÄN</t>
        </is>
      </c>
      <c r="E400" t="inlineStr">
        <is>
          <t>LINKÖPING</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23768-2025</t>
        </is>
      </c>
      <c r="B401" s="1" t="n">
        <v>45793.47493055555</v>
      </c>
      <c r="C401" s="1" t="n">
        <v>45963</v>
      </c>
      <c r="D401" t="inlineStr">
        <is>
          <t>ÖSTERGÖTLANDS LÄN</t>
        </is>
      </c>
      <c r="E401" t="inlineStr">
        <is>
          <t>LINKÖPING</t>
        </is>
      </c>
      <c r="G401" t="n">
        <v>3.4</v>
      </c>
      <c r="H401" t="n">
        <v>0</v>
      </c>
      <c r="I401" t="n">
        <v>0</v>
      </c>
      <c r="J401" t="n">
        <v>0</v>
      </c>
      <c r="K401" t="n">
        <v>0</v>
      </c>
      <c r="L401" t="n">
        <v>0</v>
      </c>
      <c r="M401" t="n">
        <v>0</v>
      </c>
      <c r="N401" t="n">
        <v>0</v>
      </c>
      <c r="O401" t="n">
        <v>0</v>
      </c>
      <c r="P401" t="n">
        <v>0</v>
      </c>
      <c r="Q401" t="n">
        <v>0</v>
      </c>
      <c r="R401" s="2" t="inlineStr"/>
    </row>
    <row r="402" ht="15" customHeight="1">
      <c r="A402" t="inlineStr">
        <is>
          <t>A 41345-2021</t>
        </is>
      </c>
      <c r="B402" s="1" t="n">
        <v>44424.61851851852</v>
      </c>
      <c r="C402" s="1" t="n">
        <v>45963</v>
      </c>
      <c r="D402" t="inlineStr">
        <is>
          <t>ÖSTERGÖTLANDS LÄN</t>
        </is>
      </c>
      <c r="E402" t="inlineStr">
        <is>
          <t>LINKÖPING</t>
        </is>
      </c>
      <c r="F402" t="inlineStr">
        <is>
          <t>Sveaskog</t>
        </is>
      </c>
      <c r="G402" t="n">
        <v>6.3</v>
      </c>
      <c r="H402" t="n">
        <v>0</v>
      </c>
      <c r="I402" t="n">
        <v>0</v>
      </c>
      <c r="J402" t="n">
        <v>0</v>
      </c>
      <c r="K402" t="n">
        <v>0</v>
      </c>
      <c r="L402" t="n">
        <v>0</v>
      </c>
      <c r="M402" t="n">
        <v>0</v>
      </c>
      <c r="N402" t="n">
        <v>0</v>
      </c>
      <c r="O402" t="n">
        <v>0</v>
      </c>
      <c r="P402" t="n">
        <v>0</v>
      </c>
      <c r="Q402" t="n">
        <v>0</v>
      </c>
      <c r="R402" s="2" t="inlineStr"/>
    </row>
    <row r="403" ht="15" customHeight="1">
      <c r="A403" t="inlineStr">
        <is>
          <t>A 13266-2025</t>
        </is>
      </c>
      <c r="B403" s="1" t="n">
        <v>45735.53318287037</v>
      </c>
      <c r="C403" s="1" t="n">
        <v>45963</v>
      </c>
      <c r="D403" t="inlineStr">
        <is>
          <t>ÖSTERGÖTLANDS LÄN</t>
        </is>
      </c>
      <c r="E403" t="inlineStr">
        <is>
          <t>LINKÖPING</t>
        </is>
      </c>
      <c r="G403" t="n">
        <v>3.1</v>
      </c>
      <c r="H403" t="n">
        <v>0</v>
      </c>
      <c r="I403" t="n">
        <v>0</v>
      </c>
      <c r="J403" t="n">
        <v>0</v>
      </c>
      <c r="K403" t="n">
        <v>0</v>
      </c>
      <c r="L403" t="n">
        <v>0</v>
      </c>
      <c r="M403" t="n">
        <v>0</v>
      </c>
      <c r="N403" t="n">
        <v>0</v>
      </c>
      <c r="O403" t="n">
        <v>0</v>
      </c>
      <c r="P403" t="n">
        <v>0</v>
      </c>
      <c r="Q403" t="n">
        <v>0</v>
      </c>
      <c r="R403" s="2" t="inlineStr"/>
    </row>
    <row r="404" ht="15" customHeight="1">
      <c r="A404" t="inlineStr">
        <is>
          <t>A 16213-2025</t>
        </is>
      </c>
      <c r="B404" s="1" t="n">
        <v>45750.62740740741</v>
      </c>
      <c r="C404" s="1" t="n">
        <v>45963</v>
      </c>
      <c r="D404" t="inlineStr">
        <is>
          <t>ÖSTERGÖTLANDS LÄN</t>
        </is>
      </c>
      <c r="E404" t="inlineStr">
        <is>
          <t>LINKÖPING</t>
        </is>
      </c>
      <c r="G404" t="n">
        <v>3.4</v>
      </c>
      <c r="H404" t="n">
        <v>0</v>
      </c>
      <c r="I404" t="n">
        <v>0</v>
      </c>
      <c r="J404" t="n">
        <v>0</v>
      </c>
      <c r="K404" t="n">
        <v>0</v>
      </c>
      <c r="L404" t="n">
        <v>0</v>
      </c>
      <c r="M404" t="n">
        <v>0</v>
      </c>
      <c r="N404" t="n">
        <v>0</v>
      </c>
      <c r="O404" t="n">
        <v>0</v>
      </c>
      <c r="P404" t="n">
        <v>0</v>
      </c>
      <c r="Q404" t="n">
        <v>0</v>
      </c>
      <c r="R404" s="2" t="inlineStr"/>
    </row>
    <row r="405" ht="15" customHeight="1">
      <c r="A405" t="inlineStr">
        <is>
          <t>A 16820-2024</t>
        </is>
      </c>
      <c r="B405" s="1" t="n">
        <v>45411.46809027778</v>
      </c>
      <c r="C405" s="1" t="n">
        <v>45963</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4456-2024</t>
        </is>
      </c>
      <c r="B406" s="1" t="n">
        <v>45327.52847222222</v>
      </c>
      <c r="C406" s="1" t="n">
        <v>45963</v>
      </c>
      <c r="D406" t="inlineStr">
        <is>
          <t>ÖSTERGÖTLANDS LÄN</t>
        </is>
      </c>
      <c r="E406" t="inlineStr">
        <is>
          <t>LINKÖPING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48699-2024</t>
        </is>
      </c>
      <c r="B407" s="1" t="n">
        <v>45593.52091435185</v>
      </c>
      <c r="C407" s="1" t="n">
        <v>45963</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37683-2024</t>
        </is>
      </c>
      <c r="B408" s="1" t="n">
        <v>45541.59120370371</v>
      </c>
      <c r="C408" s="1" t="n">
        <v>45963</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20298-2025</t>
        </is>
      </c>
      <c r="B409" s="1" t="n">
        <v>45774.75024305555</v>
      </c>
      <c r="C409" s="1" t="n">
        <v>45963</v>
      </c>
      <c r="D409" t="inlineStr">
        <is>
          <t>ÖSTERGÖTLANDS LÄN</t>
        </is>
      </c>
      <c r="E409" t="inlineStr">
        <is>
          <t>LINKÖPING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46225-2021</t>
        </is>
      </c>
      <c r="B410" s="1" t="n">
        <v>44442</v>
      </c>
      <c r="C410" s="1" t="n">
        <v>45963</v>
      </c>
      <c r="D410" t="inlineStr">
        <is>
          <t>ÖSTERGÖTLANDS LÄN</t>
        </is>
      </c>
      <c r="E410" t="inlineStr">
        <is>
          <t>LINKÖPING</t>
        </is>
      </c>
      <c r="G410" t="n">
        <v>2.9</v>
      </c>
      <c r="H410" t="n">
        <v>0</v>
      </c>
      <c r="I410" t="n">
        <v>0</v>
      </c>
      <c r="J410" t="n">
        <v>0</v>
      </c>
      <c r="K410" t="n">
        <v>0</v>
      </c>
      <c r="L410" t="n">
        <v>0</v>
      </c>
      <c r="M410" t="n">
        <v>0</v>
      </c>
      <c r="N410" t="n">
        <v>0</v>
      </c>
      <c r="O410" t="n">
        <v>0</v>
      </c>
      <c r="P410" t="n">
        <v>0</v>
      </c>
      <c r="Q410" t="n">
        <v>0</v>
      </c>
      <c r="R410" s="2" t="inlineStr"/>
    </row>
    <row r="411" ht="15" customHeight="1">
      <c r="A411" t="inlineStr">
        <is>
          <t>A 15121-2022</t>
        </is>
      </c>
      <c r="B411" s="1" t="n">
        <v>44658</v>
      </c>
      <c r="C411" s="1" t="n">
        <v>45963</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25776-2021</t>
        </is>
      </c>
      <c r="B412" s="1" t="n">
        <v>44343</v>
      </c>
      <c r="C412" s="1" t="n">
        <v>45963</v>
      </c>
      <c r="D412" t="inlineStr">
        <is>
          <t>ÖSTERGÖTLANDS LÄN</t>
        </is>
      </c>
      <c r="E412" t="inlineStr">
        <is>
          <t>LINKÖPING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50743-2023</t>
        </is>
      </c>
      <c r="B413" s="1" t="n">
        <v>45217</v>
      </c>
      <c r="C413" s="1" t="n">
        <v>45963</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1440-2021</t>
        </is>
      </c>
      <c r="B414" s="1" t="n">
        <v>44208</v>
      </c>
      <c r="C414" s="1" t="n">
        <v>45963</v>
      </c>
      <c r="D414" t="inlineStr">
        <is>
          <t>ÖSTERGÖTLANDS LÄN</t>
        </is>
      </c>
      <c r="E414" t="inlineStr">
        <is>
          <t>LINKÖPING</t>
        </is>
      </c>
      <c r="G414" t="n">
        <v>8.4</v>
      </c>
      <c r="H414" t="n">
        <v>0</v>
      </c>
      <c r="I414" t="n">
        <v>0</v>
      </c>
      <c r="J414" t="n">
        <v>0</v>
      </c>
      <c r="K414" t="n">
        <v>0</v>
      </c>
      <c r="L414" t="n">
        <v>0</v>
      </c>
      <c r="M414" t="n">
        <v>0</v>
      </c>
      <c r="N414" t="n">
        <v>0</v>
      </c>
      <c r="O414" t="n">
        <v>0</v>
      </c>
      <c r="P414" t="n">
        <v>0</v>
      </c>
      <c r="Q414" t="n">
        <v>0</v>
      </c>
      <c r="R414" s="2" t="inlineStr"/>
    </row>
    <row r="415" ht="15" customHeight="1">
      <c r="A415" t="inlineStr">
        <is>
          <t>A 51484-2023</t>
        </is>
      </c>
      <c r="B415" s="1" t="n">
        <v>45222</v>
      </c>
      <c r="C415" s="1" t="n">
        <v>45963</v>
      </c>
      <c r="D415" t="inlineStr">
        <is>
          <t>ÖSTERGÖTLANDS LÄN</t>
        </is>
      </c>
      <c r="E415" t="inlineStr">
        <is>
          <t>LINKÖPING</t>
        </is>
      </c>
      <c r="F415" t="inlineStr">
        <is>
          <t>Övriga Aktiebolag</t>
        </is>
      </c>
      <c r="G415" t="n">
        <v>7.7</v>
      </c>
      <c r="H415" t="n">
        <v>0</v>
      </c>
      <c r="I415" t="n">
        <v>0</v>
      </c>
      <c r="J415" t="n">
        <v>0</v>
      </c>
      <c r="K415" t="n">
        <v>0</v>
      </c>
      <c r="L415" t="n">
        <v>0</v>
      </c>
      <c r="M415" t="n">
        <v>0</v>
      </c>
      <c r="N415" t="n">
        <v>0</v>
      </c>
      <c r="O415" t="n">
        <v>0</v>
      </c>
      <c r="P415" t="n">
        <v>0</v>
      </c>
      <c r="Q415" t="n">
        <v>0</v>
      </c>
      <c r="R415" s="2" t="inlineStr"/>
    </row>
    <row r="416" ht="15" customHeight="1">
      <c r="A416" t="inlineStr">
        <is>
          <t>A 13687-2025</t>
        </is>
      </c>
      <c r="B416" s="1" t="n">
        <v>45737.31425925926</v>
      </c>
      <c r="C416" s="1" t="n">
        <v>45963</v>
      </c>
      <c r="D416" t="inlineStr">
        <is>
          <t>ÖSTERGÖTLANDS LÄN</t>
        </is>
      </c>
      <c r="E416" t="inlineStr">
        <is>
          <t>LINKÖPING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17898-2022</t>
        </is>
      </c>
      <c r="B417" s="1" t="n">
        <v>44683</v>
      </c>
      <c r="C417" s="1" t="n">
        <v>45963</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13695-2025</t>
        </is>
      </c>
      <c r="B418" s="1" t="n">
        <v>45737.32219907407</v>
      </c>
      <c r="C418" s="1" t="n">
        <v>45963</v>
      </c>
      <c r="D418" t="inlineStr">
        <is>
          <t>ÖSTERGÖTLANDS LÄN</t>
        </is>
      </c>
      <c r="E418" t="inlineStr">
        <is>
          <t>LINKÖPING</t>
        </is>
      </c>
      <c r="G418" t="n">
        <v>5.3</v>
      </c>
      <c r="H418" t="n">
        <v>0</v>
      </c>
      <c r="I418" t="n">
        <v>0</v>
      </c>
      <c r="J418" t="n">
        <v>0</v>
      </c>
      <c r="K418" t="n">
        <v>0</v>
      </c>
      <c r="L418" t="n">
        <v>0</v>
      </c>
      <c r="M418" t="n">
        <v>0</v>
      </c>
      <c r="N418" t="n">
        <v>0</v>
      </c>
      <c r="O418" t="n">
        <v>0</v>
      </c>
      <c r="P418" t="n">
        <v>0</v>
      </c>
      <c r="Q418" t="n">
        <v>0</v>
      </c>
      <c r="R418" s="2" t="inlineStr"/>
    </row>
    <row r="419" ht="15" customHeight="1">
      <c r="A419" t="inlineStr">
        <is>
          <t>A 20294-2025</t>
        </is>
      </c>
      <c r="B419" s="1" t="n">
        <v>45774.74667824074</v>
      </c>
      <c r="C419" s="1" t="n">
        <v>45963</v>
      </c>
      <c r="D419" t="inlineStr">
        <is>
          <t>ÖSTERGÖTLANDS LÄN</t>
        </is>
      </c>
      <c r="E419" t="inlineStr">
        <is>
          <t>LINKÖPING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63487-2023</t>
        </is>
      </c>
      <c r="B420" s="1" t="n">
        <v>45274.66712962963</v>
      </c>
      <c r="C420" s="1" t="n">
        <v>45963</v>
      </c>
      <c r="D420" t="inlineStr">
        <is>
          <t>ÖSTERGÖTLANDS LÄN</t>
        </is>
      </c>
      <c r="E420" t="inlineStr">
        <is>
          <t>LINKÖPING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35463-2023</t>
        </is>
      </c>
      <c r="B421" s="1" t="n">
        <v>45146</v>
      </c>
      <c r="C421" s="1" t="n">
        <v>45963</v>
      </c>
      <c r="D421" t="inlineStr">
        <is>
          <t>ÖSTERGÖTLANDS LÄN</t>
        </is>
      </c>
      <c r="E421" t="inlineStr">
        <is>
          <t>LINKÖPING</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13911-2025</t>
        </is>
      </c>
      <c r="B422" s="1" t="n">
        <v>45737.64784722222</v>
      </c>
      <c r="C422" s="1" t="n">
        <v>45963</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17128-2025</t>
        </is>
      </c>
      <c r="B423" s="1" t="n">
        <v>45755.72622685185</v>
      </c>
      <c r="C423" s="1" t="n">
        <v>45963</v>
      </c>
      <c r="D423" t="inlineStr">
        <is>
          <t>ÖSTERGÖTLANDS LÄN</t>
        </is>
      </c>
      <c r="E423" t="inlineStr">
        <is>
          <t>LINKÖPING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52125-2022</t>
        </is>
      </c>
      <c r="B424" s="1" t="n">
        <v>44873</v>
      </c>
      <c r="C424" s="1" t="n">
        <v>45963</v>
      </c>
      <c r="D424" t="inlineStr">
        <is>
          <t>ÖSTERGÖTLANDS LÄN</t>
        </is>
      </c>
      <c r="E424" t="inlineStr">
        <is>
          <t>LINKÖPING</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55632-2022</t>
        </is>
      </c>
      <c r="B425" s="1" t="n">
        <v>44888</v>
      </c>
      <c r="C425" s="1" t="n">
        <v>45963</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44280-2024</t>
        </is>
      </c>
      <c r="B426" s="1" t="n">
        <v>45573.49461805556</v>
      </c>
      <c r="C426" s="1" t="n">
        <v>45963</v>
      </c>
      <c r="D426" t="inlineStr">
        <is>
          <t>ÖSTERGÖTLANDS LÄN</t>
        </is>
      </c>
      <c r="E426" t="inlineStr">
        <is>
          <t>LINKÖPING</t>
        </is>
      </c>
      <c r="G426" t="n">
        <v>5.3</v>
      </c>
      <c r="H426" t="n">
        <v>0</v>
      </c>
      <c r="I426" t="n">
        <v>0</v>
      </c>
      <c r="J426" t="n">
        <v>0</v>
      </c>
      <c r="K426" t="n">
        <v>0</v>
      </c>
      <c r="L426" t="n">
        <v>0</v>
      </c>
      <c r="M426" t="n">
        <v>0</v>
      </c>
      <c r="N426" t="n">
        <v>0</v>
      </c>
      <c r="O426" t="n">
        <v>0</v>
      </c>
      <c r="P426" t="n">
        <v>0</v>
      </c>
      <c r="Q426" t="n">
        <v>0</v>
      </c>
      <c r="R426" s="2" t="inlineStr"/>
    </row>
    <row r="427" ht="15" customHeight="1">
      <c r="A427" t="inlineStr">
        <is>
          <t>A 63559-2023</t>
        </is>
      </c>
      <c r="B427" s="1" t="n">
        <v>45275.35924768518</v>
      </c>
      <c r="C427" s="1" t="n">
        <v>45963</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27343-2023</t>
        </is>
      </c>
      <c r="B428" s="1" t="n">
        <v>45096</v>
      </c>
      <c r="C428" s="1" t="n">
        <v>45963</v>
      </c>
      <c r="D428" t="inlineStr">
        <is>
          <t>ÖSTERGÖTLANDS LÄN</t>
        </is>
      </c>
      <c r="E428" t="inlineStr">
        <is>
          <t>LINKÖPING</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58114-2021</t>
        </is>
      </c>
      <c r="B429" s="1" t="n">
        <v>44487</v>
      </c>
      <c r="C429" s="1" t="n">
        <v>45963</v>
      </c>
      <c r="D429" t="inlineStr">
        <is>
          <t>ÖSTERGÖTLANDS LÄN</t>
        </is>
      </c>
      <c r="E429" t="inlineStr">
        <is>
          <t>LINKÖPING</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22842-2023</t>
        </is>
      </c>
      <c r="B430" s="1" t="n">
        <v>45071</v>
      </c>
      <c r="C430" s="1" t="n">
        <v>45963</v>
      </c>
      <c r="D430" t="inlineStr">
        <is>
          <t>ÖSTERGÖTLANDS LÄN</t>
        </is>
      </c>
      <c r="E430" t="inlineStr">
        <is>
          <t>LINKÖPING</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14520-2025</t>
        </is>
      </c>
      <c r="B431" s="1" t="n">
        <v>45741</v>
      </c>
      <c r="C431" s="1" t="n">
        <v>45963</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31548-2022</t>
        </is>
      </c>
      <c r="B432" s="1" t="n">
        <v>44775.39832175926</v>
      </c>
      <c r="C432" s="1" t="n">
        <v>45963</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55944-2024</t>
        </is>
      </c>
      <c r="B433" s="1" t="n">
        <v>45623.61640046296</v>
      </c>
      <c r="C433" s="1" t="n">
        <v>45963</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55947-2024</t>
        </is>
      </c>
      <c r="B434" s="1" t="n">
        <v>45623</v>
      </c>
      <c r="C434" s="1" t="n">
        <v>45963</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3374-2023</t>
        </is>
      </c>
      <c r="B435" s="1" t="n">
        <v>44949</v>
      </c>
      <c r="C435" s="1" t="n">
        <v>45963</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62017-2024</t>
        </is>
      </c>
      <c r="B436" s="1" t="n">
        <v>45655.81140046296</v>
      </c>
      <c r="C436" s="1" t="n">
        <v>45963</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24151-2024</t>
        </is>
      </c>
      <c r="B437" s="1" t="n">
        <v>45456.67717592593</v>
      </c>
      <c r="C437" s="1" t="n">
        <v>45963</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17785-2023</t>
        </is>
      </c>
      <c r="B438" s="1" t="n">
        <v>45037.55094907407</v>
      </c>
      <c r="C438" s="1" t="n">
        <v>45963</v>
      </c>
      <c r="D438" t="inlineStr">
        <is>
          <t>ÖSTERGÖTLANDS LÄN</t>
        </is>
      </c>
      <c r="E438" t="inlineStr">
        <is>
          <t>LINKÖPING</t>
        </is>
      </c>
      <c r="F438" t="inlineStr">
        <is>
          <t>Allmännings- och besparingsskogar</t>
        </is>
      </c>
      <c r="G438" t="n">
        <v>3.1</v>
      </c>
      <c r="H438" t="n">
        <v>0</v>
      </c>
      <c r="I438" t="n">
        <v>0</v>
      </c>
      <c r="J438" t="n">
        <v>0</v>
      </c>
      <c r="K438" t="n">
        <v>0</v>
      </c>
      <c r="L438" t="n">
        <v>0</v>
      </c>
      <c r="M438" t="n">
        <v>0</v>
      </c>
      <c r="N438" t="n">
        <v>0</v>
      </c>
      <c r="O438" t="n">
        <v>0</v>
      </c>
      <c r="P438" t="n">
        <v>0</v>
      </c>
      <c r="Q438" t="n">
        <v>0</v>
      </c>
      <c r="R438" s="2" t="inlineStr"/>
    </row>
    <row r="439" ht="15" customHeight="1">
      <c r="A439" t="inlineStr">
        <is>
          <t>A 26002-2025</t>
        </is>
      </c>
      <c r="B439" s="1" t="n">
        <v>45804.66534722222</v>
      </c>
      <c r="C439" s="1" t="n">
        <v>45963</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67123-2020</t>
        </is>
      </c>
      <c r="B440" s="1" t="n">
        <v>44180</v>
      </c>
      <c r="C440" s="1" t="n">
        <v>45963</v>
      </c>
      <c r="D440" t="inlineStr">
        <is>
          <t>ÖSTERGÖTLANDS LÄN</t>
        </is>
      </c>
      <c r="E440" t="inlineStr">
        <is>
          <t>LINKÖPING</t>
        </is>
      </c>
      <c r="F440" t="inlineStr">
        <is>
          <t>Övriga statliga verk och myndigheter</t>
        </is>
      </c>
      <c r="G440" t="n">
        <v>1.3</v>
      </c>
      <c r="H440" t="n">
        <v>0</v>
      </c>
      <c r="I440" t="n">
        <v>0</v>
      </c>
      <c r="J440" t="n">
        <v>0</v>
      </c>
      <c r="K440" t="n">
        <v>0</v>
      </c>
      <c r="L440" t="n">
        <v>0</v>
      </c>
      <c r="M440" t="n">
        <v>0</v>
      </c>
      <c r="N440" t="n">
        <v>0</v>
      </c>
      <c r="O440" t="n">
        <v>0</v>
      </c>
      <c r="P440" t="n">
        <v>0</v>
      </c>
      <c r="Q440" t="n">
        <v>0</v>
      </c>
      <c r="R440" s="2" t="inlineStr"/>
    </row>
    <row r="441" ht="15" customHeight="1">
      <c r="A441" t="inlineStr">
        <is>
          <t>A 62686-2023</t>
        </is>
      </c>
      <c r="B441" s="1" t="n">
        <v>45271</v>
      </c>
      <c r="C441" s="1" t="n">
        <v>45963</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42044-2023</t>
        </is>
      </c>
      <c r="B442" s="1" t="n">
        <v>45177</v>
      </c>
      <c r="C442" s="1" t="n">
        <v>45963</v>
      </c>
      <c r="D442" t="inlineStr">
        <is>
          <t>ÖSTERGÖTLANDS LÄN</t>
        </is>
      </c>
      <c r="E442" t="inlineStr">
        <is>
          <t>LINKÖPING</t>
        </is>
      </c>
      <c r="G442" t="n">
        <v>3.9</v>
      </c>
      <c r="H442" t="n">
        <v>0</v>
      </c>
      <c r="I442" t="n">
        <v>0</v>
      </c>
      <c r="J442" t="n">
        <v>0</v>
      </c>
      <c r="K442" t="n">
        <v>0</v>
      </c>
      <c r="L442" t="n">
        <v>0</v>
      </c>
      <c r="M442" t="n">
        <v>0</v>
      </c>
      <c r="N442" t="n">
        <v>0</v>
      </c>
      <c r="O442" t="n">
        <v>0</v>
      </c>
      <c r="P442" t="n">
        <v>0</v>
      </c>
      <c r="Q442" t="n">
        <v>0</v>
      </c>
      <c r="R442" s="2" t="inlineStr"/>
    </row>
    <row r="443" ht="15" customHeight="1">
      <c r="A443" t="inlineStr">
        <is>
          <t>A 25996-2025</t>
        </is>
      </c>
      <c r="B443" s="1" t="n">
        <v>45804.65851851852</v>
      </c>
      <c r="C443" s="1" t="n">
        <v>45963</v>
      </c>
      <c r="D443" t="inlineStr">
        <is>
          <t>ÖSTERGÖTLANDS LÄN</t>
        </is>
      </c>
      <c r="E443" t="inlineStr">
        <is>
          <t>LINKÖPING</t>
        </is>
      </c>
      <c r="G443" t="n">
        <v>3.2</v>
      </c>
      <c r="H443" t="n">
        <v>0</v>
      </c>
      <c r="I443" t="n">
        <v>0</v>
      </c>
      <c r="J443" t="n">
        <v>0</v>
      </c>
      <c r="K443" t="n">
        <v>0</v>
      </c>
      <c r="L443" t="n">
        <v>0</v>
      </c>
      <c r="M443" t="n">
        <v>0</v>
      </c>
      <c r="N443" t="n">
        <v>0</v>
      </c>
      <c r="O443" t="n">
        <v>0</v>
      </c>
      <c r="P443" t="n">
        <v>0</v>
      </c>
      <c r="Q443" t="n">
        <v>0</v>
      </c>
      <c r="R443" s="2" t="inlineStr"/>
    </row>
    <row r="444" ht="15" customHeight="1">
      <c r="A444" t="inlineStr">
        <is>
          <t>A 14576-2023</t>
        </is>
      </c>
      <c r="B444" s="1" t="n">
        <v>45013</v>
      </c>
      <c r="C444" s="1" t="n">
        <v>45963</v>
      </c>
      <c r="D444" t="inlineStr">
        <is>
          <t>ÖSTERGÖTLANDS LÄN</t>
        </is>
      </c>
      <c r="E444" t="inlineStr">
        <is>
          <t>LINKÖPING</t>
        </is>
      </c>
      <c r="G444" t="n">
        <v>3.2</v>
      </c>
      <c r="H444" t="n">
        <v>0</v>
      </c>
      <c r="I444" t="n">
        <v>0</v>
      </c>
      <c r="J444" t="n">
        <v>0</v>
      </c>
      <c r="K444" t="n">
        <v>0</v>
      </c>
      <c r="L444" t="n">
        <v>0</v>
      </c>
      <c r="M444" t="n">
        <v>0</v>
      </c>
      <c r="N444" t="n">
        <v>0</v>
      </c>
      <c r="O444" t="n">
        <v>0</v>
      </c>
      <c r="P444" t="n">
        <v>0</v>
      </c>
      <c r="Q444" t="n">
        <v>0</v>
      </c>
      <c r="R444" s="2" t="inlineStr"/>
    </row>
    <row r="445" ht="15" customHeight="1">
      <c r="A445" t="inlineStr">
        <is>
          <t>A 5314-2021</t>
        </is>
      </c>
      <c r="B445" s="1" t="n">
        <v>44229</v>
      </c>
      <c r="C445" s="1" t="n">
        <v>45963</v>
      </c>
      <c r="D445" t="inlineStr">
        <is>
          <t>ÖSTERGÖTLANDS LÄN</t>
        </is>
      </c>
      <c r="E445" t="inlineStr">
        <is>
          <t>LINKÖPING</t>
        </is>
      </c>
      <c r="G445" t="n">
        <v>6.2</v>
      </c>
      <c r="H445" t="n">
        <v>0</v>
      </c>
      <c r="I445" t="n">
        <v>0</v>
      </c>
      <c r="J445" t="n">
        <v>0</v>
      </c>
      <c r="K445" t="n">
        <v>0</v>
      </c>
      <c r="L445" t="n">
        <v>0</v>
      </c>
      <c r="M445" t="n">
        <v>0</v>
      </c>
      <c r="N445" t="n">
        <v>0</v>
      </c>
      <c r="O445" t="n">
        <v>0</v>
      </c>
      <c r="P445" t="n">
        <v>0</v>
      </c>
      <c r="Q445" t="n">
        <v>0</v>
      </c>
      <c r="R445" s="2" t="inlineStr"/>
    </row>
    <row r="446" ht="15" customHeight="1">
      <c r="A446" t="inlineStr">
        <is>
          <t>A 49656-2021</t>
        </is>
      </c>
      <c r="B446" s="1" t="n">
        <v>44454</v>
      </c>
      <c r="C446" s="1" t="n">
        <v>45963</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74160-2021</t>
        </is>
      </c>
      <c r="B447" s="1" t="n">
        <v>44558</v>
      </c>
      <c r="C447" s="1" t="n">
        <v>45963</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38230-2023</t>
        </is>
      </c>
      <c r="B448" s="1" t="n">
        <v>45161.55373842592</v>
      </c>
      <c r="C448" s="1" t="n">
        <v>45963</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45442-2024</t>
        </is>
      </c>
      <c r="B449" s="1" t="n">
        <v>45576.64189814815</v>
      </c>
      <c r="C449" s="1" t="n">
        <v>45963</v>
      </c>
      <c r="D449" t="inlineStr">
        <is>
          <t>ÖSTERGÖTLANDS LÄN</t>
        </is>
      </c>
      <c r="E449" t="inlineStr">
        <is>
          <t>LINKÖPING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4908-2023</t>
        </is>
      </c>
      <c r="B450" s="1" t="n">
        <v>44958</v>
      </c>
      <c r="C450" s="1" t="n">
        <v>45963</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1265-2023</t>
        </is>
      </c>
      <c r="B451" s="1" t="n">
        <v>44936</v>
      </c>
      <c r="C451" s="1" t="n">
        <v>45963</v>
      </c>
      <c r="D451" t="inlineStr">
        <is>
          <t>ÖSTERGÖTLANDS LÄN</t>
        </is>
      </c>
      <c r="E451" t="inlineStr">
        <is>
          <t>LINKÖPING</t>
        </is>
      </c>
      <c r="G451" t="n">
        <v>2.3</v>
      </c>
      <c r="H451" t="n">
        <v>0</v>
      </c>
      <c r="I451" t="n">
        <v>0</v>
      </c>
      <c r="J451" t="n">
        <v>0</v>
      </c>
      <c r="K451" t="n">
        <v>0</v>
      </c>
      <c r="L451" t="n">
        <v>0</v>
      </c>
      <c r="M451" t="n">
        <v>0</v>
      </c>
      <c r="N451" t="n">
        <v>0</v>
      </c>
      <c r="O451" t="n">
        <v>0</v>
      </c>
      <c r="P451" t="n">
        <v>0</v>
      </c>
      <c r="Q451" t="n">
        <v>0</v>
      </c>
      <c r="R451" s="2" t="inlineStr"/>
    </row>
    <row r="452" ht="15" customHeight="1">
      <c r="A452" t="inlineStr">
        <is>
          <t>A 27766-2022</t>
        </is>
      </c>
      <c r="B452" s="1" t="n">
        <v>44743.53112268518</v>
      </c>
      <c r="C452" s="1" t="n">
        <v>45963</v>
      </c>
      <c r="D452" t="inlineStr">
        <is>
          <t>ÖSTERGÖTLANDS LÄN</t>
        </is>
      </c>
      <c r="E452" t="inlineStr">
        <is>
          <t>LINKÖPING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12411-2022</t>
        </is>
      </c>
      <c r="B453" s="1" t="n">
        <v>44638.21601851852</v>
      </c>
      <c r="C453" s="1" t="n">
        <v>45963</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53641-2023</t>
        </is>
      </c>
      <c r="B454" s="1" t="n">
        <v>45230</v>
      </c>
      <c r="C454" s="1" t="n">
        <v>45963</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33000-2023</t>
        </is>
      </c>
      <c r="B455" s="1" t="n">
        <v>45125</v>
      </c>
      <c r="C455" s="1" t="n">
        <v>45963</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52892-2024</t>
        </is>
      </c>
      <c r="B456" s="1" t="n">
        <v>45610</v>
      </c>
      <c r="C456" s="1" t="n">
        <v>45963</v>
      </c>
      <c r="D456" t="inlineStr">
        <is>
          <t>ÖSTERGÖTLANDS LÄN</t>
        </is>
      </c>
      <c r="E456" t="inlineStr">
        <is>
          <t>LINKÖPING</t>
        </is>
      </c>
      <c r="G456" t="n">
        <v>4.2</v>
      </c>
      <c r="H456" t="n">
        <v>0</v>
      </c>
      <c r="I456" t="n">
        <v>0</v>
      </c>
      <c r="J456" t="n">
        <v>0</v>
      </c>
      <c r="K456" t="n">
        <v>0</v>
      </c>
      <c r="L456" t="n">
        <v>0</v>
      </c>
      <c r="M456" t="n">
        <v>0</v>
      </c>
      <c r="N456" t="n">
        <v>0</v>
      </c>
      <c r="O456" t="n">
        <v>0</v>
      </c>
      <c r="P456" t="n">
        <v>0</v>
      </c>
      <c r="Q456" t="n">
        <v>0</v>
      </c>
      <c r="R456" s="2" t="inlineStr"/>
    </row>
    <row r="457" ht="15" customHeight="1">
      <c r="A457" t="inlineStr">
        <is>
          <t>A 32255-2021</t>
        </is>
      </c>
      <c r="B457" s="1" t="n">
        <v>44371.45949074074</v>
      </c>
      <c r="C457" s="1" t="n">
        <v>45963</v>
      </c>
      <c r="D457" t="inlineStr">
        <is>
          <t>ÖSTERGÖTLANDS LÄN</t>
        </is>
      </c>
      <c r="E457" t="inlineStr">
        <is>
          <t>LINKÖPING</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23491-2024</t>
        </is>
      </c>
      <c r="B458" s="1" t="n">
        <v>45453</v>
      </c>
      <c r="C458" s="1" t="n">
        <v>45963</v>
      </c>
      <c r="D458" t="inlineStr">
        <is>
          <t>ÖSTERGÖTLANDS LÄN</t>
        </is>
      </c>
      <c r="E458" t="inlineStr">
        <is>
          <t>LINKÖPING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30521-2024</t>
        </is>
      </c>
      <c r="B459" s="1" t="n">
        <v>45492</v>
      </c>
      <c r="C459" s="1" t="n">
        <v>45963</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70-2024</t>
        </is>
      </c>
      <c r="B460" s="1" t="n">
        <v>45293</v>
      </c>
      <c r="C460" s="1" t="n">
        <v>45963</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51191-2022</t>
        </is>
      </c>
      <c r="B461" s="1" t="n">
        <v>44865</v>
      </c>
      <c r="C461" s="1" t="n">
        <v>45963</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6054-2022</t>
        </is>
      </c>
      <c r="B462" s="1" t="n">
        <v>44599.53623842593</v>
      </c>
      <c r="C462" s="1" t="n">
        <v>45963</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31725-2022</t>
        </is>
      </c>
      <c r="B463" s="1" t="n">
        <v>44776.48541666667</v>
      </c>
      <c r="C463" s="1" t="n">
        <v>45963</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12289-2025</t>
        </is>
      </c>
      <c r="B464" s="1" t="n">
        <v>45729</v>
      </c>
      <c r="C464" s="1" t="n">
        <v>45963</v>
      </c>
      <c r="D464" t="inlineStr">
        <is>
          <t>ÖSTERGÖTLANDS LÄN</t>
        </is>
      </c>
      <c r="E464" t="inlineStr">
        <is>
          <t>LINKÖPING</t>
        </is>
      </c>
      <c r="F464" t="inlineStr">
        <is>
          <t>Övriga statliga verk och myndigheter</t>
        </is>
      </c>
      <c r="G464" t="n">
        <v>6.5</v>
      </c>
      <c r="H464" t="n">
        <v>0</v>
      </c>
      <c r="I464" t="n">
        <v>0</v>
      </c>
      <c r="J464" t="n">
        <v>0</v>
      </c>
      <c r="K464" t="n">
        <v>0</v>
      </c>
      <c r="L464" t="n">
        <v>0</v>
      </c>
      <c r="M464" t="n">
        <v>0</v>
      </c>
      <c r="N464" t="n">
        <v>0</v>
      </c>
      <c r="O464" t="n">
        <v>0</v>
      </c>
      <c r="P464" t="n">
        <v>0</v>
      </c>
      <c r="Q464" t="n">
        <v>0</v>
      </c>
      <c r="R464" s="2" t="inlineStr"/>
    </row>
    <row r="465" ht="15" customHeight="1">
      <c r="A465" t="inlineStr">
        <is>
          <t>A 27950-2025</t>
        </is>
      </c>
      <c r="B465" s="1" t="n">
        <v>45817.52960648148</v>
      </c>
      <c r="C465" s="1" t="n">
        <v>45963</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9434-2024</t>
        </is>
      </c>
      <c r="B466" s="1" t="n">
        <v>45359</v>
      </c>
      <c r="C466" s="1" t="n">
        <v>45963</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27797-2025</t>
        </is>
      </c>
      <c r="B467" s="1" t="n">
        <v>45816.80521990741</v>
      </c>
      <c r="C467" s="1" t="n">
        <v>45963</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27798-2025</t>
        </is>
      </c>
      <c r="B468" s="1" t="n">
        <v>45816.81532407407</v>
      </c>
      <c r="C468" s="1" t="n">
        <v>45963</v>
      </c>
      <c r="D468" t="inlineStr">
        <is>
          <t>ÖSTERGÖTLANDS LÄN</t>
        </is>
      </c>
      <c r="E468" t="inlineStr">
        <is>
          <t>LINKÖPING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42054-2022</t>
        </is>
      </c>
      <c r="B469" s="1" t="n">
        <v>44830</v>
      </c>
      <c r="C469" s="1" t="n">
        <v>45963</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50182-2023</t>
        </is>
      </c>
      <c r="B470" s="1" t="n">
        <v>45208</v>
      </c>
      <c r="C470" s="1" t="n">
        <v>45963</v>
      </c>
      <c r="D470" t="inlineStr">
        <is>
          <t>ÖSTERGÖTLANDS LÄN</t>
        </is>
      </c>
      <c r="E470" t="inlineStr">
        <is>
          <t>LINKÖPING</t>
        </is>
      </c>
      <c r="G470" t="n">
        <v>2.5</v>
      </c>
      <c r="H470" t="n">
        <v>0</v>
      </c>
      <c r="I470" t="n">
        <v>0</v>
      </c>
      <c r="J470" t="n">
        <v>0</v>
      </c>
      <c r="K470" t="n">
        <v>0</v>
      </c>
      <c r="L470" t="n">
        <v>0</v>
      </c>
      <c r="M470" t="n">
        <v>0</v>
      </c>
      <c r="N470" t="n">
        <v>0</v>
      </c>
      <c r="O470" t="n">
        <v>0</v>
      </c>
      <c r="P470" t="n">
        <v>0</v>
      </c>
      <c r="Q470" t="n">
        <v>0</v>
      </c>
      <c r="R470" s="2" t="inlineStr"/>
    </row>
    <row r="471" ht="15" customHeight="1">
      <c r="A471" t="inlineStr">
        <is>
          <t>A 28200-2025</t>
        </is>
      </c>
      <c r="B471" s="1" t="n">
        <v>45818.4428125</v>
      </c>
      <c r="C471" s="1" t="n">
        <v>45963</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28204-2025</t>
        </is>
      </c>
      <c r="B472" s="1" t="n">
        <v>45818.4477662037</v>
      </c>
      <c r="C472" s="1" t="n">
        <v>45963</v>
      </c>
      <c r="D472" t="inlineStr">
        <is>
          <t>ÖSTERGÖTLANDS LÄN</t>
        </is>
      </c>
      <c r="E472" t="inlineStr">
        <is>
          <t>LINKÖPING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28416-2025</t>
        </is>
      </c>
      <c r="B473" s="1" t="n">
        <v>45819.35346064815</v>
      </c>
      <c r="C473" s="1" t="n">
        <v>45963</v>
      </c>
      <c r="D473" t="inlineStr">
        <is>
          <t>ÖSTERGÖTLANDS LÄN</t>
        </is>
      </c>
      <c r="E473" t="inlineStr">
        <is>
          <t>LINKÖPING</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35781-2023</t>
        </is>
      </c>
      <c r="B474" s="1" t="n">
        <v>45147</v>
      </c>
      <c r="C474" s="1" t="n">
        <v>45963</v>
      </c>
      <c r="D474" t="inlineStr">
        <is>
          <t>ÖSTERGÖTLANDS LÄN</t>
        </is>
      </c>
      <c r="E474" t="inlineStr">
        <is>
          <t>LINKÖPING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57391-2023</t>
        </is>
      </c>
      <c r="B475" s="1" t="n">
        <v>45245</v>
      </c>
      <c r="C475" s="1" t="n">
        <v>45963</v>
      </c>
      <c r="D475" t="inlineStr">
        <is>
          <t>ÖSTERGÖTLANDS LÄN</t>
        </is>
      </c>
      <c r="E475" t="inlineStr">
        <is>
          <t>LINKÖPING</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7992-2023</t>
        </is>
      </c>
      <c r="B476" s="1" t="n">
        <v>44970</v>
      </c>
      <c r="C476" s="1" t="n">
        <v>45963</v>
      </c>
      <c r="D476" t="inlineStr">
        <is>
          <t>ÖSTERGÖTLANDS LÄN</t>
        </is>
      </c>
      <c r="E476" t="inlineStr">
        <is>
          <t>LINKÖPING</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28398-2025</t>
        </is>
      </c>
      <c r="B477" s="1" t="n">
        <v>45819.34208333334</v>
      </c>
      <c r="C477" s="1" t="n">
        <v>45963</v>
      </c>
      <c r="D477" t="inlineStr">
        <is>
          <t>ÖSTERGÖTLANDS LÄN</t>
        </is>
      </c>
      <c r="E477" t="inlineStr">
        <is>
          <t>LINKÖPING</t>
        </is>
      </c>
      <c r="F477" t="inlineStr">
        <is>
          <t>Sveaskog</t>
        </is>
      </c>
      <c r="G477" t="n">
        <v>7.9</v>
      </c>
      <c r="H477" t="n">
        <v>0</v>
      </c>
      <c r="I477" t="n">
        <v>0</v>
      </c>
      <c r="J477" t="n">
        <v>0</v>
      </c>
      <c r="K477" t="n">
        <v>0</v>
      </c>
      <c r="L477" t="n">
        <v>0</v>
      </c>
      <c r="M477" t="n">
        <v>0</v>
      </c>
      <c r="N477" t="n">
        <v>0</v>
      </c>
      <c r="O477" t="n">
        <v>0</v>
      </c>
      <c r="P477" t="n">
        <v>0</v>
      </c>
      <c r="Q477" t="n">
        <v>0</v>
      </c>
      <c r="R477" s="2" t="inlineStr"/>
    </row>
    <row r="478" ht="15" customHeight="1">
      <c r="A478" t="inlineStr">
        <is>
          <t>A 28209-2025</t>
        </is>
      </c>
      <c r="B478" s="1" t="n">
        <v>45818.45112268518</v>
      </c>
      <c r="C478" s="1" t="n">
        <v>45963</v>
      </c>
      <c r="D478" t="inlineStr">
        <is>
          <t>ÖSTERGÖTLANDS LÄN</t>
        </is>
      </c>
      <c r="E478" t="inlineStr">
        <is>
          <t>LINKÖPING</t>
        </is>
      </c>
      <c r="G478" t="n">
        <v>4.2</v>
      </c>
      <c r="H478" t="n">
        <v>0</v>
      </c>
      <c r="I478" t="n">
        <v>0</v>
      </c>
      <c r="J478" t="n">
        <v>0</v>
      </c>
      <c r="K478" t="n">
        <v>0</v>
      </c>
      <c r="L478" t="n">
        <v>0</v>
      </c>
      <c r="M478" t="n">
        <v>0</v>
      </c>
      <c r="N478" t="n">
        <v>0</v>
      </c>
      <c r="O478" t="n">
        <v>0</v>
      </c>
      <c r="P478" t="n">
        <v>0</v>
      </c>
      <c r="Q478" t="n">
        <v>0</v>
      </c>
      <c r="R478" s="2" t="inlineStr"/>
    </row>
    <row r="479" ht="15" customHeight="1">
      <c r="A479" t="inlineStr">
        <is>
          <t>A 6387-2022</t>
        </is>
      </c>
      <c r="B479" s="1" t="n">
        <v>44600</v>
      </c>
      <c r="C479" s="1" t="n">
        <v>45963</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48707-2023</t>
        </is>
      </c>
      <c r="B480" s="1" t="n">
        <v>45202</v>
      </c>
      <c r="C480" s="1" t="n">
        <v>45963</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13689-2025</t>
        </is>
      </c>
      <c r="B481" s="1" t="n">
        <v>45737.31590277778</v>
      </c>
      <c r="C481" s="1" t="n">
        <v>45963</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13696-2025</t>
        </is>
      </c>
      <c r="B482" s="1" t="n">
        <v>45737.32273148148</v>
      </c>
      <c r="C482" s="1" t="n">
        <v>45963</v>
      </c>
      <c r="D482" t="inlineStr">
        <is>
          <t>ÖSTERGÖTLANDS LÄN</t>
        </is>
      </c>
      <c r="E482" t="inlineStr">
        <is>
          <t>LINKÖPING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1924-2024</t>
        </is>
      </c>
      <c r="B483" s="1" t="n">
        <v>45308</v>
      </c>
      <c r="C483" s="1" t="n">
        <v>45963</v>
      </c>
      <c r="D483" t="inlineStr">
        <is>
          <t>ÖSTERGÖTLANDS LÄN</t>
        </is>
      </c>
      <c r="E483" t="inlineStr">
        <is>
          <t>LINKÖPING</t>
        </is>
      </c>
      <c r="F483" t="inlineStr">
        <is>
          <t>Övriga Aktiebolag</t>
        </is>
      </c>
      <c r="G483" t="n">
        <v>0.5</v>
      </c>
      <c r="H483" t="n">
        <v>0</v>
      </c>
      <c r="I483" t="n">
        <v>0</v>
      </c>
      <c r="J483" t="n">
        <v>0</v>
      </c>
      <c r="K483" t="n">
        <v>0</v>
      </c>
      <c r="L483" t="n">
        <v>0</v>
      </c>
      <c r="M483" t="n">
        <v>0</v>
      </c>
      <c r="N483" t="n">
        <v>0</v>
      </c>
      <c r="O483" t="n">
        <v>0</v>
      </c>
      <c r="P483" t="n">
        <v>0</v>
      </c>
      <c r="Q483" t="n">
        <v>0</v>
      </c>
      <c r="R483" s="2" t="inlineStr"/>
    </row>
    <row r="484" ht="15" customHeight="1">
      <c r="A484" t="inlineStr">
        <is>
          <t>A 29027-2025</t>
        </is>
      </c>
      <c r="B484" s="1" t="n">
        <v>45821.4375462963</v>
      </c>
      <c r="C484" s="1" t="n">
        <v>45963</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32346-2023</t>
        </is>
      </c>
      <c r="B485" s="1" t="n">
        <v>45120</v>
      </c>
      <c r="C485" s="1" t="n">
        <v>45963</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29411-2025</t>
        </is>
      </c>
      <c r="B486" s="1" t="n">
        <v>45824.6219212963</v>
      </c>
      <c r="C486" s="1" t="n">
        <v>45963</v>
      </c>
      <c r="D486" t="inlineStr">
        <is>
          <t>ÖSTERGÖTLANDS LÄN</t>
        </is>
      </c>
      <c r="E486" t="inlineStr">
        <is>
          <t>LINKÖPING</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50508-2024</t>
        </is>
      </c>
      <c r="B487" s="1" t="n">
        <v>45601.53907407408</v>
      </c>
      <c r="C487" s="1" t="n">
        <v>45963</v>
      </c>
      <c r="D487" t="inlineStr">
        <is>
          <t>ÖSTERGÖTLANDS LÄN</t>
        </is>
      </c>
      <c r="E487" t="inlineStr">
        <is>
          <t>LINKÖPING</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29393-2025</t>
        </is>
      </c>
      <c r="B488" s="1" t="n">
        <v>45824.6057175926</v>
      </c>
      <c r="C488" s="1" t="n">
        <v>45963</v>
      </c>
      <c r="D488" t="inlineStr">
        <is>
          <t>ÖSTERGÖTLANDS LÄN</t>
        </is>
      </c>
      <c r="E488" t="inlineStr">
        <is>
          <t>LINKÖPING</t>
        </is>
      </c>
      <c r="F488" t="inlineStr">
        <is>
          <t>Sveaskog</t>
        </is>
      </c>
      <c r="G488" t="n">
        <v>24.6</v>
      </c>
      <c r="H488" t="n">
        <v>0</v>
      </c>
      <c r="I488" t="n">
        <v>0</v>
      </c>
      <c r="J488" t="n">
        <v>0</v>
      </c>
      <c r="K488" t="n">
        <v>0</v>
      </c>
      <c r="L488" t="n">
        <v>0</v>
      </c>
      <c r="M488" t="n">
        <v>0</v>
      </c>
      <c r="N488" t="n">
        <v>0</v>
      </c>
      <c r="O488" t="n">
        <v>0</v>
      </c>
      <c r="P488" t="n">
        <v>0</v>
      </c>
      <c r="Q488" t="n">
        <v>0</v>
      </c>
      <c r="R488" s="2" t="inlineStr"/>
    </row>
    <row r="489" ht="15" customHeight="1">
      <c r="A489" t="inlineStr">
        <is>
          <t>A 7808-2022</t>
        </is>
      </c>
      <c r="B489" s="1" t="n">
        <v>44608</v>
      </c>
      <c r="C489" s="1" t="n">
        <v>45963</v>
      </c>
      <c r="D489" t="inlineStr">
        <is>
          <t>ÖSTERGÖTLANDS LÄN</t>
        </is>
      </c>
      <c r="E489" t="inlineStr">
        <is>
          <t>LINKÖPING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27844-2024</t>
        </is>
      </c>
      <c r="B490" s="1" t="n">
        <v>45475.63047453704</v>
      </c>
      <c r="C490" s="1" t="n">
        <v>45963</v>
      </c>
      <c r="D490" t="inlineStr">
        <is>
          <t>ÖSTERGÖTLANDS LÄN</t>
        </is>
      </c>
      <c r="E490" t="inlineStr">
        <is>
          <t>LINKÖPING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12089-2025</t>
        </is>
      </c>
      <c r="B491" s="1" t="n">
        <v>45729</v>
      </c>
      <c r="C491" s="1" t="n">
        <v>45963</v>
      </c>
      <c r="D491" t="inlineStr">
        <is>
          <t>ÖSTERGÖTLANDS LÄN</t>
        </is>
      </c>
      <c r="E491" t="inlineStr">
        <is>
          <t>LINKÖPING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29599-2025</t>
        </is>
      </c>
      <c r="B492" s="1" t="n">
        <v>45825.41101851852</v>
      </c>
      <c r="C492" s="1" t="n">
        <v>45963</v>
      </c>
      <c r="D492" t="inlineStr">
        <is>
          <t>ÖSTERGÖTLANDS LÄN</t>
        </is>
      </c>
      <c r="E492" t="inlineStr">
        <is>
          <t>LINKÖPING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15658-2023</t>
        </is>
      </c>
      <c r="B493" s="1" t="n">
        <v>45021.41194444444</v>
      </c>
      <c r="C493" s="1" t="n">
        <v>45963</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40810-2022</t>
        </is>
      </c>
      <c r="B494" s="1" t="n">
        <v>44824</v>
      </c>
      <c r="C494" s="1" t="n">
        <v>45963</v>
      </c>
      <c r="D494" t="inlineStr">
        <is>
          <t>ÖSTERGÖTLANDS LÄN</t>
        </is>
      </c>
      <c r="E494" t="inlineStr">
        <is>
          <t>LINKÖPING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38886-2024</t>
        </is>
      </c>
      <c r="B495" s="1" t="n">
        <v>45547.66443287037</v>
      </c>
      <c r="C495" s="1" t="n">
        <v>45963</v>
      </c>
      <c r="D495" t="inlineStr">
        <is>
          <t>ÖSTERGÖTLANDS LÄN</t>
        </is>
      </c>
      <c r="E495" t="inlineStr">
        <is>
          <t>LINKÖPING</t>
        </is>
      </c>
      <c r="G495" t="n">
        <v>5.3</v>
      </c>
      <c r="H495" t="n">
        <v>0</v>
      </c>
      <c r="I495" t="n">
        <v>0</v>
      </c>
      <c r="J495" t="n">
        <v>0</v>
      </c>
      <c r="K495" t="n">
        <v>0</v>
      </c>
      <c r="L495" t="n">
        <v>0</v>
      </c>
      <c r="M495" t="n">
        <v>0</v>
      </c>
      <c r="N495" t="n">
        <v>0</v>
      </c>
      <c r="O495" t="n">
        <v>0</v>
      </c>
      <c r="P495" t="n">
        <v>0</v>
      </c>
      <c r="Q495" t="n">
        <v>0</v>
      </c>
      <c r="R495" s="2" t="inlineStr"/>
    </row>
    <row r="496" ht="15" customHeight="1">
      <c r="A496" t="inlineStr">
        <is>
          <t>A 51583-2024</t>
        </is>
      </c>
      <c r="B496" s="1" t="n">
        <v>45604.6397337963</v>
      </c>
      <c r="C496" s="1" t="n">
        <v>45963</v>
      </c>
      <c r="D496" t="inlineStr">
        <is>
          <t>ÖSTERGÖTLANDS LÄN</t>
        </is>
      </c>
      <c r="E496" t="inlineStr">
        <is>
          <t>LINKÖPING</t>
        </is>
      </c>
      <c r="F496" t="inlineStr">
        <is>
          <t>Övriga Aktiebolag</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51559-2024</t>
        </is>
      </c>
      <c r="B497" s="1" t="n">
        <v>45604.61431712963</v>
      </c>
      <c r="C497" s="1" t="n">
        <v>45963</v>
      </c>
      <c r="D497" t="inlineStr">
        <is>
          <t>ÖSTERGÖTLANDS LÄN</t>
        </is>
      </c>
      <c r="E497" t="inlineStr">
        <is>
          <t>LINKÖPING</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30355-2025</t>
        </is>
      </c>
      <c r="B498" s="1" t="n">
        <v>45827</v>
      </c>
      <c r="C498" s="1" t="n">
        <v>45963</v>
      </c>
      <c r="D498" t="inlineStr">
        <is>
          <t>ÖSTERGÖTLANDS LÄN</t>
        </is>
      </c>
      <c r="E498" t="inlineStr">
        <is>
          <t>LINKÖPING</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58714-2020</t>
        </is>
      </c>
      <c r="B499" s="1" t="n">
        <v>44146</v>
      </c>
      <c r="C499" s="1" t="n">
        <v>45963</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49979-2022</t>
        </is>
      </c>
      <c r="B500" s="1" t="n">
        <v>44865</v>
      </c>
      <c r="C500" s="1" t="n">
        <v>45963</v>
      </c>
      <c r="D500" t="inlineStr">
        <is>
          <t>ÖSTERGÖTLANDS LÄN</t>
        </is>
      </c>
      <c r="E500" t="inlineStr">
        <is>
          <t>LINKÖPING</t>
        </is>
      </c>
      <c r="F500" t="inlineStr">
        <is>
          <t>Övriga Aktiebolag</t>
        </is>
      </c>
      <c r="G500" t="n">
        <v>11.4</v>
      </c>
      <c r="H500" t="n">
        <v>0</v>
      </c>
      <c r="I500" t="n">
        <v>0</v>
      </c>
      <c r="J500" t="n">
        <v>0</v>
      </c>
      <c r="K500" t="n">
        <v>0</v>
      </c>
      <c r="L500" t="n">
        <v>0</v>
      </c>
      <c r="M500" t="n">
        <v>0</v>
      </c>
      <c r="N500" t="n">
        <v>0</v>
      </c>
      <c r="O500" t="n">
        <v>0</v>
      </c>
      <c r="P500" t="n">
        <v>0</v>
      </c>
      <c r="Q500" t="n">
        <v>0</v>
      </c>
      <c r="R500" s="2" t="inlineStr"/>
    </row>
    <row r="501" ht="15" customHeight="1">
      <c r="A501" t="inlineStr">
        <is>
          <t>A 64694-2023</t>
        </is>
      </c>
      <c r="B501" s="1" t="n">
        <v>45281</v>
      </c>
      <c r="C501" s="1" t="n">
        <v>45963</v>
      </c>
      <c r="D501" t="inlineStr">
        <is>
          <t>ÖSTERGÖTLANDS LÄN</t>
        </is>
      </c>
      <c r="E501" t="inlineStr">
        <is>
          <t>LINKÖPING</t>
        </is>
      </c>
      <c r="F501" t="inlineStr">
        <is>
          <t>Övriga statliga verk och myndigheter</t>
        </is>
      </c>
      <c r="G501" t="n">
        <v>4.9</v>
      </c>
      <c r="H501" t="n">
        <v>0</v>
      </c>
      <c r="I501" t="n">
        <v>0</v>
      </c>
      <c r="J501" t="n">
        <v>0</v>
      </c>
      <c r="K501" t="n">
        <v>0</v>
      </c>
      <c r="L501" t="n">
        <v>0</v>
      </c>
      <c r="M501" t="n">
        <v>0</v>
      </c>
      <c r="N501" t="n">
        <v>0</v>
      </c>
      <c r="O501" t="n">
        <v>0</v>
      </c>
      <c r="P501" t="n">
        <v>0</v>
      </c>
      <c r="Q501" t="n">
        <v>0</v>
      </c>
      <c r="R501" s="2" t="inlineStr"/>
    </row>
    <row r="502" ht="15" customHeight="1">
      <c r="A502" t="inlineStr">
        <is>
          <t>A 32602-2022</t>
        </is>
      </c>
      <c r="B502" s="1" t="n">
        <v>44783.43192129629</v>
      </c>
      <c r="C502" s="1" t="n">
        <v>45963</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30353-2025</t>
        </is>
      </c>
      <c r="B503" s="1" t="n">
        <v>45827</v>
      </c>
      <c r="C503" s="1" t="n">
        <v>45963</v>
      </c>
      <c r="D503" t="inlineStr">
        <is>
          <t>ÖSTERGÖTLANDS LÄN</t>
        </is>
      </c>
      <c r="E503" t="inlineStr">
        <is>
          <t>LINKÖPING</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39219-2021</t>
        </is>
      </c>
      <c r="B504" s="1" t="n">
        <v>44413</v>
      </c>
      <c r="C504" s="1" t="n">
        <v>45963</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39224-2021</t>
        </is>
      </c>
      <c r="B505" s="1" t="n">
        <v>44413</v>
      </c>
      <c r="C505" s="1" t="n">
        <v>45963</v>
      </c>
      <c r="D505" t="inlineStr">
        <is>
          <t>ÖSTERGÖTLANDS LÄN</t>
        </is>
      </c>
      <c r="E505" t="inlineStr">
        <is>
          <t>LINKÖPING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62495-2023</t>
        </is>
      </c>
      <c r="B506" s="1" t="n">
        <v>45268.59717592593</v>
      </c>
      <c r="C506" s="1" t="n">
        <v>45963</v>
      </c>
      <c r="D506" t="inlineStr">
        <is>
          <t>ÖSTERGÖTLANDS LÄN</t>
        </is>
      </c>
      <c r="E506" t="inlineStr">
        <is>
          <t>LINKÖPING</t>
        </is>
      </c>
      <c r="G506" t="n">
        <v>4.1</v>
      </c>
      <c r="H506" t="n">
        <v>0</v>
      </c>
      <c r="I506" t="n">
        <v>0</v>
      </c>
      <c r="J506" t="n">
        <v>0</v>
      </c>
      <c r="K506" t="n">
        <v>0</v>
      </c>
      <c r="L506" t="n">
        <v>0</v>
      </c>
      <c r="M506" t="n">
        <v>0</v>
      </c>
      <c r="N506" t="n">
        <v>0</v>
      </c>
      <c r="O506" t="n">
        <v>0</v>
      </c>
      <c r="P506" t="n">
        <v>0</v>
      </c>
      <c r="Q506" t="n">
        <v>0</v>
      </c>
      <c r="R506" s="2" t="inlineStr"/>
    </row>
    <row r="507" ht="15" customHeight="1">
      <c r="A507" t="inlineStr">
        <is>
          <t>A 29413-2023</t>
        </is>
      </c>
      <c r="B507" s="1" t="n">
        <v>45106.46465277778</v>
      </c>
      <c r="C507" s="1" t="n">
        <v>45963</v>
      </c>
      <c r="D507" t="inlineStr">
        <is>
          <t>ÖSTERGÖTLANDS LÄN</t>
        </is>
      </c>
      <c r="E507" t="inlineStr">
        <is>
          <t>LINKÖPING</t>
        </is>
      </c>
      <c r="G507" t="n">
        <v>8</v>
      </c>
      <c r="H507" t="n">
        <v>0</v>
      </c>
      <c r="I507" t="n">
        <v>0</v>
      </c>
      <c r="J507" t="n">
        <v>0</v>
      </c>
      <c r="K507" t="n">
        <v>0</v>
      </c>
      <c r="L507" t="n">
        <v>0</v>
      </c>
      <c r="M507" t="n">
        <v>0</v>
      </c>
      <c r="N507" t="n">
        <v>0</v>
      </c>
      <c r="O507" t="n">
        <v>0</v>
      </c>
      <c r="P507" t="n">
        <v>0</v>
      </c>
      <c r="Q507" t="n">
        <v>0</v>
      </c>
      <c r="R507" s="2" t="inlineStr"/>
    </row>
    <row r="508" ht="15" customHeight="1">
      <c r="A508" t="inlineStr">
        <is>
          <t>A 62321-2022</t>
        </is>
      </c>
      <c r="B508" s="1" t="n">
        <v>44916</v>
      </c>
      <c r="C508" s="1" t="n">
        <v>45963</v>
      </c>
      <c r="D508" t="inlineStr">
        <is>
          <t>ÖSTERGÖTLANDS LÄN</t>
        </is>
      </c>
      <c r="E508" t="inlineStr">
        <is>
          <t>LINKÖPING</t>
        </is>
      </c>
      <c r="F508" t="inlineStr">
        <is>
          <t>Kommuner</t>
        </is>
      </c>
      <c r="G508" t="n">
        <v>5.3</v>
      </c>
      <c r="H508" t="n">
        <v>0</v>
      </c>
      <c r="I508" t="n">
        <v>0</v>
      </c>
      <c r="J508" t="n">
        <v>0</v>
      </c>
      <c r="K508" t="n">
        <v>0</v>
      </c>
      <c r="L508" t="n">
        <v>0</v>
      </c>
      <c r="M508" t="n">
        <v>0</v>
      </c>
      <c r="N508" t="n">
        <v>0</v>
      </c>
      <c r="O508" t="n">
        <v>0</v>
      </c>
      <c r="P508" t="n">
        <v>0</v>
      </c>
      <c r="Q508" t="n">
        <v>0</v>
      </c>
      <c r="R508" s="2" t="inlineStr"/>
    </row>
    <row r="509" ht="15" customHeight="1">
      <c r="A509" t="inlineStr">
        <is>
          <t>A 25948-2023</t>
        </is>
      </c>
      <c r="B509" s="1" t="n">
        <v>45090</v>
      </c>
      <c r="C509" s="1" t="n">
        <v>45963</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1627-2023</t>
        </is>
      </c>
      <c r="B510" s="1" t="n">
        <v>44937</v>
      </c>
      <c r="C510" s="1" t="n">
        <v>45963</v>
      </c>
      <c r="D510" t="inlineStr">
        <is>
          <t>ÖSTERGÖTLANDS LÄN</t>
        </is>
      </c>
      <c r="E510" t="inlineStr">
        <is>
          <t>LINKÖPING</t>
        </is>
      </c>
      <c r="G510" t="n">
        <v>10.8</v>
      </c>
      <c r="H510" t="n">
        <v>0</v>
      </c>
      <c r="I510" t="n">
        <v>0</v>
      </c>
      <c r="J510" t="n">
        <v>0</v>
      </c>
      <c r="K510" t="n">
        <v>0</v>
      </c>
      <c r="L510" t="n">
        <v>0</v>
      </c>
      <c r="M510" t="n">
        <v>0</v>
      </c>
      <c r="N510" t="n">
        <v>0</v>
      </c>
      <c r="O510" t="n">
        <v>0</v>
      </c>
      <c r="P510" t="n">
        <v>0</v>
      </c>
      <c r="Q510" t="n">
        <v>0</v>
      </c>
      <c r="R510" s="2" t="inlineStr"/>
    </row>
    <row r="511" ht="15" customHeight="1">
      <c r="A511" t="inlineStr">
        <is>
          <t>A 1084-2023</t>
        </is>
      </c>
      <c r="B511" s="1" t="n">
        <v>44929</v>
      </c>
      <c r="C511" s="1" t="n">
        <v>45963</v>
      </c>
      <c r="D511" t="inlineStr">
        <is>
          <t>ÖSTERGÖTLANDS LÄN</t>
        </is>
      </c>
      <c r="E511" t="inlineStr">
        <is>
          <t>LINKÖPING</t>
        </is>
      </c>
      <c r="G511" t="n">
        <v>10.4</v>
      </c>
      <c r="H511" t="n">
        <v>0</v>
      </c>
      <c r="I511" t="n">
        <v>0</v>
      </c>
      <c r="J511" t="n">
        <v>0</v>
      </c>
      <c r="K511" t="n">
        <v>0</v>
      </c>
      <c r="L511" t="n">
        <v>0</v>
      </c>
      <c r="M511" t="n">
        <v>0</v>
      </c>
      <c r="N511" t="n">
        <v>0</v>
      </c>
      <c r="O511" t="n">
        <v>0</v>
      </c>
      <c r="P511" t="n">
        <v>0</v>
      </c>
      <c r="Q511" t="n">
        <v>0</v>
      </c>
      <c r="R511" s="2" t="inlineStr"/>
    </row>
    <row r="512" ht="15" customHeight="1">
      <c r="A512" t="inlineStr">
        <is>
          <t>A 30481-2023</t>
        </is>
      </c>
      <c r="B512" s="1" t="n">
        <v>45111</v>
      </c>
      <c r="C512" s="1" t="n">
        <v>45963</v>
      </c>
      <c r="D512" t="inlineStr">
        <is>
          <t>ÖSTERGÖTLANDS LÄN</t>
        </is>
      </c>
      <c r="E512" t="inlineStr">
        <is>
          <t>LINKÖPING</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21782-2024</t>
        </is>
      </c>
      <c r="B513" s="1" t="n">
        <v>45442.63368055555</v>
      </c>
      <c r="C513" s="1" t="n">
        <v>45963</v>
      </c>
      <c r="D513" t="inlineStr">
        <is>
          <t>ÖSTERGÖTLANDS LÄN</t>
        </is>
      </c>
      <c r="E513" t="inlineStr">
        <is>
          <t>LINKÖPING</t>
        </is>
      </c>
      <c r="G513" t="n">
        <v>1.4</v>
      </c>
      <c r="H513" t="n">
        <v>0</v>
      </c>
      <c r="I513" t="n">
        <v>0</v>
      </c>
      <c r="J513" t="n">
        <v>0</v>
      </c>
      <c r="K513" t="n">
        <v>0</v>
      </c>
      <c r="L513" t="n">
        <v>0</v>
      </c>
      <c r="M513" t="n">
        <v>0</v>
      </c>
      <c r="N513" t="n">
        <v>0</v>
      </c>
      <c r="O513" t="n">
        <v>0</v>
      </c>
      <c r="P513" t="n">
        <v>0</v>
      </c>
      <c r="Q513" t="n">
        <v>0</v>
      </c>
      <c r="R513" s="2" t="inlineStr"/>
    </row>
    <row r="514" ht="15" customHeight="1">
      <c r="A514" t="inlineStr">
        <is>
          <t>A 267-2023</t>
        </is>
      </c>
      <c r="B514" s="1" t="n">
        <v>44928.80907407407</v>
      </c>
      <c r="C514" s="1" t="n">
        <v>45963</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940-2023</t>
        </is>
      </c>
      <c r="B515" s="1" t="n">
        <v>44933</v>
      </c>
      <c r="C515" s="1" t="n">
        <v>45963</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11671-2023</t>
        </is>
      </c>
      <c r="B516" s="1" t="n">
        <v>44994.48125</v>
      </c>
      <c r="C516" s="1" t="n">
        <v>45963</v>
      </c>
      <c r="D516" t="inlineStr">
        <is>
          <t>ÖSTERGÖTLANDS LÄN</t>
        </is>
      </c>
      <c r="E516" t="inlineStr">
        <is>
          <t>LINKÖPING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6369-2023</t>
        </is>
      </c>
      <c r="B517" s="1" t="n">
        <v>44965.61106481482</v>
      </c>
      <c r="C517" s="1" t="n">
        <v>45963</v>
      </c>
      <c r="D517" t="inlineStr">
        <is>
          <t>ÖSTERGÖTLANDS LÄN</t>
        </is>
      </c>
      <c r="E517" t="inlineStr">
        <is>
          <t>LINKÖPING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30980-2022</t>
        </is>
      </c>
      <c r="B518" s="1" t="n">
        <v>44768</v>
      </c>
      <c r="C518" s="1" t="n">
        <v>45963</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60007-2022</t>
        </is>
      </c>
      <c r="B519" s="1" t="n">
        <v>44909.47282407407</v>
      </c>
      <c r="C519" s="1" t="n">
        <v>45963</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3013-2023</t>
        </is>
      </c>
      <c r="B520" s="1" t="n">
        <v>44945.8092824074</v>
      </c>
      <c r="C520" s="1" t="n">
        <v>45963</v>
      </c>
      <c r="D520" t="inlineStr">
        <is>
          <t>ÖSTERGÖTLANDS LÄN</t>
        </is>
      </c>
      <c r="E520" t="inlineStr">
        <is>
          <t>LINKÖPING</t>
        </is>
      </c>
      <c r="G520" t="n">
        <v>5.2</v>
      </c>
      <c r="H520" t="n">
        <v>0</v>
      </c>
      <c r="I520" t="n">
        <v>0</v>
      </c>
      <c r="J520" t="n">
        <v>0</v>
      </c>
      <c r="K520" t="n">
        <v>0</v>
      </c>
      <c r="L520" t="n">
        <v>0</v>
      </c>
      <c r="M520" t="n">
        <v>0</v>
      </c>
      <c r="N520" t="n">
        <v>0</v>
      </c>
      <c r="O520" t="n">
        <v>0</v>
      </c>
      <c r="P520" t="n">
        <v>0</v>
      </c>
      <c r="Q520" t="n">
        <v>0</v>
      </c>
      <c r="R520" s="2" t="inlineStr"/>
    </row>
    <row r="521" ht="15" customHeight="1">
      <c r="A521" t="inlineStr">
        <is>
          <t>A 50799-2022</t>
        </is>
      </c>
      <c r="B521" s="1" t="n">
        <v>44862</v>
      </c>
      <c r="C521" s="1" t="n">
        <v>45963</v>
      </c>
      <c r="D521" t="inlineStr">
        <is>
          <t>ÖSTERGÖTLANDS LÄN</t>
        </is>
      </c>
      <c r="E521" t="inlineStr">
        <is>
          <t>LINKÖPING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49747-2024</t>
        </is>
      </c>
      <c r="B522" s="1" t="n">
        <v>45596</v>
      </c>
      <c r="C522" s="1" t="n">
        <v>45963</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42997-2021</t>
        </is>
      </c>
      <c r="B523" s="1" t="n">
        <v>44431.45556712963</v>
      </c>
      <c r="C523" s="1" t="n">
        <v>45963</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31581-2025</t>
        </is>
      </c>
      <c r="B524" s="1" t="n">
        <v>45833.6840162037</v>
      </c>
      <c r="C524" s="1" t="n">
        <v>45963</v>
      </c>
      <c r="D524" t="inlineStr">
        <is>
          <t>ÖSTERGÖTLANDS LÄN</t>
        </is>
      </c>
      <c r="E524" t="inlineStr">
        <is>
          <t>LINKÖPING</t>
        </is>
      </c>
      <c r="G524" t="n">
        <v>2.6</v>
      </c>
      <c r="H524" t="n">
        <v>0</v>
      </c>
      <c r="I524" t="n">
        <v>0</v>
      </c>
      <c r="J524" t="n">
        <v>0</v>
      </c>
      <c r="K524" t="n">
        <v>0</v>
      </c>
      <c r="L524" t="n">
        <v>0</v>
      </c>
      <c r="M524" t="n">
        <v>0</v>
      </c>
      <c r="N524" t="n">
        <v>0</v>
      </c>
      <c r="O524" t="n">
        <v>0</v>
      </c>
      <c r="P524" t="n">
        <v>0</v>
      </c>
      <c r="Q524" t="n">
        <v>0</v>
      </c>
      <c r="R524" s="2" t="inlineStr"/>
    </row>
    <row r="525" ht="15" customHeight="1">
      <c r="A525" t="inlineStr">
        <is>
          <t>A 31585-2025</t>
        </is>
      </c>
      <c r="B525" s="1" t="n">
        <v>45833.68815972222</v>
      </c>
      <c r="C525" s="1" t="n">
        <v>45963</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56064-2022</t>
        </is>
      </c>
      <c r="B526" s="1" t="n">
        <v>44889.59107638889</v>
      </c>
      <c r="C526" s="1" t="n">
        <v>45963</v>
      </c>
      <c r="D526" t="inlineStr">
        <is>
          <t>ÖSTERGÖTLANDS LÄN</t>
        </is>
      </c>
      <c r="E526" t="inlineStr">
        <is>
          <t>LINKÖPING</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47703-2023</t>
        </is>
      </c>
      <c r="B527" s="1" t="n">
        <v>45203</v>
      </c>
      <c r="C527" s="1" t="n">
        <v>45963</v>
      </c>
      <c r="D527" t="inlineStr">
        <is>
          <t>ÖSTERGÖTLANDS LÄN</t>
        </is>
      </c>
      <c r="E527" t="inlineStr">
        <is>
          <t>LINKÖPING</t>
        </is>
      </c>
      <c r="G527" t="n">
        <v>4.1</v>
      </c>
      <c r="H527" t="n">
        <v>0</v>
      </c>
      <c r="I527" t="n">
        <v>0</v>
      </c>
      <c r="J527" t="n">
        <v>0</v>
      </c>
      <c r="K527" t="n">
        <v>0</v>
      </c>
      <c r="L527" t="n">
        <v>0</v>
      </c>
      <c r="M527" t="n">
        <v>0</v>
      </c>
      <c r="N527" t="n">
        <v>0</v>
      </c>
      <c r="O527" t="n">
        <v>0</v>
      </c>
      <c r="P527" t="n">
        <v>0</v>
      </c>
      <c r="Q527" t="n">
        <v>0</v>
      </c>
      <c r="R527" s="2" t="inlineStr"/>
    </row>
    <row r="528" ht="15" customHeight="1">
      <c r="A528" t="inlineStr">
        <is>
          <t>A 3011-2023</t>
        </is>
      </c>
      <c r="B528" s="1" t="n">
        <v>44945</v>
      </c>
      <c r="C528" s="1" t="n">
        <v>45963</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23735-2023</t>
        </is>
      </c>
      <c r="B529" s="1" t="n">
        <v>45077</v>
      </c>
      <c r="C529" s="1" t="n">
        <v>45963</v>
      </c>
      <c r="D529" t="inlineStr">
        <is>
          <t>ÖSTERGÖTLANDS LÄN</t>
        </is>
      </c>
      <c r="E529" t="inlineStr">
        <is>
          <t>LINKÖPING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16111-2022</t>
        </is>
      </c>
      <c r="B530" s="1" t="n">
        <v>44665</v>
      </c>
      <c r="C530" s="1" t="n">
        <v>45963</v>
      </c>
      <c r="D530" t="inlineStr">
        <is>
          <t>ÖSTERGÖTLANDS LÄN</t>
        </is>
      </c>
      <c r="E530" t="inlineStr">
        <is>
          <t>LINKÖPING</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48962-2022</t>
        </is>
      </c>
      <c r="B531" s="1" t="n">
        <v>44860.31635416667</v>
      </c>
      <c r="C531" s="1" t="n">
        <v>45963</v>
      </c>
      <c r="D531" t="inlineStr">
        <is>
          <t>ÖSTERGÖTLANDS LÄN</t>
        </is>
      </c>
      <c r="E531" t="inlineStr">
        <is>
          <t>LINKÖPING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45821-2024</t>
        </is>
      </c>
      <c r="B532" s="1" t="n">
        <v>45579.75803240741</v>
      </c>
      <c r="C532" s="1" t="n">
        <v>45963</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27891-2021</t>
        </is>
      </c>
      <c r="B533" s="1" t="n">
        <v>44354.65108796296</v>
      </c>
      <c r="C533" s="1" t="n">
        <v>45963</v>
      </c>
      <c r="D533" t="inlineStr">
        <is>
          <t>ÖSTERGÖTLANDS LÄN</t>
        </is>
      </c>
      <c r="E533" t="inlineStr">
        <is>
          <t>LINKÖPING</t>
        </is>
      </c>
      <c r="G533" t="n">
        <v>1.8</v>
      </c>
      <c r="H533" t="n">
        <v>0</v>
      </c>
      <c r="I533" t="n">
        <v>0</v>
      </c>
      <c r="J533" t="n">
        <v>0</v>
      </c>
      <c r="K533" t="n">
        <v>0</v>
      </c>
      <c r="L533" t="n">
        <v>0</v>
      </c>
      <c r="M533" t="n">
        <v>0</v>
      </c>
      <c r="N533" t="n">
        <v>0</v>
      </c>
      <c r="O533" t="n">
        <v>0</v>
      </c>
      <c r="P533" t="n">
        <v>0</v>
      </c>
      <c r="Q533" t="n">
        <v>0</v>
      </c>
      <c r="R533" s="2" t="inlineStr"/>
    </row>
    <row r="534" ht="15" customHeight="1">
      <c r="A534" t="inlineStr">
        <is>
          <t>A 61281-2021</t>
        </is>
      </c>
      <c r="B534" s="1" t="n">
        <v>44498.60736111111</v>
      </c>
      <c r="C534" s="1" t="n">
        <v>45963</v>
      </c>
      <c r="D534" t="inlineStr">
        <is>
          <t>ÖSTERGÖTLANDS LÄN</t>
        </is>
      </c>
      <c r="E534" t="inlineStr">
        <is>
          <t>LINKÖPING</t>
        </is>
      </c>
      <c r="G534" t="n">
        <v>4.5</v>
      </c>
      <c r="H534" t="n">
        <v>0</v>
      </c>
      <c r="I534" t="n">
        <v>0</v>
      </c>
      <c r="J534" t="n">
        <v>0</v>
      </c>
      <c r="K534" t="n">
        <v>0</v>
      </c>
      <c r="L534" t="n">
        <v>0</v>
      </c>
      <c r="M534" t="n">
        <v>0</v>
      </c>
      <c r="N534" t="n">
        <v>0</v>
      </c>
      <c r="O534" t="n">
        <v>0</v>
      </c>
      <c r="P534" t="n">
        <v>0</v>
      </c>
      <c r="Q534" t="n">
        <v>0</v>
      </c>
      <c r="R534" s="2" t="inlineStr"/>
    </row>
    <row r="535" ht="15" customHeight="1">
      <c r="A535" t="inlineStr">
        <is>
          <t>A 25292-2021</t>
        </is>
      </c>
      <c r="B535" s="1" t="n">
        <v>44342</v>
      </c>
      <c r="C535" s="1" t="n">
        <v>45963</v>
      </c>
      <c r="D535" t="inlineStr">
        <is>
          <t>ÖSTERGÖTLANDS LÄN</t>
        </is>
      </c>
      <c r="E535" t="inlineStr">
        <is>
          <t>LINKÖPING</t>
        </is>
      </c>
      <c r="F535" t="inlineStr">
        <is>
          <t>Övriga Aktiebolag</t>
        </is>
      </c>
      <c r="G535" t="n">
        <v>12.8</v>
      </c>
      <c r="H535" t="n">
        <v>0</v>
      </c>
      <c r="I535" t="n">
        <v>0</v>
      </c>
      <c r="J535" t="n">
        <v>0</v>
      </c>
      <c r="K535" t="n">
        <v>0</v>
      </c>
      <c r="L535" t="n">
        <v>0</v>
      </c>
      <c r="M535" t="n">
        <v>0</v>
      </c>
      <c r="N535" t="n">
        <v>0</v>
      </c>
      <c r="O535" t="n">
        <v>0</v>
      </c>
      <c r="P535" t="n">
        <v>0</v>
      </c>
      <c r="Q535" t="n">
        <v>0</v>
      </c>
      <c r="R535" s="2" t="inlineStr"/>
    </row>
    <row r="536" ht="15" customHeight="1">
      <c r="A536" t="inlineStr">
        <is>
          <t>A 53647-2021</t>
        </is>
      </c>
      <c r="B536" s="1" t="n">
        <v>44469</v>
      </c>
      <c r="C536" s="1" t="n">
        <v>45963</v>
      </c>
      <c r="D536" t="inlineStr">
        <is>
          <t>ÖSTERGÖTLANDS LÄN</t>
        </is>
      </c>
      <c r="E536" t="inlineStr">
        <is>
          <t>LINKÖPING</t>
        </is>
      </c>
      <c r="G536" t="n">
        <v>2.3</v>
      </c>
      <c r="H536" t="n">
        <v>0</v>
      </c>
      <c r="I536" t="n">
        <v>0</v>
      </c>
      <c r="J536" t="n">
        <v>0</v>
      </c>
      <c r="K536" t="n">
        <v>0</v>
      </c>
      <c r="L536" t="n">
        <v>0</v>
      </c>
      <c r="M536" t="n">
        <v>0</v>
      </c>
      <c r="N536" t="n">
        <v>0</v>
      </c>
      <c r="O536" t="n">
        <v>0</v>
      </c>
      <c r="P536" t="n">
        <v>0</v>
      </c>
      <c r="Q536" t="n">
        <v>0</v>
      </c>
      <c r="R536" s="2" t="inlineStr"/>
    </row>
    <row r="537" ht="15" customHeight="1">
      <c r="A537" t="inlineStr">
        <is>
          <t>A 1268-2023</t>
        </is>
      </c>
      <c r="B537" s="1" t="n">
        <v>44936</v>
      </c>
      <c r="C537" s="1" t="n">
        <v>45963</v>
      </c>
      <c r="D537" t="inlineStr">
        <is>
          <t>ÖSTERGÖTLANDS LÄN</t>
        </is>
      </c>
      <c r="E537" t="inlineStr">
        <is>
          <t>LINKÖPING</t>
        </is>
      </c>
      <c r="G537" t="n">
        <v>4.6</v>
      </c>
      <c r="H537" t="n">
        <v>0</v>
      </c>
      <c r="I537" t="n">
        <v>0</v>
      </c>
      <c r="J537" t="n">
        <v>0</v>
      </c>
      <c r="K537" t="n">
        <v>0</v>
      </c>
      <c r="L537" t="n">
        <v>0</v>
      </c>
      <c r="M537" t="n">
        <v>0</v>
      </c>
      <c r="N537" t="n">
        <v>0</v>
      </c>
      <c r="O537" t="n">
        <v>0</v>
      </c>
      <c r="P537" t="n">
        <v>0</v>
      </c>
      <c r="Q537" t="n">
        <v>0</v>
      </c>
      <c r="R537" s="2" t="inlineStr"/>
    </row>
    <row r="538" ht="15" customHeight="1">
      <c r="A538" t="inlineStr">
        <is>
          <t>A 63935-2021</t>
        </is>
      </c>
      <c r="B538" s="1" t="n">
        <v>44509</v>
      </c>
      <c r="C538" s="1" t="n">
        <v>45963</v>
      </c>
      <c r="D538" t="inlineStr">
        <is>
          <t>ÖSTERGÖTLANDS LÄN</t>
        </is>
      </c>
      <c r="E538" t="inlineStr">
        <is>
          <t>LINKÖPING</t>
        </is>
      </c>
      <c r="F538" t="inlineStr">
        <is>
          <t>Övriga statliga verk och myndigheter</t>
        </is>
      </c>
      <c r="G538" t="n">
        <v>2.8</v>
      </c>
      <c r="H538" t="n">
        <v>0</v>
      </c>
      <c r="I538" t="n">
        <v>0</v>
      </c>
      <c r="J538" t="n">
        <v>0</v>
      </c>
      <c r="K538" t="n">
        <v>0</v>
      </c>
      <c r="L538" t="n">
        <v>0</v>
      </c>
      <c r="M538" t="n">
        <v>0</v>
      </c>
      <c r="N538" t="n">
        <v>0</v>
      </c>
      <c r="O538" t="n">
        <v>0</v>
      </c>
      <c r="P538" t="n">
        <v>0</v>
      </c>
      <c r="Q538" t="n">
        <v>0</v>
      </c>
      <c r="R538" s="2" t="inlineStr"/>
    </row>
    <row r="539" ht="15" customHeight="1">
      <c r="A539" t="inlineStr">
        <is>
          <t>A 62687-2023</t>
        </is>
      </c>
      <c r="B539" s="1" t="n">
        <v>45271</v>
      </c>
      <c r="C539" s="1" t="n">
        <v>45963</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34641-2022</t>
        </is>
      </c>
      <c r="B540" s="1" t="n">
        <v>44795</v>
      </c>
      <c r="C540" s="1" t="n">
        <v>45963</v>
      </c>
      <c r="D540" t="inlineStr">
        <is>
          <t>ÖSTERGÖTLANDS LÄN</t>
        </is>
      </c>
      <c r="E540" t="inlineStr">
        <is>
          <t>LINKÖPING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32723-2025</t>
        </is>
      </c>
      <c r="B541" s="1" t="n">
        <v>45838</v>
      </c>
      <c r="C541" s="1" t="n">
        <v>45963</v>
      </c>
      <c r="D541" t="inlineStr">
        <is>
          <t>ÖSTERGÖTLANDS LÄN</t>
        </is>
      </c>
      <c r="E541" t="inlineStr">
        <is>
          <t>LINKÖPING</t>
        </is>
      </c>
      <c r="G541" t="n">
        <v>2.1</v>
      </c>
      <c r="H541" t="n">
        <v>0</v>
      </c>
      <c r="I541" t="n">
        <v>0</v>
      </c>
      <c r="J541" t="n">
        <v>0</v>
      </c>
      <c r="K541" t="n">
        <v>0</v>
      </c>
      <c r="L541" t="n">
        <v>0</v>
      </c>
      <c r="M541" t="n">
        <v>0</v>
      </c>
      <c r="N541" t="n">
        <v>0</v>
      </c>
      <c r="O541" t="n">
        <v>0</v>
      </c>
      <c r="P541" t="n">
        <v>0</v>
      </c>
      <c r="Q541" t="n">
        <v>0</v>
      </c>
      <c r="R541" s="2" t="inlineStr"/>
    </row>
    <row r="542" ht="15" customHeight="1">
      <c r="A542" t="inlineStr">
        <is>
          <t>A 6599-2023</t>
        </is>
      </c>
      <c r="B542" s="1" t="n">
        <v>44966.52603009259</v>
      </c>
      <c r="C542" s="1" t="n">
        <v>45963</v>
      </c>
      <c r="D542" t="inlineStr">
        <is>
          <t>ÖSTERGÖTLANDS LÄN</t>
        </is>
      </c>
      <c r="E542" t="inlineStr">
        <is>
          <t>LINKÖPING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938-2023</t>
        </is>
      </c>
      <c r="B543" s="1" t="n">
        <v>44933</v>
      </c>
      <c r="C543" s="1" t="n">
        <v>45963</v>
      </c>
      <c r="D543" t="inlineStr">
        <is>
          <t>ÖSTERGÖTLANDS LÄN</t>
        </is>
      </c>
      <c r="E543" t="inlineStr">
        <is>
          <t>LINKÖPING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2389-2023</t>
        </is>
      </c>
      <c r="B544" s="1" t="n">
        <v>44942</v>
      </c>
      <c r="C544" s="1" t="n">
        <v>45963</v>
      </c>
      <c r="D544" t="inlineStr">
        <is>
          <t>ÖSTERGÖTLANDS LÄN</t>
        </is>
      </c>
      <c r="E544" t="inlineStr">
        <is>
          <t>LINKÖPING</t>
        </is>
      </c>
      <c r="G544" t="n">
        <v>3.3</v>
      </c>
      <c r="H544" t="n">
        <v>0</v>
      </c>
      <c r="I544" t="n">
        <v>0</v>
      </c>
      <c r="J544" t="n">
        <v>0</v>
      </c>
      <c r="K544" t="n">
        <v>0</v>
      </c>
      <c r="L544" t="n">
        <v>0</v>
      </c>
      <c r="M544" t="n">
        <v>0</v>
      </c>
      <c r="N544" t="n">
        <v>0</v>
      </c>
      <c r="O544" t="n">
        <v>0</v>
      </c>
      <c r="P544" t="n">
        <v>0</v>
      </c>
      <c r="Q544" t="n">
        <v>0</v>
      </c>
      <c r="R544" s="2" t="inlineStr"/>
    </row>
    <row r="545" ht="15" customHeight="1">
      <c r="A545" t="inlineStr">
        <is>
          <t>A 38971-2025</t>
        </is>
      </c>
      <c r="B545" s="1" t="n">
        <v>45887.71827546296</v>
      </c>
      <c r="C545" s="1" t="n">
        <v>45963</v>
      </c>
      <c r="D545" t="inlineStr">
        <is>
          <t>ÖSTERGÖTLANDS LÄN</t>
        </is>
      </c>
      <c r="E545" t="inlineStr">
        <is>
          <t>LINKÖPING</t>
        </is>
      </c>
      <c r="G545" t="n">
        <v>3.9</v>
      </c>
      <c r="H545" t="n">
        <v>0</v>
      </c>
      <c r="I545" t="n">
        <v>0</v>
      </c>
      <c r="J545" t="n">
        <v>0</v>
      </c>
      <c r="K545" t="n">
        <v>0</v>
      </c>
      <c r="L545" t="n">
        <v>0</v>
      </c>
      <c r="M545" t="n">
        <v>0</v>
      </c>
      <c r="N545" t="n">
        <v>0</v>
      </c>
      <c r="O545" t="n">
        <v>0</v>
      </c>
      <c r="P545" t="n">
        <v>0</v>
      </c>
      <c r="Q545" t="n">
        <v>0</v>
      </c>
      <c r="R545" s="2" t="inlineStr"/>
    </row>
    <row r="546" ht="15" customHeight="1">
      <c r="A546" t="inlineStr">
        <is>
          <t>A 55345-2021</t>
        </is>
      </c>
      <c r="B546" s="1" t="n">
        <v>44475</v>
      </c>
      <c r="C546" s="1" t="n">
        <v>45963</v>
      </c>
      <c r="D546" t="inlineStr">
        <is>
          <t>ÖSTERGÖTLANDS LÄN</t>
        </is>
      </c>
      <c r="E546" t="inlineStr">
        <is>
          <t>LINKÖPING</t>
        </is>
      </c>
      <c r="G546" t="n">
        <v>5.7</v>
      </c>
      <c r="H546" t="n">
        <v>0</v>
      </c>
      <c r="I546" t="n">
        <v>0</v>
      </c>
      <c r="J546" t="n">
        <v>0</v>
      </c>
      <c r="K546" t="n">
        <v>0</v>
      </c>
      <c r="L546" t="n">
        <v>0</v>
      </c>
      <c r="M546" t="n">
        <v>0</v>
      </c>
      <c r="N546" t="n">
        <v>0</v>
      </c>
      <c r="O546" t="n">
        <v>0</v>
      </c>
      <c r="P546" t="n">
        <v>0</v>
      </c>
      <c r="Q546" t="n">
        <v>0</v>
      </c>
      <c r="R546" s="2" t="inlineStr"/>
    </row>
    <row r="547" ht="15" customHeight="1">
      <c r="A547" t="inlineStr">
        <is>
          <t>A 48-2024</t>
        </is>
      </c>
      <c r="B547" s="1" t="n">
        <v>45293</v>
      </c>
      <c r="C547" s="1" t="n">
        <v>45963</v>
      </c>
      <c r="D547" t="inlineStr">
        <is>
          <t>ÖSTERGÖTLANDS LÄN</t>
        </is>
      </c>
      <c r="E547" t="inlineStr">
        <is>
          <t>LINKÖPING</t>
        </is>
      </c>
      <c r="G547" t="n">
        <v>4.6</v>
      </c>
      <c r="H547" t="n">
        <v>0</v>
      </c>
      <c r="I547" t="n">
        <v>0</v>
      </c>
      <c r="J547" t="n">
        <v>0</v>
      </c>
      <c r="K547" t="n">
        <v>0</v>
      </c>
      <c r="L547" t="n">
        <v>0</v>
      </c>
      <c r="M547" t="n">
        <v>0</v>
      </c>
      <c r="N547" t="n">
        <v>0</v>
      </c>
      <c r="O547" t="n">
        <v>0</v>
      </c>
      <c r="P547" t="n">
        <v>0</v>
      </c>
      <c r="Q547" t="n">
        <v>0</v>
      </c>
      <c r="R547" s="2" t="inlineStr"/>
    </row>
    <row r="548" ht="15" customHeight="1">
      <c r="A548" t="inlineStr">
        <is>
          <t>A 45771-2023</t>
        </is>
      </c>
      <c r="B548" s="1" t="n">
        <v>45195.4384375</v>
      </c>
      <c r="C548" s="1" t="n">
        <v>45963</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30547-2023</t>
        </is>
      </c>
      <c r="B549" s="1" t="n">
        <v>45111.75905092592</v>
      </c>
      <c r="C549" s="1" t="n">
        <v>45963</v>
      </c>
      <c r="D549" t="inlineStr">
        <is>
          <t>ÖSTERGÖTLANDS LÄN</t>
        </is>
      </c>
      <c r="E549" t="inlineStr">
        <is>
          <t>LINKÖPING</t>
        </is>
      </c>
      <c r="G549" t="n">
        <v>0.9</v>
      </c>
      <c r="H549" t="n">
        <v>0</v>
      </c>
      <c r="I549" t="n">
        <v>0</v>
      </c>
      <c r="J549" t="n">
        <v>0</v>
      </c>
      <c r="K549" t="n">
        <v>0</v>
      </c>
      <c r="L549" t="n">
        <v>0</v>
      </c>
      <c r="M549" t="n">
        <v>0</v>
      </c>
      <c r="N549" t="n">
        <v>0</v>
      </c>
      <c r="O549" t="n">
        <v>0</v>
      </c>
      <c r="P549" t="n">
        <v>0</v>
      </c>
      <c r="Q549" t="n">
        <v>0</v>
      </c>
      <c r="R549" s="2" t="inlineStr"/>
    </row>
    <row r="550" ht="15" customHeight="1">
      <c r="A550" t="inlineStr">
        <is>
          <t>A 40502-2024</t>
        </is>
      </c>
      <c r="B550" s="1" t="n">
        <v>45555.57263888889</v>
      </c>
      <c r="C550" s="1" t="n">
        <v>45963</v>
      </c>
      <c r="D550" t="inlineStr">
        <is>
          <t>ÖSTERGÖTLANDS LÄN</t>
        </is>
      </c>
      <c r="E550" t="inlineStr">
        <is>
          <t>LINKÖPING</t>
        </is>
      </c>
      <c r="F550" t="inlineStr">
        <is>
          <t>Allmännings- och besparingsskogar</t>
        </is>
      </c>
      <c r="G550" t="n">
        <v>17.5</v>
      </c>
      <c r="H550" t="n">
        <v>0</v>
      </c>
      <c r="I550" t="n">
        <v>0</v>
      </c>
      <c r="J550" t="n">
        <v>0</v>
      </c>
      <c r="K550" t="n">
        <v>0</v>
      </c>
      <c r="L550" t="n">
        <v>0</v>
      </c>
      <c r="M550" t="n">
        <v>0</v>
      </c>
      <c r="N550" t="n">
        <v>0</v>
      </c>
      <c r="O550" t="n">
        <v>0</v>
      </c>
      <c r="P550" t="n">
        <v>0</v>
      </c>
      <c r="Q550" t="n">
        <v>0</v>
      </c>
      <c r="R550" s="2" t="inlineStr"/>
    </row>
    <row r="551" ht="15" customHeight="1">
      <c r="A551" t="inlineStr">
        <is>
          <t>A 35735-2023</t>
        </is>
      </c>
      <c r="B551" s="1" t="n">
        <v>45147</v>
      </c>
      <c r="C551" s="1" t="n">
        <v>45963</v>
      </c>
      <c r="D551" t="inlineStr">
        <is>
          <t>ÖSTERGÖTLANDS LÄN</t>
        </is>
      </c>
      <c r="E551" t="inlineStr">
        <is>
          <t>LINKÖPING</t>
        </is>
      </c>
      <c r="G551" t="n">
        <v>2.8</v>
      </c>
      <c r="H551" t="n">
        <v>0</v>
      </c>
      <c r="I551" t="n">
        <v>0</v>
      </c>
      <c r="J551" t="n">
        <v>0</v>
      </c>
      <c r="K551" t="n">
        <v>0</v>
      </c>
      <c r="L551" t="n">
        <v>0</v>
      </c>
      <c r="M551" t="n">
        <v>0</v>
      </c>
      <c r="N551" t="n">
        <v>0</v>
      </c>
      <c r="O551" t="n">
        <v>0</v>
      </c>
      <c r="P551" t="n">
        <v>0</v>
      </c>
      <c r="Q551" t="n">
        <v>0</v>
      </c>
      <c r="R551" s="2" t="inlineStr"/>
    </row>
    <row r="552" ht="15" customHeight="1">
      <c r="A552" t="inlineStr">
        <is>
          <t>A 24464-2023</t>
        </is>
      </c>
      <c r="B552" s="1" t="n">
        <v>45082.58068287037</v>
      </c>
      <c r="C552" s="1" t="n">
        <v>45963</v>
      </c>
      <c r="D552" t="inlineStr">
        <is>
          <t>ÖSTERGÖTLANDS LÄN</t>
        </is>
      </c>
      <c r="E552" t="inlineStr">
        <is>
          <t>LINKÖPING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24467-2023</t>
        </is>
      </c>
      <c r="B553" s="1" t="n">
        <v>45082</v>
      </c>
      <c r="C553" s="1" t="n">
        <v>45963</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45831-2024</t>
        </is>
      </c>
      <c r="B554" s="1" t="n">
        <v>45579.90508101852</v>
      </c>
      <c r="C554" s="1" t="n">
        <v>45963</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17157-2024</t>
        </is>
      </c>
      <c r="B555" s="1" t="n">
        <v>45412.70567129629</v>
      </c>
      <c r="C555" s="1" t="n">
        <v>45963</v>
      </c>
      <c r="D555" t="inlineStr">
        <is>
          <t>ÖSTERGÖTLANDS LÄN</t>
        </is>
      </c>
      <c r="E555" t="inlineStr">
        <is>
          <t>LINKÖPING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48389-2024</t>
        </is>
      </c>
      <c r="B556" s="1" t="n">
        <v>45590.59991898148</v>
      </c>
      <c r="C556" s="1" t="n">
        <v>45963</v>
      </c>
      <c r="D556" t="inlineStr">
        <is>
          <t>ÖSTERGÖTLANDS LÄN</t>
        </is>
      </c>
      <c r="E556" t="inlineStr">
        <is>
          <t>LINKÖPING</t>
        </is>
      </c>
      <c r="G556" t="n">
        <v>2.6</v>
      </c>
      <c r="H556" t="n">
        <v>0</v>
      </c>
      <c r="I556" t="n">
        <v>0</v>
      </c>
      <c r="J556" t="n">
        <v>0</v>
      </c>
      <c r="K556" t="n">
        <v>0</v>
      </c>
      <c r="L556" t="n">
        <v>0</v>
      </c>
      <c r="M556" t="n">
        <v>0</v>
      </c>
      <c r="N556" t="n">
        <v>0</v>
      </c>
      <c r="O556" t="n">
        <v>0</v>
      </c>
      <c r="P556" t="n">
        <v>0</v>
      </c>
      <c r="Q556" t="n">
        <v>0</v>
      </c>
      <c r="R556" s="2" t="inlineStr"/>
    </row>
    <row r="557" ht="15" customHeight="1">
      <c r="A557" t="inlineStr">
        <is>
          <t>A 56792-2023</t>
        </is>
      </c>
      <c r="B557" s="1" t="n">
        <v>45244</v>
      </c>
      <c r="C557" s="1" t="n">
        <v>45963</v>
      </c>
      <c r="D557" t="inlineStr">
        <is>
          <t>ÖSTERGÖTLANDS LÄN</t>
        </is>
      </c>
      <c r="E557" t="inlineStr">
        <is>
          <t>LINKÖPING</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37154-2023</t>
        </is>
      </c>
      <c r="B558" s="1" t="n">
        <v>45155</v>
      </c>
      <c r="C558" s="1" t="n">
        <v>45963</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33947-2025</t>
        </is>
      </c>
      <c r="B559" s="1" t="n">
        <v>45842.65444444444</v>
      </c>
      <c r="C559" s="1" t="n">
        <v>45963</v>
      </c>
      <c r="D559" t="inlineStr">
        <is>
          <t>ÖSTERGÖTLANDS LÄN</t>
        </is>
      </c>
      <c r="E559" t="inlineStr">
        <is>
          <t>LINKÖPING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53529-2024</t>
        </is>
      </c>
      <c r="B560" s="1" t="n">
        <v>45614</v>
      </c>
      <c r="C560" s="1" t="n">
        <v>45963</v>
      </c>
      <c r="D560" t="inlineStr">
        <is>
          <t>ÖSTERGÖTLANDS LÄN</t>
        </is>
      </c>
      <c r="E560" t="inlineStr">
        <is>
          <t>LINKÖPING</t>
        </is>
      </c>
      <c r="G560" t="n">
        <v>6.7</v>
      </c>
      <c r="H560" t="n">
        <v>0</v>
      </c>
      <c r="I560" t="n">
        <v>0</v>
      </c>
      <c r="J560" t="n">
        <v>0</v>
      </c>
      <c r="K560" t="n">
        <v>0</v>
      </c>
      <c r="L560" t="n">
        <v>0</v>
      </c>
      <c r="M560" t="n">
        <v>0</v>
      </c>
      <c r="N560" t="n">
        <v>0</v>
      </c>
      <c r="O560" t="n">
        <v>0</v>
      </c>
      <c r="P560" t="n">
        <v>0</v>
      </c>
      <c r="Q560" t="n">
        <v>0</v>
      </c>
      <c r="R560" s="2" t="inlineStr"/>
    </row>
    <row r="561" ht="15" customHeight="1">
      <c r="A561" t="inlineStr">
        <is>
          <t>A 62012-2024</t>
        </is>
      </c>
      <c r="B561" s="1" t="n">
        <v>45655.79679398148</v>
      </c>
      <c r="C561" s="1" t="n">
        <v>45963</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53812-2023</t>
        </is>
      </c>
      <c r="B562" s="1" t="n">
        <v>45231.39583333334</v>
      </c>
      <c r="C562" s="1" t="n">
        <v>45963</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53830-2023</t>
        </is>
      </c>
      <c r="B563" s="1" t="n">
        <v>45230</v>
      </c>
      <c r="C563" s="1" t="n">
        <v>45963</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56841-2023</t>
        </is>
      </c>
      <c r="B564" s="1" t="n">
        <v>45244</v>
      </c>
      <c r="C564" s="1" t="n">
        <v>45963</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56741-2023</t>
        </is>
      </c>
      <c r="B565" s="1" t="n">
        <v>45244</v>
      </c>
      <c r="C565" s="1" t="n">
        <v>45963</v>
      </c>
      <c r="D565" t="inlineStr">
        <is>
          <t>ÖSTERGÖTLANDS LÄN</t>
        </is>
      </c>
      <c r="E565" t="inlineStr">
        <is>
          <t>LINKÖPING</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39017-2021</t>
        </is>
      </c>
      <c r="B566" s="1" t="n">
        <v>44412</v>
      </c>
      <c r="C566" s="1" t="n">
        <v>45963</v>
      </c>
      <c r="D566" t="inlineStr">
        <is>
          <t>ÖSTERGÖTLANDS LÄN</t>
        </is>
      </c>
      <c r="E566" t="inlineStr">
        <is>
          <t>LINKÖPING</t>
        </is>
      </c>
      <c r="F566" t="inlineStr">
        <is>
          <t>Övriga statliga verk och myndigheter</t>
        </is>
      </c>
      <c r="G566" t="n">
        <v>0.8</v>
      </c>
      <c r="H566" t="n">
        <v>0</v>
      </c>
      <c r="I566" t="n">
        <v>0</v>
      </c>
      <c r="J566" t="n">
        <v>0</v>
      </c>
      <c r="K566" t="n">
        <v>0</v>
      </c>
      <c r="L566" t="n">
        <v>0</v>
      </c>
      <c r="M566" t="n">
        <v>0</v>
      </c>
      <c r="N566" t="n">
        <v>0</v>
      </c>
      <c r="O566" t="n">
        <v>0</v>
      </c>
      <c r="P566" t="n">
        <v>0</v>
      </c>
      <c r="Q566" t="n">
        <v>0</v>
      </c>
      <c r="R566" s="2" t="inlineStr"/>
    </row>
    <row r="567" ht="15" customHeight="1">
      <c r="A567" t="inlineStr">
        <is>
          <t>A 53816-2023</t>
        </is>
      </c>
      <c r="B567" s="1" t="n">
        <v>45231.40012731482</v>
      </c>
      <c r="C567" s="1" t="n">
        <v>45963</v>
      </c>
      <c r="D567" t="inlineStr">
        <is>
          <t>ÖSTERGÖTLANDS LÄN</t>
        </is>
      </c>
      <c r="E567" t="inlineStr">
        <is>
          <t>LINKÖPING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20469-2025</t>
        </is>
      </c>
      <c r="B568" s="1" t="n">
        <v>45775</v>
      </c>
      <c r="C568" s="1" t="n">
        <v>45963</v>
      </c>
      <c r="D568" t="inlineStr">
        <is>
          <t>ÖSTERGÖTLANDS LÄN</t>
        </is>
      </c>
      <c r="E568" t="inlineStr">
        <is>
          <t>LINKÖPING</t>
        </is>
      </c>
      <c r="F568" t="inlineStr">
        <is>
          <t>Kyrkan</t>
        </is>
      </c>
      <c r="G568" t="n">
        <v>6.1</v>
      </c>
      <c r="H568" t="n">
        <v>0</v>
      </c>
      <c r="I568" t="n">
        <v>0</v>
      </c>
      <c r="J568" t="n">
        <v>0</v>
      </c>
      <c r="K568" t="n">
        <v>0</v>
      </c>
      <c r="L568" t="n">
        <v>0</v>
      </c>
      <c r="M568" t="n">
        <v>0</v>
      </c>
      <c r="N568" t="n">
        <v>0</v>
      </c>
      <c r="O568" t="n">
        <v>0</v>
      </c>
      <c r="P568" t="n">
        <v>0</v>
      </c>
      <c r="Q568" t="n">
        <v>0</v>
      </c>
      <c r="R568" s="2" t="inlineStr"/>
    </row>
    <row r="569" ht="15" customHeight="1">
      <c r="A569" t="inlineStr">
        <is>
          <t>A 1260-2023</t>
        </is>
      </c>
      <c r="B569" s="1" t="n">
        <v>44936</v>
      </c>
      <c r="C569" s="1" t="n">
        <v>45963</v>
      </c>
      <c r="D569" t="inlineStr">
        <is>
          <t>ÖSTERGÖTLANDS LÄN</t>
        </is>
      </c>
      <c r="E569" t="inlineStr">
        <is>
          <t>LINKÖPING</t>
        </is>
      </c>
      <c r="G569" t="n">
        <v>1.2</v>
      </c>
      <c r="H569" t="n">
        <v>0</v>
      </c>
      <c r="I569" t="n">
        <v>0</v>
      </c>
      <c r="J569" t="n">
        <v>0</v>
      </c>
      <c r="K569" t="n">
        <v>0</v>
      </c>
      <c r="L569" t="n">
        <v>0</v>
      </c>
      <c r="M569" t="n">
        <v>0</v>
      </c>
      <c r="N569" t="n">
        <v>0</v>
      </c>
      <c r="O569" t="n">
        <v>0</v>
      </c>
      <c r="P569" t="n">
        <v>0</v>
      </c>
      <c r="Q569" t="n">
        <v>0</v>
      </c>
      <c r="R569" s="2" t="inlineStr"/>
    </row>
    <row r="570" ht="15" customHeight="1">
      <c r="A570" t="inlineStr">
        <is>
          <t>A 63935-2021</t>
        </is>
      </c>
      <c r="B570" s="1" t="n">
        <v>44509</v>
      </c>
      <c r="C570" s="1" t="n">
        <v>45963</v>
      </c>
      <c r="D570" t="inlineStr">
        <is>
          <t>ÖSTERGÖTLANDS LÄN</t>
        </is>
      </c>
      <c r="E570" t="inlineStr">
        <is>
          <t>LINKÖPING</t>
        </is>
      </c>
      <c r="F570" t="inlineStr">
        <is>
          <t>Övriga statliga verk och myndigheter</t>
        </is>
      </c>
      <c r="G570" t="n">
        <v>2.8</v>
      </c>
      <c r="H570" t="n">
        <v>0</v>
      </c>
      <c r="I570" t="n">
        <v>0</v>
      </c>
      <c r="J570" t="n">
        <v>0</v>
      </c>
      <c r="K570" t="n">
        <v>0</v>
      </c>
      <c r="L570" t="n">
        <v>0</v>
      </c>
      <c r="M570" t="n">
        <v>0</v>
      </c>
      <c r="N570" t="n">
        <v>0</v>
      </c>
      <c r="O570" t="n">
        <v>0</v>
      </c>
      <c r="P570" t="n">
        <v>0</v>
      </c>
      <c r="Q570" t="n">
        <v>0</v>
      </c>
      <c r="R570" s="2" t="inlineStr"/>
    </row>
    <row r="571" ht="15" customHeight="1">
      <c r="A571" t="inlineStr">
        <is>
          <t>A 1355-2023</t>
        </is>
      </c>
      <c r="B571" s="1" t="n">
        <v>44931</v>
      </c>
      <c r="C571" s="1" t="n">
        <v>45963</v>
      </c>
      <c r="D571" t="inlineStr">
        <is>
          <t>ÖSTERGÖTLANDS LÄN</t>
        </is>
      </c>
      <c r="E571" t="inlineStr">
        <is>
          <t>LINKÖPING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6726-2024</t>
        </is>
      </c>
      <c r="B572" s="1" t="n">
        <v>45341</v>
      </c>
      <c r="C572" s="1" t="n">
        <v>45963</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3007-2025</t>
        </is>
      </c>
      <c r="B573" s="1" t="n">
        <v>45678.56328703704</v>
      </c>
      <c r="C573" s="1" t="n">
        <v>45963</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10492-2022</t>
        </is>
      </c>
      <c r="B574" s="1" t="n">
        <v>44623.6377199074</v>
      </c>
      <c r="C574" s="1" t="n">
        <v>45963</v>
      </c>
      <c r="D574" t="inlineStr">
        <is>
          <t>ÖSTERGÖTLANDS LÄN</t>
        </is>
      </c>
      <c r="E574" t="inlineStr">
        <is>
          <t>LINKÖPING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3007-2023</t>
        </is>
      </c>
      <c r="B575" s="1" t="n">
        <v>44945</v>
      </c>
      <c r="C575" s="1" t="n">
        <v>45963</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18145-2021</t>
        </is>
      </c>
      <c r="B576" s="1" t="n">
        <v>44302</v>
      </c>
      <c r="C576" s="1" t="n">
        <v>45963</v>
      </c>
      <c r="D576" t="inlineStr">
        <is>
          <t>ÖSTERGÖTLANDS LÄN</t>
        </is>
      </c>
      <c r="E576" t="inlineStr">
        <is>
          <t>LINKÖPING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33800-2023</t>
        </is>
      </c>
      <c r="B577" s="1" t="n">
        <v>45121</v>
      </c>
      <c r="C577" s="1" t="n">
        <v>45963</v>
      </c>
      <c r="D577" t="inlineStr">
        <is>
          <t>ÖSTERGÖTLANDS LÄN</t>
        </is>
      </c>
      <c r="E577" t="inlineStr">
        <is>
          <t>LINKÖPING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30465-2023</t>
        </is>
      </c>
      <c r="B578" s="1" t="n">
        <v>45111</v>
      </c>
      <c r="C578" s="1" t="n">
        <v>45963</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26007-2025</t>
        </is>
      </c>
      <c r="B579" s="1" t="n">
        <v>45804.67081018518</v>
      </c>
      <c r="C579" s="1" t="n">
        <v>45963</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35174-2025</t>
        </is>
      </c>
      <c r="B580" s="1" t="n">
        <v>45852.90648148148</v>
      </c>
      <c r="C580" s="1" t="n">
        <v>45963</v>
      </c>
      <c r="D580" t="inlineStr">
        <is>
          <t>ÖSTERGÖTLANDS LÄN</t>
        </is>
      </c>
      <c r="E580" t="inlineStr">
        <is>
          <t>LINKÖPING</t>
        </is>
      </c>
      <c r="G580" t="n">
        <v>1.3</v>
      </c>
      <c r="H580" t="n">
        <v>0</v>
      </c>
      <c r="I580" t="n">
        <v>0</v>
      </c>
      <c r="J580" t="n">
        <v>0</v>
      </c>
      <c r="K580" t="n">
        <v>0</v>
      </c>
      <c r="L580" t="n">
        <v>0</v>
      </c>
      <c r="M580" t="n">
        <v>0</v>
      </c>
      <c r="N580" t="n">
        <v>0</v>
      </c>
      <c r="O580" t="n">
        <v>0</v>
      </c>
      <c r="P580" t="n">
        <v>0</v>
      </c>
      <c r="Q580" t="n">
        <v>0</v>
      </c>
      <c r="R580" s="2" t="inlineStr"/>
    </row>
    <row r="581" ht="15" customHeight="1">
      <c r="A581" t="inlineStr">
        <is>
          <t>A 29309-2024</t>
        </is>
      </c>
      <c r="B581" s="1" t="n">
        <v>45483</v>
      </c>
      <c r="C581" s="1" t="n">
        <v>45963</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39021-2021</t>
        </is>
      </c>
      <c r="B582" s="1" t="n">
        <v>44412</v>
      </c>
      <c r="C582" s="1" t="n">
        <v>45963</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47991-2023</t>
        </is>
      </c>
      <c r="B583" s="1" t="n">
        <v>45204.62655092592</v>
      </c>
      <c r="C583" s="1" t="n">
        <v>45963</v>
      </c>
      <c r="D583" t="inlineStr">
        <is>
          <t>ÖSTERGÖTLANDS LÄN</t>
        </is>
      </c>
      <c r="E583" t="inlineStr">
        <is>
          <t>LINKÖPING</t>
        </is>
      </c>
      <c r="F583" t="inlineStr">
        <is>
          <t>Allmännings- och besparingsskogar</t>
        </is>
      </c>
      <c r="G583" t="n">
        <v>7.3</v>
      </c>
      <c r="H583" t="n">
        <v>0</v>
      </c>
      <c r="I583" t="n">
        <v>0</v>
      </c>
      <c r="J583" t="n">
        <v>0</v>
      </c>
      <c r="K583" t="n">
        <v>0</v>
      </c>
      <c r="L583" t="n">
        <v>0</v>
      </c>
      <c r="M583" t="n">
        <v>0</v>
      </c>
      <c r="N583" t="n">
        <v>0</v>
      </c>
      <c r="O583" t="n">
        <v>0</v>
      </c>
      <c r="P583" t="n">
        <v>0</v>
      </c>
      <c r="Q583" t="n">
        <v>0</v>
      </c>
      <c r="R583" s="2" t="inlineStr"/>
    </row>
    <row r="584" ht="15" customHeight="1">
      <c r="A584" t="inlineStr">
        <is>
          <t>A 35179-2025</t>
        </is>
      </c>
      <c r="B584" s="1" t="n">
        <v>45852.93737268518</v>
      </c>
      <c r="C584" s="1" t="n">
        <v>45963</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35180-2025</t>
        </is>
      </c>
      <c r="B585" s="1" t="n">
        <v>45852.9413425926</v>
      </c>
      <c r="C585" s="1" t="n">
        <v>45963</v>
      </c>
      <c r="D585" t="inlineStr">
        <is>
          <t>ÖSTERGÖTLANDS LÄN</t>
        </is>
      </c>
      <c r="E585" t="inlineStr">
        <is>
          <t>LINKÖPING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62353-2022</t>
        </is>
      </c>
      <c r="B586" s="1" t="n">
        <v>44923</v>
      </c>
      <c r="C586" s="1" t="n">
        <v>45963</v>
      </c>
      <c r="D586" t="inlineStr">
        <is>
          <t>ÖSTERGÖTLANDS LÄN</t>
        </is>
      </c>
      <c r="E586" t="inlineStr">
        <is>
          <t>LINKÖPING</t>
        </is>
      </c>
      <c r="F586" t="inlineStr">
        <is>
          <t>Allmännings- och besparingsskogar</t>
        </is>
      </c>
      <c r="G586" t="n">
        <v>1.7</v>
      </c>
      <c r="H586" t="n">
        <v>0</v>
      </c>
      <c r="I586" t="n">
        <v>0</v>
      </c>
      <c r="J586" t="n">
        <v>0</v>
      </c>
      <c r="K586" t="n">
        <v>0</v>
      </c>
      <c r="L586" t="n">
        <v>0</v>
      </c>
      <c r="M586" t="n">
        <v>0</v>
      </c>
      <c r="N586" t="n">
        <v>0</v>
      </c>
      <c r="O586" t="n">
        <v>0</v>
      </c>
      <c r="P586" t="n">
        <v>0</v>
      </c>
      <c r="Q586" t="n">
        <v>0</v>
      </c>
      <c r="R586" s="2" t="inlineStr"/>
    </row>
    <row r="587" ht="15" customHeight="1">
      <c r="A587" t="inlineStr">
        <is>
          <t>A 35178-2025</t>
        </is>
      </c>
      <c r="B587" s="1" t="n">
        <v>45852.91939814815</v>
      </c>
      <c r="C587" s="1" t="n">
        <v>45963</v>
      </c>
      <c r="D587" t="inlineStr">
        <is>
          <t>ÖSTERGÖTLANDS LÄN</t>
        </is>
      </c>
      <c r="E587" t="inlineStr">
        <is>
          <t>LINKÖPING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30111-2024</t>
        </is>
      </c>
      <c r="B588" s="1" t="n">
        <v>45489.46947916667</v>
      </c>
      <c r="C588" s="1" t="n">
        <v>45963</v>
      </c>
      <c r="D588" t="inlineStr">
        <is>
          <t>ÖSTERGÖTLANDS LÄN</t>
        </is>
      </c>
      <c r="E588" t="inlineStr">
        <is>
          <t>LINKÖPING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30119-2024</t>
        </is>
      </c>
      <c r="B589" s="1" t="n">
        <v>45489</v>
      </c>
      <c r="C589" s="1" t="n">
        <v>45963</v>
      </c>
      <c r="D589" t="inlineStr">
        <is>
          <t>ÖSTERGÖTLANDS LÄN</t>
        </is>
      </c>
      <c r="E589" t="inlineStr">
        <is>
          <t>LINKÖPING</t>
        </is>
      </c>
      <c r="G589" t="n">
        <v>1.7</v>
      </c>
      <c r="H589" t="n">
        <v>0</v>
      </c>
      <c r="I589" t="n">
        <v>0</v>
      </c>
      <c r="J589" t="n">
        <v>0</v>
      </c>
      <c r="K589" t="n">
        <v>0</v>
      </c>
      <c r="L589" t="n">
        <v>0</v>
      </c>
      <c r="M589" t="n">
        <v>0</v>
      </c>
      <c r="N589" t="n">
        <v>0</v>
      </c>
      <c r="O589" t="n">
        <v>0</v>
      </c>
      <c r="P589" t="n">
        <v>0</v>
      </c>
      <c r="Q589" t="n">
        <v>0</v>
      </c>
      <c r="R589" s="2" t="inlineStr"/>
    </row>
    <row r="590" ht="15" customHeight="1">
      <c r="A590" t="inlineStr">
        <is>
          <t>A 29411-2023</t>
        </is>
      </c>
      <c r="B590" s="1" t="n">
        <v>45106.46225694445</v>
      </c>
      <c r="C590" s="1" t="n">
        <v>45963</v>
      </c>
      <c r="D590" t="inlineStr">
        <is>
          <t>ÖSTERGÖTLANDS LÄN</t>
        </is>
      </c>
      <c r="E590" t="inlineStr">
        <is>
          <t>LINKÖPING</t>
        </is>
      </c>
      <c r="G590" t="n">
        <v>2.5</v>
      </c>
      <c r="H590" t="n">
        <v>0</v>
      </c>
      <c r="I590" t="n">
        <v>0</v>
      </c>
      <c r="J590" t="n">
        <v>0</v>
      </c>
      <c r="K590" t="n">
        <v>0</v>
      </c>
      <c r="L590" t="n">
        <v>0</v>
      </c>
      <c r="M590" t="n">
        <v>0</v>
      </c>
      <c r="N590" t="n">
        <v>0</v>
      </c>
      <c r="O590" t="n">
        <v>0</v>
      </c>
      <c r="P590" t="n">
        <v>0</v>
      </c>
      <c r="Q590" t="n">
        <v>0</v>
      </c>
      <c r="R590" s="2" t="inlineStr"/>
    </row>
    <row r="591" ht="15" customHeight="1">
      <c r="A591" t="inlineStr">
        <is>
          <t>A 29412-2023</t>
        </is>
      </c>
      <c r="B591" s="1" t="n">
        <v>45106.46359953703</v>
      </c>
      <c r="C591" s="1" t="n">
        <v>45963</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31792-2021</t>
        </is>
      </c>
      <c r="B592" s="1" t="n">
        <v>44369</v>
      </c>
      <c r="C592" s="1" t="n">
        <v>45963</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421-2024</t>
        </is>
      </c>
      <c r="B593" s="1" t="n">
        <v>45296.51877314815</v>
      </c>
      <c r="C593" s="1" t="n">
        <v>45963</v>
      </c>
      <c r="D593" t="inlineStr">
        <is>
          <t>ÖSTERGÖTLANDS LÄN</t>
        </is>
      </c>
      <c r="E593" t="inlineStr">
        <is>
          <t>LINKÖPING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22043-2023</t>
        </is>
      </c>
      <c r="B594" s="1" t="n">
        <v>45069.39050925926</v>
      </c>
      <c r="C594" s="1" t="n">
        <v>45963</v>
      </c>
      <c r="D594" t="inlineStr">
        <is>
          <t>ÖSTERGÖTLANDS LÄN</t>
        </is>
      </c>
      <c r="E594" t="inlineStr">
        <is>
          <t>LINKÖPING</t>
        </is>
      </c>
      <c r="G594" t="n">
        <v>5.9</v>
      </c>
      <c r="H594" t="n">
        <v>0</v>
      </c>
      <c r="I594" t="n">
        <v>0</v>
      </c>
      <c r="J594" t="n">
        <v>0</v>
      </c>
      <c r="K594" t="n">
        <v>0</v>
      </c>
      <c r="L594" t="n">
        <v>0</v>
      </c>
      <c r="M594" t="n">
        <v>0</v>
      </c>
      <c r="N594" t="n">
        <v>0</v>
      </c>
      <c r="O594" t="n">
        <v>0</v>
      </c>
      <c r="P594" t="n">
        <v>0</v>
      </c>
      <c r="Q594" t="n">
        <v>0</v>
      </c>
      <c r="R594" s="2" t="inlineStr"/>
    </row>
    <row r="595" ht="15" customHeight="1">
      <c r="A595" t="inlineStr">
        <is>
          <t>A 61532-2021</t>
        </is>
      </c>
      <c r="B595" s="1" t="n">
        <v>44501</v>
      </c>
      <c r="C595" s="1" t="n">
        <v>45963</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14028-2024</t>
        </is>
      </c>
      <c r="B596" s="1" t="n">
        <v>45392</v>
      </c>
      <c r="C596" s="1" t="n">
        <v>45963</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40431-2024</t>
        </is>
      </c>
      <c r="B597" s="1" t="n">
        <v>45555.47070601852</v>
      </c>
      <c r="C597" s="1" t="n">
        <v>45963</v>
      </c>
      <c r="D597" t="inlineStr">
        <is>
          <t>ÖSTERGÖTLANDS LÄN</t>
        </is>
      </c>
      <c r="E597" t="inlineStr">
        <is>
          <t>LINKÖPING</t>
        </is>
      </c>
      <c r="F597" t="inlineStr">
        <is>
          <t>Allmännings- och besparingsskogar</t>
        </is>
      </c>
      <c r="G597" t="n">
        <v>2.9</v>
      </c>
      <c r="H597" t="n">
        <v>0</v>
      </c>
      <c r="I597" t="n">
        <v>0</v>
      </c>
      <c r="J597" t="n">
        <v>0</v>
      </c>
      <c r="K597" t="n">
        <v>0</v>
      </c>
      <c r="L597" t="n">
        <v>0</v>
      </c>
      <c r="M597" t="n">
        <v>0</v>
      </c>
      <c r="N597" t="n">
        <v>0</v>
      </c>
      <c r="O597" t="n">
        <v>0</v>
      </c>
      <c r="P597" t="n">
        <v>0</v>
      </c>
      <c r="Q597" t="n">
        <v>0</v>
      </c>
      <c r="R597" s="2" t="inlineStr"/>
    </row>
    <row r="598" ht="15" customHeight="1">
      <c r="A598" t="inlineStr">
        <is>
          <t>A 35757-2025</t>
        </is>
      </c>
      <c r="B598" s="1" t="n">
        <v>45860.59876157407</v>
      </c>
      <c r="C598" s="1" t="n">
        <v>45963</v>
      </c>
      <c r="D598" t="inlineStr">
        <is>
          <t>ÖSTERGÖTLANDS LÄN</t>
        </is>
      </c>
      <c r="E598" t="inlineStr">
        <is>
          <t>LINKÖPING</t>
        </is>
      </c>
      <c r="G598" t="n">
        <v>5.7</v>
      </c>
      <c r="H598" t="n">
        <v>0</v>
      </c>
      <c r="I598" t="n">
        <v>0</v>
      </c>
      <c r="J598" t="n">
        <v>0</v>
      </c>
      <c r="K598" t="n">
        <v>0</v>
      </c>
      <c r="L598" t="n">
        <v>0</v>
      </c>
      <c r="M598" t="n">
        <v>0</v>
      </c>
      <c r="N598" t="n">
        <v>0</v>
      </c>
      <c r="O598" t="n">
        <v>0</v>
      </c>
      <c r="P598" t="n">
        <v>0</v>
      </c>
      <c r="Q598" t="n">
        <v>0</v>
      </c>
      <c r="R598" s="2" t="inlineStr"/>
    </row>
    <row r="599" ht="15" customHeight="1">
      <c r="A599" t="inlineStr">
        <is>
          <t>A 35745-2025</t>
        </is>
      </c>
      <c r="B599" s="1" t="n">
        <v>45860.54739583333</v>
      </c>
      <c r="C599" s="1" t="n">
        <v>45963</v>
      </c>
      <c r="D599" t="inlineStr">
        <is>
          <t>ÖSTERGÖTLANDS LÄN</t>
        </is>
      </c>
      <c r="E599" t="inlineStr">
        <is>
          <t>LINKÖPING</t>
        </is>
      </c>
      <c r="G599" t="n">
        <v>4.4</v>
      </c>
      <c r="H599" t="n">
        <v>0</v>
      </c>
      <c r="I599" t="n">
        <v>0</v>
      </c>
      <c r="J599" t="n">
        <v>0</v>
      </c>
      <c r="K599" t="n">
        <v>0</v>
      </c>
      <c r="L599" t="n">
        <v>0</v>
      </c>
      <c r="M599" t="n">
        <v>0</v>
      </c>
      <c r="N599" t="n">
        <v>0</v>
      </c>
      <c r="O599" t="n">
        <v>0</v>
      </c>
      <c r="P599" t="n">
        <v>0</v>
      </c>
      <c r="Q599" t="n">
        <v>0</v>
      </c>
      <c r="R599" s="2" t="inlineStr"/>
    </row>
    <row r="600" ht="15" customHeight="1">
      <c r="A600" t="inlineStr">
        <is>
          <t>A 35747-2025</t>
        </is>
      </c>
      <c r="B600" s="1" t="n">
        <v>45860.56385416666</v>
      </c>
      <c r="C600" s="1" t="n">
        <v>45963</v>
      </c>
      <c r="D600" t="inlineStr">
        <is>
          <t>ÖSTERGÖTLANDS LÄN</t>
        </is>
      </c>
      <c r="E600" t="inlineStr">
        <is>
          <t>LINKÖPING</t>
        </is>
      </c>
      <c r="G600" t="n">
        <v>2.4</v>
      </c>
      <c r="H600" t="n">
        <v>0</v>
      </c>
      <c r="I600" t="n">
        <v>0</v>
      </c>
      <c r="J600" t="n">
        <v>0</v>
      </c>
      <c r="K600" t="n">
        <v>0</v>
      </c>
      <c r="L600" t="n">
        <v>0</v>
      </c>
      <c r="M600" t="n">
        <v>0</v>
      </c>
      <c r="N600" t="n">
        <v>0</v>
      </c>
      <c r="O600" t="n">
        <v>0</v>
      </c>
      <c r="P600" t="n">
        <v>0</v>
      </c>
      <c r="Q600" t="n">
        <v>0</v>
      </c>
      <c r="R600" s="2" t="inlineStr"/>
    </row>
    <row r="601" ht="15" customHeight="1">
      <c r="A601" t="inlineStr">
        <is>
          <t>A 53411-2023</t>
        </is>
      </c>
      <c r="B601" s="1" t="n">
        <v>45229.81049768518</v>
      </c>
      <c r="C601" s="1" t="n">
        <v>45963</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60860-2024</t>
        </is>
      </c>
      <c r="B602" s="1" t="n">
        <v>45644.6893287037</v>
      </c>
      <c r="C602" s="1" t="n">
        <v>45963</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35759-2025</t>
        </is>
      </c>
      <c r="B603" s="1" t="n">
        <v>45860</v>
      </c>
      <c r="C603" s="1" t="n">
        <v>45963</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26788-2022</t>
        </is>
      </c>
      <c r="B604" s="1" t="n">
        <v>44740</v>
      </c>
      <c r="C604" s="1" t="n">
        <v>45963</v>
      </c>
      <c r="D604" t="inlineStr">
        <is>
          <t>ÖSTERGÖTLANDS LÄN</t>
        </is>
      </c>
      <c r="E604" t="inlineStr">
        <is>
          <t>LINKÖPING</t>
        </is>
      </c>
      <c r="G604" t="n">
        <v>3.2</v>
      </c>
      <c r="H604" t="n">
        <v>0</v>
      </c>
      <c r="I604" t="n">
        <v>0</v>
      </c>
      <c r="J604" t="n">
        <v>0</v>
      </c>
      <c r="K604" t="n">
        <v>0</v>
      </c>
      <c r="L604" t="n">
        <v>0</v>
      </c>
      <c r="M604" t="n">
        <v>0</v>
      </c>
      <c r="N604" t="n">
        <v>0</v>
      </c>
      <c r="O604" t="n">
        <v>0</v>
      </c>
      <c r="P604" t="n">
        <v>0</v>
      </c>
      <c r="Q604" t="n">
        <v>0</v>
      </c>
      <c r="R604" s="2" t="inlineStr"/>
    </row>
    <row r="605" ht="15" customHeight="1">
      <c r="A605" t="inlineStr">
        <is>
          <t>A 2697-2023</t>
        </is>
      </c>
      <c r="B605" s="1" t="n">
        <v>44944</v>
      </c>
      <c r="C605" s="1" t="n">
        <v>45963</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24462-2023</t>
        </is>
      </c>
      <c r="B606" s="1" t="n">
        <v>45082</v>
      </c>
      <c r="C606" s="1" t="n">
        <v>45963</v>
      </c>
      <c r="D606" t="inlineStr">
        <is>
          <t>ÖSTERGÖTLANDS LÄN</t>
        </is>
      </c>
      <c r="E606" t="inlineStr">
        <is>
          <t>LINKÖPING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62015-2024</t>
        </is>
      </c>
      <c r="B607" s="1" t="n">
        <v>45655.80457175926</v>
      </c>
      <c r="C607" s="1" t="n">
        <v>45963</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10741-2023</t>
        </is>
      </c>
      <c r="B608" s="1" t="n">
        <v>44988.70084490741</v>
      </c>
      <c r="C608" s="1" t="n">
        <v>45963</v>
      </c>
      <c r="D608" t="inlineStr">
        <is>
          <t>ÖSTERGÖTLANDS LÄN</t>
        </is>
      </c>
      <c r="E608" t="inlineStr">
        <is>
          <t>LINKÖPING</t>
        </is>
      </c>
      <c r="F608" t="inlineStr">
        <is>
          <t>Allmännings- och besparingsskogar</t>
        </is>
      </c>
      <c r="G608" t="n">
        <v>11.2</v>
      </c>
      <c r="H608" t="n">
        <v>0</v>
      </c>
      <c r="I608" t="n">
        <v>0</v>
      </c>
      <c r="J608" t="n">
        <v>0</v>
      </c>
      <c r="K608" t="n">
        <v>0</v>
      </c>
      <c r="L608" t="n">
        <v>0</v>
      </c>
      <c r="M608" t="n">
        <v>0</v>
      </c>
      <c r="N608" t="n">
        <v>0</v>
      </c>
      <c r="O608" t="n">
        <v>0</v>
      </c>
      <c r="P608" t="n">
        <v>0</v>
      </c>
      <c r="Q608" t="n">
        <v>0</v>
      </c>
      <c r="R608" s="2" t="inlineStr"/>
    </row>
    <row r="609" ht="15" customHeight="1">
      <c r="A609" t="inlineStr">
        <is>
          <t>A 46847-2025</t>
        </is>
      </c>
      <c r="B609" s="1" t="n">
        <v>45928.69971064815</v>
      </c>
      <c r="C609" s="1" t="n">
        <v>45963</v>
      </c>
      <c r="D609" t="inlineStr">
        <is>
          <t>ÖSTERGÖTLANDS LÄN</t>
        </is>
      </c>
      <c r="E609" t="inlineStr">
        <is>
          <t>LINKÖPING</t>
        </is>
      </c>
      <c r="G609" t="n">
        <v>4.6</v>
      </c>
      <c r="H609" t="n">
        <v>0</v>
      </c>
      <c r="I609" t="n">
        <v>0</v>
      </c>
      <c r="J609" t="n">
        <v>0</v>
      </c>
      <c r="K609" t="n">
        <v>0</v>
      </c>
      <c r="L609" t="n">
        <v>0</v>
      </c>
      <c r="M609" t="n">
        <v>0</v>
      </c>
      <c r="N609" t="n">
        <v>0</v>
      </c>
      <c r="O609" t="n">
        <v>0</v>
      </c>
      <c r="P609" t="n">
        <v>0</v>
      </c>
      <c r="Q609" t="n">
        <v>0</v>
      </c>
      <c r="R609" s="2" t="inlineStr"/>
    </row>
    <row r="610" ht="15" customHeight="1">
      <c r="A610" t="inlineStr">
        <is>
          <t>A 3008-2023</t>
        </is>
      </c>
      <c r="B610" s="1" t="n">
        <v>44945.79784722222</v>
      </c>
      <c r="C610" s="1" t="n">
        <v>45963</v>
      </c>
      <c r="D610" t="inlineStr">
        <is>
          <t>ÖSTERGÖTLANDS LÄN</t>
        </is>
      </c>
      <c r="E610" t="inlineStr">
        <is>
          <t>LINKÖPING</t>
        </is>
      </c>
      <c r="G610" t="n">
        <v>19.3</v>
      </c>
      <c r="H610" t="n">
        <v>0</v>
      </c>
      <c r="I610" t="n">
        <v>0</v>
      </c>
      <c r="J610" t="n">
        <v>0</v>
      </c>
      <c r="K610" t="n">
        <v>0</v>
      </c>
      <c r="L610" t="n">
        <v>0</v>
      </c>
      <c r="M610" t="n">
        <v>0</v>
      </c>
      <c r="N610" t="n">
        <v>0</v>
      </c>
      <c r="O610" t="n">
        <v>0</v>
      </c>
      <c r="P610" t="n">
        <v>0</v>
      </c>
      <c r="Q610" t="n">
        <v>0</v>
      </c>
      <c r="R610" s="2" t="inlineStr"/>
    </row>
    <row r="611" ht="15" customHeight="1">
      <c r="A611" t="inlineStr">
        <is>
          <t>A 43473-2024</t>
        </is>
      </c>
      <c r="B611" s="1" t="n">
        <v>45568</v>
      </c>
      <c r="C611" s="1" t="n">
        <v>45963</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43475-2024</t>
        </is>
      </c>
      <c r="B612" s="1" t="n">
        <v>45568</v>
      </c>
      <c r="C612" s="1" t="n">
        <v>45963</v>
      </c>
      <c r="D612" t="inlineStr">
        <is>
          <t>ÖSTERGÖTLANDS LÄN</t>
        </is>
      </c>
      <c r="E612" t="inlineStr">
        <is>
          <t>LINKÖPING</t>
        </is>
      </c>
      <c r="G612" t="n">
        <v>3.2</v>
      </c>
      <c r="H612" t="n">
        <v>0</v>
      </c>
      <c r="I612" t="n">
        <v>0</v>
      </c>
      <c r="J612" t="n">
        <v>0</v>
      </c>
      <c r="K612" t="n">
        <v>0</v>
      </c>
      <c r="L612" t="n">
        <v>0</v>
      </c>
      <c r="M612" t="n">
        <v>0</v>
      </c>
      <c r="N612" t="n">
        <v>0</v>
      </c>
      <c r="O612" t="n">
        <v>0</v>
      </c>
      <c r="P612" t="n">
        <v>0</v>
      </c>
      <c r="Q612" t="n">
        <v>0</v>
      </c>
      <c r="R612" s="2" t="inlineStr"/>
    </row>
    <row r="613" ht="15" customHeight="1">
      <c r="A613" t="inlineStr">
        <is>
          <t>A 1207-2023</t>
        </is>
      </c>
      <c r="B613" s="1" t="n">
        <v>44930</v>
      </c>
      <c r="C613" s="1" t="n">
        <v>45963</v>
      </c>
      <c r="D613" t="inlineStr">
        <is>
          <t>ÖSTERGÖTLANDS LÄN</t>
        </is>
      </c>
      <c r="E613" t="inlineStr">
        <is>
          <t>LINKÖPING</t>
        </is>
      </c>
      <c r="F613" t="inlineStr">
        <is>
          <t>Övriga statliga verk och myndigheter</t>
        </is>
      </c>
      <c r="G613" t="n">
        <v>32.8</v>
      </c>
      <c r="H613" t="n">
        <v>0</v>
      </c>
      <c r="I613" t="n">
        <v>0</v>
      </c>
      <c r="J613" t="n">
        <v>0</v>
      </c>
      <c r="K613" t="n">
        <v>0</v>
      </c>
      <c r="L613" t="n">
        <v>0</v>
      </c>
      <c r="M613" t="n">
        <v>0</v>
      </c>
      <c r="N613" t="n">
        <v>0</v>
      </c>
      <c r="O613" t="n">
        <v>0</v>
      </c>
      <c r="P613" t="n">
        <v>0</v>
      </c>
      <c r="Q613" t="n">
        <v>0</v>
      </c>
      <c r="R613" s="2" t="inlineStr"/>
    </row>
    <row r="614" ht="15" customHeight="1">
      <c r="A614" t="inlineStr">
        <is>
          <t>A 29859-2024</t>
        </is>
      </c>
      <c r="B614" s="1" t="n">
        <v>45485.6846412037</v>
      </c>
      <c r="C614" s="1" t="n">
        <v>45963</v>
      </c>
      <c r="D614" t="inlineStr">
        <is>
          <t>ÖSTERGÖTLANDS LÄN</t>
        </is>
      </c>
      <c r="E614" t="inlineStr">
        <is>
          <t>LINKÖPING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45819-2024</t>
        </is>
      </c>
      <c r="B615" s="1" t="n">
        <v>45579.7454050926</v>
      </c>
      <c r="C615" s="1" t="n">
        <v>45963</v>
      </c>
      <c r="D615" t="inlineStr">
        <is>
          <t>ÖSTERGÖTLANDS LÄN</t>
        </is>
      </c>
      <c r="E615" t="inlineStr">
        <is>
          <t>LINKÖPING</t>
        </is>
      </c>
      <c r="G615" t="n">
        <v>5</v>
      </c>
      <c r="H615" t="n">
        <v>0</v>
      </c>
      <c r="I615" t="n">
        <v>0</v>
      </c>
      <c r="J615" t="n">
        <v>0</v>
      </c>
      <c r="K615" t="n">
        <v>0</v>
      </c>
      <c r="L615" t="n">
        <v>0</v>
      </c>
      <c r="M615" t="n">
        <v>0</v>
      </c>
      <c r="N615" t="n">
        <v>0</v>
      </c>
      <c r="O615" t="n">
        <v>0</v>
      </c>
      <c r="P615" t="n">
        <v>0</v>
      </c>
      <c r="Q615" t="n">
        <v>0</v>
      </c>
      <c r="R615" s="2" t="inlineStr"/>
    </row>
    <row r="616" ht="15" customHeight="1">
      <c r="A616" t="inlineStr">
        <is>
          <t>A 15748-2025</t>
        </is>
      </c>
      <c r="B616" s="1" t="n">
        <v>45748.55282407408</v>
      </c>
      <c r="C616" s="1" t="n">
        <v>45963</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15754-2025</t>
        </is>
      </c>
      <c r="B617" s="1" t="n">
        <v>45748.56105324074</v>
      </c>
      <c r="C617" s="1" t="n">
        <v>45963</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47606-2025</t>
        </is>
      </c>
      <c r="B618" s="1" t="n">
        <v>45931.46402777778</v>
      </c>
      <c r="C618" s="1" t="n">
        <v>45963</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30518-2024</t>
        </is>
      </c>
      <c r="B619" s="1" t="n">
        <v>45492</v>
      </c>
      <c r="C619" s="1" t="n">
        <v>45963</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53797-2023</t>
        </is>
      </c>
      <c r="B620" s="1" t="n">
        <v>45230</v>
      </c>
      <c r="C620" s="1" t="n">
        <v>45963</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47233-2025</t>
        </is>
      </c>
      <c r="B621" s="1" t="n">
        <v>45930.40612268518</v>
      </c>
      <c r="C621" s="1" t="n">
        <v>45963</v>
      </c>
      <c r="D621" t="inlineStr">
        <is>
          <t>ÖSTERGÖTLANDS LÄN</t>
        </is>
      </c>
      <c r="E621" t="inlineStr">
        <is>
          <t>LINKÖPING</t>
        </is>
      </c>
      <c r="G621" t="n">
        <v>4.3</v>
      </c>
      <c r="H621" t="n">
        <v>0</v>
      </c>
      <c r="I621" t="n">
        <v>0</v>
      </c>
      <c r="J621" t="n">
        <v>0</v>
      </c>
      <c r="K621" t="n">
        <v>0</v>
      </c>
      <c r="L621" t="n">
        <v>0</v>
      </c>
      <c r="M621" t="n">
        <v>0</v>
      </c>
      <c r="N621" t="n">
        <v>0</v>
      </c>
      <c r="O621" t="n">
        <v>0</v>
      </c>
      <c r="P621" t="n">
        <v>0</v>
      </c>
      <c r="Q621" t="n">
        <v>0</v>
      </c>
      <c r="R621" s="2" t="inlineStr"/>
    </row>
    <row r="622" ht="15" customHeight="1">
      <c r="A622" t="inlineStr">
        <is>
          <t>A 39438-2025</t>
        </is>
      </c>
      <c r="B622" s="1" t="n">
        <v>45889.68641203704</v>
      </c>
      <c r="C622" s="1" t="n">
        <v>45963</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47304-2025</t>
        </is>
      </c>
      <c r="B623" s="1" t="n">
        <v>45930.52037037037</v>
      </c>
      <c r="C623" s="1" t="n">
        <v>45963</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55345-2021</t>
        </is>
      </c>
      <c r="B624" s="1" t="n">
        <v>44475</v>
      </c>
      <c r="C624" s="1" t="n">
        <v>45963</v>
      </c>
      <c r="D624" t="inlineStr">
        <is>
          <t>ÖSTERGÖTLANDS LÄN</t>
        </is>
      </c>
      <c r="E624" t="inlineStr">
        <is>
          <t>LINKÖPING</t>
        </is>
      </c>
      <c r="G624" t="n">
        <v>5.7</v>
      </c>
      <c r="H624" t="n">
        <v>0</v>
      </c>
      <c r="I624" t="n">
        <v>0</v>
      </c>
      <c r="J624" t="n">
        <v>0</v>
      </c>
      <c r="K624" t="n">
        <v>0</v>
      </c>
      <c r="L624" t="n">
        <v>0</v>
      </c>
      <c r="M624" t="n">
        <v>0</v>
      </c>
      <c r="N624" t="n">
        <v>0</v>
      </c>
      <c r="O624" t="n">
        <v>0</v>
      </c>
      <c r="P624" t="n">
        <v>0</v>
      </c>
      <c r="Q624" t="n">
        <v>0</v>
      </c>
      <c r="R624" s="2" t="inlineStr"/>
    </row>
    <row r="625" ht="15" customHeight="1">
      <c r="A625" t="inlineStr">
        <is>
          <t>A 59954-2020</t>
        </is>
      </c>
      <c r="B625" s="1" t="n">
        <v>44151</v>
      </c>
      <c r="C625" s="1" t="n">
        <v>45963</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59969-2020</t>
        </is>
      </c>
      <c r="B626" s="1" t="n">
        <v>44151</v>
      </c>
      <c r="C626" s="1" t="n">
        <v>45963</v>
      </c>
      <c r="D626" t="inlineStr">
        <is>
          <t>ÖSTERGÖTLANDS LÄN</t>
        </is>
      </c>
      <c r="E626" t="inlineStr">
        <is>
          <t>LINKÖPING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27264-2025</t>
        </is>
      </c>
      <c r="B627" s="1" t="n">
        <v>45812.4794212963</v>
      </c>
      <c r="C627" s="1" t="n">
        <v>45963</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10198-2023</t>
        </is>
      </c>
      <c r="B628" s="1" t="n">
        <v>44986.54665509259</v>
      </c>
      <c r="C628" s="1" t="n">
        <v>45963</v>
      </c>
      <c r="D628" t="inlineStr">
        <is>
          <t>ÖSTERGÖTLANDS LÄN</t>
        </is>
      </c>
      <c r="E628" t="inlineStr">
        <is>
          <t>LINKÖPING</t>
        </is>
      </c>
      <c r="G628" t="n">
        <v>4.6</v>
      </c>
      <c r="H628" t="n">
        <v>0</v>
      </c>
      <c r="I628" t="n">
        <v>0</v>
      </c>
      <c r="J628" t="n">
        <v>0</v>
      </c>
      <c r="K628" t="n">
        <v>0</v>
      </c>
      <c r="L628" t="n">
        <v>0</v>
      </c>
      <c r="M628" t="n">
        <v>0</v>
      </c>
      <c r="N628" t="n">
        <v>0</v>
      </c>
      <c r="O628" t="n">
        <v>0</v>
      </c>
      <c r="P628" t="n">
        <v>0</v>
      </c>
      <c r="Q628" t="n">
        <v>0</v>
      </c>
      <c r="R628" s="2" t="inlineStr"/>
    </row>
    <row r="629" ht="15" customHeight="1">
      <c r="A629" t="inlineStr">
        <is>
          <t>A 4298-2023</t>
        </is>
      </c>
      <c r="B629" s="1" t="n">
        <v>44953</v>
      </c>
      <c r="C629" s="1" t="n">
        <v>45963</v>
      </c>
      <c r="D629" t="inlineStr">
        <is>
          <t>ÖSTERGÖTLANDS LÄN</t>
        </is>
      </c>
      <c r="E629" t="inlineStr">
        <is>
          <t>LINKÖPING</t>
        </is>
      </c>
      <c r="G629" t="n">
        <v>2.8</v>
      </c>
      <c r="H629" t="n">
        <v>0</v>
      </c>
      <c r="I629" t="n">
        <v>0</v>
      </c>
      <c r="J629" t="n">
        <v>0</v>
      </c>
      <c r="K629" t="n">
        <v>0</v>
      </c>
      <c r="L629" t="n">
        <v>0</v>
      </c>
      <c r="M629" t="n">
        <v>0</v>
      </c>
      <c r="N629" t="n">
        <v>0</v>
      </c>
      <c r="O629" t="n">
        <v>0</v>
      </c>
      <c r="P629" t="n">
        <v>0</v>
      </c>
      <c r="Q629" t="n">
        <v>0</v>
      </c>
      <c r="R629" s="2" t="inlineStr"/>
    </row>
    <row r="630" ht="15" customHeight="1">
      <c r="A630" t="inlineStr">
        <is>
          <t>A 37057-2025</t>
        </is>
      </c>
      <c r="B630" s="1" t="n">
        <v>45875.37489583333</v>
      </c>
      <c r="C630" s="1" t="n">
        <v>45963</v>
      </c>
      <c r="D630" t="inlineStr">
        <is>
          <t>ÖSTERGÖTLANDS LÄN</t>
        </is>
      </c>
      <c r="E630" t="inlineStr">
        <is>
          <t>LINKÖPING</t>
        </is>
      </c>
      <c r="G630" t="n">
        <v>3.3</v>
      </c>
      <c r="H630" t="n">
        <v>0</v>
      </c>
      <c r="I630" t="n">
        <v>0</v>
      </c>
      <c r="J630" t="n">
        <v>0</v>
      </c>
      <c r="K630" t="n">
        <v>0</v>
      </c>
      <c r="L630" t="n">
        <v>0</v>
      </c>
      <c r="M630" t="n">
        <v>0</v>
      </c>
      <c r="N630" t="n">
        <v>0</v>
      </c>
      <c r="O630" t="n">
        <v>0</v>
      </c>
      <c r="P630" t="n">
        <v>0</v>
      </c>
      <c r="Q630" t="n">
        <v>0</v>
      </c>
      <c r="R630" s="2" t="inlineStr"/>
    </row>
    <row r="631" ht="15" customHeight="1">
      <c r="A631" t="inlineStr">
        <is>
          <t>A 12428-2024</t>
        </is>
      </c>
      <c r="B631" s="1" t="n">
        <v>45379</v>
      </c>
      <c r="C631" s="1" t="n">
        <v>45963</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26618-2023</t>
        </is>
      </c>
      <c r="B632" s="1" t="n">
        <v>45092.70306712963</v>
      </c>
      <c r="C632" s="1" t="n">
        <v>45963</v>
      </c>
      <c r="D632" t="inlineStr">
        <is>
          <t>ÖSTERGÖTLANDS LÄN</t>
        </is>
      </c>
      <c r="E632" t="inlineStr">
        <is>
          <t>LINKÖPING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39074-2025</t>
        </is>
      </c>
      <c r="B633" s="1" t="n">
        <v>45888</v>
      </c>
      <c r="C633" s="1" t="n">
        <v>45963</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34930-2023</t>
        </is>
      </c>
      <c r="B634" s="1" t="n">
        <v>45142</v>
      </c>
      <c r="C634" s="1" t="n">
        <v>45963</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72567-2021</t>
        </is>
      </c>
      <c r="B635" s="1" t="n">
        <v>44546.45023148148</v>
      </c>
      <c r="C635" s="1" t="n">
        <v>45963</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670-2024</t>
        </is>
      </c>
      <c r="B636" s="1" t="n">
        <v>45300.3408912037</v>
      </c>
      <c r="C636" s="1" t="n">
        <v>45963</v>
      </c>
      <c r="D636" t="inlineStr">
        <is>
          <t>ÖSTERGÖTLANDS LÄN</t>
        </is>
      </c>
      <c r="E636" t="inlineStr">
        <is>
          <t>LINKÖPING</t>
        </is>
      </c>
      <c r="F636" t="inlineStr">
        <is>
          <t>Sveaskog</t>
        </is>
      </c>
      <c r="G636" t="n">
        <v>2.3</v>
      </c>
      <c r="H636" t="n">
        <v>0</v>
      </c>
      <c r="I636" t="n">
        <v>0</v>
      </c>
      <c r="J636" t="n">
        <v>0</v>
      </c>
      <c r="K636" t="n">
        <v>0</v>
      </c>
      <c r="L636" t="n">
        <v>0</v>
      </c>
      <c r="M636" t="n">
        <v>0</v>
      </c>
      <c r="N636" t="n">
        <v>0</v>
      </c>
      <c r="O636" t="n">
        <v>0</v>
      </c>
      <c r="P636" t="n">
        <v>0</v>
      </c>
      <c r="Q636" t="n">
        <v>0</v>
      </c>
      <c r="R636" s="2" t="inlineStr"/>
    </row>
    <row r="637" ht="15" customHeight="1">
      <c r="A637" t="inlineStr">
        <is>
          <t>A 63845-2021</t>
        </is>
      </c>
      <c r="B637" s="1" t="n">
        <v>44509</v>
      </c>
      <c r="C637" s="1" t="n">
        <v>45963</v>
      </c>
      <c r="D637" t="inlineStr">
        <is>
          <t>ÖSTERGÖTLANDS LÄN</t>
        </is>
      </c>
      <c r="E637" t="inlineStr">
        <is>
          <t>LINKÖPING</t>
        </is>
      </c>
      <c r="G637" t="n">
        <v>5</v>
      </c>
      <c r="H637" t="n">
        <v>0</v>
      </c>
      <c r="I637" t="n">
        <v>0</v>
      </c>
      <c r="J637" t="n">
        <v>0</v>
      </c>
      <c r="K637" t="n">
        <v>0</v>
      </c>
      <c r="L637" t="n">
        <v>0</v>
      </c>
      <c r="M637" t="n">
        <v>0</v>
      </c>
      <c r="N637" t="n">
        <v>0</v>
      </c>
      <c r="O637" t="n">
        <v>0</v>
      </c>
      <c r="P637" t="n">
        <v>0</v>
      </c>
      <c r="Q637" t="n">
        <v>0</v>
      </c>
      <c r="R637" s="2" t="inlineStr"/>
    </row>
    <row r="638" ht="15" customHeight="1">
      <c r="A638" t="inlineStr">
        <is>
          <t>A 54034-2022</t>
        </is>
      </c>
      <c r="B638" s="1" t="n">
        <v>44881</v>
      </c>
      <c r="C638" s="1" t="n">
        <v>45963</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36336-2023</t>
        </is>
      </c>
      <c r="B639" s="1" t="n">
        <v>45152.45078703704</v>
      </c>
      <c r="C639" s="1" t="n">
        <v>45963</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48829-2023</t>
        </is>
      </c>
      <c r="B640" s="1" t="n">
        <v>45209.38177083333</v>
      </c>
      <c r="C640" s="1" t="n">
        <v>45963</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48343-2025</t>
        </is>
      </c>
      <c r="B641" s="1" t="n">
        <v>45932</v>
      </c>
      <c r="C641" s="1" t="n">
        <v>45963</v>
      </c>
      <c r="D641" t="inlineStr">
        <is>
          <t>ÖSTERGÖTLANDS LÄN</t>
        </is>
      </c>
      <c r="E641" t="inlineStr">
        <is>
          <t>LINKÖPING</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45792-2025</t>
        </is>
      </c>
      <c r="B642" s="1" t="n">
        <v>45923.56998842592</v>
      </c>
      <c r="C642" s="1" t="n">
        <v>45963</v>
      </c>
      <c r="D642" t="inlineStr">
        <is>
          <t>ÖSTERGÖTLANDS LÄN</t>
        </is>
      </c>
      <c r="E642" t="inlineStr">
        <is>
          <t>LINKÖPING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48266-2025</t>
        </is>
      </c>
      <c r="B643" s="1" t="n">
        <v>45932</v>
      </c>
      <c r="C643" s="1" t="n">
        <v>45963</v>
      </c>
      <c r="D643" t="inlineStr">
        <is>
          <t>ÖSTERGÖTLANDS LÄN</t>
        </is>
      </c>
      <c r="E643" t="inlineStr">
        <is>
          <t>LINKÖPING</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45634-2025</t>
        </is>
      </c>
      <c r="B644" s="1" t="n">
        <v>45922.85089120371</v>
      </c>
      <c r="C644" s="1" t="n">
        <v>45963</v>
      </c>
      <c r="D644" t="inlineStr">
        <is>
          <t>ÖSTERGÖTLANDS LÄN</t>
        </is>
      </c>
      <c r="E644" t="inlineStr">
        <is>
          <t>LINKÖPING</t>
        </is>
      </c>
      <c r="F644" t="inlineStr">
        <is>
          <t>Övriga Aktiebolag</t>
        </is>
      </c>
      <c r="G644" t="n">
        <v>0.3</v>
      </c>
      <c r="H644" t="n">
        <v>0</v>
      </c>
      <c r="I644" t="n">
        <v>0</v>
      </c>
      <c r="J644" t="n">
        <v>0</v>
      </c>
      <c r="K644" t="n">
        <v>0</v>
      </c>
      <c r="L644" t="n">
        <v>0</v>
      </c>
      <c r="M644" t="n">
        <v>0</v>
      </c>
      <c r="N644" t="n">
        <v>0</v>
      </c>
      <c r="O644" t="n">
        <v>0</v>
      </c>
      <c r="P644" t="n">
        <v>0</v>
      </c>
      <c r="Q644" t="n">
        <v>0</v>
      </c>
      <c r="R644" s="2" t="inlineStr"/>
    </row>
    <row r="645" ht="15" customHeight="1">
      <c r="A645" t="inlineStr">
        <is>
          <t>A 48254-2025</t>
        </is>
      </c>
      <c r="B645" s="1" t="n">
        <v>45932</v>
      </c>
      <c r="C645" s="1" t="n">
        <v>45963</v>
      </c>
      <c r="D645" t="inlineStr">
        <is>
          <t>ÖSTERGÖTLANDS LÄN</t>
        </is>
      </c>
      <c r="E645" t="inlineStr">
        <is>
          <t>LINKÖPING</t>
        </is>
      </c>
      <c r="F645" t="inlineStr">
        <is>
          <t>Övriga Aktiebolag</t>
        </is>
      </c>
      <c r="G645" t="n">
        <v>0.8</v>
      </c>
      <c r="H645" t="n">
        <v>0</v>
      </c>
      <c r="I645" t="n">
        <v>0</v>
      </c>
      <c r="J645" t="n">
        <v>0</v>
      </c>
      <c r="K645" t="n">
        <v>0</v>
      </c>
      <c r="L645" t="n">
        <v>0</v>
      </c>
      <c r="M645" t="n">
        <v>0</v>
      </c>
      <c r="N645" t="n">
        <v>0</v>
      </c>
      <c r="O645" t="n">
        <v>0</v>
      </c>
      <c r="P645" t="n">
        <v>0</v>
      </c>
      <c r="Q645" t="n">
        <v>0</v>
      </c>
      <c r="R645" s="2" t="inlineStr"/>
    </row>
    <row r="646" ht="15" customHeight="1">
      <c r="A646" t="inlineStr">
        <is>
          <t>A 25829-2025</t>
        </is>
      </c>
      <c r="B646" s="1" t="n">
        <v>45804.44505787037</v>
      </c>
      <c r="C646" s="1" t="n">
        <v>45963</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48186-2022</t>
        </is>
      </c>
      <c r="B647" s="1" t="n">
        <v>44858</v>
      </c>
      <c r="C647" s="1" t="n">
        <v>45963</v>
      </c>
      <c r="D647" t="inlineStr">
        <is>
          <t>ÖSTERGÖTLANDS LÄN</t>
        </is>
      </c>
      <c r="E647" t="inlineStr">
        <is>
          <t>LINKÖPING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38046-2025</t>
        </is>
      </c>
      <c r="B648" s="1" t="n">
        <v>45882.39939814815</v>
      </c>
      <c r="C648" s="1" t="n">
        <v>45963</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40169-2025</t>
        </is>
      </c>
      <c r="B649" s="1" t="n">
        <v>45894.62824074074</v>
      </c>
      <c r="C649" s="1" t="n">
        <v>45963</v>
      </c>
      <c r="D649" t="inlineStr">
        <is>
          <t>ÖSTERGÖTLANDS LÄN</t>
        </is>
      </c>
      <c r="E649" t="inlineStr">
        <is>
          <t>LINKÖPING</t>
        </is>
      </c>
      <c r="G649" t="n">
        <v>2.8</v>
      </c>
      <c r="H649" t="n">
        <v>0</v>
      </c>
      <c r="I649" t="n">
        <v>0</v>
      </c>
      <c r="J649" t="n">
        <v>0</v>
      </c>
      <c r="K649" t="n">
        <v>0</v>
      </c>
      <c r="L649" t="n">
        <v>0</v>
      </c>
      <c r="M649" t="n">
        <v>0</v>
      </c>
      <c r="N649" t="n">
        <v>0</v>
      </c>
      <c r="O649" t="n">
        <v>0</v>
      </c>
      <c r="P649" t="n">
        <v>0</v>
      </c>
      <c r="Q649" t="n">
        <v>0</v>
      </c>
      <c r="R649" s="2" t="inlineStr"/>
    </row>
    <row r="650" ht="15" customHeight="1">
      <c r="A650" t="inlineStr">
        <is>
          <t>A 63669-2023</t>
        </is>
      </c>
      <c r="B650" s="1" t="n">
        <v>45275</v>
      </c>
      <c r="C650" s="1" t="n">
        <v>45963</v>
      </c>
      <c r="D650" t="inlineStr">
        <is>
          <t>ÖSTERGÖTLANDS LÄN</t>
        </is>
      </c>
      <c r="E650" t="inlineStr">
        <is>
          <t>LINKÖPING</t>
        </is>
      </c>
      <c r="F650" t="inlineStr">
        <is>
          <t>Övriga Aktiebolag</t>
        </is>
      </c>
      <c r="G650" t="n">
        <v>3</v>
      </c>
      <c r="H650" t="n">
        <v>0</v>
      </c>
      <c r="I650" t="n">
        <v>0</v>
      </c>
      <c r="J650" t="n">
        <v>0</v>
      </c>
      <c r="K650" t="n">
        <v>0</v>
      </c>
      <c r="L650" t="n">
        <v>0</v>
      </c>
      <c r="M650" t="n">
        <v>0</v>
      </c>
      <c r="N650" t="n">
        <v>0</v>
      </c>
      <c r="O650" t="n">
        <v>0</v>
      </c>
      <c r="P650" t="n">
        <v>0</v>
      </c>
      <c r="Q650" t="n">
        <v>0</v>
      </c>
      <c r="R650" s="2" t="inlineStr"/>
    </row>
    <row r="651" ht="15" customHeight="1">
      <c r="A651" t="inlineStr">
        <is>
          <t>A 24586-2024</t>
        </is>
      </c>
      <c r="B651" s="1" t="n">
        <v>45460.46664351852</v>
      </c>
      <c r="C651" s="1" t="n">
        <v>45963</v>
      </c>
      <c r="D651" t="inlineStr">
        <is>
          <t>ÖSTERGÖTLANDS LÄN</t>
        </is>
      </c>
      <c r="E651" t="inlineStr">
        <is>
          <t>LINKÖPING</t>
        </is>
      </c>
      <c r="G651" t="n">
        <v>4</v>
      </c>
      <c r="H651" t="n">
        <v>0</v>
      </c>
      <c r="I651" t="n">
        <v>0</v>
      </c>
      <c r="J651" t="n">
        <v>0</v>
      </c>
      <c r="K651" t="n">
        <v>0</v>
      </c>
      <c r="L651" t="n">
        <v>0</v>
      </c>
      <c r="M651" t="n">
        <v>0</v>
      </c>
      <c r="N651" t="n">
        <v>0</v>
      </c>
      <c r="O651" t="n">
        <v>0</v>
      </c>
      <c r="P651" t="n">
        <v>0</v>
      </c>
      <c r="Q651" t="n">
        <v>0</v>
      </c>
      <c r="R651" s="2" t="inlineStr"/>
    </row>
    <row r="652" ht="15" customHeight="1">
      <c r="A652" t="inlineStr">
        <is>
          <t>A 59576-2024</t>
        </is>
      </c>
      <c r="B652" s="1" t="n">
        <v>45638.66378472222</v>
      </c>
      <c r="C652" s="1" t="n">
        <v>45963</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59642-2024</t>
        </is>
      </c>
      <c r="B653" s="1" t="n">
        <v>45639.31511574074</v>
      </c>
      <c r="C653" s="1" t="n">
        <v>45963</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59674-2024</t>
        </is>
      </c>
      <c r="B654" s="1" t="n">
        <v>45639</v>
      </c>
      <c r="C654" s="1" t="n">
        <v>45963</v>
      </c>
      <c r="D654" t="inlineStr">
        <is>
          <t>ÖSTERGÖTLANDS LÄN</t>
        </is>
      </c>
      <c r="E654" t="inlineStr">
        <is>
          <t>LINKÖPING</t>
        </is>
      </c>
      <c r="G654" t="n">
        <v>6.3</v>
      </c>
      <c r="H654" t="n">
        <v>0</v>
      </c>
      <c r="I654" t="n">
        <v>0</v>
      </c>
      <c r="J654" t="n">
        <v>0</v>
      </c>
      <c r="K654" t="n">
        <v>0</v>
      </c>
      <c r="L654" t="n">
        <v>0</v>
      </c>
      <c r="M654" t="n">
        <v>0</v>
      </c>
      <c r="N654" t="n">
        <v>0</v>
      </c>
      <c r="O654" t="n">
        <v>0</v>
      </c>
      <c r="P654" t="n">
        <v>0</v>
      </c>
      <c r="Q654" t="n">
        <v>0</v>
      </c>
      <c r="R654" s="2" t="inlineStr"/>
    </row>
    <row r="655" ht="15" customHeight="1">
      <c r="A655" t="inlineStr">
        <is>
          <t>A 3742-2021</t>
        </is>
      </c>
      <c r="B655" s="1" t="n">
        <v>44221</v>
      </c>
      <c r="C655" s="1" t="n">
        <v>45963</v>
      </c>
      <c r="D655" t="inlineStr">
        <is>
          <t>ÖSTERGÖTLANDS LÄN</t>
        </is>
      </c>
      <c r="E655" t="inlineStr">
        <is>
          <t>LINKÖPING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18916-2024</t>
        </is>
      </c>
      <c r="B656" s="1" t="n">
        <v>45427.39541666667</v>
      </c>
      <c r="C656" s="1" t="n">
        <v>45963</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46426-2025</t>
        </is>
      </c>
      <c r="B657" s="1" t="n">
        <v>45925.6012962963</v>
      </c>
      <c r="C657" s="1" t="n">
        <v>45963</v>
      </c>
      <c r="D657" t="inlineStr">
        <is>
          <t>ÖSTERGÖTLANDS LÄN</t>
        </is>
      </c>
      <c r="E657" t="inlineStr">
        <is>
          <t>LINKÖPING</t>
        </is>
      </c>
      <c r="G657" t="n">
        <v>4.4</v>
      </c>
      <c r="H657" t="n">
        <v>0</v>
      </c>
      <c r="I657" t="n">
        <v>0</v>
      </c>
      <c r="J657" t="n">
        <v>0</v>
      </c>
      <c r="K657" t="n">
        <v>0</v>
      </c>
      <c r="L657" t="n">
        <v>0</v>
      </c>
      <c r="M657" t="n">
        <v>0</v>
      </c>
      <c r="N657" t="n">
        <v>0</v>
      </c>
      <c r="O657" t="n">
        <v>0</v>
      </c>
      <c r="P657" t="n">
        <v>0</v>
      </c>
      <c r="Q657" t="n">
        <v>0</v>
      </c>
      <c r="R657" s="2" t="inlineStr"/>
    </row>
    <row r="658" ht="15" customHeight="1">
      <c r="A658" t="inlineStr">
        <is>
          <t>A 46377-2025</t>
        </is>
      </c>
      <c r="B658" s="1" t="n">
        <v>45925.51773148148</v>
      </c>
      <c r="C658" s="1" t="n">
        <v>45963</v>
      </c>
      <c r="D658" t="inlineStr">
        <is>
          <t>ÖSTERGÖTLANDS LÄN</t>
        </is>
      </c>
      <c r="E658" t="inlineStr">
        <is>
          <t>LINKÖPING</t>
        </is>
      </c>
      <c r="G658" t="n">
        <v>3.1</v>
      </c>
      <c r="H658" t="n">
        <v>0</v>
      </c>
      <c r="I658" t="n">
        <v>0</v>
      </c>
      <c r="J658" t="n">
        <v>0</v>
      </c>
      <c r="K658" t="n">
        <v>0</v>
      </c>
      <c r="L658" t="n">
        <v>0</v>
      </c>
      <c r="M658" t="n">
        <v>0</v>
      </c>
      <c r="N658" t="n">
        <v>0</v>
      </c>
      <c r="O658" t="n">
        <v>0</v>
      </c>
      <c r="P658" t="n">
        <v>0</v>
      </c>
      <c r="Q658" t="n">
        <v>0</v>
      </c>
      <c r="R658" s="2" t="inlineStr"/>
    </row>
    <row r="659" ht="15" customHeight="1">
      <c r="A659" t="inlineStr">
        <is>
          <t>A 46428-2025</t>
        </is>
      </c>
      <c r="B659" s="1" t="n">
        <v>45925.60758101852</v>
      </c>
      <c r="C659" s="1" t="n">
        <v>45963</v>
      </c>
      <c r="D659" t="inlineStr">
        <is>
          <t>ÖSTERGÖTLANDS LÄN</t>
        </is>
      </c>
      <c r="E659" t="inlineStr">
        <is>
          <t>LINKÖPING</t>
        </is>
      </c>
      <c r="G659" t="n">
        <v>3</v>
      </c>
      <c r="H659" t="n">
        <v>0</v>
      </c>
      <c r="I659" t="n">
        <v>0</v>
      </c>
      <c r="J659" t="n">
        <v>0</v>
      </c>
      <c r="K659" t="n">
        <v>0</v>
      </c>
      <c r="L659" t="n">
        <v>0</v>
      </c>
      <c r="M659" t="n">
        <v>0</v>
      </c>
      <c r="N659" t="n">
        <v>0</v>
      </c>
      <c r="O659" t="n">
        <v>0</v>
      </c>
      <c r="P659" t="n">
        <v>0</v>
      </c>
      <c r="Q659" t="n">
        <v>0</v>
      </c>
      <c r="R659" s="2" t="inlineStr"/>
    </row>
    <row r="660" ht="15" customHeight="1">
      <c r="A660" t="inlineStr">
        <is>
          <t>A 11084-2022</t>
        </is>
      </c>
      <c r="B660" s="1" t="n">
        <v>44628</v>
      </c>
      <c r="C660" s="1" t="n">
        <v>45963</v>
      </c>
      <c r="D660" t="inlineStr">
        <is>
          <t>ÖSTERGÖTLANDS LÄN</t>
        </is>
      </c>
      <c r="E660" t="inlineStr">
        <is>
          <t>LINKÖPING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46194-2025</t>
        </is>
      </c>
      <c r="B661" s="1" t="n">
        <v>45924.68075231482</v>
      </c>
      <c r="C661" s="1" t="n">
        <v>45963</v>
      </c>
      <c r="D661" t="inlineStr">
        <is>
          <t>ÖSTERGÖTLANDS LÄN</t>
        </is>
      </c>
      <c r="E661" t="inlineStr">
        <is>
          <t>LINKÖPING</t>
        </is>
      </c>
      <c r="G661" t="n">
        <v>2.5</v>
      </c>
      <c r="H661" t="n">
        <v>0</v>
      </c>
      <c r="I661" t="n">
        <v>0</v>
      </c>
      <c r="J661" t="n">
        <v>0</v>
      </c>
      <c r="K661" t="n">
        <v>0</v>
      </c>
      <c r="L661" t="n">
        <v>0</v>
      </c>
      <c r="M661" t="n">
        <v>0</v>
      </c>
      <c r="N661" t="n">
        <v>0</v>
      </c>
      <c r="O661" t="n">
        <v>0</v>
      </c>
      <c r="P661" t="n">
        <v>0</v>
      </c>
      <c r="Q661" t="n">
        <v>0</v>
      </c>
      <c r="R661" s="2" t="inlineStr"/>
    </row>
    <row r="662" ht="15" customHeight="1">
      <c r="A662" t="inlineStr">
        <is>
          <t>A 10203-2023</t>
        </is>
      </c>
      <c r="B662" s="1" t="n">
        <v>44986.55711805556</v>
      </c>
      <c r="C662" s="1" t="n">
        <v>45963</v>
      </c>
      <c r="D662" t="inlineStr">
        <is>
          <t>ÖSTERGÖTLANDS LÄN</t>
        </is>
      </c>
      <c r="E662" t="inlineStr">
        <is>
          <t>LINKÖPING</t>
        </is>
      </c>
      <c r="G662" t="n">
        <v>3.3</v>
      </c>
      <c r="H662" t="n">
        <v>0</v>
      </c>
      <c r="I662" t="n">
        <v>0</v>
      </c>
      <c r="J662" t="n">
        <v>0</v>
      </c>
      <c r="K662" t="n">
        <v>0</v>
      </c>
      <c r="L662" t="n">
        <v>0</v>
      </c>
      <c r="M662" t="n">
        <v>0</v>
      </c>
      <c r="N662" t="n">
        <v>0</v>
      </c>
      <c r="O662" t="n">
        <v>0</v>
      </c>
      <c r="P662" t="n">
        <v>0</v>
      </c>
      <c r="Q662" t="n">
        <v>0</v>
      </c>
      <c r="R662" s="2" t="inlineStr"/>
    </row>
    <row r="663" ht="15" customHeight="1">
      <c r="A663" t="inlineStr">
        <is>
          <t>A 49615-2025</t>
        </is>
      </c>
      <c r="B663" s="1" t="n">
        <v>45938</v>
      </c>
      <c r="C663" s="1" t="n">
        <v>45963</v>
      </c>
      <c r="D663" t="inlineStr">
        <is>
          <t>ÖSTERGÖTLANDS LÄN</t>
        </is>
      </c>
      <c r="E663" t="inlineStr">
        <is>
          <t>LINKÖPING</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49619-2025</t>
        </is>
      </c>
      <c r="B664" s="1" t="n">
        <v>45938</v>
      </c>
      <c r="C664" s="1" t="n">
        <v>45963</v>
      </c>
      <c r="D664" t="inlineStr">
        <is>
          <t>ÖSTERGÖTLANDS LÄN</t>
        </is>
      </c>
      <c r="E664" t="inlineStr">
        <is>
          <t>LINKÖPING</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49629-2025</t>
        </is>
      </c>
      <c r="B665" s="1" t="n">
        <v>45938</v>
      </c>
      <c r="C665" s="1" t="n">
        <v>45963</v>
      </c>
      <c r="D665" t="inlineStr">
        <is>
          <t>ÖSTERGÖTLANDS LÄN</t>
        </is>
      </c>
      <c r="E665" t="inlineStr">
        <is>
          <t>LINKÖPING</t>
        </is>
      </c>
      <c r="F665" t="inlineStr">
        <is>
          <t>Övriga Aktiebolag</t>
        </is>
      </c>
      <c r="G665" t="n">
        <v>4.5</v>
      </c>
      <c r="H665" t="n">
        <v>0</v>
      </c>
      <c r="I665" t="n">
        <v>0</v>
      </c>
      <c r="J665" t="n">
        <v>0</v>
      </c>
      <c r="K665" t="n">
        <v>0</v>
      </c>
      <c r="L665" t="n">
        <v>0</v>
      </c>
      <c r="M665" t="n">
        <v>0</v>
      </c>
      <c r="N665" t="n">
        <v>0</v>
      </c>
      <c r="O665" t="n">
        <v>0</v>
      </c>
      <c r="P665" t="n">
        <v>0</v>
      </c>
      <c r="Q665" t="n">
        <v>0</v>
      </c>
      <c r="R665" s="2" t="inlineStr"/>
    </row>
    <row r="666" ht="15" customHeight="1">
      <c r="A666" t="inlineStr">
        <is>
          <t>A 49633-2025</t>
        </is>
      </c>
      <c r="B666" s="1" t="n">
        <v>45938</v>
      </c>
      <c r="C666" s="1" t="n">
        <v>45963</v>
      </c>
      <c r="D666" t="inlineStr">
        <is>
          <t>ÖSTERGÖTLANDS LÄN</t>
        </is>
      </c>
      <c r="E666" t="inlineStr">
        <is>
          <t>LINKÖPING</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49455-2025</t>
        </is>
      </c>
      <c r="B667" s="1" t="n">
        <v>45938</v>
      </c>
      <c r="C667" s="1" t="n">
        <v>45963</v>
      </c>
      <c r="D667" t="inlineStr">
        <is>
          <t>ÖSTERGÖTLANDS LÄN</t>
        </is>
      </c>
      <c r="E667" t="inlineStr">
        <is>
          <t>LINKÖPING</t>
        </is>
      </c>
      <c r="F667" t="inlineStr">
        <is>
          <t>Övriga Aktiebolag</t>
        </is>
      </c>
      <c r="G667" t="n">
        <v>5.9</v>
      </c>
      <c r="H667" t="n">
        <v>0</v>
      </c>
      <c r="I667" t="n">
        <v>0</v>
      </c>
      <c r="J667" t="n">
        <v>0</v>
      </c>
      <c r="K667" t="n">
        <v>0</v>
      </c>
      <c r="L667" t="n">
        <v>0</v>
      </c>
      <c r="M667" t="n">
        <v>0</v>
      </c>
      <c r="N667" t="n">
        <v>0</v>
      </c>
      <c r="O667" t="n">
        <v>0</v>
      </c>
      <c r="P667" t="n">
        <v>0</v>
      </c>
      <c r="Q667" t="n">
        <v>0</v>
      </c>
      <c r="R667" s="2" t="inlineStr"/>
    </row>
    <row r="668" ht="15" customHeight="1">
      <c r="A668" t="inlineStr">
        <is>
          <t>A 2618-2023</t>
        </is>
      </c>
      <c r="B668" s="1" t="n">
        <v>44944.35847222222</v>
      </c>
      <c r="C668" s="1" t="n">
        <v>45963</v>
      </c>
      <c r="D668" t="inlineStr">
        <is>
          <t>ÖSTERGÖTLANDS LÄN</t>
        </is>
      </c>
      <c r="E668" t="inlineStr">
        <is>
          <t>LINKÖPING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49647-2025</t>
        </is>
      </c>
      <c r="B669" s="1" t="n">
        <v>45938</v>
      </c>
      <c r="C669" s="1" t="n">
        <v>45963</v>
      </c>
      <c r="D669" t="inlineStr">
        <is>
          <t>ÖSTERGÖTLANDS LÄN</t>
        </is>
      </c>
      <c r="E669" t="inlineStr">
        <is>
          <t>LINKÖPING</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49650-2025</t>
        </is>
      </c>
      <c r="B670" s="1" t="n">
        <v>45938</v>
      </c>
      <c r="C670" s="1" t="n">
        <v>45963</v>
      </c>
      <c r="D670" t="inlineStr">
        <is>
          <t>ÖSTERGÖTLANDS LÄN</t>
        </is>
      </c>
      <c r="E670" t="inlineStr">
        <is>
          <t>LINKÖPING</t>
        </is>
      </c>
      <c r="F670" t="inlineStr">
        <is>
          <t>Övriga Aktiebolag</t>
        </is>
      </c>
      <c r="G670" t="n">
        <v>1.5</v>
      </c>
      <c r="H670" t="n">
        <v>0</v>
      </c>
      <c r="I670" t="n">
        <v>0</v>
      </c>
      <c r="J670" t="n">
        <v>0</v>
      </c>
      <c r="K670" t="n">
        <v>0</v>
      </c>
      <c r="L670" t="n">
        <v>0</v>
      </c>
      <c r="M670" t="n">
        <v>0</v>
      </c>
      <c r="N670" t="n">
        <v>0</v>
      </c>
      <c r="O670" t="n">
        <v>0</v>
      </c>
      <c r="P670" t="n">
        <v>0</v>
      </c>
      <c r="Q670" t="n">
        <v>0</v>
      </c>
      <c r="R670" s="2" t="inlineStr"/>
    </row>
    <row r="671" ht="15" customHeight="1">
      <c r="A671" t="inlineStr">
        <is>
          <t>A 49652-2025</t>
        </is>
      </c>
      <c r="B671" s="1" t="n">
        <v>45938</v>
      </c>
      <c r="C671" s="1" t="n">
        <v>45963</v>
      </c>
      <c r="D671" t="inlineStr">
        <is>
          <t>ÖSTERGÖTLANDS LÄN</t>
        </is>
      </c>
      <c r="E671" t="inlineStr">
        <is>
          <t>LINKÖPING</t>
        </is>
      </c>
      <c r="F671" t="inlineStr">
        <is>
          <t>Övriga Aktiebolag</t>
        </is>
      </c>
      <c r="G671" t="n">
        <v>1.8</v>
      </c>
      <c r="H671" t="n">
        <v>0</v>
      </c>
      <c r="I671" t="n">
        <v>0</v>
      </c>
      <c r="J671" t="n">
        <v>0</v>
      </c>
      <c r="K671" t="n">
        <v>0</v>
      </c>
      <c r="L671" t="n">
        <v>0</v>
      </c>
      <c r="M671" t="n">
        <v>0</v>
      </c>
      <c r="N671" t="n">
        <v>0</v>
      </c>
      <c r="O671" t="n">
        <v>0</v>
      </c>
      <c r="P671" t="n">
        <v>0</v>
      </c>
      <c r="Q671" t="n">
        <v>0</v>
      </c>
      <c r="R671" s="2" t="inlineStr"/>
    </row>
    <row r="672" ht="15" customHeight="1">
      <c r="A672" t="inlineStr">
        <is>
          <t>A 49663-2025</t>
        </is>
      </c>
      <c r="B672" s="1" t="n">
        <v>45938</v>
      </c>
      <c r="C672" s="1" t="n">
        <v>45963</v>
      </c>
      <c r="D672" t="inlineStr">
        <is>
          <t>ÖSTERGÖTLANDS LÄN</t>
        </is>
      </c>
      <c r="E672" t="inlineStr">
        <is>
          <t>LINKÖPING</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49632-2025</t>
        </is>
      </c>
      <c r="B673" s="1" t="n">
        <v>45938</v>
      </c>
      <c r="C673" s="1" t="n">
        <v>45963</v>
      </c>
      <c r="D673" t="inlineStr">
        <is>
          <t>ÖSTERGÖTLANDS LÄN</t>
        </is>
      </c>
      <c r="E673" t="inlineStr">
        <is>
          <t>LINKÖPING</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49654-2025</t>
        </is>
      </c>
      <c r="B674" s="1" t="n">
        <v>45938</v>
      </c>
      <c r="C674" s="1" t="n">
        <v>45963</v>
      </c>
      <c r="D674" t="inlineStr">
        <is>
          <t>ÖSTERGÖTLANDS LÄN</t>
        </is>
      </c>
      <c r="E674" t="inlineStr">
        <is>
          <t>LINKÖPING</t>
        </is>
      </c>
      <c r="F674" t="inlineStr">
        <is>
          <t>Övriga Aktiebolag</t>
        </is>
      </c>
      <c r="G674" t="n">
        <v>3.1</v>
      </c>
      <c r="H674" t="n">
        <v>0</v>
      </c>
      <c r="I674" t="n">
        <v>0</v>
      </c>
      <c r="J674" t="n">
        <v>0</v>
      </c>
      <c r="K674" t="n">
        <v>0</v>
      </c>
      <c r="L674" t="n">
        <v>0</v>
      </c>
      <c r="M674" t="n">
        <v>0</v>
      </c>
      <c r="N674" t="n">
        <v>0</v>
      </c>
      <c r="O674" t="n">
        <v>0</v>
      </c>
      <c r="P674" t="n">
        <v>0</v>
      </c>
      <c r="Q674" t="n">
        <v>0</v>
      </c>
      <c r="R674" s="2" t="inlineStr"/>
    </row>
    <row r="675" ht="15" customHeight="1">
      <c r="A675" t="inlineStr">
        <is>
          <t>A 49605-2025</t>
        </is>
      </c>
      <c r="B675" s="1" t="n">
        <v>45938</v>
      </c>
      <c r="C675" s="1" t="n">
        <v>45963</v>
      </c>
      <c r="D675" t="inlineStr">
        <is>
          <t>ÖSTERGÖTLANDS LÄN</t>
        </is>
      </c>
      <c r="E675" t="inlineStr">
        <is>
          <t>LINKÖPING</t>
        </is>
      </c>
      <c r="F675" t="inlineStr">
        <is>
          <t>Övriga Aktiebolag</t>
        </is>
      </c>
      <c r="G675" t="n">
        <v>3.3</v>
      </c>
      <c r="H675" t="n">
        <v>0</v>
      </c>
      <c r="I675" t="n">
        <v>0</v>
      </c>
      <c r="J675" t="n">
        <v>0</v>
      </c>
      <c r="K675" t="n">
        <v>0</v>
      </c>
      <c r="L675" t="n">
        <v>0</v>
      </c>
      <c r="M675" t="n">
        <v>0</v>
      </c>
      <c r="N675" t="n">
        <v>0</v>
      </c>
      <c r="O675" t="n">
        <v>0</v>
      </c>
      <c r="P675" t="n">
        <v>0</v>
      </c>
      <c r="Q675" t="n">
        <v>0</v>
      </c>
      <c r="R675" s="2" t="inlineStr"/>
    </row>
    <row r="676" ht="15" customHeight="1">
      <c r="A676" t="inlineStr">
        <is>
          <t>A 62020-2024</t>
        </is>
      </c>
      <c r="B676" s="1" t="n">
        <v>45655.83563657408</v>
      </c>
      <c r="C676" s="1" t="n">
        <v>45963</v>
      </c>
      <c r="D676" t="inlineStr">
        <is>
          <t>ÖSTERGÖTLANDS LÄN</t>
        </is>
      </c>
      <c r="E676" t="inlineStr">
        <is>
          <t>LINKÖPING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62021-2024</t>
        </is>
      </c>
      <c r="B677" s="1" t="n">
        <v>45655.84232638889</v>
      </c>
      <c r="C677" s="1" t="n">
        <v>45963</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39457-2023</t>
        </is>
      </c>
      <c r="B678" s="1" t="n">
        <v>45166</v>
      </c>
      <c r="C678" s="1" t="n">
        <v>45963</v>
      </c>
      <c r="D678" t="inlineStr">
        <is>
          <t>ÖSTERGÖTLANDS LÄN</t>
        </is>
      </c>
      <c r="E678" t="inlineStr">
        <is>
          <t>LINKÖPING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45963</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40983-2025</t>
        </is>
      </c>
      <c r="B680" s="1" t="n">
        <v>45898</v>
      </c>
      <c r="C680" s="1" t="n">
        <v>45963</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49928-2024</t>
        </is>
      </c>
      <c r="B681" s="1" t="n">
        <v>45597.57811342592</v>
      </c>
      <c r="C681" s="1" t="n">
        <v>45963</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3627-2023</t>
        </is>
      </c>
      <c r="B682" s="1" t="n">
        <v>44950.64782407408</v>
      </c>
      <c r="C682" s="1" t="n">
        <v>45963</v>
      </c>
      <c r="D682" t="inlineStr">
        <is>
          <t>ÖSTERGÖTLANDS LÄN</t>
        </is>
      </c>
      <c r="E682" t="inlineStr">
        <is>
          <t>LINKÖPING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51405-2023</t>
        </is>
      </c>
      <c r="B683" s="1" t="n">
        <v>45219</v>
      </c>
      <c r="C683" s="1" t="n">
        <v>45963</v>
      </c>
      <c r="D683" t="inlineStr">
        <is>
          <t>ÖSTERGÖTLANDS LÄN</t>
        </is>
      </c>
      <c r="E683" t="inlineStr">
        <is>
          <t>LINKÖPING</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11601-2023</t>
        </is>
      </c>
      <c r="B684" s="1" t="n">
        <v>44994</v>
      </c>
      <c r="C684" s="1" t="n">
        <v>45963</v>
      </c>
      <c r="D684" t="inlineStr">
        <is>
          <t>ÖSTERGÖTLANDS LÄN</t>
        </is>
      </c>
      <c r="E684" t="inlineStr">
        <is>
          <t>LINKÖPING</t>
        </is>
      </c>
      <c r="G684" t="n">
        <v>1.7</v>
      </c>
      <c r="H684" t="n">
        <v>0</v>
      </c>
      <c r="I684" t="n">
        <v>0</v>
      </c>
      <c r="J684" t="n">
        <v>0</v>
      </c>
      <c r="K684" t="n">
        <v>0</v>
      </c>
      <c r="L684" t="n">
        <v>0</v>
      </c>
      <c r="M684" t="n">
        <v>0</v>
      </c>
      <c r="N684" t="n">
        <v>0</v>
      </c>
      <c r="O684" t="n">
        <v>0</v>
      </c>
      <c r="P684" t="n">
        <v>0</v>
      </c>
      <c r="Q684" t="n">
        <v>0</v>
      </c>
      <c r="R684" s="2" t="inlineStr"/>
    </row>
    <row r="685" ht="15" customHeight="1">
      <c r="A685" t="inlineStr">
        <is>
          <t>A 41511-2025</t>
        </is>
      </c>
      <c r="B685" s="1" t="n">
        <v>45901.53839120371</v>
      </c>
      <c r="C685" s="1" t="n">
        <v>45963</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41706-2025</t>
        </is>
      </c>
      <c r="B686" s="1" t="n">
        <v>45902.42209490741</v>
      </c>
      <c r="C686" s="1" t="n">
        <v>45963</v>
      </c>
      <c r="D686" t="inlineStr">
        <is>
          <t>ÖSTERGÖTLANDS LÄN</t>
        </is>
      </c>
      <c r="E686" t="inlineStr">
        <is>
          <t>LINKÖPING</t>
        </is>
      </c>
      <c r="G686" t="n">
        <v>1.9</v>
      </c>
      <c r="H686" t="n">
        <v>0</v>
      </c>
      <c r="I686" t="n">
        <v>0</v>
      </c>
      <c r="J686" t="n">
        <v>0</v>
      </c>
      <c r="K686" t="n">
        <v>0</v>
      </c>
      <c r="L686" t="n">
        <v>0</v>
      </c>
      <c r="M686" t="n">
        <v>0</v>
      </c>
      <c r="N686" t="n">
        <v>0</v>
      </c>
      <c r="O686" t="n">
        <v>0</v>
      </c>
      <c r="P686" t="n">
        <v>0</v>
      </c>
      <c r="Q686" t="n">
        <v>0</v>
      </c>
      <c r="R686" s="2" t="inlineStr"/>
    </row>
    <row r="687" ht="15" customHeight="1">
      <c r="A687" t="inlineStr">
        <is>
          <t>A 50667-2025</t>
        </is>
      </c>
      <c r="B687" s="1" t="n">
        <v>45945</v>
      </c>
      <c r="C687" s="1" t="n">
        <v>45963</v>
      </c>
      <c r="D687" t="inlineStr">
        <is>
          <t>ÖSTERGÖTLANDS LÄN</t>
        </is>
      </c>
      <c r="E687" t="inlineStr">
        <is>
          <t>LINKÖPING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3042-2024</t>
        </is>
      </c>
      <c r="B688" s="1" t="n">
        <v>45316.35028935185</v>
      </c>
      <c r="C688" s="1" t="n">
        <v>45963</v>
      </c>
      <c r="D688" t="inlineStr">
        <is>
          <t>ÖSTERGÖTLANDS LÄN</t>
        </is>
      </c>
      <c r="E688" t="inlineStr">
        <is>
          <t>LINKÖPING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29293-2025</t>
        </is>
      </c>
      <c r="B689" s="1" t="n">
        <v>45824</v>
      </c>
      <c r="C689" s="1" t="n">
        <v>45963</v>
      </c>
      <c r="D689" t="inlineStr">
        <is>
          <t>ÖSTERGÖTLANDS LÄN</t>
        </is>
      </c>
      <c r="E689" t="inlineStr">
        <is>
          <t>LINKÖPING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10253-2022</t>
        </is>
      </c>
      <c r="B690" s="1" t="n">
        <v>44622</v>
      </c>
      <c r="C690" s="1" t="n">
        <v>45963</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42624-2025</t>
        </is>
      </c>
      <c r="B691" s="1" t="n">
        <v>45905</v>
      </c>
      <c r="C691" s="1" t="n">
        <v>45963</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42626-2025</t>
        </is>
      </c>
      <c r="B692" s="1" t="n">
        <v>45905</v>
      </c>
      <c r="C692" s="1" t="n">
        <v>45963</v>
      </c>
      <c r="D692" t="inlineStr">
        <is>
          <t>ÖSTERGÖTLANDS LÄN</t>
        </is>
      </c>
      <c r="E692" t="inlineStr">
        <is>
          <t>LINKÖPING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42623-2025</t>
        </is>
      </c>
      <c r="B693" s="1" t="n">
        <v>45905</v>
      </c>
      <c r="C693" s="1" t="n">
        <v>45963</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45804-2025</t>
        </is>
      </c>
      <c r="B694" s="1" t="n">
        <v>45923.5819675926</v>
      </c>
      <c r="C694" s="1" t="n">
        <v>45963</v>
      </c>
      <c r="D694" t="inlineStr">
        <is>
          <t>ÖSTERGÖTLANDS LÄN</t>
        </is>
      </c>
      <c r="E694" t="inlineStr">
        <is>
          <t>LINKÖPING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51802-2025</t>
        </is>
      </c>
      <c r="B695" s="1" t="n">
        <v>45950</v>
      </c>
      <c r="C695" s="1" t="n">
        <v>45963</v>
      </c>
      <c r="D695" t="inlineStr">
        <is>
          <t>ÖSTERGÖTLANDS LÄN</t>
        </is>
      </c>
      <c r="E695" t="inlineStr">
        <is>
          <t>LINKÖPING</t>
        </is>
      </c>
      <c r="F695" t="inlineStr">
        <is>
          <t>Övriga Aktiebolag</t>
        </is>
      </c>
      <c r="G695" t="n">
        <v>2</v>
      </c>
      <c r="H695" t="n">
        <v>0</v>
      </c>
      <c r="I695" t="n">
        <v>0</v>
      </c>
      <c r="J695" t="n">
        <v>0</v>
      </c>
      <c r="K695" t="n">
        <v>0</v>
      </c>
      <c r="L695" t="n">
        <v>0</v>
      </c>
      <c r="M695" t="n">
        <v>0</v>
      </c>
      <c r="N695" t="n">
        <v>0</v>
      </c>
      <c r="O695" t="n">
        <v>0</v>
      </c>
      <c r="P695" t="n">
        <v>0</v>
      </c>
      <c r="Q695" t="n">
        <v>0</v>
      </c>
      <c r="R695" s="2" t="inlineStr"/>
    </row>
    <row r="696" ht="15" customHeight="1">
      <c r="A696" t="inlineStr">
        <is>
          <t>A 52111-2025</t>
        </is>
      </c>
      <c r="B696" s="1" t="n">
        <v>45952.69527777778</v>
      </c>
      <c r="C696" s="1" t="n">
        <v>45963</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52743-2025</t>
        </is>
      </c>
      <c r="B697" s="1" t="n">
        <v>45957.38039351852</v>
      </c>
      <c r="C697" s="1" t="n">
        <v>45963</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52807-2025</t>
        </is>
      </c>
      <c r="B698" s="1" t="n">
        <v>45957.44837962963</v>
      </c>
      <c r="C698" s="1" t="n">
        <v>45963</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44170-2025</t>
        </is>
      </c>
      <c r="B699" s="1" t="n">
        <v>45915.59864583334</v>
      </c>
      <c r="C699" s="1" t="n">
        <v>45963</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52740-2025</t>
        </is>
      </c>
      <c r="B700" s="1" t="n">
        <v>45957.37747685185</v>
      </c>
      <c r="C700" s="1" t="n">
        <v>45963</v>
      </c>
      <c r="D700" t="inlineStr">
        <is>
          <t>ÖSTERGÖTLANDS LÄN</t>
        </is>
      </c>
      <c r="E700" t="inlineStr">
        <is>
          <t>LINKÖPING</t>
        </is>
      </c>
      <c r="G700" t="n">
        <v>3.7</v>
      </c>
      <c r="H700" t="n">
        <v>0</v>
      </c>
      <c r="I700" t="n">
        <v>0</v>
      </c>
      <c r="J700" t="n">
        <v>0</v>
      </c>
      <c r="K700" t="n">
        <v>0</v>
      </c>
      <c r="L700" t="n">
        <v>0</v>
      </c>
      <c r="M700" t="n">
        <v>0</v>
      </c>
      <c r="N700" t="n">
        <v>0</v>
      </c>
      <c r="O700" t="n">
        <v>0</v>
      </c>
      <c r="P700" t="n">
        <v>0</v>
      </c>
      <c r="Q700" t="n">
        <v>0</v>
      </c>
      <c r="R700" s="2" t="inlineStr"/>
    </row>
    <row r="701" ht="15" customHeight="1">
      <c r="A701" t="inlineStr">
        <is>
          <t>A 43755-2025</t>
        </is>
      </c>
      <c r="B701" s="1" t="n">
        <v>45912.47329861111</v>
      </c>
      <c r="C701" s="1" t="n">
        <v>45963</v>
      </c>
      <c r="D701" t="inlineStr">
        <is>
          <t>ÖSTERGÖTLANDS LÄN</t>
        </is>
      </c>
      <c r="E701" t="inlineStr">
        <is>
          <t>LINKÖPING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43758-2025</t>
        </is>
      </c>
      <c r="B702" s="1" t="n">
        <v>45912.47711805555</v>
      </c>
      <c r="C702" s="1" t="n">
        <v>45963</v>
      </c>
      <c r="D702" t="inlineStr">
        <is>
          <t>ÖSTERGÖTLANDS LÄN</t>
        </is>
      </c>
      <c r="E702" t="inlineStr">
        <is>
          <t>LINKÖPING</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52802-2025</t>
        </is>
      </c>
      <c r="B703" s="1" t="n">
        <v>45957.44295138889</v>
      </c>
      <c r="C703" s="1" t="n">
        <v>45963</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43753-2025</t>
        </is>
      </c>
      <c r="B704" s="1" t="n">
        <v>45912.4715625</v>
      </c>
      <c r="C704" s="1" t="n">
        <v>45963</v>
      </c>
      <c r="D704" t="inlineStr">
        <is>
          <t>ÖSTERGÖTLANDS LÄN</t>
        </is>
      </c>
      <c r="E704" t="inlineStr">
        <is>
          <t>LINKÖPING</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52800-2025</t>
        </is>
      </c>
      <c r="B705" s="1" t="n">
        <v>45957.44152777778</v>
      </c>
      <c r="C705" s="1" t="n">
        <v>45963</v>
      </c>
      <c r="D705" t="inlineStr">
        <is>
          <t>ÖSTERGÖTLANDS LÄN</t>
        </is>
      </c>
      <c r="E705" t="inlineStr">
        <is>
          <t>LINKÖPING</t>
        </is>
      </c>
      <c r="G705" t="n">
        <v>2.5</v>
      </c>
      <c r="H705" t="n">
        <v>0</v>
      </c>
      <c r="I705" t="n">
        <v>0</v>
      </c>
      <c r="J705" t="n">
        <v>0</v>
      </c>
      <c r="K705" t="n">
        <v>0</v>
      </c>
      <c r="L705" t="n">
        <v>0</v>
      </c>
      <c r="M705" t="n">
        <v>0</v>
      </c>
      <c r="N705" t="n">
        <v>0</v>
      </c>
      <c r="O705" t="n">
        <v>0</v>
      </c>
      <c r="P705" t="n">
        <v>0</v>
      </c>
      <c r="Q705" t="n">
        <v>0</v>
      </c>
      <c r="R705" s="2" t="inlineStr"/>
    </row>
    <row r="706" ht="15" customHeight="1">
      <c r="A706" t="inlineStr">
        <is>
          <t>A 44759-2025</t>
        </is>
      </c>
      <c r="B706" s="1" t="n">
        <v>45917.7152662037</v>
      </c>
      <c r="C706" s="1" t="n">
        <v>45963</v>
      </c>
      <c r="D706" t="inlineStr">
        <is>
          <t>ÖSTERGÖTLANDS LÄN</t>
        </is>
      </c>
      <c r="E706" t="inlineStr">
        <is>
          <t>LINKÖPING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44764-2025</t>
        </is>
      </c>
      <c r="B707" s="1" t="n">
        <v>45917.72821759259</v>
      </c>
      <c r="C707" s="1" t="n">
        <v>45963</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45112-2025</t>
        </is>
      </c>
      <c r="B708" s="1" t="n">
        <v>45919</v>
      </c>
      <c r="C708" s="1" t="n">
        <v>45963</v>
      </c>
      <c r="D708" t="inlineStr">
        <is>
          <t>ÖSTERGÖTLANDS LÄN</t>
        </is>
      </c>
      <c r="E708" t="inlineStr">
        <is>
          <t>LINKÖPING</t>
        </is>
      </c>
      <c r="G708" t="n">
        <v>3.5</v>
      </c>
      <c r="H708" t="n">
        <v>0</v>
      </c>
      <c r="I708" t="n">
        <v>0</v>
      </c>
      <c r="J708" t="n">
        <v>0</v>
      </c>
      <c r="K708" t="n">
        <v>0</v>
      </c>
      <c r="L708" t="n">
        <v>0</v>
      </c>
      <c r="M708" t="n">
        <v>0</v>
      </c>
      <c r="N708" t="n">
        <v>0</v>
      </c>
      <c r="O708" t="n">
        <v>0</v>
      </c>
      <c r="P708" t="n">
        <v>0</v>
      </c>
      <c r="Q708" t="n">
        <v>0</v>
      </c>
      <c r="R708" s="2" t="inlineStr"/>
    </row>
    <row r="709">
      <c r="A709" t="inlineStr">
        <is>
          <t>A 50056-2025</t>
        </is>
      </c>
      <c r="B709" s="1" t="n">
        <v>45941</v>
      </c>
      <c r="C709" s="1" t="n">
        <v>45963</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2025-11-02T10:05:07Z</dcterms:created>
  <dcterms:modified xmlns:dcterms="http://purl.org/dc/terms/" xmlns:xsi="http://www.w3.org/2001/XMLSchema-instance" xsi:type="dcterms:W3CDTF">2025-11-02T10:05:07Z</dcterms:modified>
</cp:coreProperties>
</file>