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46074</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46074</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46074</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46074</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46074</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46074</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46074</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46074</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46074</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46074</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46074</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46074</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46074</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46074</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46074</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46074</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46074</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46074</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14879-2024</t>
        </is>
      </c>
      <c r="B27" s="1" t="n">
        <v>45398</v>
      </c>
      <c r="C27" s="1" t="n">
        <v>46074</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46074</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46074</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46074</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46074</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58068-2021</t>
        </is>
      </c>
      <c r="B32" s="1" t="n">
        <v>44487</v>
      </c>
      <c r="C32" s="1" t="n">
        <v>46074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46074</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46074</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46074</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46074</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46074</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3912-2026</t>
        </is>
      </c>
      <c r="B38" s="1" t="n">
        <v>46043.71958333333</v>
      </c>
      <c r="C38" s="1" t="n">
        <v>46074</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41751-2023</t>
        </is>
      </c>
      <c r="B39" s="1" t="n">
        <v>45176</v>
      </c>
      <c r="C39" s="1" t="n">
        <v>46074</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46074</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46074</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21326-2025</t>
        </is>
      </c>
      <c r="B42" s="1" t="n">
        <v>45782.35407407407</v>
      </c>
      <c r="C42" s="1" t="n">
        <v>46074</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27795-2025</t>
        </is>
      </c>
      <c r="B43" s="1" t="n">
        <v>45816.7908912037</v>
      </c>
      <c r="C43" s="1" t="n">
        <v>46074</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38129-2021</t>
        </is>
      </c>
      <c r="B44" s="1" t="n">
        <v>44405.37199074074</v>
      </c>
      <c r="C44" s="1" t="n">
        <v>46074</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46074</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46074</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46074</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46074</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46074</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46074</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46074</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46074</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46074</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46074</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46074</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37683-2024</t>
        </is>
      </c>
      <c r="B56" s="1" t="n">
        <v>45541.59120370371</v>
      </c>
      <c r="C56" s="1" t="n">
        <v>46074</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22526-2025</t>
        </is>
      </c>
      <c r="B57" s="1" t="n">
        <v>45786.78096064815</v>
      </c>
      <c r="C57" s="1" t="n">
        <v>46074</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56651-2023</t>
        </is>
      </c>
      <c r="B58" s="1" t="n">
        <v>45243</v>
      </c>
      <c r="C58" s="1" t="n">
        <v>46074</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17444-2025</t>
        </is>
      </c>
      <c r="B59" s="1" t="n">
        <v>45757.43452546297</v>
      </c>
      <c r="C59" s="1" t="n">
        <v>46074</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43989-2025</t>
        </is>
      </c>
      <c r="B60" s="1" t="n">
        <v>45915.44128472222</v>
      </c>
      <c r="C60" s="1" t="n">
        <v>46074</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5911-2022</t>
        </is>
      </c>
      <c r="B61" s="1" t="n">
        <v>44597</v>
      </c>
      <c r="C61" s="1" t="n">
        <v>46074</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36723-2023</t>
        </is>
      </c>
      <c r="B62" s="1" t="n">
        <v>45153</v>
      </c>
      <c r="C62" s="1" t="n">
        <v>46074</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44760-2025</t>
        </is>
      </c>
      <c r="B63" s="1" t="n">
        <v>45917.71873842592</v>
      </c>
      <c r="C63" s="1" t="n">
        <v>46074</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90-2024</t>
        </is>
      </c>
      <c r="B64" s="1" t="n">
        <v>45293</v>
      </c>
      <c r="C64" s="1" t="n">
        <v>46074</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46074</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48347-2025</t>
        </is>
      </c>
      <c r="B66" s="1" t="n">
        <v>45932</v>
      </c>
      <c r="C66" s="1" t="n">
        <v>46074</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46074</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46074</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46074</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50034-2025</t>
        </is>
      </c>
      <c r="B70" s="1" t="n">
        <v>45941</v>
      </c>
      <c r="C70" s="1" t="n">
        <v>46074</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15290-2025</t>
        </is>
      </c>
      <c r="B71" s="1" t="n">
        <v>45745.45288194445</v>
      </c>
      <c r="C71" s="1" t="n">
        <v>46074</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46074</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46074</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46074</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46074</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46074</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56112-2025</t>
        </is>
      </c>
      <c r="B77" s="1" t="n">
        <v>45973.73625</v>
      </c>
      <c r="C77" s="1" t="n">
        <v>46074</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54835-2023</t>
        </is>
      </c>
      <c r="B78" s="1" t="n">
        <v>45236</v>
      </c>
      <c r="C78" s="1" t="n">
        <v>46074</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59474-2025</t>
        </is>
      </c>
      <c r="B79" s="1" t="n">
        <v>45989.58512731481</v>
      </c>
      <c r="C79" s="1" t="n">
        <v>46074</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126-2024</t>
        </is>
      </c>
      <c r="B80" s="1" t="n">
        <v>45294</v>
      </c>
      <c r="C80" s="1" t="n">
        <v>46074</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60311-2025</t>
        </is>
      </c>
      <c r="B81" s="1" t="n">
        <v>45994</v>
      </c>
      <c r="C81" s="1" t="n">
        <v>46074</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7186-2026</t>
        </is>
      </c>
      <c r="B82" s="1" t="n">
        <v>46058.49090277778</v>
      </c>
      <c r="C82" s="1" t="n">
        <v>46074</v>
      </c>
      <c r="D82" t="inlineStr">
        <is>
          <t>ÖSTERGÖTLANDS LÄN</t>
        </is>
      </c>
      <c r="E82" t="inlineStr">
        <is>
          <t>LINKÖPING</t>
        </is>
      </c>
      <c r="G82" t="n">
        <v>5.5</v>
      </c>
      <c r="H82" t="n">
        <v>0</v>
      </c>
      <c r="I82" t="n">
        <v>1</v>
      </c>
      <c r="J82" t="n">
        <v>0</v>
      </c>
      <c r="K82" t="n">
        <v>0</v>
      </c>
      <c r="L82" t="n">
        <v>0</v>
      </c>
      <c r="M82" t="n">
        <v>0</v>
      </c>
      <c r="N82" t="n">
        <v>0</v>
      </c>
      <c r="O82" t="n">
        <v>0</v>
      </c>
      <c r="P82" t="n">
        <v>0</v>
      </c>
      <c r="Q82" t="n">
        <v>1</v>
      </c>
      <c r="R82" s="2" t="inlineStr">
        <is>
          <t>Grönpyrola</t>
        </is>
      </c>
      <c r="S82">
        <f>HYPERLINK("https://klasma.github.io/Logging_0580/artfynd/A 7186-2026 artfynd.xlsx", "A 7186-2026")</f>
        <v/>
      </c>
      <c r="T82">
        <f>HYPERLINK("https://klasma.github.io/Logging_0580/kartor/A 7186-2026 karta.png", "A 7186-2026")</f>
        <v/>
      </c>
      <c r="V82">
        <f>HYPERLINK("https://klasma.github.io/Logging_0580/klagomål/A 7186-2026 FSC-klagomål.docx", "A 7186-2026")</f>
        <v/>
      </c>
      <c r="W82">
        <f>HYPERLINK("https://klasma.github.io/Logging_0580/klagomålsmail/A 7186-2026 FSC-klagomål mail.docx", "A 7186-2026")</f>
        <v/>
      </c>
      <c r="X82">
        <f>HYPERLINK("https://klasma.github.io/Logging_0580/tillsyn/A 7186-2026 tillsynsbegäran.docx", "A 7186-2026")</f>
        <v/>
      </c>
      <c r="Y82">
        <f>HYPERLINK("https://klasma.github.io/Logging_0580/tillsynsmail/A 7186-2026 tillsynsbegäran mail.docx", "A 7186-2026")</f>
        <v/>
      </c>
    </row>
    <row r="83" ht="15" customHeight="1">
      <c r="A83" t="inlineStr">
        <is>
          <t>A 3395-2023</t>
        </is>
      </c>
      <c r="B83" s="1" t="n">
        <v>44949</v>
      </c>
      <c r="C83" s="1" t="n">
        <v>46074</v>
      </c>
      <c r="D83" t="inlineStr">
        <is>
          <t>ÖSTERGÖTLANDS LÄN</t>
        </is>
      </c>
      <c r="E83" t="inlineStr">
        <is>
          <t>LINKÖPING</t>
        </is>
      </c>
      <c r="G83" t="n">
        <v>2</v>
      </c>
      <c r="H83" t="n">
        <v>0</v>
      </c>
      <c r="I83" t="n">
        <v>0</v>
      </c>
      <c r="J83" t="n">
        <v>1</v>
      </c>
      <c r="K83" t="n">
        <v>0</v>
      </c>
      <c r="L83" t="n">
        <v>0</v>
      </c>
      <c r="M83" t="n">
        <v>0</v>
      </c>
      <c r="N83" t="n">
        <v>0</v>
      </c>
      <c r="O83" t="n">
        <v>1</v>
      </c>
      <c r="P83" t="n">
        <v>0</v>
      </c>
      <c r="Q83" t="n">
        <v>1</v>
      </c>
      <c r="R83" s="2" t="inlineStr">
        <is>
          <t>Sommarfibbla</t>
        </is>
      </c>
      <c r="S83">
        <f>HYPERLINK("https://klasma.github.io/Logging_0580/artfynd/A 3395-2023 artfynd.xlsx", "A 3395-2023")</f>
        <v/>
      </c>
      <c r="T83">
        <f>HYPERLINK("https://klasma.github.io/Logging_0580/kartor/A 3395-2023 karta.png", "A 3395-2023")</f>
        <v/>
      </c>
      <c r="V83">
        <f>HYPERLINK("https://klasma.github.io/Logging_0580/klagomål/A 3395-2023 FSC-klagomål.docx", "A 3395-2023")</f>
        <v/>
      </c>
      <c r="W83">
        <f>HYPERLINK("https://klasma.github.io/Logging_0580/klagomålsmail/A 3395-2023 FSC-klagomål mail.docx", "A 3395-2023")</f>
        <v/>
      </c>
      <c r="X83">
        <f>HYPERLINK("https://klasma.github.io/Logging_0580/tillsyn/A 3395-2023 tillsynsbegäran.docx", "A 3395-2023")</f>
        <v/>
      </c>
      <c r="Y83">
        <f>HYPERLINK("https://klasma.github.io/Logging_0580/tillsynsmail/A 3395-2023 tillsynsbegäran mail.docx", "A 3395-2023")</f>
        <v/>
      </c>
    </row>
    <row r="84" ht="15" customHeight="1">
      <c r="A84" t="inlineStr">
        <is>
          <t>A 19103-2021</t>
        </is>
      </c>
      <c r="B84" s="1" t="n">
        <v>44308</v>
      </c>
      <c r="C84" s="1" t="n">
        <v>46074</v>
      </c>
      <c r="D84" t="inlineStr">
        <is>
          <t>ÖSTERGÖTLANDS LÄN</t>
        </is>
      </c>
      <c r="E84" t="inlineStr">
        <is>
          <t>LINKÖPING</t>
        </is>
      </c>
      <c r="G84" t="n">
        <v>4.7</v>
      </c>
      <c r="H84" t="n">
        <v>0</v>
      </c>
      <c r="I84" t="n">
        <v>0</v>
      </c>
      <c r="J84" t="n">
        <v>1</v>
      </c>
      <c r="K84" t="n">
        <v>0</v>
      </c>
      <c r="L84" t="n">
        <v>0</v>
      </c>
      <c r="M84" t="n">
        <v>0</v>
      </c>
      <c r="N84" t="n">
        <v>0</v>
      </c>
      <c r="O84" t="n">
        <v>1</v>
      </c>
      <c r="P84" t="n">
        <v>0</v>
      </c>
      <c r="Q84" t="n">
        <v>1</v>
      </c>
      <c r="R84" s="2" t="inlineStr">
        <is>
          <t>Tallticka</t>
        </is>
      </c>
      <c r="S84">
        <f>HYPERLINK("https://klasma.github.io/Logging_0580/artfynd/A 19103-2021 artfynd.xlsx", "A 19103-2021")</f>
        <v/>
      </c>
      <c r="T84">
        <f>HYPERLINK("https://klasma.github.io/Logging_0580/kartor/A 19103-2021 karta.png", "A 19103-2021")</f>
        <v/>
      </c>
      <c r="V84">
        <f>HYPERLINK("https://klasma.github.io/Logging_0580/klagomål/A 19103-2021 FSC-klagomål.docx", "A 19103-2021")</f>
        <v/>
      </c>
      <c r="W84">
        <f>HYPERLINK("https://klasma.github.io/Logging_0580/klagomålsmail/A 19103-2021 FSC-klagomål mail.docx", "A 19103-2021")</f>
        <v/>
      </c>
      <c r="X84">
        <f>HYPERLINK("https://klasma.github.io/Logging_0580/tillsyn/A 19103-2021 tillsynsbegäran.docx", "A 19103-2021")</f>
        <v/>
      </c>
      <c r="Y84">
        <f>HYPERLINK("https://klasma.github.io/Logging_0580/tillsynsmail/A 19103-2021 tillsynsbegäran mail.docx", "A 19103-2021")</f>
        <v/>
      </c>
    </row>
    <row r="85" ht="15" customHeight="1">
      <c r="A85" t="inlineStr">
        <is>
          <t>A 50806-2023</t>
        </is>
      </c>
      <c r="B85" s="1" t="n">
        <v>45217</v>
      </c>
      <c r="C85" s="1" t="n">
        <v>46074</v>
      </c>
      <c r="D85" t="inlineStr">
        <is>
          <t>ÖSTERGÖTLANDS LÄN</t>
        </is>
      </c>
      <c r="E85" t="inlineStr">
        <is>
          <t>LINKÖPING</t>
        </is>
      </c>
      <c r="F85" t="inlineStr">
        <is>
          <t>Övriga Aktiebolag</t>
        </is>
      </c>
      <c r="G85" t="n">
        <v>0.7</v>
      </c>
      <c r="H85" t="n">
        <v>1</v>
      </c>
      <c r="I85" t="n">
        <v>0</v>
      </c>
      <c r="J85" t="n">
        <v>0</v>
      </c>
      <c r="K85" t="n">
        <v>0</v>
      </c>
      <c r="L85" t="n">
        <v>0</v>
      </c>
      <c r="M85" t="n">
        <v>0</v>
      </c>
      <c r="N85" t="n">
        <v>0</v>
      </c>
      <c r="O85" t="n">
        <v>0</v>
      </c>
      <c r="P85" t="n">
        <v>0</v>
      </c>
      <c r="Q85" t="n">
        <v>1</v>
      </c>
      <c r="R85" s="2" t="inlineStr">
        <is>
          <t>Gullviva</t>
        </is>
      </c>
      <c r="S85">
        <f>HYPERLINK("https://klasma.github.io/Logging_0580/artfynd/A 50806-2023 artfynd.xlsx", "A 50806-2023")</f>
        <v/>
      </c>
      <c r="T85">
        <f>HYPERLINK("https://klasma.github.io/Logging_0580/kartor/A 50806-2023 karta.png", "A 50806-2023")</f>
        <v/>
      </c>
      <c r="V85">
        <f>HYPERLINK("https://klasma.github.io/Logging_0580/klagomål/A 50806-2023 FSC-klagomål.docx", "A 50806-2023")</f>
        <v/>
      </c>
      <c r="W85">
        <f>HYPERLINK("https://klasma.github.io/Logging_0580/klagomålsmail/A 50806-2023 FSC-klagomål mail.docx", "A 50806-2023")</f>
        <v/>
      </c>
      <c r="X85">
        <f>HYPERLINK("https://klasma.github.io/Logging_0580/tillsyn/A 50806-2023 tillsynsbegäran.docx", "A 50806-2023")</f>
        <v/>
      </c>
      <c r="Y85">
        <f>HYPERLINK("https://klasma.github.io/Logging_0580/tillsynsmail/A 50806-2023 tillsynsbegäran mail.docx", "A 50806-2023")</f>
        <v/>
      </c>
    </row>
    <row r="86" ht="15" customHeight="1">
      <c r="A86" t="inlineStr">
        <is>
          <t>A 39457-2023</t>
        </is>
      </c>
      <c r="B86" s="1" t="n">
        <v>45166</v>
      </c>
      <c r="C86" s="1" t="n">
        <v>46074</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35948-2023</t>
        </is>
      </c>
      <c r="B87" s="1" t="n">
        <v>45148</v>
      </c>
      <c r="C87" s="1" t="n">
        <v>46074</v>
      </c>
      <c r="D87" t="inlineStr">
        <is>
          <t>ÖSTERGÖTLANDS LÄN</t>
        </is>
      </c>
      <c r="E87" t="inlineStr">
        <is>
          <t>LINKÖPING</t>
        </is>
      </c>
      <c r="G87" t="n">
        <v>1.9</v>
      </c>
      <c r="H87" t="n">
        <v>0</v>
      </c>
      <c r="I87" t="n">
        <v>1</v>
      </c>
      <c r="J87" t="n">
        <v>0</v>
      </c>
      <c r="K87" t="n">
        <v>0</v>
      </c>
      <c r="L87" t="n">
        <v>0</v>
      </c>
      <c r="M87" t="n">
        <v>0</v>
      </c>
      <c r="N87" t="n">
        <v>0</v>
      </c>
      <c r="O87" t="n">
        <v>0</v>
      </c>
      <c r="P87" t="n">
        <v>0</v>
      </c>
      <c r="Q87" t="n">
        <v>1</v>
      </c>
      <c r="R87" s="2" t="inlineStr">
        <is>
          <t>Brun nållav</t>
        </is>
      </c>
      <c r="S87">
        <f>HYPERLINK("https://klasma.github.io/Logging_0580/artfynd/A 35948-2023 artfynd.xlsx", "A 35948-2023")</f>
        <v/>
      </c>
      <c r="T87">
        <f>HYPERLINK("https://klasma.github.io/Logging_0580/kartor/A 35948-2023 karta.png", "A 35948-2023")</f>
        <v/>
      </c>
      <c r="V87">
        <f>HYPERLINK("https://klasma.github.io/Logging_0580/klagomål/A 35948-2023 FSC-klagomål.docx", "A 35948-2023")</f>
        <v/>
      </c>
      <c r="W87">
        <f>HYPERLINK("https://klasma.github.io/Logging_0580/klagomålsmail/A 35948-2023 FSC-klagomål mail.docx", "A 35948-2023")</f>
        <v/>
      </c>
      <c r="X87">
        <f>HYPERLINK("https://klasma.github.io/Logging_0580/tillsyn/A 35948-2023 tillsynsbegäran.docx", "A 35948-2023")</f>
        <v/>
      </c>
      <c r="Y87">
        <f>HYPERLINK("https://klasma.github.io/Logging_0580/tillsynsmail/A 35948-2023 tillsynsbegäran mail.docx", "A 35948-2023")</f>
        <v/>
      </c>
    </row>
    <row r="88" ht="15" customHeight="1">
      <c r="A88" t="inlineStr">
        <is>
          <t>A 62071-2023</t>
        </is>
      </c>
      <c r="B88" s="1" t="n">
        <v>45266.73542824074</v>
      </c>
      <c r="C88" s="1" t="n">
        <v>46074</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3397-2023</t>
        </is>
      </c>
      <c r="B89" s="1" t="n">
        <v>44949</v>
      </c>
      <c r="C89" s="1" t="n">
        <v>46074</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20295-2025</t>
        </is>
      </c>
      <c r="B90" s="1" t="n">
        <v>45774.74846064814</v>
      </c>
      <c r="C90" s="1" t="n">
        <v>46074</v>
      </c>
      <c r="D90" t="inlineStr">
        <is>
          <t>ÖSTERGÖTLANDS LÄN</t>
        </is>
      </c>
      <c r="E90" t="inlineStr">
        <is>
          <t>LINKÖPING</t>
        </is>
      </c>
      <c r="G90" t="n">
        <v>3</v>
      </c>
      <c r="H90" t="n">
        <v>0</v>
      </c>
      <c r="I90" t="n">
        <v>0</v>
      </c>
      <c r="J90" t="n">
        <v>1</v>
      </c>
      <c r="K90" t="n">
        <v>0</v>
      </c>
      <c r="L90" t="n">
        <v>0</v>
      </c>
      <c r="M90" t="n">
        <v>0</v>
      </c>
      <c r="N90" t="n">
        <v>0</v>
      </c>
      <c r="O90" t="n">
        <v>1</v>
      </c>
      <c r="P90" t="n">
        <v>0</v>
      </c>
      <c r="Q90" t="n">
        <v>1</v>
      </c>
      <c r="R90" s="2" t="inlineStr">
        <is>
          <t>Tallticka</t>
        </is>
      </c>
      <c r="S90">
        <f>HYPERLINK("https://klasma.github.io/Logging_0580/artfynd/A 20295-2025 artfynd.xlsx", "A 20295-2025")</f>
        <v/>
      </c>
      <c r="T90">
        <f>HYPERLINK("https://klasma.github.io/Logging_0580/kartor/A 20295-2025 karta.png", "A 20295-2025")</f>
        <v/>
      </c>
      <c r="V90">
        <f>HYPERLINK("https://klasma.github.io/Logging_0580/klagomål/A 20295-2025 FSC-klagomål.docx", "A 20295-2025")</f>
        <v/>
      </c>
      <c r="W90">
        <f>HYPERLINK("https://klasma.github.io/Logging_0580/klagomålsmail/A 20295-2025 FSC-klagomål mail.docx", "A 20295-2025")</f>
        <v/>
      </c>
      <c r="X90">
        <f>HYPERLINK("https://klasma.github.io/Logging_0580/tillsyn/A 20295-2025 tillsynsbegäran.docx", "A 20295-2025")</f>
        <v/>
      </c>
      <c r="Y90">
        <f>HYPERLINK("https://klasma.github.io/Logging_0580/tillsynsmail/A 20295-2025 tillsynsbegäran mail.docx", "A 20295-2025")</f>
        <v/>
      </c>
    </row>
    <row r="91" ht="15" customHeight="1">
      <c r="A91" t="inlineStr">
        <is>
          <t>A 60573-2021</t>
        </is>
      </c>
      <c r="B91" s="1" t="n">
        <v>44496</v>
      </c>
      <c r="C91" s="1" t="n">
        <v>46074</v>
      </c>
      <c r="D91" t="inlineStr">
        <is>
          <t>ÖSTERGÖTLANDS LÄN</t>
        </is>
      </c>
      <c r="E91" t="inlineStr">
        <is>
          <t>LINKÖPING</t>
        </is>
      </c>
      <c r="F91" t="inlineStr">
        <is>
          <t>Övriga Aktiebolag</t>
        </is>
      </c>
      <c r="G91" t="n">
        <v>5.6</v>
      </c>
      <c r="H91" t="n">
        <v>0</v>
      </c>
      <c r="I91" t="n">
        <v>0</v>
      </c>
      <c r="J91" t="n">
        <v>1</v>
      </c>
      <c r="K91" t="n">
        <v>0</v>
      </c>
      <c r="L91" t="n">
        <v>0</v>
      </c>
      <c r="M91" t="n">
        <v>0</v>
      </c>
      <c r="N91" t="n">
        <v>0</v>
      </c>
      <c r="O91" t="n">
        <v>1</v>
      </c>
      <c r="P91" t="n">
        <v>0</v>
      </c>
      <c r="Q91" t="n">
        <v>1</v>
      </c>
      <c r="R91" s="2" t="inlineStr">
        <is>
          <t>Sommarfibbla</t>
        </is>
      </c>
      <c r="S91">
        <f>HYPERLINK("https://klasma.github.io/Logging_0580/artfynd/A 60573-2021 artfynd.xlsx", "A 60573-2021")</f>
        <v/>
      </c>
      <c r="T91">
        <f>HYPERLINK("https://klasma.github.io/Logging_0580/kartor/A 60573-2021 karta.png", "A 60573-2021")</f>
        <v/>
      </c>
      <c r="V91">
        <f>HYPERLINK("https://klasma.github.io/Logging_0580/klagomål/A 60573-2021 FSC-klagomål.docx", "A 60573-2021")</f>
        <v/>
      </c>
      <c r="W91">
        <f>HYPERLINK("https://klasma.github.io/Logging_0580/klagomålsmail/A 60573-2021 FSC-klagomål mail.docx", "A 60573-2021")</f>
        <v/>
      </c>
      <c r="X91">
        <f>HYPERLINK("https://klasma.github.io/Logging_0580/tillsyn/A 60573-2021 tillsynsbegäran.docx", "A 60573-2021")</f>
        <v/>
      </c>
      <c r="Y91">
        <f>HYPERLINK("https://klasma.github.io/Logging_0580/tillsynsmail/A 60573-2021 tillsynsbegäran mail.docx", "A 60573-2021")</f>
        <v/>
      </c>
    </row>
    <row r="92" ht="15" customHeight="1">
      <c r="A92" t="inlineStr">
        <is>
          <t>A 41749-2023</t>
        </is>
      </c>
      <c r="B92" s="1" t="n">
        <v>45176</v>
      </c>
      <c r="C92" s="1" t="n">
        <v>46074</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41749-2023 artfynd.xlsx", "A 41749-2023")</f>
        <v/>
      </c>
      <c r="T92">
        <f>HYPERLINK("https://klasma.github.io/Logging_0580/kartor/A 41749-2023 karta.png", "A 41749-2023")</f>
        <v/>
      </c>
      <c r="V92">
        <f>HYPERLINK("https://klasma.github.io/Logging_0580/klagomål/A 41749-2023 FSC-klagomål.docx", "A 41749-2023")</f>
        <v/>
      </c>
      <c r="W92">
        <f>HYPERLINK("https://klasma.github.io/Logging_0580/klagomålsmail/A 41749-2023 FSC-klagomål mail.docx", "A 41749-2023")</f>
        <v/>
      </c>
      <c r="X92">
        <f>HYPERLINK("https://klasma.github.io/Logging_0580/tillsyn/A 41749-2023 tillsynsbegäran.docx", "A 41749-2023")</f>
        <v/>
      </c>
      <c r="Y92">
        <f>HYPERLINK("https://klasma.github.io/Logging_0580/tillsynsmail/A 41749-2023 tillsynsbegäran mail.docx", "A 41749-2023")</f>
        <v/>
      </c>
    </row>
    <row r="93" ht="15" customHeight="1">
      <c r="A93" t="inlineStr">
        <is>
          <t>A 27403-2025</t>
        </is>
      </c>
      <c r="B93" s="1" t="n">
        <v>45812.72518518518</v>
      </c>
      <c r="C93" s="1" t="n">
        <v>46074</v>
      </c>
      <c r="D93" t="inlineStr">
        <is>
          <t>ÖSTERGÖTLANDS LÄN</t>
        </is>
      </c>
      <c r="E93" t="inlineStr">
        <is>
          <t>LINKÖPING</t>
        </is>
      </c>
      <c r="G93" t="n">
        <v>1.4</v>
      </c>
      <c r="H93" t="n">
        <v>0</v>
      </c>
      <c r="I93" t="n">
        <v>0</v>
      </c>
      <c r="J93" t="n">
        <v>1</v>
      </c>
      <c r="K93" t="n">
        <v>0</v>
      </c>
      <c r="L93" t="n">
        <v>0</v>
      </c>
      <c r="M93" t="n">
        <v>0</v>
      </c>
      <c r="N93" t="n">
        <v>0</v>
      </c>
      <c r="O93" t="n">
        <v>1</v>
      </c>
      <c r="P93" t="n">
        <v>0</v>
      </c>
      <c r="Q93" t="n">
        <v>1</v>
      </c>
      <c r="R93" s="2" t="inlineStr">
        <is>
          <t>Tallticka</t>
        </is>
      </c>
      <c r="S93">
        <f>HYPERLINK("https://klasma.github.io/Logging_0580/artfynd/A 27403-2025 artfynd.xlsx", "A 27403-2025")</f>
        <v/>
      </c>
      <c r="T93">
        <f>HYPERLINK("https://klasma.github.io/Logging_0580/kartor/A 27403-2025 karta.png", "A 27403-2025")</f>
        <v/>
      </c>
      <c r="V93">
        <f>HYPERLINK("https://klasma.github.io/Logging_0580/klagomål/A 27403-2025 FSC-klagomål.docx", "A 27403-2025")</f>
        <v/>
      </c>
      <c r="W93">
        <f>HYPERLINK("https://klasma.github.io/Logging_0580/klagomålsmail/A 27403-2025 FSC-klagomål mail.docx", "A 27403-2025")</f>
        <v/>
      </c>
      <c r="X93">
        <f>HYPERLINK("https://klasma.github.io/Logging_0580/tillsyn/A 27403-2025 tillsynsbegäran.docx", "A 27403-2025")</f>
        <v/>
      </c>
      <c r="Y93">
        <f>HYPERLINK("https://klasma.github.io/Logging_0580/tillsynsmail/A 27403-2025 tillsynsbegäran mail.docx", "A 27403-2025")</f>
        <v/>
      </c>
    </row>
    <row r="94" ht="15" customHeight="1">
      <c r="A94" t="inlineStr">
        <is>
          <t>A 38881-2021</t>
        </is>
      </c>
      <c r="B94" s="1" t="n">
        <v>44411.46893518518</v>
      </c>
      <c r="C94" s="1" t="n">
        <v>46074</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46074</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46074</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46074</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46074</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46074</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46074</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46074</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46074</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46074</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46074</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46074</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46074</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46074</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46074</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46074</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46074</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46074</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46074</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46074</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46074</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46074</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46074</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46074</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46074</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46074</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46074</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46074</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46074</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46074</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27185-2021</t>
        </is>
      </c>
      <c r="B125" s="1" t="n">
        <v>44350</v>
      </c>
      <c r="C125" s="1" t="n">
        <v>46074</v>
      </c>
      <c r="D125" t="inlineStr">
        <is>
          <t>ÖSTERGÖTLANDS LÄN</t>
        </is>
      </c>
      <c r="E125" t="inlineStr">
        <is>
          <t>LINKÖPING</t>
        </is>
      </c>
      <c r="F125" t="inlineStr">
        <is>
          <t>Allmännings- och besparingsskogar</t>
        </is>
      </c>
      <c r="G125" t="n">
        <v>1.6</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46074</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46074</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46074</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46074</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46074</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46074</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46074</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46074</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46074</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46074</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46074</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46074</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46074</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46074</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46074</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46074</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46074</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46074</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46074</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46074</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46074</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46074</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46074</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46074</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46074</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46074</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46074</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46074</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46074</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46074</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46074</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46074</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46074</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46074</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46074</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46074</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46074</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46074</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46074</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46074</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46074</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46074</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46074</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46074</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46074</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46074</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46074</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46074</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46074</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46074</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46074</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46074</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46074</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46074</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46074</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46074</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46074</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46074</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46074</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46074</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46074</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46074</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46074</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46074</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46074</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46074</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46074</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46074</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46074</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46074</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54845-2023</t>
        </is>
      </c>
      <c r="B198" s="1" t="n">
        <v>45236</v>
      </c>
      <c r="C198" s="1" t="n">
        <v>46074</v>
      </c>
      <c r="D198" t="inlineStr">
        <is>
          <t>ÖSTERGÖTLANDS LÄN</t>
        </is>
      </c>
      <c r="E198" t="inlineStr">
        <is>
          <t>LINKÖPING</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46074</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46074</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46074</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46074</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3008-2023</t>
        </is>
      </c>
      <c r="B203" s="1" t="n">
        <v>44945.79784722222</v>
      </c>
      <c r="C203" s="1" t="n">
        <v>46074</v>
      </c>
      <c r="D203" t="inlineStr">
        <is>
          <t>ÖSTERGÖTLANDS LÄN</t>
        </is>
      </c>
      <c r="E203" t="inlineStr">
        <is>
          <t>LINKÖPING</t>
        </is>
      </c>
      <c r="G203" t="n">
        <v>19.3</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46074</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46074</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46074</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46074</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52796-2023</t>
        </is>
      </c>
      <c r="B208" s="1" t="n">
        <v>45219</v>
      </c>
      <c r="C208" s="1" t="n">
        <v>46074</v>
      </c>
      <c r="D208" t="inlineStr">
        <is>
          <t>ÖSTERGÖTLANDS LÄN</t>
        </is>
      </c>
      <c r="E208" t="inlineStr">
        <is>
          <t>LINKÖPING</t>
        </is>
      </c>
      <c r="F208" t="inlineStr">
        <is>
          <t>Övriga statliga verk och myndigheter</t>
        </is>
      </c>
      <c r="G208" t="n">
        <v>3.9</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46074</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46074</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46074</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46074</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46074</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46074</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46074</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46074</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46074</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22771-2024</t>
        </is>
      </c>
      <c r="B218" s="1" t="n">
        <v>45448.46574074074</v>
      </c>
      <c r="C218" s="1" t="n">
        <v>46074</v>
      </c>
      <c r="D218" t="inlineStr">
        <is>
          <t>ÖSTERGÖTLANDS LÄN</t>
        </is>
      </c>
      <c r="E218" t="inlineStr">
        <is>
          <t>LINKÖPING</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46074</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46074</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52412-2023</t>
        </is>
      </c>
      <c r="B221" s="1" t="n">
        <v>45225.27888888889</v>
      </c>
      <c r="C221" s="1" t="n">
        <v>46074</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52413-2023</t>
        </is>
      </c>
      <c r="B222" s="1" t="n">
        <v>45225.27950231481</v>
      </c>
      <c r="C222" s="1" t="n">
        <v>46074</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46074</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25418-2023</t>
        </is>
      </c>
      <c r="B224" s="1" t="n">
        <v>45089</v>
      </c>
      <c r="C224" s="1" t="n">
        <v>46074</v>
      </c>
      <c r="D224" t="inlineStr">
        <is>
          <t>ÖSTERGÖTLANDS LÄN</t>
        </is>
      </c>
      <c r="E224" t="inlineStr">
        <is>
          <t>LINKÖPING</t>
        </is>
      </c>
      <c r="F224" t="inlineStr">
        <is>
          <t>Övriga Aktiebolag</t>
        </is>
      </c>
      <c r="G224" t="n">
        <v>2.4</v>
      </c>
      <c r="H224" t="n">
        <v>0</v>
      </c>
      <c r="I224" t="n">
        <v>0</v>
      </c>
      <c r="J224" t="n">
        <v>0</v>
      </c>
      <c r="K224" t="n">
        <v>0</v>
      </c>
      <c r="L224" t="n">
        <v>0</v>
      </c>
      <c r="M224" t="n">
        <v>0</v>
      </c>
      <c r="N224" t="n">
        <v>0</v>
      </c>
      <c r="O224" t="n">
        <v>0</v>
      </c>
      <c r="P224" t="n">
        <v>0</v>
      </c>
      <c r="Q224" t="n">
        <v>0</v>
      </c>
      <c r="R224" s="2" t="inlineStr"/>
    </row>
    <row r="225" ht="15" customHeight="1">
      <c r="A225" t="inlineStr">
        <is>
          <t>A 34928-2023</t>
        </is>
      </c>
      <c r="B225" s="1" t="n">
        <v>45142</v>
      </c>
      <c r="C225" s="1" t="n">
        <v>46074</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1263-2024</t>
        </is>
      </c>
      <c r="B226" s="1" t="n">
        <v>45302</v>
      </c>
      <c r="C226" s="1" t="n">
        <v>46074</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52531-2023</t>
        </is>
      </c>
      <c r="B227" s="1" t="n">
        <v>45225</v>
      </c>
      <c r="C227" s="1" t="n">
        <v>46074</v>
      </c>
      <c r="D227" t="inlineStr">
        <is>
          <t>ÖSTERGÖTLANDS LÄN</t>
        </is>
      </c>
      <c r="E227" t="inlineStr">
        <is>
          <t>LINKÖPING</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46074</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46074</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46074</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46074</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46074</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50963-2021</t>
        </is>
      </c>
      <c r="B233" s="1" t="n">
        <v>44460</v>
      </c>
      <c r="C233" s="1" t="n">
        <v>46074</v>
      </c>
      <c r="D233" t="inlineStr">
        <is>
          <t>ÖSTERGÖTLANDS LÄN</t>
        </is>
      </c>
      <c r="E233" t="inlineStr">
        <is>
          <t>LINKÖPING</t>
        </is>
      </c>
      <c r="G233" t="n">
        <v>4.4</v>
      </c>
      <c r="H233" t="n">
        <v>0</v>
      </c>
      <c r="I233" t="n">
        <v>0</v>
      </c>
      <c r="J233" t="n">
        <v>0</v>
      </c>
      <c r="K233" t="n">
        <v>0</v>
      </c>
      <c r="L233" t="n">
        <v>0</v>
      </c>
      <c r="M233" t="n">
        <v>0</v>
      </c>
      <c r="N233" t="n">
        <v>0</v>
      </c>
      <c r="O233" t="n">
        <v>0</v>
      </c>
      <c r="P233" t="n">
        <v>0</v>
      </c>
      <c r="Q233" t="n">
        <v>0</v>
      </c>
      <c r="R233" s="2" t="inlineStr"/>
    </row>
    <row r="234" ht="15" customHeight="1">
      <c r="A234" t="inlineStr">
        <is>
          <t>A 61307-2021</t>
        </is>
      </c>
      <c r="B234" s="1" t="n">
        <v>44498.63928240741</v>
      </c>
      <c r="C234" s="1" t="n">
        <v>46074</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61325-2021</t>
        </is>
      </c>
      <c r="B235" s="1" t="n">
        <v>44498.66814814815</v>
      </c>
      <c r="C235" s="1" t="n">
        <v>46074</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30985-2022</t>
        </is>
      </c>
      <c r="B236" s="1" t="n">
        <v>44768</v>
      </c>
      <c r="C236" s="1" t="n">
        <v>46074</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46074</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46074</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46074</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46074</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46074</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33867-2023</t>
        </is>
      </c>
      <c r="B242" s="1" t="n">
        <v>45133.94640046296</v>
      </c>
      <c r="C242" s="1" t="n">
        <v>46074</v>
      </c>
      <c r="D242" t="inlineStr">
        <is>
          <t>ÖSTERGÖTLANDS LÄN</t>
        </is>
      </c>
      <c r="E242" t="inlineStr">
        <is>
          <t>LINKÖPING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46074</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46074</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2085-2024</t>
        </is>
      </c>
      <c r="B245" s="1" t="n">
        <v>45309</v>
      </c>
      <c r="C245" s="1" t="n">
        <v>46074</v>
      </c>
      <c r="D245" t="inlineStr">
        <is>
          <t>ÖSTERGÖTLANDS LÄN</t>
        </is>
      </c>
      <c r="E245" t="inlineStr">
        <is>
          <t>LINKÖPING</t>
        </is>
      </c>
      <c r="G245" t="n">
        <v>4.5</v>
      </c>
      <c r="H245" t="n">
        <v>0</v>
      </c>
      <c r="I245" t="n">
        <v>0</v>
      </c>
      <c r="J245" t="n">
        <v>0</v>
      </c>
      <c r="K245" t="n">
        <v>0</v>
      </c>
      <c r="L245" t="n">
        <v>0</v>
      </c>
      <c r="M245" t="n">
        <v>0</v>
      </c>
      <c r="N245" t="n">
        <v>0</v>
      </c>
      <c r="O245" t="n">
        <v>0</v>
      </c>
      <c r="P245" t="n">
        <v>0</v>
      </c>
      <c r="Q245" t="n">
        <v>0</v>
      </c>
      <c r="R245" s="2" t="inlineStr"/>
    </row>
    <row r="246" ht="15" customHeight="1">
      <c r="A246" t="inlineStr">
        <is>
          <t>A 38715-2023</t>
        </is>
      </c>
      <c r="B246" s="1" t="n">
        <v>45160</v>
      </c>
      <c r="C246" s="1" t="n">
        <v>46074</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46074</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36557-2023</t>
        </is>
      </c>
      <c r="B248" s="1" t="n">
        <v>45153</v>
      </c>
      <c r="C248" s="1" t="n">
        <v>46074</v>
      </c>
      <c r="D248" t="inlineStr">
        <is>
          <t>ÖSTERGÖTLANDS LÄN</t>
        </is>
      </c>
      <c r="E248" t="inlineStr">
        <is>
          <t>LINKÖPING</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30468-2023</t>
        </is>
      </c>
      <c r="B249" s="1" t="n">
        <v>45111.58732638889</v>
      </c>
      <c r="C249" s="1" t="n">
        <v>46074</v>
      </c>
      <c r="D249" t="inlineStr">
        <is>
          <t>ÖSTERGÖTLANDS LÄN</t>
        </is>
      </c>
      <c r="E249" t="inlineStr">
        <is>
          <t>LINKÖPING</t>
        </is>
      </c>
      <c r="G249" t="n">
        <v>10.1</v>
      </c>
      <c r="H249" t="n">
        <v>0</v>
      </c>
      <c r="I249" t="n">
        <v>0</v>
      </c>
      <c r="J249" t="n">
        <v>0</v>
      </c>
      <c r="K249" t="n">
        <v>0</v>
      </c>
      <c r="L249" t="n">
        <v>0</v>
      </c>
      <c r="M249" t="n">
        <v>0</v>
      </c>
      <c r="N249" t="n">
        <v>0</v>
      </c>
      <c r="O249" t="n">
        <v>0</v>
      </c>
      <c r="P249" t="n">
        <v>0</v>
      </c>
      <c r="Q249" t="n">
        <v>0</v>
      </c>
      <c r="R249" s="2" t="inlineStr"/>
    </row>
    <row r="250" ht="15" customHeight="1">
      <c r="A250" t="inlineStr">
        <is>
          <t>A 17103-2025</t>
        </is>
      </c>
      <c r="B250" s="1" t="n">
        <v>45755.66143518518</v>
      </c>
      <c r="C250" s="1" t="n">
        <v>46074</v>
      </c>
      <c r="D250" t="inlineStr">
        <is>
          <t>ÖSTERGÖTLANDS LÄN</t>
        </is>
      </c>
      <c r="E250" t="inlineStr">
        <is>
          <t>LINKÖPING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34864-2023</t>
        </is>
      </c>
      <c r="B251" s="1" t="n">
        <v>45141</v>
      </c>
      <c r="C251" s="1" t="n">
        <v>46074</v>
      </c>
      <c r="D251" t="inlineStr">
        <is>
          <t>ÖSTERGÖTLANDS LÄN</t>
        </is>
      </c>
      <c r="E251" t="inlineStr">
        <is>
          <t>LINKÖPING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40618-2021</t>
        </is>
      </c>
      <c r="B252" s="1" t="n">
        <v>44420.49575231481</v>
      </c>
      <c r="C252" s="1" t="n">
        <v>46074</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46074</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56180-2024</t>
        </is>
      </c>
      <c r="B254" s="1" t="n">
        <v>45624.56611111111</v>
      </c>
      <c r="C254" s="1" t="n">
        <v>46074</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46074</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30471-2023</t>
        </is>
      </c>
      <c r="B256" s="1" t="n">
        <v>45111.58931712963</v>
      </c>
      <c r="C256" s="1" t="n">
        <v>46074</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30434-2024</t>
        </is>
      </c>
      <c r="B257" s="1" t="n">
        <v>45491.69811342593</v>
      </c>
      <c r="C257" s="1" t="n">
        <v>46074</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46074</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57766-2023</t>
        </is>
      </c>
      <c r="B259" s="1" t="n">
        <v>45246</v>
      </c>
      <c r="C259" s="1" t="n">
        <v>46074</v>
      </c>
      <c r="D259" t="inlineStr">
        <is>
          <t>ÖSTERGÖTLANDS LÄN</t>
        </is>
      </c>
      <c r="E259" t="inlineStr">
        <is>
          <t>LINKÖPING</t>
        </is>
      </c>
      <c r="F259" t="inlineStr">
        <is>
          <t>Allmännings- och besparingsskogar</t>
        </is>
      </c>
      <c r="G259" t="n">
        <v>12.8</v>
      </c>
      <c r="H259" t="n">
        <v>0</v>
      </c>
      <c r="I259" t="n">
        <v>0</v>
      </c>
      <c r="J259" t="n">
        <v>0</v>
      </c>
      <c r="K259" t="n">
        <v>0</v>
      </c>
      <c r="L259" t="n">
        <v>0</v>
      </c>
      <c r="M259" t="n">
        <v>0</v>
      </c>
      <c r="N259" t="n">
        <v>0</v>
      </c>
      <c r="O259" t="n">
        <v>0</v>
      </c>
      <c r="P259" t="n">
        <v>0</v>
      </c>
      <c r="Q259" t="n">
        <v>0</v>
      </c>
      <c r="R259" s="2" t="inlineStr"/>
    </row>
    <row r="260" ht="15" customHeight="1">
      <c r="A260" t="inlineStr">
        <is>
          <t>A 25568-2024</t>
        </is>
      </c>
      <c r="B260" s="1" t="n">
        <v>45463.58699074074</v>
      </c>
      <c r="C260" s="1" t="n">
        <v>46074</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41345-2021</t>
        </is>
      </c>
      <c r="B261" s="1" t="n">
        <v>44424.61851851852</v>
      </c>
      <c r="C261" s="1" t="n">
        <v>46074</v>
      </c>
      <c r="D261" t="inlineStr">
        <is>
          <t>ÖSTERGÖTLANDS LÄN</t>
        </is>
      </c>
      <c r="E261" t="inlineStr">
        <is>
          <t>LINKÖPING</t>
        </is>
      </c>
      <c r="F261" t="inlineStr">
        <is>
          <t>Sveaskog</t>
        </is>
      </c>
      <c r="G261" t="n">
        <v>6.3</v>
      </c>
      <c r="H261" t="n">
        <v>0</v>
      </c>
      <c r="I261" t="n">
        <v>0</v>
      </c>
      <c r="J261" t="n">
        <v>0</v>
      </c>
      <c r="K261" t="n">
        <v>0</v>
      </c>
      <c r="L261" t="n">
        <v>0</v>
      </c>
      <c r="M261" t="n">
        <v>0</v>
      </c>
      <c r="N261" t="n">
        <v>0</v>
      </c>
      <c r="O261" t="n">
        <v>0</v>
      </c>
      <c r="P261" t="n">
        <v>0</v>
      </c>
      <c r="Q261" t="n">
        <v>0</v>
      </c>
      <c r="R261" s="2" t="inlineStr"/>
    </row>
    <row r="262" ht="15" customHeight="1">
      <c r="A262" t="inlineStr">
        <is>
          <t>A 44155-2024</t>
        </is>
      </c>
      <c r="B262" s="1" t="n">
        <v>45572.68226851852</v>
      </c>
      <c r="C262" s="1" t="n">
        <v>46074</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13266-2025</t>
        </is>
      </c>
      <c r="B263" s="1" t="n">
        <v>45735.53318287037</v>
      </c>
      <c r="C263" s="1" t="n">
        <v>46074</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46074</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16213-2025</t>
        </is>
      </c>
      <c r="B265" s="1" t="n">
        <v>45750.62740740741</v>
      </c>
      <c r="C265" s="1" t="n">
        <v>46074</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28200-2025</t>
        </is>
      </c>
      <c r="B266" s="1" t="n">
        <v>45818.4428125</v>
      </c>
      <c r="C266" s="1" t="n">
        <v>46074</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22833-2023</t>
        </is>
      </c>
      <c r="B267" s="1" t="n">
        <v>45071</v>
      </c>
      <c r="C267" s="1" t="n">
        <v>46074</v>
      </c>
      <c r="D267" t="inlineStr">
        <is>
          <t>ÖSTERGÖTLANDS LÄN</t>
        </is>
      </c>
      <c r="E267" t="inlineStr">
        <is>
          <t>LINKÖPING</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28204-2025</t>
        </is>
      </c>
      <c r="B268" s="1" t="n">
        <v>45818.4477662037</v>
      </c>
      <c r="C268" s="1" t="n">
        <v>46074</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28416-2025</t>
        </is>
      </c>
      <c r="B269" s="1" t="n">
        <v>45819.35346064815</v>
      </c>
      <c r="C269" s="1" t="n">
        <v>46074</v>
      </c>
      <c r="D269" t="inlineStr">
        <is>
          <t>ÖSTERGÖTLANDS LÄN</t>
        </is>
      </c>
      <c r="E269" t="inlineStr">
        <is>
          <t>LINKÖPING</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46225-2021</t>
        </is>
      </c>
      <c r="B270" s="1" t="n">
        <v>44442</v>
      </c>
      <c r="C270" s="1" t="n">
        <v>46074</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25776-2021</t>
        </is>
      </c>
      <c r="B271" s="1" t="n">
        <v>44343</v>
      </c>
      <c r="C271" s="1" t="n">
        <v>46074</v>
      </c>
      <c r="D271" t="inlineStr">
        <is>
          <t>ÖSTERGÖTLANDS LÄN</t>
        </is>
      </c>
      <c r="E271" t="inlineStr">
        <is>
          <t>LINKÖPING</t>
        </is>
      </c>
      <c r="G271" t="n">
        <v>2.6</v>
      </c>
      <c r="H271" t="n">
        <v>0</v>
      </c>
      <c r="I271" t="n">
        <v>0</v>
      </c>
      <c r="J271" t="n">
        <v>0</v>
      </c>
      <c r="K271" t="n">
        <v>0</v>
      </c>
      <c r="L271" t="n">
        <v>0</v>
      </c>
      <c r="M271" t="n">
        <v>0</v>
      </c>
      <c r="N271" t="n">
        <v>0</v>
      </c>
      <c r="O271" t="n">
        <v>0</v>
      </c>
      <c r="P271" t="n">
        <v>0</v>
      </c>
      <c r="Q271" t="n">
        <v>0</v>
      </c>
      <c r="R271" s="2" t="inlineStr"/>
    </row>
    <row r="272" ht="15" customHeight="1">
      <c r="A272" t="inlineStr">
        <is>
          <t>A 28398-2025</t>
        </is>
      </c>
      <c r="B272" s="1" t="n">
        <v>45819.34208333334</v>
      </c>
      <c r="C272" s="1" t="n">
        <v>46074</v>
      </c>
      <c r="D272" t="inlineStr">
        <is>
          <t>ÖSTERGÖTLANDS LÄN</t>
        </is>
      </c>
      <c r="E272" t="inlineStr">
        <is>
          <t>LINKÖPING</t>
        </is>
      </c>
      <c r="F272" t="inlineStr">
        <is>
          <t>Sveaskog</t>
        </is>
      </c>
      <c r="G272" t="n">
        <v>7.9</v>
      </c>
      <c r="H272" t="n">
        <v>0</v>
      </c>
      <c r="I272" t="n">
        <v>0</v>
      </c>
      <c r="J272" t="n">
        <v>0</v>
      </c>
      <c r="K272" t="n">
        <v>0</v>
      </c>
      <c r="L272" t="n">
        <v>0</v>
      </c>
      <c r="M272" t="n">
        <v>0</v>
      </c>
      <c r="N272" t="n">
        <v>0</v>
      </c>
      <c r="O272" t="n">
        <v>0</v>
      </c>
      <c r="P272" t="n">
        <v>0</v>
      </c>
      <c r="Q272" t="n">
        <v>0</v>
      </c>
      <c r="R272" s="2" t="inlineStr"/>
    </row>
    <row r="273" ht="15" customHeight="1">
      <c r="A273" t="inlineStr">
        <is>
          <t>A 51484-2023</t>
        </is>
      </c>
      <c r="B273" s="1" t="n">
        <v>45222</v>
      </c>
      <c r="C273" s="1" t="n">
        <v>46074</v>
      </c>
      <c r="D273" t="inlineStr">
        <is>
          <t>ÖSTERGÖTLANDS LÄN</t>
        </is>
      </c>
      <c r="E273" t="inlineStr">
        <is>
          <t>LINKÖPING</t>
        </is>
      </c>
      <c r="F273" t="inlineStr">
        <is>
          <t>Övriga Aktiebolag</t>
        </is>
      </c>
      <c r="G273" t="n">
        <v>7.7</v>
      </c>
      <c r="H273" t="n">
        <v>0</v>
      </c>
      <c r="I273" t="n">
        <v>0</v>
      </c>
      <c r="J273" t="n">
        <v>0</v>
      </c>
      <c r="K273" t="n">
        <v>0</v>
      </c>
      <c r="L273" t="n">
        <v>0</v>
      </c>
      <c r="M273" t="n">
        <v>0</v>
      </c>
      <c r="N273" t="n">
        <v>0</v>
      </c>
      <c r="O273" t="n">
        <v>0</v>
      </c>
      <c r="P273" t="n">
        <v>0</v>
      </c>
      <c r="Q273" t="n">
        <v>0</v>
      </c>
      <c r="R273" s="2" t="inlineStr"/>
    </row>
    <row r="274" ht="15" customHeight="1">
      <c r="A274" t="inlineStr">
        <is>
          <t>A 17898-2022</t>
        </is>
      </c>
      <c r="B274" s="1" t="n">
        <v>44683</v>
      </c>
      <c r="C274" s="1" t="n">
        <v>46074</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28209-2025</t>
        </is>
      </c>
      <c r="B275" s="1" t="n">
        <v>45818.45112268518</v>
      </c>
      <c r="C275" s="1" t="n">
        <v>46074</v>
      </c>
      <c r="D275" t="inlineStr">
        <is>
          <t>ÖSTERGÖTLANDS LÄN</t>
        </is>
      </c>
      <c r="E275" t="inlineStr">
        <is>
          <t>LINKÖPING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44945.79784722222</v>
      </c>
      <c r="C276" s="1" t="n">
        <v>46074</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63487-2023</t>
        </is>
      </c>
      <c r="B277" s="1" t="n">
        <v>45274.66712962963</v>
      </c>
      <c r="C277" s="1" t="n">
        <v>46074</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35463-2023</t>
        </is>
      </c>
      <c r="B278" s="1" t="n">
        <v>45146</v>
      </c>
      <c r="C278" s="1" t="n">
        <v>46074</v>
      </c>
      <c r="D278" t="inlineStr">
        <is>
          <t>ÖSTERGÖTLANDS LÄN</t>
        </is>
      </c>
      <c r="E278" t="inlineStr">
        <is>
          <t>LINKÖPING</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29027-2025</t>
        </is>
      </c>
      <c r="B279" s="1" t="n">
        <v>45821.4375462963</v>
      </c>
      <c r="C279" s="1" t="n">
        <v>46074</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55632-2022</t>
        </is>
      </c>
      <c r="B280" s="1" t="n">
        <v>44888</v>
      </c>
      <c r="C280" s="1" t="n">
        <v>46074</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29411-2025</t>
        </is>
      </c>
      <c r="B281" s="1" t="n">
        <v>45824.6219212963</v>
      </c>
      <c r="C281" s="1" t="n">
        <v>46074</v>
      </c>
      <c r="D281" t="inlineStr">
        <is>
          <t>ÖSTERGÖTLANDS LÄN</t>
        </is>
      </c>
      <c r="E281" t="inlineStr">
        <is>
          <t>LINKÖPING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63559-2023</t>
        </is>
      </c>
      <c r="B282" s="1" t="n">
        <v>45275.35924768518</v>
      </c>
      <c r="C282" s="1" t="n">
        <v>46074</v>
      </c>
      <c r="D282" t="inlineStr">
        <is>
          <t>ÖSTERGÖTLANDS LÄN</t>
        </is>
      </c>
      <c r="E282" t="inlineStr">
        <is>
          <t>LINKÖPING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29393-2025</t>
        </is>
      </c>
      <c r="B283" s="1" t="n">
        <v>45824.6057175926</v>
      </c>
      <c r="C283" s="1" t="n">
        <v>46074</v>
      </c>
      <c r="D283" t="inlineStr">
        <is>
          <t>ÖSTERGÖTLANDS LÄN</t>
        </is>
      </c>
      <c r="E283" t="inlineStr">
        <is>
          <t>LINKÖPING</t>
        </is>
      </c>
      <c r="F283" t="inlineStr">
        <is>
          <t>Sveaskog</t>
        </is>
      </c>
      <c r="G283" t="n">
        <v>24.6</v>
      </c>
      <c r="H283" t="n">
        <v>0</v>
      </c>
      <c r="I283" t="n">
        <v>0</v>
      </c>
      <c r="J283" t="n">
        <v>0</v>
      </c>
      <c r="K283" t="n">
        <v>0</v>
      </c>
      <c r="L283" t="n">
        <v>0</v>
      </c>
      <c r="M283" t="n">
        <v>0</v>
      </c>
      <c r="N283" t="n">
        <v>0</v>
      </c>
      <c r="O283" t="n">
        <v>0</v>
      </c>
      <c r="P283" t="n">
        <v>0</v>
      </c>
      <c r="Q283" t="n">
        <v>0</v>
      </c>
      <c r="R283" s="2" t="inlineStr"/>
    </row>
    <row r="284" ht="15" customHeight="1">
      <c r="A284" t="inlineStr">
        <is>
          <t>A 39438-2025</t>
        </is>
      </c>
      <c r="B284" s="1" t="n">
        <v>45889.68641203704</v>
      </c>
      <c r="C284" s="1" t="n">
        <v>46074</v>
      </c>
      <c r="D284" t="inlineStr">
        <is>
          <t>ÖSTERGÖTLANDS LÄN</t>
        </is>
      </c>
      <c r="E284" t="inlineStr">
        <is>
          <t>LINKÖPING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27264-2025</t>
        </is>
      </c>
      <c r="B285" s="1" t="n">
        <v>45812.4794212963</v>
      </c>
      <c r="C285" s="1" t="n">
        <v>46074</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29599-2025</t>
        </is>
      </c>
      <c r="B286" s="1" t="n">
        <v>45825.41101851852</v>
      </c>
      <c r="C286" s="1" t="n">
        <v>46074</v>
      </c>
      <c r="D286" t="inlineStr">
        <is>
          <t>ÖSTERGÖTLANDS LÄN</t>
        </is>
      </c>
      <c r="E286" t="inlineStr">
        <is>
          <t>LINKÖPING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58114-2021</t>
        </is>
      </c>
      <c r="B287" s="1" t="n">
        <v>44487</v>
      </c>
      <c r="C287" s="1" t="n">
        <v>46074</v>
      </c>
      <c r="D287" t="inlineStr">
        <is>
          <t>ÖSTERGÖTLANDS LÄN</t>
        </is>
      </c>
      <c r="E287" t="inlineStr">
        <is>
          <t>LINKÖPING</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39074-2025</t>
        </is>
      </c>
      <c r="B288" s="1" t="n">
        <v>45888</v>
      </c>
      <c r="C288" s="1" t="n">
        <v>46074</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72567-2021</t>
        </is>
      </c>
      <c r="B289" s="1" t="n">
        <v>44546.45023148148</v>
      </c>
      <c r="C289" s="1" t="n">
        <v>46074</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30355-2025</t>
        </is>
      </c>
      <c r="B290" s="1" t="n">
        <v>45827</v>
      </c>
      <c r="C290" s="1" t="n">
        <v>46074</v>
      </c>
      <c r="D290" t="inlineStr">
        <is>
          <t>ÖSTERGÖTLANDS LÄN</t>
        </is>
      </c>
      <c r="E290" t="inlineStr">
        <is>
          <t>LINKÖPING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55944-2024</t>
        </is>
      </c>
      <c r="B291" s="1" t="n">
        <v>45623.61640046296</v>
      </c>
      <c r="C291" s="1" t="n">
        <v>46074</v>
      </c>
      <c r="D291" t="inlineStr">
        <is>
          <t>ÖSTERGÖTLANDS LÄN</t>
        </is>
      </c>
      <c r="E291" t="inlineStr">
        <is>
          <t>LINKÖPING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55947-2024</t>
        </is>
      </c>
      <c r="B292" s="1" t="n">
        <v>45623</v>
      </c>
      <c r="C292" s="1" t="n">
        <v>46074</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46074</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30353-2025</t>
        </is>
      </c>
      <c r="B294" s="1" t="n">
        <v>45827</v>
      </c>
      <c r="C294" s="1" t="n">
        <v>46074</v>
      </c>
      <c r="D294" t="inlineStr">
        <is>
          <t>ÖSTERGÖTLANDS LÄN</t>
        </is>
      </c>
      <c r="E294" t="inlineStr">
        <is>
          <t>LINKÖPING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24151-2024</t>
        </is>
      </c>
      <c r="B295" s="1" t="n">
        <v>45456.67717592593</v>
      </c>
      <c r="C295" s="1" t="n">
        <v>46074</v>
      </c>
      <c r="D295" t="inlineStr">
        <is>
          <t>ÖSTERGÖTLANDS LÄN</t>
        </is>
      </c>
      <c r="E295" t="inlineStr">
        <is>
          <t>LINKÖPING</t>
        </is>
      </c>
      <c r="G295" t="n">
        <v>2.1</v>
      </c>
      <c r="H295" t="n">
        <v>0</v>
      </c>
      <c r="I295" t="n">
        <v>0</v>
      </c>
      <c r="J295" t="n">
        <v>0</v>
      </c>
      <c r="K295" t="n">
        <v>0</v>
      </c>
      <c r="L295" t="n">
        <v>0</v>
      </c>
      <c r="M295" t="n">
        <v>0</v>
      </c>
      <c r="N295" t="n">
        <v>0</v>
      </c>
      <c r="O295" t="n">
        <v>0</v>
      </c>
      <c r="P295" t="n">
        <v>0</v>
      </c>
      <c r="Q295" t="n">
        <v>0</v>
      </c>
      <c r="R295" s="2" t="inlineStr"/>
    </row>
    <row r="296" ht="15" customHeight="1">
      <c r="A296" t="inlineStr">
        <is>
          <t>A 40169-2025</t>
        </is>
      </c>
      <c r="B296" s="1" t="n">
        <v>45894.62824074074</v>
      </c>
      <c r="C296" s="1" t="n">
        <v>46074</v>
      </c>
      <c r="D296" t="inlineStr">
        <is>
          <t>ÖSTERGÖTLANDS LÄN</t>
        </is>
      </c>
      <c r="E296" t="inlineStr">
        <is>
          <t>LINKÖPING</t>
        </is>
      </c>
      <c r="G296" t="n">
        <v>2.8</v>
      </c>
      <c r="H296" t="n">
        <v>0</v>
      </c>
      <c r="I296" t="n">
        <v>0</v>
      </c>
      <c r="J296" t="n">
        <v>0</v>
      </c>
      <c r="K296" t="n">
        <v>0</v>
      </c>
      <c r="L296" t="n">
        <v>0</v>
      </c>
      <c r="M296" t="n">
        <v>0</v>
      </c>
      <c r="N296" t="n">
        <v>0</v>
      </c>
      <c r="O296" t="n">
        <v>0</v>
      </c>
      <c r="P296" t="n">
        <v>0</v>
      </c>
      <c r="Q296" t="n">
        <v>0</v>
      </c>
      <c r="R296" s="2" t="inlineStr"/>
    </row>
    <row r="297" ht="15" customHeight="1">
      <c r="A297" t="inlineStr">
        <is>
          <t>A 14576-2023</t>
        </is>
      </c>
      <c r="B297" s="1" t="n">
        <v>45013</v>
      </c>
      <c r="C297" s="1" t="n">
        <v>46074</v>
      </c>
      <c r="D297" t="inlineStr">
        <is>
          <t>ÖSTERGÖTLANDS LÄN</t>
        </is>
      </c>
      <c r="E297" t="inlineStr">
        <is>
          <t>LINKÖPING</t>
        </is>
      </c>
      <c r="G297" t="n">
        <v>3.2</v>
      </c>
      <c r="H297" t="n">
        <v>0</v>
      </c>
      <c r="I297" t="n">
        <v>0</v>
      </c>
      <c r="J297" t="n">
        <v>0</v>
      </c>
      <c r="K297" t="n">
        <v>0</v>
      </c>
      <c r="L297" t="n">
        <v>0</v>
      </c>
      <c r="M297" t="n">
        <v>0</v>
      </c>
      <c r="N297" t="n">
        <v>0</v>
      </c>
      <c r="O297" t="n">
        <v>0</v>
      </c>
      <c r="P297" t="n">
        <v>0</v>
      </c>
      <c r="Q297" t="n">
        <v>0</v>
      </c>
      <c r="R297" s="2" t="inlineStr"/>
    </row>
    <row r="298" ht="15" customHeight="1">
      <c r="A298" t="inlineStr">
        <is>
          <t>A 31581-2025</t>
        </is>
      </c>
      <c r="B298" s="1" t="n">
        <v>45833.6840162037</v>
      </c>
      <c r="C298" s="1" t="n">
        <v>46074</v>
      </c>
      <c r="D298" t="inlineStr">
        <is>
          <t>ÖSTERGÖTLANDS LÄN</t>
        </is>
      </c>
      <c r="E298" t="inlineStr">
        <is>
          <t>LINKÖPING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31585-2025</t>
        </is>
      </c>
      <c r="B299" s="1" t="n">
        <v>45833.68815972222</v>
      </c>
      <c r="C299" s="1" t="n">
        <v>46074</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74160-2021</t>
        </is>
      </c>
      <c r="B300" s="1" t="n">
        <v>44558</v>
      </c>
      <c r="C300" s="1" t="n">
        <v>46074</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41511-2025</t>
        </is>
      </c>
      <c r="B301" s="1" t="n">
        <v>45901.53839120371</v>
      </c>
      <c r="C301" s="1" t="n">
        <v>46074</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27766-2022</t>
        </is>
      </c>
      <c r="B302" s="1" t="n">
        <v>44743.53112268518</v>
      </c>
      <c r="C302" s="1" t="n">
        <v>46074</v>
      </c>
      <c r="D302" t="inlineStr">
        <is>
          <t>ÖSTERGÖTLANDS LÄN</t>
        </is>
      </c>
      <c r="E302" t="inlineStr">
        <is>
          <t>LINKÖPING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53641-2023</t>
        </is>
      </c>
      <c r="B303" s="1" t="n">
        <v>45230</v>
      </c>
      <c r="C303" s="1" t="n">
        <v>46074</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33000-2023</t>
        </is>
      </c>
      <c r="B304" s="1" t="n">
        <v>45125</v>
      </c>
      <c r="C304" s="1" t="n">
        <v>46074</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41706-2025</t>
        </is>
      </c>
      <c r="B305" s="1" t="n">
        <v>45902.42209490741</v>
      </c>
      <c r="C305" s="1" t="n">
        <v>46074</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52892-2024</t>
        </is>
      </c>
      <c r="B306" s="1" t="n">
        <v>45610</v>
      </c>
      <c r="C306" s="1" t="n">
        <v>46074</v>
      </c>
      <c r="D306" t="inlineStr">
        <is>
          <t>ÖSTERGÖTLANDS LÄN</t>
        </is>
      </c>
      <c r="E306" t="inlineStr">
        <is>
          <t>LINKÖPING</t>
        </is>
      </c>
      <c r="G306" t="n">
        <v>4.2</v>
      </c>
      <c r="H306" t="n">
        <v>0</v>
      </c>
      <c r="I306" t="n">
        <v>0</v>
      </c>
      <c r="J306" t="n">
        <v>0</v>
      </c>
      <c r="K306" t="n">
        <v>0</v>
      </c>
      <c r="L306" t="n">
        <v>0</v>
      </c>
      <c r="M306" t="n">
        <v>0</v>
      </c>
      <c r="N306" t="n">
        <v>0</v>
      </c>
      <c r="O306" t="n">
        <v>0</v>
      </c>
      <c r="P306" t="n">
        <v>0</v>
      </c>
      <c r="Q306" t="n">
        <v>0</v>
      </c>
      <c r="R306" s="2" t="inlineStr"/>
    </row>
    <row r="307" ht="15" customHeight="1">
      <c r="A307" t="inlineStr">
        <is>
          <t>A 3042-2024</t>
        </is>
      </c>
      <c r="B307" s="1" t="n">
        <v>45316.35028935185</v>
      </c>
      <c r="C307" s="1" t="n">
        <v>46074</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30521-2024</t>
        </is>
      </c>
      <c r="B308" s="1" t="n">
        <v>45492</v>
      </c>
      <c r="C308" s="1" t="n">
        <v>46074</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32723-2025</t>
        </is>
      </c>
      <c r="B309" s="1" t="n">
        <v>45838</v>
      </c>
      <c r="C309" s="1" t="n">
        <v>46074</v>
      </c>
      <c r="D309" t="inlineStr">
        <is>
          <t>ÖSTERGÖTLANDS LÄN</t>
        </is>
      </c>
      <c r="E309" t="inlineStr">
        <is>
          <t>LINKÖPING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51191-2022</t>
        </is>
      </c>
      <c r="B310" s="1" t="n">
        <v>44865</v>
      </c>
      <c r="C310" s="1" t="n">
        <v>46074</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29293-2025</t>
        </is>
      </c>
      <c r="B311" s="1" t="n">
        <v>45824</v>
      </c>
      <c r="C311" s="1" t="n">
        <v>46074</v>
      </c>
      <c r="D311" t="inlineStr">
        <is>
          <t>ÖSTERGÖTLANDS LÄN</t>
        </is>
      </c>
      <c r="E311" t="inlineStr">
        <is>
          <t>LINKÖPING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46074</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42626-2025</t>
        </is>
      </c>
      <c r="B313" s="1" t="n">
        <v>45905</v>
      </c>
      <c r="C313" s="1" t="n">
        <v>46074</v>
      </c>
      <c r="D313" t="inlineStr">
        <is>
          <t>ÖSTERGÖTLANDS LÄN</t>
        </is>
      </c>
      <c r="E313" t="inlineStr">
        <is>
          <t>LINKÖPING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42623-2025</t>
        </is>
      </c>
      <c r="B314" s="1" t="n">
        <v>45905</v>
      </c>
      <c r="C314" s="1" t="n">
        <v>46074</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12289-2025</t>
        </is>
      </c>
      <c r="B315" s="1" t="n">
        <v>45729</v>
      </c>
      <c r="C315" s="1" t="n">
        <v>46074</v>
      </c>
      <c r="D315" t="inlineStr">
        <is>
          <t>ÖSTERGÖTLANDS LÄN</t>
        </is>
      </c>
      <c r="E315" t="inlineStr">
        <is>
          <t>LINKÖPING</t>
        </is>
      </c>
      <c r="F315" t="inlineStr">
        <is>
          <t>Övriga statliga verk och myndigheter</t>
        </is>
      </c>
      <c r="G315" t="n">
        <v>6.5</v>
      </c>
      <c r="H315" t="n">
        <v>0</v>
      </c>
      <c r="I315" t="n">
        <v>0</v>
      </c>
      <c r="J315" t="n">
        <v>0</v>
      </c>
      <c r="K315" t="n">
        <v>0</v>
      </c>
      <c r="L315" t="n">
        <v>0</v>
      </c>
      <c r="M315" t="n">
        <v>0</v>
      </c>
      <c r="N315" t="n">
        <v>0</v>
      </c>
      <c r="O315" t="n">
        <v>0</v>
      </c>
      <c r="P315" t="n">
        <v>0</v>
      </c>
      <c r="Q315" t="n">
        <v>0</v>
      </c>
      <c r="R315" s="2" t="inlineStr"/>
    </row>
    <row r="316" ht="15" customHeight="1">
      <c r="A316" t="inlineStr">
        <is>
          <t>A 9434-2024</t>
        </is>
      </c>
      <c r="B316" s="1" t="n">
        <v>45359</v>
      </c>
      <c r="C316" s="1" t="n">
        <v>46074</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42054-2022</t>
        </is>
      </c>
      <c r="B317" s="1" t="n">
        <v>44830</v>
      </c>
      <c r="C317" s="1" t="n">
        <v>46074</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50182-2023</t>
        </is>
      </c>
      <c r="B318" s="1" t="n">
        <v>45208</v>
      </c>
      <c r="C318" s="1" t="n">
        <v>46074</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35781-2023</t>
        </is>
      </c>
      <c r="B319" s="1" t="n">
        <v>45147</v>
      </c>
      <c r="C319" s="1" t="n">
        <v>46074</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6387-2022</t>
        </is>
      </c>
      <c r="B320" s="1" t="n">
        <v>44600</v>
      </c>
      <c r="C320" s="1" t="n">
        <v>46074</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48707-2023</t>
        </is>
      </c>
      <c r="B321" s="1" t="n">
        <v>45202</v>
      </c>
      <c r="C321" s="1" t="n">
        <v>46074</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33947-2025</t>
        </is>
      </c>
      <c r="B322" s="1" t="n">
        <v>45842.65444444444</v>
      </c>
      <c r="C322" s="1" t="n">
        <v>46074</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53529-2024</t>
        </is>
      </c>
      <c r="B323" s="1" t="n">
        <v>45614</v>
      </c>
      <c r="C323" s="1" t="n">
        <v>46074</v>
      </c>
      <c r="D323" t="inlineStr">
        <is>
          <t>ÖSTERGÖTLANDS LÄN</t>
        </is>
      </c>
      <c r="E323" t="inlineStr">
        <is>
          <t>LINKÖPING</t>
        </is>
      </c>
      <c r="G323" t="n">
        <v>6.7</v>
      </c>
      <c r="H323" t="n">
        <v>0</v>
      </c>
      <c r="I323" t="n">
        <v>0</v>
      </c>
      <c r="J323" t="n">
        <v>0</v>
      </c>
      <c r="K323" t="n">
        <v>0</v>
      </c>
      <c r="L323" t="n">
        <v>0</v>
      </c>
      <c r="M323" t="n">
        <v>0</v>
      </c>
      <c r="N323" t="n">
        <v>0</v>
      </c>
      <c r="O323" t="n">
        <v>0</v>
      </c>
      <c r="P323" t="n">
        <v>0</v>
      </c>
      <c r="Q323" t="n">
        <v>0</v>
      </c>
      <c r="R323" s="2" t="inlineStr"/>
    </row>
    <row r="324" ht="15" customHeight="1">
      <c r="A324" t="inlineStr">
        <is>
          <t>A 62012-2024</t>
        </is>
      </c>
      <c r="B324" s="1" t="n">
        <v>45655.79679398148</v>
      </c>
      <c r="C324" s="1" t="n">
        <v>46074</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44170-2025</t>
        </is>
      </c>
      <c r="B325" s="1" t="n">
        <v>45915.59864583334</v>
      </c>
      <c r="C325" s="1" t="n">
        <v>46074</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20469-2025</t>
        </is>
      </c>
      <c r="B326" s="1" t="n">
        <v>45775</v>
      </c>
      <c r="C326" s="1" t="n">
        <v>46074</v>
      </c>
      <c r="D326" t="inlineStr">
        <is>
          <t>ÖSTERGÖTLANDS LÄN</t>
        </is>
      </c>
      <c r="E326" t="inlineStr">
        <is>
          <t>LINKÖPING</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43755-2025</t>
        </is>
      </c>
      <c r="B327" s="1" t="n">
        <v>45912.47329861111</v>
      </c>
      <c r="C327" s="1" t="n">
        <v>46074</v>
      </c>
      <c r="D327" t="inlineStr">
        <is>
          <t>ÖSTERGÖTLANDS LÄN</t>
        </is>
      </c>
      <c r="E327" t="inlineStr">
        <is>
          <t>LINKÖPING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43758-2025</t>
        </is>
      </c>
      <c r="B328" s="1" t="n">
        <v>45912.47711805555</v>
      </c>
      <c r="C328" s="1" t="n">
        <v>46074</v>
      </c>
      <c r="D328" t="inlineStr">
        <is>
          <t>ÖSTERGÖTLANDS LÄN</t>
        </is>
      </c>
      <c r="E328" t="inlineStr">
        <is>
          <t>LINKÖPING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43753-2025</t>
        </is>
      </c>
      <c r="B329" s="1" t="n">
        <v>45912.4715625</v>
      </c>
      <c r="C329" s="1" t="n">
        <v>46074</v>
      </c>
      <c r="D329" t="inlineStr">
        <is>
          <t>ÖSTERGÖTLANDS LÄN</t>
        </is>
      </c>
      <c r="E329" t="inlineStr">
        <is>
          <t>LINKÖPING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12089-2025</t>
        </is>
      </c>
      <c r="B330" s="1" t="n">
        <v>45729</v>
      </c>
      <c r="C330" s="1" t="n">
        <v>46074</v>
      </c>
      <c r="D330" t="inlineStr">
        <is>
          <t>ÖSTERGÖTLANDS LÄN</t>
        </is>
      </c>
      <c r="E330" t="inlineStr">
        <is>
          <t>LINKÖPING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45021.41194444444</v>
      </c>
      <c r="C331" s="1" t="n">
        <v>46074</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46074</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38886-2024</t>
        </is>
      </c>
      <c r="B333" s="1" t="n">
        <v>45547.66443287037</v>
      </c>
      <c r="C333" s="1" t="n">
        <v>46074</v>
      </c>
      <c r="D333" t="inlineStr">
        <is>
          <t>ÖSTERGÖTLANDS LÄN</t>
        </is>
      </c>
      <c r="E333" t="inlineStr">
        <is>
          <t>LINKÖPING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33800-2023</t>
        </is>
      </c>
      <c r="B334" s="1" t="n">
        <v>45121</v>
      </c>
      <c r="C334" s="1" t="n">
        <v>46074</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46074</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44764-2025</t>
        </is>
      </c>
      <c r="B336" s="1" t="n">
        <v>45917.72821759259</v>
      </c>
      <c r="C336" s="1" t="n">
        <v>46074</v>
      </c>
      <c r="D336" t="inlineStr">
        <is>
          <t>ÖSTERGÖTLANDS LÄN</t>
        </is>
      </c>
      <c r="E336" t="inlineStr">
        <is>
          <t>LINKÖPING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35174-2025</t>
        </is>
      </c>
      <c r="B337" s="1" t="n">
        <v>45852.90648148148</v>
      </c>
      <c r="C337" s="1" t="n">
        <v>46074</v>
      </c>
      <c r="D337" t="inlineStr">
        <is>
          <t>ÖSTERGÖTLANDS LÄN</t>
        </is>
      </c>
      <c r="E337" t="inlineStr">
        <is>
          <t>LINKÖPING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51583-2024</t>
        </is>
      </c>
      <c r="B338" s="1" t="n">
        <v>45604.6397337963</v>
      </c>
      <c r="C338" s="1" t="n">
        <v>46074</v>
      </c>
      <c r="D338" t="inlineStr">
        <is>
          <t>ÖSTERGÖTLANDS LÄN</t>
        </is>
      </c>
      <c r="E338" t="inlineStr">
        <is>
          <t>LINKÖPING</t>
        </is>
      </c>
      <c r="F338" t="inlineStr">
        <is>
          <t>Övriga Aktiebolag</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47991-2023</t>
        </is>
      </c>
      <c r="B339" s="1" t="n">
        <v>45204.62655092592</v>
      </c>
      <c r="C339" s="1" t="n">
        <v>46074</v>
      </c>
      <c r="D339" t="inlineStr">
        <is>
          <t>ÖSTERGÖTLANDS LÄN</t>
        </is>
      </c>
      <c r="E339" t="inlineStr">
        <is>
          <t>LINKÖPING</t>
        </is>
      </c>
      <c r="F339" t="inlineStr">
        <is>
          <t>Allmännings- och besparingsskogar</t>
        </is>
      </c>
      <c r="G339" t="n">
        <v>7.3</v>
      </c>
      <c r="H339" t="n">
        <v>0</v>
      </c>
      <c r="I339" t="n">
        <v>0</v>
      </c>
      <c r="J339" t="n">
        <v>0</v>
      </c>
      <c r="K339" t="n">
        <v>0</v>
      </c>
      <c r="L339" t="n">
        <v>0</v>
      </c>
      <c r="M339" t="n">
        <v>0</v>
      </c>
      <c r="N339" t="n">
        <v>0</v>
      </c>
      <c r="O339" t="n">
        <v>0</v>
      </c>
      <c r="P339" t="n">
        <v>0</v>
      </c>
      <c r="Q339" t="n">
        <v>0</v>
      </c>
      <c r="R339" s="2" t="inlineStr"/>
    </row>
    <row r="340" ht="15" customHeight="1">
      <c r="A340" t="inlineStr">
        <is>
          <t>A 35179-2025</t>
        </is>
      </c>
      <c r="B340" s="1" t="n">
        <v>45852.93737268518</v>
      </c>
      <c r="C340" s="1" t="n">
        <v>46074</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35180-2025</t>
        </is>
      </c>
      <c r="B341" s="1" t="n">
        <v>45852.9413425926</v>
      </c>
      <c r="C341" s="1" t="n">
        <v>46074</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64694-2023</t>
        </is>
      </c>
      <c r="B342" s="1" t="n">
        <v>45281</v>
      </c>
      <c r="C342" s="1" t="n">
        <v>46074</v>
      </c>
      <c r="D342" t="inlineStr">
        <is>
          <t>ÖSTERGÖTLANDS LÄN</t>
        </is>
      </c>
      <c r="E342" t="inlineStr">
        <is>
          <t>LINKÖPING</t>
        </is>
      </c>
      <c r="F342" t="inlineStr">
        <is>
          <t>Övriga statliga verk och myndigheter</t>
        </is>
      </c>
      <c r="G342" t="n">
        <v>4.9</v>
      </c>
      <c r="H342" t="n">
        <v>0</v>
      </c>
      <c r="I342" t="n">
        <v>0</v>
      </c>
      <c r="J342" t="n">
        <v>0</v>
      </c>
      <c r="K342" t="n">
        <v>0</v>
      </c>
      <c r="L342" t="n">
        <v>0</v>
      </c>
      <c r="M342" t="n">
        <v>0</v>
      </c>
      <c r="N342" t="n">
        <v>0</v>
      </c>
      <c r="O342" t="n">
        <v>0</v>
      </c>
      <c r="P342" t="n">
        <v>0</v>
      </c>
      <c r="Q342" t="n">
        <v>0</v>
      </c>
      <c r="R342" s="2" t="inlineStr"/>
    </row>
    <row r="343" ht="15" customHeight="1">
      <c r="A343" t="inlineStr">
        <is>
          <t>A 32602-2022</t>
        </is>
      </c>
      <c r="B343" s="1" t="n">
        <v>44783.43192129629</v>
      </c>
      <c r="C343" s="1" t="n">
        <v>46074</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35178-2025</t>
        </is>
      </c>
      <c r="B344" s="1" t="n">
        <v>45852.91939814815</v>
      </c>
      <c r="C344" s="1" t="n">
        <v>46074</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45112-2025</t>
        </is>
      </c>
      <c r="B345" s="1" t="n">
        <v>45919</v>
      </c>
      <c r="C345" s="1" t="n">
        <v>46074</v>
      </c>
      <c r="D345" t="inlineStr">
        <is>
          <t>ÖSTERGÖTLANDS LÄN</t>
        </is>
      </c>
      <c r="E345" t="inlineStr">
        <is>
          <t>LINKÖPING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62321-2022</t>
        </is>
      </c>
      <c r="B346" s="1" t="n">
        <v>44916</v>
      </c>
      <c r="C346" s="1" t="n">
        <v>46074</v>
      </c>
      <c r="D346" t="inlineStr">
        <is>
          <t>ÖSTERGÖTLANDS LÄN</t>
        </is>
      </c>
      <c r="E346" t="inlineStr">
        <is>
          <t>LINKÖPING</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45634-2025</t>
        </is>
      </c>
      <c r="B347" s="1" t="n">
        <v>45922.85089120371</v>
      </c>
      <c r="C347" s="1" t="n">
        <v>46074</v>
      </c>
      <c r="D347" t="inlineStr">
        <is>
          <t>ÖSTERGÖTLANDS LÄN</t>
        </is>
      </c>
      <c r="E347" t="inlineStr">
        <is>
          <t>LINKÖPING</t>
        </is>
      </c>
      <c r="F347" t="inlineStr">
        <is>
          <t>Övriga Aktiebolag</t>
        </is>
      </c>
      <c r="G347" t="n">
        <v>0.3</v>
      </c>
      <c r="H347" t="n">
        <v>0</v>
      </c>
      <c r="I347" t="n">
        <v>0</v>
      </c>
      <c r="J347" t="n">
        <v>0</v>
      </c>
      <c r="K347" t="n">
        <v>0</v>
      </c>
      <c r="L347" t="n">
        <v>0</v>
      </c>
      <c r="M347" t="n">
        <v>0</v>
      </c>
      <c r="N347" t="n">
        <v>0</v>
      </c>
      <c r="O347" t="n">
        <v>0</v>
      </c>
      <c r="P347" t="n">
        <v>0</v>
      </c>
      <c r="Q347" t="n">
        <v>0</v>
      </c>
      <c r="R347" s="2" t="inlineStr"/>
    </row>
    <row r="348" ht="15" customHeight="1">
      <c r="A348" t="inlineStr">
        <is>
          <t>A 1084-2023</t>
        </is>
      </c>
      <c r="B348" s="1" t="n">
        <v>44929</v>
      </c>
      <c r="C348" s="1" t="n">
        <v>46074</v>
      </c>
      <c r="D348" t="inlineStr">
        <is>
          <t>ÖSTERGÖTLANDS LÄN</t>
        </is>
      </c>
      <c r="E348" t="inlineStr">
        <is>
          <t>LINKÖPING</t>
        </is>
      </c>
      <c r="G348" t="n">
        <v>10.4</v>
      </c>
      <c r="H348" t="n">
        <v>0</v>
      </c>
      <c r="I348" t="n">
        <v>0</v>
      </c>
      <c r="J348" t="n">
        <v>0</v>
      </c>
      <c r="K348" t="n">
        <v>0</v>
      </c>
      <c r="L348" t="n">
        <v>0</v>
      </c>
      <c r="M348" t="n">
        <v>0</v>
      </c>
      <c r="N348" t="n">
        <v>0</v>
      </c>
      <c r="O348" t="n">
        <v>0</v>
      </c>
      <c r="P348" t="n">
        <v>0</v>
      </c>
      <c r="Q348" t="n">
        <v>0</v>
      </c>
      <c r="R348" s="2" t="inlineStr"/>
    </row>
    <row r="349" ht="15" customHeight="1">
      <c r="A349" t="inlineStr">
        <is>
          <t>A 267-2023</t>
        </is>
      </c>
      <c r="B349" s="1" t="n">
        <v>44928.80907407407</v>
      </c>
      <c r="C349" s="1" t="n">
        <v>46074</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940-2023</t>
        </is>
      </c>
      <c r="B350" s="1" t="n">
        <v>44933</v>
      </c>
      <c r="C350" s="1" t="n">
        <v>46074</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35757-2025</t>
        </is>
      </c>
      <c r="B351" s="1" t="n">
        <v>45860.59876157407</v>
      </c>
      <c r="C351" s="1" t="n">
        <v>46074</v>
      </c>
      <c r="D351" t="inlineStr">
        <is>
          <t>ÖSTERGÖTLANDS LÄN</t>
        </is>
      </c>
      <c r="E351" t="inlineStr">
        <is>
          <t>LINKÖPING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6369-2023</t>
        </is>
      </c>
      <c r="B352" s="1" t="n">
        <v>44965.61106481482</v>
      </c>
      <c r="C352" s="1" t="n">
        <v>46074</v>
      </c>
      <c r="D352" t="inlineStr">
        <is>
          <t>ÖSTERGÖTLANDS LÄN</t>
        </is>
      </c>
      <c r="E352" t="inlineStr">
        <is>
          <t>LINKÖPING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35745-2025</t>
        </is>
      </c>
      <c r="B353" s="1" t="n">
        <v>45860.54739583333</v>
      </c>
      <c r="C353" s="1" t="n">
        <v>46074</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35747-2025</t>
        </is>
      </c>
      <c r="B354" s="1" t="n">
        <v>45860.56385416666</v>
      </c>
      <c r="C354" s="1" t="n">
        <v>46074</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30980-2022</t>
        </is>
      </c>
      <c r="B355" s="1" t="n">
        <v>44768</v>
      </c>
      <c r="C355" s="1" t="n">
        <v>46074</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35759-2025</t>
        </is>
      </c>
      <c r="B356" s="1" t="n">
        <v>45860</v>
      </c>
      <c r="C356" s="1" t="n">
        <v>46074</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60007-2022</t>
        </is>
      </c>
      <c r="B357" s="1" t="n">
        <v>44909.47282407407</v>
      </c>
      <c r="C357" s="1" t="n">
        <v>46074</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45792-2025</t>
        </is>
      </c>
      <c r="B358" s="1" t="n">
        <v>45923.56998842592</v>
      </c>
      <c r="C358" s="1" t="n">
        <v>46074</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50799-2022</t>
        </is>
      </c>
      <c r="B359" s="1" t="n">
        <v>44862</v>
      </c>
      <c r="C359" s="1" t="n">
        <v>46074</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45804-2025</t>
        </is>
      </c>
      <c r="B360" s="1" t="n">
        <v>45923.5819675926</v>
      </c>
      <c r="C360" s="1" t="n">
        <v>46074</v>
      </c>
      <c r="D360" t="inlineStr">
        <is>
          <t>ÖSTERGÖTLANDS LÄN</t>
        </is>
      </c>
      <c r="E360" t="inlineStr">
        <is>
          <t>LINKÖPING</t>
        </is>
      </c>
      <c r="G360" t="n">
        <v>3.3</v>
      </c>
      <c r="H360" t="n">
        <v>0</v>
      </c>
      <c r="I360" t="n">
        <v>0</v>
      </c>
      <c r="J360" t="n">
        <v>0</v>
      </c>
      <c r="K360" t="n">
        <v>0</v>
      </c>
      <c r="L360" t="n">
        <v>0</v>
      </c>
      <c r="M360" t="n">
        <v>0</v>
      </c>
      <c r="N360" t="n">
        <v>0</v>
      </c>
      <c r="O360" t="n">
        <v>0</v>
      </c>
      <c r="P360" t="n">
        <v>0</v>
      </c>
      <c r="Q360" t="n">
        <v>0</v>
      </c>
      <c r="R360" s="2" t="inlineStr"/>
    </row>
    <row r="361" ht="15" customHeight="1">
      <c r="A361" t="inlineStr">
        <is>
          <t>A 46426-2025</t>
        </is>
      </c>
      <c r="B361" s="1" t="n">
        <v>45925.6012962963</v>
      </c>
      <c r="C361" s="1" t="n">
        <v>46074</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56064-2022</t>
        </is>
      </c>
      <c r="B362" s="1" t="n">
        <v>44889.59107638889</v>
      </c>
      <c r="C362" s="1" t="n">
        <v>46074</v>
      </c>
      <c r="D362" t="inlineStr">
        <is>
          <t>ÖSTERGÖTLANDS LÄN</t>
        </is>
      </c>
      <c r="E362" t="inlineStr">
        <is>
          <t>LINKÖPING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46074</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46428-2025</t>
        </is>
      </c>
      <c r="B364" s="1" t="n">
        <v>45925.60758101852</v>
      </c>
      <c r="C364" s="1" t="n">
        <v>46074</v>
      </c>
      <c r="D364" t="inlineStr">
        <is>
          <t>ÖSTERGÖTLANDS LÄN</t>
        </is>
      </c>
      <c r="E364" t="inlineStr">
        <is>
          <t>LINKÖPING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16111-2022</t>
        </is>
      </c>
      <c r="B365" s="1" t="n">
        <v>44665</v>
      </c>
      <c r="C365" s="1" t="n">
        <v>46074</v>
      </c>
      <c r="D365" t="inlineStr">
        <is>
          <t>ÖSTERGÖTLANDS LÄN</t>
        </is>
      </c>
      <c r="E365" t="inlineStr">
        <is>
          <t>LINKÖPING</t>
        </is>
      </c>
      <c r="F365" t="inlineStr">
        <is>
          <t>Övriga Aktiebolag</t>
        </is>
      </c>
      <c r="G365" t="n">
        <v>2.9</v>
      </c>
      <c r="H365" t="n">
        <v>0</v>
      </c>
      <c r="I365" t="n">
        <v>0</v>
      </c>
      <c r="J365" t="n">
        <v>0</v>
      </c>
      <c r="K365" t="n">
        <v>0</v>
      </c>
      <c r="L365" t="n">
        <v>0</v>
      </c>
      <c r="M365" t="n">
        <v>0</v>
      </c>
      <c r="N365" t="n">
        <v>0</v>
      </c>
      <c r="O365" t="n">
        <v>0</v>
      </c>
      <c r="P365" t="n">
        <v>0</v>
      </c>
      <c r="Q365" t="n">
        <v>0</v>
      </c>
      <c r="R365" s="2" t="inlineStr"/>
    </row>
    <row r="366" ht="15" customHeight="1">
      <c r="A366" t="inlineStr">
        <is>
          <t>A 46377-2025</t>
        </is>
      </c>
      <c r="B366" s="1" t="n">
        <v>45925.51773148148</v>
      </c>
      <c r="C366" s="1" t="n">
        <v>46074</v>
      </c>
      <c r="D366" t="inlineStr">
        <is>
          <t>ÖSTERGÖTLANDS LÄN</t>
        </is>
      </c>
      <c r="E366" t="inlineStr">
        <is>
          <t>LINKÖPING</t>
        </is>
      </c>
      <c r="G366" t="n">
        <v>3.1</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46074</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46074</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46847-2025</t>
        </is>
      </c>
      <c r="B369" s="1" t="n">
        <v>45928.69971064815</v>
      </c>
      <c r="C369" s="1" t="n">
        <v>46074</v>
      </c>
      <c r="D369" t="inlineStr">
        <is>
          <t>ÖSTERGÖTLANDS LÄN</t>
        </is>
      </c>
      <c r="E369" t="inlineStr">
        <is>
          <t>LINKÖPING</t>
        </is>
      </c>
      <c r="G369" t="n">
        <v>4.6</v>
      </c>
      <c r="H369" t="n">
        <v>0</v>
      </c>
      <c r="I369" t="n">
        <v>0</v>
      </c>
      <c r="J369" t="n">
        <v>0</v>
      </c>
      <c r="K369" t="n">
        <v>0</v>
      </c>
      <c r="L369" t="n">
        <v>0</v>
      </c>
      <c r="M369" t="n">
        <v>0</v>
      </c>
      <c r="N369" t="n">
        <v>0</v>
      </c>
      <c r="O369" t="n">
        <v>0</v>
      </c>
      <c r="P369" t="n">
        <v>0</v>
      </c>
      <c r="Q369" t="n">
        <v>0</v>
      </c>
      <c r="R369" s="2" t="inlineStr"/>
    </row>
    <row r="370" ht="15" customHeight="1">
      <c r="A370" t="inlineStr">
        <is>
          <t>A 1268-2023</t>
        </is>
      </c>
      <c r="B370" s="1" t="n">
        <v>44936</v>
      </c>
      <c r="C370" s="1" t="n">
        <v>46074</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62687-2023</t>
        </is>
      </c>
      <c r="B371" s="1" t="n">
        <v>45271</v>
      </c>
      <c r="C371" s="1" t="n">
        <v>46074</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47233-2025</t>
        </is>
      </c>
      <c r="B372" s="1" t="n">
        <v>45930.40612268518</v>
      </c>
      <c r="C372" s="1" t="n">
        <v>46074</v>
      </c>
      <c r="D372" t="inlineStr">
        <is>
          <t>ÖSTERGÖTLANDS LÄN</t>
        </is>
      </c>
      <c r="E372" t="inlineStr">
        <is>
          <t>LINKÖPING</t>
        </is>
      </c>
      <c r="G372" t="n">
        <v>4.3</v>
      </c>
      <c r="H372" t="n">
        <v>0</v>
      </c>
      <c r="I372" t="n">
        <v>0</v>
      </c>
      <c r="J372" t="n">
        <v>0</v>
      </c>
      <c r="K372" t="n">
        <v>0</v>
      </c>
      <c r="L372" t="n">
        <v>0</v>
      </c>
      <c r="M372" t="n">
        <v>0</v>
      </c>
      <c r="N372" t="n">
        <v>0</v>
      </c>
      <c r="O372" t="n">
        <v>0</v>
      </c>
      <c r="P372" t="n">
        <v>0</v>
      </c>
      <c r="Q372" t="n">
        <v>0</v>
      </c>
      <c r="R372" s="2" t="inlineStr"/>
    </row>
    <row r="373" ht="15" customHeight="1">
      <c r="A373" t="inlineStr">
        <is>
          <t>A 34641-2022</t>
        </is>
      </c>
      <c r="B373" s="1" t="n">
        <v>44795</v>
      </c>
      <c r="C373" s="1" t="n">
        <v>46074</v>
      </c>
      <c r="D373" t="inlineStr">
        <is>
          <t>ÖSTERGÖTLANDS LÄN</t>
        </is>
      </c>
      <c r="E373" t="inlineStr">
        <is>
          <t>LINKÖPING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47606-2025</t>
        </is>
      </c>
      <c r="B374" s="1" t="n">
        <v>45931.46402777778</v>
      </c>
      <c r="C374" s="1" t="n">
        <v>46074</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47304-2025</t>
        </is>
      </c>
      <c r="B375" s="1" t="n">
        <v>45930.52037037037</v>
      </c>
      <c r="C375" s="1" t="n">
        <v>46074</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46074</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2389-2023</t>
        </is>
      </c>
      <c r="B377" s="1" t="n">
        <v>44942</v>
      </c>
      <c r="C377" s="1" t="n">
        <v>46074</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37057-2025</t>
        </is>
      </c>
      <c r="B378" s="1" t="n">
        <v>45875.37489583333</v>
      </c>
      <c r="C378" s="1" t="n">
        <v>46074</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48-2024</t>
        </is>
      </c>
      <c r="B379" s="1" t="n">
        <v>45293</v>
      </c>
      <c r="C379" s="1" t="n">
        <v>46074</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45771-2023</t>
        </is>
      </c>
      <c r="B380" s="1" t="n">
        <v>45195.4384375</v>
      </c>
      <c r="C380" s="1" t="n">
        <v>46074</v>
      </c>
      <c r="D380" t="inlineStr">
        <is>
          <t>ÖSTERGÖTLANDS LÄN</t>
        </is>
      </c>
      <c r="E380" t="inlineStr">
        <is>
          <t>LINKÖPING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30547-2023</t>
        </is>
      </c>
      <c r="B381" s="1" t="n">
        <v>45111.75905092592</v>
      </c>
      <c r="C381" s="1" t="n">
        <v>46074</v>
      </c>
      <c r="D381" t="inlineStr">
        <is>
          <t>ÖSTERGÖTLANDS LÄN</t>
        </is>
      </c>
      <c r="E381" t="inlineStr">
        <is>
          <t>LINKÖPING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40502-2024</t>
        </is>
      </c>
      <c r="B382" s="1" t="n">
        <v>45555.57263888889</v>
      </c>
      <c r="C382" s="1" t="n">
        <v>46074</v>
      </c>
      <c r="D382" t="inlineStr">
        <is>
          <t>ÖSTERGÖTLANDS LÄN</t>
        </is>
      </c>
      <c r="E382" t="inlineStr">
        <is>
          <t>LINKÖPING</t>
        </is>
      </c>
      <c r="F382" t="inlineStr">
        <is>
          <t>Allmännings- och besparingsskogar</t>
        </is>
      </c>
      <c r="G382" t="n">
        <v>17.5</v>
      </c>
      <c r="H382" t="n">
        <v>0</v>
      </c>
      <c r="I382" t="n">
        <v>0</v>
      </c>
      <c r="J382" t="n">
        <v>0</v>
      </c>
      <c r="K382" t="n">
        <v>0</v>
      </c>
      <c r="L382" t="n">
        <v>0</v>
      </c>
      <c r="M382" t="n">
        <v>0</v>
      </c>
      <c r="N382" t="n">
        <v>0</v>
      </c>
      <c r="O382" t="n">
        <v>0</v>
      </c>
      <c r="P382" t="n">
        <v>0</v>
      </c>
      <c r="Q382" t="n">
        <v>0</v>
      </c>
      <c r="R382" s="2" t="inlineStr"/>
    </row>
    <row r="383" ht="15" customHeight="1">
      <c r="A383" t="inlineStr">
        <is>
          <t>A 48343-2025</t>
        </is>
      </c>
      <c r="B383" s="1" t="n">
        <v>45932</v>
      </c>
      <c r="C383" s="1" t="n">
        <v>46074</v>
      </c>
      <c r="D383" t="inlineStr">
        <is>
          <t>ÖSTERGÖTLANDS LÄN</t>
        </is>
      </c>
      <c r="E383" t="inlineStr">
        <is>
          <t>LINKÖPING</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46074</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24464-2023</t>
        </is>
      </c>
      <c r="B385" s="1" t="n">
        <v>45082.58068287037</v>
      </c>
      <c r="C385" s="1" t="n">
        <v>46074</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24467-2023</t>
        </is>
      </c>
      <c r="B386" s="1" t="n">
        <v>45082</v>
      </c>
      <c r="C386" s="1" t="n">
        <v>46074</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48389-2024</t>
        </is>
      </c>
      <c r="B387" s="1" t="n">
        <v>45590.59991898148</v>
      </c>
      <c r="C387" s="1" t="n">
        <v>46074</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56792-2023</t>
        </is>
      </c>
      <c r="B388" s="1" t="n">
        <v>45244</v>
      </c>
      <c r="C388" s="1" t="n">
        <v>46074</v>
      </c>
      <c r="D388" t="inlineStr">
        <is>
          <t>ÖSTERGÖTLANDS LÄN</t>
        </is>
      </c>
      <c r="E388" t="inlineStr">
        <is>
          <t>LINKÖPING</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48254-2025</t>
        </is>
      </c>
      <c r="B389" s="1" t="n">
        <v>45932</v>
      </c>
      <c r="C389" s="1" t="n">
        <v>46074</v>
      </c>
      <c r="D389" t="inlineStr">
        <is>
          <t>ÖSTERGÖTLANDS LÄN</t>
        </is>
      </c>
      <c r="E389" t="inlineStr">
        <is>
          <t>LINKÖPING</t>
        </is>
      </c>
      <c r="F389" t="inlineStr">
        <is>
          <t>Övriga Aktiebolag</t>
        </is>
      </c>
      <c r="G389" t="n">
        <v>0.8</v>
      </c>
      <c r="H389" t="n">
        <v>0</v>
      </c>
      <c r="I389" t="n">
        <v>0</v>
      </c>
      <c r="J389" t="n">
        <v>0</v>
      </c>
      <c r="K389" t="n">
        <v>0</v>
      </c>
      <c r="L389" t="n">
        <v>0</v>
      </c>
      <c r="M389" t="n">
        <v>0</v>
      </c>
      <c r="N389" t="n">
        <v>0</v>
      </c>
      <c r="O389" t="n">
        <v>0</v>
      </c>
      <c r="P389" t="n">
        <v>0</v>
      </c>
      <c r="Q389" t="n">
        <v>0</v>
      </c>
      <c r="R389" s="2" t="inlineStr"/>
    </row>
    <row r="390" ht="15" customHeight="1">
      <c r="A390" t="inlineStr">
        <is>
          <t>A 39017-2021</t>
        </is>
      </c>
      <c r="B390" s="1" t="n">
        <v>44412</v>
      </c>
      <c r="C390" s="1" t="n">
        <v>46074</v>
      </c>
      <c r="D390" t="inlineStr">
        <is>
          <t>ÖSTERGÖTLANDS LÄN</t>
        </is>
      </c>
      <c r="E390" t="inlineStr">
        <is>
          <t>LINKÖPING</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46074</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38046-2025</t>
        </is>
      </c>
      <c r="B392" s="1" t="n">
        <v>45882.39939814815</v>
      </c>
      <c r="C392" s="1" t="n">
        <v>46074</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1260-2023</t>
        </is>
      </c>
      <c r="B393" s="1" t="n">
        <v>44936</v>
      </c>
      <c r="C393" s="1" t="n">
        <v>46074</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46074</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49455-2025</t>
        </is>
      </c>
      <c r="B395" s="1" t="n">
        <v>45938</v>
      </c>
      <c r="C395" s="1" t="n">
        <v>46074</v>
      </c>
      <c r="D395" t="inlineStr">
        <is>
          <t>ÖSTERGÖTLANDS LÄN</t>
        </is>
      </c>
      <c r="E395" t="inlineStr">
        <is>
          <t>LINKÖPING</t>
        </is>
      </c>
      <c r="F395" t="inlineStr">
        <is>
          <t>Övriga Aktiebolag</t>
        </is>
      </c>
      <c r="G395" t="n">
        <v>5.9</v>
      </c>
      <c r="H395" t="n">
        <v>0</v>
      </c>
      <c r="I395" t="n">
        <v>0</v>
      </c>
      <c r="J395" t="n">
        <v>0</v>
      </c>
      <c r="K395" t="n">
        <v>0</v>
      </c>
      <c r="L395" t="n">
        <v>0</v>
      </c>
      <c r="M395" t="n">
        <v>0</v>
      </c>
      <c r="N395" t="n">
        <v>0</v>
      </c>
      <c r="O395" t="n">
        <v>0</v>
      </c>
      <c r="P395" t="n">
        <v>0</v>
      </c>
      <c r="Q395" t="n">
        <v>0</v>
      </c>
      <c r="R395" s="2" t="inlineStr"/>
    </row>
    <row r="396" ht="15" customHeight="1">
      <c r="A396" t="inlineStr">
        <is>
          <t>A 3007-2025</t>
        </is>
      </c>
      <c r="B396" s="1" t="n">
        <v>45678.56328703704</v>
      </c>
      <c r="C396" s="1" t="n">
        <v>46074</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10492-2022</t>
        </is>
      </c>
      <c r="B397" s="1" t="n">
        <v>44623.6377199074</v>
      </c>
      <c r="C397" s="1" t="n">
        <v>46074</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49605-2025</t>
        </is>
      </c>
      <c r="B398" s="1" t="n">
        <v>45938</v>
      </c>
      <c r="C398" s="1" t="n">
        <v>46074</v>
      </c>
      <c r="D398" t="inlineStr">
        <is>
          <t>ÖSTERGÖTLANDS LÄN</t>
        </is>
      </c>
      <c r="E398" t="inlineStr">
        <is>
          <t>LINKÖPING</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49663-2025</t>
        </is>
      </c>
      <c r="B399" s="1" t="n">
        <v>45938</v>
      </c>
      <c r="C399" s="1" t="n">
        <v>46074</v>
      </c>
      <c r="D399" t="inlineStr">
        <is>
          <t>ÖSTERGÖTLANDS LÄN</t>
        </is>
      </c>
      <c r="E399" t="inlineStr">
        <is>
          <t>LINKÖPING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30465-2023</t>
        </is>
      </c>
      <c r="B400" s="1" t="n">
        <v>45111</v>
      </c>
      <c r="C400" s="1" t="n">
        <v>46074</v>
      </c>
      <c r="D400" t="inlineStr">
        <is>
          <t>ÖSTERGÖTLANDS LÄN</t>
        </is>
      </c>
      <c r="E400" t="inlineStr">
        <is>
          <t>LINKÖPING</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49632-2025</t>
        </is>
      </c>
      <c r="B401" s="1" t="n">
        <v>45938</v>
      </c>
      <c r="C401" s="1" t="n">
        <v>46074</v>
      </c>
      <c r="D401" t="inlineStr">
        <is>
          <t>ÖSTERGÖTLANDS LÄN</t>
        </is>
      </c>
      <c r="E401" t="inlineStr">
        <is>
          <t>LINKÖPING</t>
        </is>
      </c>
      <c r="F401" t="inlineStr">
        <is>
          <t>Övriga Aktiebolag</t>
        </is>
      </c>
      <c r="G401" t="n">
        <v>1.6</v>
      </c>
      <c r="H401" t="n">
        <v>0</v>
      </c>
      <c r="I401" t="n">
        <v>0</v>
      </c>
      <c r="J401" t="n">
        <v>0</v>
      </c>
      <c r="K401" t="n">
        <v>0</v>
      </c>
      <c r="L401" t="n">
        <v>0</v>
      </c>
      <c r="M401" t="n">
        <v>0</v>
      </c>
      <c r="N401" t="n">
        <v>0</v>
      </c>
      <c r="O401" t="n">
        <v>0</v>
      </c>
      <c r="P401" t="n">
        <v>0</v>
      </c>
      <c r="Q401" t="n">
        <v>0</v>
      </c>
      <c r="R401" s="2" t="inlineStr"/>
    </row>
    <row r="402" ht="15" customHeight="1">
      <c r="A402" t="inlineStr">
        <is>
          <t>A 49647-2025</t>
        </is>
      </c>
      <c r="B402" s="1" t="n">
        <v>45938</v>
      </c>
      <c r="C402" s="1" t="n">
        <v>46074</v>
      </c>
      <c r="D402" t="inlineStr">
        <is>
          <t>ÖSTERGÖTLANDS LÄN</t>
        </is>
      </c>
      <c r="E402" t="inlineStr">
        <is>
          <t>LINKÖPING</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49652-2025</t>
        </is>
      </c>
      <c r="B403" s="1" t="n">
        <v>45938</v>
      </c>
      <c r="C403" s="1" t="n">
        <v>46074</v>
      </c>
      <c r="D403" t="inlineStr">
        <is>
          <t>ÖSTERGÖTLANDS LÄN</t>
        </is>
      </c>
      <c r="E403" t="inlineStr">
        <is>
          <t>LINKÖPING</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49654-2025</t>
        </is>
      </c>
      <c r="B404" s="1" t="n">
        <v>45938</v>
      </c>
      <c r="C404" s="1" t="n">
        <v>46074</v>
      </c>
      <c r="D404" t="inlineStr">
        <is>
          <t>ÖSTERGÖTLANDS LÄN</t>
        </is>
      </c>
      <c r="E404" t="inlineStr">
        <is>
          <t>LINKÖPING</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39021-2021</t>
        </is>
      </c>
      <c r="B405" s="1" t="n">
        <v>44412</v>
      </c>
      <c r="C405" s="1" t="n">
        <v>46074</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49615-2025</t>
        </is>
      </c>
      <c r="B406" s="1" t="n">
        <v>45938</v>
      </c>
      <c r="C406" s="1" t="n">
        <v>46074</v>
      </c>
      <c r="D406" t="inlineStr">
        <is>
          <t>ÖSTERGÖTLANDS LÄN</t>
        </is>
      </c>
      <c r="E406" t="inlineStr">
        <is>
          <t>LINKÖPING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49619-2025</t>
        </is>
      </c>
      <c r="B407" s="1" t="n">
        <v>45938</v>
      </c>
      <c r="C407" s="1" t="n">
        <v>46074</v>
      </c>
      <c r="D407" t="inlineStr">
        <is>
          <t>ÖSTERGÖTLANDS LÄN</t>
        </is>
      </c>
      <c r="E407" t="inlineStr">
        <is>
          <t>LINKÖPING</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49629-2025</t>
        </is>
      </c>
      <c r="B408" s="1" t="n">
        <v>45938</v>
      </c>
      <c r="C408" s="1" t="n">
        <v>46074</v>
      </c>
      <c r="D408" t="inlineStr">
        <is>
          <t>ÖSTERGÖTLANDS LÄN</t>
        </is>
      </c>
      <c r="E408" t="inlineStr">
        <is>
          <t>LINKÖPING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49650-2025</t>
        </is>
      </c>
      <c r="B409" s="1" t="n">
        <v>45938</v>
      </c>
      <c r="C409" s="1" t="n">
        <v>46074</v>
      </c>
      <c r="D409" t="inlineStr">
        <is>
          <t>ÖSTERGÖTLANDS LÄN</t>
        </is>
      </c>
      <c r="E409" t="inlineStr">
        <is>
          <t>LINKÖPING</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62353-2022</t>
        </is>
      </c>
      <c r="B410" s="1" t="n">
        <v>44923</v>
      </c>
      <c r="C410" s="1" t="n">
        <v>46074</v>
      </c>
      <c r="D410" t="inlineStr">
        <is>
          <t>ÖSTERGÖTLANDS LÄN</t>
        </is>
      </c>
      <c r="E410" t="inlineStr">
        <is>
          <t>LINKÖPING</t>
        </is>
      </c>
      <c r="F410" t="inlineStr">
        <is>
          <t>Allmännings- och besparingsskogar</t>
        </is>
      </c>
      <c r="G410" t="n">
        <v>1.7</v>
      </c>
      <c r="H410" t="n">
        <v>0</v>
      </c>
      <c r="I410" t="n">
        <v>0</v>
      </c>
      <c r="J410" t="n">
        <v>0</v>
      </c>
      <c r="K410" t="n">
        <v>0</v>
      </c>
      <c r="L410" t="n">
        <v>0</v>
      </c>
      <c r="M410" t="n">
        <v>0</v>
      </c>
      <c r="N410" t="n">
        <v>0</v>
      </c>
      <c r="O410" t="n">
        <v>0</v>
      </c>
      <c r="P410" t="n">
        <v>0</v>
      </c>
      <c r="Q410" t="n">
        <v>0</v>
      </c>
      <c r="R410" s="2" t="inlineStr"/>
    </row>
    <row r="411" ht="15" customHeight="1">
      <c r="A411" t="inlineStr">
        <is>
          <t>A 30111-2024</t>
        </is>
      </c>
      <c r="B411" s="1" t="n">
        <v>45489.46947916667</v>
      </c>
      <c r="C411" s="1" t="n">
        <v>46074</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30119-2024</t>
        </is>
      </c>
      <c r="B412" s="1" t="n">
        <v>45489</v>
      </c>
      <c r="C412" s="1" t="n">
        <v>46074</v>
      </c>
      <c r="D412" t="inlineStr">
        <is>
          <t>ÖSTERGÖTLANDS LÄN</t>
        </is>
      </c>
      <c r="E412" t="inlineStr">
        <is>
          <t>LINKÖPING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49633-2025</t>
        </is>
      </c>
      <c r="B413" s="1" t="n">
        <v>45938</v>
      </c>
      <c r="C413" s="1" t="n">
        <v>46074</v>
      </c>
      <c r="D413" t="inlineStr">
        <is>
          <t>ÖSTERGÖTLANDS LÄN</t>
        </is>
      </c>
      <c r="E413" t="inlineStr">
        <is>
          <t>LINKÖPING</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29411-2023</t>
        </is>
      </c>
      <c r="B414" s="1" t="n">
        <v>45106.46225694445</v>
      </c>
      <c r="C414" s="1" t="n">
        <v>46074</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29412-2023</t>
        </is>
      </c>
      <c r="B415" s="1" t="n">
        <v>45106.46359953703</v>
      </c>
      <c r="C415" s="1" t="n">
        <v>46074</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46074</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61281-2021</t>
        </is>
      </c>
      <c r="B417" s="1" t="n">
        <v>44498.60736111111</v>
      </c>
      <c r="C417" s="1" t="n">
        <v>46074</v>
      </c>
      <c r="D417" t="inlineStr">
        <is>
          <t>ÖSTERGÖTLANDS LÄN</t>
        </is>
      </c>
      <c r="E417" t="inlineStr">
        <is>
          <t>LINKÖPING</t>
        </is>
      </c>
      <c r="G417" t="n">
        <v>4.5</v>
      </c>
      <c r="H417" t="n">
        <v>0</v>
      </c>
      <c r="I417" t="n">
        <v>0</v>
      </c>
      <c r="J417" t="n">
        <v>0</v>
      </c>
      <c r="K417" t="n">
        <v>0</v>
      </c>
      <c r="L417" t="n">
        <v>0</v>
      </c>
      <c r="M417" t="n">
        <v>0</v>
      </c>
      <c r="N417" t="n">
        <v>0</v>
      </c>
      <c r="O417" t="n">
        <v>0</v>
      </c>
      <c r="P417" t="n">
        <v>0</v>
      </c>
      <c r="Q417" t="n">
        <v>0</v>
      </c>
      <c r="R417" s="2" t="inlineStr"/>
    </row>
    <row r="418" ht="15" customHeight="1">
      <c r="A418" t="inlineStr">
        <is>
          <t>A 421-2024</t>
        </is>
      </c>
      <c r="B418" s="1" t="n">
        <v>45296.51877314815</v>
      </c>
      <c r="C418" s="1" t="n">
        <v>46074</v>
      </c>
      <c r="D418" t="inlineStr">
        <is>
          <t>ÖSTERGÖTLANDS LÄN</t>
        </is>
      </c>
      <c r="E418" t="inlineStr">
        <is>
          <t>LINKÖPING</t>
        </is>
      </c>
      <c r="G418" t="n">
        <v>3.7</v>
      </c>
      <c r="H418" t="n">
        <v>0</v>
      </c>
      <c r="I418" t="n">
        <v>0</v>
      </c>
      <c r="J418" t="n">
        <v>0</v>
      </c>
      <c r="K418" t="n">
        <v>0</v>
      </c>
      <c r="L418" t="n">
        <v>0</v>
      </c>
      <c r="M418" t="n">
        <v>0</v>
      </c>
      <c r="N418" t="n">
        <v>0</v>
      </c>
      <c r="O418" t="n">
        <v>0</v>
      </c>
      <c r="P418" t="n">
        <v>0</v>
      </c>
      <c r="Q418" t="n">
        <v>0</v>
      </c>
      <c r="R418" s="2" t="inlineStr"/>
    </row>
    <row r="419" ht="15" customHeight="1">
      <c r="A419" t="inlineStr">
        <is>
          <t>A 25292-2021</t>
        </is>
      </c>
      <c r="B419" s="1" t="n">
        <v>44342</v>
      </c>
      <c r="C419" s="1" t="n">
        <v>46074</v>
      </c>
      <c r="D419" t="inlineStr">
        <is>
          <t>ÖSTERGÖTLANDS LÄN</t>
        </is>
      </c>
      <c r="E419" t="inlineStr">
        <is>
          <t>LINKÖPING</t>
        </is>
      </c>
      <c r="F419" t="inlineStr">
        <is>
          <t>Övriga Aktiebolag</t>
        </is>
      </c>
      <c r="G419" t="n">
        <v>12.8</v>
      </c>
      <c r="H419" t="n">
        <v>0</v>
      </c>
      <c r="I419" t="n">
        <v>0</v>
      </c>
      <c r="J419" t="n">
        <v>0</v>
      </c>
      <c r="K419" t="n">
        <v>0</v>
      </c>
      <c r="L419" t="n">
        <v>0</v>
      </c>
      <c r="M419" t="n">
        <v>0</v>
      </c>
      <c r="N419" t="n">
        <v>0</v>
      </c>
      <c r="O419" t="n">
        <v>0</v>
      </c>
      <c r="P419" t="n">
        <v>0</v>
      </c>
      <c r="Q419" t="n">
        <v>0</v>
      </c>
      <c r="R419" s="2" t="inlineStr"/>
    </row>
    <row r="420" ht="15" customHeight="1">
      <c r="A420" t="inlineStr">
        <is>
          <t>A 63935-2021</t>
        </is>
      </c>
      <c r="B420" s="1" t="n">
        <v>44509</v>
      </c>
      <c r="C420" s="1" t="n">
        <v>46074</v>
      </c>
      <c r="D420" t="inlineStr">
        <is>
          <t>ÖSTERGÖTLANDS LÄN</t>
        </is>
      </c>
      <c r="E420" t="inlineStr">
        <is>
          <t>LINKÖPING</t>
        </is>
      </c>
      <c r="F420" t="inlineStr">
        <is>
          <t>Övriga statliga verk och myndigheter</t>
        </is>
      </c>
      <c r="G420" t="n">
        <v>2.8</v>
      </c>
      <c r="H420" t="n">
        <v>0</v>
      </c>
      <c r="I420" t="n">
        <v>0</v>
      </c>
      <c r="J420" t="n">
        <v>0</v>
      </c>
      <c r="K420" t="n">
        <v>0</v>
      </c>
      <c r="L420" t="n">
        <v>0</v>
      </c>
      <c r="M420" t="n">
        <v>0</v>
      </c>
      <c r="N420" t="n">
        <v>0</v>
      </c>
      <c r="O420" t="n">
        <v>0</v>
      </c>
      <c r="P420" t="n">
        <v>0</v>
      </c>
      <c r="Q420" t="n">
        <v>0</v>
      </c>
      <c r="R420" s="2" t="inlineStr"/>
    </row>
    <row r="421" ht="15" customHeight="1">
      <c r="A421" t="inlineStr">
        <is>
          <t>A 40983-2025</t>
        </is>
      </c>
      <c r="B421" s="1" t="n">
        <v>45898</v>
      </c>
      <c r="C421" s="1" t="n">
        <v>46074</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38971-2025</t>
        </is>
      </c>
      <c r="B422" s="1" t="n">
        <v>45887.71827546296</v>
      </c>
      <c r="C422" s="1" t="n">
        <v>46074</v>
      </c>
      <c r="D422" t="inlineStr">
        <is>
          <t>ÖSTERGÖTLANDS LÄN</t>
        </is>
      </c>
      <c r="E422" t="inlineStr">
        <is>
          <t>LINKÖPING</t>
        </is>
      </c>
      <c r="G422" t="n">
        <v>3.9</v>
      </c>
      <c r="H422" t="n">
        <v>0</v>
      </c>
      <c r="I422" t="n">
        <v>0</v>
      </c>
      <c r="J422" t="n">
        <v>0</v>
      </c>
      <c r="K422" t="n">
        <v>0</v>
      </c>
      <c r="L422" t="n">
        <v>0</v>
      </c>
      <c r="M422" t="n">
        <v>0</v>
      </c>
      <c r="N422" t="n">
        <v>0</v>
      </c>
      <c r="O422" t="n">
        <v>0</v>
      </c>
      <c r="P422" t="n">
        <v>0</v>
      </c>
      <c r="Q422" t="n">
        <v>0</v>
      </c>
      <c r="R422" s="2" t="inlineStr"/>
    </row>
    <row r="423" ht="15" customHeight="1">
      <c r="A423" t="inlineStr">
        <is>
          <t>A 50056-2025</t>
        </is>
      </c>
      <c r="B423" s="1" t="n">
        <v>45941</v>
      </c>
      <c r="C423" s="1" t="n">
        <v>46074</v>
      </c>
      <c r="D423" t="inlineStr">
        <is>
          <t>ÖSTERGÖTLANDS LÄN</t>
        </is>
      </c>
      <c r="E423" t="inlineStr">
        <is>
          <t>LINKÖPING</t>
        </is>
      </c>
      <c r="G423" t="n">
        <v>0.3</v>
      </c>
      <c r="H423" t="n">
        <v>0</v>
      </c>
      <c r="I423" t="n">
        <v>0</v>
      </c>
      <c r="J423" t="n">
        <v>0</v>
      </c>
      <c r="K423" t="n">
        <v>0</v>
      </c>
      <c r="L423" t="n">
        <v>0</v>
      </c>
      <c r="M423" t="n">
        <v>0</v>
      </c>
      <c r="N423" t="n">
        <v>0</v>
      </c>
      <c r="O423" t="n">
        <v>0</v>
      </c>
      <c r="P423" t="n">
        <v>0</v>
      </c>
      <c r="Q423" t="n">
        <v>0</v>
      </c>
      <c r="R423" s="2" t="inlineStr"/>
    </row>
    <row r="424" ht="15" customHeight="1">
      <c r="A424" t="inlineStr">
        <is>
          <t>A 22043-2023</t>
        </is>
      </c>
      <c r="B424" s="1" t="n">
        <v>45069.39050925926</v>
      </c>
      <c r="C424" s="1" t="n">
        <v>46074</v>
      </c>
      <c r="D424" t="inlineStr">
        <is>
          <t>ÖSTERGÖTLANDS LÄN</t>
        </is>
      </c>
      <c r="E424" t="inlineStr">
        <is>
          <t>LINKÖPING</t>
        </is>
      </c>
      <c r="G424" t="n">
        <v>5.9</v>
      </c>
      <c r="H424" t="n">
        <v>0</v>
      </c>
      <c r="I424" t="n">
        <v>0</v>
      </c>
      <c r="J424" t="n">
        <v>0</v>
      </c>
      <c r="K424" t="n">
        <v>0</v>
      </c>
      <c r="L424" t="n">
        <v>0</v>
      </c>
      <c r="M424" t="n">
        <v>0</v>
      </c>
      <c r="N424" t="n">
        <v>0</v>
      </c>
      <c r="O424" t="n">
        <v>0</v>
      </c>
      <c r="P424" t="n">
        <v>0</v>
      </c>
      <c r="Q424" t="n">
        <v>0</v>
      </c>
      <c r="R424" s="2" t="inlineStr"/>
    </row>
    <row r="425" ht="15" customHeight="1">
      <c r="A425" t="inlineStr">
        <is>
          <t>A 55345-2021</t>
        </is>
      </c>
      <c r="B425" s="1" t="n">
        <v>44475</v>
      </c>
      <c r="C425" s="1" t="n">
        <v>46074</v>
      </c>
      <c r="D425" t="inlineStr">
        <is>
          <t>ÖSTERGÖTLANDS LÄN</t>
        </is>
      </c>
      <c r="E425" t="inlineStr">
        <is>
          <t>LINKÖPING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61532-2021</t>
        </is>
      </c>
      <c r="B426" s="1" t="n">
        <v>44501</v>
      </c>
      <c r="C426" s="1" t="n">
        <v>46074</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46074</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14028-2024</t>
        </is>
      </c>
      <c r="B428" s="1" t="n">
        <v>45392</v>
      </c>
      <c r="C428" s="1" t="n">
        <v>46074</v>
      </c>
      <c r="D428" t="inlineStr">
        <is>
          <t>ÖSTERGÖTLANDS LÄN</t>
        </is>
      </c>
      <c r="E428" t="inlineStr">
        <is>
          <t>LINKÖPING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40431-2024</t>
        </is>
      </c>
      <c r="B429" s="1" t="n">
        <v>45555.47070601852</v>
      </c>
      <c r="C429" s="1" t="n">
        <v>46074</v>
      </c>
      <c r="D429" t="inlineStr">
        <is>
          <t>ÖSTERGÖTLANDS LÄN</t>
        </is>
      </c>
      <c r="E429" t="inlineStr">
        <is>
          <t>LINKÖPING</t>
        </is>
      </c>
      <c r="F429" t="inlineStr">
        <is>
          <t>Allmännings- och besparingsskogar</t>
        </is>
      </c>
      <c r="G429" t="n">
        <v>2.9</v>
      </c>
      <c r="H429" t="n">
        <v>0</v>
      </c>
      <c r="I429" t="n">
        <v>0</v>
      </c>
      <c r="J429" t="n">
        <v>0</v>
      </c>
      <c r="K429" t="n">
        <v>0</v>
      </c>
      <c r="L429" t="n">
        <v>0</v>
      </c>
      <c r="M429" t="n">
        <v>0</v>
      </c>
      <c r="N429" t="n">
        <v>0</v>
      </c>
      <c r="O429" t="n">
        <v>0</v>
      </c>
      <c r="P429" t="n">
        <v>0</v>
      </c>
      <c r="Q429" t="n">
        <v>0</v>
      </c>
      <c r="R429" s="2" t="inlineStr"/>
    </row>
    <row r="430" ht="15" customHeight="1">
      <c r="A430" t="inlineStr">
        <is>
          <t>A 60860-2024</t>
        </is>
      </c>
      <c r="B430" s="1" t="n">
        <v>45644.6893287037</v>
      </c>
      <c r="C430" s="1" t="n">
        <v>46074</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2697-2023</t>
        </is>
      </c>
      <c r="B431" s="1" t="n">
        <v>44944</v>
      </c>
      <c r="C431" s="1" t="n">
        <v>46074</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45806-2024</t>
        </is>
      </c>
      <c r="B432" s="1" t="n">
        <v>45579.69619212963</v>
      </c>
      <c r="C432" s="1" t="n">
        <v>46074</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56756-2023</t>
        </is>
      </c>
      <c r="B433" s="1" t="n">
        <v>45244</v>
      </c>
      <c r="C433" s="1" t="n">
        <v>46074</v>
      </c>
      <c r="D433" t="inlineStr">
        <is>
          <t>ÖSTERGÖTLANDS LÄN</t>
        </is>
      </c>
      <c r="E433" t="inlineStr">
        <is>
          <t>LINKÖPING</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60985-2023</t>
        </is>
      </c>
      <c r="B434" s="1" t="n">
        <v>45261.48429398148</v>
      </c>
      <c r="C434" s="1" t="n">
        <v>46074</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24904-2024</t>
        </is>
      </c>
      <c r="B435" s="1" t="n">
        <v>45461</v>
      </c>
      <c r="C435" s="1" t="n">
        <v>46074</v>
      </c>
      <c r="D435" t="inlineStr">
        <is>
          <t>ÖSTERGÖTLANDS LÄN</t>
        </is>
      </c>
      <c r="E435" t="inlineStr">
        <is>
          <t>LINKÖPING</t>
        </is>
      </c>
      <c r="G435" t="n">
        <v>3.8</v>
      </c>
      <c r="H435" t="n">
        <v>0</v>
      </c>
      <c r="I435" t="n">
        <v>0</v>
      </c>
      <c r="J435" t="n">
        <v>0</v>
      </c>
      <c r="K435" t="n">
        <v>0</v>
      </c>
      <c r="L435" t="n">
        <v>0</v>
      </c>
      <c r="M435" t="n">
        <v>0</v>
      </c>
      <c r="N435" t="n">
        <v>0</v>
      </c>
      <c r="O435" t="n">
        <v>0</v>
      </c>
      <c r="P435" t="n">
        <v>0</v>
      </c>
      <c r="Q435" t="n">
        <v>0</v>
      </c>
      <c r="R435" s="2" t="inlineStr"/>
    </row>
    <row r="436" ht="15" customHeight="1">
      <c r="A436" t="inlineStr">
        <is>
          <t>A 55009-2023</t>
        </is>
      </c>
      <c r="B436" s="1" t="n">
        <v>45237</v>
      </c>
      <c r="C436" s="1" t="n">
        <v>46074</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34872-2023</t>
        </is>
      </c>
      <c r="B437" s="1" t="n">
        <v>45140</v>
      </c>
      <c r="C437" s="1" t="n">
        <v>46074</v>
      </c>
      <c r="D437" t="inlineStr">
        <is>
          <t>ÖSTERGÖTLANDS LÄN</t>
        </is>
      </c>
      <c r="E437" t="inlineStr">
        <is>
          <t>LINKÖPING</t>
        </is>
      </c>
      <c r="G437" t="n">
        <v>4.8</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46074</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36336-2022</t>
        </is>
      </c>
      <c r="B439" s="1" t="n">
        <v>44803</v>
      </c>
      <c r="C439" s="1" t="n">
        <v>46074</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25097-2023</t>
        </is>
      </c>
      <c r="B440" s="1" t="n">
        <v>45086</v>
      </c>
      <c r="C440" s="1" t="n">
        <v>46074</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52111-2025</t>
        </is>
      </c>
      <c r="B441" s="1" t="n">
        <v>45952.69527777778</v>
      </c>
      <c r="C441" s="1" t="n">
        <v>46074</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46074</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50386-2021</t>
        </is>
      </c>
      <c r="B443" s="1" t="n">
        <v>44459</v>
      </c>
      <c r="C443" s="1" t="n">
        <v>46074</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52740-2025</t>
        </is>
      </c>
      <c r="B444" s="1" t="n">
        <v>45957.37747685185</v>
      </c>
      <c r="C444" s="1" t="n">
        <v>46074</v>
      </c>
      <c r="D444" t="inlineStr">
        <is>
          <t>ÖSTERGÖTLANDS LÄN</t>
        </is>
      </c>
      <c r="E444" t="inlineStr">
        <is>
          <t>LINKÖPING</t>
        </is>
      </c>
      <c r="G444" t="n">
        <v>3.7</v>
      </c>
      <c r="H444" t="n">
        <v>0</v>
      </c>
      <c r="I444" t="n">
        <v>0</v>
      </c>
      <c r="J444" t="n">
        <v>0</v>
      </c>
      <c r="K444" t="n">
        <v>0</v>
      </c>
      <c r="L444" t="n">
        <v>0</v>
      </c>
      <c r="M444" t="n">
        <v>0</v>
      </c>
      <c r="N444" t="n">
        <v>0</v>
      </c>
      <c r="O444" t="n">
        <v>0</v>
      </c>
      <c r="P444" t="n">
        <v>0</v>
      </c>
      <c r="Q444" t="n">
        <v>0</v>
      </c>
      <c r="R444" s="2" t="inlineStr"/>
    </row>
    <row r="445" ht="15" customHeight="1">
      <c r="A445" t="inlineStr">
        <is>
          <t>A 350-2022</t>
        </is>
      </c>
      <c r="B445" s="1" t="n">
        <v>44565</v>
      </c>
      <c r="C445" s="1" t="n">
        <v>46074</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52800-2025</t>
        </is>
      </c>
      <c r="B446" s="1" t="n">
        <v>45957.44152777778</v>
      </c>
      <c r="C446" s="1" t="n">
        <v>46074</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52802-2025</t>
        </is>
      </c>
      <c r="B447" s="1" t="n">
        <v>45957.44295138889</v>
      </c>
      <c r="C447" s="1" t="n">
        <v>46074</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18891-2022</t>
        </is>
      </c>
      <c r="B448" s="1" t="n">
        <v>44690</v>
      </c>
      <c r="C448" s="1" t="n">
        <v>46074</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52743-2025</t>
        </is>
      </c>
      <c r="B449" s="1" t="n">
        <v>45957.38039351852</v>
      </c>
      <c r="C449" s="1" t="n">
        <v>46074</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52807-2025</t>
        </is>
      </c>
      <c r="B450" s="1" t="n">
        <v>45957.44837962963</v>
      </c>
      <c r="C450" s="1" t="n">
        <v>46074</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30976-2022</t>
        </is>
      </c>
      <c r="B451" s="1" t="n">
        <v>44768</v>
      </c>
      <c r="C451" s="1" t="n">
        <v>46074</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55736-2022</t>
        </is>
      </c>
      <c r="B452" s="1" t="n">
        <v>44888</v>
      </c>
      <c r="C452" s="1" t="n">
        <v>46074</v>
      </c>
      <c r="D452" t="inlineStr">
        <is>
          <t>ÖSTERGÖTLANDS LÄN</t>
        </is>
      </c>
      <c r="E452" t="inlineStr">
        <is>
          <t>LINKÖPING</t>
        </is>
      </c>
      <c r="G452" t="n">
        <v>5.5</v>
      </c>
      <c r="H452" t="n">
        <v>0</v>
      </c>
      <c r="I452" t="n">
        <v>0</v>
      </c>
      <c r="J452" t="n">
        <v>0</v>
      </c>
      <c r="K452" t="n">
        <v>0</v>
      </c>
      <c r="L452" t="n">
        <v>0</v>
      </c>
      <c r="M452" t="n">
        <v>0</v>
      </c>
      <c r="N452" t="n">
        <v>0</v>
      </c>
      <c r="O452" t="n">
        <v>0</v>
      </c>
      <c r="P452" t="n">
        <v>0</v>
      </c>
      <c r="Q452" t="n">
        <v>0</v>
      </c>
      <c r="R452" s="2" t="inlineStr"/>
    </row>
    <row r="453" ht="15" customHeight="1">
      <c r="A453" t="inlineStr">
        <is>
          <t>A 10194-2023</t>
        </is>
      </c>
      <c r="B453" s="1" t="n">
        <v>44986.52277777778</v>
      </c>
      <c r="C453" s="1" t="n">
        <v>46074</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54332-2025</t>
        </is>
      </c>
      <c r="B454" s="1" t="n">
        <v>45965.34915509259</v>
      </c>
      <c r="C454" s="1" t="n">
        <v>46074</v>
      </c>
      <c r="D454" t="inlineStr">
        <is>
          <t>ÖSTERGÖTLANDS LÄN</t>
        </is>
      </c>
      <c r="E454" t="inlineStr">
        <is>
          <t>LINKÖPING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54329-2025</t>
        </is>
      </c>
      <c r="B455" s="1" t="n">
        <v>45965.34706018519</v>
      </c>
      <c r="C455" s="1" t="n">
        <v>46074</v>
      </c>
      <c r="D455" t="inlineStr">
        <is>
          <t>ÖSTERGÖTLANDS LÄN</t>
        </is>
      </c>
      <c r="E455" t="inlineStr">
        <is>
          <t>LINKÖPING</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54333-2025</t>
        </is>
      </c>
      <c r="B456" s="1" t="n">
        <v>45965.35090277778</v>
      </c>
      <c r="C456" s="1" t="n">
        <v>46074</v>
      </c>
      <c r="D456" t="inlineStr">
        <is>
          <t>ÖSTERGÖTLANDS LÄN</t>
        </is>
      </c>
      <c r="E456" t="inlineStr">
        <is>
          <t>LINKÖPING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7702-2023</t>
        </is>
      </c>
      <c r="B457" s="1" t="n">
        <v>44967</v>
      </c>
      <c r="C457" s="1" t="n">
        <v>46074</v>
      </c>
      <c r="D457" t="inlineStr">
        <is>
          <t>ÖSTERGÖTLANDS LÄN</t>
        </is>
      </c>
      <c r="E457" t="inlineStr">
        <is>
          <t>LINKÖPING</t>
        </is>
      </c>
      <c r="F457" t="inlineStr">
        <is>
          <t>Övriga statliga verk och myndigheter</t>
        </is>
      </c>
      <c r="G457" t="n">
        <v>8</v>
      </c>
      <c r="H457" t="n">
        <v>0</v>
      </c>
      <c r="I457" t="n">
        <v>0</v>
      </c>
      <c r="J457" t="n">
        <v>0</v>
      </c>
      <c r="K457" t="n">
        <v>0</v>
      </c>
      <c r="L457" t="n">
        <v>0</v>
      </c>
      <c r="M457" t="n">
        <v>0</v>
      </c>
      <c r="N457" t="n">
        <v>0</v>
      </c>
      <c r="O457" t="n">
        <v>0</v>
      </c>
      <c r="P457" t="n">
        <v>0</v>
      </c>
      <c r="Q457" t="n">
        <v>0</v>
      </c>
      <c r="R457" s="2" t="inlineStr"/>
    </row>
    <row r="458" ht="15" customHeight="1">
      <c r="A458" t="inlineStr">
        <is>
          <t>A 42000-2023</t>
        </is>
      </c>
      <c r="B458" s="1" t="n">
        <v>45177</v>
      </c>
      <c r="C458" s="1" t="n">
        <v>46074</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31534-2023</t>
        </is>
      </c>
      <c r="B459" s="1" t="n">
        <v>45116</v>
      </c>
      <c r="C459" s="1" t="n">
        <v>46074</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35427-2023</t>
        </is>
      </c>
      <c r="B460" s="1" t="n">
        <v>45146</v>
      </c>
      <c r="C460" s="1" t="n">
        <v>46074</v>
      </c>
      <c r="D460" t="inlineStr">
        <is>
          <t>ÖSTERGÖTLANDS LÄN</t>
        </is>
      </c>
      <c r="E460" t="inlineStr">
        <is>
          <t>LINKÖPING</t>
        </is>
      </c>
      <c r="F460" t="inlineStr">
        <is>
          <t>Övriga Aktiebolag</t>
        </is>
      </c>
      <c r="G460" t="n">
        <v>2.5</v>
      </c>
      <c r="H460" t="n">
        <v>0</v>
      </c>
      <c r="I460" t="n">
        <v>0</v>
      </c>
      <c r="J460" t="n">
        <v>0</v>
      </c>
      <c r="K460" t="n">
        <v>0</v>
      </c>
      <c r="L460" t="n">
        <v>0</v>
      </c>
      <c r="M460" t="n">
        <v>0</v>
      </c>
      <c r="N460" t="n">
        <v>0</v>
      </c>
      <c r="O460" t="n">
        <v>0</v>
      </c>
      <c r="P460" t="n">
        <v>0</v>
      </c>
      <c r="Q460" t="n">
        <v>0</v>
      </c>
      <c r="R460" s="2" t="inlineStr"/>
    </row>
    <row r="461" ht="15" customHeight="1">
      <c r="A461" t="inlineStr">
        <is>
          <t>A 36725-2023</t>
        </is>
      </c>
      <c r="B461" s="1" t="n">
        <v>45153.68471064815</v>
      </c>
      <c r="C461" s="1" t="n">
        <v>46074</v>
      </c>
      <c r="D461" t="inlineStr">
        <is>
          <t>ÖSTERGÖTLANDS LÄN</t>
        </is>
      </c>
      <c r="E461" t="inlineStr">
        <is>
          <t>LINKÖPING</t>
        </is>
      </c>
      <c r="F461" t="inlineStr">
        <is>
          <t>Allmännings- och besparingsskogar</t>
        </is>
      </c>
      <c r="G461" t="n">
        <v>2.6</v>
      </c>
      <c r="H461" t="n">
        <v>0</v>
      </c>
      <c r="I461" t="n">
        <v>0</v>
      </c>
      <c r="J461" t="n">
        <v>0</v>
      </c>
      <c r="K461" t="n">
        <v>0</v>
      </c>
      <c r="L461" t="n">
        <v>0</v>
      </c>
      <c r="M461" t="n">
        <v>0</v>
      </c>
      <c r="N461" t="n">
        <v>0</v>
      </c>
      <c r="O461" t="n">
        <v>0</v>
      </c>
      <c r="P461" t="n">
        <v>0</v>
      </c>
      <c r="Q461" t="n">
        <v>0</v>
      </c>
      <c r="R461" s="2" t="inlineStr"/>
    </row>
    <row r="462" ht="15" customHeight="1">
      <c r="A462" t="inlineStr">
        <is>
          <t>A 55102-2025</t>
        </is>
      </c>
      <c r="B462" s="1" t="n">
        <v>45968.35410879629</v>
      </c>
      <c r="C462" s="1" t="n">
        <v>46074</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55132-2025</t>
        </is>
      </c>
      <c r="B463" s="1" t="n">
        <v>45968.41912037037</v>
      </c>
      <c r="C463" s="1" t="n">
        <v>46074</v>
      </c>
      <c r="D463" t="inlineStr">
        <is>
          <t>ÖSTERGÖTLANDS LÄN</t>
        </is>
      </c>
      <c r="E463" t="inlineStr">
        <is>
          <t>LINKÖPING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55109-2025</t>
        </is>
      </c>
      <c r="B464" s="1" t="n">
        <v>45968.37731481482</v>
      </c>
      <c r="C464" s="1" t="n">
        <v>46074</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53639-2023</t>
        </is>
      </c>
      <c r="B465" s="1" t="n">
        <v>45230.59686342593</v>
      </c>
      <c r="C465" s="1" t="n">
        <v>46074</v>
      </c>
      <c r="D465" t="inlineStr">
        <is>
          <t>ÖSTERGÖTLANDS LÄN</t>
        </is>
      </c>
      <c r="E465" t="inlineStr">
        <is>
          <t>LINKÖPING</t>
        </is>
      </c>
      <c r="G465" t="n">
        <v>2.3</v>
      </c>
      <c r="H465" t="n">
        <v>0</v>
      </c>
      <c r="I465" t="n">
        <v>0</v>
      </c>
      <c r="J465" t="n">
        <v>0</v>
      </c>
      <c r="K465" t="n">
        <v>0</v>
      </c>
      <c r="L465" t="n">
        <v>0</v>
      </c>
      <c r="M465" t="n">
        <v>0</v>
      </c>
      <c r="N465" t="n">
        <v>0</v>
      </c>
      <c r="O465" t="n">
        <v>0</v>
      </c>
      <c r="P465" t="n">
        <v>0</v>
      </c>
      <c r="Q465" t="n">
        <v>0</v>
      </c>
      <c r="R465" s="2" t="inlineStr"/>
    </row>
    <row r="466" ht="15" customHeight="1">
      <c r="A466" t="inlineStr">
        <is>
          <t>A 55165-2025</t>
        </is>
      </c>
      <c r="B466" s="1" t="n">
        <v>45968.48194444444</v>
      </c>
      <c r="C466" s="1" t="n">
        <v>46074</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46074</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50784-2022</t>
        </is>
      </c>
      <c r="B468" s="1" t="n">
        <v>44862</v>
      </c>
      <c r="C468" s="1" t="n">
        <v>46074</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26803-2024</t>
        </is>
      </c>
      <c r="B469" s="1" t="n">
        <v>45470</v>
      </c>
      <c r="C469" s="1" t="n">
        <v>46074</v>
      </c>
      <c r="D469" t="inlineStr">
        <is>
          <t>ÖSTERGÖTLANDS LÄN</t>
        </is>
      </c>
      <c r="E469" t="inlineStr">
        <is>
          <t>LINKÖPING</t>
        </is>
      </c>
      <c r="F469" t="inlineStr">
        <is>
          <t>Allmännings- och besparingsskogar</t>
        </is>
      </c>
      <c r="G469" t="n">
        <v>4.5</v>
      </c>
      <c r="H469" t="n">
        <v>0</v>
      </c>
      <c r="I469" t="n">
        <v>0</v>
      </c>
      <c r="J469" t="n">
        <v>0</v>
      </c>
      <c r="K469" t="n">
        <v>0</v>
      </c>
      <c r="L469" t="n">
        <v>0</v>
      </c>
      <c r="M469" t="n">
        <v>0</v>
      </c>
      <c r="N469" t="n">
        <v>0</v>
      </c>
      <c r="O469" t="n">
        <v>0</v>
      </c>
      <c r="P469" t="n">
        <v>0</v>
      </c>
      <c r="Q469" t="n">
        <v>0</v>
      </c>
      <c r="R469" s="2" t="inlineStr"/>
    </row>
    <row r="470" ht="15" customHeight="1">
      <c r="A470" t="inlineStr">
        <is>
          <t>A 19187-2021</t>
        </is>
      </c>
      <c r="B470" s="1" t="n">
        <v>44308</v>
      </c>
      <c r="C470" s="1" t="n">
        <v>46074</v>
      </c>
      <c r="D470" t="inlineStr">
        <is>
          <t>ÖSTERGÖTLANDS LÄN</t>
        </is>
      </c>
      <c r="E470" t="inlineStr">
        <is>
          <t>LINKÖPING</t>
        </is>
      </c>
      <c r="F470" t="inlineStr">
        <is>
          <t>Allmännings- och besparingsskogar</t>
        </is>
      </c>
      <c r="G470" t="n">
        <v>20</v>
      </c>
      <c r="H470" t="n">
        <v>0</v>
      </c>
      <c r="I470" t="n">
        <v>0</v>
      </c>
      <c r="J470" t="n">
        <v>0</v>
      </c>
      <c r="K470" t="n">
        <v>0</v>
      </c>
      <c r="L470" t="n">
        <v>0</v>
      </c>
      <c r="M470" t="n">
        <v>0</v>
      </c>
      <c r="N470" t="n">
        <v>0</v>
      </c>
      <c r="O470" t="n">
        <v>0</v>
      </c>
      <c r="P470" t="n">
        <v>0</v>
      </c>
      <c r="Q470" t="n">
        <v>0</v>
      </c>
      <c r="R470" s="2" t="inlineStr"/>
    </row>
    <row r="471" ht="15" customHeight="1">
      <c r="A471" t="inlineStr">
        <is>
          <t>A 56113-2025</t>
        </is>
      </c>
      <c r="B471" s="1" t="n">
        <v>45973.73924768518</v>
      </c>
      <c r="C471" s="1" t="n">
        <v>46074</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56105-2025</t>
        </is>
      </c>
      <c r="B472" s="1" t="n">
        <v>45973.72855324074</v>
      </c>
      <c r="C472" s="1" t="n">
        <v>46074</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60472-2022</t>
        </is>
      </c>
      <c r="B473" s="1" t="n">
        <v>44911.41037037037</v>
      </c>
      <c r="C473" s="1" t="n">
        <v>46074</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56403-2025</t>
        </is>
      </c>
      <c r="B474" s="1" t="n">
        <v>45974</v>
      </c>
      <c r="C474" s="1" t="n">
        <v>46074</v>
      </c>
      <c r="D474" t="inlineStr">
        <is>
          <t>ÖSTERGÖTLANDS LÄN</t>
        </is>
      </c>
      <c r="E474" t="inlineStr">
        <is>
          <t>LINKÖPING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43934-2023</t>
        </is>
      </c>
      <c r="B475" s="1" t="n">
        <v>45187</v>
      </c>
      <c r="C475" s="1" t="n">
        <v>46074</v>
      </c>
      <c r="D475" t="inlineStr">
        <is>
          <t>ÖSTERGÖTLANDS LÄN</t>
        </is>
      </c>
      <c r="E475" t="inlineStr">
        <is>
          <t>LINKÖPING</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22774-2024</t>
        </is>
      </c>
      <c r="B476" s="1" t="n">
        <v>45448.46924768519</v>
      </c>
      <c r="C476" s="1" t="n">
        <v>46074</v>
      </c>
      <c r="D476" t="inlineStr">
        <is>
          <t>ÖSTERGÖTLANDS LÄN</t>
        </is>
      </c>
      <c r="E476" t="inlineStr">
        <is>
          <t>LINKÖPING</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22778-2024</t>
        </is>
      </c>
      <c r="B477" s="1" t="n">
        <v>45448.47233796296</v>
      </c>
      <c r="C477" s="1" t="n">
        <v>46074</v>
      </c>
      <c r="D477" t="inlineStr">
        <is>
          <t>ÖSTERGÖTLANDS LÄN</t>
        </is>
      </c>
      <c r="E477" t="inlineStr">
        <is>
          <t>LINKÖPING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1209-2023</t>
        </is>
      </c>
      <c r="B478" s="1" t="n">
        <v>44930</v>
      </c>
      <c r="C478" s="1" t="n">
        <v>46074</v>
      </c>
      <c r="D478" t="inlineStr">
        <is>
          <t>ÖSTERGÖTLANDS LÄN</t>
        </is>
      </c>
      <c r="E478" t="inlineStr">
        <is>
          <t>LINKÖPING</t>
        </is>
      </c>
      <c r="F478" t="inlineStr">
        <is>
          <t>Övriga statliga verk och myndigheter</t>
        </is>
      </c>
      <c r="G478" t="n">
        <v>25.8</v>
      </c>
      <c r="H478" t="n">
        <v>0</v>
      </c>
      <c r="I478" t="n">
        <v>0</v>
      </c>
      <c r="J478" t="n">
        <v>0</v>
      </c>
      <c r="K478" t="n">
        <v>0</v>
      </c>
      <c r="L478" t="n">
        <v>0</v>
      </c>
      <c r="M478" t="n">
        <v>0</v>
      </c>
      <c r="N478" t="n">
        <v>0</v>
      </c>
      <c r="O478" t="n">
        <v>0</v>
      </c>
      <c r="P478" t="n">
        <v>0</v>
      </c>
      <c r="Q478" t="n">
        <v>0</v>
      </c>
      <c r="R478" s="2" t="inlineStr"/>
    </row>
    <row r="479" ht="15" customHeight="1">
      <c r="A479" t="inlineStr">
        <is>
          <t>A 56704-2025</t>
        </is>
      </c>
      <c r="B479" s="1" t="n">
        <v>45977.50608796296</v>
      </c>
      <c r="C479" s="1" t="n">
        <v>46074</v>
      </c>
      <c r="D479" t="inlineStr">
        <is>
          <t>ÖSTERGÖTLANDS LÄN</t>
        </is>
      </c>
      <c r="E479" t="inlineStr">
        <is>
          <t>LINKÖPING</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10407-2025</t>
        </is>
      </c>
      <c r="B480" s="1" t="n">
        <v>45720.62863425926</v>
      </c>
      <c r="C480" s="1" t="n">
        <v>46074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11590-2023</t>
        </is>
      </c>
      <c r="B481" s="1" t="n">
        <v>44994.36689814815</v>
      </c>
      <c r="C481" s="1" t="n">
        <v>46074</v>
      </c>
      <c r="D481" t="inlineStr">
        <is>
          <t>ÖSTERGÖTLANDS LÄN</t>
        </is>
      </c>
      <c r="E481" t="inlineStr">
        <is>
          <t>LINKÖPING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19169-2023</t>
        </is>
      </c>
      <c r="B482" s="1" t="n">
        <v>45044</v>
      </c>
      <c r="C482" s="1" t="n">
        <v>46074</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672-2024</t>
        </is>
      </c>
      <c r="B483" s="1" t="n">
        <v>45300</v>
      </c>
      <c r="C483" s="1" t="n">
        <v>46074</v>
      </c>
      <c r="D483" t="inlineStr">
        <is>
          <t>ÖSTERGÖTLANDS LÄN</t>
        </is>
      </c>
      <c r="E483" t="inlineStr">
        <is>
          <t>LINKÖPING</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55493-2021</t>
        </is>
      </c>
      <c r="B484" s="1" t="n">
        <v>44475.61988425926</v>
      </c>
      <c r="C484" s="1" t="n">
        <v>46074</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14093-2024</t>
        </is>
      </c>
      <c r="B485" s="1" t="n">
        <v>45392.60278935185</v>
      </c>
      <c r="C485" s="1" t="n">
        <v>46074</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62019-2024</t>
        </is>
      </c>
      <c r="B486" s="1" t="n">
        <v>45655.82</v>
      </c>
      <c r="C486" s="1" t="n">
        <v>46074</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25119-2023</t>
        </is>
      </c>
      <c r="B487" s="1" t="n">
        <v>45086.42326388889</v>
      </c>
      <c r="C487" s="1" t="n">
        <v>46074</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57396-2021</t>
        </is>
      </c>
      <c r="B488" s="1" t="n">
        <v>44483.56151620371</v>
      </c>
      <c r="C488" s="1" t="n">
        <v>46074</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51571-2024</t>
        </is>
      </c>
      <c r="B489" s="1" t="n">
        <v>45604</v>
      </c>
      <c r="C489" s="1" t="n">
        <v>46074</v>
      </c>
      <c r="D489" t="inlineStr">
        <is>
          <t>ÖSTERGÖTLANDS LÄN</t>
        </is>
      </c>
      <c r="E489" t="inlineStr">
        <is>
          <t>LINKÖPING</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17143-2025</t>
        </is>
      </c>
      <c r="B490" s="1" t="n">
        <v>45755.92731481481</v>
      </c>
      <c r="C490" s="1" t="n">
        <v>46074</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17124-2025</t>
        </is>
      </c>
      <c r="B491" s="1" t="n">
        <v>45755.69678240741</v>
      </c>
      <c r="C491" s="1" t="n">
        <v>46074</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17126-2025</t>
        </is>
      </c>
      <c r="B492" s="1" t="n">
        <v>45755.70814814815</v>
      </c>
      <c r="C492" s="1" t="n">
        <v>46074</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31640-2023</t>
        </is>
      </c>
      <c r="B493" s="1" t="n">
        <v>45117</v>
      </c>
      <c r="C493" s="1" t="n">
        <v>46074</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58802-2025</t>
        </is>
      </c>
      <c r="B494" s="1" t="n">
        <v>45986.8768287037</v>
      </c>
      <c r="C494" s="1" t="n">
        <v>46074</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55004-2025</t>
        </is>
      </c>
      <c r="B495" s="1" t="n">
        <v>45967</v>
      </c>
      <c r="C495" s="1" t="n">
        <v>46074</v>
      </c>
      <c r="D495" t="inlineStr">
        <is>
          <t>ÖSTERGÖTLANDS LÄN</t>
        </is>
      </c>
      <c r="E495" t="inlineStr">
        <is>
          <t>LINKÖPING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59205-2025</t>
        </is>
      </c>
      <c r="B496" s="1" t="n">
        <v>45988.60721064815</v>
      </c>
      <c r="C496" s="1" t="n">
        <v>46074</v>
      </c>
      <c r="D496" t="inlineStr">
        <is>
          <t>ÖSTERGÖTLANDS LÄN</t>
        </is>
      </c>
      <c r="E496" t="inlineStr">
        <is>
          <t>LINKÖPING</t>
        </is>
      </c>
      <c r="F496" t="inlineStr">
        <is>
          <t>Sveaskog</t>
        </is>
      </c>
      <c r="G496" t="n">
        <v>11.3</v>
      </c>
      <c r="H496" t="n">
        <v>0</v>
      </c>
      <c r="I496" t="n">
        <v>0</v>
      </c>
      <c r="J496" t="n">
        <v>0</v>
      </c>
      <c r="K496" t="n">
        <v>0</v>
      </c>
      <c r="L496" t="n">
        <v>0</v>
      </c>
      <c r="M496" t="n">
        <v>0</v>
      </c>
      <c r="N496" t="n">
        <v>0</v>
      </c>
      <c r="O496" t="n">
        <v>0</v>
      </c>
      <c r="P496" t="n">
        <v>0</v>
      </c>
      <c r="Q496" t="n">
        <v>0</v>
      </c>
      <c r="R496" s="2" t="inlineStr"/>
    </row>
    <row r="497" ht="15" customHeight="1">
      <c r="A497" t="inlineStr">
        <is>
          <t>A 11790-2024</t>
        </is>
      </c>
      <c r="B497" s="1" t="n">
        <v>45374</v>
      </c>
      <c r="C497" s="1" t="n">
        <v>46074</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59472-2025</t>
        </is>
      </c>
      <c r="B498" s="1" t="n">
        <v>45989.58321759259</v>
      </c>
      <c r="C498" s="1" t="n">
        <v>46074</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61281-2021</t>
        </is>
      </c>
      <c r="B499" s="1" t="n">
        <v>44498.60736111111</v>
      </c>
      <c r="C499" s="1" t="n">
        <v>46074</v>
      </c>
      <c r="D499" t="inlineStr">
        <is>
          <t>ÖSTERGÖTLANDS LÄN</t>
        </is>
      </c>
      <c r="E499" t="inlineStr">
        <is>
          <t>LINKÖPING</t>
        </is>
      </c>
      <c r="G499" t="n">
        <v>4.5</v>
      </c>
      <c r="H499" t="n">
        <v>0</v>
      </c>
      <c r="I499" t="n">
        <v>0</v>
      </c>
      <c r="J499" t="n">
        <v>0</v>
      </c>
      <c r="K499" t="n">
        <v>0</v>
      </c>
      <c r="L499" t="n">
        <v>0</v>
      </c>
      <c r="M499" t="n">
        <v>0</v>
      </c>
      <c r="N499" t="n">
        <v>0</v>
      </c>
      <c r="O499" t="n">
        <v>0</v>
      </c>
      <c r="P499" t="n">
        <v>0</v>
      </c>
      <c r="Q499" t="n">
        <v>0</v>
      </c>
      <c r="R499" s="2" t="inlineStr"/>
    </row>
    <row r="500" ht="15" customHeight="1">
      <c r="A500" t="inlineStr">
        <is>
          <t>A 6206-2024</t>
        </is>
      </c>
      <c r="B500" s="1" t="n">
        <v>45337.5977662037</v>
      </c>
      <c r="C500" s="1" t="n">
        <v>46074</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46074</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168-2024</t>
        </is>
      </c>
      <c r="B502" s="1" t="n">
        <v>45294</v>
      </c>
      <c r="C502" s="1" t="n">
        <v>46074</v>
      </c>
      <c r="D502" t="inlineStr">
        <is>
          <t>ÖSTERGÖTLANDS LÄN</t>
        </is>
      </c>
      <c r="E502" t="inlineStr">
        <is>
          <t>LINKÖPING</t>
        </is>
      </c>
      <c r="F502" t="inlineStr">
        <is>
          <t>Allmännings- och besparingsskogar</t>
        </is>
      </c>
      <c r="G502" t="n">
        <v>8.9</v>
      </c>
      <c r="H502" t="n">
        <v>0</v>
      </c>
      <c r="I502" t="n">
        <v>0</v>
      </c>
      <c r="J502" t="n">
        <v>0</v>
      </c>
      <c r="K502" t="n">
        <v>0</v>
      </c>
      <c r="L502" t="n">
        <v>0</v>
      </c>
      <c r="M502" t="n">
        <v>0</v>
      </c>
      <c r="N502" t="n">
        <v>0</v>
      </c>
      <c r="O502" t="n">
        <v>0</v>
      </c>
      <c r="P502" t="n">
        <v>0</v>
      </c>
      <c r="Q502" t="n">
        <v>0</v>
      </c>
      <c r="R502" s="2" t="inlineStr"/>
    </row>
    <row r="503" ht="15" customHeight="1">
      <c r="A503" t="inlineStr">
        <is>
          <t>A 51919-2024</t>
        </is>
      </c>
      <c r="B503" s="1" t="n">
        <v>45607.60791666667</v>
      </c>
      <c r="C503" s="1" t="n">
        <v>46074</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56623-2024</t>
        </is>
      </c>
      <c r="B504" s="1" t="n">
        <v>45625</v>
      </c>
      <c r="C504" s="1" t="n">
        <v>46074</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2030-2026</t>
        </is>
      </c>
      <c r="B505" s="1" t="n">
        <v>46035.73590277778</v>
      </c>
      <c r="C505" s="1" t="n">
        <v>46074</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11330-2023</t>
        </is>
      </c>
      <c r="B506" s="1" t="n">
        <v>44993.24648148148</v>
      </c>
      <c r="C506" s="1" t="n">
        <v>46074</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63304-2021</t>
        </is>
      </c>
      <c r="B507" s="1" t="n">
        <v>44508.4396412037</v>
      </c>
      <c r="C507" s="1" t="n">
        <v>46074</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14528-2025</t>
        </is>
      </c>
      <c r="B508" s="1" t="n">
        <v>45741</v>
      </c>
      <c r="C508" s="1" t="n">
        <v>46074</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2031-2026</t>
        </is>
      </c>
      <c r="B509" s="1" t="n">
        <v>46035.74182870371</v>
      </c>
      <c r="C509" s="1" t="n">
        <v>46074</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60306-2025</t>
        </is>
      </c>
      <c r="B510" s="1" t="n">
        <v>45994.68326388889</v>
      </c>
      <c r="C510" s="1" t="n">
        <v>46074</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3530-2024</t>
        </is>
      </c>
      <c r="B511" s="1" t="n">
        <v>45320.54717592592</v>
      </c>
      <c r="C511" s="1" t="n">
        <v>46074</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62073-2023</t>
        </is>
      </c>
      <c r="B512" s="1" t="n">
        <v>45266.73844907407</v>
      </c>
      <c r="C512" s="1" t="n">
        <v>46074</v>
      </c>
      <c r="D512" t="inlineStr">
        <is>
          <t>ÖSTERGÖTLANDS LÄN</t>
        </is>
      </c>
      <c r="E512" t="inlineStr">
        <is>
          <t>LINKÖPING</t>
        </is>
      </c>
      <c r="F512" t="inlineStr">
        <is>
          <t>Allmännings- och besparingsskogar</t>
        </is>
      </c>
      <c r="G512" t="n">
        <v>1.8</v>
      </c>
      <c r="H512" t="n">
        <v>0</v>
      </c>
      <c r="I512" t="n">
        <v>0</v>
      </c>
      <c r="J512" t="n">
        <v>0</v>
      </c>
      <c r="K512" t="n">
        <v>0</v>
      </c>
      <c r="L512" t="n">
        <v>0</v>
      </c>
      <c r="M512" t="n">
        <v>0</v>
      </c>
      <c r="N512" t="n">
        <v>0</v>
      </c>
      <c r="O512" t="n">
        <v>0</v>
      </c>
      <c r="P512" t="n">
        <v>0</v>
      </c>
      <c r="Q512" t="n">
        <v>0</v>
      </c>
      <c r="R512" s="2" t="inlineStr"/>
    </row>
    <row r="513" ht="15" customHeight="1">
      <c r="A513" t="inlineStr">
        <is>
          <t>A 5872-2025</t>
        </is>
      </c>
      <c r="B513" s="1" t="n">
        <v>45695.36659722222</v>
      </c>
      <c r="C513" s="1" t="n">
        <v>46074</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60284-2025</t>
        </is>
      </c>
      <c r="B514" s="1" t="n">
        <v>45994.64373842593</v>
      </c>
      <c r="C514" s="1" t="n">
        <v>46074</v>
      </c>
      <c r="D514" t="inlineStr">
        <is>
          <t>ÖSTERGÖTLANDS LÄN</t>
        </is>
      </c>
      <c r="E514" t="inlineStr">
        <is>
          <t>LINKÖPING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46074</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3432-2023</t>
        </is>
      </c>
      <c r="B516" s="1" t="n">
        <v>44949</v>
      </c>
      <c r="C516" s="1" t="n">
        <v>46074</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54425-2022</t>
        </is>
      </c>
      <c r="B517" s="1" t="n">
        <v>44882.57453703704</v>
      </c>
      <c r="C517" s="1" t="n">
        <v>46074</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54428-2022</t>
        </is>
      </c>
      <c r="B518" s="1" t="n">
        <v>44882.57643518518</v>
      </c>
      <c r="C518" s="1" t="n">
        <v>46074</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3044-2026</t>
        </is>
      </c>
      <c r="B519" s="1" t="n">
        <v>46038.73855324074</v>
      </c>
      <c r="C519" s="1" t="n">
        <v>46074</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3043-2026</t>
        </is>
      </c>
      <c r="B520" s="1" t="n">
        <v>46038.73675925926</v>
      </c>
      <c r="C520" s="1" t="n">
        <v>46074</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3046-2026</t>
        </is>
      </c>
      <c r="B521" s="1" t="n">
        <v>46038.74182870371</v>
      </c>
      <c r="C521" s="1" t="n">
        <v>46074</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660-2023</t>
        </is>
      </c>
      <c r="B522" s="1" t="n">
        <v>44930</v>
      </c>
      <c r="C522" s="1" t="n">
        <v>46074</v>
      </c>
      <c r="D522" t="inlineStr">
        <is>
          <t>ÖSTERGÖTLANDS LÄN</t>
        </is>
      </c>
      <c r="E522" t="inlineStr">
        <is>
          <t>LINKÖPING</t>
        </is>
      </c>
      <c r="F522" t="inlineStr">
        <is>
          <t>Kyrkan</t>
        </is>
      </c>
      <c r="G522" t="n">
        <v>1.6</v>
      </c>
      <c r="H522" t="n">
        <v>0</v>
      </c>
      <c r="I522" t="n">
        <v>0</v>
      </c>
      <c r="J522" t="n">
        <v>0</v>
      </c>
      <c r="K522" t="n">
        <v>0</v>
      </c>
      <c r="L522" t="n">
        <v>0</v>
      </c>
      <c r="M522" t="n">
        <v>0</v>
      </c>
      <c r="N522" t="n">
        <v>0</v>
      </c>
      <c r="O522" t="n">
        <v>0</v>
      </c>
      <c r="P522" t="n">
        <v>0</v>
      </c>
      <c r="Q522" t="n">
        <v>0</v>
      </c>
      <c r="R522" s="2" t="inlineStr"/>
    </row>
    <row r="523" ht="15" customHeight="1">
      <c r="A523" t="inlineStr">
        <is>
          <t>A 62501-2023</t>
        </is>
      </c>
      <c r="B523" s="1" t="n">
        <v>45268</v>
      </c>
      <c r="C523" s="1" t="n">
        <v>46074</v>
      </c>
      <c r="D523" t="inlineStr">
        <is>
          <t>ÖSTERGÖTLANDS LÄN</t>
        </is>
      </c>
      <c r="E523" t="inlineStr">
        <is>
          <t>LINKÖPING</t>
        </is>
      </c>
      <c r="G523" t="n">
        <v>7.4</v>
      </c>
      <c r="H523" t="n">
        <v>0</v>
      </c>
      <c r="I523" t="n">
        <v>0</v>
      </c>
      <c r="J523" t="n">
        <v>0</v>
      </c>
      <c r="K523" t="n">
        <v>0</v>
      </c>
      <c r="L523" t="n">
        <v>0</v>
      </c>
      <c r="M523" t="n">
        <v>0</v>
      </c>
      <c r="N523" t="n">
        <v>0</v>
      </c>
      <c r="O523" t="n">
        <v>0</v>
      </c>
      <c r="P523" t="n">
        <v>0</v>
      </c>
      <c r="Q523" t="n">
        <v>0</v>
      </c>
      <c r="R523" s="2" t="inlineStr"/>
    </row>
    <row r="524" ht="15" customHeight="1">
      <c r="A524" t="inlineStr">
        <is>
          <t>A 13413-2023</t>
        </is>
      </c>
      <c r="B524" s="1" t="n">
        <v>45005.58341435185</v>
      </c>
      <c r="C524" s="1" t="n">
        <v>46074</v>
      </c>
      <c r="D524" t="inlineStr">
        <is>
          <t>ÖSTERGÖTLANDS LÄN</t>
        </is>
      </c>
      <c r="E524" t="inlineStr">
        <is>
          <t>LINKÖPING</t>
        </is>
      </c>
      <c r="G524" t="n">
        <v>2.4</v>
      </c>
      <c r="H524" t="n">
        <v>0</v>
      </c>
      <c r="I524" t="n">
        <v>0</v>
      </c>
      <c r="J524" t="n">
        <v>0</v>
      </c>
      <c r="K524" t="n">
        <v>0</v>
      </c>
      <c r="L524" t="n">
        <v>0</v>
      </c>
      <c r="M524" t="n">
        <v>0</v>
      </c>
      <c r="N524" t="n">
        <v>0</v>
      </c>
      <c r="O524" t="n">
        <v>0</v>
      </c>
      <c r="P524" t="n">
        <v>0</v>
      </c>
      <c r="Q524" t="n">
        <v>0</v>
      </c>
      <c r="R524" s="2" t="inlineStr"/>
    </row>
    <row r="525" ht="15" customHeight="1">
      <c r="A525" t="inlineStr">
        <is>
          <t>A 60703-2025</t>
        </is>
      </c>
      <c r="B525" s="1" t="n">
        <v>45996.6052662037</v>
      </c>
      <c r="C525" s="1" t="n">
        <v>46074</v>
      </c>
      <c r="D525" t="inlineStr">
        <is>
          <t>ÖSTERGÖTLANDS LÄN</t>
        </is>
      </c>
      <c r="E525" t="inlineStr">
        <is>
          <t>LINKÖPING</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3045-2026</t>
        </is>
      </c>
      <c r="B526" s="1" t="n">
        <v>46038.74047453704</v>
      </c>
      <c r="C526" s="1" t="n">
        <v>46074</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60866-2025</t>
        </is>
      </c>
      <c r="B527" s="1" t="n">
        <v>45999</v>
      </c>
      <c r="C527" s="1" t="n">
        <v>46074</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26620-2023</t>
        </is>
      </c>
      <c r="B528" s="1" t="n">
        <v>45092.70390046296</v>
      </c>
      <c r="C528" s="1" t="n">
        <v>46074</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16462-2021</t>
        </is>
      </c>
      <c r="B529" s="1" t="n">
        <v>44293</v>
      </c>
      <c r="C529" s="1" t="n">
        <v>46074</v>
      </c>
      <c r="D529" t="inlineStr">
        <is>
          <t>ÖSTERGÖTLANDS LÄN</t>
        </is>
      </c>
      <c r="E529" t="inlineStr">
        <is>
          <t>LINKÖPING</t>
        </is>
      </c>
      <c r="F529" t="inlineStr">
        <is>
          <t>Allmännings- och besparingsskogar</t>
        </is>
      </c>
      <c r="G529" t="n">
        <v>24.7</v>
      </c>
      <c r="H529" t="n">
        <v>0</v>
      </c>
      <c r="I529" t="n">
        <v>0</v>
      </c>
      <c r="J529" t="n">
        <v>0</v>
      </c>
      <c r="K529" t="n">
        <v>0</v>
      </c>
      <c r="L529" t="n">
        <v>0</v>
      </c>
      <c r="M529" t="n">
        <v>0</v>
      </c>
      <c r="N529" t="n">
        <v>0</v>
      </c>
      <c r="O529" t="n">
        <v>0</v>
      </c>
      <c r="P529" t="n">
        <v>0</v>
      </c>
      <c r="Q529" t="n">
        <v>0</v>
      </c>
      <c r="R529" s="2" t="inlineStr"/>
    </row>
    <row r="530" ht="15" customHeight="1">
      <c r="A530" t="inlineStr">
        <is>
          <t>A 61230-2025</t>
        </is>
      </c>
      <c r="B530" s="1" t="n">
        <v>46000.63111111111</v>
      </c>
      <c r="C530" s="1" t="n">
        <v>46074</v>
      </c>
      <c r="D530" t="inlineStr">
        <is>
          <t>ÖSTERGÖTLANDS LÄN</t>
        </is>
      </c>
      <c r="E530" t="inlineStr">
        <is>
          <t>LINKÖPING</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63554-2023</t>
        </is>
      </c>
      <c r="B531" s="1" t="n">
        <v>45275</v>
      </c>
      <c r="C531" s="1" t="n">
        <v>46074</v>
      </c>
      <c r="D531" t="inlineStr">
        <is>
          <t>ÖSTERGÖTLANDS LÄN</t>
        </is>
      </c>
      <c r="E531" t="inlineStr">
        <is>
          <t>LINKÖPING</t>
        </is>
      </c>
      <c r="G531" t="n">
        <v>4.3</v>
      </c>
      <c r="H531" t="n">
        <v>0</v>
      </c>
      <c r="I531" t="n">
        <v>0</v>
      </c>
      <c r="J531" t="n">
        <v>0</v>
      </c>
      <c r="K531" t="n">
        <v>0</v>
      </c>
      <c r="L531" t="n">
        <v>0</v>
      </c>
      <c r="M531" t="n">
        <v>0</v>
      </c>
      <c r="N531" t="n">
        <v>0</v>
      </c>
      <c r="O531" t="n">
        <v>0</v>
      </c>
      <c r="P531" t="n">
        <v>0</v>
      </c>
      <c r="Q531" t="n">
        <v>0</v>
      </c>
      <c r="R531" s="2" t="inlineStr"/>
    </row>
    <row r="532" ht="15" customHeight="1">
      <c r="A532" t="inlineStr">
        <is>
          <t>A 61447-2025</t>
        </is>
      </c>
      <c r="B532" s="1" t="n">
        <v>46001.57554398148</v>
      </c>
      <c r="C532" s="1" t="n">
        <v>46074</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63638-2023</t>
        </is>
      </c>
      <c r="B533" s="1" t="n">
        <v>45275</v>
      </c>
      <c r="C533" s="1" t="n">
        <v>46074</v>
      </c>
      <c r="D533" t="inlineStr">
        <is>
          <t>ÖSTERGÖTLANDS LÄN</t>
        </is>
      </c>
      <c r="E533" t="inlineStr">
        <is>
          <t>LINKÖPING</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63658-2023</t>
        </is>
      </c>
      <c r="B534" s="1" t="n">
        <v>45275</v>
      </c>
      <c r="C534" s="1" t="n">
        <v>46074</v>
      </c>
      <c r="D534" t="inlineStr">
        <is>
          <t>ÖSTERGÖTLANDS LÄN</t>
        </is>
      </c>
      <c r="E534" t="inlineStr">
        <is>
          <t>LINKÖPING</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4469-2026</t>
        </is>
      </c>
      <c r="B535" s="1" t="n">
        <v>46045.65662037037</v>
      </c>
      <c r="C535" s="1" t="n">
        <v>46074</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61899-2025</t>
        </is>
      </c>
      <c r="B536" s="1" t="n">
        <v>46003.46635416667</v>
      </c>
      <c r="C536" s="1" t="n">
        <v>46074</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16820-2024</t>
        </is>
      </c>
      <c r="B537" s="1" t="n">
        <v>45411.46809027778</v>
      </c>
      <c r="C537" s="1" t="n">
        <v>46074</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4456-2024</t>
        </is>
      </c>
      <c r="B538" s="1" t="n">
        <v>45327.52847222222</v>
      </c>
      <c r="C538" s="1" t="n">
        <v>46074</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20298-2025</t>
        </is>
      </c>
      <c r="B539" s="1" t="n">
        <v>45774.75024305555</v>
      </c>
      <c r="C539" s="1" t="n">
        <v>46074</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15121-2022</t>
        </is>
      </c>
      <c r="B540" s="1" t="n">
        <v>44658</v>
      </c>
      <c r="C540" s="1" t="n">
        <v>46074</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50743-2023</t>
        </is>
      </c>
      <c r="B541" s="1" t="n">
        <v>45217</v>
      </c>
      <c r="C541" s="1" t="n">
        <v>46074</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61643-2025</t>
        </is>
      </c>
      <c r="B542" s="1" t="n">
        <v>46002.43575231481</v>
      </c>
      <c r="C542" s="1" t="n">
        <v>46074</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61645-2025</t>
        </is>
      </c>
      <c r="B543" s="1" t="n">
        <v>46002.43697916667</v>
      </c>
      <c r="C543" s="1" t="n">
        <v>46074</v>
      </c>
      <c r="D543" t="inlineStr">
        <is>
          <t>ÖSTERGÖTLANDS LÄN</t>
        </is>
      </c>
      <c r="E543" t="inlineStr">
        <is>
          <t>LINKÖPING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13687-2025</t>
        </is>
      </c>
      <c r="B544" s="1" t="n">
        <v>45737.31425925926</v>
      </c>
      <c r="C544" s="1" t="n">
        <v>46074</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13695-2025</t>
        </is>
      </c>
      <c r="B545" s="1" t="n">
        <v>45737.32219907407</v>
      </c>
      <c r="C545" s="1" t="n">
        <v>46074</v>
      </c>
      <c r="D545" t="inlineStr">
        <is>
          <t>ÖSTERGÖTLANDS LÄN</t>
        </is>
      </c>
      <c r="E545" t="inlineStr">
        <is>
          <t>LINKÖPING</t>
        </is>
      </c>
      <c r="G545" t="n">
        <v>5.3</v>
      </c>
      <c r="H545" t="n">
        <v>0</v>
      </c>
      <c r="I545" t="n">
        <v>0</v>
      </c>
      <c r="J545" t="n">
        <v>0</v>
      </c>
      <c r="K545" t="n">
        <v>0</v>
      </c>
      <c r="L545" t="n">
        <v>0</v>
      </c>
      <c r="M545" t="n">
        <v>0</v>
      </c>
      <c r="N545" t="n">
        <v>0</v>
      </c>
      <c r="O545" t="n">
        <v>0</v>
      </c>
      <c r="P545" t="n">
        <v>0</v>
      </c>
      <c r="Q545" t="n">
        <v>0</v>
      </c>
      <c r="R545" s="2" t="inlineStr"/>
    </row>
    <row r="546" ht="15" customHeight="1">
      <c r="A546" t="inlineStr">
        <is>
          <t>A 20294-2025</t>
        </is>
      </c>
      <c r="B546" s="1" t="n">
        <v>45774.74667824074</v>
      </c>
      <c r="C546" s="1" t="n">
        <v>46074</v>
      </c>
      <c r="D546" t="inlineStr">
        <is>
          <t>ÖSTERGÖTLANDS LÄN</t>
        </is>
      </c>
      <c r="E546" t="inlineStr">
        <is>
          <t>LINKÖPING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5099-2026</t>
        </is>
      </c>
      <c r="B547" s="1" t="n">
        <v>46049.56158564815</v>
      </c>
      <c r="C547" s="1" t="n">
        <v>46074</v>
      </c>
      <c r="D547" t="inlineStr">
        <is>
          <t>ÖSTERGÖTLANDS LÄN</t>
        </is>
      </c>
      <c r="E547" t="inlineStr">
        <is>
          <t>LINKÖPING</t>
        </is>
      </c>
      <c r="G547" t="n">
        <v>5</v>
      </c>
      <c r="H547" t="n">
        <v>0</v>
      </c>
      <c r="I547" t="n">
        <v>0</v>
      </c>
      <c r="J547" t="n">
        <v>0</v>
      </c>
      <c r="K547" t="n">
        <v>0</v>
      </c>
      <c r="L547" t="n">
        <v>0</v>
      </c>
      <c r="M547" t="n">
        <v>0</v>
      </c>
      <c r="N547" t="n">
        <v>0</v>
      </c>
      <c r="O547" t="n">
        <v>0</v>
      </c>
      <c r="P547" t="n">
        <v>0</v>
      </c>
      <c r="Q547" t="n">
        <v>0</v>
      </c>
      <c r="R547" s="2" t="inlineStr"/>
    </row>
    <row r="548" ht="15" customHeight="1">
      <c r="A548" t="inlineStr">
        <is>
          <t>A 17128-2025</t>
        </is>
      </c>
      <c r="B548" s="1" t="n">
        <v>45755.72622685185</v>
      </c>
      <c r="C548" s="1" t="n">
        <v>46074</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52125-2022</t>
        </is>
      </c>
      <c r="B549" s="1" t="n">
        <v>44873</v>
      </c>
      <c r="C549" s="1" t="n">
        <v>46074</v>
      </c>
      <c r="D549" t="inlineStr">
        <is>
          <t>ÖSTERGÖTLANDS LÄN</t>
        </is>
      </c>
      <c r="E549" t="inlineStr">
        <is>
          <t>LINKÖPING</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27343-2023</t>
        </is>
      </c>
      <c r="B550" s="1" t="n">
        <v>45096</v>
      </c>
      <c r="C550" s="1" t="n">
        <v>46074</v>
      </c>
      <c r="D550" t="inlineStr">
        <is>
          <t>ÖSTERGÖTLANDS LÄN</t>
        </is>
      </c>
      <c r="E550" t="inlineStr">
        <is>
          <t>LINKÖPING</t>
        </is>
      </c>
      <c r="F550" t="inlineStr">
        <is>
          <t>Allmännings- och besparingsskogar</t>
        </is>
      </c>
      <c r="G550" t="n">
        <v>6.9</v>
      </c>
      <c r="H550" t="n">
        <v>0</v>
      </c>
      <c r="I550" t="n">
        <v>0</v>
      </c>
      <c r="J550" t="n">
        <v>0</v>
      </c>
      <c r="K550" t="n">
        <v>0</v>
      </c>
      <c r="L550" t="n">
        <v>0</v>
      </c>
      <c r="M550" t="n">
        <v>0</v>
      </c>
      <c r="N550" t="n">
        <v>0</v>
      </c>
      <c r="O550" t="n">
        <v>0</v>
      </c>
      <c r="P550" t="n">
        <v>0</v>
      </c>
      <c r="Q550" t="n">
        <v>0</v>
      </c>
      <c r="R550" s="2" t="inlineStr"/>
    </row>
    <row r="551" ht="15" customHeight="1">
      <c r="A551" t="inlineStr">
        <is>
          <t>A 62515-2025</t>
        </is>
      </c>
      <c r="B551" s="1" t="n">
        <v>46007.60548611111</v>
      </c>
      <c r="C551" s="1" t="n">
        <v>46074</v>
      </c>
      <c r="D551" t="inlineStr">
        <is>
          <t>ÖSTERGÖTLANDS LÄN</t>
        </is>
      </c>
      <c r="E551" t="inlineStr">
        <is>
          <t>LINKÖPING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22842-2023</t>
        </is>
      </c>
      <c r="B552" s="1" t="n">
        <v>45071</v>
      </c>
      <c r="C552" s="1" t="n">
        <v>46074</v>
      </c>
      <c r="D552" t="inlineStr">
        <is>
          <t>ÖSTERGÖTLANDS LÄN</t>
        </is>
      </c>
      <c r="E552" t="inlineStr">
        <is>
          <t>LINKÖPING</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14520-2025</t>
        </is>
      </c>
      <c r="B553" s="1" t="n">
        <v>45741</v>
      </c>
      <c r="C553" s="1" t="n">
        <v>46074</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31548-2022</t>
        </is>
      </c>
      <c r="B554" s="1" t="n">
        <v>44775.39832175926</v>
      </c>
      <c r="C554" s="1" t="n">
        <v>46074</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62017-2024</t>
        </is>
      </c>
      <c r="B555" s="1" t="n">
        <v>45655.81140046296</v>
      </c>
      <c r="C555" s="1" t="n">
        <v>46074</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46074</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46074</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46074</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62791-2025</t>
        </is>
      </c>
      <c r="B559" s="1" t="n">
        <v>46008.63266203704</v>
      </c>
      <c r="C559" s="1" t="n">
        <v>46074</v>
      </c>
      <c r="D559" t="inlineStr">
        <is>
          <t>ÖSTERGÖTLANDS LÄN</t>
        </is>
      </c>
      <c r="E559" t="inlineStr">
        <is>
          <t>LINKÖPING</t>
        </is>
      </c>
      <c r="G559" t="n">
        <v>2.4</v>
      </c>
      <c r="H559" t="n">
        <v>0</v>
      </c>
      <c r="I559" t="n">
        <v>0</v>
      </c>
      <c r="J559" t="n">
        <v>0</v>
      </c>
      <c r="K559" t="n">
        <v>0</v>
      </c>
      <c r="L559" t="n">
        <v>0</v>
      </c>
      <c r="M559" t="n">
        <v>0</v>
      </c>
      <c r="N559" t="n">
        <v>0</v>
      </c>
      <c r="O559" t="n">
        <v>0</v>
      </c>
      <c r="P559" t="n">
        <v>0</v>
      </c>
      <c r="Q559" t="n">
        <v>0</v>
      </c>
      <c r="R559" s="2" t="inlineStr"/>
    </row>
    <row r="560" ht="15" customHeight="1">
      <c r="A560" t="inlineStr">
        <is>
          <t>A 42044-2023</t>
        </is>
      </c>
      <c r="B560" s="1" t="n">
        <v>45177</v>
      </c>
      <c r="C560" s="1" t="n">
        <v>46074</v>
      </c>
      <c r="D560" t="inlineStr">
        <is>
          <t>ÖSTERGÖTLANDS LÄN</t>
        </is>
      </c>
      <c r="E560" t="inlineStr">
        <is>
          <t>LINKÖPING</t>
        </is>
      </c>
      <c r="G560" t="n">
        <v>3.9</v>
      </c>
      <c r="H560" t="n">
        <v>0</v>
      </c>
      <c r="I560" t="n">
        <v>0</v>
      </c>
      <c r="J560" t="n">
        <v>0</v>
      </c>
      <c r="K560" t="n">
        <v>0</v>
      </c>
      <c r="L560" t="n">
        <v>0</v>
      </c>
      <c r="M560" t="n">
        <v>0</v>
      </c>
      <c r="N560" t="n">
        <v>0</v>
      </c>
      <c r="O560" t="n">
        <v>0</v>
      </c>
      <c r="P560" t="n">
        <v>0</v>
      </c>
      <c r="Q560" t="n">
        <v>0</v>
      </c>
      <c r="R560" s="2" t="inlineStr"/>
    </row>
    <row r="561" ht="15" customHeight="1">
      <c r="A561" t="inlineStr">
        <is>
          <t>A 62686-2025</t>
        </is>
      </c>
      <c r="B561" s="1" t="n">
        <v>46008.46769675926</v>
      </c>
      <c r="C561" s="1" t="n">
        <v>46074</v>
      </c>
      <c r="D561" t="inlineStr">
        <is>
          <t>ÖSTERGÖTLANDS LÄN</t>
        </is>
      </c>
      <c r="E561" t="inlineStr">
        <is>
          <t>LINKÖPING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49656-2021</t>
        </is>
      </c>
      <c r="B562" s="1" t="n">
        <v>44454</v>
      </c>
      <c r="C562" s="1" t="n">
        <v>46074</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63147-2025</t>
        </is>
      </c>
      <c r="B563" s="1" t="n">
        <v>46010.35003472222</v>
      </c>
      <c r="C563" s="1" t="n">
        <v>46074</v>
      </c>
      <c r="D563" t="inlineStr">
        <is>
          <t>ÖSTERGÖTLANDS LÄN</t>
        </is>
      </c>
      <c r="E563" t="inlineStr">
        <is>
          <t>LINKÖPING</t>
        </is>
      </c>
      <c r="G563" t="n">
        <v>4</v>
      </c>
      <c r="H563" t="n">
        <v>0</v>
      </c>
      <c r="I563" t="n">
        <v>0</v>
      </c>
      <c r="J563" t="n">
        <v>0</v>
      </c>
      <c r="K563" t="n">
        <v>0</v>
      </c>
      <c r="L563" t="n">
        <v>0</v>
      </c>
      <c r="M563" t="n">
        <v>0</v>
      </c>
      <c r="N563" t="n">
        <v>0</v>
      </c>
      <c r="O563" t="n">
        <v>0</v>
      </c>
      <c r="P563" t="n">
        <v>0</v>
      </c>
      <c r="Q563" t="n">
        <v>0</v>
      </c>
      <c r="R563" s="2" t="inlineStr"/>
    </row>
    <row r="564" ht="15" customHeight="1">
      <c r="A564" t="inlineStr">
        <is>
          <t>A 38230-2023</t>
        </is>
      </c>
      <c r="B564" s="1" t="n">
        <v>45161.55373842592</v>
      </c>
      <c r="C564" s="1" t="n">
        <v>46074</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45442-2024</t>
        </is>
      </c>
      <c r="B565" s="1" t="n">
        <v>45576.64189814815</v>
      </c>
      <c r="C565" s="1" t="n">
        <v>46074</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46074</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4908-2023</t>
        </is>
      </c>
      <c r="B567" s="1" t="n">
        <v>44958</v>
      </c>
      <c r="C567" s="1" t="n">
        <v>46074</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1265-2023</t>
        </is>
      </c>
      <c r="B568" s="1" t="n">
        <v>44936</v>
      </c>
      <c r="C568" s="1" t="n">
        <v>46074</v>
      </c>
      <c r="D568" t="inlineStr">
        <is>
          <t>ÖSTERGÖTLANDS LÄN</t>
        </is>
      </c>
      <c r="E568" t="inlineStr">
        <is>
          <t>LINKÖPING</t>
        </is>
      </c>
      <c r="G568" t="n">
        <v>2.3</v>
      </c>
      <c r="H568" t="n">
        <v>0</v>
      </c>
      <c r="I568" t="n">
        <v>0</v>
      </c>
      <c r="J568" t="n">
        <v>0</v>
      </c>
      <c r="K568" t="n">
        <v>0</v>
      </c>
      <c r="L568" t="n">
        <v>0</v>
      </c>
      <c r="M568" t="n">
        <v>0</v>
      </c>
      <c r="N568" t="n">
        <v>0</v>
      </c>
      <c r="O568" t="n">
        <v>0</v>
      </c>
      <c r="P568" t="n">
        <v>0</v>
      </c>
      <c r="Q568" t="n">
        <v>0</v>
      </c>
      <c r="R568" s="2" t="inlineStr"/>
    </row>
    <row r="569" ht="15" customHeight="1">
      <c r="A569" t="inlineStr">
        <is>
          <t>A 6384-2026</t>
        </is>
      </c>
      <c r="B569" s="1" t="n">
        <v>46055.63732638889</v>
      </c>
      <c r="C569" s="1" t="n">
        <v>46074</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12411-2022</t>
        </is>
      </c>
      <c r="B570" s="1" t="n">
        <v>44638.21601851852</v>
      </c>
      <c r="C570" s="1" t="n">
        <v>46074</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63144-2025</t>
        </is>
      </c>
      <c r="B571" s="1" t="n">
        <v>46010.34716435185</v>
      </c>
      <c r="C571" s="1" t="n">
        <v>46074</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23491-2024</t>
        </is>
      </c>
      <c r="B572" s="1" t="n">
        <v>45453</v>
      </c>
      <c r="C572" s="1" t="n">
        <v>46074</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70-2024</t>
        </is>
      </c>
      <c r="B573" s="1" t="n">
        <v>45293</v>
      </c>
      <c r="C573" s="1" t="n">
        <v>46074</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6054-2022</t>
        </is>
      </c>
      <c r="B574" s="1" t="n">
        <v>44599.53623842593</v>
      </c>
      <c r="C574" s="1" t="n">
        <v>46074</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31725-2022</t>
        </is>
      </c>
      <c r="B575" s="1" t="n">
        <v>44776.48541666667</v>
      </c>
      <c r="C575" s="1" t="n">
        <v>46074</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7133-2026</t>
        </is>
      </c>
      <c r="B576" s="1" t="n">
        <v>46057</v>
      </c>
      <c r="C576" s="1" t="n">
        <v>46074</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57391-2023</t>
        </is>
      </c>
      <c r="B577" s="1" t="n">
        <v>45245</v>
      </c>
      <c r="C577" s="1" t="n">
        <v>46074</v>
      </c>
      <c r="D577" t="inlineStr">
        <is>
          <t>ÖSTERGÖTLANDS LÄN</t>
        </is>
      </c>
      <c r="E577" t="inlineStr">
        <is>
          <t>LINKÖPING</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7992-2023</t>
        </is>
      </c>
      <c r="B578" s="1" t="n">
        <v>44970</v>
      </c>
      <c r="C578" s="1" t="n">
        <v>46074</v>
      </c>
      <c r="D578" t="inlineStr">
        <is>
          <t>ÖSTERGÖTLANDS LÄN</t>
        </is>
      </c>
      <c r="E578" t="inlineStr">
        <is>
          <t>LINKÖPING</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13689-2025</t>
        </is>
      </c>
      <c r="B579" s="1" t="n">
        <v>45737.31590277778</v>
      </c>
      <c r="C579" s="1" t="n">
        <v>46074</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13696-2025</t>
        </is>
      </c>
      <c r="B580" s="1" t="n">
        <v>45737.32273148148</v>
      </c>
      <c r="C580" s="1" t="n">
        <v>46074</v>
      </c>
      <c r="D580" t="inlineStr">
        <is>
          <t>ÖSTERGÖTLANDS LÄN</t>
        </is>
      </c>
      <c r="E580" t="inlineStr">
        <is>
          <t>LINKÖPING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1924-2024</t>
        </is>
      </c>
      <c r="B581" s="1" t="n">
        <v>45308</v>
      </c>
      <c r="C581" s="1" t="n">
        <v>46074</v>
      </c>
      <c r="D581" t="inlineStr">
        <is>
          <t>ÖSTERGÖTLANDS LÄN</t>
        </is>
      </c>
      <c r="E581" t="inlineStr">
        <is>
          <t>LINKÖPING</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32346-2023</t>
        </is>
      </c>
      <c r="B582" s="1" t="n">
        <v>45120</v>
      </c>
      <c r="C582" s="1" t="n">
        <v>46074</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50508-2024</t>
        </is>
      </c>
      <c r="B583" s="1" t="n">
        <v>45601.53907407408</v>
      </c>
      <c r="C583" s="1" t="n">
        <v>46074</v>
      </c>
      <c r="D583" t="inlineStr">
        <is>
          <t>ÖSTERGÖTLANDS LÄN</t>
        </is>
      </c>
      <c r="E583" t="inlineStr">
        <is>
          <t>LINKÖPING</t>
        </is>
      </c>
      <c r="F583" t="inlineStr">
        <is>
          <t>Övriga Aktiebolag</t>
        </is>
      </c>
      <c r="G583" t="n">
        <v>2</v>
      </c>
      <c r="H583" t="n">
        <v>0</v>
      </c>
      <c r="I583" t="n">
        <v>0</v>
      </c>
      <c r="J583" t="n">
        <v>0</v>
      </c>
      <c r="K583" t="n">
        <v>0</v>
      </c>
      <c r="L583" t="n">
        <v>0</v>
      </c>
      <c r="M583" t="n">
        <v>0</v>
      </c>
      <c r="N583" t="n">
        <v>0</v>
      </c>
      <c r="O583" t="n">
        <v>0</v>
      </c>
      <c r="P583" t="n">
        <v>0</v>
      </c>
      <c r="Q583" t="n">
        <v>0</v>
      </c>
      <c r="R583" s="2" t="inlineStr"/>
    </row>
    <row r="584" ht="15" customHeight="1">
      <c r="A584" t="inlineStr">
        <is>
          <t>A 7808-2022</t>
        </is>
      </c>
      <c r="B584" s="1" t="n">
        <v>44608</v>
      </c>
      <c r="C584" s="1" t="n">
        <v>46074</v>
      </c>
      <c r="D584" t="inlineStr">
        <is>
          <t>ÖSTERGÖTLANDS LÄN</t>
        </is>
      </c>
      <c r="E584" t="inlineStr">
        <is>
          <t>LINKÖPING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27844-2024</t>
        </is>
      </c>
      <c r="B585" s="1" t="n">
        <v>45475.63047453704</v>
      </c>
      <c r="C585" s="1" t="n">
        <v>46074</v>
      </c>
      <c r="D585" t="inlineStr">
        <is>
          <t>ÖSTERGÖTLANDS LÄN</t>
        </is>
      </c>
      <c r="E585" t="inlineStr">
        <is>
          <t>LINKÖPING</t>
        </is>
      </c>
      <c r="G585" t="n">
        <v>1.2</v>
      </c>
      <c r="H585" t="n">
        <v>0</v>
      </c>
      <c r="I585" t="n">
        <v>0</v>
      </c>
      <c r="J585" t="n">
        <v>0</v>
      </c>
      <c r="K585" t="n">
        <v>0</v>
      </c>
      <c r="L585" t="n">
        <v>0</v>
      </c>
      <c r="M585" t="n">
        <v>0</v>
      </c>
      <c r="N585" t="n">
        <v>0</v>
      </c>
      <c r="O585" t="n">
        <v>0</v>
      </c>
      <c r="P585" t="n">
        <v>0</v>
      </c>
      <c r="Q585" t="n">
        <v>0</v>
      </c>
      <c r="R585" s="2" t="inlineStr"/>
    </row>
    <row r="586" ht="15" customHeight="1">
      <c r="A586" t="inlineStr">
        <is>
          <t>A 40810-2022</t>
        </is>
      </c>
      <c r="B586" s="1" t="n">
        <v>44824</v>
      </c>
      <c r="C586" s="1" t="n">
        <v>46074</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51559-2024</t>
        </is>
      </c>
      <c r="B587" s="1" t="n">
        <v>45604.61431712963</v>
      </c>
      <c r="C587" s="1" t="n">
        <v>46074</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49979-2022</t>
        </is>
      </c>
      <c r="B588" s="1" t="n">
        <v>44865</v>
      </c>
      <c r="C588" s="1" t="n">
        <v>46074</v>
      </c>
      <c r="D588" t="inlineStr">
        <is>
          <t>ÖSTERGÖTLANDS LÄN</t>
        </is>
      </c>
      <c r="E588" t="inlineStr">
        <is>
          <t>LINKÖPING</t>
        </is>
      </c>
      <c r="F588" t="inlineStr">
        <is>
          <t>Övriga Aktiebolag</t>
        </is>
      </c>
      <c r="G588" t="n">
        <v>11.4</v>
      </c>
      <c r="H588" t="n">
        <v>0</v>
      </c>
      <c r="I588" t="n">
        <v>0</v>
      </c>
      <c r="J588" t="n">
        <v>0</v>
      </c>
      <c r="K588" t="n">
        <v>0</v>
      </c>
      <c r="L588" t="n">
        <v>0</v>
      </c>
      <c r="M588" t="n">
        <v>0</v>
      </c>
      <c r="N588" t="n">
        <v>0</v>
      </c>
      <c r="O588" t="n">
        <v>0</v>
      </c>
      <c r="P588" t="n">
        <v>0</v>
      </c>
      <c r="Q588" t="n">
        <v>0</v>
      </c>
      <c r="R588" s="2" t="inlineStr"/>
    </row>
    <row r="589" ht="15" customHeight="1">
      <c r="A589" t="inlineStr">
        <is>
          <t>A 39219-2021</t>
        </is>
      </c>
      <c r="B589" s="1" t="n">
        <v>44413</v>
      </c>
      <c r="C589" s="1" t="n">
        <v>46074</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39224-2021</t>
        </is>
      </c>
      <c r="B590" s="1" t="n">
        <v>44413</v>
      </c>
      <c r="C590" s="1" t="n">
        <v>46074</v>
      </c>
      <c r="D590" t="inlineStr">
        <is>
          <t>ÖSTERGÖTLANDS LÄN</t>
        </is>
      </c>
      <c r="E590" t="inlineStr">
        <is>
          <t>LINKÖPING</t>
        </is>
      </c>
      <c r="G590" t="n">
        <v>2.1</v>
      </c>
      <c r="H590" t="n">
        <v>0</v>
      </c>
      <c r="I590" t="n">
        <v>0</v>
      </c>
      <c r="J590" t="n">
        <v>0</v>
      </c>
      <c r="K590" t="n">
        <v>0</v>
      </c>
      <c r="L590" t="n">
        <v>0</v>
      </c>
      <c r="M590" t="n">
        <v>0</v>
      </c>
      <c r="N590" t="n">
        <v>0</v>
      </c>
      <c r="O590" t="n">
        <v>0</v>
      </c>
      <c r="P590" t="n">
        <v>0</v>
      </c>
      <c r="Q590" t="n">
        <v>0</v>
      </c>
      <c r="R590" s="2" t="inlineStr"/>
    </row>
    <row r="591" ht="15" customHeight="1">
      <c r="A591" t="inlineStr">
        <is>
          <t>A 62495-2023</t>
        </is>
      </c>
      <c r="B591" s="1" t="n">
        <v>45268.59717592593</v>
      </c>
      <c r="C591" s="1" t="n">
        <v>46074</v>
      </c>
      <c r="D591" t="inlineStr">
        <is>
          <t>ÖSTERGÖTLANDS LÄN</t>
        </is>
      </c>
      <c r="E591" t="inlineStr">
        <is>
          <t>LINKÖPING</t>
        </is>
      </c>
      <c r="G591" t="n">
        <v>4.1</v>
      </c>
      <c r="H591" t="n">
        <v>0</v>
      </c>
      <c r="I591" t="n">
        <v>0</v>
      </c>
      <c r="J591" t="n">
        <v>0</v>
      </c>
      <c r="K591" t="n">
        <v>0</v>
      </c>
      <c r="L591" t="n">
        <v>0</v>
      </c>
      <c r="M591" t="n">
        <v>0</v>
      </c>
      <c r="N591" t="n">
        <v>0</v>
      </c>
      <c r="O591" t="n">
        <v>0</v>
      </c>
      <c r="P591" t="n">
        <v>0</v>
      </c>
      <c r="Q591" t="n">
        <v>0</v>
      </c>
      <c r="R591" s="2" t="inlineStr"/>
    </row>
    <row r="592" ht="15" customHeight="1">
      <c r="A592" t="inlineStr">
        <is>
          <t>A 29413-2023</t>
        </is>
      </c>
      <c r="B592" s="1" t="n">
        <v>45106.46465277778</v>
      </c>
      <c r="C592" s="1" t="n">
        <v>46074</v>
      </c>
      <c r="D592" t="inlineStr">
        <is>
          <t>ÖSTERGÖTLANDS LÄN</t>
        </is>
      </c>
      <c r="E592" t="inlineStr">
        <is>
          <t>LINKÖPING</t>
        </is>
      </c>
      <c r="G592" t="n">
        <v>8</v>
      </c>
      <c r="H592" t="n">
        <v>0</v>
      </c>
      <c r="I592" t="n">
        <v>0</v>
      </c>
      <c r="J592" t="n">
        <v>0</v>
      </c>
      <c r="K592" t="n">
        <v>0</v>
      </c>
      <c r="L592" t="n">
        <v>0</v>
      </c>
      <c r="M592" t="n">
        <v>0</v>
      </c>
      <c r="N592" t="n">
        <v>0</v>
      </c>
      <c r="O592" t="n">
        <v>0</v>
      </c>
      <c r="P592" t="n">
        <v>0</v>
      </c>
      <c r="Q592" t="n">
        <v>0</v>
      </c>
      <c r="R592" s="2" t="inlineStr"/>
    </row>
    <row r="593" ht="15" customHeight="1">
      <c r="A593" t="inlineStr">
        <is>
          <t>A 25948-2023</t>
        </is>
      </c>
      <c r="B593" s="1" t="n">
        <v>45090</v>
      </c>
      <c r="C593" s="1" t="n">
        <v>46074</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1627-2023</t>
        </is>
      </c>
      <c r="B594" s="1" t="n">
        <v>44937</v>
      </c>
      <c r="C594" s="1" t="n">
        <v>46074</v>
      </c>
      <c r="D594" t="inlineStr">
        <is>
          <t>ÖSTERGÖTLANDS LÄN</t>
        </is>
      </c>
      <c r="E594" t="inlineStr">
        <is>
          <t>LINKÖPING</t>
        </is>
      </c>
      <c r="G594" t="n">
        <v>10.8</v>
      </c>
      <c r="H594" t="n">
        <v>0</v>
      </c>
      <c r="I594" t="n">
        <v>0</v>
      </c>
      <c r="J594" t="n">
        <v>0</v>
      </c>
      <c r="K594" t="n">
        <v>0</v>
      </c>
      <c r="L594" t="n">
        <v>0</v>
      </c>
      <c r="M594" t="n">
        <v>0</v>
      </c>
      <c r="N594" t="n">
        <v>0</v>
      </c>
      <c r="O594" t="n">
        <v>0</v>
      </c>
      <c r="P594" t="n">
        <v>0</v>
      </c>
      <c r="Q594" t="n">
        <v>0</v>
      </c>
      <c r="R594" s="2" t="inlineStr"/>
    </row>
    <row r="595" ht="15" customHeight="1">
      <c r="A595" t="inlineStr">
        <is>
          <t>A 30481-2023</t>
        </is>
      </c>
      <c r="B595" s="1" t="n">
        <v>45111</v>
      </c>
      <c r="C595" s="1" t="n">
        <v>46074</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21782-2024</t>
        </is>
      </c>
      <c r="B596" s="1" t="n">
        <v>45442.63368055555</v>
      </c>
      <c r="C596" s="1" t="n">
        <v>46074</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11671-2023</t>
        </is>
      </c>
      <c r="B597" s="1" t="n">
        <v>44994.48125</v>
      </c>
      <c r="C597" s="1" t="n">
        <v>46074</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3013-2023</t>
        </is>
      </c>
      <c r="B598" s="1" t="n">
        <v>44945.8092824074</v>
      </c>
      <c r="C598" s="1" t="n">
        <v>46074</v>
      </c>
      <c r="D598" t="inlineStr">
        <is>
          <t>ÖSTERGÖTLANDS LÄN</t>
        </is>
      </c>
      <c r="E598" t="inlineStr">
        <is>
          <t>LINKÖPING</t>
        </is>
      </c>
      <c r="G598" t="n">
        <v>5.2</v>
      </c>
      <c r="H598" t="n">
        <v>0</v>
      </c>
      <c r="I598" t="n">
        <v>0</v>
      </c>
      <c r="J598" t="n">
        <v>0</v>
      </c>
      <c r="K598" t="n">
        <v>0</v>
      </c>
      <c r="L598" t="n">
        <v>0</v>
      </c>
      <c r="M598" t="n">
        <v>0</v>
      </c>
      <c r="N598" t="n">
        <v>0</v>
      </c>
      <c r="O598" t="n">
        <v>0</v>
      </c>
      <c r="P598" t="n">
        <v>0</v>
      </c>
      <c r="Q598" t="n">
        <v>0</v>
      </c>
      <c r="R598" s="2" t="inlineStr"/>
    </row>
    <row r="599" ht="15" customHeight="1">
      <c r="A599" t="inlineStr">
        <is>
          <t>A 49747-2024</t>
        </is>
      </c>
      <c r="B599" s="1" t="n">
        <v>45596</v>
      </c>
      <c r="C599" s="1" t="n">
        <v>46074</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42997-2021</t>
        </is>
      </c>
      <c r="B600" s="1" t="n">
        <v>44431.45556712963</v>
      </c>
      <c r="C600" s="1" t="n">
        <v>46074</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3011-2023</t>
        </is>
      </c>
      <c r="B601" s="1" t="n">
        <v>44945</v>
      </c>
      <c r="C601" s="1" t="n">
        <v>46074</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23735-2023</t>
        </is>
      </c>
      <c r="B602" s="1" t="n">
        <v>45077</v>
      </c>
      <c r="C602" s="1" t="n">
        <v>46074</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45821-2024</t>
        </is>
      </c>
      <c r="B603" s="1" t="n">
        <v>45579.75803240741</v>
      </c>
      <c r="C603" s="1" t="n">
        <v>46074</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53647-2021</t>
        </is>
      </c>
      <c r="B604" s="1" t="n">
        <v>44469</v>
      </c>
      <c r="C604" s="1" t="n">
        <v>46074</v>
      </c>
      <c r="D604" t="inlineStr">
        <is>
          <t>ÖSTERGÖTLANDS LÄN</t>
        </is>
      </c>
      <c r="E604" t="inlineStr">
        <is>
          <t>LINKÖPING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6599-2023</t>
        </is>
      </c>
      <c r="B605" s="1" t="n">
        <v>44966.52603009259</v>
      </c>
      <c r="C605" s="1" t="n">
        <v>46074</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35735-2023</t>
        </is>
      </c>
      <c r="B606" s="1" t="n">
        <v>45147</v>
      </c>
      <c r="C606" s="1" t="n">
        <v>46074</v>
      </c>
      <c r="D606" t="inlineStr">
        <is>
          <t>ÖSTERGÖTLANDS LÄN</t>
        </is>
      </c>
      <c r="E606" t="inlineStr">
        <is>
          <t>LINKÖPING</t>
        </is>
      </c>
      <c r="G606" t="n">
        <v>2.8</v>
      </c>
      <c r="H606" t="n">
        <v>0</v>
      </c>
      <c r="I606" t="n">
        <v>0</v>
      </c>
      <c r="J606" t="n">
        <v>0</v>
      </c>
      <c r="K606" t="n">
        <v>0</v>
      </c>
      <c r="L606" t="n">
        <v>0</v>
      </c>
      <c r="M606" t="n">
        <v>0</v>
      </c>
      <c r="N606" t="n">
        <v>0</v>
      </c>
      <c r="O606" t="n">
        <v>0</v>
      </c>
      <c r="P606" t="n">
        <v>0</v>
      </c>
      <c r="Q606" t="n">
        <v>0</v>
      </c>
      <c r="R606" s="2" t="inlineStr"/>
    </row>
    <row r="607" ht="15" customHeight="1">
      <c r="A607" t="inlineStr">
        <is>
          <t>A 45831-2024</t>
        </is>
      </c>
      <c r="B607" s="1" t="n">
        <v>45579.90508101852</v>
      </c>
      <c r="C607" s="1" t="n">
        <v>46074</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17157-2024</t>
        </is>
      </c>
      <c r="B608" s="1" t="n">
        <v>45412.70567129629</v>
      </c>
      <c r="C608" s="1" t="n">
        <v>46074</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1223-2026</t>
        </is>
      </c>
      <c r="B609" s="1" t="n">
        <v>46031.40233796297</v>
      </c>
      <c r="C609" s="1" t="n">
        <v>46074</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858-2026</t>
        </is>
      </c>
      <c r="B610" s="1" t="n">
        <v>46030.41200231481</v>
      </c>
      <c r="C610" s="1" t="n">
        <v>46074</v>
      </c>
      <c r="D610" t="inlineStr">
        <is>
          <t>ÖSTERGÖTLANDS LÄN</t>
        </is>
      </c>
      <c r="E610" t="inlineStr">
        <is>
          <t>LINKÖPING</t>
        </is>
      </c>
      <c r="G610" t="n">
        <v>1.9</v>
      </c>
      <c r="H610" t="n">
        <v>0</v>
      </c>
      <c r="I610" t="n">
        <v>0</v>
      </c>
      <c r="J610" t="n">
        <v>0</v>
      </c>
      <c r="K610" t="n">
        <v>0</v>
      </c>
      <c r="L610" t="n">
        <v>0</v>
      </c>
      <c r="M610" t="n">
        <v>0</v>
      </c>
      <c r="N610" t="n">
        <v>0</v>
      </c>
      <c r="O610" t="n">
        <v>0</v>
      </c>
      <c r="P610" t="n">
        <v>0</v>
      </c>
      <c r="Q610" t="n">
        <v>0</v>
      </c>
      <c r="R610" s="2" t="inlineStr"/>
    </row>
    <row r="611" ht="15" customHeight="1">
      <c r="A611" t="inlineStr">
        <is>
          <t>A 873-2026</t>
        </is>
      </c>
      <c r="B611" s="1" t="n">
        <v>46030.43818287037</v>
      </c>
      <c r="C611" s="1" t="n">
        <v>46074</v>
      </c>
      <c r="D611" t="inlineStr">
        <is>
          <t>ÖSTERGÖTLANDS LÄN</t>
        </is>
      </c>
      <c r="E611" t="inlineStr">
        <is>
          <t>LINKÖPING</t>
        </is>
      </c>
      <c r="G611" t="n">
        <v>4.1</v>
      </c>
      <c r="H611" t="n">
        <v>0</v>
      </c>
      <c r="I611" t="n">
        <v>0</v>
      </c>
      <c r="J611" t="n">
        <v>0</v>
      </c>
      <c r="K611" t="n">
        <v>0</v>
      </c>
      <c r="L611" t="n">
        <v>0</v>
      </c>
      <c r="M611" t="n">
        <v>0</v>
      </c>
      <c r="N611" t="n">
        <v>0</v>
      </c>
      <c r="O611" t="n">
        <v>0</v>
      </c>
      <c r="P611" t="n">
        <v>0</v>
      </c>
      <c r="Q611" t="n">
        <v>0</v>
      </c>
      <c r="R611" s="2" t="inlineStr"/>
    </row>
    <row r="612" ht="15" customHeight="1">
      <c r="A612" t="inlineStr">
        <is>
          <t>A 856-2026</t>
        </is>
      </c>
      <c r="B612" s="1" t="n">
        <v>46030.40644675926</v>
      </c>
      <c r="C612" s="1" t="n">
        <v>46074</v>
      </c>
      <c r="D612" t="inlineStr">
        <is>
          <t>ÖSTERGÖTLANDS LÄN</t>
        </is>
      </c>
      <c r="E612" t="inlineStr">
        <is>
          <t>LINKÖPING</t>
        </is>
      </c>
      <c r="G612" t="n">
        <v>6.4</v>
      </c>
      <c r="H612" t="n">
        <v>0</v>
      </c>
      <c r="I612" t="n">
        <v>0</v>
      </c>
      <c r="J612" t="n">
        <v>0</v>
      </c>
      <c r="K612" t="n">
        <v>0</v>
      </c>
      <c r="L612" t="n">
        <v>0</v>
      </c>
      <c r="M612" t="n">
        <v>0</v>
      </c>
      <c r="N612" t="n">
        <v>0</v>
      </c>
      <c r="O612" t="n">
        <v>0</v>
      </c>
      <c r="P612" t="n">
        <v>0</v>
      </c>
      <c r="Q612" t="n">
        <v>0</v>
      </c>
      <c r="R612" s="2" t="inlineStr"/>
    </row>
    <row r="613" ht="15" customHeight="1">
      <c r="A613" t="inlineStr">
        <is>
          <t>A 37154-2023</t>
        </is>
      </c>
      <c r="B613" s="1" t="n">
        <v>45155</v>
      </c>
      <c r="C613" s="1" t="n">
        <v>46074</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46074</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46074</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56841-2023</t>
        </is>
      </c>
      <c r="B616" s="1" t="n">
        <v>45244</v>
      </c>
      <c r="C616" s="1" t="n">
        <v>46074</v>
      </c>
      <c r="D616" t="inlineStr">
        <is>
          <t>ÖSTERGÖTLANDS LÄN</t>
        </is>
      </c>
      <c r="E616" t="inlineStr">
        <is>
          <t>LINKÖPING</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56741-2023</t>
        </is>
      </c>
      <c r="B617" s="1" t="n">
        <v>45244</v>
      </c>
      <c r="C617" s="1" t="n">
        <v>46074</v>
      </c>
      <c r="D617" t="inlineStr">
        <is>
          <t>ÖSTERGÖTLANDS LÄN</t>
        </is>
      </c>
      <c r="E617" t="inlineStr">
        <is>
          <t>LINKÖPING</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53816-2023</t>
        </is>
      </c>
      <c r="B618" s="1" t="n">
        <v>45231.40012731482</v>
      </c>
      <c r="C618" s="1" t="n">
        <v>46074</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860-2026</t>
        </is>
      </c>
      <c r="B619" s="1" t="n">
        <v>46030.41974537037</v>
      </c>
      <c r="C619" s="1" t="n">
        <v>46074</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63935-2021</t>
        </is>
      </c>
      <c r="B620" s="1" t="n">
        <v>44509</v>
      </c>
      <c r="C620" s="1" t="n">
        <v>46074</v>
      </c>
      <c r="D620" t="inlineStr">
        <is>
          <t>ÖSTERGÖTLANDS LÄN</t>
        </is>
      </c>
      <c r="E620" t="inlineStr">
        <is>
          <t>LINKÖPING</t>
        </is>
      </c>
      <c r="F620" t="inlineStr">
        <is>
          <t>Övriga statliga verk och myndigheter</t>
        </is>
      </c>
      <c r="G620" t="n">
        <v>2.8</v>
      </c>
      <c r="H620" t="n">
        <v>0</v>
      </c>
      <c r="I620" t="n">
        <v>0</v>
      </c>
      <c r="J620" t="n">
        <v>0</v>
      </c>
      <c r="K620" t="n">
        <v>0</v>
      </c>
      <c r="L620" t="n">
        <v>0</v>
      </c>
      <c r="M620" t="n">
        <v>0</v>
      </c>
      <c r="N620" t="n">
        <v>0</v>
      </c>
      <c r="O620" t="n">
        <v>0</v>
      </c>
      <c r="P620" t="n">
        <v>0</v>
      </c>
      <c r="Q620" t="n">
        <v>0</v>
      </c>
      <c r="R620" s="2" t="inlineStr"/>
    </row>
    <row r="621" ht="15" customHeight="1">
      <c r="A621" t="inlineStr">
        <is>
          <t>A 940-2026</t>
        </is>
      </c>
      <c r="B621" s="1" t="n">
        <v>46030.53052083333</v>
      </c>
      <c r="C621" s="1" t="n">
        <v>46074</v>
      </c>
      <c r="D621" t="inlineStr">
        <is>
          <t>ÖSTERGÖTLANDS LÄN</t>
        </is>
      </c>
      <c r="E621" t="inlineStr">
        <is>
          <t>LINKÖPING</t>
        </is>
      </c>
      <c r="F621" t="inlineStr">
        <is>
          <t>Allmännings- och besparingsskogar</t>
        </is>
      </c>
      <c r="G621" t="n">
        <v>2.9</v>
      </c>
      <c r="H621" t="n">
        <v>0</v>
      </c>
      <c r="I621" t="n">
        <v>0</v>
      </c>
      <c r="J621" t="n">
        <v>0</v>
      </c>
      <c r="K621" t="n">
        <v>0</v>
      </c>
      <c r="L621" t="n">
        <v>0</v>
      </c>
      <c r="M621" t="n">
        <v>0</v>
      </c>
      <c r="N621" t="n">
        <v>0</v>
      </c>
      <c r="O621" t="n">
        <v>0</v>
      </c>
      <c r="P621" t="n">
        <v>0</v>
      </c>
      <c r="Q621" t="n">
        <v>0</v>
      </c>
      <c r="R621" s="2" t="inlineStr"/>
    </row>
    <row r="622" ht="15" customHeight="1">
      <c r="A622" t="inlineStr">
        <is>
          <t>A 944-2026</t>
        </is>
      </c>
      <c r="B622" s="1" t="n">
        <v>46030.53461805556</v>
      </c>
      <c r="C622" s="1" t="n">
        <v>46074</v>
      </c>
      <c r="D622" t="inlineStr">
        <is>
          <t>ÖSTERGÖTLANDS LÄN</t>
        </is>
      </c>
      <c r="E622" t="inlineStr">
        <is>
          <t>LINKÖPING</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6726-2024</t>
        </is>
      </c>
      <c r="B623" s="1" t="n">
        <v>45341</v>
      </c>
      <c r="C623" s="1" t="n">
        <v>46074</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3007-2023</t>
        </is>
      </c>
      <c r="B624" s="1" t="n">
        <v>44945</v>
      </c>
      <c r="C624" s="1" t="n">
        <v>46074</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18145-2021</t>
        </is>
      </c>
      <c r="B625" s="1" t="n">
        <v>44302</v>
      </c>
      <c r="C625" s="1" t="n">
        <v>46074</v>
      </c>
      <c r="D625" t="inlineStr">
        <is>
          <t>ÖSTERGÖTLANDS LÄN</t>
        </is>
      </c>
      <c r="E625" t="inlineStr">
        <is>
          <t>LINKÖPING</t>
        </is>
      </c>
      <c r="G625" t="n">
        <v>2.4</v>
      </c>
      <c r="H625" t="n">
        <v>0</v>
      </c>
      <c r="I625" t="n">
        <v>0</v>
      </c>
      <c r="J625" t="n">
        <v>0</v>
      </c>
      <c r="K625" t="n">
        <v>0</v>
      </c>
      <c r="L625" t="n">
        <v>0</v>
      </c>
      <c r="M625" t="n">
        <v>0</v>
      </c>
      <c r="N625" t="n">
        <v>0</v>
      </c>
      <c r="O625" t="n">
        <v>0</v>
      </c>
      <c r="P625" t="n">
        <v>0</v>
      </c>
      <c r="Q625" t="n">
        <v>0</v>
      </c>
      <c r="R625" s="2" t="inlineStr"/>
    </row>
    <row r="626" ht="15" customHeight="1">
      <c r="A626" t="inlineStr">
        <is>
          <t>A 927-2026</t>
        </is>
      </c>
      <c r="B626" s="1" t="n">
        <v>46030.50560185185</v>
      </c>
      <c r="C626" s="1" t="n">
        <v>46074</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29309-2024</t>
        </is>
      </c>
      <c r="B627" s="1" t="n">
        <v>45483</v>
      </c>
      <c r="C627" s="1" t="n">
        <v>46074</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859-2026</t>
        </is>
      </c>
      <c r="B628" s="1" t="n">
        <v>46030.41450231482</v>
      </c>
      <c r="C628" s="1" t="n">
        <v>46074</v>
      </c>
      <c r="D628" t="inlineStr">
        <is>
          <t>ÖSTERGÖTLANDS LÄN</t>
        </is>
      </c>
      <c r="E628" t="inlineStr">
        <is>
          <t>LINKÖPING</t>
        </is>
      </c>
      <c r="G628" t="n">
        <v>0.2</v>
      </c>
      <c r="H628" t="n">
        <v>0</v>
      </c>
      <c r="I628" t="n">
        <v>0</v>
      </c>
      <c r="J628" t="n">
        <v>0</v>
      </c>
      <c r="K628" t="n">
        <v>0</v>
      </c>
      <c r="L628" t="n">
        <v>0</v>
      </c>
      <c r="M628" t="n">
        <v>0</v>
      </c>
      <c r="N628" t="n">
        <v>0</v>
      </c>
      <c r="O628" t="n">
        <v>0</v>
      </c>
      <c r="P628" t="n">
        <v>0</v>
      </c>
      <c r="Q628" t="n">
        <v>0</v>
      </c>
      <c r="R628" s="2" t="inlineStr"/>
    </row>
    <row r="629" ht="15" customHeight="1">
      <c r="A629" t="inlineStr">
        <is>
          <t>A 53411-2023</t>
        </is>
      </c>
      <c r="B629" s="1" t="n">
        <v>45229.81049768518</v>
      </c>
      <c r="C629" s="1" t="n">
        <v>46074</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46074</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24462-2023</t>
        </is>
      </c>
      <c r="B631" s="1" t="n">
        <v>45082</v>
      </c>
      <c r="C631" s="1" t="n">
        <v>46074</v>
      </c>
      <c r="D631" t="inlineStr">
        <is>
          <t>ÖSTERGÖTLANDS LÄN</t>
        </is>
      </c>
      <c r="E631" t="inlineStr">
        <is>
          <t>LINKÖPING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46074</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10741-2023</t>
        </is>
      </c>
      <c r="B633" s="1" t="n">
        <v>44988.70084490741</v>
      </c>
      <c r="C633" s="1" t="n">
        <v>46074</v>
      </c>
      <c r="D633" t="inlineStr">
        <is>
          <t>ÖSTERGÖTLANDS LÄN</t>
        </is>
      </c>
      <c r="E633" t="inlineStr">
        <is>
          <t>LINKÖPING</t>
        </is>
      </c>
      <c r="F633" t="inlineStr">
        <is>
          <t>Allmännings- och besparingsskogar</t>
        </is>
      </c>
      <c r="G633" t="n">
        <v>11.2</v>
      </c>
      <c r="H633" t="n">
        <v>0</v>
      </c>
      <c r="I633" t="n">
        <v>0</v>
      </c>
      <c r="J633" t="n">
        <v>0</v>
      </c>
      <c r="K633" t="n">
        <v>0</v>
      </c>
      <c r="L633" t="n">
        <v>0</v>
      </c>
      <c r="M633" t="n">
        <v>0</v>
      </c>
      <c r="N633" t="n">
        <v>0</v>
      </c>
      <c r="O633" t="n">
        <v>0</v>
      </c>
      <c r="P633" t="n">
        <v>0</v>
      </c>
      <c r="Q633" t="n">
        <v>0</v>
      </c>
      <c r="R633" s="2" t="inlineStr"/>
    </row>
    <row r="634" ht="15" customHeight="1">
      <c r="A634" t="inlineStr">
        <is>
          <t>A 43473-2024</t>
        </is>
      </c>
      <c r="B634" s="1" t="n">
        <v>45568</v>
      </c>
      <c r="C634" s="1" t="n">
        <v>46074</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43475-2024</t>
        </is>
      </c>
      <c r="B635" s="1" t="n">
        <v>45568</v>
      </c>
      <c r="C635" s="1" t="n">
        <v>46074</v>
      </c>
      <c r="D635" t="inlineStr">
        <is>
          <t>ÖSTERGÖTLANDS LÄN</t>
        </is>
      </c>
      <c r="E635" t="inlineStr">
        <is>
          <t>LINKÖPING</t>
        </is>
      </c>
      <c r="G635" t="n">
        <v>3.2</v>
      </c>
      <c r="H635" t="n">
        <v>0</v>
      </c>
      <c r="I635" t="n">
        <v>0</v>
      </c>
      <c r="J635" t="n">
        <v>0</v>
      </c>
      <c r="K635" t="n">
        <v>0</v>
      </c>
      <c r="L635" t="n">
        <v>0</v>
      </c>
      <c r="M635" t="n">
        <v>0</v>
      </c>
      <c r="N635" t="n">
        <v>0</v>
      </c>
      <c r="O635" t="n">
        <v>0</v>
      </c>
      <c r="P635" t="n">
        <v>0</v>
      </c>
      <c r="Q635" t="n">
        <v>0</v>
      </c>
      <c r="R635" s="2" t="inlineStr"/>
    </row>
    <row r="636" ht="15" customHeight="1">
      <c r="A636" t="inlineStr">
        <is>
          <t>A 1207-2023</t>
        </is>
      </c>
      <c r="B636" s="1" t="n">
        <v>44930</v>
      </c>
      <c r="C636" s="1" t="n">
        <v>46074</v>
      </c>
      <c r="D636" t="inlineStr">
        <is>
          <t>ÖSTERGÖTLANDS LÄN</t>
        </is>
      </c>
      <c r="E636" t="inlineStr">
        <is>
          <t>LINKÖPING</t>
        </is>
      </c>
      <c r="F636" t="inlineStr">
        <is>
          <t>Övriga statliga verk och myndigheter</t>
        </is>
      </c>
      <c r="G636" t="n">
        <v>32.8</v>
      </c>
      <c r="H636" t="n">
        <v>0</v>
      </c>
      <c r="I636" t="n">
        <v>0</v>
      </c>
      <c r="J636" t="n">
        <v>0</v>
      </c>
      <c r="K636" t="n">
        <v>0</v>
      </c>
      <c r="L636" t="n">
        <v>0</v>
      </c>
      <c r="M636" t="n">
        <v>0</v>
      </c>
      <c r="N636" t="n">
        <v>0</v>
      </c>
      <c r="O636" t="n">
        <v>0</v>
      </c>
      <c r="P636" t="n">
        <v>0</v>
      </c>
      <c r="Q636" t="n">
        <v>0</v>
      </c>
      <c r="R636" s="2" t="inlineStr"/>
    </row>
    <row r="637" ht="15" customHeight="1">
      <c r="A637" t="inlineStr">
        <is>
          <t>A 29859-2024</t>
        </is>
      </c>
      <c r="B637" s="1" t="n">
        <v>45485.6846412037</v>
      </c>
      <c r="C637" s="1" t="n">
        <v>46074</v>
      </c>
      <c r="D637" t="inlineStr">
        <is>
          <t>ÖSTERGÖTLANDS LÄN</t>
        </is>
      </c>
      <c r="E637" t="inlineStr">
        <is>
          <t>LINKÖPING</t>
        </is>
      </c>
      <c r="G637" t="n">
        <v>0.4</v>
      </c>
      <c r="H637" t="n">
        <v>0</v>
      </c>
      <c r="I637" t="n">
        <v>0</v>
      </c>
      <c r="J637" t="n">
        <v>0</v>
      </c>
      <c r="K637" t="n">
        <v>0</v>
      </c>
      <c r="L637" t="n">
        <v>0</v>
      </c>
      <c r="M637" t="n">
        <v>0</v>
      </c>
      <c r="N637" t="n">
        <v>0</v>
      </c>
      <c r="O637" t="n">
        <v>0</v>
      </c>
      <c r="P637" t="n">
        <v>0</v>
      </c>
      <c r="Q637" t="n">
        <v>0</v>
      </c>
      <c r="R637" s="2" t="inlineStr"/>
    </row>
    <row r="638" ht="15" customHeight="1">
      <c r="A638" t="inlineStr">
        <is>
          <t>A 45819-2024</t>
        </is>
      </c>
      <c r="B638" s="1" t="n">
        <v>45579.7454050926</v>
      </c>
      <c r="C638" s="1" t="n">
        <v>46074</v>
      </c>
      <c r="D638" t="inlineStr">
        <is>
          <t>ÖSTERGÖTLANDS LÄN</t>
        </is>
      </c>
      <c r="E638" t="inlineStr">
        <is>
          <t>LINKÖPING</t>
        </is>
      </c>
      <c r="G638" t="n">
        <v>5</v>
      </c>
      <c r="H638" t="n">
        <v>0</v>
      </c>
      <c r="I638" t="n">
        <v>0</v>
      </c>
      <c r="J638" t="n">
        <v>0</v>
      </c>
      <c r="K638" t="n">
        <v>0</v>
      </c>
      <c r="L638" t="n">
        <v>0</v>
      </c>
      <c r="M638" t="n">
        <v>0</v>
      </c>
      <c r="N638" t="n">
        <v>0</v>
      </c>
      <c r="O638" t="n">
        <v>0</v>
      </c>
      <c r="P638" t="n">
        <v>0</v>
      </c>
      <c r="Q638" t="n">
        <v>0</v>
      </c>
      <c r="R638" s="2" t="inlineStr"/>
    </row>
    <row r="639" ht="15" customHeight="1">
      <c r="A639" t="inlineStr">
        <is>
          <t>A 15748-2025</t>
        </is>
      </c>
      <c r="B639" s="1" t="n">
        <v>45748.55282407408</v>
      </c>
      <c r="C639" s="1" t="n">
        <v>46074</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15754-2025</t>
        </is>
      </c>
      <c r="B640" s="1" t="n">
        <v>45748.56105324074</v>
      </c>
      <c r="C640" s="1" t="n">
        <v>46074</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30518-2024</t>
        </is>
      </c>
      <c r="B641" s="1" t="n">
        <v>45492</v>
      </c>
      <c r="C641" s="1" t="n">
        <v>46074</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53797-2023</t>
        </is>
      </c>
      <c r="B642" s="1" t="n">
        <v>45230</v>
      </c>
      <c r="C642" s="1" t="n">
        <v>46074</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55345-2021</t>
        </is>
      </c>
      <c r="B643" s="1" t="n">
        <v>44475</v>
      </c>
      <c r="C643" s="1" t="n">
        <v>46074</v>
      </c>
      <c r="D643" t="inlineStr">
        <is>
          <t>ÖSTERGÖTLANDS LÄN</t>
        </is>
      </c>
      <c r="E643" t="inlineStr">
        <is>
          <t>LINKÖPING</t>
        </is>
      </c>
      <c r="G643" t="n">
        <v>5.7</v>
      </c>
      <c r="H643" t="n">
        <v>0</v>
      </c>
      <c r="I643" t="n">
        <v>0</v>
      </c>
      <c r="J643" t="n">
        <v>0</v>
      </c>
      <c r="K643" t="n">
        <v>0</v>
      </c>
      <c r="L643" t="n">
        <v>0</v>
      </c>
      <c r="M643" t="n">
        <v>0</v>
      </c>
      <c r="N643" t="n">
        <v>0</v>
      </c>
      <c r="O643" t="n">
        <v>0</v>
      </c>
      <c r="P643" t="n">
        <v>0</v>
      </c>
      <c r="Q643" t="n">
        <v>0</v>
      </c>
      <c r="R643" s="2" t="inlineStr"/>
    </row>
    <row r="644" ht="15" customHeight="1">
      <c r="A644" t="inlineStr">
        <is>
          <t>A 10198-2023</t>
        </is>
      </c>
      <c r="B644" s="1" t="n">
        <v>44986.54665509259</v>
      </c>
      <c r="C644" s="1" t="n">
        <v>46074</v>
      </c>
      <c r="D644" t="inlineStr">
        <is>
          <t>ÖSTERGÖTLANDS LÄN</t>
        </is>
      </c>
      <c r="E644" t="inlineStr">
        <is>
          <t>LINKÖPING</t>
        </is>
      </c>
      <c r="G644" t="n">
        <v>4.6</v>
      </c>
      <c r="H644" t="n">
        <v>0</v>
      </c>
      <c r="I644" t="n">
        <v>0</v>
      </c>
      <c r="J644" t="n">
        <v>0</v>
      </c>
      <c r="K644" t="n">
        <v>0</v>
      </c>
      <c r="L644" t="n">
        <v>0</v>
      </c>
      <c r="M644" t="n">
        <v>0</v>
      </c>
      <c r="N644" t="n">
        <v>0</v>
      </c>
      <c r="O644" t="n">
        <v>0</v>
      </c>
      <c r="P644" t="n">
        <v>0</v>
      </c>
      <c r="Q644" t="n">
        <v>0</v>
      </c>
      <c r="R644" s="2" t="inlineStr"/>
    </row>
    <row r="645" ht="15" customHeight="1">
      <c r="A645" t="inlineStr">
        <is>
          <t>A 4298-2023</t>
        </is>
      </c>
      <c r="B645" s="1" t="n">
        <v>44953</v>
      </c>
      <c r="C645" s="1" t="n">
        <v>46074</v>
      </c>
      <c r="D645" t="inlineStr">
        <is>
          <t>ÖSTERGÖTLANDS LÄN</t>
        </is>
      </c>
      <c r="E645" t="inlineStr">
        <is>
          <t>LINKÖPING</t>
        </is>
      </c>
      <c r="G645" t="n">
        <v>2.8</v>
      </c>
      <c r="H645" t="n">
        <v>0</v>
      </c>
      <c r="I645" t="n">
        <v>0</v>
      </c>
      <c r="J645" t="n">
        <v>0</v>
      </c>
      <c r="K645" t="n">
        <v>0</v>
      </c>
      <c r="L645" t="n">
        <v>0</v>
      </c>
      <c r="M645" t="n">
        <v>0</v>
      </c>
      <c r="N645" t="n">
        <v>0</v>
      </c>
      <c r="O645" t="n">
        <v>0</v>
      </c>
      <c r="P645" t="n">
        <v>0</v>
      </c>
      <c r="Q645" t="n">
        <v>0</v>
      </c>
      <c r="R645" s="2" t="inlineStr"/>
    </row>
    <row r="646" ht="15" customHeight="1">
      <c r="A646" t="inlineStr">
        <is>
          <t>A 12428-2024</t>
        </is>
      </c>
      <c r="B646" s="1" t="n">
        <v>45379</v>
      </c>
      <c r="C646" s="1" t="n">
        <v>46074</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26618-2023</t>
        </is>
      </c>
      <c r="B647" s="1" t="n">
        <v>45092.70306712963</v>
      </c>
      <c r="C647" s="1" t="n">
        <v>46074</v>
      </c>
      <c r="D647" t="inlineStr">
        <is>
          <t>ÖSTERGÖTLANDS LÄN</t>
        </is>
      </c>
      <c r="E647" t="inlineStr">
        <is>
          <t>LINKÖPING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34930-2023</t>
        </is>
      </c>
      <c r="B648" s="1" t="n">
        <v>45142</v>
      </c>
      <c r="C648" s="1" t="n">
        <v>46074</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670-2024</t>
        </is>
      </c>
      <c r="B649" s="1" t="n">
        <v>45300.3408912037</v>
      </c>
      <c r="C649" s="1" t="n">
        <v>46074</v>
      </c>
      <c r="D649" t="inlineStr">
        <is>
          <t>ÖSTERGÖTLANDS LÄN</t>
        </is>
      </c>
      <c r="E649" t="inlineStr">
        <is>
          <t>LINKÖPING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63845-2021</t>
        </is>
      </c>
      <c r="B650" s="1" t="n">
        <v>44509</v>
      </c>
      <c r="C650" s="1" t="n">
        <v>46074</v>
      </c>
      <c r="D650" t="inlineStr">
        <is>
          <t>ÖSTERGÖTLANDS LÄN</t>
        </is>
      </c>
      <c r="E650" t="inlineStr">
        <is>
          <t>LINKÖPING</t>
        </is>
      </c>
      <c r="G650" t="n">
        <v>5</v>
      </c>
      <c r="H650" t="n">
        <v>0</v>
      </c>
      <c r="I650" t="n">
        <v>0</v>
      </c>
      <c r="J650" t="n">
        <v>0</v>
      </c>
      <c r="K650" t="n">
        <v>0</v>
      </c>
      <c r="L650" t="n">
        <v>0</v>
      </c>
      <c r="M650" t="n">
        <v>0</v>
      </c>
      <c r="N650" t="n">
        <v>0</v>
      </c>
      <c r="O650" t="n">
        <v>0</v>
      </c>
      <c r="P650" t="n">
        <v>0</v>
      </c>
      <c r="Q650" t="n">
        <v>0</v>
      </c>
      <c r="R650" s="2" t="inlineStr"/>
    </row>
    <row r="651" ht="15" customHeight="1">
      <c r="A651" t="inlineStr">
        <is>
          <t>A 54034-2022</t>
        </is>
      </c>
      <c r="B651" s="1" t="n">
        <v>44881</v>
      </c>
      <c r="C651" s="1" t="n">
        <v>46074</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36336-2023</t>
        </is>
      </c>
      <c r="B652" s="1" t="n">
        <v>45152.45078703704</v>
      </c>
      <c r="C652" s="1" t="n">
        <v>46074</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48829-2023</t>
        </is>
      </c>
      <c r="B653" s="1" t="n">
        <v>45209.38177083333</v>
      </c>
      <c r="C653" s="1" t="n">
        <v>46074</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48186-2022</t>
        </is>
      </c>
      <c r="B654" s="1" t="n">
        <v>44858</v>
      </c>
      <c r="C654" s="1" t="n">
        <v>46074</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63669-2023</t>
        </is>
      </c>
      <c r="B655" s="1" t="n">
        <v>45275</v>
      </c>
      <c r="C655" s="1" t="n">
        <v>46074</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24586-2024</t>
        </is>
      </c>
      <c r="B656" s="1" t="n">
        <v>45460.46664351852</v>
      </c>
      <c r="C656" s="1" t="n">
        <v>46074</v>
      </c>
      <c r="D656" t="inlineStr">
        <is>
          <t>ÖSTERGÖTLANDS LÄN</t>
        </is>
      </c>
      <c r="E656" t="inlineStr">
        <is>
          <t>LINKÖPING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59576-2024</t>
        </is>
      </c>
      <c r="B657" s="1" t="n">
        <v>45638.66378472222</v>
      </c>
      <c r="C657" s="1" t="n">
        <v>46074</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59642-2024</t>
        </is>
      </c>
      <c r="B658" s="1" t="n">
        <v>45639.31511574074</v>
      </c>
      <c r="C658" s="1" t="n">
        <v>46074</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59674-2024</t>
        </is>
      </c>
      <c r="B659" s="1" t="n">
        <v>45639</v>
      </c>
      <c r="C659" s="1" t="n">
        <v>46074</v>
      </c>
      <c r="D659" t="inlineStr">
        <is>
          <t>ÖSTERGÖTLANDS LÄN</t>
        </is>
      </c>
      <c r="E659" t="inlineStr">
        <is>
          <t>LINKÖPING</t>
        </is>
      </c>
      <c r="G659" t="n">
        <v>6.3</v>
      </c>
      <c r="H659" t="n">
        <v>0</v>
      </c>
      <c r="I659" t="n">
        <v>0</v>
      </c>
      <c r="J659" t="n">
        <v>0</v>
      </c>
      <c r="K659" t="n">
        <v>0</v>
      </c>
      <c r="L659" t="n">
        <v>0</v>
      </c>
      <c r="M659" t="n">
        <v>0</v>
      </c>
      <c r="N659" t="n">
        <v>0</v>
      </c>
      <c r="O659" t="n">
        <v>0</v>
      </c>
      <c r="P659" t="n">
        <v>0</v>
      </c>
      <c r="Q659" t="n">
        <v>0</v>
      </c>
      <c r="R659" s="2" t="inlineStr"/>
    </row>
    <row r="660" ht="15" customHeight="1">
      <c r="A660" t="inlineStr">
        <is>
          <t>A 18916-2024</t>
        </is>
      </c>
      <c r="B660" s="1" t="n">
        <v>45427.39541666667</v>
      </c>
      <c r="C660" s="1" t="n">
        <v>46074</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11084-2022</t>
        </is>
      </c>
      <c r="B661" s="1" t="n">
        <v>44628</v>
      </c>
      <c r="C661" s="1" t="n">
        <v>46074</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10203-2023</t>
        </is>
      </c>
      <c r="B662" s="1" t="n">
        <v>44986.55711805556</v>
      </c>
      <c r="C662" s="1" t="n">
        <v>46074</v>
      </c>
      <c r="D662" t="inlineStr">
        <is>
          <t>ÖSTERGÖTLANDS LÄN</t>
        </is>
      </c>
      <c r="E662" t="inlineStr">
        <is>
          <t>LINKÖPING</t>
        </is>
      </c>
      <c r="G662" t="n">
        <v>3.3</v>
      </c>
      <c r="H662" t="n">
        <v>0</v>
      </c>
      <c r="I662" t="n">
        <v>0</v>
      </c>
      <c r="J662" t="n">
        <v>0</v>
      </c>
      <c r="K662" t="n">
        <v>0</v>
      </c>
      <c r="L662" t="n">
        <v>0</v>
      </c>
      <c r="M662" t="n">
        <v>0</v>
      </c>
      <c r="N662" t="n">
        <v>0</v>
      </c>
      <c r="O662" t="n">
        <v>0</v>
      </c>
      <c r="P662" t="n">
        <v>0</v>
      </c>
      <c r="Q662" t="n">
        <v>0</v>
      </c>
      <c r="R662" s="2" t="inlineStr"/>
    </row>
    <row r="663" ht="15" customHeight="1">
      <c r="A663" t="inlineStr">
        <is>
          <t>A 2618-2023</t>
        </is>
      </c>
      <c r="B663" s="1" t="n">
        <v>44944.35847222222</v>
      </c>
      <c r="C663" s="1" t="n">
        <v>46074</v>
      </c>
      <c r="D663" t="inlineStr">
        <is>
          <t>ÖSTERGÖTLANDS LÄN</t>
        </is>
      </c>
      <c r="E663" t="inlineStr">
        <is>
          <t>LINKÖPING</t>
        </is>
      </c>
      <c r="G663" t="n">
        <v>4.3</v>
      </c>
      <c r="H663" t="n">
        <v>0</v>
      </c>
      <c r="I663" t="n">
        <v>0</v>
      </c>
      <c r="J663" t="n">
        <v>0</v>
      </c>
      <c r="K663" t="n">
        <v>0</v>
      </c>
      <c r="L663" t="n">
        <v>0</v>
      </c>
      <c r="M663" t="n">
        <v>0</v>
      </c>
      <c r="N663" t="n">
        <v>0</v>
      </c>
      <c r="O663" t="n">
        <v>0</v>
      </c>
      <c r="P663" t="n">
        <v>0</v>
      </c>
      <c r="Q663" t="n">
        <v>0</v>
      </c>
      <c r="R663" s="2" t="inlineStr"/>
    </row>
    <row r="664" ht="15" customHeight="1">
      <c r="A664" t="inlineStr">
        <is>
          <t>A 62020-2024</t>
        </is>
      </c>
      <c r="B664" s="1" t="n">
        <v>45655.83563657408</v>
      </c>
      <c r="C664" s="1" t="n">
        <v>46074</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62021-2024</t>
        </is>
      </c>
      <c r="B665" s="1" t="n">
        <v>45655.84232638889</v>
      </c>
      <c r="C665" s="1" t="n">
        <v>46074</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1362-2023</t>
        </is>
      </c>
      <c r="B666" s="1" t="n">
        <v>44931</v>
      </c>
      <c r="C666" s="1" t="n">
        <v>46074</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49928-2024</t>
        </is>
      </c>
      <c r="B667" s="1" t="n">
        <v>45597.57811342592</v>
      </c>
      <c r="C667" s="1" t="n">
        <v>46074</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3627-2023</t>
        </is>
      </c>
      <c r="B668" s="1" t="n">
        <v>44950.64782407408</v>
      </c>
      <c r="C668" s="1" t="n">
        <v>46074</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51405-2023</t>
        </is>
      </c>
      <c r="B669" s="1" t="n">
        <v>45219</v>
      </c>
      <c r="C669" s="1" t="n">
        <v>46074</v>
      </c>
      <c r="D669" t="inlineStr">
        <is>
          <t>ÖSTERGÖTLANDS LÄN</t>
        </is>
      </c>
      <c r="E669" t="inlineStr">
        <is>
          <t>LINKÖPING</t>
        </is>
      </c>
      <c r="F669" t="inlineStr">
        <is>
          <t>Övriga Aktiebolag</t>
        </is>
      </c>
      <c r="G669" t="n">
        <v>3</v>
      </c>
      <c r="H669" t="n">
        <v>0</v>
      </c>
      <c r="I669" t="n">
        <v>0</v>
      </c>
      <c r="J669" t="n">
        <v>0</v>
      </c>
      <c r="K669" t="n">
        <v>0</v>
      </c>
      <c r="L669" t="n">
        <v>0</v>
      </c>
      <c r="M669" t="n">
        <v>0</v>
      </c>
      <c r="N669" t="n">
        <v>0</v>
      </c>
      <c r="O669" t="n">
        <v>0</v>
      </c>
      <c r="P669" t="n">
        <v>0</v>
      </c>
      <c r="Q669" t="n">
        <v>0</v>
      </c>
      <c r="R669" s="2" t="inlineStr"/>
    </row>
    <row r="670" ht="15" customHeight="1">
      <c r="A670" t="inlineStr">
        <is>
          <t>A 11601-2023</t>
        </is>
      </c>
      <c r="B670" s="1" t="n">
        <v>44994</v>
      </c>
      <c r="C670" s="1" t="n">
        <v>46074</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40338-2024</t>
        </is>
      </c>
      <c r="B671" s="1" t="n">
        <v>45555.32940972222</v>
      </c>
      <c r="C671" s="1" t="n">
        <v>46074</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167-2024</t>
        </is>
      </c>
      <c r="B672" s="1" t="n">
        <v>45294</v>
      </c>
      <c r="C672" s="1" t="n">
        <v>46074</v>
      </c>
      <c r="D672" t="inlineStr">
        <is>
          <t>ÖSTERGÖTLANDS LÄN</t>
        </is>
      </c>
      <c r="E672" t="inlineStr">
        <is>
          <t>LINKÖPING</t>
        </is>
      </c>
      <c r="F672" t="inlineStr">
        <is>
          <t>Allmännings- och besparingsskogar</t>
        </is>
      </c>
      <c r="G672" t="n">
        <v>11.6</v>
      </c>
      <c r="H672" t="n">
        <v>0</v>
      </c>
      <c r="I672" t="n">
        <v>0</v>
      </c>
      <c r="J672" t="n">
        <v>0</v>
      </c>
      <c r="K672" t="n">
        <v>0</v>
      </c>
      <c r="L672" t="n">
        <v>0</v>
      </c>
      <c r="M672" t="n">
        <v>0</v>
      </c>
      <c r="N672" t="n">
        <v>0</v>
      </c>
      <c r="O672" t="n">
        <v>0</v>
      </c>
      <c r="P672" t="n">
        <v>0</v>
      </c>
      <c r="Q672" t="n">
        <v>0</v>
      </c>
      <c r="R672" s="2" t="inlineStr"/>
    </row>
    <row r="673" ht="15" customHeight="1">
      <c r="A673" t="inlineStr">
        <is>
          <t>A 27186-2021</t>
        </is>
      </c>
      <c r="B673" s="1" t="n">
        <v>44350.67715277777</v>
      </c>
      <c r="C673" s="1" t="n">
        <v>46074</v>
      </c>
      <c r="D673" t="inlineStr">
        <is>
          <t>ÖSTERGÖTLANDS LÄN</t>
        </is>
      </c>
      <c r="E673" t="inlineStr">
        <is>
          <t>LINKÖPING</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7343-2025</t>
        </is>
      </c>
      <c r="B674" s="1" t="n">
        <v>45703.67853009259</v>
      </c>
      <c r="C674" s="1" t="n">
        <v>46074</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48271-2023</t>
        </is>
      </c>
      <c r="B675" s="1" t="n">
        <v>45205</v>
      </c>
      <c r="C675" s="1" t="n">
        <v>46074</v>
      </c>
      <c r="D675" t="inlineStr">
        <is>
          <t>ÖSTERGÖTLANDS LÄN</t>
        </is>
      </c>
      <c r="E675" t="inlineStr">
        <is>
          <t>LINKÖPING</t>
        </is>
      </c>
      <c r="G675" t="n">
        <v>3</v>
      </c>
      <c r="H675" t="n">
        <v>0</v>
      </c>
      <c r="I675" t="n">
        <v>0</v>
      </c>
      <c r="J675" t="n">
        <v>0</v>
      </c>
      <c r="K675" t="n">
        <v>0</v>
      </c>
      <c r="L675" t="n">
        <v>0</v>
      </c>
      <c r="M675" t="n">
        <v>0</v>
      </c>
      <c r="N675" t="n">
        <v>0</v>
      </c>
      <c r="O675" t="n">
        <v>0</v>
      </c>
      <c r="P675" t="n">
        <v>0</v>
      </c>
      <c r="Q675" t="n">
        <v>0</v>
      </c>
      <c r="R675" s="2" t="inlineStr"/>
    </row>
    <row r="676" ht="15" customHeight="1">
      <c r="A676" t="inlineStr">
        <is>
          <t>A 12720-2022</t>
        </is>
      </c>
      <c r="B676" s="1" t="n">
        <v>44641</v>
      </c>
      <c r="C676" s="1" t="n">
        <v>46074</v>
      </c>
      <c r="D676" t="inlineStr">
        <is>
          <t>ÖSTERGÖTLANDS LÄN</t>
        </is>
      </c>
      <c r="E676" t="inlineStr">
        <is>
          <t>LINKÖPING</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62018-2024</t>
        </is>
      </c>
      <c r="B677" s="1" t="n">
        <v>45655.81387731482</v>
      </c>
      <c r="C677" s="1" t="n">
        <v>46074</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30551-2023</t>
        </is>
      </c>
      <c r="B678" s="1" t="n">
        <v>45111</v>
      </c>
      <c r="C678" s="1" t="n">
        <v>46074</v>
      </c>
      <c r="D678" t="inlineStr">
        <is>
          <t>ÖSTERGÖTLANDS LÄN</t>
        </is>
      </c>
      <c r="E678" t="inlineStr">
        <is>
          <t>LINKÖPING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30860-2022</t>
        </is>
      </c>
      <c r="B679" s="1" t="n">
        <v>44767</v>
      </c>
      <c r="C679" s="1" t="n">
        <v>46074</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60004-2022</t>
        </is>
      </c>
      <c r="B680" s="1" t="n">
        <v>44909.47206018519</v>
      </c>
      <c r="C680" s="1" t="n">
        <v>46074</v>
      </c>
      <c r="D680" t="inlineStr">
        <is>
          <t>ÖSTERGÖTLANDS LÄN</t>
        </is>
      </c>
      <c r="E680" t="inlineStr">
        <is>
          <t>LINKÖPING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60010-2022</t>
        </is>
      </c>
      <c r="B681" s="1" t="n">
        <v>44909.4740625</v>
      </c>
      <c r="C681" s="1" t="n">
        <v>46074</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53827-2023</t>
        </is>
      </c>
      <c r="B682" s="1" t="n">
        <v>45230</v>
      </c>
      <c r="C682" s="1" t="n">
        <v>46074</v>
      </c>
      <c r="D682" t="inlineStr">
        <is>
          <t>ÖSTERGÖTLANDS LÄN</t>
        </is>
      </c>
      <c r="E682" t="inlineStr">
        <is>
          <t>LINKÖPING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4256-2022</t>
        </is>
      </c>
      <c r="B683" s="1" t="n">
        <v>44588</v>
      </c>
      <c r="C683" s="1" t="n">
        <v>46074</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61649-2023</t>
        </is>
      </c>
      <c r="B684" s="1" t="n">
        <v>45265</v>
      </c>
      <c r="C684" s="1" t="n">
        <v>46074</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46074</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46074</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630-2024</t>
        </is>
      </c>
      <c r="B687" s="1" t="n">
        <v>45299.67736111111</v>
      </c>
      <c r="C687" s="1" t="n">
        <v>46074</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30433-2024</t>
        </is>
      </c>
      <c r="B688" s="1" t="n">
        <v>45491.69741898148</v>
      </c>
      <c r="C688" s="1" t="n">
        <v>46074</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63528-2023</t>
        </is>
      </c>
      <c r="B689" s="1" t="n">
        <v>45274.94810185185</v>
      </c>
      <c r="C689" s="1" t="n">
        <v>46074</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61936-2023</t>
        </is>
      </c>
      <c r="B690" s="1" t="n">
        <v>45266.54534722222</v>
      </c>
      <c r="C690" s="1" t="n">
        <v>46074</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62492-2023</t>
        </is>
      </c>
      <c r="B691" s="1" t="n">
        <v>45268.58987268519</v>
      </c>
      <c r="C691" s="1" t="n">
        <v>46074</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674-2024</t>
        </is>
      </c>
      <c r="B692" s="1" t="n">
        <v>45300.34408564815</v>
      </c>
      <c r="C692" s="1" t="n">
        <v>46074</v>
      </c>
      <c r="D692" t="inlineStr">
        <is>
          <t>ÖSTERGÖTLANDS LÄN</t>
        </is>
      </c>
      <c r="E692" t="inlineStr">
        <is>
          <t>LINKÖPING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6782-2024</t>
        </is>
      </c>
      <c r="B693" s="1" t="n">
        <v>45342</v>
      </c>
      <c r="C693" s="1" t="n">
        <v>46074</v>
      </c>
      <c r="D693" t="inlineStr">
        <is>
          <t>ÖSTERGÖTLANDS LÄN</t>
        </is>
      </c>
      <c r="E693" t="inlineStr">
        <is>
          <t>LINKÖPING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10094-2024</t>
        </is>
      </c>
      <c r="B694" s="1" t="n">
        <v>45364</v>
      </c>
      <c r="C694" s="1" t="n">
        <v>46074</v>
      </c>
      <c r="D694" t="inlineStr">
        <is>
          <t>ÖSTERGÖTLANDS LÄN</t>
        </is>
      </c>
      <c r="E694" t="inlineStr">
        <is>
          <t>LINKÖPING</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63684-2023</t>
        </is>
      </c>
      <c r="B695" s="1" t="n">
        <v>45275</v>
      </c>
      <c r="C695" s="1" t="n">
        <v>46074</v>
      </c>
      <c r="D695" t="inlineStr">
        <is>
          <t>ÖSTERGÖTLANDS LÄN</t>
        </is>
      </c>
      <c r="E695" t="inlineStr">
        <is>
          <t>LINKÖPING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63688-2023</t>
        </is>
      </c>
      <c r="B696" s="1" t="n">
        <v>45275</v>
      </c>
      <c r="C696" s="1" t="n">
        <v>46074</v>
      </c>
      <c r="D696" t="inlineStr">
        <is>
          <t>ÖSTERGÖTLANDS LÄN</t>
        </is>
      </c>
      <c r="E696" t="inlineStr">
        <is>
          <t>LINKÖPING</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63691-2023</t>
        </is>
      </c>
      <c r="B697" s="1" t="n">
        <v>45275</v>
      </c>
      <c r="C697" s="1" t="n">
        <v>46074</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36657-2023</t>
        </is>
      </c>
      <c r="B698" s="1" t="n">
        <v>45153.5702662037</v>
      </c>
      <c r="C698" s="1" t="n">
        <v>46074</v>
      </c>
      <c r="D698" t="inlineStr">
        <is>
          <t>ÖSTERGÖTLANDS LÄN</t>
        </is>
      </c>
      <c r="E698" t="inlineStr">
        <is>
          <t>LINKÖPING</t>
        </is>
      </c>
      <c r="F698" t="inlineStr">
        <is>
          <t>Allmännings- och besparingsskogar</t>
        </is>
      </c>
      <c r="G698" t="n">
        <v>2</v>
      </c>
      <c r="H698" t="n">
        <v>0</v>
      </c>
      <c r="I698" t="n">
        <v>0</v>
      </c>
      <c r="J698" t="n">
        <v>0</v>
      </c>
      <c r="K698" t="n">
        <v>0</v>
      </c>
      <c r="L698" t="n">
        <v>0</v>
      </c>
      <c r="M698" t="n">
        <v>0</v>
      </c>
      <c r="N698" t="n">
        <v>0</v>
      </c>
      <c r="O698" t="n">
        <v>0</v>
      </c>
      <c r="P698" t="n">
        <v>0</v>
      </c>
      <c r="Q698" t="n">
        <v>0</v>
      </c>
      <c r="R698" s="2" t="inlineStr"/>
    </row>
    <row r="699" ht="15" customHeight="1">
      <c r="A699" t="inlineStr">
        <is>
          <t>A 14667-2024</t>
        </is>
      </c>
      <c r="B699" s="1" t="n">
        <v>45397.42005787037</v>
      </c>
      <c r="C699" s="1" t="n">
        <v>46074</v>
      </c>
      <c r="D699" t="inlineStr">
        <is>
          <t>ÖSTERGÖTLANDS LÄN</t>
        </is>
      </c>
      <c r="E699" t="inlineStr">
        <is>
          <t>LINKÖPING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15714-2024</t>
        </is>
      </c>
      <c r="B700" s="1" t="n">
        <v>45404.48288194444</v>
      </c>
      <c r="C700" s="1" t="n">
        <v>46074</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37715-2022</t>
        </is>
      </c>
      <c r="B701" s="1" t="n">
        <v>44810</v>
      </c>
      <c r="C701" s="1" t="n">
        <v>46074</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30429-2024</t>
        </is>
      </c>
      <c r="B702" s="1" t="n">
        <v>45491.68972222223</v>
      </c>
      <c r="C702" s="1" t="n">
        <v>46074</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30435-2024</t>
        </is>
      </c>
      <c r="B703" s="1" t="n">
        <v>45491.69962962963</v>
      </c>
      <c r="C703" s="1" t="n">
        <v>46074</v>
      </c>
      <c r="D703" t="inlineStr">
        <is>
          <t>ÖSTERGÖTLANDS LÄN</t>
        </is>
      </c>
      <c r="E703" t="inlineStr">
        <is>
          <t>LINKÖPING</t>
        </is>
      </c>
      <c r="G703" t="n">
        <v>1.9</v>
      </c>
      <c r="H703" t="n">
        <v>0</v>
      </c>
      <c r="I703" t="n">
        <v>0</v>
      </c>
      <c r="J703" t="n">
        <v>0</v>
      </c>
      <c r="K703" t="n">
        <v>0</v>
      </c>
      <c r="L703" t="n">
        <v>0</v>
      </c>
      <c r="M703" t="n">
        <v>0</v>
      </c>
      <c r="N703" t="n">
        <v>0</v>
      </c>
      <c r="O703" t="n">
        <v>0</v>
      </c>
      <c r="P703" t="n">
        <v>0</v>
      </c>
      <c r="Q703" t="n">
        <v>0</v>
      </c>
      <c r="R703" s="2" t="inlineStr"/>
    </row>
    <row r="704" ht="15" customHeight="1">
      <c r="A704" t="inlineStr">
        <is>
          <t>A 38231-2022</t>
        </is>
      </c>
      <c r="B704" s="1" t="n">
        <v>44812</v>
      </c>
      <c r="C704" s="1" t="n">
        <v>46074</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34557-2022</t>
        </is>
      </c>
      <c r="B705" s="1" t="n">
        <v>44794.57074074074</v>
      </c>
      <c r="C705" s="1" t="n">
        <v>46074</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13011-2022</t>
        </is>
      </c>
      <c r="B706" s="1" t="n">
        <v>44643</v>
      </c>
      <c r="C706" s="1" t="n">
        <v>46074</v>
      </c>
      <c r="D706" t="inlineStr">
        <is>
          <t>ÖSTERGÖTLANDS LÄN</t>
        </is>
      </c>
      <c r="E706" t="inlineStr">
        <is>
          <t>LINKÖPING</t>
        </is>
      </c>
      <c r="G706" t="n">
        <v>3.7</v>
      </c>
      <c r="H706" t="n">
        <v>0</v>
      </c>
      <c r="I706" t="n">
        <v>0</v>
      </c>
      <c r="J706" t="n">
        <v>0</v>
      </c>
      <c r="K706" t="n">
        <v>0</v>
      </c>
      <c r="L706" t="n">
        <v>0</v>
      </c>
      <c r="M706" t="n">
        <v>0</v>
      </c>
      <c r="N706" t="n">
        <v>0</v>
      </c>
      <c r="O706" t="n">
        <v>0</v>
      </c>
      <c r="P706" t="n">
        <v>0</v>
      </c>
      <c r="Q706" t="n">
        <v>0</v>
      </c>
      <c r="R706" s="2" t="inlineStr"/>
    </row>
    <row r="707" ht="15" customHeight="1">
      <c r="A707" t="inlineStr">
        <is>
          <t>A 617-2024</t>
        </is>
      </c>
      <c r="B707" s="1" t="n">
        <v>45299.66028935185</v>
      </c>
      <c r="C707" s="1" t="n">
        <v>46074</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19362-2023</t>
        </is>
      </c>
      <c r="B708" s="1" t="n">
        <v>45049</v>
      </c>
      <c r="C708" s="1" t="n">
        <v>46074</v>
      </c>
      <c r="D708" t="inlineStr">
        <is>
          <t>ÖSTERGÖTLANDS LÄN</t>
        </is>
      </c>
      <c r="E708" t="inlineStr">
        <is>
          <t>LINKÖPING</t>
        </is>
      </c>
      <c r="G708" t="n">
        <v>0.1</v>
      </c>
      <c r="H708" t="n">
        <v>0</v>
      </c>
      <c r="I708" t="n">
        <v>0</v>
      </c>
      <c r="J708" t="n">
        <v>0</v>
      </c>
      <c r="K708" t="n">
        <v>0</v>
      </c>
      <c r="L708" t="n">
        <v>0</v>
      </c>
      <c r="M708" t="n">
        <v>0</v>
      </c>
      <c r="N708" t="n">
        <v>0</v>
      </c>
      <c r="O708" t="n">
        <v>0</v>
      </c>
      <c r="P708" t="n">
        <v>0</v>
      </c>
      <c r="Q708" t="n">
        <v>0</v>
      </c>
      <c r="R708" s="2" t="inlineStr"/>
    </row>
    <row r="709" ht="15" customHeight="1">
      <c r="A709" t="inlineStr">
        <is>
          <t>A 19132-2023</t>
        </is>
      </c>
      <c r="B709" s="1" t="n">
        <v>45048.54754629629</v>
      </c>
      <c r="C709" s="1" t="n">
        <v>46074</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31635-2023</t>
        </is>
      </c>
      <c r="B710" s="1" t="n">
        <v>45105</v>
      </c>
      <c r="C710" s="1" t="n">
        <v>46074</v>
      </c>
      <c r="D710" t="inlineStr">
        <is>
          <t>ÖSTERGÖTLANDS LÄN</t>
        </is>
      </c>
      <c r="E710" t="inlineStr">
        <is>
          <t>LINKÖPING</t>
        </is>
      </c>
      <c r="F710" t="inlineStr">
        <is>
          <t>Övriga statliga verk och myndigheter</t>
        </is>
      </c>
      <c r="G710" t="n">
        <v>4.6</v>
      </c>
      <c r="H710" t="n">
        <v>0</v>
      </c>
      <c r="I710" t="n">
        <v>0</v>
      </c>
      <c r="J710" t="n">
        <v>0</v>
      </c>
      <c r="K710" t="n">
        <v>0</v>
      </c>
      <c r="L710" t="n">
        <v>0</v>
      </c>
      <c r="M710" t="n">
        <v>0</v>
      </c>
      <c r="N710" t="n">
        <v>0</v>
      </c>
      <c r="O710" t="n">
        <v>0</v>
      </c>
      <c r="P710" t="n">
        <v>0</v>
      </c>
      <c r="Q710" t="n">
        <v>0</v>
      </c>
      <c r="R710" s="2" t="inlineStr"/>
    </row>
    <row r="711" ht="15" customHeight="1">
      <c r="A711" t="inlineStr">
        <is>
          <t>A 20296-2025</t>
        </is>
      </c>
      <c r="B711" s="1" t="n">
        <v>45774.74922453704</v>
      </c>
      <c r="C711" s="1" t="n">
        <v>46074</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22770-2024</t>
        </is>
      </c>
      <c r="B712" s="1" t="n">
        <v>45448.4634375</v>
      </c>
      <c r="C712" s="1" t="n">
        <v>46074</v>
      </c>
      <c r="D712" t="inlineStr">
        <is>
          <t>ÖSTERGÖTLANDS LÄN</t>
        </is>
      </c>
      <c r="E712" t="inlineStr">
        <is>
          <t>LINKÖPING</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11595-2025</t>
        </is>
      </c>
      <c r="B713" s="1" t="n">
        <v>45727.41893518518</v>
      </c>
      <c r="C713" s="1" t="n">
        <v>46074</v>
      </c>
      <c r="D713" t="inlineStr">
        <is>
          <t>ÖSTERGÖTLANDS LÄN</t>
        </is>
      </c>
      <c r="E713" t="inlineStr">
        <is>
          <t>LINKÖPING</t>
        </is>
      </c>
      <c r="G713" t="n">
        <v>6.6</v>
      </c>
      <c r="H713" t="n">
        <v>0</v>
      </c>
      <c r="I713" t="n">
        <v>0</v>
      </c>
      <c r="J713" t="n">
        <v>0</v>
      </c>
      <c r="K713" t="n">
        <v>0</v>
      </c>
      <c r="L713" t="n">
        <v>0</v>
      </c>
      <c r="M713" t="n">
        <v>0</v>
      </c>
      <c r="N713" t="n">
        <v>0</v>
      </c>
      <c r="O713" t="n">
        <v>0</v>
      </c>
      <c r="P713" t="n">
        <v>0</v>
      </c>
      <c r="Q713" t="n">
        <v>0</v>
      </c>
      <c r="R713" s="2" t="inlineStr"/>
    </row>
    <row r="714" ht="15" customHeight="1">
      <c r="A714" t="inlineStr">
        <is>
          <t>A 48839-2022</t>
        </is>
      </c>
      <c r="B714" s="1" t="n">
        <v>44859</v>
      </c>
      <c r="C714" s="1" t="n">
        <v>46074</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8967-2025</t>
        </is>
      </c>
      <c r="B715" s="1" t="n">
        <v>45712</v>
      </c>
      <c r="C715" s="1" t="n">
        <v>46074</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63678-2023</t>
        </is>
      </c>
      <c r="B716" s="1" t="n">
        <v>45275.64769675926</v>
      </c>
      <c r="C716" s="1" t="n">
        <v>46074</v>
      </c>
      <c r="D716" t="inlineStr">
        <is>
          <t>ÖSTERGÖTLANDS LÄN</t>
        </is>
      </c>
      <c r="E716" t="inlineStr">
        <is>
          <t>LINKÖPING</t>
        </is>
      </c>
      <c r="F716" t="inlineStr">
        <is>
          <t>Övriga Aktiebolag</t>
        </is>
      </c>
      <c r="G716" t="n">
        <v>0.4</v>
      </c>
      <c r="H716" t="n">
        <v>0</v>
      </c>
      <c r="I716" t="n">
        <v>0</v>
      </c>
      <c r="J716" t="n">
        <v>0</v>
      </c>
      <c r="K716" t="n">
        <v>0</v>
      </c>
      <c r="L716" t="n">
        <v>0</v>
      </c>
      <c r="M716" t="n">
        <v>0</v>
      </c>
      <c r="N716" t="n">
        <v>0</v>
      </c>
      <c r="O716" t="n">
        <v>0</v>
      </c>
      <c r="P716" t="n">
        <v>0</v>
      </c>
      <c r="Q716" t="n">
        <v>0</v>
      </c>
      <c r="R716" s="2" t="inlineStr"/>
    </row>
    <row r="717" ht="15" customHeight="1">
      <c r="A717" t="inlineStr">
        <is>
          <t>A 1844-2025</t>
        </is>
      </c>
      <c r="B717" s="1" t="n">
        <v>45671.57730324074</v>
      </c>
      <c r="C717" s="1" t="n">
        <v>46074</v>
      </c>
      <c r="D717" t="inlineStr">
        <is>
          <t>ÖSTERGÖTLANDS LÄN</t>
        </is>
      </c>
      <c r="E717" t="inlineStr">
        <is>
          <t>LINKÖPING</t>
        </is>
      </c>
      <c r="G717" t="n">
        <v>2</v>
      </c>
      <c r="H717" t="n">
        <v>0</v>
      </c>
      <c r="I717" t="n">
        <v>0</v>
      </c>
      <c r="J717" t="n">
        <v>0</v>
      </c>
      <c r="K717" t="n">
        <v>0</v>
      </c>
      <c r="L717" t="n">
        <v>0</v>
      </c>
      <c r="M717" t="n">
        <v>0</v>
      </c>
      <c r="N717" t="n">
        <v>0</v>
      </c>
      <c r="O717" t="n">
        <v>0</v>
      </c>
      <c r="P717" t="n">
        <v>0</v>
      </c>
      <c r="Q717" t="n">
        <v>0</v>
      </c>
      <c r="R717" s="2" t="inlineStr"/>
    </row>
    <row r="718" ht="15" customHeight="1">
      <c r="A718" t="inlineStr">
        <is>
          <t>A 21165-2025</t>
        </is>
      </c>
      <c r="B718" s="1" t="n">
        <v>45779.39417824074</v>
      </c>
      <c r="C718" s="1" t="n">
        <v>46074</v>
      </c>
      <c r="D718" t="inlineStr">
        <is>
          <t>ÖSTERGÖTLANDS LÄN</t>
        </is>
      </c>
      <c r="E718" t="inlineStr">
        <is>
          <t>LINKÖPING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21155-2025</t>
        </is>
      </c>
      <c r="B719" s="1" t="n">
        <v>45779.37586805555</v>
      </c>
      <c r="C719" s="1" t="n">
        <v>46074</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22264-2025</t>
        </is>
      </c>
      <c r="B720" s="1" t="n">
        <v>45785</v>
      </c>
      <c r="C720" s="1" t="n">
        <v>46074</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9473-2024</t>
        </is>
      </c>
      <c r="B721" s="1" t="n">
        <v>45359.55474537037</v>
      </c>
      <c r="C721" s="1" t="n">
        <v>46074</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6859-2024</t>
        </is>
      </c>
      <c r="B722" s="1" t="n">
        <v>45342</v>
      </c>
      <c r="C722" s="1" t="n">
        <v>46074</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44287-2024</t>
        </is>
      </c>
      <c r="B723" s="1" t="n">
        <v>45573.50582175926</v>
      </c>
      <c r="C723" s="1" t="n">
        <v>46074</v>
      </c>
      <c r="D723" t="inlineStr">
        <is>
          <t>ÖSTERGÖTLANDS LÄN</t>
        </is>
      </c>
      <c r="E723" t="inlineStr">
        <is>
          <t>LINKÖPING</t>
        </is>
      </c>
      <c r="G723" t="n">
        <v>12.7</v>
      </c>
      <c r="H723" t="n">
        <v>0</v>
      </c>
      <c r="I723" t="n">
        <v>0</v>
      </c>
      <c r="J723" t="n">
        <v>0</v>
      </c>
      <c r="K723" t="n">
        <v>0</v>
      </c>
      <c r="L723" t="n">
        <v>0</v>
      </c>
      <c r="M723" t="n">
        <v>0</v>
      </c>
      <c r="N723" t="n">
        <v>0</v>
      </c>
      <c r="O723" t="n">
        <v>0</v>
      </c>
      <c r="P723" t="n">
        <v>0</v>
      </c>
      <c r="Q723" t="n">
        <v>0</v>
      </c>
      <c r="R723" s="2" t="inlineStr"/>
    </row>
    <row r="724" ht="15" customHeight="1">
      <c r="A724" t="inlineStr">
        <is>
          <t>A 22364-2025</t>
        </is>
      </c>
      <c r="B724" s="1" t="n">
        <v>45786.46930555555</v>
      </c>
      <c r="C724" s="1" t="n">
        <v>46074</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572-2025</t>
        </is>
      </c>
      <c r="B725" s="1" t="n">
        <v>45664.56349537037</v>
      </c>
      <c r="C725" s="1" t="n">
        <v>46074</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10797-2024</t>
        </is>
      </c>
      <c r="B726" s="1" t="n">
        <v>45369.6190162037</v>
      </c>
      <c r="C726" s="1" t="n">
        <v>46074</v>
      </c>
      <c r="D726" t="inlineStr">
        <is>
          <t>ÖSTERGÖTLANDS LÄN</t>
        </is>
      </c>
      <c r="E726" t="inlineStr">
        <is>
          <t>LINKÖPING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46074</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57752-2023</t>
        </is>
      </c>
      <c r="B728" s="1" t="n">
        <v>45246.78474537037</v>
      </c>
      <c r="C728" s="1" t="n">
        <v>46074</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29312-2024</t>
        </is>
      </c>
      <c r="B729" s="1" t="n">
        <v>45483</v>
      </c>
      <c r="C729" s="1" t="n">
        <v>46074</v>
      </c>
      <c r="D729" t="inlineStr">
        <is>
          <t>ÖSTERGÖTLANDS LÄN</t>
        </is>
      </c>
      <c r="E729" t="inlineStr">
        <is>
          <t>LINKÖPING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23120-2025</t>
        </is>
      </c>
      <c r="B730" s="1" t="n">
        <v>45791.37481481482</v>
      </c>
      <c r="C730" s="1" t="n">
        <v>46074</v>
      </c>
      <c r="D730" t="inlineStr">
        <is>
          <t>ÖSTERGÖTLANDS LÄN</t>
        </is>
      </c>
      <c r="E730" t="inlineStr">
        <is>
          <t>LINKÖPING</t>
        </is>
      </c>
      <c r="G730" t="n">
        <v>2.9</v>
      </c>
      <c r="H730" t="n">
        <v>0</v>
      </c>
      <c r="I730" t="n">
        <v>0</v>
      </c>
      <c r="J730" t="n">
        <v>0</v>
      </c>
      <c r="K730" t="n">
        <v>0</v>
      </c>
      <c r="L730" t="n">
        <v>0</v>
      </c>
      <c r="M730" t="n">
        <v>0</v>
      </c>
      <c r="N730" t="n">
        <v>0</v>
      </c>
      <c r="O730" t="n">
        <v>0</v>
      </c>
      <c r="P730" t="n">
        <v>0</v>
      </c>
      <c r="Q730" t="n">
        <v>0</v>
      </c>
      <c r="R730" s="2" t="inlineStr"/>
    </row>
    <row r="731" ht="15" customHeight="1">
      <c r="A731" t="inlineStr">
        <is>
          <t>A 23768-2025</t>
        </is>
      </c>
      <c r="B731" s="1" t="n">
        <v>45793.47493055555</v>
      </c>
      <c r="C731" s="1" t="n">
        <v>46074</v>
      </c>
      <c r="D731" t="inlineStr">
        <is>
          <t>ÖSTERGÖTLANDS LÄN</t>
        </is>
      </c>
      <c r="E731" t="inlineStr">
        <is>
          <t>LINKÖPING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48699-2024</t>
        </is>
      </c>
      <c r="B732" s="1" t="n">
        <v>45593.52091435185</v>
      </c>
      <c r="C732" s="1" t="n">
        <v>46074</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13911-2025</t>
        </is>
      </c>
      <c r="B733" s="1" t="n">
        <v>45737.64784722222</v>
      </c>
      <c r="C733" s="1" t="n">
        <v>46074</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44280-2024</t>
        </is>
      </c>
      <c r="B734" s="1" t="n">
        <v>45573.49461805556</v>
      </c>
      <c r="C734" s="1" t="n">
        <v>46074</v>
      </c>
      <c r="D734" t="inlineStr">
        <is>
          <t>ÖSTERGÖTLANDS LÄN</t>
        </is>
      </c>
      <c r="E734" t="inlineStr">
        <is>
          <t>LINKÖPING</t>
        </is>
      </c>
      <c r="G734" t="n">
        <v>5.3</v>
      </c>
      <c r="H734" t="n">
        <v>0</v>
      </c>
      <c r="I734" t="n">
        <v>0</v>
      </c>
      <c r="J734" t="n">
        <v>0</v>
      </c>
      <c r="K734" t="n">
        <v>0</v>
      </c>
      <c r="L734" t="n">
        <v>0</v>
      </c>
      <c r="M734" t="n">
        <v>0</v>
      </c>
      <c r="N734" t="n">
        <v>0</v>
      </c>
      <c r="O734" t="n">
        <v>0</v>
      </c>
      <c r="P734" t="n">
        <v>0</v>
      </c>
      <c r="Q734" t="n">
        <v>0</v>
      </c>
      <c r="R734" s="2" t="inlineStr"/>
    </row>
    <row r="735" ht="15" customHeight="1">
      <c r="A735" t="inlineStr">
        <is>
          <t>A 26002-2025</t>
        </is>
      </c>
      <c r="B735" s="1" t="n">
        <v>45804.66534722222</v>
      </c>
      <c r="C735" s="1" t="n">
        <v>46074</v>
      </c>
      <c r="D735" t="inlineStr">
        <is>
          <t>ÖSTERGÖTLANDS LÄN</t>
        </is>
      </c>
      <c r="E735" t="inlineStr">
        <is>
          <t>LINKÖPING</t>
        </is>
      </c>
      <c r="G735" t="n">
        <v>2.5</v>
      </c>
      <c r="H735" t="n">
        <v>0</v>
      </c>
      <c r="I735" t="n">
        <v>0</v>
      </c>
      <c r="J735" t="n">
        <v>0</v>
      </c>
      <c r="K735" t="n">
        <v>0</v>
      </c>
      <c r="L735" t="n">
        <v>0</v>
      </c>
      <c r="M735" t="n">
        <v>0</v>
      </c>
      <c r="N735" t="n">
        <v>0</v>
      </c>
      <c r="O735" t="n">
        <v>0</v>
      </c>
      <c r="P735" t="n">
        <v>0</v>
      </c>
      <c r="Q735" t="n">
        <v>0</v>
      </c>
      <c r="R735" s="2" t="inlineStr"/>
    </row>
    <row r="736" ht="15" customHeight="1">
      <c r="A736" t="inlineStr">
        <is>
          <t>A 25996-2025</t>
        </is>
      </c>
      <c r="B736" s="1" t="n">
        <v>45804.65851851852</v>
      </c>
      <c r="C736" s="1" t="n">
        <v>46074</v>
      </c>
      <c r="D736" t="inlineStr">
        <is>
          <t>ÖSTERGÖTLANDS LÄN</t>
        </is>
      </c>
      <c r="E736" t="inlineStr">
        <is>
          <t>LINKÖPING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27950-2025</t>
        </is>
      </c>
      <c r="B737" s="1" t="n">
        <v>45817.52960648148</v>
      </c>
      <c r="C737" s="1" t="n">
        <v>46074</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27797-2025</t>
        </is>
      </c>
      <c r="B738" s="1" t="n">
        <v>45816.80521990741</v>
      </c>
      <c r="C738" s="1" t="n">
        <v>46074</v>
      </c>
      <c r="D738" t="inlineStr">
        <is>
          <t>ÖSTERGÖTLANDS LÄN</t>
        </is>
      </c>
      <c r="E738" t="inlineStr">
        <is>
          <t>LINKÖPING</t>
        </is>
      </c>
      <c r="G738" t="n">
        <v>0.6</v>
      </c>
      <c r="H738" t="n">
        <v>0</v>
      </c>
      <c r="I738" t="n">
        <v>0</v>
      </c>
      <c r="J738" t="n">
        <v>0</v>
      </c>
      <c r="K738" t="n">
        <v>0</v>
      </c>
      <c r="L738" t="n">
        <v>0</v>
      </c>
      <c r="M738" t="n">
        <v>0</v>
      </c>
      <c r="N738" t="n">
        <v>0</v>
      </c>
      <c r="O738" t="n">
        <v>0</v>
      </c>
      <c r="P738" t="n">
        <v>0</v>
      </c>
      <c r="Q738" t="n">
        <v>0</v>
      </c>
      <c r="R738" s="2" t="inlineStr"/>
    </row>
    <row r="739">
      <c r="A739" t="inlineStr">
        <is>
          <t>A 27798-2025</t>
        </is>
      </c>
      <c r="B739" s="1" t="n">
        <v>45816.81532407407</v>
      </c>
      <c r="C739" s="1" t="n">
        <v>46074</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2026-02-21T11:01:16Z</dcterms:created>
  <dcterms:modified xmlns:dcterms="http://purl.org/dc/terms/" xmlns:xsi="http://www.w3.org/2001/XMLSchema-instance" xsi:type="dcterms:W3CDTF">2026-02-21T11:01:17Z</dcterms:modified>
</cp:coreProperties>
</file>