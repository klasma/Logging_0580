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45976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45976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45976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45976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45976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45976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45976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45976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45976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45976</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45976</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45976</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45976</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45976</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49999-2025</t>
        </is>
      </c>
      <c r="B17" s="1" t="n">
        <v>45943.30185185185</v>
      </c>
      <c r="C17" s="1" t="n">
        <v>45976</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55341-2024</t>
        </is>
      </c>
      <c r="B18" s="1" t="n">
        <v>45621.71255787037</v>
      </c>
      <c r="C18" s="1" t="n">
        <v>45976</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45976</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45976</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17520-2022</t>
        </is>
      </c>
      <c r="B21" s="1" t="n">
        <v>44679</v>
      </c>
      <c r="C21" s="1" t="n">
        <v>45976</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45976</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38913-2023</t>
        </is>
      </c>
      <c r="B23" s="1" t="n">
        <v>45163</v>
      </c>
      <c r="C23" s="1" t="n">
        <v>45976</v>
      </c>
      <c r="D23" t="inlineStr">
        <is>
          <t>ÖSTERGÖTLANDS LÄN</t>
        </is>
      </c>
      <c r="E23" t="inlineStr">
        <is>
          <t>LINKÖPING</t>
        </is>
      </c>
      <c r="G23" t="n">
        <v>2.7</v>
      </c>
      <c r="H23" t="n">
        <v>1</v>
      </c>
      <c r="I23" t="n">
        <v>1</v>
      </c>
      <c r="J23" t="n">
        <v>0</v>
      </c>
      <c r="K23" t="n">
        <v>0</v>
      </c>
      <c r="L23" t="n">
        <v>0</v>
      </c>
      <c r="M23" t="n">
        <v>0</v>
      </c>
      <c r="N23" t="n">
        <v>0</v>
      </c>
      <c r="O23" t="n">
        <v>0</v>
      </c>
      <c r="P23" t="n">
        <v>0</v>
      </c>
      <c r="Q23" t="n">
        <v>2</v>
      </c>
      <c r="R23" s="2" t="inlineStr">
        <is>
          <t>Skogsbräsma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27981-2022</t>
        </is>
      </c>
      <c r="B24" s="1" t="n">
        <v>44745</v>
      </c>
      <c r="C24" s="1" t="n">
        <v>45976</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58068-2021</t>
        </is>
      </c>
      <c r="B25" s="1" t="n">
        <v>44487</v>
      </c>
      <c r="C25" s="1" t="n">
        <v>45976</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41751-2023</t>
        </is>
      </c>
      <c r="B26" s="1" t="n">
        <v>45176</v>
      </c>
      <c r="C26" s="1" t="n">
        <v>45976</v>
      </c>
      <c r="D26" t="inlineStr">
        <is>
          <t>ÖSTERGÖTLANDS LÄN</t>
        </is>
      </c>
      <c r="E26" t="inlineStr">
        <is>
          <t>LINKÖPING</t>
        </is>
      </c>
      <c r="G26" t="n">
        <v>1.5</v>
      </c>
      <c r="H26" t="n">
        <v>1</v>
      </c>
      <c r="I26" t="n">
        <v>0</v>
      </c>
      <c r="J26" t="n">
        <v>1</v>
      </c>
      <c r="K26" t="n">
        <v>0</v>
      </c>
      <c r="L26" t="n">
        <v>0</v>
      </c>
      <c r="M26" t="n">
        <v>0</v>
      </c>
      <c r="N26" t="n">
        <v>0</v>
      </c>
      <c r="O26" t="n">
        <v>1</v>
      </c>
      <c r="P26" t="n">
        <v>0</v>
      </c>
      <c r="Q26" t="n">
        <v>2</v>
      </c>
      <c r="R26" s="2" t="inlineStr">
        <is>
          <t>Svinrot
Grönvit nattviol</t>
        </is>
      </c>
      <c r="S26">
        <f>HYPERLINK("https://klasma.github.io/Logging_0580/artfynd/A 41751-2023 artfynd.xlsx", "A 41751-2023")</f>
        <v/>
      </c>
      <c r="T26">
        <f>HYPERLINK("https://klasma.github.io/Logging_0580/kartor/A 41751-2023 karta.png", "A 41751-2023")</f>
        <v/>
      </c>
      <c r="V26">
        <f>HYPERLINK("https://klasma.github.io/Logging_0580/klagomål/A 41751-2023 FSC-klagomål.docx", "A 41751-2023")</f>
        <v/>
      </c>
      <c r="W26">
        <f>HYPERLINK("https://klasma.github.io/Logging_0580/klagomålsmail/A 41751-2023 FSC-klagomål mail.docx", "A 41751-2023")</f>
        <v/>
      </c>
      <c r="X26">
        <f>HYPERLINK("https://klasma.github.io/Logging_0580/tillsyn/A 41751-2023 tillsynsbegäran.docx", "A 41751-2023")</f>
        <v/>
      </c>
      <c r="Y26">
        <f>HYPERLINK("https://klasma.github.io/Logging_0580/tillsynsmail/A 41751-2023 tillsynsbegäran mail.docx", "A 41751-2023")</f>
        <v/>
      </c>
    </row>
    <row r="27" ht="15" customHeight="1">
      <c r="A27" t="inlineStr">
        <is>
          <t>A 58068-2021</t>
        </is>
      </c>
      <c r="B27" s="1" t="n">
        <v>44487</v>
      </c>
      <c r="C27" s="1" t="n">
        <v>45976</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50404-2023</t>
        </is>
      </c>
      <c r="B28" s="1" t="n">
        <v>45216</v>
      </c>
      <c r="C28" s="1" t="n">
        <v>45976</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22040-2023</t>
        </is>
      </c>
      <c r="B29" s="1" t="n">
        <v>45068</v>
      </c>
      <c r="C29" s="1" t="n">
        <v>45976</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49188-2024</t>
        </is>
      </c>
      <c r="B30" s="1" t="n">
        <v>45595</v>
      </c>
      <c r="C30" s="1" t="n">
        <v>45976</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42858-2023</t>
        </is>
      </c>
      <c r="B31" s="1" t="n">
        <v>45177</v>
      </c>
      <c r="C31" s="1" t="n">
        <v>45976</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55344-2024</t>
        </is>
      </c>
      <c r="B32" s="1" t="n">
        <v>45621.7202662037</v>
      </c>
      <c r="C32" s="1" t="n">
        <v>45976</v>
      </c>
      <c r="D32" t="inlineStr">
        <is>
          <t>ÖSTERGÖTLANDS LÄN</t>
        </is>
      </c>
      <c r="E32" t="inlineStr">
        <is>
          <t>LINKÖPING</t>
        </is>
      </c>
      <c r="G32" t="n">
        <v>6.6</v>
      </c>
      <c r="H32" t="n">
        <v>0</v>
      </c>
      <c r="I32" t="n">
        <v>0</v>
      </c>
      <c r="J32" t="n">
        <v>2</v>
      </c>
      <c r="K32" t="n">
        <v>0</v>
      </c>
      <c r="L32" t="n">
        <v>0</v>
      </c>
      <c r="M32" t="n">
        <v>0</v>
      </c>
      <c r="N32" t="n">
        <v>0</v>
      </c>
      <c r="O32" t="n">
        <v>2</v>
      </c>
      <c r="P32" t="n">
        <v>0</v>
      </c>
      <c r="Q32" t="n">
        <v>2</v>
      </c>
      <c r="R32" s="2" t="inlineStr">
        <is>
          <t>Kandelabersvamp
Stjärnnästing</t>
        </is>
      </c>
      <c r="S32">
        <f>HYPERLINK("https://klasma.github.io/Logging_0580/artfynd/A 55344-2024 artfynd.xlsx", "A 55344-2024")</f>
        <v/>
      </c>
      <c r="T32">
        <f>HYPERLINK("https://klasma.github.io/Logging_0580/kartor/A 55344-2024 karta.png", "A 55344-2024")</f>
        <v/>
      </c>
      <c r="V32">
        <f>HYPERLINK("https://klasma.github.io/Logging_0580/klagomål/A 55344-2024 FSC-klagomål.docx", "A 55344-2024")</f>
        <v/>
      </c>
      <c r="W32">
        <f>HYPERLINK("https://klasma.github.io/Logging_0580/klagomålsmail/A 55344-2024 FSC-klagomål mail.docx", "A 55344-2024")</f>
        <v/>
      </c>
      <c r="X32">
        <f>HYPERLINK("https://klasma.github.io/Logging_0580/tillsyn/A 55344-2024 tillsynsbegäran.docx", "A 55344-2024")</f>
        <v/>
      </c>
      <c r="Y32">
        <f>HYPERLINK("https://klasma.github.io/Logging_0580/tillsynsmail/A 55344-2024 tillsynsbegäran mail.docx", "A 55344-2024")</f>
        <v/>
      </c>
    </row>
    <row r="33" ht="15" customHeight="1">
      <c r="A33" t="inlineStr">
        <is>
          <t>A 11613-2025</t>
        </is>
      </c>
      <c r="B33" s="1" t="n">
        <v>45727.44623842592</v>
      </c>
      <c r="C33" s="1" t="n">
        <v>45976</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14879-2024</t>
        </is>
      </c>
      <c r="B34" s="1" t="n">
        <v>45398</v>
      </c>
      <c r="C34" s="1" t="n">
        <v>45976</v>
      </c>
      <c r="D34" t="inlineStr">
        <is>
          <t>ÖSTERGÖTLANDS LÄN</t>
        </is>
      </c>
      <c r="E34" t="inlineStr">
        <is>
          <t>LINKÖPING</t>
        </is>
      </c>
      <c r="F34" t="inlineStr">
        <is>
          <t>Övriga Aktiebolag</t>
        </is>
      </c>
      <c r="G34" t="n">
        <v>1.7</v>
      </c>
      <c r="H34" t="n">
        <v>1</v>
      </c>
      <c r="I34" t="n">
        <v>1</v>
      </c>
      <c r="J34" t="n">
        <v>0</v>
      </c>
      <c r="K34" t="n">
        <v>0</v>
      </c>
      <c r="L34" t="n">
        <v>0</v>
      </c>
      <c r="M34" t="n">
        <v>0</v>
      </c>
      <c r="N34" t="n">
        <v>0</v>
      </c>
      <c r="O34" t="n">
        <v>0</v>
      </c>
      <c r="P34" t="n">
        <v>0</v>
      </c>
      <c r="Q34" t="n">
        <v>2</v>
      </c>
      <c r="R34" s="2" t="inlineStr">
        <is>
          <t>Svart trolldruva
Grönvit nattviol</t>
        </is>
      </c>
      <c r="S34">
        <f>HYPERLINK("https://klasma.github.io/Logging_0580/artfynd/A 14879-2024 artfynd.xlsx", "A 14879-2024")</f>
        <v/>
      </c>
      <c r="T34">
        <f>HYPERLINK("https://klasma.github.io/Logging_0580/kartor/A 14879-2024 karta.png", "A 14879-2024")</f>
        <v/>
      </c>
      <c r="V34">
        <f>HYPERLINK("https://klasma.github.io/Logging_0580/klagomål/A 14879-2024 FSC-klagomål.docx", "A 14879-2024")</f>
        <v/>
      </c>
      <c r="W34">
        <f>HYPERLINK("https://klasma.github.io/Logging_0580/klagomålsmail/A 14879-2024 FSC-klagomål mail.docx", "A 14879-2024")</f>
        <v/>
      </c>
      <c r="X34">
        <f>HYPERLINK("https://klasma.github.io/Logging_0580/tillsyn/A 14879-2024 tillsynsbegäran.docx", "A 14879-2024")</f>
        <v/>
      </c>
      <c r="Y34">
        <f>HYPERLINK("https://klasma.github.io/Logging_0580/tillsynsmail/A 14879-2024 tillsynsbegäran mail.docx", "A 14879-2024")</f>
        <v/>
      </c>
    </row>
    <row r="35" ht="15" customHeight="1">
      <c r="A35" t="inlineStr">
        <is>
          <t>A 8818-2025</t>
        </is>
      </c>
      <c r="B35" s="1" t="n">
        <v>45712</v>
      </c>
      <c r="C35" s="1" t="n">
        <v>45976</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21326-2025</t>
        </is>
      </c>
      <c r="B36" s="1" t="n">
        <v>45782.35407407407</v>
      </c>
      <c r="C36" s="1" t="n">
        <v>45976</v>
      </c>
      <c r="D36" t="inlineStr">
        <is>
          <t>ÖSTERGÖTLANDS LÄN</t>
        </is>
      </c>
      <c r="E36" t="inlineStr">
        <is>
          <t>LINKÖPING</t>
        </is>
      </c>
      <c r="G36" t="n">
        <v>4.9</v>
      </c>
      <c r="H36" t="n">
        <v>2</v>
      </c>
      <c r="I36" t="n">
        <v>0</v>
      </c>
      <c r="J36" t="n">
        <v>0</v>
      </c>
      <c r="K36" t="n">
        <v>0</v>
      </c>
      <c r="L36" t="n">
        <v>0</v>
      </c>
      <c r="M36" t="n">
        <v>0</v>
      </c>
      <c r="N36" t="n">
        <v>0</v>
      </c>
      <c r="O36" t="n">
        <v>0</v>
      </c>
      <c r="P36" t="n">
        <v>0</v>
      </c>
      <c r="Q36" t="n">
        <v>2</v>
      </c>
      <c r="R36" s="2" t="inlineStr">
        <is>
          <t>Blåsippa
Revlummer</t>
        </is>
      </c>
      <c r="S36">
        <f>HYPERLINK("https://klasma.github.io/Logging_0580/artfynd/A 21326-2025 artfynd.xlsx", "A 21326-2025")</f>
        <v/>
      </c>
      <c r="T36">
        <f>HYPERLINK("https://klasma.github.io/Logging_0580/kartor/A 21326-2025 karta.png", "A 21326-2025")</f>
        <v/>
      </c>
      <c r="V36">
        <f>HYPERLINK("https://klasma.github.io/Logging_0580/klagomål/A 21326-2025 FSC-klagomål.docx", "A 21326-2025")</f>
        <v/>
      </c>
      <c r="W36">
        <f>HYPERLINK("https://klasma.github.io/Logging_0580/klagomålsmail/A 21326-2025 FSC-klagomål mail.docx", "A 21326-2025")</f>
        <v/>
      </c>
      <c r="X36">
        <f>HYPERLINK("https://klasma.github.io/Logging_0580/tillsyn/A 21326-2025 tillsynsbegäran.docx", "A 21326-2025")</f>
        <v/>
      </c>
      <c r="Y36">
        <f>HYPERLINK("https://klasma.github.io/Logging_0580/tillsynsmail/A 21326-2025 tillsynsbegäran mail.docx", "A 21326-2025")</f>
        <v/>
      </c>
    </row>
    <row r="37" ht="15" customHeight="1">
      <c r="A37" t="inlineStr">
        <is>
          <t>A 50048-2025</t>
        </is>
      </c>
      <c r="B37" s="1" t="n">
        <v>45941</v>
      </c>
      <c r="C37" s="1" t="n">
        <v>45976</v>
      </c>
      <c r="D37" t="inlineStr">
        <is>
          <t>ÖSTERGÖTLANDS LÄN</t>
        </is>
      </c>
      <c r="E37" t="inlineStr">
        <is>
          <t>LINKÖPING</t>
        </is>
      </c>
      <c r="G37" t="n">
        <v>2.4</v>
      </c>
      <c r="H37" t="n">
        <v>2</v>
      </c>
      <c r="I37" t="n">
        <v>0</v>
      </c>
      <c r="J37" t="n">
        <v>1</v>
      </c>
      <c r="K37" t="n">
        <v>0</v>
      </c>
      <c r="L37" t="n">
        <v>0</v>
      </c>
      <c r="M37" t="n">
        <v>0</v>
      </c>
      <c r="N37" t="n">
        <v>0</v>
      </c>
      <c r="O37" t="n">
        <v>1</v>
      </c>
      <c r="P37" t="n">
        <v>0</v>
      </c>
      <c r="Q37" t="n">
        <v>2</v>
      </c>
      <c r="R37" s="2" t="inlineStr">
        <is>
          <t>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20292-2025</t>
        </is>
      </c>
      <c r="B38" s="1" t="n">
        <v>45774.7449537037</v>
      </c>
      <c r="C38" s="1" t="n">
        <v>45976</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45976</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27795-2025</t>
        </is>
      </c>
      <c r="B40" s="1" t="n">
        <v>45816.7908912037</v>
      </c>
      <c r="C40" s="1" t="n">
        <v>45976</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45976</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45976</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46496-2022</t>
        </is>
      </c>
      <c r="B43" s="1" t="n">
        <v>44848</v>
      </c>
      <c r="C43" s="1" t="n">
        <v>45976</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43017-2021</t>
        </is>
      </c>
      <c r="B44" s="1" t="n">
        <v>44431</v>
      </c>
      <c r="C44" s="1" t="n">
        <v>45976</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71127-2021</t>
        </is>
      </c>
      <c r="B45" s="1" t="n">
        <v>44537</v>
      </c>
      <c r="C45" s="1" t="n">
        <v>45976</v>
      </c>
      <c r="D45" t="inlineStr">
        <is>
          <t>ÖSTERGÖTLANDS LÄN</t>
        </is>
      </c>
      <c r="E45" t="inlineStr">
        <is>
          <t>LINKÖPING</t>
        </is>
      </c>
      <c r="F45" t="inlineStr">
        <is>
          <t>Kommuner</t>
        </is>
      </c>
      <c r="G45" t="n">
        <v>7.2</v>
      </c>
      <c r="H45" t="n">
        <v>0</v>
      </c>
      <c r="I45" t="n">
        <v>0</v>
      </c>
      <c r="J45" t="n">
        <v>1</v>
      </c>
      <c r="K45" t="n">
        <v>0</v>
      </c>
      <c r="L45" t="n">
        <v>0</v>
      </c>
      <c r="M45" t="n">
        <v>0</v>
      </c>
      <c r="N45" t="n">
        <v>0</v>
      </c>
      <c r="O45" t="n">
        <v>1</v>
      </c>
      <c r="P45" t="n">
        <v>0</v>
      </c>
      <c r="Q45" t="n">
        <v>1</v>
      </c>
      <c r="R45" s="2" t="inlineStr">
        <is>
          <t>Svinrot</t>
        </is>
      </c>
      <c r="S45">
        <f>HYPERLINK("https://klasma.github.io/Logging_0580/artfynd/A 71127-2021 artfynd.xlsx", "A 71127-2021")</f>
        <v/>
      </c>
      <c r="T45">
        <f>HYPERLINK("https://klasma.github.io/Logging_0580/kartor/A 71127-2021 karta.png", "A 71127-2021")</f>
        <v/>
      </c>
      <c r="V45">
        <f>HYPERLINK("https://klasma.github.io/Logging_0580/klagomål/A 71127-2021 FSC-klagomål.docx", "A 71127-2021")</f>
        <v/>
      </c>
      <c r="W45">
        <f>HYPERLINK("https://klasma.github.io/Logging_0580/klagomålsmail/A 71127-2021 FSC-klagomål mail.docx", "A 71127-2021")</f>
        <v/>
      </c>
      <c r="X45">
        <f>HYPERLINK("https://klasma.github.io/Logging_0580/tillsyn/A 71127-2021 tillsynsbegäran.docx", "A 71127-2021")</f>
        <v/>
      </c>
      <c r="Y45">
        <f>HYPERLINK("https://klasma.github.io/Logging_0580/tillsynsmail/A 71127-2021 tillsynsbegäran mail.docx", "A 71127-2021")</f>
        <v/>
      </c>
    </row>
    <row r="46" ht="15" customHeight="1">
      <c r="A46" t="inlineStr">
        <is>
          <t>A 56250-2021</t>
        </is>
      </c>
      <c r="B46" s="1" t="n">
        <v>44479</v>
      </c>
      <c r="C46" s="1" t="n">
        <v>45976</v>
      </c>
      <c r="D46" t="inlineStr">
        <is>
          <t>ÖSTERGÖTLANDS LÄN</t>
        </is>
      </c>
      <c r="E46" t="inlineStr">
        <is>
          <t>LINKÖPING</t>
        </is>
      </c>
      <c r="F46" t="inlineStr">
        <is>
          <t>Övriga Aktiebolag</t>
        </is>
      </c>
      <c r="G46" t="n">
        <v>3.2</v>
      </c>
      <c r="H46" t="n">
        <v>0</v>
      </c>
      <c r="I46" t="n">
        <v>1</v>
      </c>
      <c r="J46" t="n">
        <v>0</v>
      </c>
      <c r="K46" t="n">
        <v>0</v>
      </c>
      <c r="L46" t="n">
        <v>0</v>
      </c>
      <c r="M46" t="n">
        <v>0</v>
      </c>
      <c r="N46" t="n">
        <v>0</v>
      </c>
      <c r="O46" t="n">
        <v>0</v>
      </c>
      <c r="P46" t="n">
        <v>0</v>
      </c>
      <c r="Q46" t="n">
        <v>1</v>
      </c>
      <c r="R46" s="2" t="inlineStr">
        <is>
          <t>Strutbräken</t>
        </is>
      </c>
      <c r="S46">
        <f>HYPERLINK("https://klasma.github.io/Logging_0580/artfynd/A 56250-2021 artfynd.xlsx", "A 56250-2021")</f>
        <v/>
      </c>
      <c r="T46">
        <f>HYPERLINK("https://klasma.github.io/Logging_0580/kartor/A 56250-2021 karta.png", "A 56250-2021")</f>
        <v/>
      </c>
      <c r="V46">
        <f>HYPERLINK("https://klasma.github.io/Logging_0580/klagomål/A 56250-2021 FSC-klagomål.docx", "A 56250-2021")</f>
        <v/>
      </c>
      <c r="W46">
        <f>HYPERLINK("https://klasma.github.io/Logging_0580/klagomålsmail/A 56250-2021 FSC-klagomål mail.docx", "A 56250-2021")</f>
        <v/>
      </c>
      <c r="X46">
        <f>HYPERLINK("https://klasma.github.io/Logging_0580/tillsyn/A 56250-2021 tillsynsbegäran.docx", "A 56250-2021")</f>
        <v/>
      </c>
      <c r="Y46">
        <f>HYPERLINK("https://klasma.github.io/Logging_0580/tillsynsmail/A 56250-2021 tillsynsbegäran mail.docx", "A 56250-2021")</f>
        <v/>
      </c>
    </row>
    <row r="47" ht="15" customHeight="1">
      <c r="A47" t="inlineStr">
        <is>
          <t>A 14096-2021</t>
        </is>
      </c>
      <c r="B47" s="1" t="n">
        <v>44278</v>
      </c>
      <c r="C47" s="1" t="n">
        <v>45976</v>
      </c>
      <c r="D47" t="inlineStr">
        <is>
          <t>ÖSTERGÖTLANDS LÄN</t>
        </is>
      </c>
      <c r="E47" t="inlineStr">
        <is>
          <t>LINKÖPING</t>
        </is>
      </c>
      <c r="G47" t="n">
        <v>1.7</v>
      </c>
      <c r="H47" t="n">
        <v>0</v>
      </c>
      <c r="I47" t="n">
        <v>0</v>
      </c>
      <c r="J47" t="n">
        <v>1</v>
      </c>
      <c r="K47" t="n">
        <v>0</v>
      </c>
      <c r="L47" t="n">
        <v>0</v>
      </c>
      <c r="M47" t="n">
        <v>0</v>
      </c>
      <c r="N47" t="n">
        <v>0</v>
      </c>
      <c r="O47" t="n">
        <v>1</v>
      </c>
      <c r="P47" t="n">
        <v>0</v>
      </c>
      <c r="Q47" t="n">
        <v>1</v>
      </c>
      <c r="R47" s="2" t="inlineStr">
        <is>
          <t>Vedtrappmossa</t>
        </is>
      </c>
      <c r="S47">
        <f>HYPERLINK("https://klasma.github.io/Logging_0580/artfynd/A 14096-2021 artfynd.xlsx", "A 14096-2021")</f>
        <v/>
      </c>
      <c r="T47">
        <f>HYPERLINK("https://klasma.github.io/Logging_0580/kartor/A 14096-2021 karta.png", "A 14096-2021")</f>
        <v/>
      </c>
      <c r="V47">
        <f>HYPERLINK("https://klasma.github.io/Logging_0580/klagomål/A 14096-2021 FSC-klagomål.docx", "A 14096-2021")</f>
        <v/>
      </c>
      <c r="W47">
        <f>HYPERLINK("https://klasma.github.io/Logging_0580/klagomålsmail/A 14096-2021 FSC-klagomål mail.docx", "A 14096-2021")</f>
        <v/>
      </c>
      <c r="X47">
        <f>HYPERLINK("https://klasma.github.io/Logging_0580/tillsyn/A 14096-2021 tillsynsbegäran.docx", "A 14096-2021")</f>
        <v/>
      </c>
      <c r="Y47">
        <f>HYPERLINK("https://klasma.github.io/Logging_0580/tillsynsmail/A 14096-2021 tillsynsbegäran mail.docx", "A 14096-2021")</f>
        <v/>
      </c>
    </row>
    <row r="48" ht="15" customHeight="1">
      <c r="A48" t="inlineStr">
        <is>
          <t>A 17513-2022</t>
        </is>
      </c>
      <c r="B48" s="1" t="n">
        <v>44679</v>
      </c>
      <c r="C48" s="1" t="n">
        <v>45976</v>
      </c>
      <c r="D48" t="inlineStr">
        <is>
          <t>ÖSTERGÖTLANDS LÄN</t>
        </is>
      </c>
      <c r="E48" t="inlineStr">
        <is>
          <t>LINKÖPING</t>
        </is>
      </c>
      <c r="F48" t="inlineStr">
        <is>
          <t>Kommuner</t>
        </is>
      </c>
      <c r="G48" t="n">
        <v>1.6</v>
      </c>
      <c r="H48" t="n">
        <v>0</v>
      </c>
      <c r="I48" t="n">
        <v>0</v>
      </c>
      <c r="J48" t="n">
        <v>1</v>
      </c>
      <c r="K48" t="n">
        <v>0</v>
      </c>
      <c r="L48" t="n">
        <v>0</v>
      </c>
      <c r="M48" t="n">
        <v>0</v>
      </c>
      <c r="N48" t="n">
        <v>0</v>
      </c>
      <c r="O48" t="n">
        <v>1</v>
      </c>
      <c r="P48" t="n">
        <v>0</v>
      </c>
      <c r="Q48" t="n">
        <v>1</v>
      </c>
      <c r="R48" s="2" t="inlineStr">
        <is>
          <t>Sexfläckig bastardsvärmare</t>
        </is>
      </c>
      <c r="S48">
        <f>HYPERLINK("https://klasma.github.io/Logging_0580/artfynd/A 17513-2022 artfynd.xlsx", "A 17513-2022")</f>
        <v/>
      </c>
      <c r="T48">
        <f>HYPERLINK("https://klasma.github.io/Logging_0580/kartor/A 17513-2022 karta.png", "A 17513-2022")</f>
        <v/>
      </c>
      <c r="V48">
        <f>HYPERLINK("https://klasma.github.io/Logging_0580/klagomål/A 17513-2022 FSC-klagomål.docx", "A 17513-2022")</f>
        <v/>
      </c>
      <c r="W48">
        <f>HYPERLINK("https://klasma.github.io/Logging_0580/klagomålsmail/A 17513-2022 FSC-klagomål mail.docx", "A 17513-2022")</f>
        <v/>
      </c>
      <c r="X48">
        <f>HYPERLINK("https://klasma.github.io/Logging_0580/tillsyn/A 17513-2022 tillsynsbegäran.docx", "A 17513-2022")</f>
        <v/>
      </c>
      <c r="Y48">
        <f>HYPERLINK("https://klasma.github.io/Logging_0580/tillsynsmail/A 17513-2022 tillsynsbegäran mail.docx", "A 17513-2022")</f>
        <v/>
      </c>
    </row>
    <row r="49" ht="15" customHeight="1">
      <c r="A49" t="inlineStr">
        <is>
          <t>A 17444-2025</t>
        </is>
      </c>
      <c r="B49" s="1" t="n">
        <v>45757.43452546297</v>
      </c>
      <c r="C49" s="1" t="n">
        <v>45976</v>
      </c>
      <c r="D49" t="inlineStr">
        <is>
          <t>ÖSTERGÖTLANDS LÄN</t>
        </is>
      </c>
      <c r="E49" t="inlineStr">
        <is>
          <t>LINKÖPING</t>
        </is>
      </c>
      <c r="G49" t="n">
        <v>1.3</v>
      </c>
      <c r="H49" t="n">
        <v>1</v>
      </c>
      <c r="I49" t="n">
        <v>0</v>
      </c>
      <c r="J49" t="n">
        <v>1</v>
      </c>
      <c r="K49" t="n">
        <v>0</v>
      </c>
      <c r="L49" t="n">
        <v>0</v>
      </c>
      <c r="M49" t="n">
        <v>0</v>
      </c>
      <c r="N49" t="n">
        <v>0</v>
      </c>
      <c r="O49" t="n">
        <v>1</v>
      </c>
      <c r="P49" t="n">
        <v>0</v>
      </c>
      <c r="Q49" t="n">
        <v>1</v>
      </c>
      <c r="R49" s="2" t="inlineStr">
        <is>
          <t>Dårgräsfjäril</t>
        </is>
      </c>
      <c r="S49">
        <f>HYPERLINK("https://klasma.github.io/Logging_0580/artfynd/A 17444-2025 artfynd.xlsx", "A 17444-2025")</f>
        <v/>
      </c>
      <c r="T49">
        <f>HYPERLINK("https://klasma.github.io/Logging_0580/kartor/A 17444-2025 karta.png", "A 17444-2025")</f>
        <v/>
      </c>
      <c r="V49">
        <f>HYPERLINK("https://klasma.github.io/Logging_0580/klagomål/A 17444-2025 FSC-klagomål.docx", "A 17444-2025")</f>
        <v/>
      </c>
      <c r="W49">
        <f>HYPERLINK("https://klasma.github.io/Logging_0580/klagomålsmail/A 17444-2025 FSC-klagomål mail.docx", "A 17444-2025")</f>
        <v/>
      </c>
      <c r="X49">
        <f>HYPERLINK("https://klasma.github.io/Logging_0580/tillsyn/A 17444-2025 tillsynsbegäran.docx", "A 17444-2025")</f>
        <v/>
      </c>
      <c r="Y49">
        <f>HYPERLINK("https://klasma.github.io/Logging_0580/tillsynsmail/A 17444-2025 tillsynsbegäran mail.docx", "A 17444-2025")</f>
        <v/>
      </c>
    </row>
    <row r="50" ht="15" customHeight="1">
      <c r="A50" t="inlineStr">
        <is>
          <t>A 931-2025</t>
        </is>
      </c>
      <c r="B50" s="1" t="n">
        <v>45665.88498842593</v>
      </c>
      <c r="C50" s="1" t="n">
        <v>45976</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45976</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45976</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45976</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5911-2022</t>
        </is>
      </c>
      <c r="B54" s="1" t="n">
        <v>44597</v>
      </c>
      <c r="C54" s="1" t="n">
        <v>45976</v>
      </c>
      <c r="D54" t="inlineStr">
        <is>
          <t>ÖSTERGÖTLANDS LÄN</t>
        </is>
      </c>
      <c r="E54" t="inlineStr">
        <is>
          <t>LINKÖPING</t>
        </is>
      </c>
      <c r="G54" t="n">
        <v>3.5</v>
      </c>
      <c r="H54" t="n">
        <v>0</v>
      </c>
      <c r="I54" t="n">
        <v>0</v>
      </c>
      <c r="J54" t="n">
        <v>1</v>
      </c>
      <c r="K54" t="n">
        <v>0</v>
      </c>
      <c r="L54" t="n">
        <v>0</v>
      </c>
      <c r="M54" t="n">
        <v>0</v>
      </c>
      <c r="N54" t="n">
        <v>0</v>
      </c>
      <c r="O54" t="n">
        <v>1</v>
      </c>
      <c r="P54" t="n">
        <v>0</v>
      </c>
      <c r="Q54" t="n">
        <v>1</v>
      </c>
      <c r="R54" s="2" t="inlineStr">
        <is>
          <t>Spindelört</t>
        </is>
      </c>
      <c r="S54">
        <f>HYPERLINK("https://klasma.github.io/Logging_0580/artfynd/A 5911-2022 artfynd.xlsx", "A 5911-2022")</f>
        <v/>
      </c>
      <c r="T54">
        <f>HYPERLINK("https://klasma.github.io/Logging_0580/kartor/A 5911-2022 karta.png", "A 5911-2022")</f>
        <v/>
      </c>
      <c r="V54">
        <f>HYPERLINK("https://klasma.github.io/Logging_0580/klagomål/A 5911-2022 FSC-klagomål.docx", "A 5911-2022")</f>
        <v/>
      </c>
      <c r="W54">
        <f>HYPERLINK("https://klasma.github.io/Logging_0580/klagomålsmail/A 5911-2022 FSC-klagomål mail.docx", "A 5911-2022")</f>
        <v/>
      </c>
      <c r="X54">
        <f>HYPERLINK("https://klasma.github.io/Logging_0580/tillsyn/A 5911-2022 tillsynsbegäran.docx", "A 5911-2022")</f>
        <v/>
      </c>
      <c r="Y54">
        <f>HYPERLINK("https://klasma.github.io/Logging_0580/tillsynsmail/A 5911-2022 tillsynsbegäran mail.docx", "A 5911-2022")</f>
        <v/>
      </c>
    </row>
    <row r="55" ht="15" customHeight="1">
      <c r="A55" t="inlineStr">
        <is>
          <t>A 50806-2023</t>
        </is>
      </c>
      <c r="B55" s="1" t="n">
        <v>45217</v>
      </c>
      <c r="C55" s="1" t="n">
        <v>45976</v>
      </c>
      <c r="D55" t="inlineStr">
        <is>
          <t>ÖSTERGÖTLANDS LÄN</t>
        </is>
      </c>
      <c r="E55" t="inlineStr">
        <is>
          <t>LINKÖPING</t>
        </is>
      </c>
      <c r="F55" t="inlineStr">
        <is>
          <t>Övriga Aktiebolag</t>
        </is>
      </c>
      <c r="G55" t="n">
        <v>0.7</v>
      </c>
      <c r="H55" t="n">
        <v>1</v>
      </c>
      <c r="I55" t="n">
        <v>0</v>
      </c>
      <c r="J55" t="n">
        <v>0</v>
      </c>
      <c r="K55" t="n">
        <v>0</v>
      </c>
      <c r="L55" t="n">
        <v>0</v>
      </c>
      <c r="M55" t="n">
        <v>0</v>
      </c>
      <c r="N55" t="n">
        <v>0</v>
      </c>
      <c r="O55" t="n">
        <v>0</v>
      </c>
      <c r="P55" t="n">
        <v>0</v>
      </c>
      <c r="Q55" t="n">
        <v>1</v>
      </c>
      <c r="R55" s="2" t="inlineStr">
        <is>
          <t>Gullviva</t>
        </is>
      </c>
      <c r="S55">
        <f>HYPERLINK("https://klasma.github.io/Logging_0580/artfynd/A 50806-2023 artfynd.xlsx", "A 50806-2023")</f>
        <v/>
      </c>
      <c r="T55">
        <f>HYPERLINK("https://klasma.github.io/Logging_0580/kartor/A 50806-2023 karta.png", "A 50806-2023")</f>
        <v/>
      </c>
      <c r="V55">
        <f>HYPERLINK("https://klasma.github.io/Logging_0580/klagomål/A 50806-2023 FSC-klagomål.docx", "A 50806-2023")</f>
        <v/>
      </c>
      <c r="W55">
        <f>HYPERLINK("https://klasma.github.io/Logging_0580/klagomålsmail/A 50806-2023 FSC-klagomål mail.docx", "A 50806-2023")</f>
        <v/>
      </c>
      <c r="X55">
        <f>HYPERLINK("https://klasma.github.io/Logging_0580/tillsyn/A 50806-2023 tillsynsbegäran.docx", "A 50806-2023")</f>
        <v/>
      </c>
      <c r="Y55">
        <f>HYPERLINK("https://klasma.github.io/Logging_0580/tillsynsmail/A 50806-2023 tillsynsbegäran mail.docx", "A 50806-2023")</f>
        <v/>
      </c>
    </row>
    <row r="56" ht="15" customHeight="1">
      <c r="A56" t="inlineStr">
        <is>
          <t>A 90-2024</t>
        </is>
      </c>
      <c r="B56" s="1" t="n">
        <v>45293</v>
      </c>
      <c r="C56" s="1" t="n">
        <v>45976</v>
      </c>
      <c r="D56" t="inlineStr">
        <is>
          <t>ÖSTERGÖTLANDS LÄN</t>
        </is>
      </c>
      <c r="E56" t="inlineStr">
        <is>
          <t>LINKÖPING</t>
        </is>
      </c>
      <c r="G56" t="n">
        <v>1.8</v>
      </c>
      <c r="H56" t="n">
        <v>0</v>
      </c>
      <c r="I56" t="n">
        <v>1</v>
      </c>
      <c r="J56" t="n">
        <v>0</v>
      </c>
      <c r="K56" t="n">
        <v>0</v>
      </c>
      <c r="L56" t="n">
        <v>0</v>
      </c>
      <c r="M56" t="n">
        <v>0</v>
      </c>
      <c r="N56" t="n">
        <v>0</v>
      </c>
      <c r="O56" t="n">
        <v>0</v>
      </c>
      <c r="P56" t="n">
        <v>0</v>
      </c>
      <c r="Q56" t="n">
        <v>1</v>
      </c>
      <c r="R56" s="2" t="inlineStr">
        <is>
          <t>Grov fjädermossa</t>
        </is>
      </c>
      <c r="S56">
        <f>HYPERLINK("https://klasma.github.io/Logging_0580/artfynd/A 90-2024 artfynd.xlsx", "A 90-2024")</f>
        <v/>
      </c>
      <c r="T56">
        <f>HYPERLINK("https://klasma.github.io/Logging_0580/kartor/A 90-2024 karta.png", "A 90-2024")</f>
        <v/>
      </c>
      <c r="V56">
        <f>HYPERLINK("https://klasma.github.io/Logging_0580/klagomål/A 90-2024 FSC-klagomål.docx", "A 90-2024")</f>
        <v/>
      </c>
      <c r="W56">
        <f>HYPERLINK("https://klasma.github.io/Logging_0580/klagomålsmail/A 90-2024 FSC-klagomål mail.docx", "A 90-2024")</f>
        <v/>
      </c>
      <c r="X56">
        <f>HYPERLINK("https://klasma.github.io/Logging_0580/tillsyn/A 90-2024 tillsynsbegäran.docx", "A 90-2024")</f>
        <v/>
      </c>
      <c r="Y56">
        <f>HYPERLINK("https://klasma.github.io/Logging_0580/tillsynsmail/A 90-2024 tillsynsbegäran mail.docx", "A 90-2024")</f>
        <v/>
      </c>
    </row>
    <row r="57" ht="15" customHeight="1">
      <c r="A57" t="inlineStr">
        <is>
          <t>A 40315-2024</t>
        </is>
      </c>
      <c r="B57" s="1" t="n">
        <v>45554.7571875</v>
      </c>
      <c r="C57" s="1" t="n">
        <v>45976</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35948-2023</t>
        </is>
      </c>
      <c r="B58" s="1" t="n">
        <v>45148</v>
      </c>
      <c r="C58" s="1" t="n">
        <v>45976</v>
      </c>
      <c r="D58" t="inlineStr">
        <is>
          <t>ÖSTERGÖTLANDS LÄN</t>
        </is>
      </c>
      <c r="E58" t="inlineStr">
        <is>
          <t>LINKÖPING</t>
        </is>
      </c>
      <c r="G58" t="n">
        <v>1.9</v>
      </c>
      <c r="H58" t="n">
        <v>0</v>
      </c>
      <c r="I58" t="n">
        <v>1</v>
      </c>
      <c r="J58" t="n">
        <v>0</v>
      </c>
      <c r="K58" t="n">
        <v>0</v>
      </c>
      <c r="L58" t="n">
        <v>0</v>
      </c>
      <c r="M58" t="n">
        <v>0</v>
      </c>
      <c r="N58" t="n">
        <v>0</v>
      </c>
      <c r="O58" t="n">
        <v>0</v>
      </c>
      <c r="P58" t="n">
        <v>0</v>
      </c>
      <c r="Q58" t="n">
        <v>1</v>
      </c>
      <c r="R58" s="2" t="inlineStr">
        <is>
          <t>Brun nållav</t>
        </is>
      </c>
      <c r="S58">
        <f>HYPERLINK("https://klasma.github.io/Logging_0580/artfynd/A 35948-2023 artfynd.xlsx", "A 35948-2023")</f>
        <v/>
      </c>
      <c r="T58">
        <f>HYPERLINK("https://klasma.github.io/Logging_0580/kartor/A 35948-2023 karta.png", "A 35948-2023")</f>
        <v/>
      </c>
      <c r="V58">
        <f>HYPERLINK("https://klasma.github.io/Logging_0580/klagomål/A 35948-2023 FSC-klagomål.docx", "A 35948-2023")</f>
        <v/>
      </c>
      <c r="W58">
        <f>HYPERLINK("https://klasma.github.io/Logging_0580/klagomålsmail/A 35948-2023 FSC-klagomål mail.docx", "A 35948-2023")</f>
        <v/>
      </c>
      <c r="X58">
        <f>HYPERLINK("https://klasma.github.io/Logging_0580/tillsyn/A 35948-2023 tillsynsbegäran.docx", "A 35948-2023")</f>
        <v/>
      </c>
      <c r="Y58">
        <f>HYPERLINK("https://klasma.github.io/Logging_0580/tillsynsmail/A 35948-2023 tillsynsbegäran mail.docx", "A 35948-2023")</f>
        <v/>
      </c>
    </row>
    <row r="59" ht="15" customHeight="1">
      <c r="A59" t="inlineStr">
        <is>
          <t>A 62071-2023</t>
        </is>
      </c>
      <c r="B59" s="1" t="n">
        <v>45266.73542824074</v>
      </c>
      <c r="C59" s="1" t="n">
        <v>45976</v>
      </c>
      <c r="D59" t="inlineStr">
        <is>
          <t>ÖSTERGÖTLANDS LÄN</t>
        </is>
      </c>
      <c r="E59" t="inlineStr">
        <is>
          <t>LINKÖPING</t>
        </is>
      </c>
      <c r="G59" t="n">
        <v>6.5</v>
      </c>
      <c r="H59" t="n">
        <v>0</v>
      </c>
      <c r="I59" t="n">
        <v>0</v>
      </c>
      <c r="J59" t="n">
        <v>1</v>
      </c>
      <c r="K59" t="n">
        <v>0</v>
      </c>
      <c r="L59" t="n">
        <v>0</v>
      </c>
      <c r="M59" t="n">
        <v>0</v>
      </c>
      <c r="N59" t="n">
        <v>0</v>
      </c>
      <c r="O59" t="n">
        <v>1</v>
      </c>
      <c r="P59" t="n">
        <v>0</v>
      </c>
      <c r="Q59" t="n">
        <v>1</v>
      </c>
      <c r="R59" s="2" t="inlineStr">
        <is>
          <t>Svinrot</t>
        </is>
      </c>
      <c r="S59">
        <f>HYPERLINK("https://klasma.github.io/Logging_0580/artfynd/A 62071-2023 artfynd.xlsx", "A 62071-2023")</f>
        <v/>
      </c>
      <c r="T59">
        <f>HYPERLINK("https://klasma.github.io/Logging_0580/kartor/A 62071-2023 karta.png", "A 62071-2023")</f>
        <v/>
      </c>
      <c r="V59">
        <f>HYPERLINK("https://klasma.github.io/Logging_0580/klagomål/A 62071-2023 FSC-klagomål.docx", "A 62071-2023")</f>
        <v/>
      </c>
      <c r="W59">
        <f>HYPERLINK("https://klasma.github.io/Logging_0580/klagomålsmail/A 62071-2023 FSC-klagomål mail.docx", "A 62071-2023")</f>
        <v/>
      </c>
      <c r="X59">
        <f>HYPERLINK("https://klasma.github.io/Logging_0580/tillsyn/A 62071-2023 tillsynsbegäran.docx", "A 62071-2023")</f>
        <v/>
      </c>
      <c r="Y59">
        <f>HYPERLINK("https://klasma.github.io/Logging_0580/tillsynsmail/A 62071-2023 tillsynsbegäran mail.docx", "A 62071-2023")</f>
        <v/>
      </c>
    </row>
    <row r="60" ht="15" customHeight="1">
      <c r="A60" t="inlineStr">
        <is>
          <t>A 22526-2025</t>
        </is>
      </c>
      <c r="B60" s="1" t="n">
        <v>45786.78096064815</v>
      </c>
      <c r="C60" s="1" t="n">
        <v>45976</v>
      </c>
      <c r="D60" t="inlineStr">
        <is>
          <t>ÖSTERGÖTLANDS LÄN</t>
        </is>
      </c>
      <c r="E60" t="inlineStr">
        <is>
          <t>LINKÖPING</t>
        </is>
      </c>
      <c r="G60" t="n">
        <v>1.8</v>
      </c>
      <c r="H60" t="n">
        <v>1</v>
      </c>
      <c r="I60" t="n">
        <v>0</v>
      </c>
      <c r="J60" t="n">
        <v>1</v>
      </c>
      <c r="K60" t="n">
        <v>0</v>
      </c>
      <c r="L60" t="n">
        <v>0</v>
      </c>
      <c r="M60" t="n">
        <v>0</v>
      </c>
      <c r="N60" t="n">
        <v>0</v>
      </c>
      <c r="O60" t="n">
        <v>1</v>
      </c>
      <c r="P60" t="n">
        <v>0</v>
      </c>
      <c r="Q60" t="n">
        <v>1</v>
      </c>
      <c r="R60" s="2" t="inlineStr">
        <is>
          <t>Röd skogslilja</t>
        </is>
      </c>
      <c r="S60">
        <f>HYPERLINK("https://klasma.github.io/Logging_0580/artfynd/A 22526-2025 artfynd.xlsx", "A 22526-2025")</f>
        <v/>
      </c>
      <c r="T60">
        <f>HYPERLINK("https://klasma.github.io/Logging_0580/kartor/A 22526-2025 karta.png", "A 22526-2025")</f>
        <v/>
      </c>
      <c r="V60">
        <f>HYPERLINK("https://klasma.github.io/Logging_0580/klagomål/A 22526-2025 FSC-klagomål.docx", "A 22526-2025")</f>
        <v/>
      </c>
      <c r="W60">
        <f>HYPERLINK("https://klasma.github.io/Logging_0580/klagomålsmail/A 22526-2025 FSC-klagomål mail.docx", "A 22526-2025")</f>
        <v/>
      </c>
      <c r="X60">
        <f>HYPERLINK("https://klasma.github.io/Logging_0580/tillsyn/A 22526-2025 tillsynsbegäran.docx", "A 22526-2025")</f>
        <v/>
      </c>
      <c r="Y60">
        <f>HYPERLINK("https://klasma.github.io/Logging_0580/tillsynsmail/A 22526-2025 tillsynsbegäran mail.docx", "A 22526-2025")</f>
        <v/>
      </c>
    </row>
    <row r="61" ht="15" customHeight="1">
      <c r="A61" t="inlineStr">
        <is>
          <t>A 3397-2023</t>
        </is>
      </c>
      <c r="B61" s="1" t="n">
        <v>44949</v>
      </c>
      <c r="C61" s="1" t="n">
        <v>45976</v>
      </c>
      <c r="D61" t="inlineStr">
        <is>
          <t>ÖSTERGÖTLANDS LÄN</t>
        </is>
      </c>
      <c r="E61" t="inlineStr">
        <is>
          <t>LINKÖPING</t>
        </is>
      </c>
      <c r="G61" t="n">
        <v>4.1</v>
      </c>
      <c r="H61" t="n">
        <v>0</v>
      </c>
      <c r="I61" t="n">
        <v>0</v>
      </c>
      <c r="J61" t="n">
        <v>1</v>
      </c>
      <c r="K61" t="n">
        <v>0</v>
      </c>
      <c r="L61" t="n">
        <v>0</v>
      </c>
      <c r="M61" t="n">
        <v>0</v>
      </c>
      <c r="N61" t="n">
        <v>0</v>
      </c>
      <c r="O61" t="n">
        <v>1</v>
      </c>
      <c r="P61" t="n">
        <v>0</v>
      </c>
      <c r="Q61" t="n">
        <v>1</v>
      </c>
      <c r="R61" s="2" t="inlineStr">
        <is>
          <t>Svinrot</t>
        </is>
      </c>
      <c r="S61">
        <f>HYPERLINK("https://klasma.github.io/Logging_0580/artfynd/A 3397-2023 artfynd.xlsx", "A 3397-2023")</f>
        <v/>
      </c>
      <c r="T61">
        <f>HYPERLINK("https://klasma.github.io/Logging_0580/kartor/A 3397-2023 karta.png", "A 3397-2023")</f>
        <v/>
      </c>
      <c r="V61">
        <f>HYPERLINK("https://klasma.github.io/Logging_0580/klagomål/A 3397-2023 FSC-klagomål.docx", "A 3397-2023")</f>
        <v/>
      </c>
      <c r="W61">
        <f>HYPERLINK("https://klasma.github.io/Logging_0580/klagomålsmail/A 3397-2023 FSC-klagomål mail.docx", "A 3397-2023")</f>
        <v/>
      </c>
      <c r="X61">
        <f>HYPERLINK("https://klasma.github.io/Logging_0580/tillsyn/A 3397-2023 tillsynsbegäran.docx", "A 3397-2023")</f>
        <v/>
      </c>
      <c r="Y61">
        <f>HYPERLINK("https://klasma.github.io/Logging_0580/tillsynsmail/A 3397-2023 tillsynsbegäran mail.docx", "A 3397-2023")</f>
        <v/>
      </c>
    </row>
    <row r="62" ht="15" customHeight="1">
      <c r="A62" t="inlineStr">
        <is>
          <t>A 15290-2025</t>
        </is>
      </c>
      <c r="B62" s="1" t="n">
        <v>45745.45288194445</v>
      </c>
      <c r="C62" s="1" t="n">
        <v>45976</v>
      </c>
      <c r="D62" t="inlineStr">
        <is>
          <t>ÖSTERGÖTLANDS LÄN</t>
        </is>
      </c>
      <c r="E62" t="inlineStr">
        <is>
          <t>LINKÖPING</t>
        </is>
      </c>
      <c r="G62" t="n">
        <v>18.4</v>
      </c>
      <c r="H62" t="n">
        <v>1</v>
      </c>
      <c r="I62" t="n">
        <v>0</v>
      </c>
      <c r="J62" t="n">
        <v>1</v>
      </c>
      <c r="K62" t="n">
        <v>0</v>
      </c>
      <c r="L62" t="n">
        <v>0</v>
      </c>
      <c r="M62" t="n">
        <v>0</v>
      </c>
      <c r="N62" t="n">
        <v>0</v>
      </c>
      <c r="O62" t="n">
        <v>1</v>
      </c>
      <c r="P62" t="n">
        <v>0</v>
      </c>
      <c r="Q62" t="n">
        <v>1</v>
      </c>
      <c r="R62" s="2" t="inlineStr">
        <is>
          <t>Havsörn</t>
        </is>
      </c>
      <c r="S62">
        <f>HYPERLINK("https://klasma.github.io/Logging_0580/artfynd/A 15290-2025 artfynd.xlsx", "A 15290-2025")</f>
        <v/>
      </c>
      <c r="T62">
        <f>HYPERLINK("https://klasma.github.io/Logging_0580/kartor/A 15290-2025 karta.png", "A 15290-2025")</f>
        <v/>
      </c>
      <c r="V62">
        <f>HYPERLINK("https://klasma.github.io/Logging_0580/klagomål/A 15290-2025 FSC-klagomål.docx", "A 15290-2025")</f>
        <v/>
      </c>
      <c r="W62">
        <f>HYPERLINK("https://klasma.github.io/Logging_0580/klagomålsmail/A 15290-2025 FSC-klagomål mail.docx", "A 15290-2025")</f>
        <v/>
      </c>
      <c r="X62">
        <f>HYPERLINK("https://klasma.github.io/Logging_0580/tillsyn/A 15290-2025 tillsynsbegäran.docx", "A 15290-2025")</f>
        <v/>
      </c>
      <c r="Y62">
        <f>HYPERLINK("https://klasma.github.io/Logging_0580/tillsynsmail/A 15290-2025 tillsynsbegäran mail.docx", "A 15290-2025")</f>
        <v/>
      </c>
      <c r="Z62">
        <f>HYPERLINK("https://klasma.github.io/Logging_0580/fåglar/A 15290-2025 prioriterade fågelarter.docx", "A 15290-2025")</f>
        <v/>
      </c>
    </row>
    <row r="63" ht="15" customHeight="1">
      <c r="A63" t="inlineStr">
        <is>
          <t>A 59948-2022</t>
        </is>
      </c>
      <c r="B63" s="1" t="n">
        <v>44909</v>
      </c>
      <c r="C63" s="1" t="n">
        <v>45976</v>
      </c>
      <c r="D63" t="inlineStr">
        <is>
          <t>ÖSTERGÖTLANDS LÄN</t>
        </is>
      </c>
      <c r="E63" t="inlineStr">
        <is>
          <t>LINKÖPING</t>
        </is>
      </c>
      <c r="G63" t="n">
        <v>6.7</v>
      </c>
      <c r="H63" t="n">
        <v>0</v>
      </c>
      <c r="I63" t="n">
        <v>0</v>
      </c>
      <c r="J63" t="n">
        <v>0</v>
      </c>
      <c r="K63" t="n">
        <v>0</v>
      </c>
      <c r="L63" t="n">
        <v>0</v>
      </c>
      <c r="M63" t="n">
        <v>1</v>
      </c>
      <c r="N63" t="n">
        <v>0</v>
      </c>
      <c r="O63" t="n">
        <v>1</v>
      </c>
      <c r="P63" t="n">
        <v>1</v>
      </c>
      <c r="Q63" t="n">
        <v>1</v>
      </c>
      <c r="R63" s="2" t="inlineStr">
        <is>
          <t>Skogsalm</t>
        </is>
      </c>
      <c r="S63">
        <f>HYPERLINK("https://klasma.github.io/Logging_0580/artfynd/A 59948-2022 artfynd.xlsx", "A 59948-2022")</f>
        <v/>
      </c>
      <c r="T63">
        <f>HYPERLINK("https://klasma.github.io/Logging_0580/kartor/A 59948-2022 karta.png", "A 59948-2022")</f>
        <v/>
      </c>
      <c r="V63">
        <f>HYPERLINK("https://klasma.github.io/Logging_0580/klagomål/A 59948-2022 FSC-klagomål.docx", "A 59948-2022")</f>
        <v/>
      </c>
      <c r="W63">
        <f>HYPERLINK("https://klasma.github.io/Logging_0580/klagomålsmail/A 59948-2022 FSC-klagomål mail.docx", "A 59948-2022")</f>
        <v/>
      </c>
      <c r="X63">
        <f>HYPERLINK("https://klasma.github.io/Logging_0580/tillsyn/A 59948-2022 tillsynsbegäran.docx", "A 59948-2022")</f>
        <v/>
      </c>
      <c r="Y63">
        <f>HYPERLINK("https://klasma.github.io/Logging_0580/tillsynsmail/A 59948-2022 tillsynsbegäran mail.docx", "A 59948-2022")</f>
        <v/>
      </c>
    </row>
    <row r="64" ht="15" customHeight="1">
      <c r="A64" t="inlineStr">
        <is>
          <t>A 34881-2023</t>
        </is>
      </c>
      <c r="B64" s="1" t="n">
        <v>45140</v>
      </c>
      <c r="C64" s="1" t="n">
        <v>45976</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Tallticka</t>
        </is>
      </c>
      <c r="S64">
        <f>HYPERLINK("https://klasma.github.io/Logging_0580/artfynd/A 34881-2023 artfynd.xlsx", "A 34881-2023")</f>
        <v/>
      </c>
      <c r="T64">
        <f>HYPERLINK("https://klasma.github.io/Logging_0580/kartor/A 34881-2023 karta.png", "A 34881-2023")</f>
        <v/>
      </c>
      <c r="U64">
        <f>HYPERLINK("https://klasma.github.io/Logging_0580/knärot/A 34881-2023 karta knärot.png", "A 34881-2023")</f>
        <v/>
      </c>
      <c r="V64">
        <f>HYPERLINK("https://klasma.github.io/Logging_0580/klagomål/A 34881-2023 FSC-klagomål.docx", "A 34881-2023")</f>
        <v/>
      </c>
      <c r="W64">
        <f>HYPERLINK("https://klasma.github.io/Logging_0580/klagomålsmail/A 34881-2023 FSC-klagomål mail.docx", "A 34881-2023")</f>
        <v/>
      </c>
      <c r="X64">
        <f>HYPERLINK("https://klasma.github.io/Logging_0580/tillsyn/A 34881-2023 tillsynsbegäran.docx", "A 34881-2023")</f>
        <v/>
      </c>
      <c r="Y64">
        <f>HYPERLINK("https://klasma.github.io/Logging_0580/tillsynsmail/A 34881-2023 tillsynsbegäran mail.docx", "A 34881-2023")</f>
        <v/>
      </c>
    </row>
    <row r="65" ht="15" customHeight="1">
      <c r="A65" t="inlineStr">
        <is>
          <t>A 50471-2024</t>
        </is>
      </c>
      <c r="B65" s="1" t="n">
        <v>45601.47166666666</v>
      </c>
      <c r="C65" s="1" t="n">
        <v>45976</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17389-2021</t>
        </is>
      </c>
      <c r="B66" s="1" t="n">
        <v>44298.96792824074</v>
      </c>
      <c r="C66" s="1" t="n">
        <v>45976</v>
      </c>
      <c r="D66" t="inlineStr">
        <is>
          <t>ÖSTERGÖTLANDS LÄN</t>
        </is>
      </c>
      <c r="E66" t="inlineStr">
        <is>
          <t>LINKÖPING</t>
        </is>
      </c>
      <c r="G66" t="n">
        <v>5.1</v>
      </c>
      <c r="H66" t="n">
        <v>0</v>
      </c>
      <c r="I66" t="n">
        <v>1</v>
      </c>
      <c r="J66" t="n">
        <v>0</v>
      </c>
      <c r="K66" t="n">
        <v>0</v>
      </c>
      <c r="L66" t="n">
        <v>0</v>
      </c>
      <c r="M66" t="n">
        <v>0</v>
      </c>
      <c r="N66" t="n">
        <v>0</v>
      </c>
      <c r="O66" t="n">
        <v>0</v>
      </c>
      <c r="P66" t="n">
        <v>0</v>
      </c>
      <c r="Q66" t="n">
        <v>1</v>
      </c>
      <c r="R66" s="2" t="inlineStr">
        <is>
          <t>Blomkålssvamp</t>
        </is>
      </c>
      <c r="S66">
        <f>HYPERLINK("https://klasma.github.io/Logging_0580/artfynd/A 17389-2021 artfynd.xlsx", "A 17389-2021")</f>
        <v/>
      </c>
      <c r="T66">
        <f>HYPERLINK("https://klasma.github.io/Logging_0580/kartor/A 17389-2021 karta.png", "A 17389-2021")</f>
        <v/>
      </c>
      <c r="V66">
        <f>HYPERLINK("https://klasma.github.io/Logging_0580/klagomål/A 17389-2021 FSC-klagomål.docx", "A 17389-2021")</f>
        <v/>
      </c>
      <c r="W66">
        <f>HYPERLINK("https://klasma.github.io/Logging_0580/klagomålsmail/A 17389-2021 FSC-klagomål mail.docx", "A 17389-2021")</f>
        <v/>
      </c>
      <c r="X66">
        <f>HYPERLINK("https://klasma.github.io/Logging_0580/tillsyn/A 17389-2021 tillsynsbegäran.docx", "A 17389-2021")</f>
        <v/>
      </c>
      <c r="Y66">
        <f>HYPERLINK("https://klasma.github.io/Logging_0580/tillsynsmail/A 17389-2021 tillsynsbegäran mail.docx", "A 17389-2021")</f>
        <v/>
      </c>
    </row>
    <row r="67" ht="15" customHeight="1">
      <c r="A67" t="inlineStr">
        <is>
          <t>A 56128-2022</t>
        </is>
      </c>
      <c r="B67" s="1" t="n">
        <v>44889</v>
      </c>
      <c r="C67" s="1" t="n">
        <v>45976</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40309-2024</t>
        </is>
      </c>
      <c r="B68" s="1" t="n">
        <v>45554.724375</v>
      </c>
      <c r="C68" s="1" t="n">
        <v>45976</v>
      </c>
      <c r="D68" t="inlineStr">
        <is>
          <t>ÖSTERGÖTLANDS LÄN</t>
        </is>
      </c>
      <c r="E68" t="inlineStr">
        <is>
          <t>LINKÖPING</t>
        </is>
      </c>
      <c r="F68" t="inlineStr">
        <is>
          <t>Allmännings- och besparingsskogar</t>
        </is>
      </c>
      <c r="G68" t="n">
        <v>6</v>
      </c>
      <c r="H68" t="n">
        <v>0</v>
      </c>
      <c r="I68" t="n">
        <v>0</v>
      </c>
      <c r="J68" t="n">
        <v>1</v>
      </c>
      <c r="K68" t="n">
        <v>0</v>
      </c>
      <c r="L68" t="n">
        <v>0</v>
      </c>
      <c r="M68" t="n">
        <v>0</v>
      </c>
      <c r="N68" t="n">
        <v>0</v>
      </c>
      <c r="O68" t="n">
        <v>1</v>
      </c>
      <c r="P68" t="n">
        <v>0</v>
      </c>
      <c r="Q68" t="n">
        <v>1</v>
      </c>
      <c r="R68" s="2" t="inlineStr">
        <is>
          <t>Garnlav</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row>
    <row r="69" ht="15" customHeight="1">
      <c r="A69" t="inlineStr">
        <is>
          <t>A 20295-2025</t>
        </is>
      </c>
      <c r="B69" s="1" t="n">
        <v>45774.74846064814</v>
      </c>
      <c r="C69" s="1" t="n">
        <v>45976</v>
      </c>
      <c r="D69" t="inlineStr">
        <is>
          <t>ÖSTERGÖTLANDS LÄN</t>
        </is>
      </c>
      <c r="E69" t="inlineStr">
        <is>
          <t>LINKÖPING</t>
        </is>
      </c>
      <c r="G69" t="n">
        <v>3</v>
      </c>
      <c r="H69" t="n">
        <v>0</v>
      </c>
      <c r="I69" t="n">
        <v>0</v>
      </c>
      <c r="J69" t="n">
        <v>1</v>
      </c>
      <c r="K69" t="n">
        <v>0</v>
      </c>
      <c r="L69" t="n">
        <v>0</v>
      </c>
      <c r="M69" t="n">
        <v>0</v>
      </c>
      <c r="N69" t="n">
        <v>0</v>
      </c>
      <c r="O69" t="n">
        <v>1</v>
      </c>
      <c r="P69" t="n">
        <v>0</v>
      </c>
      <c r="Q69" t="n">
        <v>1</v>
      </c>
      <c r="R69" s="2" t="inlineStr">
        <is>
          <t>Tallticka</t>
        </is>
      </c>
      <c r="S69">
        <f>HYPERLINK("https://klasma.github.io/Logging_0580/artfynd/A 20295-2025 artfynd.xlsx", "A 20295-2025")</f>
        <v/>
      </c>
      <c r="T69">
        <f>HYPERLINK("https://klasma.github.io/Logging_0580/kartor/A 20295-2025 karta.png", "A 20295-2025")</f>
        <v/>
      </c>
      <c r="V69">
        <f>HYPERLINK("https://klasma.github.io/Logging_0580/klagomål/A 20295-2025 FSC-klagomål.docx", "A 20295-2025")</f>
        <v/>
      </c>
      <c r="W69">
        <f>HYPERLINK("https://klasma.github.io/Logging_0580/klagomålsmail/A 20295-2025 FSC-klagomål mail.docx", "A 20295-2025")</f>
        <v/>
      </c>
      <c r="X69">
        <f>HYPERLINK("https://klasma.github.io/Logging_0580/tillsyn/A 20295-2025 tillsynsbegäran.docx", "A 20295-2025")</f>
        <v/>
      </c>
      <c r="Y69">
        <f>HYPERLINK("https://klasma.github.io/Logging_0580/tillsynsmail/A 20295-2025 tillsynsbegäran mail.docx", "A 20295-2025")</f>
        <v/>
      </c>
    </row>
    <row r="70" ht="15" customHeight="1">
      <c r="A70" t="inlineStr">
        <is>
          <t>A 54835-2023</t>
        </is>
      </c>
      <c r="B70" s="1" t="n">
        <v>45236</v>
      </c>
      <c r="C70" s="1" t="n">
        <v>45976</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37683-2024</t>
        </is>
      </c>
      <c r="B71" s="1" t="n">
        <v>45541.59120370371</v>
      </c>
      <c r="C71" s="1" t="n">
        <v>45976</v>
      </c>
      <c r="D71" t="inlineStr">
        <is>
          <t>ÖSTERGÖTLANDS LÄN</t>
        </is>
      </c>
      <c r="E71" t="inlineStr">
        <is>
          <t>LINKÖPING</t>
        </is>
      </c>
      <c r="G71" t="n">
        <v>0.6</v>
      </c>
      <c r="H71" t="n">
        <v>0</v>
      </c>
      <c r="I71" t="n">
        <v>1</v>
      </c>
      <c r="J71" t="n">
        <v>0</v>
      </c>
      <c r="K71" t="n">
        <v>0</v>
      </c>
      <c r="L71" t="n">
        <v>0</v>
      </c>
      <c r="M71" t="n">
        <v>0</v>
      </c>
      <c r="N71" t="n">
        <v>0</v>
      </c>
      <c r="O71" t="n">
        <v>0</v>
      </c>
      <c r="P71" t="n">
        <v>0</v>
      </c>
      <c r="Q71" t="n">
        <v>1</v>
      </c>
      <c r="R71" s="2" t="inlineStr">
        <is>
          <t>Tibast</t>
        </is>
      </c>
      <c r="S71">
        <f>HYPERLINK("https://klasma.github.io/Logging_0580/artfynd/A 37683-2024 artfynd.xlsx", "A 37683-2024")</f>
        <v/>
      </c>
      <c r="T71">
        <f>HYPERLINK("https://klasma.github.io/Logging_0580/kartor/A 37683-2024 karta.png", "A 37683-2024")</f>
        <v/>
      </c>
      <c r="V71">
        <f>HYPERLINK("https://klasma.github.io/Logging_0580/klagomål/A 37683-2024 FSC-klagomål.docx", "A 37683-2024")</f>
        <v/>
      </c>
      <c r="W71">
        <f>HYPERLINK("https://klasma.github.io/Logging_0580/klagomålsmail/A 37683-2024 FSC-klagomål mail.docx", "A 37683-2024")</f>
        <v/>
      </c>
      <c r="X71">
        <f>HYPERLINK("https://klasma.github.io/Logging_0580/tillsyn/A 37683-2024 tillsynsbegäran.docx", "A 37683-2024")</f>
        <v/>
      </c>
      <c r="Y71">
        <f>HYPERLINK("https://klasma.github.io/Logging_0580/tillsynsmail/A 37683-2024 tillsynsbegäran mail.docx", "A 37683-2024")</f>
        <v/>
      </c>
    </row>
    <row r="72" ht="15" customHeight="1">
      <c r="A72" t="inlineStr">
        <is>
          <t>A 60573-2021</t>
        </is>
      </c>
      <c r="B72" s="1" t="n">
        <v>44496</v>
      </c>
      <c r="C72" s="1" t="n">
        <v>45976</v>
      </c>
      <c r="D72" t="inlineStr">
        <is>
          <t>ÖSTERGÖTLANDS LÄN</t>
        </is>
      </c>
      <c r="E72" t="inlineStr">
        <is>
          <t>LINKÖPING</t>
        </is>
      </c>
      <c r="F72" t="inlineStr">
        <is>
          <t>Övriga Aktiebolag</t>
        </is>
      </c>
      <c r="G72" t="n">
        <v>5.6</v>
      </c>
      <c r="H72" t="n">
        <v>0</v>
      </c>
      <c r="I72" t="n">
        <v>0</v>
      </c>
      <c r="J72" t="n">
        <v>1</v>
      </c>
      <c r="K72" t="n">
        <v>0</v>
      </c>
      <c r="L72" t="n">
        <v>0</v>
      </c>
      <c r="M72" t="n">
        <v>0</v>
      </c>
      <c r="N72" t="n">
        <v>0</v>
      </c>
      <c r="O72" t="n">
        <v>1</v>
      </c>
      <c r="P72" t="n">
        <v>0</v>
      </c>
      <c r="Q72" t="n">
        <v>1</v>
      </c>
      <c r="R72" s="2" t="inlineStr">
        <is>
          <t>Sommarfibbla</t>
        </is>
      </c>
      <c r="S72">
        <f>HYPERLINK("https://klasma.github.io/Logging_0580/artfynd/A 60573-2021 artfynd.xlsx", "A 60573-2021")</f>
        <v/>
      </c>
      <c r="T72">
        <f>HYPERLINK("https://klasma.github.io/Logging_0580/kartor/A 60573-2021 karta.png", "A 60573-2021")</f>
        <v/>
      </c>
      <c r="V72">
        <f>HYPERLINK("https://klasma.github.io/Logging_0580/klagomål/A 60573-2021 FSC-klagomål.docx", "A 60573-2021")</f>
        <v/>
      </c>
      <c r="W72">
        <f>HYPERLINK("https://klasma.github.io/Logging_0580/klagomålsmail/A 60573-2021 FSC-klagomål mail.docx", "A 60573-2021")</f>
        <v/>
      </c>
      <c r="X72">
        <f>HYPERLINK("https://klasma.github.io/Logging_0580/tillsyn/A 60573-2021 tillsynsbegäran.docx", "A 60573-2021")</f>
        <v/>
      </c>
      <c r="Y72">
        <f>HYPERLINK("https://klasma.github.io/Logging_0580/tillsynsmail/A 60573-2021 tillsynsbegäran mail.docx", "A 60573-2021")</f>
        <v/>
      </c>
    </row>
    <row r="73" ht="15" customHeight="1">
      <c r="A73" t="inlineStr">
        <is>
          <t>A 56651-2023</t>
        </is>
      </c>
      <c r="B73" s="1" t="n">
        <v>45243</v>
      </c>
      <c r="C73" s="1" t="n">
        <v>45976</v>
      </c>
      <c r="D73" t="inlineStr">
        <is>
          <t>ÖSTERGÖTLANDS LÄN</t>
        </is>
      </c>
      <c r="E73" t="inlineStr">
        <is>
          <t>LINKÖPING</t>
        </is>
      </c>
      <c r="F73" t="inlineStr">
        <is>
          <t>Övriga Aktiebolag</t>
        </is>
      </c>
      <c r="G73" t="n">
        <v>2.3</v>
      </c>
      <c r="H73" t="n">
        <v>0</v>
      </c>
      <c r="I73" t="n">
        <v>0</v>
      </c>
      <c r="J73" t="n">
        <v>1</v>
      </c>
      <c r="K73" t="n">
        <v>0</v>
      </c>
      <c r="L73" t="n">
        <v>0</v>
      </c>
      <c r="M73" t="n">
        <v>0</v>
      </c>
      <c r="N73" t="n">
        <v>0</v>
      </c>
      <c r="O73" t="n">
        <v>1</v>
      </c>
      <c r="P73" t="n">
        <v>0</v>
      </c>
      <c r="Q73" t="n">
        <v>1</v>
      </c>
      <c r="R73" s="2" t="inlineStr">
        <is>
          <t>Gul dropplav</t>
        </is>
      </c>
      <c r="S73">
        <f>HYPERLINK("https://klasma.github.io/Logging_0580/artfynd/A 56651-2023 artfynd.xlsx", "A 56651-2023")</f>
        <v/>
      </c>
      <c r="T73">
        <f>HYPERLINK("https://klasma.github.io/Logging_0580/kartor/A 56651-2023 karta.png", "A 56651-2023")</f>
        <v/>
      </c>
      <c r="V73">
        <f>HYPERLINK("https://klasma.github.io/Logging_0580/klagomål/A 56651-2023 FSC-klagomål.docx", "A 56651-2023")</f>
        <v/>
      </c>
      <c r="W73">
        <f>HYPERLINK("https://klasma.github.io/Logging_0580/klagomålsmail/A 56651-2023 FSC-klagomål mail.docx", "A 56651-2023")</f>
        <v/>
      </c>
      <c r="X73">
        <f>HYPERLINK("https://klasma.github.io/Logging_0580/tillsyn/A 56651-2023 tillsynsbegäran.docx", "A 56651-2023")</f>
        <v/>
      </c>
      <c r="Y73">
        <f>HYPERLINK("https://klasma.github.io/Logging_0580/tillsynsmail/A 56651-2023 tillsynsbegäran mail.docx", "A 56651-2023")</f>
        <v/>
      </c>
    </row>
    <row r="74" ht="15" customHeight="1">
      <c r="A74" t="inlineStr">
        <is>
          <t>A 43989-2025</t>
        </is>
      </c>
      <c r="B74" s="1" t="n">
        <v>45915.44128472222</v>
      </c>
      <c r="C74" s="1" t="n">
        <v>45976</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126-2024</t>
        </is>
      </c>
      <c r="B75" s="1" t="n">
        <v>45294</v>
      </c>
      <c r="C75" s="1" t="n">
        <v>45976</v>
      </c>
      <c r="D75" t="inlineStr">
        <is>
          <t>ÖSTERGÖTLANDS LÄN</t>
        </is>
      </c>
      <c r="E75" t="inlineStr">
        <is>
          <t>LINKÖPING</t>
        </is>
      </c>
      <c r="G75" t="n">
        <v>1</v>
      </c>
      <c r="H75" t="n">
        <v>0</v>
      </c>
      <c r="I75" t="n">
        <v>1</v>
      </c>
      <c r="J75" t="n">
        <v>0</v>
      </c>
      <c r="K75" t="n">
        <v>0</v>
      </c>
      <c r="L75" t="n">
        <v>0</v>
      </c>
      <c r="M75" t="n">
        <v>0</v>
      </c>
      <c r="N75" t="n">
        <v>0</v>
      </c>
      <c r="O75" t="n">
        <v>0</v>
      </c>
      <c r="P75" t="n">
        <v>0</v>
      </c>
      <c r="Q75" t="n">
        <v>1</v>
      </c>
      <c r="R75" s="2" t="inlineStr">
        <is>
          <t>Blåmossa</t>
        </is>
      </c>
      <c r="S75">
        <f>HYPERLINK("https://klasma.github.io/Logging_0580/artfynd/A 126-2024 artfynd.xlsx", "A 126-2024")</f>
        <v/>
      </c>
      <c r="T75">
        <f>HYPERLINK("https://klasma.github.io/Logging_0580/kartor/A 126-2024 karta.png", "A 126-2024")</f>
        <v/>
      </c>
      <c r="V75">
        <f>HYPERLINK("https://klasma.github.io/Logging_0580/klagomål/A 126-2024 FSC-klagomål.docx", "A 126-2024")</f>
        <v/>
      </c>
      <c r="W75">
        <f>HYPERLINK("https://klasma.github.io/Logging_0580/klagomålsmail/A 126-2024 FSC-klagomål mail.docx", "A 126-2024")</f>
        <v/>
      </c>
      <c r="X75">
        <f>HYPERLINK("https://klasma.github.io/Logging_0580/tillsyn/A 126-2024 tillsynsbegäran.docx", "A 126-2024")</f>
        <v/>
      </c>
      <c r="Y75">
        <f>HYPERLINK("https://klasma.github.io/Logging_0580/tillsynsmail/A 126-2024 tillsynsbegäran mail.docx", "A 126-2024")</f>
        <v/>
      </c>
    </row>
    <row r="76" ht="15" customHeight="1">
      <c r="A76" t="inlineStr">
        <is>
          <t>A 44760-2025</t>
        </is>
      </c>
      <c r="B76" s="1" t="n">
        <v>45917.71873842592</v>
      </c>
      <c r="C76" s="1" t="n">
        <v>45976</v>
      </c>
      <c r="D76" t="inlineStr">
        <is>
          <t>ÖSTERGÖTLANDS LÄN</t>
        </is>
      </c>
      <c r="E76" t="inlineStr">
        <is>
          <t>LINKÖPING</t>
        </is>
      </c>
      <c r="G76" t="n">
        <v>0.9</v>
      </c>
      <c r="H76" t="n">
        <v>0</v>
      </c>
      <c r="I76" t="n">
        <v>0</v>
      </c>
      <c r="J76" t="n">
        <v>1</v>
      </c>
      <c r="K76" t="n">
        <v>0</v>
      </c>
      <c r="L76" t="n">
        <v>0</v>
      </c>
      <c r="M76" t="n">
        <v>0</v>
      </c>
      <c r="N76" t="n">
        <v>0</v>
      </c>
      <c r="O76" t="n">
        <v>1</v>
      </c>
      <c r="P76" t="n">
        <v>0</v>
      </c>
      <c r="Q76" t="n">
        <v>1</v>
      </c>
      <c r="R76" s="2" t="inlineStr">
        <is>
          <t>Tallticka</t>
        </is>
      </c>
      <c r="S76">
        <f>HYPERLINK("https://klasma.github.io/Logging_0580/artfynd/A 44760-2025 artfynd.xlsx", "A 44760-2025")</f>
        <v/>
      </c>
      <c r="T76">
        <f>HYPERLINK("https://klasma.github.io/Logging_0580/kartor/A 44760-2025 karta.png", "A 44760-2025")</f>
        <v/>
      </c>
      <c r="V76">
        <f>HYPERLINK("https://klasma.github.io/Logging_0580/klagomål/A 44760-2025 FSC-klagomål.docx", "A 44760-2025")</f>
        <v/>
      </c>
      <c r="W76">
        <f>HYPERLINK("https://klasma.github.io/Logging_0580/klagomålsmail/A 44760-2025 FSC-klagomål mail.docx", "A 44760-2025")</f>
        <v/>
      </c>
      <c r="X76">
        <f>HYPERLINK("https://klasma.github.io/Logging_0580/tillsyn/A 44760-2025 tillsynsbegäran.docx", "A 44760-2025")</f>
        <v/>
      </c>
      <c r="Y76">
        <f>HYPERLINK("https://klasma.github.io/Logging_0580/tillsynsmail/A 44760-2025 tillsynsbegäran mail.docx", "A 44760-2025")</f>
        <v/>
      </c>
    </row>
    <row r="77" ht="15" customHeight="1">
      <c r="A77" t="inlineStr">
        <is>
          <t>A 41749-2023</t>
        </is>
      </c>
      <c r="B77" s="1" t="n">
        <v>45176</v>
      </c>
      <c r="C77" s="1" t="n">
        <v>45976</v>
      </c>
      <c r="D77" t="inlineStr">
        <is>
          <t>ÖSTERGÖTLANDS LÄN</t>
        </is>
      </c>
      <c r="E77" t="inlineStr">
        <is>
          <t>LINKÖPING</t>
        </is>
      </c>
      <c r="G77" t="n">
        <v>3.6</v>
      </c>
      <c r="H77" t="n">
        <v>0</v>
      </c>
      <c r="I77" t="n">
        <v>0</v>
      </c>
      <c r="J77" t="n">
        <v>1</v>
      </c>
      <c r="K77" t="n">
        <v>0</v>
      </c>
      <c r="L77" t="n">
        <v>0</v>
      </c>
      <c r="M77" t="n">
        <v>0</v>
      </c>
      <c r="N77" t="n">
        <v>0</v>
      </c>
      <c r="O77" t="n">
        <v>1</v>
      </c>
      <c r="P77" t="n">
        <v>0</v>
      </c>
      <c r="Q77" t="n">
        <v>1</v>
      </c>
      <c r="R77" s="2" t="inlineStr">
        <is>
          <t>Svinrot</t>
        </is>
      </c>
      <c r="S77">
        <f>HYPERLINK("https://klasma.github.io/Logging_0580/artfynd/A 41749-2023 artfynd.xlsx", "A 41749-2023")</f>
        <v/>
      </c>
      <c r="T77">
        <f>HYPERLINK("https://klasma.github.io/Logging_0580/kartor/A 41749-2023 karta.png", "A 41749-2023")</f>
        <v/>
      </c>
      <c r="V77">
        <f>HYPERLINK("https://klasma.github.io/Logging_0580/klagomål/A 41749-2023 FSC-klagomål.docx", "A 41749-2023")</f>
        <v/>
      </c>
      <c r="W77">
        <f>HYPERLINK("https://klasma.github.io/Logging_0580/klagomålsmail/A 41749-2023 FSC-klagomål mail.docx", "A 41749-2023")</f>
        <v/>
      </c>
      <c r="X77">
        <f>HYPERLINK("https://klasma.github.io/Logging_0580/tillsyn/A 41749-2023 tillsynsbegäran.docx", "A 41749-2023")</f>
        <v/>
      </c>
      <c r="Y77">
        <f>HYPERLINK("https://klasma.github.io/Logging_0580/tillsynsmail/A 41749-2023 tillsynsbegäran mail.docx", "A 41749-2023")</f>
        <v/>
      </c>
    </row>
    <row r="78" ht="15" customHeight="1">
      <c r="A78" t="inlineStr">
        <is>
          <t>A 50034-2025</t>
        </is>
      </c>
      <c r="B78" s="1" t="n">
        <v>45941</v>
      </c>
      <c r="C78" s="1" t="n">
        <v>45976</v>
      </c>
      <c r="D78" t="inlineStr">
        <is>
          <t>ÖSTERGÖTLANDS LÄN</t>
        </is>
      </c>
      <c r="E78" t="inlineStr">
        <is>
          <t>LINKÖPING</t>
        </is>
      </c>
      <c r="G78" t="n">
        <v>6.2</v>
      </c>
      <c r="H78" t="n">
        <v>0</v>
      </c>
      <c r="I78" t="n">
        <v>0</v>
      </c>
      <c r="J78" t="n">
        <v>0</v>
      </c>
      <c r="K78" t="n">
        <v>0</v>
      </c>
      <c r="L78" t="n">
        <v>0</v>
      </c>
      <c r="M78" t="n">
        <v>1</v>
      </c>
      <c r="N78" t="n">
        <v>0</v>
      </c>
      <c r="O78" t="n">
        <v>1</v>
      </c>
      <c r="P78" t="n">
        <v>1</v>
      </c>
      <c r="Q78" t="n">
        <v>1</v>
      </c>
      <c r="R78" s="2" t="inlineStr">
        <is>
          <t>Skogsalm</t>
        </is>
      </c>
      <c r="S78">
        <f>HYPERLINK("https://klasma.github.io/Logging_0580/artfynd/A 50034-2025 artfynd.xlsx", "A 50034-2025")</f>
        <v/>
      </c>
      <c r="T78">
        <f>HYPERLINK("https://klasma.github.io/Logging_0580/kartor/A 50034-2025 karta.png", "A 50034-2025")</f>
        <v/>
      </c>
      <c r="V78">
        <f>HYPERLINK("https://klasma.github.io/Logging_0580/klagomål/A 50034-2025 FSC-klagomål.docx", "A 50034-2025")</f>
        <v/>
      </c>
      <c r="W78">
        <f>HYPERLINK("https://klasma.github.io/Logging_0580/klagomålsmail/A 50034-2025 FSC-klagomål mail.docx", "A 50034-2025")</f>
        <v/>
      </c>
      <c r="X78">
        <f>HYPERLINK("https://klasma.github.io/Logging_0580/tillsyn/A 50034-2025 tillsynsbegäran.docx", "A 50034-2025")</f>
        <v/>
      </c>
      <c r="Y78">
        <f>HYPERLINK("https://klasma.github.io/Logging_0580/tillsynsmail/A 50034-2025 tillsynsbegäran mail.docx", "A 50034-2025")</f>
        <v/>
      </c>
    </row>
    <row r="79" ht="15" customHeight="1">
      <c r="A79" t="inlineStr">
        <is>
          <t>A 27403-2025</t>
        </is>
      </c>
      <c r="B79" s="1" t="n">
        <v>45812.72518518518</v>
      </c>
      <c r="C79" s="1" t="n">
        <v>45976</v>
      </c>
      <c r="D79" t="inlineStr">
        <is>
          <t>ÖSTERGÖTLANDS LÄN</t>
        </is>
      </c>
      <c r="E79" t="inlineStr">
        <is>
          <t>LINKÖPING</t>
        </is>
      </c>
      <c r="G79" t="n">
        <v>1.4</v>
      </c>
      <c r="H79" t="n">
        <v>0</v>
      </c>
      <c r="I79" t="n">
        <v>0</v>
      </c>
      <c r="J79" t="n">
        <v>1</v>
      </c>
      <c r="K79" t="n">
        <v>0</v>
      </c>
      <c r="L79" t="n">
        <v>0</v>
      </c>
      <c r="M79" t="n">
        <v>0</v>
      </c>
      <c r="N79" t="n">
        <v>0</v>
      </c>
      <c r="O79" t="n">
        <v>1</v>
      </c>
      <c r="P79" t="n">
        <v>0</v>
      </c>
      <c r="Q79" t="n">
        <v>1</v>
      </c>
      <c r="R79" s="2" t="inlineStr">
        <is>
          <t>Tallticka</t>
        </is>
      </c>
      <c r="S79">
        <f>HYPERLINK("https://klasma.github.io/Logging_0580/artfynd/A 27403-2025 artfynd.xlsx", "A 27403-2025")</f>
        <v/>
      </c>
      <c r="T79">
        <f>HYPERLINK("https://klasma.github.io/Logging_0580/kartor/A 27403-2025 karta.png", "A 27403-2025")</f>
        <v/>
      </c>
      <c r="V79">
        <f>HYPERLINK("https://klasma.github.io/Logging_0580/klagomål/A 27403-2025 FSC-klagomål.docx", "A 27403-2025")</f>
        <v/>
      </c>
      <c r="W79">
        <f>HYPERLINK("https://klasma.github.io/Logging_0580/klagomålsmail/A 27403-2025 FSC-klagomål mail.docx", "A 27403-2025")</f>
        <v/>
      </c>
      <c r="X79">
        <f>HYPERLINK("https://klasma.github.io/Logging_0580/tillsyn/A 27403-2025 tillsynsbegäran.docx", "A 27403-2025")</f>
        <v/>
      </c>
      <c r="Y79">
        <f>HYPERLINK("https://klasma.github.io/Logging_0580/tillsynsmail/A 27403-2025 tillsynsbegäran mail.docx", "A 27403-2025")</f>
        <v/>
      </c>
    </row>
    <row r="80" ht="15" customHeight="1">
      <c r="A80" t="inlineStr">
        <is>
          <t>A 56112-2025</t>
        </is>
      </c>
      <c r="B80" s="1" t="n">
        <v>45973.73625</v>
      </c>
      <c r="C80" s="1" t="n">
        <v>45976</v>
      </c>
      <c r="D80" t="inlineStr">
        <is>
          <t>ÖSTERGÖTLANDS LÄN</t>
        </is>
      </c>
      <c r="E80" t="inlineStr">
        <is>
          <t>LINKÖPING</t>
        </is>
      </c>
      <c r="G80" t="n">
        <v>0.6</v>
      </c>
      <c r="H80" t="n">
        <v>0</v>
      </c>
      <c r="I80" t="n">
        <v>0</v>
      </c>
      <c r="J80" t="n">
        <v>1</v>
      </c>
      <c r="K80" t="n">
        <v>0</v>
      </c>
      <c r="L80" t="n">
        <v>0</v>
      </c>
      <c r="M80" t="n">
        <v>0</v>
      </c>
      <c r="N80" t="n">
        <v>0</v>
      </c>
      <c r="O80" t="n">
        <v>1</v>
      </c>
      <c r="P80" t="n">
        <v>0</v>
      </c>
      <c r="Q80" t="n">
        <v>1</v>
      </c>
      <c r="R80" s="2" t="inlineStr">
        <is>
          <t>Solvända</t>
        </is>
      </c>
      <c r="S80">
        <f>HYPERLINK("https://klasma.github.io/Logging_0580/artfynd/A 56112-2025 artfynd.xlsx", "A 56112-2025")</f>
        <v/>
      </c>
      <c r="T80">
        <f>HYPERLINK("https://klasma.github.io/Logging_0580/kartor/A 56112-2025 karta.png", "A 56112-2025")</f>
        <v/>
      </c>
      <c r="V80">
        <f>HYPERLINK("https://klasma.github.io/Logging_0580/klagomål/A 56112-2025 FSC-klagomål.docx", "A 56112-2025")</f>
        <v/>
      </c>
      <c r="W80">
        <f>HYPERLINK("https://klasma.github.io/Logging_0580/klagomålsmail/A 56112-2025 FSC-klagomål mail.docx", "A 56112-2025")</f>
        <v/>
      </c>
      <c r="X80">
        <f>HYPERLINK("https://klasma.github.io/Logging_0580/tillsyn/A 56112-2025 tillsynsbegäran.docx", "A 56112-2025")</f>
        <v/>
      </c>
      <c r="Y80">
        <f>HYPERLINK("https://klasma.github.io/Logging_0580/tillsynsmail/A 56112-2025 tillsynsbegäran mail.docx", "A 56112-2025")</f>
        <v/>
      </c>
    </row>
    <row r="81" ht="15" customHeight="1">
      <c r="A81" t="inlineStr">
        <is>
          <t>A 48347-2025</t>
        </is>
      </c>
      <c r="B81" s="1" t="n">
        <v>45932</v>
      </c>
      <c r="C81" s="1" t="n">
        <v>45976</v>
      </c>
      <c r="D81" t="inlineStr">
        <is>
          <t>ÖSTERGÖTLANDS LÄN</t>
        </is>
      </c>
      <c r="E81" t="inlineStr">
        <is>
          <t>LINKÖPING</t>
        </is>
      </c>
      <c r="F81" t="inlineStr">
        <is>
          <t>Övriga Aktiebolag</t>
        </is>
      </c>
      <c r="G81" t="n">
        <v>0.9</v>
      </c>
      <c r="H81" t="n">
        <v>0</v>
      </c>
      <c r="I81" t="n">
        <v>0</v>
      </c>
      <c r="J81" t="n">
        <v>1</v>
      </c>
      <c r="K81" t="n">
        <v>0</v>
      </c>
      <c r="L81" t="n">
        <v>0</v>
      </c>
      <c r="M81" t="n">
        <v>0</v>
      </c>
      <c r="N81" t="n">
        <v>0</v>
      </c>
      <c r="O81" t="n">
        <v>1</v>
      </c>
      <c r="P81" t="n">
        <v>0</v>
      </c>
      <c r="Q81" t="n">
        <v>1</v>
      </c>
      <c r="R81" s="2" t="inlineStr">
        <is>
          <t>Igelkott</t>
        </is>
      </c>
      <c r="S81">
        <f>HYPERLINK("https://klasma.github.io/Logging_0580/artfynd/A 48347-2025 artfynd.xlsx", "A 48347-2025")</f>
        <v/>
      </c>
      <c r="T81">
        <f>HYPERLINK("https://klasma.github.io/Logging_0580/kartor/A 48347-2025 karta.png", "A 48347-2025")</f>
        <v/>
      </c>
      <c r="V81">
        <f>HYPERLINK("https://klasma.github.io/Logging_0580/klagomål/A 48347-2025 FSC-klagomål.docx", "A 48347-2025")</f>
        <v/>
      </c>
      <c r="W81">
        <f>HYPERLINK("https://klasma.github.io/Logging_0580/klagomålsmail/A 48347-2025 FSC-klagomål mail.docx", "A 48347-2025")</f>
        <v/>
      </c>
      <c r="X81">
        <f>HYPERLINK("https://klasma.github.io/Logging_0580/tillsyn/A 48347-2025 tillsynsbegäran.docx", "A 48347-2025")</f>
        <v/>
      </c>
      <c r="Y81">
        <f>HYPERLINK("https://klasma.github.io/Logging_0580/tillsynsmail/A 48347-2025 tillsynsbegäran mail.docx", "A 48347-2025")</f>
        <v/>
      </c>
    </row>
    <row r="82" ht="15" customHeight="1">
      <c r="A82" t="inlineStr">
        <is>
          <t>A 48353-2025</t>
        </is>
      </c>
      <c r="B82" s="1" t="n">
        <v>45932</v>
      </c>
      <c r="C82" s="1" t="n">
        <v>45976</v>
      </c>
      <c r="D82" t="inlineStr">
        <is>
          <t>ÖSTERGÖTLANDS LÄN</t>
        </is>
      </c>
      <c r="E82" t="inlineStr">
        <is>
          <t>LINKÖPING</t>
        </is>
      </c>
      <c r="F82" t="inlineStr">
        <is>
          <t>Övriga Aktiebolag</t>
        </is>
      </c>
      <c r="G82" t="n">
        <v>4.5</v>
      </c>
      <c r="H82" t="n">
        <v>1</v>
      </c>
      <c r="I82" t="n">
        <v>0</v>
      </c>
      <c r="J82" t="n">
        <v>1</v>
      </c>
      <c r="K82" t="n">
        <v>0</v>
      </c>
      <c r="L82" t="n">
        <v>0</v>
      </c>
      <c r="M82" t="n">
        <v>0</v>
      </c>
      <c r="N82" t="n">
        <v>0</v>
      </c>
      <c r="O82" t="n">
        <v>1</v>
      </c>
      <c r="P82" t="n">
        <v>0</v>
      </c>
      <c r="Q82" t="n">
        <v>1</v>
      </c>
      <c r="R82" s="2" t="inlineStr">
        <is>
          <t>Entita</t>
        </is>
      </c>
      <c r="S82">
        <f>HYPERLINK("https://klasma.github.io/Logging_0580/artfynd/A 48353-2025 artfynd.xlsx", "A 48353-2025")</f>
        <v/>
      </c>
      <c r="T82">
        <f>HYPERLINK("https://klasma.github.io/Logging_0580/kartor/A 48353-2025 karta.png", "A 48353-2025")</f>
        <v/>
      </c>
      <c r="V82">
        <f>HYPERLINK("https://klasma.github.io/Logging_0580/klagomål/A 48353-2025 FSC-klagomål.docx", "A 48353-2025")</f>
        <v/>
      </c>
      <c r="W82">
        <f>HYPERLINK("https://klasma.github.io/Logging_0580/klagomålsmail/A 48353-2025 FSC-klagomål mail.docx", "A 48353-2025")</f>
        <v/>
      </c>
      <c r="X82">
        <f>HYPERLINK("https://klasma.github.io/Logging_0580/tillsyn/A 48353-2025 tillsynsbegäran.docx", "A 48353-2025")</f>
        <v/>
      </c>
      <c r="Y82">
        <f>HYPERLINK("https://klasma.github.io/Logging_0580/tillsynsmail/A 48353-2025 tillsynsbegäran mail.docx", "A 48353-2025")</f>
        <v/>
      </c>
      <c r="Z82">
        <f>HYPERLINK("https://klasma.github.io/Logging_0580/fåglar/A 48353-2025 prioriterade fågelarter.docx", "A 48353-2025")</f>
        <v/>
      </c>
    </row>
    <row r="83" ht="15" customHeight="1">
      <c r="A83" t="inlineStr">
        <is>
          <t>A 48273-2025</t>
        </is>
      </c>
      <c r="B83" s="1" t="n">
        <v>45932</v>
      </c>
      <c r="C83" s="1" t="n">
        <v>45976</v>
      </c>
      <c r="D83" t="inlineStr">
        <is>
          <t>ÖSTERGÖTLANDS LÄN</t>
        </is>
      </c>
      <c r="E83" t="inlineStr">
        <is>
          <t>LINKÖPING</t>
        </is>
      </c>
      <c r="F83" t="inlineStr">
        <is>
          <t>Övriga Aktiebolag</t>
        </is>
      </c>
      <c r="G83" t="n">
        <v>4.6</v>
      </c>
      <c r="H83" t="n">
        <v>0</v>
      </c>
      <c r="I83" t="n">
        <v>0</v>
      </c>
      <c r="J83" t="n">
        <v>1</v>
      </c>
      <c r="K83" t="n">
        <v>0</v>
      </c>
      <c r="L83" t="n">
        <v>0</v>
      </c>
      <c r="M83" t="n">
        <v>0</v>
      </c>
      <c r="N83" t="n">
        <v>0</v>
      </c>
      <c r="O83" t="n">
        <v>1</v>
      </c>
      <c r="P83" t="n">
        <v>0</v>
      </c>
      <c r="Q83" t="n">
        <v>1</v>
      </c>
      <c r="R83" s="2" t="inlineStr">
        <is>
          <t>Barrviolspindling</t>
        </is>
      </c>
      <c r="S83">
        <f>HYPERLINK("https://klasma.github.io/Logging_0580/artfynd/A 48273-2025 artfynd.xlsx", "A 48273-2025")</f>
        <v/>
      </c>
      <c r="T83">
        <f>HYPERLINK("https://klasma.github.io/Logging_0580/kartor/A 48273-2025 karta.png", "A 48273-2025")</f>
        <v/>
      </c>
      <c r="V83">
        <f>HYPERLINK("https://klasma.github.io/Logging_0580/klagomål/A 48273-2025 FSC-klagomål.docx", "A 48273-2025")</f>
        <v/>
      </c>
      <c r="W83">
        <f>HYPERLINK("https://klasma.github.io/Logging_0580/klagomålsmail/A 48273-2025 FSC-klagomål mail.docx", "A 48273-2025")</f>
        <v/>
      </c>
      <c r="X83">
        <f>HYPERLINK("https://klasma.github.io/Logging_0580/tillsyn/A 48273-2025 tillsynsbegäran.docx", "A 48273-2025")</f>
        <v/>
      </c>
      <c r="Y83">
        <f>HYPERLINK("https://klasma.github.io/Logging_0580/tillsynsmail/A 48273-2025 tillsynsbegäran mail.docx", "A 48273-2025")</f>
        <v/>
      </c>
    </row>
    <row r="84" ht="15" customHeight="1">
      <c r="A84" t="inlineStr">
        <is>
          <t>A 48298-2025</t>
        </is>
      </c>
      <c r="B84" s="1" t="n">
        <v>45932</v>
      </c>
      <c r="C84" s="1" t="n">
        <v>45976</v>
      </c>
      <c r="D84" t="inlineStr">
        <is>
          <t>ÖSTERGÖTLANDS LÄN</t>
        </is>
      </c>
      <c r="E84" t="inlineStr">
        <is>
          <t>LINKÖPING</t>
        </is>
      </c>
      <c r="F84" t="inlineStr">
        <is>
          <t>Övriga Aktiebolag</t>
        </is>
      </c>
      <c r="G84" t="n">
        <v>1.7</v>
      </c>
      <c r="H84" t="n">
        <v>0</v>
      </c>
      <c r="I84" t="n">
        <v>1</v>
      </c>
      <c r="J84" t="n">
        <v>0</v>
      </c>
      <c r="K84" t="n">
        <v>0</v>
      </c>
      <c r="L84" t="n">
        <v>0</v>
      </c>
      <c r="M84" t="n">
        <v>0</v>
      </c>
      <c r="N84" t="n">
        <v>0</v>
      </c>
      <c r="O84" t="n">
        <v>0</v>
      </c>
      <c r="P84" t="n">
        <v>0</v>
      </c>
      <c r="Q84" t="n">
        <v>1</v>
      </c>
      <c r="R84" s="2" t="inlineStr">
        <is>
          <t>Västlig hakmossa</t>
        </is>
      </c>
      <c r="S84">
        <f>HYPERLINK("https://klasma.github.io/Logging_0580/artfynd/A 48298-2025 artfynd.xlsx", "A 48298-2025")</f>
        <v/>
      </c>
      <c r="T84">
        <f>HYPERLINK("https://klasma.github.io/Logging_0580/kartor/A 48298-2025 karta.png", "A 48298-2025")</f>
        <v/>
      </c>
      <c r="V84">
        <f>HYPERLINK("https://klasma.github.io/Logging_0580/klagomål/A 48298-2025 FSC-klagomål.docx", "A 48298-2025")</f>
        <v/>
      </c>
      <c r="W84">
        <f>HYPERLINK("https://klasma.github.io/Logging_0580/klagomålsmail/A 48298-2025 FSC-klagomål mail.docx", "A 48298-2025")</f>
        <v/>
      </c>
      <c r="X84">
        <f>HYPERLINK("https://klasma.github.io/Logging_0580/tillsyn/A 48298-2025 tillsynsbegäran.docx", "A 48298-2025")</f>
        <v/>
      </c>
      <c r="Y84">
        <f>HYPERLINK("https://klasma.github.io/Logging_0580/tillsynsmail/A 48298-2025 tillsynsbegäran mail.docx", "A 48298-2025")</f>
        <v/>
      </c>
    </row>
    <row r="85" ht="15" customHeight="1">
      <c r="A85" t="inlineStr">
        <is>
          <t>A 36723-2023</t>
        </is>
      </c>
      <c r="B85" s="1" t="n">
        <v>45153</v>
      </c>
      <c r="C85" s="1" t="n">
        <v>45976</v>
      </c>
      <c r="D85" t="inlineStr">
        <is>
          <t>ÖSTERGÖTLANDS LÄN</t>
        </is>
      </c>
      <c r="E85" t="inlineStr">
        <is>
          <t>LINKÖPING</t>
        </is>
      </c>
      <c r="F85" t="inlineStr">
        <is>
          <t>Allmännings- och besparingsskogar</t>
        </is>
      </c>
      <c r="G85" t="n">
        <v>9.9</v>
      </c>
      <c r="H85" t="n">
        <v>0</v>
      </c>
      <c r="I85" t="n">
        <v>0</v>
      </c>
      <c r="J85" t="n">
        <v>0</v>
      </c>
      <c r="K85" t="n">
        <v>1</v>
      </c>
      <c r="L85" t="n">
        <v>0</v>
      </c>
      <c r="M85" t="n">
        <v>0</v>
      </c>
      <c r="N85" t="n">
        <v>0</v>
      </c>
      <c r="O85" t="n">
        <v>1</v>
      </c>
      <c r="P85" t="n">
        <v>1</v>
      </c>
      <c r="Q85" t="n">
        <v>1</v>
      </c>
      <c r="R85" s="2" t="inlineStr">
        <is>
          <t>Bitter taggsvamp</t>
        </is>
      </c>
      <c r="S85">
        <f>HYPERLINK("https://klasma.github.io/Logging_0580/artfynd/A 36723-2023 artfynd.xlsx", "A 36723-2023")</f>
        <v/>
      </c>
      <c r="T85">
        <f>HYPERLINK("https://klasma.github.io/Logging_0580/kartor/A 36723-2023 karta.png", "A 36723-2023")</f>
        <v/>
      </c>
      <c r="V85">
        <f>HYPERLINK("https://klasma.github.io/Logging_0580/klagomål/A 36723-2023 FSC-klagomål.docx", "A 36723-2023")</f>
        <v/>
      </c>
      <c r="W85">
        <f>HYPERLINK("https://klasma.github.io/Logging_0580/klagomålsmail/A 36723-2023 FSC-klagomål mail.docx", "A 36723-2023")</f>
        <v/>
      </c>
      <c r="X85">
        <f>HYPERLINK("https://klasma.github.io/Logging_0580/tillsyn/A 36723-2023 tillsynsbegäran.docx", "A 36723-2023")</f>
        <v/>
      </c>
      <c r="Y85">
        <f>HYPERLINK("https://klasma.github.io/Logging_0580/tillsynsmail/A 36723-2023 tillsynsbegäran mail.docx", "A 36723-2023")</f>
        <v/>
      </c>
    </row>
    <row r="86" ht="15" customHeight="1">
      <c r="A86" t="inlineStr">
        <is>
          <t>A 3395-2023</t>
        </is>
      </c>
      <c r="B86" s="1" t="n">
        <v>44949</v>
      </c>
      <c r="C86" s="1" t="n">
        <v>45976</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19103-2021</t>
        </is>
      </c>
      <c r="B87" s="1" t="n">
        <v>44308</v>
      </c>
      <c r="C87" s="1" t="n">
        <v>45976</v>
      </c>
      <c r="D87" t="inlineStr">
        <is>
          <t>ÖSTERGÖTLANDS LÄN</t>
        </is>
      </c>
      <c r="E87" t="inlineStr">
        <is>
          <t>LINKÖPING</t>
        </is>
      </c>
      <c r="G87" t="n">
        <v>4.7</v>
      </c>
      <c r="H87" t="n">
        <v>0</v>
      </c>
      <c r="I87" t="n">
        <v>0</v>
      </c>
      <c r="J87" t="n">
        <v>1</v>
      </c>
      <c r="K87" t="n">
        <v>0</v>
      </c>
      <c r="L87" t="n">
        <v>0</v>
      </c>
      <c r="M87" t="n">
        <v>0</v>
      </c>
      <c r="N87" t="n">
        <v>0</v>
      </c>
      <c r="O87" t="n">
        <v>1</v>
      </c>
      <c r="P87" t="n">
        <v>0</v>
      </c>
      <c r="Q87" t="n">
        <v>1</v>
      </c>
      <c r="R87" s="2" t="inlineStr">
        <is>
          <t>Tallticka</t>
        </is>
      </c>
      <c r="S87">
        <f>HYPERLINK("https://klasma.github.io/Logging_0580/artfynd/A 19103-2021 artfynd.xlsx", "A 19103-2021")</f>
        <v/>
      </c>
      <c r="T87">
        <f>HYPERLINK("https://klasma.github.io/Logging_0580/kartor/A 19103-2021 karta.png", "A 19103-2021")</f>
        <v/>
      </c>
      <c r="V87">
        <f>HYPERLINK("https://klasma.github.io/Logging_0580/klagomål/A 19103-2021 FSC-klagomål.docx", "A 19103-2021")</f>
        <v/>
      </c>
      <c r="W87">
        <f>HYPERLINK("https://klasma.github.io/Logging_0580/klagomålsmail/A 19103-2021 FSC-klagomål mail.docx", "A 19103-2021")</f>
        <v/>
      </c>
      <c r="X87">
        <f>HYPERLINK("https://klasma.github.io/Logging_0580/tillsyn/A 19103-2021 tillsynsbegäran.docx", "A 19103-2021")</f>
        <v/>
      </c>
      <c r="Y87">
        <f>HYPERLINK("https://klasma.github.io/Logging_0580/tillsynsmail/A 19103-2021 tillsynsbegäran mail.docx", "A 19103-2021")</f>
        <v/>
      </c>
    </row>
    <row r="88" ht="15" customHeight="1">
      <c r="A88" t="inlineStr">
        <is>
          <t>A 38881-2021</t>
        </is>
      </c>
      <c r="B88" s="1" t="n">
        <v>44411.46893518518</v>
      </c>
      <c r="C88" s="1" t="n">
        <v>45976</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45976</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5008-2021</t>
        </is>
      </c>
      <c r="B90" s="1" t="n">
        <v>44228</v>
      </c>
      <c r="C90" s="1" t="n">
        <v>45976</v>
      </c>
      <c r="D90" t="inlineStr">
        <is>
          <t>ÖSTERGÖTLANDS LÄN</t>
        </is>
      </c>
      <c r="E90" t="inlineStr">
        <is>
          <t>LINKÖPING</t>
        </is>
      </c>
      <c r="F90" t="inlineStr">
        <is>
          <t>Övriga Aktiebolag</t>
        </is>
      </c>
      <c r="G90" t="n">
        <v>0.3</v>
      </c>
      <c r="H90" t="n">
        <v>0</v>
      </c>
      <c r="I90" t="n">
        <v>0</v>
      </c>
      <c r="J90" t="n">
        <v>0</v>
      </c>
      <c r="K90" t="n">
        <v>0</v>
      </c>
      <c r="L90" t="n">
        <v>0</v>
      </c>
      <c r="M90" t="n">
        <v>0</v>
      </c>
      <c r="N90" t="n">
        <v>0</v>
      </c>
      <c r="O90" t="n">
        <v>0</v>
      </c>
      <c r="P90" t="n">
        <v>0</v>
      </c>
      <c r="Q90" t="n">
        <v>0</v>
      </c>
      <c r="R90" s="2" t="inlineStr"/>
    </row>
    <row r="91" ht="15" customHeight="1">
      <c r="A91" t="inlineStr">
        <is>
          <t>A 56239-2021</t>
        </is>
      </c>
      <c r="B91" s="1" t="n">
        <v>44478</v>
      </c>
      <c r="C91" s="1" t="n">
        <v>45976</v>
      </c>
      <c r="D91" t="inlineStr">
        <is>
          <t>ÖSTERGÖTLANDS LÄN</t>
        </is>
      </c>
      <c r="E91" t="inlineStr">
        <is>
          <t>LINKÖPING</t>
        </is>
      </c>
      <c r="F91" t="inlineStr">
        <is>
          <t>Övriga Aktiebolag</t>
        </is>
      </c>
      <c r="G91" t="n">
        <v>3</v>
      </c>
      <c r="H91" t="n">
        <v>0</v>
      </c>
      <c r="I91" t="n">
        <v>0</v>
      </c>
      <c r="J91" t="n">
        <v>0</v>
      </c>
      <c r="K91" t="n">
        <v>0</v>
      </c>
      <c r="L91" t="n">
        <v>0</v>
      </c>
      <c r="M91" t="n">
        <v>0</v>
      </c>
      <c r="N91" t="n">
        <v>0</v>
      </c>
      <c r="O91" t="n">
        <v>0</v>
      </c>
      <c r="P91" t="n">
        <v>0</v>
      </c>
      <c r="Q91" t="n">
        <v>0</v>
      </c>
      <c r="R91" s="2" t="inlineStr"/>
    </row>
    <row r="92" ht="15" customHeight="1">
      <c r="A92" t="inlineStr">
        <is>
          <t>A 7289-2021</t>
        </is>
      </c>
      <c r="B92" s="1" t="n">
        <v>44238</v>
      </c>
      <c r="C92" s="1" t="n">
        <v>45976</v>
      </c>
      <c r="D92" t="inlineStr">
        <is>
          <t>ÖSTERGÖTLANDS LÄN</t>
        </is>
      </c>
      <c r="E92" t="inlineStr">
        <is>
          <t>LINKÖPING</t>
        </is>
      </c>
      <c r="G92" t="n">
        <v>0.7</v>
      </c>
      <c r="H92" t="n">
        <v>0</v>
      </c>
      <c r="I92" t="n">
        <v>0</v>
      </c>
      <c r="J92" t="n">
        <v>0</v>
      </c>
      <c r="K92" t="n">
        <v>0</v>
      </c>
      <c r="L92" t="n">
        <v>0</v>
      </c>
      <c r="M92" t="n">
        <v>0</v>
      </c>
      <c r="N92" t="n">
        <v>0</v>
      </c>
      <c r="O92" t="n">
        <v>0</v>
      </c>
      <c r="P92" t="n">
        <v>0</v>
      </c>
      <c r="Q92" t="n">
        <v>0</v>
      </c>
      <c r="R92" s="2" t="inlineStr"/>
    </row>
    <row r="93" ht="15" customHeight="1">
      <c r="A93" t="inlineStr">
        <is>
          <t>A 398-2021</t>
        </is>
      </c>
      <c r="B93" s="1" t="n">
        <v>44201</v>
      </c>
      <c r="C93" s="1" t="n">
        <v>45976</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6958-2021</t>
        </is>
      </c>
      <c r="B94" s="1" t="n">
        <v>44237</v>
      </c>
      <c r="C94" s="1" t="n">
        <v>45976</v>
      </c>
      <c r="D94" t="inlineStr">
        <is>
          <t>ÖSTERGÖTLANDS LÄN</t>
        </is>
      </c>
      <c r="E94" t="inlineStr">
        <is>
          <t>LINKÖPING</t>
        </is>
      </c>
      <c r="G94" t="n">
        <v>0.6</v>
      </c>
      <c r="H94" t="n">
        <v>0</v>
      </c>
      <c r="I94" t="n">
        <v>0</v>
      </c>
      <c r="J94" t="n">
        <v>0</v>
      </c>
      <c r="K94" t="n">
        <v>0</v>
      </c>
      <c r="L94" t="n">
        <v>0</v>
      </c>
      <c r="M94" t="n">
        <v>0</v>
      </c>
      <c r="N94" t="n">
        <v>0</v>
      </c>
      <c r="O94" t="n">
        <v>0</v>
      </c>
      <c r="P94" t="n">
        <v>0</v>
      </c>
      <c r="Q94" t="n">
        <v>0</v>
      </c>
      <c r="R94" s="2" t="inlineStr"/>
    </row>
    <row r="95" ht="15" customHeight="1">
      <c r="A95" t="inlineStr">
        <is>
          <t>A 67322-2021</t>
        </is>
      </c>
      <c r="B95" s="1" t="n">
        <v>44523</v>
      </c>
      <c r="C95" s="1" t="n">
        <v>45976</v>
      </c>
      <c r="D95" t="inlineStr">
        <is>
          <t>ÖSTERGÖTLANDS LÄN</t>
        </is>
      </c>
      <c r="E95" t="inlineStr">
        <is>
          <t>LINKÖPING</t>
        </is>
      </c>
      <c r="G95" t="n">
        <v>0.8</v>
      </c>
      <c r="H95" t="n">
        <v>0</v>
      </c>
      <c r="I95" t="n">
        <v>0</v>
      </c>
      <c r="J95" t="n">
        <v>0</v>
      </c>
      <c r="K95" t="n">
        <v>0</v>
      </c>
      <c r="L95" t="n">
        <v>0</v>
      </c>
      <c r="M95" t="n">
        <v>0</v>
      </c>
      <c r="N95" t="n">
        <v>0</v>
      </c>
      <c r="O95" t="n">
        <v>0</v>
      </c>
      <c r="P95" t="n">
        <v>0</v>
      </c>
      <c r="Q95" t="n">
        <v>0</v>
      </c>
      <c r="R95" s="2" t="inlineStr"/>
    </row>
    <row r="96" ht="15" customHeight="1">
      <c r="A96" t="inlineStr">
        <is>
          <t>A 7840-2022</t>
        </is>
      </c>
      <c r="B96" s="1" t="n">
        <v>44608</v>
      </c>
      <c r="C96" s="1" t="n">
        <v>45976</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40506-2021</t>
        </is>
      </c>
      <c r="B97" s="1" t="n">
        <v>44420</v>
      </c>
      <c r="C97" s="1" t="n">
        <v>45976</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64269-2021</t>
        </is>
      </c>
      <c r="B98" s="1" t="n">
        <v>44510</v>
      </c>
      <c r="C98" s="1" t="n">
        <v>45976</v>
      </c>
      <c r="D98" t="inlineStr">
        <is>
          <t>ÖSTERGÖTLANDS LÄN</t>
        </is>
      </c>
      <c r="E98" t="inlineStr">
        <is>
          <t>LINKÖPING</t>
        </is>
      </c>
      <c r="G98" t="n">
        <v>1.9</v>
      </c>
      <c r="H98" t="n">
        <v>0</v>
      </c>
      <c r="I98" t="n">
        <v>0</v>
      </c>
      <c r="J98" t="n">
        <v>0</v>
      </c>
      <c r="K98" t="n">
        <v>0</v>
      </c>
      <c r="L98" t="n">
        <v>0</v>
      </c>
      <c r="M98" t="n">
        <v>0</v>
      </c>
      <c r="N98" t="n">
        <v>0</v>
      </c>
      <c r="O98" t="n">
        <v>0</v>
      </c>
      <c r="P98" t="n">
        <v>0</v>
      </c>
      <c r="Q98" t="n">
        <v>0</v>
      </c>
      <c r="R98" s="2" t="inlineStr"/>
    </row>
    <row r="99" ht="15" customHeight="1">
      <c r="A99" t="inlineStr">
        <is>
          <t>A 58407-2021</t>
        </is>
      </c>
      <c r="B99" s="1" t="n">
        <v>44488</v>
      </c>
      <c r="C99" s="1" t="n">
        <v>45976</v>
      </c>
      <c r="D99" t="inlineStr">
        <is>
          <t>ÖSTERGÖTLANDS LÄN</t>
        </is>
      </c>
      <c r="E99" t="inlineStr">
        <is>
          <t>LINKÖPING</t>
        </is>
      </c>
      <c r="G99" t="n">
        <v>1.1</v>
      </c>
      <c r="H99" t="n">
        <v>0</v>
      </c>
      <c r="I99" t="n">
        <v>0</v>
      </c>
      <c r="J99" t="n">
        <v>0</v>
      </c>
      <c r="K99" t="n">
        <v>0</v>
      </c>
      <c r="L99" t="n">
        <v>0</v>
      </c>
      <c r="M99" t="n">
        <v>0</v>
      </c>
      <c r="N99" t="n">
        <v>0</v>
      </c>
      <c r="O99" t="n">
        <v>0</v>
      </c>
      <c r="P99" t="n">
        <v>0</v>
      </c>
      <c r="Q99" t="n">
        <v>0</v>
      </c>
      <c r="R99" s="2" t="inlineStr"/>
    </row>
    <row r="100" ht="15" customHeight="1">
      <c r="A100" t="inlineStr">
        <is>
          <t>A 30800-2022</t>
        </is>
      </c>
      <c r="B100" s="1" t="n">
        <v>44764.75119212963</v>
      </c>
      <c r="C100" s="1" t="n">
        <v>45976</v>
      </c>
      <c r="D100" t="inlineStr">
        <is>
          <t>ÖSTERGÖTLANDS LÄN</t>
        </is>
      </c>
      <c r="E100" t="inlineStr">
        <is>
          <t>LINKÖPING</t>
        </is>
      </c>
      <c r="G100" t="n">
        <v>0.9</v>
      </c>
      <c r="H100" t="n">
        <v>0</v>
      </c>
      <c r="I100" t="n">
        <v>0</v>
      </c>
      <c r="J100" t="n">
        <v>0</v>
      </c>
      <c r="K100" t="n">
        <v>0</v>
      </c>
      <c r="L100" t="n">
        <v>0</v>
      </c>
      <c r="M100" t="n">
        <v>0</v>
      </c>
      <c r="N100" t="n">
        <v>0</v>
      </c>
      <c r="O100" t="n">
        <v>0</v>
      </c>
      <c r="P100" t="n">
        <v>0</v>
      </c>
      <c r="Q100" t="n">
        <v>0</v>
      </c>
      <c r="R100" s="2" t="inlineStr"/>
    </row>
    <row r="101" ht="15" customHeight="1">
      <c r="A101" t="inlineStr">
        <is>
          <t>A 40635-2021</t>
        </is>
      </c>
      <c r="B101" s="1" t="n">
        <v>44420</v>
      </c>
      <c r="C101" s="1" t="n">
        <v>45976</v>
      </c>
      <c r="D101" t="inlineStr">
        <is>
          <t>ÖSTERGÖTLANDS LÄN</t>
        </is>
      </c>
      <c r="E101" t="inlineStr">
        <is>
          <t>LINKÖPING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49018-2022</t>
        </is>
      </c>
      <c r="B102" s="1" t="n">
        <v>44855</v>
      </c>
      <c r="C102" s="1" t="n">
        <v>45976</v>
      </c>
      <c r="D102" t="inlineStr">
        <is>
          <t>ÖSTERGÖTLANDS LÄN</t>
        </is>
      </c>
      <c r="E102" t="inlineStr">
        <is>
          <t>LINKÖPING</t>
        </is>
      </c>
      <c r="F102" t="inlineStr">
        <is>
          <t>Kommuner</t>
        </is>
      </c>
      <c r="G102" t="n">
        <v>0.4</v>
      </c>
      <c r="H102" t="n">
        <v>0</v>
      </c>
      <c r="I102" t="n">
        <v>0</v>
      </c>
      <c r="J102" t="n">
        <v>0</v>
      </c>
      <c r="K102" t="n">
        <v>0</v>
      </c>
      <c r="L102" t="n">
        <v>0</v>
      </c>
      <c r="M102" t="n">
        <v>0</v>
      </c>
      <c r="N102" t="n">
        <v>0</v>
      </c>
      <c r="O102" t="n">
        <v>0</v>
      </c>
      <c r="P102" t="n">
        <v>0</v>
      </c>
      <c r="Q102" t="n">
        <v>0</v>
      </c>
      <c r="R102" s="2" t="inlineStr"/>
    </row>
    <row r="103" ht="15" customHeight="1">
      <c r="A103" t="inlineStr">
        <is>
          <t>A 1581-2022</t>
        </is>
      </c>
      <c r="B103" s="1" t="n">
        <v>44573</v>
      </c>
      <c r="C103" s="1" t="n">
        <v>45976</v>
      </c>
      <c r="D103" t="inlineStr">
        <is>
          <t>ÖSTERGÖTLANDS LÄN</t>
        </is>
      </c>
      <c r="E103" t="inlineStr">
        <is>
          <t>LINKÖPING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46234-2022</t>
        </is>
      </c>
      <c r="B104" s="1" t="n">
        <v>44846</v>
      </c>
      <c r="C104" s="1" t="n">
        <v>45976</v>
      </c>
      <c r="D104" t="inlineStr">
        <is>
          <t>ÖSTERGÖTLANDS LÄN</t>
        </is>
      </c>
      <c r="E104" t="inlineStr">
        <is>
          <t>LINKÖPING</t>
        </is>
      </c>
      <c r="G104" t="n">
        <v>3.3</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45976</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45976</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45976</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16715-2021</t>
        </is>
      </c>
      <c r="B108" s="1" t="n">
        <v>44294</v>
      </c>
      <c r="C108" s="1" t="n">
        <v>45976</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47462-2022</t>
        </is>
      </c>
      <c r="B109" s="1" t="n">
        <v>44853.62758101852</v>
      </c>
      <c r="C109" s="1" t="n">
        <v>45976</v>
      </c>
      <c r="D109" t="inlineStr">
        <is>
          <t>ÖSTERGÖTLANDS LÄN</t>
        </is>
      </c>
      <c r="E109" t="inlineStr">
        <is>
          <t>LINKÖPING</t>
        </is>
      </c>
      <c r="G109" t="n">
        <v>1.6</v>
      </c>
      <c r="H109" t="n">
        <v>0</v>
      </c>
      <c r="I109" t="n">
        <v>0</v>
      </c>
      <c r="J109" t="n">
        <v>0</v>
      </c>
      <c r="K109" t="n">
        <v>0</v>
      </c>
      <c r="L109" t="n">
        <v>0</v>
      </c>
      <c r="M109" t="n">
        <v>0</v>
      </c>
      <c r="N109" t="n">
        <v>0</v>
      </c>
      <c r="O109" t="n">
        <v>0</v>
      </c>
      <c r="P109" t="n">
        <v>0</v>
      </c>
      <c r="Q109" t="n">
        <v>0</v>
      </c>
      <c r="R109" s="2" t="inlineStr"/>
    </row>
    <row r="110" ht="15" customHeight="1">
      <c r="A110" t="inlineStr">
        <is>
          <t>A 32433-2022</t>
        </is>
      </c>
      <c r="B110" s="1" t="n">
        <v>44782.48431712963</v>
      </c>
      <c r="C110" s="1" t="n">
        <v>45976</v>
      </c>
      <c r="D110" t="inlineStr">
        <is>
          <t>ÖSTERGÖTLANDS LÄN</t>
        </is>
      </c>
      <c r="E110" t="inlineStr">
        <is>
          <t>LINKÖPING</t>
        </is>
      </c>
      <c r="G110" t="n">
        <v>11.3</v>
      </c>
      <c r="H110" t="n">
        <v>0</v>
      </c>
      <c r="I110" t="n">
        <v>0</v>
      </c>
      <c r="J110" t="n">
        <v>0</v>
      </c>
      <c r="K110" t="n">
        <v>0</v>
      </c>
      <c r="L110" t="n">
        <v>0</v>
      </c>
      <c r="M110" t="n">
        <v>0</v>
      </c>
      <c r="N110" t="n">
        <v>0</v>
      </c>
      <c r="O110" t="n">
        <v>0</v>
      </c>
      <c r="P110" t="n">
        <v>0</v>
      </c>
      <c r="Q110" t="n">
        <v>0</v>
      </c>
      <c r="R110" s="2" t="inlineStr"/>
    </row>
    <row r="111" ht="15" customHeight="1">
      <c r="A111" t="inlineStr">
        <is>
          <t>A 38143-2021</t>
        </is>
      </c>
      <c r="B111" s="1" t="n">
        <v>44405</v>
      </c>
      <c r="C111" s="1" t="n">
        <v>45976</v>
      </c>
      <c r="D111" t="inlineStr">
        <is>
          <t>ÖSTERGÖTLANDS LÄN</t>
        </is>
      </c>
      <c r="E111" t="inlineStr">
        <is>
          <t>LINKÖPING</t>
        </is>
      </c>
      <c r="G111" t="n">
        <v>4.1</v>
      </c>
      <c r="H111" t="n">
        <v>0</v>
      </c>
      <c r="I111" t="n">
        <v>0</v>
      </c>
      <c r="J111" t="n">
        <v>0</v>
      </c>
      <c r="K111" t="n">
        <v>0</v>
      </c>
      <c r="L111" t="n">
        <v>0</v>
      </c>
      <c r="M111" t="n">
        <v>0</v>
      </c>
      <c r="N111" t="n">
        <v>0</v>
      </c>
      <c r="O111" t="n">
        <v>0</v>
      </c>
      <c r="P111" t="n">
        <v>0</v>
      </c>
      <c r="Q111" t="n">
        <v>0</v>
      </c>
      <c r="R111" s="2" t="inlineStr"/>
    </row>
    <row r="112" ht="15" customHeight="1">
      <c r="A112" t="inlineStr">
        <is>
          <t>A 38254-2021</t>
        </is>
      </c>
      <c r="B112" s="1" t="n">
        <v>44405</v>
      </c>
      <c r="C112" s="1" t="n">
        <v>45976</v>
      </c>
      <c r="D112" t="inlineStr">
        <is>
          <t>ÖSTERGÖTLANDS LÄN</t>
        </is>
      </c>
      <c r="E112" t="inlineStr">
        <is>
          <t>LINKÖPING</t>
        </is>
      </c>
      <c r="G112" t="n">
        <v>1.9</v>
      </c>
      <c r="H112" t="n">
        <v>0</v>
      </c>
      <c r="I112" t="n">
        <v>0</v>
      </c>
      <c r="J112" t="n">
        <v>0</v>
      </c>
      <c r="K112" t="n">
        <v>0</v>
      </c>
      <c r="L112" t="n">
        <v>0</v>
      </c>
      <c r="M112" t="n">
        <v>0</v>
      </c>
      <c r="N112" t="n">
        <v>0</v>
      </c>
      <c r="O112" t="n">
        <v>0</v>
      </c>
      <c r="P112" t="n">
        <v>0</v>
      </c>
      <c r="Q112" t="n">
        <v>0</v>
      </c>
      <c r="R112" s="2" t="inlineStr"/>
    </row>
    <row r="113" ht="15" customHeight="1">
      <c r="A113" t="inlineStr">
        <is>
          <t>A 261-2021</t>
        </is>
      </c>
      <c r="B113" s="1" t="n">
        <v>44200</v>
      </c>
      <c r="C113" s="1" t="n">
        <v>45976</v>
      </c>
      <c r="D113" t="inlineStr">
        <is>
          <t>ÖSTERGÖTLANDS LÄN</t>
        </is>
      </c>
      <c r="E113" t="inlineStr">
        <is>
          <t>LINKÖPING</t>
        </is>
      </c>
      <c r="G113" t="n">
        <v>3.1</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45976</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45976</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45976</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45976</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45976</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45976</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45976</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45976</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45976</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45976</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45976</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45976</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45976</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45976</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45976</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45976</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45976</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45976</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45976</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45976</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45976</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29470-2022</t>
        </is>
      </c>
      <c r="B135" s="1" t="n">
        <v>44753</v>
      </c>
      <c r="C135" s="1" t="n">
        <v>45976</v>
      </c>
      <c r="D135" t="inlineStr">
        <is>
          <t>ÖSTERGÖTLANDS LÄN</t>
        </is>
      </c>
      <c r="E135" t="inlineStr">
        <is>
          <t>LINKÖPING</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45976</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45976</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45976</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45976</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45976</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45976</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45976</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45976</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384-2021</t>
        </is>
      </c>
      <c r="B144" s="1" t="n">
        <v>44201.57689814815</v>
      </c>
      <c r="C144" s="1" t="n">
        <v>45976</v>
      </c>
      <c r="D144" t="inlineStr">
        <is>
          <t>ÖSTERGÖTLANDS LÄN</t>
        </is>
      </c>
      <c r="E144" t="inlineStr">
        <is>
          <t>LINKÖPING</t>
        </is>
      </c>
      <c r="G144" t="n">
        <v>0.2</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45976</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45976</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45976</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65395-2021</t>
        </is>
      </c>
      <c r="B148" s="1" t="n">
        <v>44515</v>
      </c>
      <c r="C148" s="1" t="n">
        <v>45976</v>
      </c>
      <c r="D148" t="inlineStr">
        <is>
          <t>ÖSTERGÖTLANDS LÄN</t>
        </is>
      </c>
      <c r="E148" t="inlineStr">
        <is>
          <t>LINKÖPING</t>
        </is>
      </c>
      <c r="F148" t="inlineStr">
        <is>
          <t>Övriga statliga verk och myndigheter</t>
        </is>
      </c>
      <c r="G148" t="n">
        <v>0.7</v>
      </c>
      <c r="H148" t="n">
        <v>0</v>
      </c>
      <c r="I148" t="n">
        <v>0</v>
      </c>
      <c r="J148" t="n">
        <v>0</v>
      </c>
      <c r="K148" t="n">
        <v>0</v>
      </c>
      <c r="L148" t="n">
        <v>0</v>
      </c>
      <c r="M148" t="n">
        <v>0</v>
      </c>
      <c r="N148" t="n">
        <v>0</v>
      </c>
      <c r="O148" t="n">
        <v>0</v>
      </c>
      <c r="P148" t="n">
        <v>0</v>
      </c>
      <c r="Q148" t="n">
        <v>0</v>
      </c>
      <c r="R148" s="2" t="inlineStr"/>
    </row>
    <row r="149" ht="15" customHeight="1">
      <c r="A149" t="inlineStr">
        <is>
          <t>A 48016-2021</t>
        </is>
      </c>
      <c r="B149" s="1" t="n">
        <v>44449</v>
      </c>
      <c r="C149" s="1" t="n">
        <v>45976</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45976</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45976</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58266-2021</t>
        </is>
      </c>
      <c r="B152" s="1" t="n">
        <v>44487</v>
      </c>
      <c r="C152" s="1" t="n">
        <v>45976</v>
      </c>
      <c r="D152" t="inlineStr">
        <is>
          <t>ÖSTERGÖTLANDS LÄN</t>
        </is>
      </c>
      <c r="E152" t="inlineStr">
        <is>
          <t>LINKÖPING</t>
        </is>
      </c>
      <c r="F152" t="inlineStr">
        <is>
          <t>Övriga Aktiebolag</t>
        </is>
      </c>
      <c r="G152" t="n">
        <v>3.2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45976</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45976</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45976</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45976</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45976</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45976</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10951-2022</t>
        </is>
      </c>
      <c r="B159" s="1" t="n">
        <v>44627</v>
      </c>
      <c r="C159" s="1" t="n">
        <v>45976</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45976</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33134-2022</t>
        </is>
      </c>
      <c r="B161" s="1" t="n">
        <v>44785</v>
      </c>
      <c r="C161" s="1" t="n">
        <v>45976</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32255-2021</t>
        </is>
      </c>
      <c r="B162" s="1" t="n">
        <v>44371.45949074074</v>
      </c>
      <c r="C162" s="1" t="n">
        <v>45976</v>
      </c>
      <c r="D162" t="inlineStr">
        <is>
          <t>ÖSTERGÖTLANDS LÄN</t>
        </is>
      </c>
      <c r="E162" t="inlineStr">
        <is>
          <t>LINKÖPING</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13075-2022</t>
        </is>
      </c>
      <c r="B163" s="1" t="n">
        <v>44643</v>
      </c>
      <c r="C163" s="1" t="n">
        <v>45976</v>
      </c>
      <c r="D163" t="inlineStr">
        <is>
          <t>ÖSTERGÖTLANDS LÄN</t>
        </is>
      </c>
      <c r="E163" t="inlineStr">
        <is>
          <t>LINKÖPING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34486-2021</t>
        </is>
      </c>
      <c r="B164" s="1" t="n">
        <v>44382.29295138889</v>
      </c>
      <c r="C164" s="1" t="n">
        <v>45976</v>
      </c>
      <c r="D164" t="inlineStr">
        <is>
          <t>ÖSTERGÖTLANDS LÄN</t>
        </is>
      </c>
      <c r="E164" t="inlineStr">
        <is>
          <t>LINKÖPING</t>
        </is>
      </c>
      <c r="G164" t="n">
        <v>4.4</v>
      </c>
      <c r="H164" t="n">
        <v>0</v>
      </c>
      <c r="I164" t="n">
        <v>0</v>
      </c>
      <c r="J164" t="n">
        <v>0</v>
      </c>
      <c r="K164" t="n">
        <v>0</v>
      </c>
      <c r="L164" t="n">
        <v>0</v>
      </c>
      <c r="M164" t="n">
        <v>0</v>
      </c>
      <c r="N164" t="n">
        <v>0</v>
      </c>
      <c r="O164" t="n">
        <v>0</v>
      </c>
      <c r="P164" t="n">
        <v>0</v>
      </c>
      <c r="Q164" t="n">
        <v>0</v>
      </c>
      <c r="R164" s="2" t="inlineStr"/>
    </row>
    <row r="165" ht="15" customHeight="1">
      <c r="A165" t="inlineStr">
        <is>
          <t>A 38235-2022</t>
        </is>
      </c>
      <c r="B165" s="1" t="n">
        <v>44812</v>
      </c>
      <c r="C165" s="1" t="n">
        <v>45976</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34880-2022</t>
        </is>
      </c>
      <c r="B166" s="1" t="n">
        <v>44796</v>
      </c>
      <c r="C166" s="1" t="n">
        <v>45976</v>
      </c>
      <c r="D166" t="inlineStr">
        <is>
          <t>ÖSTERGÖTLANDS LÄN</t>
        </is>
      </c>
      <c r="E166" t="inlineStr">
        <is>
          <t>LINKÖPING</t>
        </is>
      </c>
      <c r="F166" t="inlineStr">
        <is>
          <t>Övriga statliga verk och myndigheter</t>
        </is>
      </c>
      <c r="G166" t="n">
        <v>4</v>
      </c>
      <c r="H166" t="n">
        <v>0</v>
      </c>
      <c r="I166" t="n">
        <v>0</v>
      </c>
      <c r="J166" t="n">
        <v>0</v>
      </c>
      <c r="K166" t="n">
        <v>0</v>
      </c>
      <c r="L166" t="n">
        <v>0</v>
      </c>
      <c r="M166" t="n">
        <v>0</v>
      </c>
      <c r="N166" t="n">
        <v>0</v>
      </c>
      <c r="O166" t="n">
        <v>0</v>
      </c>
      <c r="P166" t="n">
        <v>0</v>
      </c>
      <c r="Q166" t="n">
        <v>0</v>
      </c>
      <c r="R166" s="2" t="inlineStr"/>
    </row>
    <row r="167" ht="15" customHeight="1">
      <c r="A167" t="inlineStr">
        <is>
          <t>A 48042-2022</t>
        </is>
      </c>
      <c r="B167" s="1" t="n">
        <v>44855</v>
      </c>
      <c r="C167" s="1" t="n">
        <v>45976</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46891-2021</t>
        </is>
      </c>
      <c r="B168" s="1" t="n">
        <v>44446.44587962963</v>
      </c>
      <c r="C168" s="1" t="n">
        <v>45976</v>
      </c>
      <c r="D168" t="inlineStr">
        <is>
          <t>ÖSTERGÖTLANDS LÄN</t>
        </is>
      </c>
      <c r="E168" t="inlineStr">
        <is>
          <t>LINKÖPING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3008-2023</t>
        </is>
      </c>
      <c r="B169" s="1" t="n">
        <v>44945.79784722222</v>
      </c>
      <c r="C169" s="1" t="n">
        <v>45976</v>
      </c>
      <c r="D169" t="inlineStr">
        <is>
          <t>ÖSTERGÖTLANDS LÄN</t>
        </is>
      </c>
      <c r="E169" t="inlineStr">
        <is>
          <t>LINKÖPING</t>
        </is>
      </c>
      <c r="G169" t="n">
        <v>19.3</v>
      </c>
      <c r="H169" t="n">
        <v>0</v>
      </c>
      <c r="I169" t="n">
        <v>0</v>
      </c>
      <c r="J169" t="n">
        <v>0</v>
      </c>
      <c r="K169" t="n">
        <v>0</v>
      </c>
      <c r="L169" t="n">
        <v>0</v>
      </c>
      <c r="M169" t="n">
        <v>0</v>
      </c>
      <c r="N169" t="n">
        <v>0</v>
      </c>
      <c r="O169" t="n">
        <v>0</v>
      </c>
      <c r="P169" t="n">
        <v>0</v>
      </c>
      <c r="Q169" t="n">
        <v>0</v>
      </c>
      <c r="R169" s="2" t="inlineStr"/>
    </row>
    <row r="170" ht="15" customHeight="1">
      <c r="A170" t="inlineStr">
        <is>
          <t>A 12035-2025</t>
        </is>
      </c>
      <c r="B170" s="1" t="n">
        <v>45728.64946759259</v>
      </c>
      <c r="C170" s="1" t="n">
        <v>45976</v>
      </c>
      <c r="D170" t="inlineStr">
        <is>
          <t>ÖSTERGÖTLANDS LÄN</t>
        </is>
      </c>
      <c r="E170" t="inlineStr">
        <is>
          <t>LINKÖPING</t>
        </is>
      </c>
      <c r="G170" t="n">
        <v>3.7</v>
      </c>
      <c r="H170" t="n">
        <v>0</v>
      </c>
      <c r="I170" t="n">
        <v>0</v>
      </c>
      <c r="J170" t="n">
        <v>0</v>
      </c>
      <c r="K170" t="n">
        <v>0</v>
      </c>
      <c r="L170" t="n">
        <v>0</v>
      </c>
      <c r="M170" t="n">
        <v>0</v>
      </c>
      <c r="N170" t="n">
        <v>0</v>
      </c>
      <c r="O170" t="n">
        <v>0</v>
      </c>
      <c r="P170" t="n">
        <v>0</v>
      </c>
      <c r="Q170" t="n">
        <v>0</v>
      </c>
      <c r="R170" s="2" t="inlineStr"/>
    </row>
    <row r="171" ht="15" customHeight="1">
      <c r="A171" t="inlineStr">
        <is>
          <t>A 23416-2022</t>
        </is>
      </c>
      <c r="B171" s="1" t="n">
        <v>44720.78243055556</v>
      </c>
      <c r="C171" s="1" t="n">
        <v>45976</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5605-2022</t>
        </is>
      </c>
      <c r="B172" s="1" t="n">
        <v>44595</v>
      </c>
      <c r="C172" s="1" t="n">
        <v>45976</v>
      </c>
      <c r="D172" t="inlineStr">
        <is>
          <t>ÖSTERGÖTLANDS LÄN</t>
        </is>
      </c>
      <c r="E172" t="inlineStr">
        <is>
          <t>LINKÖPING</t>
        </is>
      </c>
      <c r="F172" t="inlineStr">
        <is>
          <t>Övriga statliga verk och myndigheter</t>
        </is>
      </c>
      <c r="G172" t="n">
        <v>3</v>
      </c>
      <c r="H172" t="n">
        <v>0</v>
      </c>
      <c r="I172" t="n">
        <v>0</v>
      </c>
      <c r="J172" t="n">
        <v>0</v>
      </c>
      <c r="K172" t="n">
        <v>0</v>
      </c>
      <c r="L172" t="n">
        <v>0</v>
      </c>
      <c r="M172" t="n">
        <v>0</v>
      </c>
      <c r="N172" t="n">
        <v>0</v>
      </c>
      <c r="O172" t="n">
        <v>0</v>
      </c>
      <c r="P172" t="n">
        <v>0</v>
      </c>
      <c r="Q172" t="n">
        <v>0</v>
      </c>
      <c r="R172" s="2" t="inlineStr"/>
    </row>
    <row r="173" ht="15" customHeight="1">
      <c r="A173" t="inlineStr">
        <is>
          <t>A 56688-2021</t>
        </is>
      </c>
      <c r="B173" s="1" t="n">
        <v>44481</v>
      </c>
      <c r="C173" s="1" t="n">
        <v>45976</v>
      </c>
      <c r="D173" t="inlineStr">
        <is>
          <t>ÖSTERGÖTLANDS LÄN</t>
        </is>
      </c>
      <c r="E173" t="inlineStr">
        <is>
          <t>LINKÖPING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27769-2022</t>
        </is>
      </c>
      <c r="B174" s="1" t="n">
        <v>44743.53200231482</v>
      </c>
      <c r="C174" s="1" t="n">
        <v>45976</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31732-2022</t>
        </is>
      </c>
      <c r="B175" s="1" t="n">
        <v>44776.49267361111</v>
      </c>
      <c r="C175" s="1" t="n">
        <v>45976</v>
      </c>
      <c r="D175" t="inlineStr">
        <is>
          <t>ÖSTERGÖTLANDS LÄN</t>
        </is>
      </c>
      <c r="E175" t="inlineStr">
        <is>
          <t>LINKÖPING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34558-2022</t>
        </is>
      </c>
      <c r="B176" s="1" t="n">
        <v>44794.57594907407</v>
      </c>
      <c r="C176" s="1" t="n">
        <v>45976</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63489-2023</t>
        </is>
      </c>
      <c r="B177" s="1" t="n">
        <v>45274.66761574074</v>
      </c>
      <c r="C177" s="1" t="n">
        <v>45976</v>
      </c>
      <c r="D177" t="inlineStr">
        <is>
          <t>ÖSTERGÖTLANDS LÄN</t>
        </is>
      </c>
      <c r="E177" t="inlineStr">
        <is>
          <t>LINKÖPING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27666-2022</t>
        </is>
      </c>
      <c r="B178" s="1" t="n">
        <v>44743.39017361111</v>
      </c>
      <c r="C178" s="1" t="n">
        <v>45976</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19183-2021</t>
        </is>
      </c>
      <c r="B179" s="1" t="n">
        <v>44308.73248842593</v>
      </c>
      <c r="C179" s="1" t="n">
        <v>45976</v>
      </c>
      <c r="D179" t="inlineStr">
        <is>
          <t>ÖSTERGÖTLANDS LÄN</t>
        </is>
      </c>
      <c r="E179" t="inlineStr">
        <is>
          <t>LINKÖPING</t>
        </is>
      </c>
      <c r="F179" t="inlineStr">
        <is>
          <t>Allmännings- och besparingsskogar</t>
        </is>
      </c>
      <c r="G179" t="n">
        <v>4.6</v>
      </c>
      <c r="H179" t="n">
        <v>0</v>
      </c>
      <c r="I179" t="n">
        <v>0</v>
      </c>
      <c r="J179" t="n">
        <v>0</v>
      </c>
      <c r="K179" t="n">
        <v>0</v>
      </c>
      <c r="L179" t="n">
        <v>0</v>
      </c>
      <c r="M179" t="n">
        <v>0</v>
      </c>
      <c r="N179" t="n">
        <v>0</v>
      </c>
      <c r="O179" t="n">
        <v>0</v>
      </c>
      <c r="P179" t="n">
        <v>0</v>
      </c>
      <c r="Q179" t="n">
        <v>0</v>
      </c>
      <c r="R179" s="2" t="inlineStr"/>
    </row>
    <row r="180" ht="15" customHeight="1">
      <c r="A180" t="inlineStr">
        <is>
          <t>A 28266-2024</t>
        </is>
      </c>
      <c r="B180" s="1" t="n">
        <v>45477.43600694444</v>
      </c>
      <c r="C180" s="1" t="n">
        <v>45976</v>
      </c>
      <c r="D180" t="inlineStr">
        <is>
          <t>ÖSTERGÖTLANDS LÄN</t>
        </is>
      </c>
      <c r="E180" t="inlineStr">
        <is>
          <t>LINKÖPING</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61302-2021</t>
        </is>
      </c>
      <c r="B181" s="1" t="n">
        <v>44498.63189814815</v>
      </c>
      <c r="C181" s="1" t="n">
        <v>45976</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4929-2021</t>
        </is>
      </c>
      <c r="B182" s="1" t="n">
        <v>44227.57533564815</v>
      </c>
      <c r="C182" s="1" t="n">
        <v>45976</v>
      </c>
      <c r="D182" t="inlineStr">
        <is>
          <t>ÖSTERGÖTLANDS LÄN</t>
        </is>
      </c>
      <c r="E182" t="inlineStr">
        <is>
          <t>LINKÖPING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25418-2023</t>
        </is>
      </c>
      <c r="B183" s="1" t="n">
        <v>45089</v>
      </c>
      <c r="C183" s="1" t="n">
        <v>45976</v>
      </c>
      <c r="D183" t="inlineStr">
        <is>
          <t>ÖSTERGÖTLANDS LÄN</t>
        </is>
      </c>
      <c r="E183" t="inlineStr">
        <is>
          <t>LINKÖPING</t>
        </is>
      </c>
      <c r="F183" t="inlineStr">
        <is>
          <t>Övriga Aktiebolag</t>
        </is>
      </c>
      <c r="G183" t="n">
        <v>2.4</v>
      </c>
      <c r="H183" t="n">
        <v>0</v>
      </c>
      <c r="I183" t="n">
        <v>0</v>
      </c>
      <c r="J183" t="n">
        <v>0</v>
      </c>
      <c r="K183" t="n">
        <v>0</v>
      </c>
      <c r="L183" t="n">
        <v>0</v>
      </c>
      <c r="M183" t="n">
        <v>0</v>
      </c>
      <c r="N183" t="n">
        <v>0</v>
      </c>
      <c r="O183" t="n">
        <v>0</v>
      </c>
      <c r="P183" t="n">
        <v>0</v>
      </c>
      <c r="Q183" t="n">
        <v>0</v>
      </c>
      <c r="R183" s="2" t="inlineStr"/>
    </row>
    <row r="184" ht="15" customHeight="1">
      <c r="A184" t="inlineStr">
        <is>
          <t>A 22772-2024</t>
        </is>
      </c>
      <c r="B184" s="1" t="n">
        <v>45448.46712962963</v>
      </c>
      <c r="C184" s="1" t="n">
        <v>45976</v>
      </c>
      <c r="D184" t="inlineStr">
        <is>
          <t>ÖSTERGÖTLANDS LÄN</t>
        </is>
      </c>
      <c r="E184" t="inlineStr">
        <is>
          <t>LINKÖPING</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20455-2024</t>
        </is>
      </c>
      <c r="B185" s="1" t="n">
        <v>45435.65314814815</v>
      </c>
      <c r="C185" s="1" t="n">
        <v>45976</v>
      </c>
      <c r="D185" t="inlineStr">
        <is>
          <t>ÖSTERGÖTLANDS LÄN</t>
        </is>
      </c>
      <c r="E185" t="inlineStr">
        <is>
          <t>LINKÖPING</t>
        </is>
      </c>
      <c r="G185" t="n">
        <v>2.6</v>
      </c>
      <c r="H185" t="n">
        <v>0</v>
      </c>
      <c r="I185" t="n">
        <v>0</v>
      </c>
      <c r="J185" t="n">
        <v>0</v>
      </c>
      <c r="K185" t="n">
        <v>0</v>
      </c>
      <c r="L185" t="n">
        <v>0</v>
      </c>
      <c r="M185" t="n">
        <v>0</v>
      </c>
      <c r="N185" t="n">
        <v>0</v>
      </c>
      <c r="O185" t="n">
        <v>0</v>
      </c>
      <c r="P185" t="n">
        <v>0</v>
      </c>
      <c r="Q185" t="n">
        <v>0</v>
      </c>
      <c r="R185" s="2" t="inlineStr"/>
    </row>
    <row r="186" ht="15" customHeight="1">
      <c r="A186" t="inlineStr">
        <is>
          <t>A 224-2024</t>
        </is>
      </c>
      <c r="B186" s="1" t="n">
        <v>45294</v>
      </c>
      <c r="C186" s="1" t="n">
        <v>45976</v>
      </c>
      <c r="D186" t="inlineStr">
        <is>
          <t>ÖSTERGÖTLANDS LÄN</t>
        </is>
      </c>
      <c r="E186" t="inlineStr">
        <is>
          <t>LINKÖPING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45976</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13922-2021</t>
        </is>
      </c>
      <c r="B188" s="1" t="n">
        <v>44277.45946759259</v>
      </c>
      <c r="C188" s="1" t="n">
        <v>45976</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54845-2023</t>
        </is>
      </c>
      <c r="B189" s="1" t="n">
        <v>45236</v>
      </c>
      <c r="C189" s="1" t="n">
        <v>45976</v>
      </c>
      <c r="D189" t="inlineStr">
        <is>
          <t>ÖSTERGÖTLANDS LÄN</t>
        </is>
      </c>
      <c r="E189" t="inlineStr">
        <is>
          <t>LINKÖPING</t>
        </is>
      </c>
      <c r="F189" t="inlineStr">
        <is>
          <t>Övriga Aktiebolag</t>
        </is>
      </c>
      <c r="G189" t="n">
        <v>5.7</v>
      </c>
      <c r="H189" t="n">
        <v>0</v>
      </c>
      <c r="I189" t="n">
        <v>0</v>
      </c>
      <c r="J189" t="n">
        <v>0</v>
      </c>
      <c r="K189" t="n">
        <v>0</v>
      </c>
      <c r="L189" t="n">
        <v>0</v>
      </c>
      <c r="M189" t="n">
        <v>0</v>
      </c>
      <c r="N189" t="n">
        <v>0</v>
      </c>
      <c r="O189" t="n">
        <v>0</v>
      </c>
      <c r="P189" t="n">
        <v>0</v>
      </c>
      <c r="Q189" t="n">
        <v>0</v>
      </c>
      <c r="R189" s="2" t="inlineStr"/>
    </row>
    <row r="190" ht="15" customHeight="1">
      <c r="A190" t="inlineStr">
        <is>
          <t>A 62488-2023</t>
        </is>
      </c>
      <c r="B190" s="1" t="n">
        <v>45268.5847337963</v>
      </c>
      <c r="C190" s="1" t="n">
        <v>45976</v>
      </c>
      <c r="D190" t="inlineStr">
        <is>
          <t>ÖSTERGÖTLANDS LÄN</t>
        </is>
      </c>
      <c r="E190" t="inlineStr">
        <is>
          <t>LINKÖPING</t>
        </is>
      </c>
      <c r="G190" t="n">
        <v>4.1</v>
      </c>
      <c r="H190" t="n">
        <v>0</v>
      </c>
      <c r="I190" t="n">
        <v>0</v>
      </c>
      <c r="J190" t="n">
        <v>0</v>
      </c>
      <c r="K190" t="n">
        <v>0</v>
      </c>
      <c r="L190" t="n">
        <v>0</v>
      </c>
      <c r="M190" t="n">
        <v>0</v>
      </c>
      <c r="N190" t="n">
        <v>0</v>
      </c>
      <c r="O190" t="n">
        <v>0</v>
      </c>
      <c r="P190" t="n">
        <v>0</v>
      </c>
      <c r="Q190" t="n">
        <v>0</v>
      </c>
      <c r="R190" s="2" t="inlineStr"/>
    </row>
    <row r="191" ht="15" customHeight="1">
      <c r="A191" t="inlineStr">
        <is>
          <t>A 24351-2024</t>
        </is>
      </c>
      <c r="B191" s="1" t="n">
        <v>45457.59011574074</v>
      </c>
      <c r="C191" s="1" t="n">
        <v>45976</v>
      </c>
      <c r="D191" t="inlineStr">
        <is>
          <t>ÖSTERGÖTLANDS LÄN</t>
        </is>
      </c>
      <c r="E191" t="inlineStr">
        <is>
          <t>LINKÖPING</t>
        </is>
      </c>
      <c r="G191" t="n">
        <v>11.9</v>
      </c>
      <c r="H191" t="n">
        <v>0</v>
      </c>
      <c r="I191" t="n">
        <v>0</v>
      </c>
      <c r="J191" t="n">
        <v>0</v>
      </c>
      <c r="K191" t="n">
        <v>0</v>
      </c>
      <c r="L191" t="n">
        <v>0</v>
      </c>
      <c r="M191" t="n">
        <v>0</v>
      </c>
      <c r="N191" t="n">
        <v>0</v>
      </c>
      <c r="O191" t="n">
        <v>0</v>
      </c>
      <c r="P191" t="n">
        <v>0</v>
      </c>
      <c r="Q191" t="n">
        <v>0</v>
      </c>
      <c r="R191" s="2" t="inlineStr"/>
    </row>
    <row r="192" ht="15" customHeight="1">
      <c r="A192" t="inlineStr">
        <is>
          <t>A 19254-2021</t>
        </is>
      </c>
      <c r="B192" s="1" t="n">
        <v>44309.38962962963</v>
      </c>
      <c r="C192" s="1" t="n">
        <v>45976</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60129-2020</t>
        </is>
      </c>
      <c r="B193" s="1" t="n">
        <v>44152</v>
      </c>
      <c r="C193" s="1" t="n">
        <v>45976</v>
      </c>
      <c r="D193" t="inlineStr">
        <is>
          <t>ÖSTERGÖTLANDS LÄN</t>
        </is>
      </c>
      <c r="E193" t="inlineStr">
        <is>
          <t>LINKÖPING</t>
        </is>
      </c>
      <c r="F193" t="inlineStr">
        <is>
          <t>Övriga statliga verk och myndigheter</t>
        </is>
      </c>
      <c r="G193" t="n">
        <v>2.5</v>
      </c>
      <c r="H193" t="n">
        <v>0</v>
      </c>
      <c r="I193" t="n">
        <v>0</v>
      </c>
      <c r="J193" t="n">
        <v>0</v>
      </c>
      <c r="K193" t="n">
        <v>0</v>
      </c>
      <c r="L193" t="n">
        <v>0</v>
      </c>
      <c r="M193" t="n">
        <v>0</v>
      </c>
      <c r="N193" t="n">
        <v>0</v>
      </c>
      <c r="O193" t="n">
        <v>0</v>
      </c>
      <c r="P193" t="n">
        <v>0</v>
      </c>
      <c r="Q193" t="n">
        <v>0</v>
      </c>
      <c r="R193" s="2" t="inlineStr"/>
    </row>
    <row r="194" ht="15" customHeight="1">
      <c r="A194" t="inlineStr">
        <is>
          <t>A 4377-2021</t>
        </is>
      </c>
      <c r="B194" s="1" t="n">
        <v>44223</v>
      </c>
      <c r="C194" s="1" t="n">
        <v>45976</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52796-2023</t>
        </is>
      </c>
      <c r="B195" s="1" t="n">
        <v>45219</v>
      </c>
      <c r="C195" s="1" t="n">
        <v>45976</v>
      </c>
      <c r="D195" t="inlineStr">
        <is>
          <t>ÖSTERGÖTLANDS LÄN</t>
        </is>
      </c>
      <c r="E195" t="inlineStr">
        <is>
          <t>LINKÖPING</t>
        </is>
      </c>
      <c r="F195" t="inlineStr">
        <is>
          <t>Övriga statliga verk och myndigheter</t>
        </is>
      </c>
      <c r="G195" t="n">
        <v>3.9</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45976</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30855-2022</t>
        </is>
      </c>
      <c r="B197" s="1" t="n">
        <v>44767</v>
      </c>
      <c r="C197" s="1" t="n">
        <v>45976</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45976</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61153-2021</t>
        </is>
      </c>
      <c r="B199" s="1" t="n">
        <v>44497</v>
      </c>
      <c r="C199" s="1" t="n">
        <v>45976</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1787-2022</t>
        </is>
      </c>
      <c r="B200" s="1" t="n">
        <v>44574</v>
      </c>
      <c r="C200" s="1" t="n">
        <v>45976</v>
      </c>
      <c r="D200" t="inlineStr">
        <is>
          <t>ÖSTERGÖTLANDS LÄN</t>
        </is>
      </c>
      <c r="E200" t="inlineStr">
        <is>
          <t>LINKÖPING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33885-2021</t>
        </is>
      </c>
      <c r="B201" s="1" t="n">
        <v>44378</v>
      </c>
      <c r="C201" s="1" t="n">
        <v>45976</v>
      </c>
      <c r="D201" t="inlineStr">
        <is>
          <t>ÖSTERGÖTLANDS LÄN</t>
        </is>
      </c>
      <c r="E201" t="inlineStr">
        <is>
          <t>LINKÖPING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12413-2022</t>
        </is>
      </c>
      <c r="B202" s="1" t="n">
        <v>44638</v>
      </c>
      <c r="C202" s="1" t="n">
        <v>45976</v>
      </c>
      <c r="D202" t="inlineStr">
        <is>
          <t>ÖSTERGÖTLANDS LÄN</t>
        </is>
      </c>
      <c r="E202" t="inlineStr">
        <is>
          <t>LINKÖPING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61298-2021</t>
        </is>
      </c>
      <c r="B203" s="1" t="n">
        <v>44498.62533564815</v>
      </c>
      <c r="C203" s="1" t="n">
        <v>45976</v>
      </c>
      <c r="D203" t="inlineStr">
        <is>
          <t>ÖSTERGÖTLANDS LÄN</t>
        </is>
      </c>
      <c r="E203" t="inlineStr">
        <is>
          <t>LINKÖPING</t>
        </is>
      </c>
      <c r="G203" t="n">
        <v>4.3</v>
      </c>
      <c r="H203" t="n">
        <v>0</v>
      </c>
      <c r="I203" t="n">
        <v>0</v>
      </c>
      <c r="J203" t="n">
        <v>0</v>
      </c>
      <c r="K203" t="n">
        <v>0</v>
      </c>
      <c r="L203" t="n">
        <v>0</v>
      </c>
      <c r="M203" t="n">
        <v>0</v>
      </c>
      <c r="N203" t="n">
        <v>0</v>
      </c>
      <c r="O203" t="n">
        <v>0</v>
      </c>
      <c r="P203" t="n">
        <v>0</v>
      </c>
      <c r="Q203" t="n">
        <v>0</v>
      </c>
      <c r="R203" s="2" t="inlineStr"/>
    </row>
    <row r="204" ht="15" customHeight="1">
      <c r="A204" t="inlineStr">
        <is>
          <t>A 61333-2021</t>
        </is>
      </c>
      <c r="B204" s="1" t="n">
        <v>44498.6764699074</v>
      </c>
      <c r="C204" s="1" t="n">
        <v>45976</v>
      </c>
      <c r="D204" t="inlineStr">
        <is>
          <t>ÖSTERGÖTLANDS LÄN</t>
        </is>
      </c>
      <c r="E204" t="inlineStr">
        <is>
          <t>LINKÖPING</t>
        </is>
      </c>
      <c r="G204" t="n">
        <v>7.5</v>
      </c>
      <c r="H204" t="n">
        <v>0</v>
      </c>
      <c r="I204" t="n">
        <v>0</v>
      </c>
      <c r="J204" t="n">
        <v>0</v>
      </c>
      <c r="K204" t="n">
        <v>0</v>
      </c>
      <c r="L204" t="n">
        <v>0</v>
      </c>
      <c r="M204" t="n">
        <v>0</v>
      </c>
      <c r="N204" t="n">
        <v>0</v>
      </c>
      <c r="O204" t="n">
        <v>0</v>
      </c>
      <c r="P204" t="n">
        <v>0</v>
      </c>
      <c r="Q204" t="n">
        <v>0</v>
      </c>
      <c r="R204" s="2" t="inlineStr"/>
    </row>
    <row r="205" ht="15" customHeight="1">
      <c r="A205" t="inlineStr">
        <is>
          <t>A 948-2022</t>
        </is>
      </c>
      <c r="B205" s="1" t="n">
        <v>44571</v>
      </c>
      <c r="C205" s="1" t="n">
        <v>45976</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45976</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12412-2022</t>
        </is>
      </c>
      <c r="B207" s="1" t="n">
        <v>44638</v>
      </c>
      <c r="C207" s="1" t="n">
        <v>45976</v>
      </c>
      <c r="D207" t="inlineStr">
        <is>
          <t>ÖSTERGÖTLANDS LÄN</t>
        </is>
      </c>
      <c r="E207" t="inlineStr">
        <is>
          <t>LINKÖPING</t>
        </is>
      </c>
      <c r="G207" t="n">
        <v>1.7</v>
      </c>
      <c r="H207" t="n">
        <v>0</v>
      </c>
      <c r="I207" t="n">
        <v>0</v>
      </c>
      <c r="J207" t="n">
        <v>0</v>
      </c>
      <c r="K207" t="n">
        <v>0</v>
      </c>
      <c r="L207" t="n">
        <v>0</v>
      </c>
      <c r="M207" t="n">
        <v>0</v>
      </c>
      <c r="N207" t="n">
        <v>0</v>
      </c>
      <c r="O207" t="n">
        <v>0</v>
      </c>
      <c r="P207" t="n">
        <v>0</v>
      </c>
      <c r="Q207" t="n">
        <v>0</v>
      </c>
      <c r="R207" s="2" t="inlineStr"/>
    </row>
    <row r="208" ht="15" customHeight="1">
      <c r="A208" t="inlineStr">
        <is>
          <t>A 30856-2022</t>
        </is>
      </c>
      <c r="B208" s="1" t="n">
        <v>44767</v>
      </c>
      <c r="C208" s="1" t="n">
        <v>45976</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46490-2022</t>
        </is>
      </c>
      <c r="B209" s="1" t="n">
        <v>44848</v>
      </c>
      <c r="C209" s="1" t="n">
        <v>45976</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37014-2021</t>
        </is>
      </c>
      <c r="B210" s="1" t="n">
        <v>44393</v>
      </c>
      <c r="C210" s="1" t="n">
        <v>45976</v>
      </c>
      <c r="D210" t="inlineStr">
        <is>
          <t>ÖSTERGÖTLANDS LÄN</t>
        </is>
      </c>
      <c r="E210" t="inlineStr">
        <is>
          <t>LINKÖPING</t>
        </is>
      </c>
      <c r="F210" t="inlineStr">
        <is>
          <t>Allmännings- och besparingsskogar</t>
        </is>
      </c>
      <c r="G210" t="n">
        <v>7.7</v>
      </c>
      <c r="H210" t="n">
        <v>0</v>
      </c>
      <c r="I210" t="n">
        <v>0</v>
      </c>
      <c r="J210" t="n">
        <v>0</v>
      </c>
      <c r="K210" t="n">
        <v>0</v>
      </c>
      <c r="L210" t="n">
        <v>0</v>
      </c>
      <c r="M210" t="n">
        <v>0</v>
      </c>
      <c r="N210" t="n">
        <v>0</v>
      </c>
      <c r="O210" t="n">
        <v>0</v>
      </c>
      <c r="P210" t="n">
        <v>0</v>
      </c>
      <c r="Q210" t="n">
        <v>0</v>
      </c>
      <c r="R210" s="2" t="inlineStr"/>
    </row>
    <row r="211" ht="15" customHeight="1">
      <c r="A211" t="inlineStr">
        <is>
          <t>A 30521-2024</t>
        </is>
      </c>
      <c r="B211" s="1" t="n">
        <v>45492</v>
      </c>
      <c r="C211" s="1" t="n">
        <v>45976</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51191-2022</t>
        </is>
      </c>
      <c r="B212" s="1" t="n">
        <v>44865</v>
      </c>
      <c r="C212" s="1" t="n">
        <v>45976</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38134-2021</t>
        </is>
      </c>
      <c r="B213" s="1" t="n">
        <v>44405.3794212963</v>
      </c>
      <c r="C213" s="1" t="n">
        <v>45976</v>
      </c>
      <c r="D213" t="inlineStr">
        <is>
          <t>ÖSTERGÖTLANDS LÄN</t>
        </is>
      </c>
      <c r="E213" t="inlineStr">
        <is>
          <t>LINKÖPING</t>
        </is>
      </c>
      <c r="G213" t="n">
        <v>5.1</v>
      </c>
      <c r="H213" t="n">
        <v>0</v>
      </c>
      <c r="I213" t="n">
        <v>0</v>
      </c>
      <c r="J213" t="n">
        <v>0</v>
      </c>
      <c r="K213" t="n">
        <v>0</v>
      </c>
      <c r="L213" t="n">
        <v>0</v>
      </c>
      <c r="M213" t="n">
        <v>0</v>
      </c>
      <c r="N213" t="n">
        <v>0</v>
      </c>
      <c r="O213" t="n">
        <v>0</v>
      </c>
      <c r="P213" t="n">
        <v>0</v>
      </c>
      <c r="Q213" t="n">
        <v>0</v>
      </c>
      <c r="R213" s="2" t="inlineStr"/>
    </row>
    <row r="214" ht="15" customHeight="1">
      <c r="A214" t="inlineStr">
        <is>
          <t>A 12289-2025</t>
        </is>
      </c>
      <c r="B214" s="1" t="n">
        <v>45729</v>
      </c>
      <c r="C214" s="1" t="n">
        <v>45976</v>
      </c>
      <c r="D214" t="inlineStr">
        <is>
          <t>ÖSTERGÖTLANDS LÄN</t>
        </is>
      </c>
      <c r="E214" t="inlineStr">
        <is>
          <t>LINKÖPING</t>
        </is>
      </c>
      <c r="F214" t="inlineStr">
        <is>
          <t>Övriga statliga verk och myndigheter</t>
        </is>
      </c>
      <c r="G214" t="n">
        <v>6.5</v>
      </c>
      <c r="H214" t="n">
        <v>0</v>
      </c>
      <c r="I214" t="n">
        <v>0</v>
      </c>
      <c r="J214" t="n">
        <v>0</v>
      </c>
      <c r="K214" t="n">
        <v>0</v>
      </c>
      <c r="L214" t="n">
        <v>0</v>
      </c>
      <c r="M214" t="n">
        <v>0</v>
      </c>
      <c r="N214" t="n">
        <v>0</v>
      </c>
      <c r="O214" t="n">
        <v>0</v>
      </c>
      <c r="P214" t="n">
        <v>0</v>
      </c>
      <c r="Q214" t="n">
        <v>0</v>
      </c>
      <c r="R214" s="2" t="inlineStr"/>
    </row>
    <row r="215" ht="15" customHeight="1">
      <c r="A215" t="inlineStr">
        <is>
          <t>A 1207-2023</t>
        </is>
      </c>
      <c r="B215" s="1" t="n">
        <v>44930</v>
      </c>
      <c r="C215" s="1" t="n">
        <v>45976</v>
      </c>
      <c r="D215" t="inlineStr">
        <is>
          <t>ÖSTERGÖTLANDS LÄN</t>
        </is>
      </c>
      <c r="E215" t="inlineStr">
        <is>
          <t>LINKÖPING</t>
        </is>
      </c>
      <c r="F215" t="inlineStr">
        <is>
          <t>Övriga statliga verk och myndigheter</t>
        </is>
      </c>
      <c r="G215" t="n">
        <v>32.8</v>
      </c>
      <c r="H215" t="n">
        <v>0</v>
      </c>
      <c r="I215" t="n">
        <v>0</v>
      </c>
      <c r="J215" t="n">
        <v>0</v>
      </c>
      <c r="K215" t="n">
        <v>0</v>
      </c>
      <c r="L215" t="n">
        <v>0</v>
      </c>
      <c r="M215" t="n">
        <v>0</v>
      </c>
      <c r="N215" t="n">
        <v>0</v>
      </c>
      <c r="O215" t="n">
        <v>0</v>
      </c>
      <c r="P215" t="n">
        <v>0</v>
      </c>
      <c r="Q215" t="n">
        <v>0</v>
      </c>
      <c r="R215" s="2" t="inlineStr"/>
    </row>
    <row r="216" ht="15" customHeight="1">
      <c r="A216" t="inlineStr">
        <is>
          <t>A 44849-2022</t>
        </is>
      </c>
      <c r="B216" s="1" t="n">
        <v>44841</v>
      </c>
      <c r="C216" s="1" t="n">
        <v>45976</v>
      </c>
      <c r="D216" t="inlineStr">
        <is>
          <t>ÖSTERGÖTLANDS LÄN</t>
        </is>
      </c>
      <c r="E216" t="inlineStr">
        <is>
          <t>LINKÖPING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70835-2021</t>
        </is>
      </c>
      <c r="B217" s="1" t="n">
        <v>44537</v>
      </c>
      <c r="C217" s="1" t="n">
        <v>45976</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29859-2024</t>
        </is>
      </c>
      <c r="B218" s="1" t="n">
        <v>45485.6846412037</v>
      </c>
      <c r="C218" s="1" t="n">
        <v>45976</v>
      </c>
      <c r="D218" t="inlineStr">
        <is>
          <t>ÖSTERGÖTLANDS LÄN</t>
        </is>
      </c>
      <c r="E218" t="inlineStr">
        <is>
          <t>LINKÖPING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37934-2022</t>
        </is>
      </c>
      <c r="B219" s="1" t="n">
        <v>44809</v>
      </c>
      <c r="C219" s="1" t="n">
        <v>45976</v>
      </c>
      <c r="D219" t="inlineStr">
        <is>
          <t>ÖSTERGÖTLANDS LÄN</t>
        </is>
      </c>
      <c r="E219" t="inlineStr">
        <is>
          <t>LINKÖPING</t>
        </is>
      </c>
      <c r="G219" t="n">
        <v>1.6</v>
      </c>
      <c r="H219" t="n">
        <v>0</v>
      </c>
      <c r="I219" t="n">
        <v>0</v>
      </c>
      <c r="J219" t="n">
        <v>0</v>
      </c>
      <c r="K219" t="n">
        <v>0</v>
      </c>
      <c r="L219" t="n">
        <v>0</v>
      </c>
      <c r="M219" t="n">
        <v>0</v>
      </c>
      <c r="N219" t="n">
        <v>0</v>
      </c>
      <c r="O219" t="n">
        <v>0</v>
      </c>
      <c r="P219" t="n">
        <v>0</v>
      </c>
      <c r="Q219" t="n">
        <v>0</v>
      </c>
      <c r="R219" s="2" t="inlineStr"/>
    </row>
    <row r="220" ht="15" customHeight="1">
      <c r="A220" t="inlineStr">
        <is>
          <t>A 45819-2024</t>
        </is>
      </c>
      <c r="B220" s="1" t="n">
        <v>45579.7454050926</v>
      </c>
      <c r="C220" s="1" t="n">
        <v>45976</v>
      </c>
      <c r="D220" t="inlineStr">
        <is>
          <t>ÖSTERGÖTLANDS LÄN</t>
        </is>
      </c>
      <c r="E220" t="inlineStr">
        <is>
          <t>LINKÖPING</t>
        </is>
      </c>
      <c r="G220" t="n">
        <v>5</v>
      </c>
      <c r="H220" t="n">
        <v>0</v>
      </c>
      <c r="I220" t="n">
        <v>0</v>
      </c>
      <c r="J220" t="n">
        <v>0</v>
      </c>
      <c r="K220" t="n">
        <v>0</v>
      </c>
      <c r="L220" t="n">
        <v>0</v>
      </c>
      <c r="M220" t="n">
        <v>0</v>
      </c>
      <c r="N220" t="n">
        <v>0</v>
      </c>
      <c r="O220" t="n">
        <v>0</v>
      </c>
      <c r="P220" t="n">
        <v>0</v>
      </c>
      <c r="Q220" t="n">
        <v>0</v>
      </c>
      <c r="R220" s="2" t="inlineStr"/>
    </row>
    <row r="221" ht="15" customHeight="1">
      <c r="A221" t="inlineStr">
        <is>
          <t>A 15748-2025</t>
        </is>
      </c>
      <c r="B221" s="1" t="n">
        <v>45748.55282407408</v>
      </c>
      <c r="C221" s="1" t="n">
        <v>45976</v>
      </c>
      <c r="D221" t="inlineStr">
        <is>
          <t>ÖSTERGÖTLANDS LÄN</t>
        </is>
      </c>
      <c r="E221" t="inlineStr">
        <is>
          <t>LINKÖPING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15754-2025</t>
        </is>
      </c>
      <c r="B222" s="1" t="n">
        <v>45748.56105324074</v>
      </c>
      <c r="C222" s="1" t="n">
        <v>45976</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54854-2022</t>
        </is>
      </c>
      <c r="B223" s="1" t="n">
        <v>44884</v>
      </c>
      <c r="C223" s="1" t="n">
        <v>45976</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54855-2022</t>
        </is>
      </c>
      <c r="B224" s="1" t="n">
        <v>44884.59502314815</v>
      </c>
      <c r="C224" s="1" t="n">
        <v>45976</v>
      </c>
      <c r="D224" t="inlineStr">
        <is>
          <t>ÖSTERGÖTLANDS LÄN</t>
        </is>
      </c>
      <c r="E224" t="inlineStr">
        <is>
          <t>LINKÖPING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30518-2024</t>
        </is>
      </c>
      <c r="B225" s="1" t="n">
        <v>45492</v>
      </c>
      <c r="C225" s="1" t="n">
        <v>45976</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53797-2023</t>
        </is>
      </c>
      <c r="B226" s="1" t="n">
        <v>45230</v>
      </c>
      <c r="C226" s="1" t="n">
        <v>45976</v>
      </c>
      <c r="D226" t="inlineStr">
        <is>
          <t>ÖSTERGÖTLANDS LÄN</t>
        </is>
      </c>
      <c r="E226" t="inlineStr">
        <is>
          <t>LINKÖPING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9434-2024</t>
        </is>
      </c>
      <c r="B227" s="1" t="n">
        <v>45359</v>
      </c>
      <c r="C227" s="1" t="n">
        <v>45976</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57745-2022</t>
        </is>
      </c>
      <c r="B228" s="1" t="n">
        <v>44897.58119212963</v>
      </c>
      <c r="C228" s="1" t="n">
        <v>45976</v>
      </c>
      <c r="D228" t="inlineStr">
        <is>
          <t>ÖSTERGÖTLANDS LÄN</t>
        </is>
      </c>
      <c r="E228" t="inlineStr">
        <is>
          <t>LINKÖPING</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11079-2022</t>
        </is>
      </c>
      <c r="B229" s="1" t="n">
        <v>44628</v>
      </c>
      <c r="C229" s="1" t="n">
        <v>45976</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20901-2021</t>
        </is>
      </c>
      <c r="B230" s="1" t="n">
        <v>44319</v>
      </c>
      <c r="C230" s="1" t="n">
        <v>45976</v>
      </c>
      <c r="D230" t="inlineStr">
        <is>
          <t>ÖSTERGÖTLANDS LÄN</t>
        </is>
      </c>
      <c r="E230" t="inlineStr">
        <is>
          <t>LINKÖPING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42054-2022</t>
        </is>
      </c>
      <c r="B231" s="1" t="n">
        <v>44830</v>
      </c>
      <c r="C231" s="1" t="n">
        <v>45976</v>
      </c>
      <c r="D231" t="inlineStr">
        <is>
          <t>ÖSTERGÖTLANDS LÄN</t>
        </is>
      </c>
      <c r="E231" t="inlineStr">
        <is>
          <t>LINKÖPING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34889-2023</t>
        </is>
      </c>
      <c r="B232" s="1" t="n">
        <v>45140</v>
      </c>
      <c r="C232" s="1" t="n">
        <v>45976</v>
      </c>
      <c r="D232" t="inlineStr">
        <is>
          <t>ÖSTERGÖTLANDS LÄN</t>
        </is>
      </c>
      <c r="E232" t="inlineStr">
        <is>
          <t>LINKÖPING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50182-2023</t>
        </is>
      </c>
      <c r="B233" s="1" t="n">
        <v>45208</v>
      </c>
      <c r="C233" s="1" t="n">
        <v>45976</v>
      </c>
      <c r="D233" t="inlineStr">
        <is>
          <t>ÖSTERGÖTLANDS LÄN</t>
        </is>
      </c>
      <c r="E233" t="inlineStr">
        <is>
          <t>LINKÖPING</t>
        </is>
      </c>
      <c r="G233" t="n">
        <v>2.5</v>
      </c>
      <c r="H233" t="n">
        <v>0</v>
      </c>
      <c r="I233" t="n">
        <v>0</v>
      </c>
      <c r="J233" t="n">
        <v>0</v>
      </c>
      <c r="K233" t="n">
        <v>0</v>
      </c>
      <c r="L233" t="n">
        <v>0</v>
      </c>
      <c r="M233" t="n">
        <v>0</v>
      </c>
      <c r="N233" t="n">
        <v>0</v>
      </c>
      <c r="O233" t="n">
        <v>0</v>
      </c>
      <c r="P233" t="n">
        <v>0</v>
      </c>
      <c r="Q233" t="n">
        <v>0</v>
      </c>
      <c r="R233" s="2" t="inlineStr"/>
    </row>
    <row r="234" ht="15" customHeight="1">
      <c r="A234" t="inlineStr">
        <is>
          <t>A 55345-2021</t>
        </is>
      </c>
      <c r="B234" s="1" t="n">
        <v>44475</v>
      </c>
      <c r="C234" s="1" t="n">
        <v>45976</v>
      </c>
      <c r="D234" t="inlineStr">
        <is>
          <t>ÖSTERGÖTLANDS LÄN</t>
        </is>
      </c>
      <c r="E234" t="inlineStr">
        <is>
          <t>LINKÖPING</t>
        </is>
      </c>
      <c r="G234" t="n">
        <v>5.7</v>
      </c>
      <c r="H234" t="n">
        <v>0</v>
      </c>
      <c r="I234" t="n">
        <v>0</v>
      </c>
      <c r="J234" t="n">
        <v>0</v>
      </c>
      <c r="K234" t="n">
        <v>0</v>
      </c>
      <c r="L234" t="n">
        <v>0</v>
      </c>
      <c r="M234" t="n">
        <v>0</v>
      </c>
      <c r="N234" t="n">
        <v>0</v>
      </c>
      <c r="O234" t="n">
        <v>0</v>
      </c>
      <c r="P234" t="n">
        <v>0</v>
      </c>
      <c r="Q234" t="n">
        <v>0</v>
      </c>
      <c r="R234" s="2" t="inlineStr"/>
    </row>
    <row r="235" ht="15" customHeight="1">
      <c r="A235" t="inlineStr">
        <is>
          <t>A 59954-2020</t>
        </is>
      </c>
      <c r="B235" s="1" t="n">
        <v>44151</v>
      </c>
      <c r="C235" s="1" t="n">
        <v>45976</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59969-2020</t>
        </is>
      </c>
      <c r="B236" s="1" t="n">
        <v>44151</v>
      </c>
      <c r="C236" s="1" t="n">
        <v>45976</v>
      </c>
      <c r="D236" t="inlineStr">
        <is>
          <t>ÖSTERGÖTLANDS LÄN</t>
        </is>
      </c>
      <c r="E236" t="inlineStr">
        <is>
          <t>LINKÖPING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10198-2023</t>
        </is>
      </c>
      <c r="B237" s="1" t="n">
        <v>44986.54665509259</v>
      </c>
      <c r="C237" s="1" t="n">
        <v>45976</v>
      </c>
      <c r="D237" t="inlineStr">
        <is>
          <t>ÖSTERGÖTLANDS LÄN</t>
        </is>
      </c>
      <c r="E237" t="inlineStr">
        <is>
          <t>LINKÖPING</t>
        </is>
      </c>
      <c r="G237" t="n">
        <v>4.6</v>
      </c>
      <c r="H237" t="n">
        <v>0</v>
      </c>
      <c r="I237" t="n">
        <v>0</v>
      </c>
      <c r="J237" t="n">
        <v>0</v>
      </c>
      <c r="K237" t="n">
        <v>0</v>
      </c>
      <c r="L237" t="n">
        <v>0</v>
      </c>
      <c r="M237" t="n">
        <v>0</v>
      </c>
      <c r="N237" t="n">
        <v>0</v>
      </c>
      <c r="O237" t="n">
        <v>0</v>
      </c>
      <c r="P237" t="n">
        <v>0</v>
      </c>
      <c r="Q237" t="n">
        <v>0</v>
      </c>
      <c r="R237" s="2" t="inlineStr"/>
    </row>
    <row r="238" ht="15" customHeight="1">
      <c r="A238" t="inlineStr">
        <is>
          <t>A 65398-2021</t>
        </is>
      </c>
      <c r="B238" s="1" t="n">
        <v>44515</v>
      </c>
      <c r="C238" s="1" t="n">
        <v>45976</v>
      </c>
      <c r="D238" t="inlineStr">
        <is>
          <t>ÖSTERGÖTLANDS LÄN</t>
        </is>
      </c>
      <c r="E238" t="inlineStr">
        <is>
          <t>LINKÖPING</t>
        </is>
      </c>
      <c r="F238" t="inlineStr">
        <is>
          <t>Övriga statliga verk och myndigheter</t>
        </is>
      </c>
      <c r="G238" t="n">
        <v>2.4</v>
      </c>
      <c r="H238" t="n">
        <v>0</v>
      </c>
      <c r="I238" t="n">
        <v>0</v>
      </c>
      <c r="J238" t="n">
        <v>0</v>
      </c>
      <c r="K238" t="n">
        <v>0</v>
      </c>
      <c r="L238" t="n">
        <v>0</v>
      </c>
      <c r="M238" t="n">
        <v>0</v>
      </c>
      <c r="N238" t="n">
        <v>0</v>
      </c>
      <c r="O238" t="n">
        <v>0</v>
      </c>
      <c r="P238" t="n">
        <v>0</v>
      </c>
      <c r="Q238" t="n">
        <v>0</v>
      </c>
      <c r="R238" s="2" t="inlineStr"/>
    </row>
    <row r="239" ht="15" customHeight="1">
      <c r="A239" t="inlineStr">
        <is>
          <t>A 4298-2023</t>
        </is>
      </c>
      <c r="B239" s="1" t="n">
        <v>44953</v>
      </c>
      <c r="C239" s="1" t="n">
        <v>45976</v>
      </c>
      <c r="D239" t="inlineStr">
        <is>
          <t>ÖSTERGÖTLANDS LÄN</t>
        </is>
      </c>
      <c r="E239" t="inlineStr">
        <is>
          <t>LINKÖPING</t>
        </is>
      </c>
      <c r="G239" t="n">
        <v>2.8</v>
      </c>
      <c r="H239" t="n">
        <v>0</v>
      </c>
      <c r="I239" t="n">
        <v>0</v>
      </c>
      <c r="J239" t="n">
        <v>0</v>
      </c>
      <c r="K239" t="n">
        <v>0</v>
      </c>
      <c r="L239" t="n">
        <v>0</v>
      </c>
      <c r="M239" t="n">
        <v>0</v>
      </c>
      <c r="N239" t="n">
        <v>0</v>
      </c>
      <c r="O239" t="n">
        <v>0</v>
      </c>
      <c r="P239" t="n">
        <v>0</v>
      </c>
      <c r="Q239" t="n">
        <v>0</v>
      </c>
      <c r="R239" s="2" t="inlineStr"/>
    </row>
    <row r="240" ht="15" customHeight="1">
      <c r="A240" t="inlineStr">
        <is>
          <t>A 35781-2023</t>
        </is>
      </c>
      <c r="B240" s="1" t="n">
        <v>45147</v>
      </c>
      <c r="C240" s="1" t="n">
        <v>45976</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1993-2023</t>
        </is>
      </c>
      <c r="B241" s="1" t="n">
        <v>44939</v>
      </c>
      <c r="C241" s="1" t="n">
        <v>45976</v>
      </c>
      <c r="D241" t="inlineStr">
        <is>
          <t>ÖSTERGÖTLANDS LÄN</t>
        </is>
      </c>
      <c r="E241" t="inlineStr">
        <is>
          <t>LINKÖPING</t>
        </is>
      </c>
      <c r="G241" t="n">
        <v>3.7</v>
      </c>
      <c r="H241" t="n">
        <v>0</v>
      </c>
      <c r="I241" t="n">
        <v>0</v>
      </c>
      <c r="J241" t="n">
        <v>0</v>
      </c>
      <c r="K241" t="n">
        <v>0</v>
      </c>
      <c r="L241" t="n">
        <v>0</v>
      </c>
      <c r="M241" t="n">
        <v>0</v>
      </c>
      <c r="N241" t="n">
        <v>0</v>
      </c>
      <c r="O241" t="n">
        <v>0</v>
      </c>
      <c r="P241" t="n">
        <v>0</v>
      </c>
      <c r="Q241" t="n">
        <v>0</v>
      </c>
      <c r="R241" s="2" t="inlineStr"/>
    </row>
    <row r="242" ht="15" customHeight="1">
      <c r="A242" t="inlineStr">
        <is>
          <t>A 67912-2021</t>
        </is>
      </c>
      <c r="B242" s="1" t="n">
        <v>44525</v>
      </c>
      <c r="C242" s="1" t="n">
        <v>45976</v>
      </c>
      <c r="D242" t="inlineStr">
        <is>
          <t>ÖSTERGÖTLANDS LÄN</t>
        </is>
      </c>
      <c r="E242" t="inlineStr">
        <is>
          <t>LINKÖPING</t>
        </is>
      </c>
      <c r="G242" t="n">
        <v>2.4</v>
      </c>
      <c r="H242" t="n">
        <v>0</v>
      </c>
      <c r="I242" t="n">
        <v>0</v>
      </c>
      <c r="J242" t="n">
        <v>0</v>
      </c>
      <c r="K242" t="n">
        <v>0</v>
      </c>
      <c r="L242" t="n">
        <v>0</v>
      </c>
      <c r="M242" t="n">
        <v>0</v>
      </c>
      <c r="N242" t="n">
        <v>0</v>
      </c>
      <c r="O242" t="n">
        <v>0</v>
      </c>
      <c r="P242" t="n">
        <v>0</v>
      </c>
      <c r="Q242" t="n">
        <v>0</v>
      </c>
      <c r="R242" s="2" t="inlineStr"/>
    </row>
    <row r="243" ht="15" customHeight="1">
      <c r="A243" t="inlineStr">
        <is>
          <t>A 67940-2021</t>
        </is>
      </c>
      <c r="B243" s="1" t="n">
        <v>44525.62849537037</v>
      </c>
      <c r="C243" s="1" t="n">
        <v>45976</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6387-2022</t>
        </is>
      </c>
      <c r="B244" s="1" t="n">
        <v>44600</v>
      </c>
      <c r="C244" s="1" t="n">
        <v>45976</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12428-2024</t>
        </is>
      </c>
      <c r="B245" s="1" t="n">
        <v>45379</v>
      </c>
      <c r="C245" s="1" t="n">
        <v>45976</v>
      </c>
      <c r="D245" t="inlineStr">
        <is>
          <t>ÖSTERGÖTLANDS LÄN</t>
        </is>
      </c>
      <c r="E245" t="inlineStr">
        <is>
          <t>LINKÖPING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48707-2023</t>
        </is>
      </c>
      <c r="B246" s="1" t="n">
        <v>45202</v>
      </c>
      <c r="C246" s="1" t="n">
        <v>45976</v>
      </c>
      <c r="D246" t="inlineStr">
        <is>
          <t>ÖSTERGÖTLANDS LÄN</t>
        </is>
      </c>
      <c r="E246" t="inlineStr">
        <is>
          <t>LINKÖPING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26618-2023</t>
        </is>
      </c>
      <c r="B247" s="1" t="n">
        <v>45092.70306712963</v>
      </c>
      <c r="C247" s="1" t="n">
        <v>45976</v>
      </c>
      <c r="D247" t="inlineStr">
        <is>
          <t>ÖSTERGÖTLANDS LÄN</t>
        </is>
      </c>
      <c r="E247" t="inlineStr">
        <is>
          <t>LINKÖPING</t>
        </is>
      </c>
      <c r="G247" t="n">
        <v>6.9</v>
      </c>
      <c r="H247" t="n">
        <v>0</v>
      </c>
      <c r="I247" t="n">
        <v>0</v>
      </c>
      <c r="J247" t="n">
        <v>0</v>
      </c>
      <c r="K247" t="n">
        <v>0</v>
      </c>
      <c r="L247" t="n">
        <v>0</v>
      </c>
      <c r="M247" t="n">
        <v>0</v>
      </c>
      <c r="N247" t="n">
        <v>0</v>
      </c>
      <c r="O247" t="n">
        <v>0</v>
      </c>
      <c r="P247" t="n">
        <v>0</v>
      </c>
      <c r="Q247" t="n">
        <v>0</v>
      </c>
      <c r="R247" s="2" t="inlineStr"/>
    </row>
    <row r="248" ht="15" customHeight="1">
      <c r="A248" t="inlineStr">
        <is>
          <t>A 34930-2023</t>
        </is>
      </c>
      <c r="B248" s="1" t="n">
        <v>45142</v>
      </c>
      <c r="C248" s="1" t="n">
        <v>45976</v>
      </c>
      <c r="D248" t="inlineStr">
        <is>
          <t>ÖSTERGÖTLANDS LÄN</t>
        </is>
      </c>
      <c r="E248" t="inlineStr">
        <is>
          <t>LINKÖPING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670-2024</t>
        </is>
      </c>
      <c r="B249" s="1" t="n">
        <v>45300.3408912037</v>
      </c>
      <c r="C249" s="1" t="n">
        <v>45976</v>
      </c>
      <c r="D249" t="inlineStr">
        <is>
          <t>ÖSTERGÖTLANDS LÄN</t>
        </is>
      </c>
      <c r="E249" t="inlineStr">
        <is>
          <t>LINKÖPING</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63845-2021</t>
        </is>
      </c>
      <c r="B250" s="1" t="n">
        <v>44509</v>
      </c>
      <c r="C250" s="1" t="n">
        <v>45976</v>
      </c>
      <c r="D250" t="inlineStr">
        <is>
          <t>ÖSTERGÖTLANDS LÄN</t>
        </is>
      </c>
      <c r="E250" t="inlineStr">
        <is>
          <t>LINKÖPING</t>
        </is>
      </c>
      <c r="G250" t="n">
        <v>5</v>
      </c>
      <c r="H250" t="n">
        <v>0</v>
      </c>
      <c r="I250" t="n">
        <v>0</v>
      </c>
      <c r="J250" t="n">
        <v>0</v>
      </c>
      <c r="K250" t="n">
        <v>0</v>
      </c>
      <c r="L250" t="n">
        <v>0</v>
      </c>
      <c r="M250" t="n">
        <v>0</v>
      </c>
      <c r="N250" t="n">
        <v>0</v>
      </c>
      <c r="O250" t="n">
        <v>0</v>
      </c>
      <c r="P250" t="n">
        <v>0</v>
      </c>
      <c r="Q250" t="n">
        <v>0</v>
      </c>
      <c r="R250" s="2" t="inlineStr"/>
    </row>
    <row r="251" ht="15" customHeight="1">
      <c r="A251" t="inlineStr">
        <is>
          <t>A 22771-2024</t>
        </is>
      </c>
      <c r="B251" s="1" t="n">
        <v>45448.46574074074</v>
      </c>
      <c r="C251" s="1" t="n">
        <v>45976</v>
      </c>
      <c r="D251" t="inlineStr">
        <is>
          <t>ÖSTERGÖTLANDS LÄN</t>
        </is>
      </c>
      <c r="E251" t="inlineStr">
        <is>
          <t>LINKÖPING</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54034-2022</t>
        </is>
      </c>
      <c r="B252" s="1" t="n">
        <v>44881</v>
      </c>
      <c r="C252" s="1" t="n">
        <v>45976</v>
      </c>
      <c r="D252" t="inlineStr">
        <is>
          <t>ÖSTERGÖTLANDS LÄN</t>
        </is>
      </c>
      <c r="E252" t="inlineStr">
        <is>
          <t>LINKÖPING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52220-2023</t>
        </is>
      </c>
      <c r="B253" s="1" t="n">
        <v>45217</v>
      </c>
      <c r="C253" s="1" t="n">
        <v>45976</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52225-2023</t>
        </is>
      </c>
      <c r="B254" s="1" t="n">
        <v>45217</v>
      </c>
      <c r="C254" s="1" t="n">
        <v>45976</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36336-2023</t>
        </is>
      </c>
      <c r="B255" s="1" t="n">
        <v>45152.45078703704</v>
      </c>
      <c r="C255" s="1" t="n">
        <v>45976</v>
      </c>
      <c r="D255" t="inlineStr">
        <is>
          <t>ÖSTERGÖTLANDS LÄN</t>
        </is>
      </c>
      <c r="E255" t="inlineStr">
        <is>
          <t>LINKÖPING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48829-2023</t>
        </is>
      </c>
      <c r="B256" s="1" t="n">
        <v>45209.38177083333</v>
      </c>
      <c r="C256" s="1" t="n">
        <v>45976</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12089-2025</t>
        </is>
      </c>
      <c r="B257" s="1" t="n">
        <v>45729</v>
      </c>
      <c r="C257" s="1" t="n">
        <v>45976</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42832-2023</t>
        </is>
      </c>
      <c r="B258" s="1" t="n">
        <v>45182.38091435185</v>
      </c>
      <c r="C258" s="1" t="n">
        <v>45976</v>
      </c>
      <c r="D258" t="inlineStr">
        <is>
          <t>ÖSTERGÖTLANDS LÄN</t>
        </is>
      </c>
      <c r="E258" t="inlineStr">
        <is>
          <t>LINKÖPING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15658-2023</t>
        </is>
      </c>
      <c r="B259" s="1" t="n">
        <v>45021.41194444444</v>
      </c>
      <c r="C259" s="1" t="n">
        <v>45976</v>
      </c>
      <c r="D259" t="inlineStr">
        <is>
          <t>ÖSTERGÖTLANDS LÄN</t>
        </is>
      </c>
      <c r="E259" t="inlineStr">
        <is>
          <t>LINKÖPING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56560-2023</t>
        </is>
      </c>
      <c r="B260" s="1" t="n">
        <v>45238</v>
      </c>
      <c r="C260" s="1" t="n">
        <v>45976</v>
      </c>
      <c r="D260" t="inlineStr">
        <is>
          <t>ÖSTERGÖTLANDS LÄN</t>
        </is>
      </c>
      <c r="E260" t="inlineStr">
        <is>
          <t>LINKÖPING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52412-2023</t>
        </is>
      </c>
      <c r="B261" s="1" t="n">
        <v>45225.27888888889</v>
      </c>
      <c r="C261" s="1" t="n">
        <v>45976</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52413-2023</t>
        </is>
      </c>
      <c r="B262" s="1" t="n">
        <v>45225.27950231481</v>
      </c>
      <c r="C262" s="1" t="n">
        <v>45976</v>
      </c>
      <c r="D262" t="inlineStr">
        <is>
          <t>ÖSTERGÖTLANDS LÄN</t>
        </is>
      </c>
      <c r="E262" t="inlineStr">
        <is>
          <t>LINKÖPING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37057-2025</t>
        </is>
      </c>
      <c r="B263" s="1" t="n">
        <v>45875.37489583333</v>
      </c>
      <c r="C263" s="1" t="n">
        <v>45976</v>
      </c>
      <c r="D263" t="inlineStr">
        <is>
          <t>ÖSTERGÖTLANDS LÄN</t>
        </is>
      </c>
      <c r="E263" t="inlineStr">
        <is>
          <t>LINKÖPING</t>
        </is>
      </c>
      <c r="G263" t="n">
        <v>3.3</v>
      </c>
      <c r="H263" t="n">
        <v>0</v>
      </c>
      <c r="I263" t="n">
        <v>0</v>
      </c>
      <c r="J263" t="n">
        <v>0</v>
      </c>
      <c r="K263" t="n">
        <v>0</v>
      </c>
      <c r="L263" t="n">
        <v>0</v>
      </c>
      <c r="M263" t="n">
        <v>0</v>
      </c>
      <c r="N263" t="n">
        <v>0</v>
      </c>
      <c r="O263" t="n">
        <v>0</v>
      </c>
      <c r="P263" t="n">
        <v>0</v>
      </c>
      <c r="Q263" t="n">
        <v>0</v>
      </c>
      <c r="R263" s="2" t="inlineStr"/>
    </row>
    <row r="264" ht="15" customHeight="1">
      <c r="A264" t="inlineStr">
        <is>
          <t>A 7354-2025</t>
        </is>
      </c>
      <c r="B264" s="1" t="n">
        <v>45704.41174768518</v>
      </c>
      <c r="C264" s="1" t="n">
        <v>45976</v>
      </c>
      <c r="D264" t="inlineStr">
        <is>
          <t>ÖSTERGÖTLANDS LÄN</t>
        </is>
      </c>
      <c r="E264" t="inlineStr">
        <is>
          <t>LINKÖPING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38886-2024</t>
        </is>
      </c>
      <c r="B265" s="1" t="n">
        <v>45547.66443287037</v>
      </c>
      <c r="C265" s="1" t="n">
        <v>45976</v>
      </c>
      <c r="D265" t="inlineStr">
        <is>
          <t>ÖSTERGÖTLANDS LÄN</t>
        </is>
      </c>
      <c r="E265" t="inlineStr">
        <is>
          <t>LINKÖPING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51583-2024</t>
        </is>
      </c>
      <c r="B266" s="1" t="n">
        <v>45604.6397337963</v>
      </c>
      <c r="C266" s="1" t="n">
        <v>45976</v>
      </c>
      <c r="D266" t="inlineStr">
        <is>
          <t>ÖSTERGÖTLANDS LÄN</t>
        </is>
      </c>
      <c r="E266" t="inlineStr">
        <is>
          <t>LINKÖPING</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45976</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32602-2022</t>
        </is>
      </c>
      <c r="B268" s="1" t="n">
        <v>44783.43192129629</v>
      </c>
      <c r="C268" s="1" t="n">
        <v>45976</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48186-2022</t>
        </is>
      </c>
      <c r="B269" s="1" t="n">
        <v>44858</v>
      </c>
      <c r="C269" s="1" t="n">
        <v>45976</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62321-2022</t>
        </is>
      </c>
      <c r="B270" s="1" t="n">
        <v>44916</v>
      </c>
      <c r="C270" s="1" t="n">
        <v>45976</v>
      </c>
      <c r="D270" t="inlineStr">
        <is>
          <t>ÖSTERGÖTLANDS LÄN</t>
        </is>
      </c>
      <c r="E270" t="inlineStr">
        <is>
          <t>LINKÖPING</t>
        </is>
      </c>
      <c r="F270" t="inlineStr">
        <is>
          <t>Kommuner</t>
        </is>
      </c>
      <c r="G270" t="n">
        <v>5.3</v>
      </c>
      <c r="H270" t="n">
        <v>0</v>
      </c>
      <c r="I270" t="n">
        <v>0</v>
      </c>
      <c r="J270" t="n">
        <v>0</v>
      </c>
      <c r="K270" t="n">
        <v>0</v>
      </c>
      <c r="L270" t="n">
        <v>0</v>
      </c>
      <c r="M270" t="n">
        <v>0</v>
      </c>
      <c r="N270" t="n">
        <v>0</v>
      </c>
      <c r="O270" t="n">
        <v>0</v>
      </c>
      <c r="P270" t="n">
        <v>0</v>
      </c>
      <c r="Q270" t="n">
        <v>0</v>
      </c>
      <c r="R270" s="2" t="inlineStr"/>
    </row>
    <row r="271" ht="15" customHeight="1">
      <c r="A271" t="inlineStr">
        <is>
          <t>A 63669-2023</t>
        </is>
      </c>
      <c r="B271" s="1" t="n">
        <v>45275</v>
      </c>
      <c r="C271" s="1" t="n">
        <v>45976</v>
      </c>
      <c r="D271" t="inlineStr">
        <is>
          <t>ÖSTERGÖTLANDS LÄN</t>
        </is>
      </c>
      <c r="E271" t="inlineStr">
        <is>
          <t>LINKÖPING</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24586-2024</t>
        </is>
      </c>
      <c r="B272" s="1" t="n">
        <v>45460.46664351852</v>
      </c>
      <c r="C272" s="1" t="n">
        <v>45976</v>
      </c>
      <c r="D272" t="inlineStr">
        <is>
          <t>ÖSTERGÖTLANDS LÄN</t>
        </is>
      </c>
      <c r="E272" t="inlineStr">
        <is>
          <t>LINKÖPING</t>
        </is>
      </c>
      <c r="G272" t="n">
        <v>4</v>
      </c>
      <c r="H272" t="n">
        <v>0</v>
      </c>
      <c r="I272" t="n">
        <v>0</v>
      </c>
      <c r="J272" t="n">
        <v>0</v>
      </c>
      <c r="K272" t="n">
        <v>0</v>
      </c>
      <c r="L272" t="n">
        <v>0</v>
      </c>
      <c r="M272" t="n">
        <v>0</v>
      </c>
      <c r="N272" t="n">
        <v>0</v>
      </c>
      <c r="O272" t="n">
        <v>0</v>
      </c>
      <c r="P272" t="n">
        <v>0</v>
      </c>
      <c r="Q272" t="n">
        <v>0</v>
      </c>
      <c r="R272" s="2" t="inlineStr"/>
    </row>
    <row r="273" ht="15" customHeight="1">
      <c r="A273" t="inlineStr">
        <is>
          <t>A 59576-2024</t>
        </is>
      </c>
      <c r="B273" s="1" t="n">
        <v>45638.66378472222</v>
      </c>
      <c r="C273" s="1" t="n">
        <v>45976</v>
      </c>
      <c r="D273" t="inlineStr">
        <is>
          <t>ÖSTERGÖTLANDS LÄN</t>
        </is>
      </c>
      <c r="E273" t="inlineStr">
        <is>
          <t>LINKÖPING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59642-2024</t>
        </is>
      </c>
      <c r="B274" s="1" t="n">
        <v>45639.31511574074</v>
      </c>
      <c r="C274" s="1" t="n">
        <v>45976</v>
      </c>
      <c r="D274" t="inlineStr">
        <is>
          <t>ÖSTERGÖTLANDS LÄN</t>
        </is>
      </c>
      <c r="E274" t="inlineStr">
        <is>
          <t>LINKÖPING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59674-2024</t>
        </is>
      </c>
      <c r="B275" s="1" t="n">
        <v>45639</v>
      </c>
      <c r="C275" s="1" t="n">
        <v>45976</v>
      </c>
      <c r="D275" t="inlineStr">
        <is>
          <t>ÖSTERGÖTLANDS LÄN</t>
        </is>
      </c>
      <c r="E275" t="inlineStr">
        <is>
          <t>LINKÖPING</t>
        </is>
      </c>
      <c r="G275" t="n">
        <v>6.3</v>
      </c>
      <c r="H275" t="n">
        <v>0</v>
      </c>
      <c r="I275" t="n">
        <v>0</v>
      </c>
      <c r="J275" t="n">
        <v>0</v>
      </c>
      <c r="K275" t="n">
        <v>0</v>
      </c>
      <c r="L275" t="n">
        <v>0</v>
      </c>
      <c r="M275" t="n">
        <v>0</v>
      </c>
      <c r="N275" t="n">
        <v>0</v>
      </c>
      <c r="O275" t="n">
        <v>0</v>
      </c>
      <c r="P275" t="n">
        <v>0</v>
      </c>
      <c r="Q275" t="n">
        <v>0</v>
      </c>
      <c r="R275" s="2" t="inlineStr"/>
    </row>
    <row r="276" ht="15" customHeight="1">
      <c r="A276" t="inlineStr">
        <is>
          <t>A 1084-2023</t>
        </is>
      </c>
      <c r="B276" s="1" t="n">
        <v>44929</v>
      </c>
      <c r="C276" s="1" t="n">
        <v>45976</v>
      </c>
      <c r="D276" t="inlineStr">
        <is>
          <t>ÖSTERGÖTLANDS LÄN</t>
        </is>
      </c>
      <c r="E276" t="inlineStr">
        <is>
          <t>LINKÖPING</t>
        </is>
      </c>
      <c r="G276" t="n">
        <v>10.4</v>
      </c>
      <c r="H276" t="n">
        <v>0</v>
      </c>
      <c r="I276" t="n">
        <v>0</v>
      </c>
      <c r="J276" t="n">
        <v>0</v>
      </c>
      <c r="K276" t="n">
        <v>0</v>
      </c>
      <c r="L276" t="n">
        <v>0</v>
      </c>
      <c r="M276" t="n">
        <v>0</v>
      </c>
      <c r="N276" t="n">
        <v>0</v>
      </c>
      <c r="O276" t="n">
        <v>0</v>
      </c>
      <c r="P276" t="n">
        <v>0</v>
      </c>
      <c r="Q276" t="n">
        <v>0</v>
      </c>
      <c r="R276" s="2" t="inlineStr"/>
    </row>
    <row r="277" ht="15" customHeight="1">
      <c r="A277" t="inlineStr">
        <is>
          <t>A 267-2023</t>
        </is>
      </c>
      <c r="B277" s="1" t="n">
        <v>44928.80907407407</v>
      </c>
      <c r="C277" s="1" t="n">
        <v>45976</v>
      </c>
      <c r="D277" t="inlineStr">
        <is>
          <t>ÖSTERGÖTLANDS LÄN</t>
        </is>
      </c>
      <c r="E277" t="inlineStr">
        <is>
          <t>LINKÖPING</t>
        </is>
      </c>
      <c r="G277" t="n">
        <v>2.7</v>
      </c>
      <c r="H277" t="n">
        <v>0</v>
      </c>
      <c r="I277" t="n">
        <v>0</v>
      </c>
      <c r="J277" t="n">
        <v>0</v>
      </c>
      <c r="K277" t="n">
        <v>0</v>
      </c>
      <c r="L277" t="n">
        <v>0</v>
      </c>
      <c r="M277" t="n">
        <v>0</v>
      </c>
      <c r="N277" t="n">
        <v>0</v>
      </c>
      <c r="O277" t="n">
        <v>0</v>
      </c>
      <c r="P277" t="n">
        <v>0</v>
      </c>
      <c r="Q277" t="n">
        <v>0</v>
      </c>
      <c r="R277" s="2" t="inlineStr"/>
    </row>
    <row r="278" ht="15" customHeight="1">
      <c r="A278" t="inlineStr">
        <is>
          <t>A 940-2023</t>
        </is>
      </c>
      <c r="B278" s="1" t="n">
        <v>44933</v>
      </c>
      <c r="C278" s="1" t="n">
        <v>45976</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3742-2021</t>
        </is>
      </c>
      <c r="B279" s="1" t="n">
        <v>44221</v>
      </c>
      <c r="C279" s="1" t="n">
        <v>45976</v>
      </c>
      <c r="D279" t="inlineStr">
        <is>
          <t>ÖSTERGÖTLANDS LÄN</t>
        </is>
      </c>
      <c r="E279" t="inlineStr">
        <is>
          <t>LINKÖPING</t>
        </is>
      </c>
      <c r="G279" t="n">
        <v>5.5</v>
      </c>
      <c r="H279" t="n">
        <v>0</v>
      </c>
      <c r="I279" t="n">
        <v>0</v>
      </c>
      <c r="J279" t="n">
        <v>0</v>
      </c>
      <c r="K279" t="n">
        <v>0</v>
      </c>
      <c r="L279" t="n">
        <v>0</v>
      </c>
      <c r="M279" t="n">
        <v>0</v>
      </c>
      <c r="N279" t="n">
        <v>0</v>
      </c>
      <c r="O279" t="n">
        <v>0</v>
      </c>
      <c r="P279" t="n">
        <v>0</v>
      </c>
      <c r="Q279" t="n">
        <v>0</v>
      </c>
      <c r="R279" s="2" t="inlineStr"/>
    </row>
    <row r="280" ht="15" customHeight="1">
      <c r="A280" t="inlineStr">
        <is>
          <t>A 18916-2024</t>
        </is>
      </c>
      <c r="B280" s="1" t="n">
        <v>45427.39541666667</v>
      </c>
      <c r="C280" s="1" t="n">
        <v>45976</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6369-2023</t>
        </is>
      </c>
      <c r="B281" s="1" t="n">
        <v>44965.61106481482</v>
      </c>
      <c r="C281" s="1" t="n">
        <v>45976</v>
      </c>
      <c r="D281" t="inlineStr">
        <is>
          <t>ÖSTERGÖTLANDS LÄN</t>
        </is>
      </c>
      <c r="E281" t="inlineStr">
        <is>
          <t>LINKÖPING</t>
        </is>
      </c>
      <c r="G281" t="n">
        <v>4</v>
      </c>
      <c r="H281" t="n">
        <v>0</v>
      </c>
      <c r="I281" t="n">
        <v>0</v>
      </c>
      <c r="J281" t="n">
        <v>0</v>
      </c>
      <c r="K281" t="n">
        <v>0</v>
      </c>
      <c r="L281" t="n">
        <v>0</v>
      </c>
      <c r="M281" t="n">
        <v>0</v>
      </c>
      <c r="N281" t="n">
        <v>0</v>
      </c>
      <c r="O281" t="n">
        <v>0</v>
      </c>
      <c r="P281" t="n">
        <v>0</v>
      </c>
      <c r="Q281" t="n">
        <v>0</v>
      </c>
      <c r="R281" s="2" t="inlineStr"/>
    </row>
    <row r="282" ht="15" customHeight="1">
      <c r="A282" t="inlineStr">
        <is>
          <t>A 11084-2022</t>
        </is>
      </c>
      <c r="B282" s="1" t="n">
        <v>44628</v>
      </c>
      <c r="C282" s="1" t="n">
        <v>45976</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30980-2022</t>
        </is>
      </c>
      <c r="B283" s="1" t="n">
        <v>44768</v>
      </c>
      <c r="C283" s="1" t="n">
        <v>45976</v>
      </c>
      <c r="D283" t="inlineStr">
        <is>
          <t>ÖSTERGÖTLANDS LÄN</t>
        </is>
      </c>
      <c r="E283" t="inlineStr">
        <is>
          <t>LINKÖPING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60007-2022</t>
        </is>
      </c>
      <c r="B284" s="1" t="n">
        <v>44909.47282407407</v>
      </c>
      <c r="C284" s="1" t="n">
        <v>45976</v>
      </c>
      <c r="D284" t="inlineStr">
        <is>
          <t>ÖSTERGÖTLANDS LÄN</t>
        </is>
      </c>
      <c r="E284" t="inlineStr">
        <is>
          <t>LINKÖPING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25829-2025</t>
        </is>
      </c>
      <c r="B285" s="1" t="n">
        <v>45804.44505787037</v>
      </c>
      <c r="C285" s="1" t="n">
        <v>45976</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38046-2025</t>
        </is>
      </c>
      <c r="B286" s="1" t="n">
        <v>45882.39939814815</v>
      </c>
      <c r="C286" s="1" t="n">
        <v>45976</v>
      </c>
      <c r="D286" t="inlineStr">
        <is>
          <t>ÖSTERGÖTLANDS LÄN</t>
        </is>
      </c>
      <c r="E286" t="inlineStr">
        <is>
          <t>LINKÖPING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50799-2022</t>
        </is>
      </c>
      <c r="B287" s="1" t="n">
        <v>44862</v>
      </c>
      <c r="C287" s="1" t="n">
        <v>45976</v>
      </c>
      <c r="D287" t="inlineStr">
        <is>
          <t>ÖSTERGÖTLANDS LÄN</t>
        </is>
      </c>
      <c r="E287" t="inlineStr">
        <is>
          <t>LINKÖPING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10203-2023</t>
        </is>
      </c>
      <c r="B288" s="1" t="n">
        <v>44986.55711805556</v>
      </c>
      <c r="C288" s="1" t="n">
        <v>45976</v>
      </c>
      <c r="D288" t="inlineStr">
        <is>
          <t>ÖSTERGÖTLANDS LÄN</t>
        </is>
      </c>
      <c r="E288" t="inlineStr">
        <is>
          <t>LINKÖPING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56064-2022</t>
        </is>
      </c>
      <c r="B289" s="1" t="n">
        <v>44889.59107638889</v>
      </c>
      <c r="C289" s="1" t="n">
        <v>45976</v>
      </c>
      <c r="D289" t="inlineStr">
        <is>
          <t>ÖSTERGÖTLANDS LÄN</t>
        </is>
      </c>
      <c r="E289" t="inlineStr">
        <is>
          <t>LINKÖPING</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47703-2023</t>
        </is>
      </c>
      <c r="B290" s="1" t="n">
        <v>45203</v>
      </c>
      <c r="C290" s="1" t="n">
        <v>45976</v>
      </c>
      <c r="D290" t="inlineStr">
        <is>
          <t>ÖSTERGÖTLANDS LÄN</t>
        </is>
      </c>
      <c r="E290" t="inlineStr">
        <is>
          <t>LINKÖPING</t>
        </is>
      </c>
      <c r="G290" t="n">
        <v>4.1</v>
      </c>
      <c r="H290" t="n">
        <v>0</v>
      </c>
      <c r="I290" t="n">
        <v>0</v>
      </c>
      <c r="J290" t="n">
        <v>0</v>
      </c>
      <c r="K290" t="n">
        <v>0</v>
      </c>
      <c r="L290" t="n">
        <v>0</v>
      </c>
      <c r="M290" t="n">
        <v>0</v>
      </c>
      <c r="N290" t="n">
        <v>0</v>
      </c>
      <c r="O290" t="n">
        <v>0</v>
      </c>
      <c r="P290" t="n">
        <v>0</v>
      </c>
      <c r="Q290" t="n">
        <v>0</v>
      </c>
      <c r="R290" s="2" t="inlineStr"/>
    </row>
    <row r="291" ht="15" customHeight="1">
      <c r="A291" t="inlineStr">
        <is>
          <t>A 2618-2023</t>
        </is>
      </c>
      <c r="B291" s="1" t="n">
        <v>44944.35847222222</v>
      </c>
      <c r="C291" s="1" t="n">
        <v>45976</v>
      </c>
      <c r="D291" t="inlineStr">
        <is>
          <t>ÖSTERGÖTLANDS LÄN</t>
        </is>
      </c>
      <c r="E291" t="inlineStr">
        <is>
          <t>LINKÖPING</t>
        </is>
      </c>
      <c r="G291" t="n">
        <v>4.3</v>
      </c>
      <c r="H291" t="n">
        <v>0</v>
      </c>
      <c r="I291" t="n">
        <v>0</v>
      </c>
      <c r="J291" t="n">
        <v>0</v>
      </c>
      <c r="K291" t="n">
        <v>0</v>
      </c>
      <c r="L291" t="n">
        <v>0</v>
      </c>
      <c r="M291" t="n">
        <v>0</v>
      </c>
      <c r="N291" t="n">
        <v>0</v>
      </c>
      <c r="O291" t="n">
        <v>0</v>
      </c>
      <c r="P291" t="n">
        <v>0</v>
      </c>
      <c r="Q291" t="n">
        <v>0</v>
      </c>
      <c r="R291" s="2" t="inlineStr"/>
    </row>
    <row r="292" ht="15" customHeight="1">
      <c r="A292" t="inlineStr">
        <is>
          <t>A 16111-2022</t>
        </is>
      </c>
      <c r="B292" s="1" t="n">
        <v>44665</v>
      </c>
      <c r="C292" s="1" t="n">
        <v>45976</v>
      </c>
      <c r="D292" t="inlineStr">
        <is>
          <t>ÖSTERGÖTLANDS LÄN</t>
        </is>
      </c>
      <c r="E292" t="inlineStr">
        <is>
          <t>LINKÖPING</t>
        </is>
      </c>
      <c r="F292" t="inlineStr">
        <is>
          <t>Övriga Aktiebolag</t>
        </is>
      </c>
      <c r="G292" t="n">
        <v>2.9</v>
      </c>
      <c r="H292" t="n">
        <v>0</v>
      </c>
      <c r="I292" t="n">
        <v>0</v>
      </c>
      <c r="J292" t="n">
        <v>0</v>
      </c>
      <c r="K292" t="n">
        <v>0</v>
      </c>
      <c r="L292" t="n">
        <v>0</v>
      </c>
      <c r="M292" t="n">
        <v>0</v>
      </c>
      <c r="N292" t="n">
        <v>0</v>
      </c>
      <c r="O292" t="n">
        <v>0</v>
      </c>
      <c r="P292" t="n">
        <v>0</v>
      </c>
      <c r="Q292" t="n">
        <v>0</v>
      </c>
      <c r="R292" s="2" t="inlineStr"/>
    </row>
    <row r="293" ht="15" customHeight="1">
      <c r="A293" t="inlineStr">
        <is>
          <t>A 55945-2024</t>
        </is>
      </c>
      <c r="B293" s="1" t="n">
        <v>45623.61754629629</v>
      </c>
      <c r="C293" s="1" t="n">
        <v>45976</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34928-2023</t>
        </is>
      </c>
      <c r="B294" s="1" t="n">
        <v>45142</v>
      </c>
      <c r="C294" s="1" t="n">
        <v>45976</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1263-2024</t>
        </is>
      </c>
      <c r="B295" s="1" t="n">
        <v>45302</v>
      </c>
      <c r="C295" s="1" t="n">
        <v>45976</v>
      </c>
      <c r="D295" t="inlineStr">
        <is>
          <t>ÖSTERGÖTLANDS LÄN</t>
        </is>
      </c>
      <c r="E295" t="inlineStr">
        <is>
          <t>LINKÖPING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52531-2023</t>
        </is>
      </c>
      <c r="B296" s="1" t="n">
        <v>45225</v>
      </c>
      <c r="C296" s="1" t="n">
        <v>45976</v>
      </c>
      <c r="D296" t="inlineStr">
        <is>
          <t>ÖSTERGÖTLANDS LÄN</t>
        </is>
      </c>
      <c r="E296" t="inlineStr">
        <is>
          <t>LINKÖPING</t>
        </is>
      </c>
      <c r="F296" t="inlineStr">
        <is>
          <t>Övriga Aktiebolag</t>
        </is>
      </c>
      <c r="G296" t="n">
        <v>1</v>
      </c>
      <c r="H296" t="n">
        <v>0</v>
      </c>
      <c r="I296" t="n">
        <v>0</v>
      </c>
      <c r="J296" t="n">
        <v>0</v>
      </c>
      <c r="K296" t="n">
        <v>0</v>
      </c>
      <c r="L296" t="n">
        <v>0</v>
      </c>
      <c r="M296" t="n">
        <v>0</v>
      </c>
      <c r="N296" t="n">
        <v>0</v>
      </c>
      <c r="O296" t="n">
        <v>0</v>
      </c>
      <c r="P296" t="n">
        <v>0</v>
      </c>
      <c r="Q296" t="n">
        <v>0</v>
      </c>
      <c r="R296" s="2" t="inlineStr"/>
    </row>
    <row r="297" ht="15" customHeight="1">
      <c r="A297" t="inlineStr">
        <is>
          <t>A 48962-2022</t>
        </is>
      </c>
      <c r="B297" s="1" t="n">
        <v>44860.31635416667</v>
      </c>
      <c r="C297" s="1" t="n">
        <v>45976</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62020-2024</t>
        </is>
      </c>
      <c r="B298" s="1" t="n">
        <v>45655.83563657408</v>
      </c>
      <c r="C298" s="1" t="n">
        <v>45976</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62021-2024</t>
        </is>
      </c>
      <c r="B299" s="1" t="n">
        <v>45655.84232638889</v>
      </c>
      <c r="C299" s="1" t="n">
        <v>45976</v>
      </c>
      <c r="D299" t="inlineStr">
        <is>
          <t>ÖSTERGÖTLANDS LÄN</t>
        </is>
      </c>
      <c r="E299" t="inlineStr">
        <is>
          <t>LINKÖPING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27891-2021</t>
        </is>
      </c>
      <c r="B300" s="1" t="n">
        <v>44354.65108796296</v>
      </c>
      <c r="C300" s="1" t="n">
        <v>45976</v>
      </c>
      <c r="D300" t="inlineStr">
        <is>
          <t>ÖSTERGÖTLANDS LÄN</t>
        </is>
      </c>
      <c r="E300" t="inlineStr">
        <is>
          <t>LINKÖPING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39457-2023</t>
        </is>
      </c>
      <c r="B301" s="1" t="n">
        <v>45166</v>
      </c>
      <c r="C301" s="1" t="n">
        <v>45976</v>
      </c>
      <c r="D301" t="inlineStr">
        <is>
          <t>ÖSTERGÖTLANDS LÄN</t>
        </is>
      </c>
      <c r="E301" t="inlineStr">
        <is>
          <t>LINKÖPING</t>
        </is>
      </c>
      <c r="G301" t="n">
        <v>2.1</v>
      </c>
      <c r="H301" t="n">
        <v>0</v>
      </c>
      <c r="I301" t="n">
        <v>0</v>
      </c>
      <c r="J301" t="n">
        <v>0</v>
      </c>
      <c r="K301" t="n">
        <v>0</v>
      </c>
      <c r="L301" t="n">
        <v>0</v>
      </c>
      <c r="M301" t="n">
        <v>0</v>
      </c>
      <c r="N301" t="n">
        <v>0</v>
      </c>
      <c r="O301" t="n">
        <v>0</v>
      </c>
      <c r="P301" t="n">
        <v>0</v>
      </c>
      <c r="Q301" t="n">
        <v>0</v>
      </c>
      <c r="R301" s="2" t="inlineStr"/>
    </row>
    <row r="302" ht="15" customHeight="1">
      <c r="A302" t="inlineStr">
        <is>
          <t>A 61281-2021</t>
        </is>
      </c>
      <c r="B302" s="1" t="n">
        <v>44498.60736111111</v>
      </c>
      <c r="C302" s="1" t="n">
        <v>45976</v>
      </c>
      <c r="D302" t="inlineStr">
        <is>
          <t>ÖSTERGÖTLANDS LÄN</t>
        </is>
      </c>
      <c r="E302" t="inlineStr">
        <is>
          <t>LINKÖPING</t>
        </is>
      </c>
      <c r="G302" t="n">
        <v>4.5</v>
      </c>
      <c r="H302" t="n">
        <v>0</v>
      </c>
      <c r="I302" t="n">
        <v>0</v>
      </c>
      <c r="J302" t="n">
        <v>0</v>
      </c>
      <c r="K302" t="n">
        <v>0</v>
      </c>
      <c r="L302" t="n">
        <v>0</v>
      </c>
      <c r="M302" t="n">
        <v>0</v>
      </c>
      <c r="N302" t="n">
        <v>0</v>
      </c>
      <c r="O302" t="n">
        <v>0</v>
      </c>
      <c r="P302" t="n">
        <v>0</v>
      </c>
      <c r="Q302" t="n">
        <v>0</v>
      </c>
      <c r="R302" s="2" t="inlineStr"/>
    </row>
    <row r="303" ht="15" customHeight="1">
      <c r="A303" t="inlineStr">
        <is>
          <t>A 25292-2021</t>
        </is>
      </c>
      <c r="B303" s="1" t="n">
        <v>44342</v>
      </c>
      <c r="C303" s="1" t="n">
        <v>45976</v>
      </c>
      <c r="D303" t="inlineStr">
        <is>
          <t>ÖSTERGÖTLANDS LÄN</t>
        </is>
      </c>
      <c r="E303" t="inlineStr">
        <is>
          <t>LINKÖPING</t>
        </is>
      </c>
      <c r="F303" t="inlineStr">
        <is>
          <t>Övriga Aktiebolag</t>
        </is>
      </c>
      <c r="G303" t="n">
        <v>12.8</v>
      </c>
      <c r="H303" t="n">
        <v>0</v>
      </c>
      <c r="I303" t="n">
        <v>0</v>
      </c>
      <c r="J303" t="n">
        <v>0</v>
      </c>
      <c r="K303" t="n">
        <v>0</v>
      </c>
      <c r="L303" t="n">
        <v>0</v>
      </c>
      <c r="M303" t="n">
        <v>0</v>
      </c>
      <c r="N303" t="n">
        <v>0</v>
      </c>
      <c r="O303" t="n">
        <v>0</v>
      </c>
      <c r="P303" t="n">
        <v>0</v>
      </c>
      <c r="Q303" t="n">
        <v>0</v>
      </c>
      <c r="R303" s="2" t="inlineStr"/>
    </row>
    <row r="304" ht="15" customHeight="1">
      <c r="A304" t="inlineStr">
        <is>
          <t>A 63935-2021</t>
        </is>
      </c>
      <c r="B304" s="1" t="n">
        <v>44509</v>
      </c>
      <c r="C304" s="1" t="n">
        <v>45976</v>
      </c>
      <c r="D304" t="inlineStr">
        <is>
          <t>ÖSTERGÖTLANDS LÄN</t>
        </is>
      </c>
      <c r="E304" t="inlineStr">
        <is>
          <t>LINKÖPING</t>
        </is>
      </c>
      <c r="F304" t="inlineStr">
        <is>
          <t>Övriga statliga verk och myndigheter</t>
        </is>
      </c>
      <c r="G304" t="n">
        <v>2.8</v>
      </c>
      <c r="H304" t="n">
        <v>0</v>
      </c>
      <c r="I304" t="n">
        <v>0</v>
      </c>
      <c r="J304" t="n">
        <v>0</v>
      </c>
      <c r="K304" t="n">
        <v>0</v>
      </c>
      <c r="L304" t="n">
        <v>0</v>
      </c>
      <c r="M304" t="n">
        <v>0</v>
      </c>
      <c r="N304" t="n">
        <v>0</v>
      </c>
      <c r="O304" t="n">
        <v>0</v>
      </c>
      <c r="P304" t="n">
        <v>0</v>
      </c>
      <c r="Q304" t="n">
        <v>0</v>
      </c>
      <c r="R304" s="2" t="inlineStr"/>
    </row>
    <row r="305" ht="15" customHeight="1">
      <c r="A305" t="inlineStr">
        <is>
          <t>A 20291-2025</t>
        </is>
      </c>
      <c r="B305" s="1" t="n">
        <v>45774.74288194445</v>
      </c>
      <c r="C305" s="1" t="n">
        <v>45976</v>
      </c>
      <c r="D305" t="inlineStr">
        <is>
          <t>ÖSTERGÖTLANDS LÄN</t>
        </is>
      </c>
      <c r="E305" t="inlineStr">
        <is>
          <t>LINKÖPING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20293-2025</t>
        </is>
      </c>
      <c r="B306" s="1" t="n">
        <v>45774.74611111111</v>
      </c>
      <c r="C306" s="1" t="n">
        <v>45976</v>
      </c>
      <c r="D306" t="inlineStr">
        <is>
          <t>ÖSTERGÖTLANDS LÄN</t>
        </is>
      </c>
      <c r="E306" t="inlineStr">
        <is>
          <t>LINKÖPING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38971-2025</t>
        </is>
      </c>
      <c r="B307" s="1" t="n">
        <v>45887.71827546296</v>
      </c>
      <c r="C307" s="1" t="n">
        <v>45976</v>
      </c>
      <c r="D307" t="inlineStr">
        <is>
          <t>ÖSTERGÖTLANDS LÄN</t>
        </is>
      </c>
      <c r="E307" t="inlineStr">
        <is>
          <t>LINKÖPING</t>
        </is>
      </c>
      <c r="G307" t="n">
        <v>3.9</v>
      </c>
      <c r="H307" t="n">
        <v>0</v>
      </c>
      <c r="I307" t="n">
        <v>0</v>
      </c>
      <c r="J307" t="n">
        <v>0</v>
      </c>
      <c r="K307" t="n">
        <v>0</v>
      </c>
      <c r="L307" t="n">
        <v>0</v>
      </c>
      <c r="M307" t="n">
        <v>0</v>
      </c>
      <c r="N307" t="n">
        <v>0</v>
      </c>
      <c r="O307" t="n">
        <v>0</v>
      </c>
      <c r="P307" t="n">
        <v>0</v>
      </c>
      <c r="Q307" t="n">
        <v>0</v>
      </c>
      <c r="R307" s="2" t="inlineStr"/>
    </row>
    <row r="308" ht="15" customHeight="1">
      <c r="A308" t="inlineStr">
        <is>
          <t>A 55345-2021</t>
        </is>
      </c>
      <c r="B308" s="1" t="n">
        <v>44475</v>
      </c>
      <c r="C308" s="1" t="n">
        <v>45976</v>
      </c>
      <c r="D308" t="inlineStr">
        <is>
          <t>ÖSTERGÖTLANDS LÄN</t>
        </is>
      </c>
      <c r="E308" t="inlineStr">
        <is>
          <t>LINKÖPING</t>
        </is>
      </c>
      <c r="G308" t="n">
        <v>5.7</v>
      </c>
      <c r="H308" t="n">
        <v>0</v>
      </c>
      <c r="I308" t="n">
        <v>0</v>
      </c>
      <c r="J308" t="n">
        <v>0</v>
      </c>
      <c r="K308" t="n">
        <v>0</v>
      </c>
      <c r="L308" t="n">
        <v>0</v>
      </c>
      <c r="M308" t="n">
        <v>0</v>
      </c>
      <c r="N308" t="n">
        <v>0</v>
      </c>
      <c r="O308" t="n">
        <v>0</v>
      </c>
      <c r="P308" t="n">
        <v>0</v>
      </c>
      <c r="Q308" t="n">
        <v>0</v>
      </c>
      <c r="R308" s="2" t="inlineStr"/>
    </row>
    <row r="309" ht="15" customHeight="1">
      <c r="A309" t="inlineStr">
        <is>
          <t>A 1268-2023</t>
        </is>
      </c>
      <c r="B309" s="1" t="n">
        <v>44936</v>
      </c>
      <c r="C309" s="1" t="n">
        <v>45976</v>
      </c>
      <c r="D309" t="inlineStr">
        <is>
          <t>ÖSTERGÖTLANDS LÄN</t>
        </is>
      </c>
      <c r="E309" t="inlineStr">
        <is>
          <t>LINKÖPING</t>
        </is>
      </c>
      <c r="G309" t="n">
        <v>4.6</v>
      </c>
      <c r="H309" t="n">
        <v>0</v>
      </c>
      <c r="I309" t="n">
        <v>0</v>
      </c>
      <c r="J309" t="n">
        <v>0</v>
      </c>
      <c r="K309" t="n">
        <v>0</v>
      </c>
      <c r="L309" t="n">
        <v>0</v>
      </c>
      <c r="M309" t="n">
        <v>0</v>
      </c>
      <c r="N309" t="n">
        <v>0</v>
      </c>
      <c r="O309" t="n">
        <v>0</v>
      </c>
      <c r="P309" t="n">
        <v>0</v>
      </c>
      <c r="Q309" t="n">
        <v>0</v>
      </c>
      <c r="R309" s="2" t="inlineStr"/>
    </row>
    <row r="310" ht="15" customHeight="1">
      <c r="A310" t="inlineStr">
        <is>
          <t>A 1362-2023</t>
        </is>
      </c>
      <c r="B310" s="1" t="n">
        <v>44931</v>
      </c>
      <c r="C310" s="1" t="n">
        <v>45976</v>
      </c>
      <c r="D310" t="inlineStr">
        <is>
          <t>ÖSTERGÖTLANDS LÄN</t>
        </is>
      </c>
      <c r="E310" t="inlineStr">
        <is>
          <t>LINKÖPING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62687-2023</t>
        </is>
      </c>
      <c r="B311" s="1" t="n">
        <v>45271</v>
      </c>
      <c r="C311" s="1" t="n">
        <v>45976</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34641-2022</t>
        </is>
      </c>
      <c r="B312" s="1" t="n">
        <v>44795</v>
      </c>
      <c r="C312" s="1" t="n">
        <v>45976</v>
      </c>
      <c r="D312" t="inlineStr">
        <is>
          <t>ÖSTERGÖTLANDS LÄN</t>
        </is>
      </c>
      <c r="E312" t="inlineStr">
        <is>
          <t>LINKÖPING</t>
        </is>
      </c>
      <c r="G312" t="n">
        <v>2.4</v>
      </c>
      <c r="H312" t="n">
        <v>0</v>
      </c>
      <c r="I312" t="n">
        <v>0</v>
      </c>
      <c r="J312" t="n">
        <v>0</v>
      </c>
      <c r="K312" t="n">
        <v>0</v>
      </c>
      <c r="L312" t="n">
        <v>0</v>
      </c>
      <c r="M312" t="n">
        <v>0</v>
      </c>
      <c r="N312" t="n">
        <v>0</v>
      </c>
      <c r="O312" t="n">
        <v>0</v>
      </c>
      <c r="P312" t="n">
        <v>0</v>
      </c>
      <c r="Q312" t="n">
        <v>0</v>
      </c>
      <c r="R312" s="2" t="inlineStr"/>
    </row>
    <row r="313" ht="15" customHeight="1">
      <c r="A313" t="inlineStr">
        <is>
          <t>A 49928-2024</t>
        </is>
      </c>
      <c r="B313" s="1" t="n">
        <v>45597.57811342592</v>
      </c>
      <c r="C313" s="1" t="n">
        <v>45976</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3627-2023</t>
        </is>
      </c>
      <c r="B314" s="1" t="n">
        <v>44950.64782407408</v>
      </c>
      <c r="C314" s="1" t="n">
        <v>45976</v>
      </c>
      <c r="D314" t="inlineStr">
        <is>
          <t>ÖSTERGÖTLANDS LÄN</t>
        </is>
      </c>
      <c r="E314" t="inlineStr">
        <is>
          <t>LINKÖPING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51405-2023</t>
        </is>
      </c>
      <c r="B315" s="1" t="n">
        <v>45219</v>
      </c>
      <c r="C315" s="1" t="n">
        <v>45976</v>
      </c>
      <c r="D315" t="inlineStr">
        <is>
          <t>ÖSTERGÖTLANDS LÄN</t>
        </is>
      </c>
      <c r="E315" t="inlineStr">
        <is>
          <t>LINKÖPING</t>
        </is>
      </c>
      <c r="F315" t="inlineStr">
        <is>
          <t>Övriga Aktiebolag</t>
        </is>
      </c>
      <c r="G315" t="n">
        <v>3</v>
      </c>
      <c r="H315" t="n">
        <v>0</v>
      </c>
      <c r="I315" t="n">
        <v>0</v>
      </c>
      <c r="J315" t="n">
        <v>0</v>
      </c>
      <c r="K315" t="n">
        <v>0</v>
      </c>
      <c r="L315" t="n">
        <v>0</v>
      </c>
      <c r="M315" t="n">
        <v>0</v>
      </c>
      <c r="N315" t="n">
        <v>0</v>
      </c>
      <c r="O315" t="n">
        <v>0</v>
      </c>
      <c r="P315" t="n">
        <v>0</v>
      </c>
      <c r="Q315" t="n">
        <v>0</v>
      </c>
      <c r="R315" s="2" t="inlineStr"/>
    </row>
    <row r="316" ht="15" customHeight="1">
      <c r="A316" t="inlineStr">
        <is>
          <t>A 938-2023</t>
        </is>
      </c>
      <c r="B316" s="1" t="n">
        <v>44933</v>
      </c>
      <c r="C316" s="1" t="n">
        <v>45976</v>
      </c>
      <c r="D316" t="inlineStr">
        <is>
          <t>ÖSTERGÖTLANDS LÄN</t>
        </is>
      </c>
      <c r="E316" t="inlineStr">
        <is>
          <t>LINKÖPING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2389-2023</t>
        </is>
      </c>
      <c r="B317" s="1" t="n">
        <v>44942</v>
      </c>
      <c r="C317" s="1" t="n">
        <v>45976</v>
      </c>
      <c r="D317" t="inlineStr">
        <is>
          <t>ÖSTERGÖTLANDS LÄN</t>
        </is>
      </c>
      <c r="E317" t="inlineStr">
        <is>
          <t>LINKÖPING</t>
        </is>
      </c>
      <c r="G317" t="n">
        <v>3.3</v>
      </c>
      <c r="H317" t="n">
        <v>0</v>
      </c>
      <c r="I317" t="n">
        <v>0</v>
      </c>
      <c r="J317" t="n">
        <v>0</v>
      </c>
      <c r="K317" t="n">
        <v>0</v>
      </c>
      <c r="L317" t="n">
        <v>0</v>
      </c>
      <c r="M317" t="n">
        <v>0</v>
      </c>
      <c r="N317" t="n">
        <v>0</v>
      </c>
      <c r="O317" t="n">
        <v>0</v>
      </c>
      <c r="P317" t="n">
        <v>0</v>
      </c>
      <c r="Q317" t="n">
        <v>0</v>
      </c>
      <c r="R317" s="2" t="inlineStr"/>
    </row>
    <row r="318" ht="15" customHeight="1">
      <c r="A318" t="inlineStr">
        <is>
          <t>A 11601-2023</t>
        </is>
      </c>
      <c r="B318" s="1" t="n">
        <v>44994</v>
      </c>
      <c r="C318" s="1" t="n">
        <v>45976</v>
      </c>
      <c r="D318" t="inlineStr">
        <is>
          <t>ÖSTERGÖTLANDS LÄN</t>
        </is>
      </c>
      <c r="E318" t="inlineStr">
        <is>
          <t>LINKÖPING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40338-2024</t>
        </is>
      </c>
      <c r="B319" s="1" t="n">
        <v>45555.32940972222</v>
      </c>
      <c r="C319" s="1" t="n">
        <v>45976</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48-2024</t>
        </is>
      </c>
      <c r="B320" s="1" t="n">
        <v>45293</v>
      </c>
      <c r="C320" s="1" t="n">
        <v>45976</v>
      </c>
      <c r="D320" t="inlineStr">
        <is>
          <t>ÖSTERGÖTLANDS LÄN</t>
        </is>
      </c>
      <c r="E320" t="inlineStr">
        <is>
          <t>LINKÖPING</t>
        </is>
      </c>
      <c r="G320" t="n">
        <v>4.6</v>
      </c>
      <c r="H320" t="n">
        <v>0</v>
      </c>
      <c r="I320" t="n">
        <v>0</v>
      </c>
      <c r="J320" t="n">
        <v>0</v>
      </c>
      <c r="K320" t="n">
        <v>0</v>
      </c>
      <c r="L320" t="n">
        <v>0</v>
      </c>
      <c r="M320" t="n">
        <v>0</v>
      </c>
      <c r="N320" t="n">
        <v>0</v>
      </c>
      <c r="O320" t="n">
        <v>0</v>
      </c>
      <c r="P320" t="n">
        <v>0</v>
      </c>
      <c r="Q320" t="n">
        <v>0</v>
      </c>
      <c r="R320" s="2" t="inlineStr"/>
    </row>
    <row r="321" ht="15" customHeight="1">
      <c r="A321" t="inlineStr">
        <is>
          <t>A 45771-2023</t>
        </is>
      </c>
      <c r="B321" s="1" t="n">
        <v>45195.4384375</v>
      </c>
      <c r="C321" s="1" t="n">
        <v>45976</v>
      </c>
      <c r="D321" t="inlineStr">
        <is>
          <t>ÖSTERGÖTLANDS LÄN</t>
        </is>
      </c>
      <c r="E321" t="inlineStr">
        <is>
          <t>LINKÖPING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30547-2023</t>
        </is>
      </c>
      <c r="B322" s="1" t="n">
        <v>45111.75905092592</v>
      </c>
      <c r="C322" s="1" t="n">
        <v>45976</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40502-2024</t>
        </is>
      </c>
      <c r="B323" s="1" t="n">
        <v>45555.57263888889</v>
      </c>
      <c r="C323" s="1" t="n">
        <v>45976</v>
      </c>
      <c r="D323" t="inlineStr">
        <is>
          <t>ÖSTERGÖTLANDS LÄN</t>
        </is>
      </c>
      <c r="E323" t="inlineStr">
        <is>
          <t>LINKÖPING</t>
        </is>
      </c>
      <c r="F323" t="inlineStr">
        <is>
          <t>Allmännings- och besparingsskogar</t>
        </is>
      </c>
      <c r="G323" t="n">
        <v>17.5</v>
      </c>
      <c r="H323" t="n">
        <v>0</v>
      </c>
      <c r="I323" t="n">
        <v>0</v>
      </c>
      <c r="J323" t="n">
        <v>0</v>
      </c>
      <c r="K323" t="n">
        <v>0</v>
      </c>
      <c r="L323" t="n">
        <v>0</v>
      </c>
      <c r="M323" t="n">
        <v>0</v>
      </c>
      <c r="N323" t="n">
        <v>0</v>
      </c>
      <c r="O323" t="n">
        <v>0</v>
      </c>
      <c r="P323" t="n">
        <v>0</v>
      </c>
      <c r="Q323" t="n">
        <v>0</v>
      </c>
      <c r="R323" s="2" t="inlineStr"/>
    </row>
    <row r="324" ht="15" customHeight="1">
      <c r="A324" t="inlineStr">
        <is>
          <t>A 167-2024</t>
        </is>
      </c>
      <c r="B324" s="1" t="n">
        <v>45294</v>
      </c>
      <c r="C324" s="1" t="n">
        <v>45976</v>
      </c>
      <c r="D324" t="inlineStr">
        <is>
          <t>ÖSTERGÖTLANDS LÄN</t>
        </is>
      </c>
      <c r="E324" t="inlineStr">
        <is>
          <t>LINKÖPING</t>
        </is>
      </c>
      <c r="F324" t="inlineStr">
        <is>
          <t>Allmännings- och besparingsskogar</t>
        </is>
      </c>
      <c r="G324" t="n">
        <v>11.6</v>
      </c>
      <c r="H324" t="n">
        <v>0</v>
      </c>
      <c r="I324" t="n">
        <v>0</v>
      </c>
      <c r="J324" t="n">
        <v>0</v>
      </c>
      <c r="K324" t="n">
        <v>0</v>
      </c>
      <c r="L324" t="n">
        <v>0</v>
      </c>
      <c r="M324" t="n">
        <v>0</v>
      </c>
      <c r="N324" t="n">
        <v>0</v>
      </c>
      <c r="O324" t="n">
        <v>0</v>
      </c>
      <c r="P324" t="n">
        <v>0</v>
      </c>
      <c r="Q324" t="n">
        <v>0</v>
      </c>
      <c r="R324" s="2" t="inlineStr"/>
    </row>
    <row r="325" ht="15" customHeight="1">
      <c r="A325" t="inlineStr">
        <is>
          <t>A 27186-2021</t>
        </is>
      </c>
      <c r="B325" s="1" t="n">
        <v>44350.67715277777</v>
      </c>
      <c r="C325" s="1" t="n">
        <v>45976</v>
      </c>
      <c r="D325" t="inlineStr">
        <is>
          <t>ÖSTERGÖTLANDS LÄN</t>
        </is>
      </c>
      <c r="E325" t="inlineStr">
        <is>
          <t>LINKÖPING</t>
        </is>
      </c>
      <c r="F325" t="inlineStr">
        <is>
          <t>Allmännings- och besparingsskogar</t>
        </is>
      </c>
      <c r="G325" t="n">
        <v>1.4</v>
      </c>
      <c r="H325" t="n">
        <v>0</v>
      </c>
      <c r="I325" t="n">
        <v>0</v>
      </c>
      <c r="J325" t="n">
        <v>0</v>
      </c>
      <c r="K325" t="n">
        <v>0</v>
      </c>
      <c r="L325" t="n">
        <v>0</v>
      </c>
      <c r="M325" t="n">
        <v>0</v>
      </c>
      <c r="N325" t="n">
        <v>0</v>
      </c>
      <c r="O325" t="n">
        <v>0</v>
      </c>
      <c r="P325" t="n">
        <v>0</v>
      </c>
      <c r="Q325" t="n">
        <v>0</v>
      </c>
      <c r="R325" s="2" t="inlineStr"/>
    </row>
    <row r="326" ht="15" customHeight="1">
      <c r="A326" t="inlineStr">
        <is>
          <t>A 7343-2025</t>
        </is>
      </c>
      <c r="B326" s="1" t="n">
        <v>45703.67853009259</v>
      </c>
      <c r="C326" s="1" t="n">
        <v>45976</v>
      </c>
      <c r="D326" t="inlineStr">
        <is>
          <t>ÖSTERGÖTLANDS LÄN</t>
        </is>
      </c>
      <c r="E326" t="inlineStr">
        <is>
          <t>LINKÖPING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24464-2023</t>
        </is>
      </c>
      <c r="B327" s="1" t="n">
        <v>45082.58068287037</v>
      </c>
      <c r="C327" s="1" t="n">
        <v>45976</v>
      </c>
      <c r="D327" t="inlineStr">
        <is>
          <t>ÖSTERGÖTLANDS LÄN</t>
        </is>
      </c>
      <c r="E327" t="inlineStr">
        <is>
          <t>LINKÖPING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24467-2023</t>
        </is>
      </c>
      <c r="B328" s="1" t="n">
        <v>45082</v>
      </c>
      <c r="C328" s="1" t="n">
        <v>45976</v>
      </c>
      <c r="D328" t="inlineStr">
        <is>
          <t>ÖSTERGÖTLANDS LÄN</t>
        </is>
      </c>
      <c r="E328" t="inlineStr">
        <is>
          <t>LINKÖPING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48389-2024</t>
        </is>
      </c>
      <c r="B329" s="1" t="n">
        <v>45590.59991898148</v>
      </c>
      <c r="C329" s="1" t="n">
        <v>45976</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48271-2023</t>
        </is>
      </c>
      <c r="B330" s="1" t="n">
        <v>45205</v>
      </c>
      <c r="C330" s="1" t="n">
        <v>45976</v>
      </c>
      <c r="D330" t="inlineStr">
        <is>
          <t>ÖSTERGÖTLANDS LÄN</t>
        </is>
      </c>
      <c r="E330" t="inlineStr">
        <is>
          <t>LINKÖPING</t>
        </is>
      </c>
      <c r="G330" t="n">
        <v>3</v>
      </c>
      <c r="H330" t="n">
        <v>0</v>
      </c>
      <c r="I330" t="n">
        <v>0</v>
      </c>
      <c r="J330" t="n">
        <v>0</v>
      </c>
      <c r="K330" t="n">
        <v>0</v>
      </c>
      <c r="L330" t="n">
        <v>0</v>
      </c>
      <c r="M330" t="n">
        <v>0</v>
      </c>
      <c r="N330" t="n">
        <v>0</v>
      </c>
      <c r="O330" t="n">
        <v>0</v>
      </c>
      <c r="P330" t="n">
        <v>0</v>
      </c>
      <c r="Q330" t="n">
        <v>0</v>
      </c>
      <c r="R330" s="2" t="inlineStr"/>
    </row>
    <row r="331" ht="15" customHeight="1">
      <c r="A331" t="inlineStr">
        <is>
          <t>A 12720-2022</t>
        </is>
      </c>
      <c r="B331" s="1" t="n">
        <v>44641</v>
      </c>
      <c r="C331" s="1" t="n">
        <v>45976</v>
      </c>
      <c r="D331" t="inlineStr">
        <is>
          <t>ÖSTERGÖTLANDS LÄN</t>
        </is>
      </c>
      <c r="E331" t="inlineStr">
        <is>
          <t>LINKÖPING</t>
        </is>
      </c>
      <c r="F331" t="inlineStr">
        <is>
          <t>Övriga Aktiebolag</t>
        </is>
      </c>
      <c r="G331" t="n">
        <v>2</v>
      </c>
      <c r="H331" t="n">
        <v>0</v>
      </c>
      <c r="I331" t="n">
        <v>0</v>
      </c>
      <c r="J331" t="n">
        <v>0</v>
      </c>
      <c r="K331" t="n">
        <v>0</v>
      </c>
      <c r="L331" t="n">
        <v>0</v>
      </c>
      <c r="M331" t="n">
        <v>0</v>
      </c>
      <c r="N331" t="n">
        <v>0</v>
      </c>
      <c r="O331" t="n">
        <v>0</v>
      </c>
      <c r="P331" t="n">
        <v>0</v>
      </c>
      <c r="Q331" t="n">
        <v>0</v>
      </c>
      <c r="R331" s="2" t="inlineStr"/>
    </row>
    <row r="332" ht="15" customHeight="1">
      <c r="A332" t="inlineStr">
        <is>
          <t>A 56792-2023</t>
        </is>
      </c>
      <c r="B332" s="1" t="n">
        <v>45244</v>
      </c>
      <c r="C332" s="1" t="n">
        <v>45976</v>
      </c>
      <c r="D332" t="inlineStr">
        <is>
          <t>ÖSTERGÖTLANDS LÄN</t>
        </is>
      </c>
      <c r="E332" t="inlineStr">
        <is>
          <t>LINKÖPING</t>
        </is>
      </c>
      <c r="F332" t="inlineStr">
        <is>
          <t>Övriga Aktiebolag</t>
        </is>
      </c>
      <c r="G332" t="n">
        <v>0.9</v>
      </c>
      <c r="H332" t="n">
        <v>0</v>
      </c>
      <c r="I332" t="n">
        <v>0</v>
      </c>
      <c r="J332" t="n">
        <v>0</v>
      </c>
      <c r="K332" t="n">
        <v>0</v>
      </c>
      <c r="L332" t="n">
        <v>0</v>
      </c>
      <c r="M332" t="n">
        <v>0</v>
      </c>
      <c r="N332" t="n">
        <v>0</v>
      </c>
      <c r="O332" t="n">
        <v>0</v>
      </c>
      <c r="P332" t="n">
        <v>0</v>
      </c>
      <c r="Q332" t="n">
        <v>0</v>
      </c>
      <c r="R332" s="2" t="inlineStr"/>
    </row>
    <row r="333" ht="15" customHeight="1">
      <c r="A333" t="inlineStr">
        <is>
          <t>A 62018-2024</t>
        </is>
      </c>
      <c r="B333" s="1" t="n">
        <v>45655.81387731482</v>
      </c>
      <c r="C333" s="1" t="n">
        <v>45976</v>
      </c>
      <c r="D333" t="inlineStr">
        <is>
          <t>ÖSTERGÖTLANDS LÄN</t>
        </is>
      </c>
      <c r="E333" t="inlineStr">
        <is>
          <t>LINKÖPING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3041-2024</t>
        </is>
      </c>
      <c r="B334" s="1" t="n">
        <v>45316.34875</v>
      </c>
      <c r="C334" s="1" t="n">
        <v>45976</v>
      </c>
      <c r="D334" t="inlineStr">
        <is>
          <t>ÖSTERGÖTLANDS LÄN</t>
        </is>
      </c>
      <c r="E334" t="inlineStr">
        <is>
          <t>LINKÖPING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39017-2021</t>
        </is>
      </c>
      <c r="B335" s="1" t="n">
        <v>44412</v>
      </c>
      <c r="C335" s="1" t="n">
        <v>45976</v>
      </c>
      <c r="D335" t="inlineStr">
        <is>
          <t>ÖSTERGÖTLANDS LÄN</t>
        </is>
      </c>
      <c r="E335" t="inlineStr">
        <is>
          <t>LINKÖPING</t>
        </is>
      </c>
      <c r="F335" t="inlineStr">
        <is>
          <t>Övriga statliga verk och myndigheter</t>
        </is>
      </c>
      <c r="G335" t="n">
        <v>0.8</v>
      </c>
      <c r="H335" t="n">
        <v>0</v>
      </c>
      <c r="I335" t="n">
        <v>0</v>
      </c>
      <c r="J335" t="n">
        <v>0</v>
      </c>
      <c r="K335" t="n">
        <v>0</v>
      </c>
      <c r="L335" t="n">
        <v>0</v>
      </c>
      <c r="M335" t="n">
        <v>0</v>
      </c>
      <c r="N335" t="n">
        <v>0</v>
      </c>
      <c r="O335" t="n">
        <v>0</v>
      </c>
      <c r="P335" t="n">
        <v>0</v>
      </c>
      <c r="Q335" t="n">
        <v>0</v>
      </c>
      <c r="R335" s="2" t="inlineStr"/>
    </row>
    <row r="336" ht="15" customHeight="1">
      <c r="A336" t="inlineStr">
        <is>
          <t>A 30551-2023</t>
        </is>
      </c>
      <c r="B336" s="1" t="n">
        <v>45111</v>
      </c>
      <c r="C336" s="1" t="n">
        <v>45976</v>
      </c>
      <c r="D336" t="inlineStr">
        <is>
          <t>ÖSTERGÖTLANDS LÄN</t>
        </is>
      </c>
      <c r="E336" t="inlineStr">
        <is>
          <t>LINKÖPING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50963-2021</t>
        </is>
      </c>
      <c r="B337" s="1" t="n">
        <v>44460</v>
      </c>
      <c r="C337" s="1" t="n">
        <v>45976</v>
      </c>
      <c r="D337" t="inlineStr">
        <is>
          <t>ÖSTERGÖTLANDS LÄN</t>
        </is>
      </c>
      <c r="E337" t="inlineStr">
        <is>
          <t>LINKÖPING</t>
        </is>
      </c>
      <c r="G337" t="n">
        <v>4.4</v>
      </c>
      <c r="H337" t="n">
        <v>0</v>
      </c>
      <c r="I337" t="n">
        <v>0</v>
      </c>
      <c r="J337" t="n">
        <v>0</v>
      </c>
      <c r="K337" t="n">
        <v>0</v>
      </c>
      <c r="L337" t="n">
        <v>0</v>
      </c>
      <c r="M337" t="n">
        <v>0</v>
      </c>
      <c r="N337" t="n">
        <v>0</v>
      </c>
      <c r="O337" t="n">
        <v>0</v>
      </c>
      <c r="P337" t="n">
        <v>0</v>
      </c>
      <c r="Q337" t="n">
        <v>0</v>
      </c>
      <c r="R337" s="2" t="inlineStr"/>
    </row>
    <row r="338" ht="15" customHeight="1">
      <c r="A338" t="inlineStr">
        <is>
          <t>A 30860-2022</t>
        </is>
      </c>
      <c r="B338" s="1" t="n">
        <v>44767</v>
      </c>
      <c r="C338" s="1" t="n">
        <v>45976</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61307-2021</t>
        </is>
      </c>
      <c r="B339" s="1" t="n">
        <v>44498.63928240741</v>
      </c>
      <c r="C339" s="1" t="n">
        <v>45976</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61325-2021</t>
        </is>
      </c>
      <c r="B340" s="1" t="n">
        <v>44498.66814814815</v>
      </c>
      <c r="C340" s="1" t="n">
        <v>45976</v>
      </c>
      <c r="D340" t="inlineStr">
        <is>
          <t>ÖSTERGÖTLANDS LÄN</t>
        </is>
      </c>
      <c r="E340" t="inlineStr">
        <is>
          <t>LINKÖPING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3008-2023</t>
        </is>
      </c>
      <c r="B341" s="1" t="n">
        <v>44945.79784722222</v>
      </c>
      <c r="C341" s="1" t="n">
        <v>45976</v>
      </c>
      <c r="D341" t="inlineStr">
        <is>
          <t>ÖSTERGÖTLANDS LÄN</t>
        </is>
      </c>
      <c r="E341" t="inlineStr">
        <is>
          <t>LINKÖPING</t>
        </is>
      </c>
      <c r="G341" t="n">
        <v>19.3</v>
      </c>
      <c r="H341" t="n">
        <v>0</v>
      </c>
      <c r="I341" t="n">
        <v>0</v>
      </c>
      <c r="J341" t="n">
        <v>0</v>
      </c>
      <c r="K341" t="n">
        <v>0</v>
      </c>
      <c r="L341" t="n">
        <v>0</v>
      </c>
      <c r="M341" t="n">
        <v>0</v>
      </c>
      <c r="N341" t="n">
        <v>0</v>
      </c>
      <c r="O341" t="n">
        <v>0</v>
      </c>
      <c r="P341" t="n">
        <v>0</v>
      </c>
      <c r="Q341" t="n">
        <v>0</v>
      </c>
      <c r="R341" s="2" t="inlineStr"/>
    </row>
    <row r="342" ht="15" customHeight="1">
      <c r="A342" t="inlineStr">
        <is>
          <t>A 60004-2022</t>
        </is>
      </c>
      <c r="B342" s="1" t="n">
        <v>44909.47206018519</v>
      </c>
      <c r="C342" s="1" t="n">
        <v>45976</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60010-2022</t>
        </is>
      </c>
      <c r="B343" s="1" t="n">
        <v>44909.4740625</v>
      </c>
      <c r="C343" s="1" t="n">
        <v>45976</v>
      </c>
      <c r="D343" t="inlineStr">
        <is>
          <t>ÖSTERGÖTLANDS LÄN</t>
        </is>
      </c>
      <c r="E343" t="inlineStr">
        <is>
          <t>LINKÖPING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53827-2023</t>
        </is>
      </c>
      <c r="B344" s="1" t="n">
        <v>45230</v>
      </c>
      <c r="C344" s="1" t="n">
        <v>45976</v>
      </c>
      <c r="D344" t="inlineStr">
        <is>
          <t>ÖSTERGÖTLANDS LÄN</t>
        </is>
      </c>
      <c r="E344" t="inlineStr">
        <is>
          <t>LINKÖPING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63665-2023</t>
        </is>
      </c>
      <c r="B345" s="1" t="n">
        <v>45275</v>
      </c>
      <c r="C345" s="1" t="n">
        <v>45976</v>
      </c>
      <c r="D345" t="inlineStr">
        <is>
          <t>ÖSTERGÖTLANDS LÄN</t>
        </is>
      </c>
      <c r="E345" t="inlineStr">
        <is>
          <t>LINKÖPING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1260-2023</t>
        </is>
      </c>
      <c r="B346" s="1" t="n">
        <v>44936</v>
      </c>
      <c r="C346" s="1" t="n">
        <v>45976</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1355-2023</t>
        </is>
      </c>
      <c r="B347" s="1" t="n">
        <v>44931</v>
      </c>
      <c r="C347" s="1" t="n">
        <v>45976</v>
      </c>
      <c r="D347" t="inlineStr">
        <is>
          <t>ÖSTERGÖTLANDS LÄN</t>
        </is>
      </c>
      <c r="E347" t="inlineStr">
        <is>
          <t>LINKÖPING</t>
        </is>
      </c>
      <c r="G347" t="n">
        <v>4</v>
      </c>
      <c r="H347" t="n">
        <v>0</v>
      </c>
      <c r="I347" t="n">
        <v>0</v>
      </c>
      <c r="J347" t="n">
        <v>0</v>
      </c>
      <c r="K347" t="n">
        <v>0</v>
      </c>
      <c r="L347" t="n">
        <v>0</v>
      </c>
      <c r="M347" t="n">
        <v>0</v>
      </c>
      <c r="N347" t="n">
        <v>0</v>
      </c>
      <c r="O347" t="n">
        <v>0</v>
      </c>
      <c r="P347" t="n">
        <v>0</v>
      </c>
      <c r="Q347" t="n">
        <v>0</v>
      </c>
      <c r="R347" s="2" t="inlineStr"/>
    </row>
    <row r="348" ht="15" customHeight="1">
      <c r="A348" t="inlineStr">
        <is>
          <t>A 4256-2022</t>
        </is>
      </c>
      <c r="B348" s="1" t="n">
        <v>44588</v>
      </c>
      <c r="C348" s="1" t="n">
        <v>45976</v>
      </c>
      <c r="D348" t="inlineStr">
        <is>
          <t>ÖSTERGÖTLANDS LÄN</t>
        </is>
      </c>
      <c r="E348" t="inlineStr">
        <is>
          <t>LINKÖPING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61649-2023</t>
        </is>
      </c>
      <c r="B349" s="1" t="n">
        <v>45265</v>
      </c>
      <c r="C349" s="1" t="n">
        <v>45976</v>
      </c>
      <c r="D349" t="inlineStr">
        <is>
          <t>ÖSTERGÖTLANDS LÄN</t>
        </is>
      </c>
      <c r="E349" t="inlineStr">
        <is>
          <t>LINKÖPING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39438-2025</t>
        </is>
      </c>
      <c r="B350" s="1" t="n">
        <v>45889.68641203704</v>
      </c>
      <c r="C350" s="1" t="n">
        <v>45976</v>
      </c>
      <c r="D350" t="inlineStr">
        <is>
          <t>ÖSTERGÖTLANDS LÄN</t>
        </is>
      </c>
      <c r="E350" t="inlineStr">
        <is>
          <t>LINKÖPING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3007-2025</t>
        </is>
      </c>
      <c r="B351" s="1" t="n">
        <v>45678.56328703704</v>
      </c>
      <c r="C351" s="1" t="n">
        <v>45976</v>
      </c>
      <c r="D351" t="inlineStr">
        <is>
          <t>ÖSTERGÖTLANDS LÄN</t>
        </is>
      </c>
      <c r="E351" t="inlineStr">
        <is>
          <t>LINKÖPING</t>
        </is>
      </c>
      <c r="G351" t="n">
        <v>3.1</v>
      </c>
      <c r="H351" t="n">
        <v>0</v>
      </c>
      <c r="I351" t="n">
        <v>0</v>
      </c>
      <c r="J351" t="n">
        <v>0</v>
      </c>
      <c r="K351" t="n">
        <v>0</v>
      </c>
      <c r="L351" t="n">
        <v>0</v>
      </c>
      <c r="M351" t="n">
        <v>0</v>
      </c>
      <c r="N351" t="n">
        <v>0</v>
      </c>
      <c r="O351" t="n">
        <v>0</v>
      </c>
      <c r="P351" t="n">
        <v>0</v>
      </c>
      <c r="Q351" t="n">
        <v>0</v>
      </c>
      <c r="R351" s="2" t="inlineStr"/>
    </row>
    <row r="352" ht="15" customHeight="1">
      <c r="A352" t="inlineStr">
        <is>
          <t>A 10492-2022</t>
        </is>
      </c>
      <c r="B352" s="1" t="n">
        <v>44623.6377199074</v>
      </c>
      <c r="C352" s="1" t="n">
        <v>45976</v>
      </c>
      <c r="D352" t="inlineStr">
        <is>
          <t>ÖSTERGÖTLANDS LÄN</t>
        </is>
      </c>
      <c r="E352" t="inlineStr">
        <is>
          <t>LINKÖPING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27264-2025</t>
        </is>
      </c>
      <c r="B353" s="1" t="n">
        <v>45812.4794212963</v>
      </c>
      <c r="C353" s="1" t="n">
        <v>45976</v>
      </c>
      <c r="D353" t="inlineStr">
        <is>
          <t>ÖSTERGÖTLANDS LÄN</t>
        </is>
      </c>
      <c r="E353" t="inlineStr">
        <is>
          <t>LINKÖPING</t>
        </is>
      </c>
      <c r="G353" t="n">
        <v>2.6</v>
      </c>
      <c r="H353" t="n">
        <v>0</v>
      </c>
      <c r="I353" t="n">
        <v>0</v>
      </c>
      <c r="J353" t="n">
        <v>0</v>
      </c>
      <c r="K353" t="n">
        <v>0</v>
      </c>
      <c r="L353" t="n">
        <v>0</v>
      </c>
      <c r="M353" t="n">
        <v>0</v>
      </c>
      <c r="N353" t="n">
        <v>0</v>
      </c>
      <c r="O353" t="n">
        <v>0</v>
      </c>
      <c r="P353" t="n">
        <v>0</v>
      </c>
      <c r="Q353" t="n">
        <v>0</v>
      </c>
      <c r="R353" s="2" t="inlineStr"/>
    </row>
    <row r="354" ht="15" customHeight="1">
      <c r="A354" t="inlineStr">
        <is>
          <t>A 30465-2023</t>
        </is>
      </c>
      <c r="B354" s="1" t="n">
        <v>45111</v>
      </c>
      <c r="C354" s="1" t="n">
        <v>45976</v>
      </c>
      <c r="D354" t="inlineStr">
        <is>
          <t>ÖSTERGÖTLANDS LÄN</t>
        </is>
      </c>
      <c r="E354" t="inlineStr">
        <is>
          <t>LINKÖPING</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33867-2023</t>
        </is>
      </c>
      <c r="B355" s="1" t="n">
        <v>45133.94640046296</v>
      </c>
      <c r="C355" s="1" t="n">
        <v>45976</v>
      </c>
      <c r="D355" t="inlineStr">
        <is>
          <t>ÖSTERGÖTLANDS LÄN</t>
        </is>
      </c>
      <c r="E355" t="inlineStr">
        <is>
          <t>LINKÖPING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39074-2025</t>
        </is>
      </c>
      <c r="B356" s="1" t="n">
        <v>45888</v>
      </c>
      <c r="C356" s="1" t="n">
        <v>45976</v>
      </c>
      <c r="D356" t="inlineStr">
        <is>
          <t>ÖSTERGÖTLANDS LÄN</t>
        </is>
      </c>
      <c r="E356" t="inlineStr">
        <is>
          <t>LINKÖPING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72567-2021</t>
        </is>
      </c>
      <c r="B357" s="1" t="n">
        <v>44546.45023148148</v>
      </c>
      <c r="C357" s="1" t="n">
        <v>45976</v>
      </c>
      <c r="D357" t="inlineStr">
        <is>
          <t>ÖSTERGÖTLANDS LÄN</t>
        </is>
      </c>
      <c r="E357" t="inlineStr">
        <is>
          <t>LINKÖPING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223-2024</t>
        </is>
      </c>
      <c r="B358" s="1" t="n">
        <v>45294.72739583333</v>
      </c>
      <c r="C358" s="1" t="n">
        <v>45976</v>
      </c>
      <c r="D358" t="inlineStr">
        <is>
          <t>ÖSTERGÖTLANDS LÄN</t>
        </is>
      </c>
      <c r="E358" t="inlineStr">
        <is>
          <t>LINKÖPING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39021-2021</t>
        </is>
      </c>
      <c r="B359" s="1" t="n">
        <v>44412</v>
      </c>
      <c r="C359" s="1" t="n">
        <v>45976</v>
      </c>
      <c r="D359" t="inlineStr">
        <is>
          <t>ÖSTERGÖTLANDS LÄN</t>
        </is>
      </c>
      <c r="E359" t="inlineStr">
        <is>
          <t>LINKÖPING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62353-2022</t>
        </is>
      </c>
      <c r="B360" s="1" t="n">
        <v>44923</v>
      </c>
      <c r="C360" s="1" t="n">
        <v>45976</v>
      </c>
      <c r="D360" t="inlineStr">
        <is>
          <t>ÖSTERGÖTLANDS LÄN</t>
        </is>
      </c>
      <c r="E360" t="inlineStr">
        <is>
          <t>LINKÖPING</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30111-2024</t>
        </is>
      </c>
      <c r="B361" s="1" t="n">
        <v>45489.46947916667</v>
      </c>
      <c r="C361" s="1" t="n">
        <v>45976</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30119-2024</t>
        </is>
      </c>
      <c r="B362" s="1" t="n">
        <v>45489</v>
      </c>
      <c r="C362" s="1" t="n">
        <v>45976</v>
      </c>
      <c r="D362" t="inlineStr">
        <is>
          <t>ÖSTERGÖTLANDS LÄN</t>
        </is>
      </c>
      <c r="E362" t="inlineStr">
        <is>
          <t>LINKÖPING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19464-2024</t>
        </is>
      </c>
      <c r="B363" s="1" t="n">
        <v>45429</v>
      </c>
      <c r="C363" s="1" t="n">
        <v>45976</v>
      </c>
      <c r="D363" t="inlineStr">
        <is>
          <t>ÖSTERGÖTLANDS LÄN</t>
        </is>
      </c>
      <c r="E363" t="inlineStr">
        <is>
          <t>LINKÖPING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29411-2023</t>
        </is>
      </c>
      <c r="B364" s="1" t="n">
        <v>45106.46225694445</v>
      </c>
      <c r="C364" s="1" t="n">
        <v>45976</v>
      </c>
      <c r="D364" t="inlineStr">
        <is>
          <t>ÖSTERGÖTLANDS LÄN</t>
        </is>
      </c>
      <c r="E364" t="inlineStr">
        <is>
          <t>LINKÖPING</t>
        </is>
      </c>
      <c r="G364" t="n">
        <v>2.5</v>
      </c>
      <c r="H364" t="n">
        <v>0</v>
      </c>
      <c r="I364" t="n">
        <v>0</v>
      </c>
      <c r="J364" t="n">
        <v>0</v>
      </c>
      <c r="K364" t="n">
        <v>0</v>
      </c>
      <c r="L364" t="n">
        <v>0</v>
      </c>
      <c r="M364" t="n">
        <v>0</v>
      </c>
      <c r="N364" t="n">
        <v>0</v>
      </c>
      <c r="O364" t="n">
        <v>0</v>
      </c>
      <c r="P364" t="n">
        <v>0</v>
      </c>
      <c r="Q364" t="n">
        <v>0</v>
      </c>
      <c r="R364" s="2" t="inlineStr"/>
    </row>
    <row r="365" ht="15" customHeight="1">
      <c r="A365" t="inlineStr">
        <is>
          <t>A 29412-2023</t>
        </is>
      </c>
      <c r="B365" s="1" t="n">
        <v>45106.46359953703</v>
      </c>
      <c r="C365" s="1" t="n">
        <v>45976</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31792-2021</t>
        </is>
      </c>
      <c r="B366" s="1" t="n">
        <v>44369</v>
      </c>
      <c r="C366" s="1" t="n">
        <v>45976</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630-2024</t>
        </is>
      </c>
      <c r="B367" s="1" t="n">
        <v>45299.67736111111</v>
      </c>
      <c r="C367" s="1" t="n">
        <v>45976</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421-2024</t>
        </is>
      </c>
      <c r="B368" s="1" t="n">
        <v>45296.51877314815</v>
      </c>
      <c r="C368" s="1" t="n">
        <v>45976</v>
      </c>
      <c r="D368" t="inlineStr">
        <is>
          <t>ÖSTERGÖTLANDS LÄN</t>
        </is>
      </c>
      <c r="E368" t="inlineStr">
        <is>
          <t>LINKÖPING</t>
        </is>
      </c>
      <c r="G368" t="n">
        <v>3.7</v>
      </c>
      <c r="H368" t="n">
        <v>0</v>
      </c>
      <c r="I368" t="n">
        <v>0</v>
      </c>
      <c r="J368" t="n">
        <v>0</v>
      </c>
      <c r="K368" t="n">
        <v>0</v>
      </c>
      <c r="L368" t="n">
        <v>0</v>
      </c>
      <c r="M368" t="n">
        <v>0</v>
      </c>
      <c r="N368" t="n">
        <v>0</v>
      </c>
      <c r="O368" t="n">
        <v>0</v>
      </c>
      <c r="P368" t="n">
        <v>0</v>
      </c>
      <c r="Q368" t="n">
        <v>0</v>
      </c>
      <c r="R368" s="2" t="inlineStr"/>
    </row>
    <row r="369" ht="15" customHeight="1">
      <c r="A369" t="inlineStr">
        <is>
          <t>A 22043-2023</t>
        </is>
      </c>
      <c r="B369" s="1" t="n">
        <v>45069.39050925926</v>
      </c>
      <c r="C369" s="1" t="n">
        <v>45976</v>
      </c>
      <c r="D369" t="inlineStr">
        <is>
          <t>ÖSTERGÖTLANDS LÄN</t>
        </is>
      </c>
      <c r="E369" t="inlineStr">
        <is>
          <t>LINKÖPING</t>
        </is>
      </c>
      <c r="G369" t="n">
        <v>5.9</v>
      </c>
      <c r="H369" t="n">
        <v>0</v>
      </c>
      <c r="I369" t="n">
        <v>0</v>
      </c>
      <c r="J369" t="n">
        <v>0</v>
      </c>
      <c r="K369" t="n">
        <v>0</v>
      </c>
      <c r="L369" t="n">
        <v>0</v>
      </c>
      <c r="M369" t="n">
        <v>0</v>
      </c>
      <c r="N369" t="n">
        <v>0</v>
      </c>
      <c r="O369" t="n">
        <v>0</v>
      </c>
      <c r="P369" t="n">
        <v>0</v>
      </c>
      <c r="Q369" t="n">
        <v>0</v>
      </c>
      <c r="R369" s="2" t="inlineStr"/>
    </row>
    <row r="370" ht="15" customHeight="1">
      <c r="A370" t="inlineStr">
        <is>
          <t>A 30985-2022</t>
        </is>
      </c>
      <c r="B370" s="1" t="n">
        <v>44768</v>
      </c>
      <c r="C370" s="1" t="n">
        <v>45976</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38317-2024</t>
        </is>
      </c>
      <c r="B371" s="1" t="n">
        <v>45545.65766203704</v>
      </c>
      <c r="C371" s="1" t="n">
        <v>45976</v>
      </c>
      <c r="D371" t="inlineStr">
        <is>
          <t>ÖSTERGÖTLANDS LÄN</t>
        </is>
      </c>
      <c r="E371" t="inlineStr">
        <is>
          <t>LINKÖPING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61532-2021</t>
        </is>
      </c>
      <c r="B372" s="1" t="n">
        <v>44501</v>
      </c>
      <c r="C372" s="1" t="n">
        <v>45976</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14028-2024</t>
        </is>
      </c>
      <c r="B373" s="1" t="n">
        <v>45392</v>
      </c>
      <c r="C373" s="1" t="n">
        <v>45976</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40431-2024</t>
        </is>
      </c>
      <c r="B374" s="1" t="n">
        <v>45555.47070601852</v>
      </c>
      <c r="C374" s="1" t="n">
        <v>45976</v>
      </c>
      <c r="D374" t="inlineStr">
        <is>
          <t>ÖSTERGÖTLANDS LÄN</t>
        </is>
      </c>
      <c r="E374" t="inlineStr">
        <is>
          <t>LINKÖPING</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30433-2024</t>
        </is>
      </c>
      <c r="B375" s="1" t="n">
        <v>45491.69741898148</v>
      </c>
      <c r="C375" s="1" t="n">
        <v>45976</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40169-2025</t>
        </is>
      </c>
      <c r="B376" s="1" t="n">
        <v>45894.62824074074</v>
      </c>
      <c r="C376" s="1" t="n">
        <v>45976</v>
      </c>
      <c r="D376" t="inlineStr">
        <is>
          <t>ÖSTERGÖTLANDS LÄN</t>
        </is>
      </c>
      <c r="E376" t="inlineStr">
        <is>
          <t>LINKÖPING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58947-2022</t>
        </is>
      </c>
      <c r="B377" s="1" t="n">
        <v>44903.64769675926</v>
      </c>
      <c r="C377" s="1" t="n">
        <v>45976</v>
      </c>
      <c r="D377" t="inlineStr">
        <is>
          <t>ÖSTERGÖTLANDS LÄN</t>
        </is>
      </c>
      <c r="E377" t="inlineStr">
        <is>
          <t>LINKÖPING</t>
        </is>
      </c>
      <c r="G377" t="n">
        <v>4</v>
      </c>
      <c r="H377" t="n">
        <v>0</v>
      </c>
      <c r="I377" t="n">
        <v>0</v>
      </c>
      <c r="J377" t="n">
        <v>0</v>
      </c>
      <c r="K377" t="n">
        <v>0</v>
      </c>
      <c r="L377" t="n">
        <v>0</v>
      </c>
      <c r="M377" t="n">
        <v>0</v>
      </c>
      <c r="N377" t="n">
        <v>0</v>
      </c>
      <c r="O377" t="n">
        <v>0</v>
      </c>
      <c r="P377" t="n">
        <v>0</v>
      </c>
      <c r="Q377" t="n">
        <v>0</v>
      </c>
      <c r="R377" s="2" t="inlineStr"/>
    </row>
    <row r="378" ht="15" customHeight="1">
      <c r="A378" t="inlineStr">
        <is>
          <t>A 60860-2024</t>
        </is>
      </c>
      <c r="B378" s="1" t="n">
        <v>45644.6893287037</v>
      </c>
      <c r="C378" s="1" t="n">
        <v>45976</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2697-2023</t>
        </is>
      </c>
      <c r="B379" s="1" t="n">
        <v>44944</v>
      </c>
      <c r="C379" s="1" t="n">
        <v>45976</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63528-2023</t>
        </is>
      </c>
      <c r="B380" s="1" t="n">
        <v>45274.94810185185</v>
      </c>
      <c r="C380" s="1" t="n">
        <v>45976</v>
      </c>
      <c r="D380" t="inlineStr">
        <is>
          <t>ÖSTERGÖTLANDS LÄN</t>
        </is>
      </c>
      <c r="E380" t="inlineStr">
        <is>
          <t>LINKÖPING</t>
        </is>
      </c>
      <c r="G380" t="n">
        <v>1.6</v>
      </c>
      <c r="H380" t="n">
        <v>0</v>
      </c>
      <c r="I380" t="n">
        <v>0</v>
      </c>
      <c r="J380" t="n">
        <v>0</v>
      </c>
      <c r="K380" t="n">
        <v>0</v>
      </c>
      <c r="L380" t="n">
        <v>0</v>
      </c>
      <c r="M380" t="n">
        <v>0</v>
      </c>
      <c r="N380" t="n">
        <v>0</v>
      </c>
      <c r="O380" t="n">
        <v>0</v>
      </c>
      <c r="P380" t="n">
        <v>0</v>
      </c>
      <c r="Q380" t="n">
        <v>0</v>
      </c>
      <c r="R380" s="2" t="inlineStr"/>
    </row>
    <row r="381" ht="15" customHeight="1">
      <c r="A381" t="inlineStr">
        <is>
          <t>A 45806-2024</t>
        </is>
      </c>
      <c r="B381" s="1" t="n">
        <v>45579.69619212963</v>
      </c>
      <c r="C381" s="1" t="n">
        <v>45976</v>
      </c>
      <c r="D381" t="inlineStr">
        <is>
          <t>ÖSTERGÖTLANDS LÄN</t>
        </is>
      </c>
      <c r="E381" t="inlineStr">
        <is>
          <t>LINKÖPING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16665-2023</t>
        </is>
      </c>
      <c r="B382" s="1" t="n">
        <v>45030.5583912037</v>
      </c>
      <c r="C382" s="1" t="n">
        <v>45976</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56756-2023</t>
        </is>
      </c>
      <c r="B383" s="1" t="n">
        <v>45244</v>
      </c>
      <c r="C383" s="1" t="n">
        <v>45976</v>
      </c>
      <c r="D383" t="inlineStr">
        <is>
          <t>ÖSTERGÖTLANDS LÄN</t>
        </is>
      </c>
      <c r="E383" t="inlineStr">
        <is>
          <t>LINKÖPING</t>
        </is>
      </c>
      <c r="F383" t="inlineStr">
        <is>
          <t>Övriga Aktiebolag</t>
        </is>
      </c>
      <c r="G383" t="n">
        <v>0.8</v>
      </c>
      <c r="H383" t="n">
        <v>0</v>
      </c>
      <c r="I383" t="n">
        <v>0</v>
      </c>
      <c r="J383" t="n">
        <v>0</v>
      </c>
      <c r="K383" t="n">
        <v>0</v>
      </c>
      <c r="L383" t="n">
        <v>0</v>
      </c>
      <c r="M383" t="n">
        <v>0</v>
      </c>
      <c r="N383" t="n">
        <v>0</v>
      </c>
      <c r="O383" t="n">
        <v>0</v>
      </c>
      <c r="P383" t="n">
        <v>0</v>
      </c>
      <c r="Q383" t="n">
        <v>0</v>
      </c>
      <c r="R383" s="2" t="inlineStr"/>
    </row>
    <row r="384" ht="15" customHeight="1">
      <c r="A384" t="inlineStr">
        <is>
          <t>A 60001-2022</t>
        </is>
      </c>
      <c r="B384" s="1" t="n">
        <v>44909.47087962963</v>
      </c>
      <c r="C384" s="1" t="n">
        <v>45976</v>
      </c>
      <c r="D384" t="inlineStr">
        <is>
          <t>ÖSTERGÖTLANDS LÄN</t>
        </is>
      </c>
      <c r="E384" t="inlineStr">
        <is>
          <t>LINKÖPING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60013-2022</t>
        </is>
      </c>
      <c r="B385" s="1" t="n">
        <v>44909.47482638889</v>
      </c>
      <c r="C385" s="1" t="n">
        <v>45976</v>
      </c>
      <c r="D385" t="inlineStr">
        <is>
          <t>ÖSTERGÖTLANDS LÄN</t>
        </is>
      </c>
      <c r="E385" t="inlineStr">
        <is>
          <t>LINKÖPING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1211-2023</t>
        </is>
      </c>
      <c r="B386" s="1" t="n">
        <v>44930</v>
      </c>
      <c r="C386" s="1" t="n">
        <v>45976</v>
      </c>
      <c r="D386" t="inlineStr">
        <is>
          <t>ÖSTERGÖTLANDS LÄN</t>
        </is>
      </c>
      <c r="E386" t="inlineStr">
        <is>
          <t>LINKÖPING</t>
        </is>
      </c>
      <c r="F386" t="inlineStr">
        <is>
          <t>Övriga statliga verk och myndigheter</t>
        </is>
      </c>
      <c r="G386" t="n">
        <v>7.9</v>
      </c>
      <c r="H386" t="n">
        <v>0</v>
      </c>
      <c r="I386" t="n">
        <v>0</v>
      </c>
      <c r="J386" t="n">
        <v>0</v>
      </c>
      <c r="K386" t="n">
        <v>0</v>
      </c>
      <c r="L386" t="n">
        <v>0</v>
      </c>
      <c r="M386" t="n">
        <v>0</v>
      </c>
      <c r="N386" t="n">
        <v>0</v>
      </c>
      <c r="O386" t="n">
        <v>0</v>
      </c>
      <c r="P386" t="n">
        <v>0</v>
      </c>
      <c r="Q386" t="n">
        <v>0</v>
      </c>
      <c r="R386" s="2" t="inlineStr"/>
    </row>
    <row r="387" ht="15" customHeight="1">
      <c r="A387" t="inlineStr">
        <is>
          <t>A 38136-2023</t>
        </is>
      </c>
      <c r="B387" s="1" t="n">
        <v>45161.37310185185</v>
      </c>
      <c r="C387" s="1" t="n">
        <v>45976</v>
      </c>
      <c r="D387" t="inlineStr">
        <is>
          <t>ÖSTERGÖTLANDS LÄN</t>
        </is>
      </c>
      <c r="E387" t="inlineStr">
        <is>
          <t>LINKÖPING</t>
        </is>
      </c>
      <c r="G387" t="n">
        <v>5.6</v>
      </c>
      <c r="H387" t="n">
        <v>0</v>
      </c>
      <c r="I387" t="n">
        <v>0</v>
      </c>
      <c r="J387" t="n">
        <v>0</v>
      </c>
      <c r="K387" t="n">
        <v>0</v>
      </c>
      <c r="L387" t="n">
        <v>0</v>
      </c>
      <c r="M387" t="n">
        <v>0</v>
      </c>
      <c r="N387" t="n">
        <v>0</v>
      </c>
      <c r="O387" t="n">
        <v>0</v>
      </c>
      <c r="P387" t="n">
        <v>0</v>
      </c>
      <c r="Q387" t="n">
        <v>0</v>
      </c>
      <c r="R387" s="2" t="inlineStr"/>
    </row>
    <row r="388" ht="15" customHeight="1">
      <c r="A388" t="inlineStr">
        <is>
          <t>A 61936-2023</t>
        </is>
      </c>
      <c r="B388" s="1" t="n">
        <v>45266.54534722222</v>
      </c>
      <c r="C388" s="1" t="n">
        <v>45976</v>
      </c>
      <c r="D388" t="inlineStr">
        <is>
          <t>ÖSTERGÖTLANDS LÄN</t>
        </is>
      </c>
      <c r="E388" t="inlineStr">
        <is>
          <t>LINKÖPING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62492-2023</t>
        </is>
      </c>
      <c r="B389" s="1" t="n">
        <v>45268.58987268519</v>
      </c>
      <c r="C389" s="1" t="n">
        <v>45976</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60985-2023</t>
        </is>
      </c>
      <c r="B390" s="1" t="n">
        <v>45261.48429398148</v>
      </c>
      <c r="C390" s="1" t="n">
        <v>45976</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24904-2024</t>
        </is>
      </c>
      <c r="B391" s="1" t="n">
        <v>45461</v>
      </c>
      <c r="C391" s="1" t="n">
        <v>45976</v>
      </c>
      <c r="D391" t="inlineStr">
        <is>
          <t>ÖSTERGÖTLANDS LÄN</t>
        </is>
      </c>
      <c r="E391" t="inlineStr">
        <is>
          <t>LINKÖPING</t>
        </is>
      </c>
      <c r="G391" t="n">
        <v>3.8</v>
      </c>
      <c r="H391" t="n">
        <v>0</v>
      </c>
      <c r="I391" t="n">
        <v>0</v>
      </c>
      <c r="J391" t="n">
        <v>0</v>
      </c>
      <c r="K391" t="n">
        <v>0</v>
      </c>
      <c r="L391" t="n">
        <v>0</v>
      </c>
      <c r="M391" t="n">
        <v>0</v>
      </c>
      <c r="N391" t="n">
        <v>0</v>
      </c>
      <c r="O391" t="n">
        <v>0</v>
      </c>
      <c r="P391" t="n">
        <v>0</v>
      </c>
      <c r="Q391" t="n">
        <v>0</v>
      </c>
      <c r="R391" s="2" t="inlineStr"/>
    </row>
    <row r="392" ht="15" customHeight="1">
      <c r="A392" t="inlineStr">
        <is>
          <t>A 55009-2023</t>
        </is>
      </c>
      <c r="B392" s="1" t="n">
        <v>45237</v>
      </c>
      <c r="C392" s="1" t="n">
        <v>45976</v>
      </c>
      <c r="D392" t="inlineStr">
        <is>
          <t>ÖSTERGÖTLANDS LÄN</t>
        </is>
      </c>
      <c r="E392" t="inlineStr">
        <is>
          <t>LINKÖPING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34872-2023</t>
        </is>
      </c>
      <c r="B393" s="1" t="n">
        <v>45140</v>
      </c>
      <c r="C393" s="1" t="n">
        <v>45976</v>
      </c>
      <c r="D393" t="inlineStr">
        <is>
          <t>ÖSTERGÖTLANDS LÄN</t>
        </is>
      </c>
      <c r="E393" t="inlineStr">
        <is>
          <t>LINKÖPING</t>
        </is>
      </c>
      <c r="G393" t="n">
        <v>4.8</v>
      </c>
      <c r="H393" t="n">
        <v>0</v>
      </c>
      <c r="I393" t="n">
        <v>0</v>
      </c>
      <c r="J393" t="n">
        <v>0</v>
      </c>
      <c r="K393" t="n">
        <v>0</v>
      </c>
      <c r="L393" t="n">
        <v>0</v>
      </c>
      <c r="M393" t="n">
        <v>0</v>
      </c>
      <c r="N393" t="n">
        <v>0</v>
      </c>
      <c r="O393" t="n">
        <v>0</v>
      </c>
      <c r="P393" t="n">
        <v>0</v>
      </c>
      <c r="Q393" t="n">
        <v>0</v>
      </c>
      <c r="R393" s="2" t="inlineStr"/>
    </row>
    <row r="394" ht="15" customHeight="1">
      <c r="A394" t="inlineStr">
        <is>
          <t>A 12317-2025</t>
        </is>
      </c>
      <c r="B394" s="1" t="n">
        <v>45729.8487037037</v>
      </c>
      <c r="C394" s="1" t="n">
        <v>45976</v>
      </c>
      <c r="D394" t="inlineStr">
        <is>
          <t>ÖSTERGÖTLANDS LÄN</t>
        </is>
      </c>
      <c r="E394" t="inlineStr">
        <is>
          <t>LINKÖPING</t>
        </is>
      </c>
      <c r="G394" t="n">
        <v>8</v>
      </c>
      <c r="H394" t="n">
        <v>0</v>
      </c>
      <c r="I394" t="n">
        <v>0</v>
      </c>
      <c r="J394" t="n">
        <v>0</v>
      </c>
      <c r="K394" t="n">
        <v>0</v>
      </c>
      <c r="L394" t="n">
        <v>0</v>
      </c>
      <c r="M394" t="n">
        <v>0</v>
      </c>
      <c r="N394" t="n">
        <v>0</v>
      </c>
      <c r="O394" t="n">
        <v>0</v>
      </c>
      <c r="P394" t="n">
        <v>0</v>
      </c>
      <c r="Q394" t="n">
        <v>0</v>
      </c>
      <c r="R394" s="2" t="inlineStr"/>
    </row>
    <row r="395" ht="15" customHeight="1">
      <c r="A395" t="inlineStr">
        <is>
          <t>A 674-2024</t>
        </is>
      </c>
      <c r="B395" s="1" t="n">
        <v>45300.34408564815</v>
      </c>
      <c r="C395" s="1" t="n">
        <v>45976</v>
      </c>
      <c r="D395" t="inlineStr">
        <is>
          <t>ÖSTERGÖTLANDS LÄN</t>
        </is>
      </c>
      <c r="E395" t="inlineStr">
        <is>
          <t>LINKÖPING</t>
        </is>
      </c>
      <c r="F395" t="inlineStr">
        <is>
          <t>Sveaskog</t>
        </is>
      </c>
      <c r="G395" t="n">
        <v>2.9</v>
      </c>
      <c r="H395" t="n">
        <v>0</v>
      </c>
      <c r="I395" t="n">
        <v>0</v>
      </c>
      <c r="J395" t="n">
        <v>0</v>
      </c>
      <c r="K395" t="n">
        <v>0</v>
      </c>
      <c r="L395" t="n">
        <v>0</v>
      </c>
      <c r="M395" t="n">
        <v>0</v>
      </c>
      <c r="N395" t="n">
        <v>0</v>
      </c>
      <c r="O395" t="n">
        <v>0</v>
      </c>
      <c r="P395" t="n">
        <v>0</v>
      </c>
      <c r="Q395" t="n">
        <v>0</v>
      </c>
      <c r="R395" s="2" t="inlineStr"/>
    </row>
    <row r="396" ht="15" customHeight="1">
      <c r="A396" t="inlineStr">
        <is>
          <t>A 36557-2023</t>
        </is>
      </c>
      <c r="B396" s="1" t="n">
        <v>45153</v>
      </c>
      <c r="C396" s="1" t="n">
        <v>45976</v>
      </c>
      <c r="D396" t="inlineStr">
        <is>
          <t>ÖSTERGÖTLANDS LÄN</t>
        </is>
      </c>
      <c r="E396" t="inlineStr">
        <is>
          <t>LINKÖPING</t>
        </is>
      </c>
      <c r="F396" t="inlineStr">
        <is>
          <t>Övriga Aktiebolag</t>
        </is>
      </c>
      <c r="G396" t="n">
        <v>3.1</v>
      </c>
      <c r="H396" t="n">
        <v>0</v>
      </c>
      <c r="I396" t="n">
        <v>0</v>
      </c>
      <c r="J396" t="n">
        <v>0</v>
      </c>
      <c r="K396" t="n">
        <v>0</v>
      </c>
      <c r="L396" t="n">
        <v>0</v>
      </c>
      <c r="M396" t="n">
        <v>0</v>
      </c>
      <c r="N396" t="n">
        <v>0</v>
      </c>
      <c r="O396" t="n">
        <v>0</v>
      </c>
      <c r="P396" t="n">
        <v>0</v>
      </c>
      <c r="Q396" t="n">
        <v>0</v>
      </c>
      <c r="R396" s="2" t="inlineStr"/>
    </row>
    <row r="397" ht="15" customHeight="1">
      <c r="A397" t="inlineStr">
        <is>
          <t>A 2085-2024</t>
        </is>
      </c>
      <c r="B397" s="1" t="n">
        <v>45309</v>
      </c>
      <c r="C397" s="1" t="n">
        <v>45976</v>
      </c>
      <c r="D397" t="inlineStr">
        <is>
          <t>ÖSTERGÖTLANDS LÄN</t>
        </is>
      </c>
      <c r="E397" t="inlineStr">
        <is>
          <t>LINKÖPING</t>
        </is>
      </c>
      <c r="G397" t="n">
        <v>4.5</v>
      </c>
      <c r="H397" t="n">
        <v>0</v>
      </c>
      <c r="I397" t="n">
        <v>0</v>
      </c>
      <c r="J397" t="n">
        <v>0</v>
      </c>
      <c r="K397" t="n">
        <v>0</v>
      </c>
      <c r="L397" t="n">
        <v>0</v>
      </c>
      <c r="M397" t="n">
        <v>0</v>
      </c>
      <c r="N397" t="n">
        <v>0</v>
      </c>
      <c r="O397" t="n">
        <v>0</v>
      </c>
      <c r="P397" t="n">
        <v>0</v>
      </c>
      <c r="Q397" t="n">
        <v>0</v>
      </c>
      <c r="R397" s="2" t="inlineStr"/>
    </row>
    <row r="398" ht="15" customHeight="1">
      <c r="A398" t="inlineStr">
        <is>
          <t>A 6782-2024</t>
        </is>
      </c>
      <c r="B398" s="1" t="n">
        <v>45342</v>
      </c>
      <c r="C398" s="1" t="n">
        <v>45976</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36336-2022</t>
        </is>
      </c>
      <c r="B399" s="1" t="n">
        <v>44803</v>
      </c>
      <c r="C399" s="1" t="n">
        <v>45976</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30468-2023</t>
        </is>
      </c>
      <c r="B400" s="1" t="n">
        <v>45111.58732638889</v>
      </c>
      <c r="C400" s="1" t="n">
        <v>45976</v>
      </c>
      <c r="D400" t="inlineStr">
        <is>
          <t>ÖSTERGÖTLANDS LÄN</t>
        </is>
      </c>
      <c r="E400" t="inlineStr">
        <is>
          <t>LINKÖPING</t>
        </is>
      </c>
      <c r="G400" t="n">
        <v>10.1</v>
      </c>
      <c r="H400" t="n">
        <v>0</v>
      </c>
      <c r="I400" t="n">
        <v>0</v>
      </c>
      <c r="J400" t="n">
        <v>0</v>
      </c>
      <c r="K400" t="n">
        <v>0</v>
      </c>
      <c r="L400" t="n">
        <v>0</v>
      </c>
      <c r="M400" t="n">
        <v>0</v>
      </c>
      <c r="N400" t="n">
        <v>0</v>
      </c>
      <c r="O400" t="n">
        <v>0</v>
      </c>
      <c r="P400" t="n">
        <v>0</v>
      </c>
      <c r="Q400" t="n">
        <v>0</v>
      </c>
      <c r="R400" s="2" t="inlineStr"/>
    </row>
    <row r="401" ht="15" customHeight="1">
      <c r="A401" t="inlineStr">
        <is>
          <t>A 49615-2025</t>
        </is>
      </c>
      <c r="B401" s="1" t="n">
        <v>45938</v>
      </c>
      <c r="C401" s="1" t="n">
        <v>45976</v>
      </c>
      <c r="D401" t="inlineStr">
        <is>
          <t>ÖSTERGÖTLANDS LÄN</t>
        </is>
      </c>
      <c r="E401" t="inlineStr">
        <is>
          <t>LINKÖPING</t>
        </is>
      </c>
      <c r="F401" t="inlineStr">
        <is>
          <t>Övriga Aktiebolag</t>
        </is>
      </c>
      <c r="G401" t="n">
        <v>1.6</v>
      </c>
      <c r="H401" t="n">
        <v>0</v>
      </c>
      <c r="I401" t="n">
        <v>0</v>
      </c>
      <c r="J401" t="n">
        <v>0</v>
      </c>
      <c r="K401" t="n">
        <v>0</v>
      </c>
      <c r="L401" t="n">
        <v>0</v>
      </c>
      <c r="M401" t="n">
        <v>0</v>
      </c>
      <c r="N401" t="n">
        <v>0</v>
      </c>
      <c r="O401" t="n">
        <v>0</v>
      </c>
      <c r="P401" t="n">
        <v>0</v>
      </c>
      <c r="Q401" t="n">
        <v>0</v>
      </c>
      <c r="R401" s="2" t="inlineStr"/>
    </row>
    <row r="402" ht="15" customHeight="1">
      <c r="A402" t="inlineStr">
        <is>
          <t>A 49619-2025</t>
        </is>
      </c>
      <c r="B402" s="1" t="n">
        <v>45938</v>
      </c>
      <c r="C402" s="1" t="n">
        <v>45976</v>
      </c>
      <c r="D402" t="inlineStr">
        <is>
          <t>ÖSTERGÖTLANDS LÄN</t>
        </is>
      </c>
      <c r="E402" t="inlineStr">
        <is>
          <t>LINKÖPING</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49629-2025</t>
        </is>
      </c>
      <c r="B403" s="1" t="n">
        <v>45938</v>
      </c>
      <c r="C403" s="1" t="n">
        <v>45976</v>
      </c>
      <c r="D403" t="inlineStr">
        <is>
          <t>ÖSTERGÖTLANDS LÄN</t>
        </is>
      </c>
      <c r="E403" t="inlineStr">
        <is>
          <t>LINKÖPING</t>
        </is>
      </c>
      <c r="F403" t="inlineStr">
        <is>
          <t>Övriga Aktiebolag</t>
        </is>
      </c>
      <c r="G403" t="n">
        <v>4.5</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45976</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49455-2025</t>
        </is>
      </c>
      <c r="B405" s="1" t="n">
        <v>45938</v>
      </c>
      <c r="C405" s="1" t="n">
        <v>45976</v>
      </c>
      <c r="D405" t="inlineStr">
        <is>
          <t>ÖSTERGÖTLANDS LÄN</t>
        </is>
      </c>
      <c r="E405" t="inlineStr">
        <is>
          <t>LINKÖPING</t>
        </is>
      </c>
      <c r="F405" t="inlineStr">
        <is>
          <t>Övriga Aktiebolag</t>
        </is>
      </c>
      <c r="G405" t="n">
        <v>5.9</v>
      </c>
      <c r="H405" t="n">
        <v>0</v>
      </c>
      <c r="I405" t="n">
        <v>0</v>
      </c>
      <c r="J405" t="n">
        <v>0</v>
      </c>
      <c r="K405" t="n">
        <v>0</v>
      </c>
      <c r="L405" t="n">
        <v>0</v>
      </c>
      <c r="M405" t="n">
        <v>0</v>
      </c>
      <c r="N405" t="n">
        <v>0</v>
      </c>
      <c r="O405" t="n">
        <v>0</v>
      </c>
      <c r="P405" t="n">
        <v>0</v>
      </c>
      <c r="Q405" t="n">
        <v>0</v>
      </c>
      <c r="R405" s="2" t="inlineStr"/>
    </row>
    <row r="406" ht="15" customHeight="1">
      <c r="A406" t="inlineStr">
        <is>
          <t>A 38715-2023</t>
        </is>
      </c>
      <c r="B406" s="1" t="n">
        <v>45160</v>
      </c>
      <c r="C406" s="1" t="n">
        <v>45976</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25097-2023</t>
        </is>
      </c>
      <c r="B407" s="1" t="n">
        <v>45086</v>
      </c>
      <c r="C407" s="1" t="n">
        <v>45976</v>
      </c>
      <c r="D407" t="inlineStr">
        <is>
          <t>ÖSTERGÖTLANDS LÄN</t>
        </is>
      </c>
      <c r="E407" t="inlineStr">
        <is>
          <t>LINKÖPING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10094-2024</t>
        </is>
      </c>
      <c r="B408" s="1" t="n">
        <v>45364</v>
      </c>
      <c r="C408" s="1" t="n">
        <v>45976</v>
      </c>
      <c r="D408" t="inlineStr">
        <is>
          <t>ÖSTERGÖTLANDS LÄN</t>
        </is>
      </c>
      <c r="E408" t="inlineStr">
        <is>
          <t>LINKÖPING</t>
        </is>
      </c>
      <c r="F408" t="inlineStr">
        <is>
          <t>Övriga Aktiebolag</t>
        </is>
      </c>
      <c r="G408" t="n">
        <v>1.9</v>
      </c>
      <c r="H408" t="n">
        <v>0</v>
      </c>
      <c r="I408" t="n">
        <v>0</v>
      </c>
      <c r="J408" t="n">
        <v>0</v>
      </c>
      <c r="K408" t="n">
        <v>0</v>
      </c>
      <c r="L408" t="n">
        <v>0</v>
      </c>
      <c r="M408" t="n">
        <v>0</v>
      </c>
      <c r="N408" t="n">
        <v>0</v>
      </c>
      <c r="O408" t="n">
        <v>0</v>
      </c>
      <c r="P408" t="n">
        <v>0</v>
      </c>
      <c r="Q408" t="n">
        <v>0</v>
      </c>
      <c r="R408" s="2" t="inlineStr"/>
    </row>
    <row r="409" ht="15" customHeight="1">
      <c r="A409" t="inlineStr">
        <is>
          <t>A 34864-2023</t>
        </is>
      </c>
      <c r="B409" s="1" t="n">
        <v>45141</v>
      </c>
      <c r="C409" s="1" t="n">
        <v>45976</v>
      </c>
      <c r="D409" t="inlineStr">
        <is>
          <t>ÖSTERGÖTLANDS LÄN</t>
        </is>
      </c>
      <c r="E409" t="inlineStr">
        <is>
          <t>LINKÖPING</t>
        </is>
      </c>
      <c r="G409" t="n">
        <v>3.3</v>
      </c>
      <c r="H409" t="n">
        <v>0</v>
      </c>
      <c r="I409" t="n">
        <v>0</v>
      </c>
      <c r="J409" t="n">
        <v>0</v>
      </c>
      <c r="K409" t="n">
        <v>0</v>
      </c>
      <c r="L409" t="n">
        <v>0</v>
      </c>
      <c r="M409" t="n">
        <v>0</v>
      </c>
      <c r="N409" t="n">
        <v>0</v>
      </c>
      <c r="O409" t="n">
        <v>0</v>
      </c>
      <c r="P409" t="n">
        <v>0</v>
      </c>
      <c r="Q409" t="n">
        <v>0</v>
      </c>
      <c r="R409" s="2" t="inlineStr"/>
    </row>
    <row r="410" ht="15" customHeight="1">
      <c r="A410" t="inlineStr">
        <is>
          <t>A 46687-2021</t>
        </is>
      </c>
      <c r="B410" s="1" t="n">
        <v>44445</v>
      </c>
      <c r="C410" s="1" t="n">
        <v>45976</v>
      </c>
      <c r="D410" t="inlineStr">
        <is>
          <t>ÖSTERGÖTLANDS LÄN</t>
        </is>
      </c>
      <c r="E410" t="inlineStr">
        <is>
          <t>LINKÖPING</t>
        </is>
      </c>
      <c r="F410" t="inlineStr">
        <is>
          <t>Övriga statliga verk och myndigheter</t>
        </is>
      </c>
      <c r="G410" t="n">
        <v>2.3</v>
      </c>
      <c r="H410" t="n">
        <v>0</v>
      </c>
      <c r="I410" t="n">
        <v>0</v>
      </c>
      <c r="J410" t="n">
        <v>0</v>
      </c>
      <c r="K410" t="n">
        <v>0</v>
      </c>
      <c r="L410" t="n">
        <v>0</v>
      </c>
      <c r="M410" t="n">
        <v>0</v>
      </c>
      <c r="N410" t="n">
        <v>0</v>
      </c>
      <c r="O410" t="n">
        <v>0</v>
      </c>
      <c r="P410" t="n">
        <v>0</v>
      </c>
      <c r="Q410" t="n">
        <v>0</v>
      </c>
      <c r="R410" s="2" t="inlineStr"/>
    </row>
    <row r="411" ht="15" customHeight="1">
      <c r="A411" t="inlineStr">
        <is>
          <t>A 17103-2025</t>
        </is>
      </c>
      <c r="B411" s="1" t="n">
        <v>45755.66143518518</v>
      </c>
      <c r="C411" s="1" t="n">
        <v>45976</v>
      </c>
      <c r="D411" t="inlineStr">
        <is>
          <t>ÖSTERGÖTLANDS LÄN</t>
        </is>
      </c>
      <c r="E411" t="inlineStr">
        <is>
          <t>LINKÖPING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63684-2023</t>
        </is>
      </c>
      <c r="B412" s="1" t="n">
        <v>45275</v>
      </c>
      <c r="C412" s="1" t="n">
        <v>45976</v>
      </c>
      <c r="D412" t="inlineStr">
        <is>
          <t>ÖSTERGÖTLANDS LÄN</t>
        </is>
      </c>
      <c r="E412" t="inlineStr">
        <is>
          <t>LINKÖPING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63688-2023</t>
        </is>
      </c>
      <c r="B413" s="1" t="n">
        <v>45275</v>
      </c>
      <c r="C413" s="1" t="n">
        <v>45976</v>
      </c>
      <c r="D413" t="inlineStr">
        <is>
          <t>ÖSTERGÖTLANDS LÄN</t>
        </is>
      </c>
      <c r="E413" t="inlineStr">
        <is>
          <t>LINKÖPING</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63691-2023</t>
        </is>
      </c>
      <c r="B414" s="1" t="n">
        <v>45275</v>
      </c>
      <c r="C414" s="1" t="n">
        <v>45976</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36657-2023</t>
        </is>
      </c>
      <c r="B415" s="1" t="n">
        <v>45153.5702662037</v>
      </c>
      <c r="C415" s="1" t="n">
        <v>45976</v>
      </c>
      <c r="D415" t="inlineStr">
        <is>
          <t>ÖSTERGÖTLANDS LÄN</t>
        </is>
      </c>
      <c r="E415" t="inlineStr">
        <is>
          <t>LINKÖPING</t>
        </is>
      </c>
      <c r="F415" t="inlineStr">
        <is>
          <t>Allmännings- och besparingsskogar</t>
        </is>
      </c>
      <c r="G415" t="n">
        <v>2</v>
      </c>
      <c r="H415" t="n">
        <v>0</v>
      </c>
      <c r="I415" t="n">
        <v>0</v>
      </c>
      <c r="J415" t="n">
        <v>0</v>
      </c>
      <c r="K415" t="n">
        <v>0</v>
      </c>
      <c r="L415" t="n">
        <v>0</v>
      </c>
      <c r="M415" t="n">
        <v>0</v>
      </c>
      <c r="N415" t="n">
        <v>0</v>
      </c>
      <c r="O415" t="n">
        <v>0</v>
      </c>
      <c r="P415" t="n">
        <v>0</v>
      </c>
      <c r="Q415" t="n">
        <v>0</v>
      </c>
      <c r="R415" s="2" t="inlineStr"/>
    </row>
    <row r="416" ht="15" customHeight="1">
      <c r="A416" t="inlineStr">
        <is>
          <t>A 14667-2024</t>
        </is>
      </c>
      <c r="B416" s="1" t="n">
        <v>45397.42005787037</v>
      </c>
      <c r="C416" s="1" t="n">
        <v>45976</v>
      </c>
      <c r="D416" t="inlineStr">
        <is>
          <t>ÖSTERGÖTLANDS LÄN</t>
        </is>
      </c>
      <c r="E416" t="inlineStr">
        <is>
          <t>LINKÖPING</t>
        </is>
      </c>
      <c r="G416" t="n">
        <v>2.3</v>
      </c>
      <c r="H416" t="n">
        <v>0</v>
      </c>
      <c r="I416" t="n">
        <v>0</v>
      </c>
      <c r="J416" t="n">
        <v>0</v>
      </c>
      <c r="K416" t="n">
        <v>0</v>
      </c>
      <c r="L416" t="n">
        <v>0</v>
      </c>
      <c r="M416" t="n">
        <v>0</v>
      </c>
      <c r="N416" t="n">
        <v>0</v>
      </c>
      <c r="O416" t="n">
        <v>0</v>
      </c>
      <c r="P416" t="n">
        <v>0</v>
      </c>
      <c r="Q416" t="n">
        <v>0</v>
      </c>
      <c r="R416" s="2" t="inlineStr"/>
    </row>
    <row r="417" ht="15" customHeight="1">
      <c r="A417" t="inlineStr">
        <is>
          <t>A 10461-2023</t>
        </is>
      </c>
      <c r="B417" s="1" t="n">
        <v>44987.5969212963</v>
      </c>
      <c r="C417" s="1" t="n">
        <v>45976</v>
      </c>
      <c r="D417" t="inlineStr">
        <is>
          <t>ÖSTERGÖTLANDS LÄN</t>
        </is>
      </c>
      <c r="E417" t="inlineStr">
        <is>
          <t>LINKÖPING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49647-2025</t>
        </is>
      </c>
      <c r="B418" s="1" t="n">
        <v>45938</v>
      </c>
      <c r="C418" s="1" t="n">
        <v>45976</v>
      </c>
      <c r="D418" t="inlineStr">
        <is>
          <t>ÖSTERGÖTLANDS LÄN</t>
        </is>
      </c>
      <c r="E418" t="inlineStr">
        <is>
          <t>LINKÖPING</t>
        </is>
      </c>
      <c r="F418" t="inlineStr">
        <is>
          <t>Övriga Aktiebolag</t>
        </is>
      </c>
      <c r="G418" t="n">
        <v>0.6</v>
      </c>
      <c r="H418" t="n">
        <v>0</v>
      </c>
      <c r="I418" t="n">
        <v>0</v>
      </c>
      <c r="J418" t="n">
        <v>0</v>
      </c>
      <c r="K418" t="n">
        <v>0</v>
      </c>
      <c r="L418" t="n">
        <v>0</v>
      </c>
      <c r="M418" t="n">
        <v>0</v>
      </c>
      <c r="N418" t="n">
        <v>0</v>
      </c>
      <c r="O418" t="n">
        <v>0</v>
      </c>
      <c r="P418" t="n">
        <v>0</v>
      </c>
      <c r="Q418" t="n">
        <v>0</v>
      </c>
      <c r="R418" s="2" t="inlineStr"/>
    </row>
    <row r="419" ht="15" customHeight="1">
      <c r="A419" t="inlineStr">
        <is>
          <t>A 49650-2025</t>
        </is>
      </c>
      <c r="B419" s="1" t="n">
        <v>45938</v>
      </c>
      <c r="C419" s="1" t="n">
        <v>45976</v>
      </c>
      <c r="D419" t="inlineStr">
        <is>
          <t>ÖSTERGÖTLANDS LÄN</t>
        </is>
      </c>
      <c r="E419" t="inlineStr">
        <is>
          <t>LINKÖPING</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49652-2025</t>
        </is>
      </c>
      <c r="B420" s="1" t="n">
        <v>45938</v>
      </c>
      <c r="C420" s="1" t="n">
        <v>45976</v>
      </c>
      <c r="D420" t="inlineStr">
        <is>
          <t>ÖSTERGÖTLANDS LÄN</t>
        </is>
      </c>
      <c r="E420" t="inlineStr">
        <is>
          <t>LINKÖPING</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49663-2025</t>
        </is>
      </c>
      <c r="B421" s="1" t="n">
        <v>45938</v>
      </c>
      <c r="C421" s="1" t="n">
        <v>45976</v>
      </c>
      <c r="D421" t="inlineStr">
        <is>
          <t>ÖSTERGÖTLANDS LÄN</t>
        </is>
      </c>
      <c r="E421" t="inlineStr">
        <is>
          <t>LINKÖPING</t>
        </is>
      </c>
      <c r="F421" t="inlineStr">
        <is>
          <t>Övriga Aktiebolag</t>
        </is>
      </c>
      <c r="G421" t="n">
        <v>1.2</v>
      </c>
      <c r="H421" t="n">
        <v>0</v>
      </c>
      <c r="I421" t="n">
        <v>0</v>
      </c>
      <c r="J421" t="n">
        <v>0</v>
      </c>
      <c r="K421" t="n">
        <v>0</v>
      </c>
      <c r="L421" t="n">
        <v>0</v>
      </c>
      <c r="M421" t="n">
        <v>0</v>
      </c>
      <c r="N421" t="n">
        <v>0</v>
      </c>
      <c r="O421" t="n">
        <v>0</v>
      </c>
      <c r="P421" t="n">
        <v>0</v>
      </c>
      <c r="Q421" t="n">
        <v>0</v>
      </c>
      <c r="R421" s="2" t="inlineStr"/>
    </row>
    <row r="422" ht="15" customHeight="1">
      <c r="A422" t="inlineStr">
        <is>
          <t>A 40618-2021</t>
        </is>
      </c>
      <c r="B422" s="1" t="n">
        <v>44420.49575231481</v>
      </c>
      <c r="C422" s="1" t="n">
        <v>45976</v>
      </c>
      <c r="D422" t="inlineStr">
        <is>
          <t>ÖSTERGÖTLANDS LÄN</t>
        </is>
      </c>
      <c r="E422" t="inlineStr">
        <is>
          <t>LINKÖPING</t>
        </is>
      </c>
      <c r="G422" t="n">
        <v>2.3</v>
      </c>
      <c r="H422" t="n">
        <v>0</v>
      </c>
      <c r="I422" t="n">
        <v>0</v>
      </c>
      <c r="J422" t="n">
        <v>0</v>
      </c>
      <c r="K422" t="n">
        <v>0</v>
      </c>
      <c r="L422" t="n">
        <v>0</v>
      </c>
      <c r="M422" t="n">
        <v>0</v>
      </c>
      <c r="N422" t="n">
        <v>0</v>
      </c>
      <c r="O422" t="n">
        <v>0</v>
      </c>
      <c r="P422" t="n">
        <v>0</v>
      </c>
      <c r="Q422" t="n">
        <v>0</v>
      </c>
      <c r="R422" s="2" t="inlineStr"/>
    </row>
    <row r="423" ht="15" customHeight="1">
      <c r="A423" t="inlineStr">
        <is>
          <t>A 56180-2024</t>
        </is>
      </c>
      <c r="B423" s="1" t="n">
        <v>45624.56611111111</v>
      </c>
      <c r="C423" s="1" t="n">
        <v>45976</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50386-2021</t>
        </is>
      </c>
      <c r="B424" s="1" t="n">
        <v>44459</v>
      </c>
      <c r="C424" s="1" t="n">
        <v>45976</v>
      </c>
      <c r="D424" t="inlineStr">
        <is>
          <t>ÖSTERGÖTLANDS LÄN</t>
        </is>
      </c>
      <c r="E424" t="inlineStr">
        <is>
          <t>LINKÖPING</t>
        </is>
      </c>
      <c r="G424" t="n">
        <v>2.3</v>
      </c>
      <c r="H424" t="n">
        <v>0</v>
      </c>
      <c r="I424" t="n">
        <v>0</v>
      </c>
      <c r="J424" t="n">
        <v>0</v>
      </c>
      <c r="K424" t="n">
        <v>0</v>
      </c>
      <c r="L424" t="n">
        <v>0</v>
      </c>
      <c r="M424" t="n">
        <v>0</v>
      </c>
      <c r="N424" t="n">
        <v>0</v>
      </c>
      <c r="O424" t="n">
        <v>0</v>
      </c>
      <c r="P424" t="n">
        <v>0</v>
      </c>
      <c r="Q424" t="n">
        <v>0</v>
      </c>
      <c r="R424" s="2" t="inlineStr"/>
    </row>
    <row r="425" ht="15" customHeight="1">
      <c r="A425" t="inlineStr">
        <is>
          <t>A 49632-2025</t>
        </is>
      </c>
      <c r="B425" s="1" t="n">
        <v>45938</v>
      </c>
      <c r="C425" s="1" t="n">
        <v>45976</v>
      </c>
      <c r="D425" t="inlineStr">
        <is>
          <t>ÖSTERGÖTLANDS LÄN</t>
        </is>
      </c>
      <c r="E425" t="inlineStr">
        <is>
          <t>LINKÖPING</t>
        </is>
      </c>
      <c r="F425" t="inlineStr">
        <is>
          <t>Övriga Aktiebolag</t>
        </is>
      </c>
      <c r="G425" t="n">
        <v>1.6</v>
      </c>
      <c r="H425" t="n">
        <v>0</v>
      </c>
      <c r="I425" t="n">
        <v>0</v>
      </c>
      <c r="J425" t="n">
        <v>0</v>
      </c>
      <c r="K425" t="n">
        <v>0</v>
      </c>
      <c r="L425" t="n">
        <v>0</v>
      </c>
      <c r="M425" t="n">
        <v>0</v>
      </c>
      <c r="N425" t="n">
        <v>0</v>
      </c>
      <c r="O425" t="n">
        <v>0</v>
      </c>
      <c r="P425" t="n">
        <v>0</v>
      </c>
      <c r="Q425" t="n">
        <v>0</v>
      </c>
      <c r="R425" s="2" t="inlineStr"/>
    </row>
    <row r="426" ht="15" customHeight="1">
      <c r="A426" t="inlineStr">
        <is>
          <t>A 49654-2025</t>
        </is>
      </c>
      <c r="B426" s="1" t="n">
        <v>45938</v>
      </c>
      <c r="C426" s="1" t="n">
        <v>45976</v>
      </c>
      <c r="D426" t="inlineStr">
        <is>
          <t>ÖSTERGÖTLANDS LÄN</t>
        </is>
      </c>
      <c r="E426" t="inlineStr">
        <is>
          <t>LINKÖPING</t>
        </is>
      </c>
      <c r="F426" t="inlineStr">
        <is>
          <t>Övriga Aktiebolag</t>
        </is>
      </c>
      <c r="G426" t="n">
        <v>3.1</v>
      </c>
      <c r="H426" t="n">
        <v>0</v>
      </c>
      <c r="I426" t="n">
        <v>0</v>
      </c>
      <c r="J426" t="n">
        <v>0</v>
      </c>
      <c r="K426" t="n">
        <v>0</v>
      </c>
      <c r="L426" t="n">
        <v>0</v>
      </c>
      <c r="M426" t="n">
        <v>0</v>
      </c>
      <c r="N426" t="n">
        <v>0</v>
      </c>
      <c r="O426" t="n">
        <v>0</v>
      </c>
      <c r="P426" t="n">
        <v>0</v>
      </c>
      <c r="Q426" t="n">
        <v>0</v>
      </c>
      <c r="R426" s="2" t="inlineStr"/>
    </row>
    <row r="427" ht="15" customHeight="1">
      <c r="A427" t="inlineStr">
        <is>
          <t>A 49605-2025</t>
        </is>
      </c>
      <c r="B427" s="1" t="n">
        <v>45938</v>
      </c>
      <c r="C427" s="1" t="n">
        <v>45976</v>
      </c>
      <c r="D427" t="inlineStr">
        <is>
          <t>ÖSTERGÖTLANDS LÄN</t>
        </is>
      </c>
      <c r="E427" t="inlineStr">
        <is>
          <t>LINKÖPING</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30471-2023</t>
        </is>
      </c>
      <c r="B428" s="1" t="n">
        <v>45111.58931712963</v>
      </c>
      <c r="C428" s="1" t="n">
        <v>45976</v>
      </c>
      <c r="D428" t="inlineStr">
        <is>
          <t>ÖSTERGÖTLANDS LÄN</t>
        </is>
      </c>
      <c r="E428" t="inlineStr">
        <is>
          <t>LINKÖPING</t>
        </is>
      </c>
      <c r="G428" t="n">
        <v>2.9</v>
      </c>
      <c r="H428" t="n">
        <v>0</v>
      </c>
      <c r="I428" t="n">
        <v>0</v>
      </c>
      <c r="J428" t="n">
        <v>0</v>
      </c>
      <c r="K428" t="n">
        <v>0</v>
      </c>
      <c r="L428" t="n">
        <v>0</v>
      </c>
      <c r="M428" t="n">
        <v>0</v>
      </c>
      <c r="N428" t="n">
        <v>0</v>
      </c>
      <c r="O428" t="n">
        <v>0</v>
      </c>
      <c r="P428" t="n">
        <v>0</v>
      </c>
      <c r="Q428" t="n">
        <v>0</v>
      </c>
      <c r="R428" s="2" t="inlineStr"/>
    </row>
    <row r="429" ht="15" customHeight="1">
      <c r="A429" t="inlineStr">
        <is>
          <t>A 350-2022</t>
        </is>
      </c>
      <c r="B429" s="1" t="n">
        <v>44565</v>
      </c>
      <c r="C429" s="1" t="n">
        <v>45976</v>
      </c>
      <c r="D429" t="inlineStr">
        <is>
          <t>ÖSTERGÖTLANDS LÄN</t>
        </is>
      </c>
      <c r="E429" t="inlineStr">
        <is>
          <t>LINKÖPING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227-2024</t>
        </is>
      </c>
      <c r="B430" s="1" t="n">
        <v>45294.73603009259</v>
      </c>
      <c r="C430" s="1" t="n">
        <v>45976</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44155-2024</t>
        </is>
      </c>
      <c r="B431" s="1" t="n">
        <v>45572.68226851852</v>
      </c>
      <c r="C431" s="1" t="n">
        <v>45976</v>
      </c>
      <c r="D431" t="inlineStr">
        <is>
          <t>ÖSTERGÖTLANDS LÄN</t>
        </is>
      </c>
      <c r="E431" t="inlineStr">
        <is>
          <t>LINKÖPING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18891-2022</t>
        </is>
      </c>
      <c r="B432" s="1" t="n">
        <v>44690</v>
      </c>
      <c r="C432" s="1" t="n">
        <v>45976</v>
      </c>
      <c r="D432" t="inlineStr">
        <is>
          <t>ÖSTERGÖTLANDS LÄN</t>
        </is>
      </c>
      <c r="E432" t="inlineStr">
        <is>
          <t>LINKÖPING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30434-2024</t>
        </is>
      </c>
      <c r="B433" s="1" t="n">
        <v>45491.69811342593</v>
      </c>
      <c r="C433" s="1" t="n">
        <v>45976</v>
      </c>
      <c r="D433" t="inlineStr">
        <is>
          <t>ÖSTERGÖTLANDS LÄN</t>
        </is>
      </c>
      <c r="E433" t="inlineStr">
        <is>
          <t>LINKÖPING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56917-2022</t>
        </is>
      </c>
      <c r="B434" s="1" t="n">
        <v>44894</v>
      </c>
      <c r="C434" s="1" t="n">
        <v>45976</v>
      </c>
      <c r="D434" t="inlineStr">
        <is>
          <t>ÖSTERGÖTLANDS LÄN</t>
        </is>
      </c>
      <c r="E434" t="inlineStr">
        <is>
          <t>LINKÖPING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57766-2023</t>
        </is>
      </c>
      <c r="B435" s="1" t="n">
        <v>45246</v>
      </c>
      <c r="C435" s="1" t="n">
        <v>45976</v>
      </c>
      <c r="D435" t="inlineStr">
        <is>
          <t>ÖSTERGÖTLANDS LÄN</t>
        </is>
      </c>
      <c r="E435" t="inlineStr">
        <is>
          <t>LINKÖPING</t>
        </is>
      </c>
      <c r="F435" t="inlineStr">
        <is>
          <t>Allmännings- och besparingsskogar</t>
        </is>
      </c>
      <c r="G435" t="n">
        <v>12.8</v>
      </c>
      <c r="H435" t="n">
        <v>0</v>
      </c>
      <c r="I435" t="n">
        <v>0</v>
      </c>
      <c r="J435" t="n">
        <v>0</v>
      </c>
      <c r="K435" t="n">
        <v>0</v>
      </c>
      <c r="L435" t="n">
        <v>0</v>
      </c>
      <c r="M435" t="n">
        <v>0</v>
      </c>
      <c r="N435" t="n">
        <v>0</v>
      </c>
      <c r="O435" t="n">
        <v>0</v>
      </c>
      <c r="P435" t="n">
        <v>0</v>
      </c>
      <c r="Q435" t="n">
        <v>0</v>
      </c>
      <c r="R435" s="2" t="inlineStr"/>
    </row>
    <row r="436" ht="15" customHeight="1">
      <c r="A436" t="inlineStr">
        <is>
          <t>A 30976-2022</t>
        </is>
      </c>
      <c r="B436" s="1" t="n">
        <v>44768</v>
      </c>
      <c r="C436" s="1" t="n">
        <v>45976</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55736-2022</t>
        </is>
      </c>
      <c r="B437" s="1" t="n">
        <v>44888</v>
      </c>
      <c r="C437" s="1" t="n">
        <v>45976</v>
      </c>
      <c r="D437" t="inlineStr">
        <is>
          <t>ÖSTERGÖTLANDS LÄN</t>
        </is>
      </c>
      <c r="E437" t="inlineStr">
        <is>
          <t>LINKÖPING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25568-2024</t>
        </is>
      </c>
      <c r="B438" s="1" t="n">
        <v>45463.58699074074</v>
      </c>
      <c r="C438" s="1" t="n">
        <v>45976</v>
      </c>
      <c r="D438" t="inlineStr">
        <is>
          <t>ÖSTERGÖTLANDS LÄN</t>
        </is>
      </c>
      <c r="E438" t="inlineStr">
        <is>
          <t>LINKÖPING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15714-2024</t>
        </is>
      </c>
      <c r="B439" s="1" t="n">
        <v>45404.48288194444</v>
      </c>
      <c r="C439" s="1" t="n">
        <v>45976</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10194-2023</t>
        </is>
      </c>
      <c r="B440" s="1" t="n">
        <v>44986.52277777778</v>
      </c>
      <c r="C440" s="1" t="n">
        <v>45976</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40983-2025</t>
        </is>
      </c>
      <c r="B441" s="1" t="n">
        <v>45898</v>
      </c>
      <c r="C441" s="1" t="n">
        <v>45976</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22833-2023</t>
        </is>
      </c>
      <c r="B442" s="1" t="n">
        <v>45071</v>
      </c>
      <c r="C442" s="1" t="n">
        <v>45976</v>
      </c>
      <c r="D442" t="inlineStr">
        <is>
          <t>ÖSTERGÖTLANDS LÄN</t>
        </is>
      </c>
      <c r="E442" t="inlineStr">
        <is>
          <t>LINKÖPING</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2997-2025</t>
        </is>
      </c>
      <c r="B443" s="1" t="n">
        <v>45678.54631944445</v>
      </c>
      <c r="C443" s="1" t="n">
        <v>45976</v>
      </c>
      <c r="D443" t="inlineStr">
        <is>
          <t>ÖSTERGÖTLANDS LÄN</t>
        </is>
      </c>
      <c r="E443" t="inlineStr">
        <is>
          <t>LINKÖPING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37715-2022</t>
        </is>
      </c>
      <c r="B444" s="1" t="n">
        <v>44810</v>
      </c>
      <c r="C444" s="1" t="n">
        <v>45976</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41345-2021</t>
        </is>
      </c>
      <c r="B445" s="1" t="n">
        <v>44424.61851851852</v>
      </c>
      <c r="C445" s="1" t="n">
        <v>45976</v>
      </c>
      <c r="D445" t="inlineStr">
        <is>
          <t>ÖSTERGÖTLANDS LÄN</t>
        </is>
      </c>
      <c r="E445" t="inlineStr">
        <is>
          <t>LINKÖPING</t>
        </is>
      </c>
      <c r="F445" t="inlineStr">
        <is>
          <t>Sveaskog</t>
        </is>
      </c>
      <c r="G445" t="n">
        <v>6.3</v>
      </c>
      <c r="H445" t="n">
        <v>0</v>
      </c>
      <c r="I445" t="n">
        <v>0</v>
      </c>
      <c r="J445" t="n">
        <v>0</v>
      </c>
      <c r="K445" t="n">
        <v>0</v>
      </c>
      <c r="L445" t="n">
        <v>0</v>
      </c>
      <c r="M445" t="n">
        <v>0</v>
      </c>
      <c r="N445" t="n">
        <v>0</v>
      </c>
      <c r="O445" t="n">
        <v>0</v>
      </c>
      <c r="P445" t="n">
        <v>0</v>
      </c>
      <c r="Q445" t="n">
        <v>0</v>
      </c>
      <c r="R445" s="2" t="inlineStr"/>
    </row>
    <row r="446" ht="15" customHeight="1">
      <c r="A446" t="inlineStr">
        <is>
          <t>A 30429-2024</t>
        </is>
      </c>
      <c r="B446" s="1" t="n">
        <v>45491.68972222223</v>
      </c>
      <c r="C446" s="1" t="n">
        <v>45976</v>
      </c>
      <c r="D446" t="inlineStr">
        <is>
          <t>ÖSTERGÖTLANDS LÄN</t>
        </is>
      </c>
      <c r="E446" t="inlineStr">
        <is>
          <t>LINKÖPING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13266-2025</t>
        </is>
      </c>
      <c r="B447" s="1" t="n">
        <v>45735.53318287037</v>
      </c>
      <c r="C447" s="1" t="n">
        <v>45976</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30435-2024</t>
        </is>
      </c>
      <c r="B448" s="1" t="n">
        <v>45491.69962962963</v>
      </c>
      <c r="C448" s="1" t="n">
        <v>45976</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41511-2025</t>
        </is>
      </c>
      <c r="B449" s="1" t="n">
        <v>45901.53839120371</v>
      </c>
      <c r="C449" s="1" t="n">
        <v>45976</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4927-2021</t>
        </is>
      </c>
      <c r="B450" s="1" t="n">
        <v>44227.57215277778</v>
      </c>
      <c r="C450" s="1" t="n">
        <v>45976</v>
      </c>
      <c r="D450" t="inlineStr">
        <is>
          <t>ÖSTERGÖTLANDS LÄN</t>
        </is>
      </c>
      <c r="E450" t="inlineStr">
        <is>
          <t>LINKÖPING</t>
        </is>
      </c>
      <c r="G450" t="n">
        <v>0.3</v>
      </c>
      <c r="H450" t="n">
        <v>0</v>
      </c>
      <c r="I450" t="n">
        <v>0</v>
      </c>
      <c r="J450" t="n">
        <v>0</v>
      </c>
      <c r="K450" t="n">
        <v>0</v>
      </c>
      <c r="L450" t="n">
        <v>0</v>
      </c>
      <c r="M450" t="n">
        <v>0</v>
      </c>
      <c r="N450" t="n">
        <v>0</v>
      </c>
      <c r="O450" t="n">
        <v>0</v>
      </c>
      <c r="P450" t="n">
        <v>0</v>
      </c>
      <c r="Q450" t="n">
        <v>0</v>
      </c>
      <c r="R450" s="2" t="inlineStr"/>
    </row>
    <row r="451" ht="15" customHeight="1">
      <c r="A451" t="inlineStr">
        <is>
          <t>A 38231-2022</t>
        </is>
      </c>
      <c r="B451" s="1" t="n">
        <v>44812</v>
      </c>
      <c r="C451" s="1" t="n">
        <v>45976</v>
      </c>
      <c r="D451" t="inlineStr">
        <is>
          <t>ÖSTERGÖTLANDS LÄN</t>
        </is>
      </c>
      <c r="E451" t="inlineStr">
        <is>
          <t>LINKÖPING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34557-2022</t>
        </is>
      </c>
      <c r="B452" s="1" t="n">
        <v>44794.57074074074</v>
      </c>
      <c r="C452" s="1" t="n">
        <v>45976</v>
      </c>
      <c r="D452" t="inlineStr">
        <is>
          <t>ÖSTERGÖTLANDS LÄN</t>
        </is>
      </c>
      <c r="E452" t="inlineStr">
        <is>
          <t>LINKÖPING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13011-2022</t>
        </is>
      </c>
      <c r="B453" s="1" t="n">
        <v>44643</v>
      </c>
      <c r="C453" s="1" t="n">
        <v>45976</v>
      </c>
      <c r="D453" t="inlineStr">
        <is>
          <t>ÖSTERGÖTLANDS LÄN</t>
        </is>
      </c>
      <c r="E453" t="inlineStr">
        <is>
          <t>LINKÖPING</t>
        </is>
      </c>
      <c r="G453" t="n">
        <v>3.7</v>
      </c>
      <c r="H453" t="n">
        <v>0</v>
      </c>
      <c r="I453" t="n">
        <v>0</v>
      </c>
      <c r="J453" t="n">
        <v>0</v>
      </c>
      <c r="K453" t="n">
        <v>0</v>
      </c>
      <c r="L453" t="n">
        <v>0</v>
      </c>
      <c r="M453" t="n">
        <v>0</v>
      </c>
      <c r="N453" t="n">
        <v>0</v>
      </c>
      <c r="O453" t="n">
        <v>0</v>
      </c>
      <c r="P453" t="n">
        <v>0</v>
      </c>
      <c r="Q453" t="n">
        <v>0</v>
      </c>
      <c r="R453" s="2" t="inlineStr"/>
    </row>
    <row r="454" ht="15" customHeight="1">
      <c r="A454" t="inlineStr">
        <is>
          <t>A 7702-2023</t>
        </is>
      </c>
      <c r="B454" s="1" t="n">
        <v>44967</v>
      </c>
      <c r="C454" s="1" t="n">
        <v>45976</v>
      </c>
      <c r="D454" t="inlineStr">
        <is>
          <t>ÖSTERGÖTLANDS LÄN</t>
        </is>
      </c>
      <c r="E454" t="inlineStr">
        <is>
          <t>LINKÖPING</t>
        </is>
      </c>
      <c r="F454" t="inlineStr">
        <is>
          <t>Övriga statliga verk och myndigheter</t>
        </is>
      </c>
      <c r="G454" t="n">
        <v>8</v>
      </c>
      <c r="H454" t="n">
        <v>0</v>
      </c>
      <c r="I454" t="n">
        <v>0</v>
      </c>
      <c r="J454" t="n">
        <v>0</v>
      </c>
      <c r="K454" t="n">
        <v>0</v>
      </c>
      <c r="L454" t="n">
        <v>0</v>
      </c>
      <c r="M454" t="n">
        <v>0</v>
      </c>
      <c r="N454" t="n">
        <v>0</v>
      </c>
      <c r="O454" t="n">
        <v>0</v>
      </c>
      <c r="P454" t="n">
        <v>0</v>
      </c>
      <c r="Q454" t="n">
        <v>0</v>
      </c>
      <c r="R454" s="2" t="inlineStr"/>
    </row>
    <row r="455" ht="15" customHeight="1">
      <c r="A455" t="inlineStr">
        <is>
          <t>A 617-2024</t>
        </is>
      </c>
      <c r="B455" s="1" t="n">
        <v>45299.66028935185</v>
      </c>
      <c r="C455" s="1" t="n">
        <v>45976</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42000-2023</t>
        </is>
      </c>
      <c r="B456" s="1" t="n">
        <v>45177</v>
      </c>
      <c r="C456" s="1" t="n">
        <v>45976</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16213-2025</t>
        </is>
      </c>
      <c r="B457" s="1" t="n">
        <v>45750.62740740741</v>
      </c>
      <c r="C457" s="1" t="n">
        <v>45976</v>
      </c>
      <c r="D457" t="inlineStr">
        <is>
          <t>ÖSTERGÖTLANDS LÄN</t>
        </is>
      </c>
      <c r="E457" t="inlineStr">
        <is>
          <t>LINKÖPING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19362-2023</t>
        </is>
      </c>
      <c r="B458" s="1" t="n">
        <v>45049</v>
      </c>
      <c r="C458" s="1" t="n">
        <v>45976</v>
      </c>
      <c r="D458" t="inlineStr">
        <is>
          <t>ÖSTERGÖTLANDS LÄN</t>
        </is>
      </c>
      <c r="E458" t="inlineStr">
        <is>
          <t>LINKÖPING</t>
        </is>
      </c>
      <c r="G458" t="n">
        <v>0.1</v>
      </c>
      <c r="H458" t="n">
        <v>0</v>
      </c>
      <c r="I458" t="n">
        <v>0</v>
      </c>
      <c r="J458" t="n">
        <v>0</v>
      </c>
      <c r="K458" t="n">
        <v>0</v>
      </c>
      <c r="L458" t="n">
        <v>0</v>
      </c>
      <c r="M458" t="n">
        <v>0</v>
      </c>
      <c r="N458" t="n">
        <v>0</v>
      </c>
      <c r="O458" t="n">
        <v>0</v>
      </c>
      <c r="P458" t="n">
        <v>0</v>
      </c>
      <c r="Q458" t="n">
        <v>0</v>
      </c>
      <c r="R458" s="2" t="inlineStr"/>
    </row>
    <row r="459" ht="15" customHeight="1">
      <c r="A459" t="inlineStr">
        <is>
          <t>A 31534-2023</t>
        </is>
      </c>
      <c r="B459" s="1" t="n">
        <v>45116</v>
      </c>
      <c r="C459" s="1" t="n">
        <v>45976</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41706-2025</t>
        </is>
      </c>
      <c r="B460" s="1" t="n">
        <v>45902.42209490741</v>
      </c>
      <c r="C460" s="1" t="n">
        <v>45976</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19132-2023</t>
        </is>
      </c>
      <c r="B461" s="1" t="n">
        <v>45048.54754629629</v>
      </c>
      <c r="C461" s="1" t="n">
        <v>45976</v>
      </c>
      <c r="D461" t="inlineStr">
        <is>
          <t>ÖSTERGÖTLANDS LÄN</t>
        </is>
      </c>
      <c r="E461" t="inlineStr">
        <is>
          <t>LINKÖPING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35427-2023</t>
        </is>
      </c>
      <c r="B462" s="1" t="n">
        <v>45146</v>
      </c>
      <c r="C462" s="1" t="n">
        <v>45976</v>
      </c>
      <c r="D462" t="inlineStr">
        <is>
          <t>ÖSTERGÖTLANDS LÄN</t>
        </is>
      </c>
      <c r="E462" t="inlineStr">
        <is>
          <t>LINKÖPING</t>
        </is>
      </c>
      <c r="F462" t="inlineStr">
        <is>
          <t>Övriga Aktiebolag</t>
        </is>
      </c>
      <c r="G462" t="n">
        <v>2.5</v>
      </c>
      <c r="H462" t="n">
        <v>0</v>
      </c>
      <c r="I462" t="n">
        <v>0</v>
      </c>
      <c r="J462" t="n">
        <v>0</v>
      </c>
      <c r="K462" t="n">
        <v>0</v>
      </c>
      <c r="L462" t="n">
        <v>0</v>
      </c>
      <c r="M462" t="n">
        <v>0</v>
      </c>
      <c r="N462" t="n">
        <v>0</v>
      </c>
      <c r="O462" t="n">
        <v>0</v>
      </c>
      <c r="P462" t="n">
        <v>0</v>
      </c>
      <c r="Q462" t="n">
        <v>0</v>
      </c>
      <c r="R462" s="2" t="inlineStr"/>
    </row>
    <row r="463" ht="15" customHeight="1">
      <c r="A463" t="inlineStr">
        <is>
          <t>A 50667-2025</t>
        </is>
      </c>
      <c r="B463" s="1" t="n">
        <v>45945</v>
      </c>
      <c r="C463" s="1" t="n">
        <v>45976</v>
      </c>
      <c r="D463" t="inlineStr">
        <is>
          <t>ÖSTERGÖTLANDS LÄN</t>
        </is>
      </c>
      <c r="E463" t="inlineStr">
        <is>
          <t>LINKÖPING</t>
        </is>
      </c>
      <c r="G463" t="n">
        <v>3.3</v>
      </c>
      <c r="H463" t="n">
        <v>0</v>
      </c>
      <c r="I463" t="n">
        <v>0</v>
      </c>
      <c r="J463" t="n">
        <v>0</v>
      </c>
      <c r="K463" t="n">
        <v>0</v>
      </c>
      <c r="L463" t="n">
        <v>0</v>
      </c>
      <c r="M463" t="n">
        <v>0</v>
      </c>
      <c r="N463" t="n">
        <v>0</v>
      </c>
      <c r="O463" t="n">
        <v>0</v>
      </c>
      <c r="P463" t="n">
        <v>0</v>
      </c>
      <c r="Q463" t="n">
        <v>0</v>
      </c>
      <c r="R463" s="2" t="inlineStr"/>
    </row>
    <row r="464" ht="15" customHeight="1">
      <c r="A464" t="inlineStr">
        <is>
          <t>A 3042-2024</t>
        </is>
      </c>
      <c r="B464" s="1" t="n">
        <v>45316.35028935185</v>
      </c>
      <c r="C464" s="1" t="n">
        <v>45976</v>
      </c>
      <c r="D464" t="inlineStr">
        <is>
          <t>ÖSTERGÖTLANDS LÄN</t>
        </is>
      </c>
      <c r="E464" t="inlineStr">
        <is>
          <t>LINKÖPING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36725-2023</t>
        </is>
      </c>
      <c r="B465" s="1" t="n">
        <v>45153.68471064815</v>
      </c>
      <c r="C465" s="1" t="n">
        <v>45976</v>
      </c>
      <c r="D465" t="inlineStr">
        <is>
          <t>ÖSTERGÖTLANDS LÄN</t>
        </is>
      </c>
      <c r="E465" t="inlineStr">
        <is>
          <t>LINKÖPING</t>
        </is>
      </c>
      <c r="F465" t="inlineStr">
        <is>
          <t>Allmännings- och besparingsskogar</t>
        </is>
      </c>
      <c r="G465" t="n">
        <v>2.6</v>
      </c>
      <c r="H465" t="n">
        <v>0</v>
      </c>
      <c r="I465" t="n">
        <v>0</v>
      </c>
      <c r="J465" t="n">
        <v>0</v>
      </c>
      <c r="K465" t="n">
        <v>0</v>
      </c>
      <c r="L465" t="n">
        <v>0</v>
      </c>
      <c r="M465" t="n">
        <v>0</v>
      </c>
      <c r="N465" t="n">
        <v>0</v>
      </c>
      <c r="O465" t="n">
        <v>0</v>
      </c>
      <c r="P465" t="n">
        <v>0</v>
      </c>
      <c r="Q465" t="n">
        <v>0</v>
      </c>
      <c r="R465" s="2" t="inlineStr"/>
    </row>
    <row r="466" ht="15" customHeight="1">
      <c r="A466" t="inlineStr">
        <is>
          <t>A 31635-2023</t>
        </is>
      </c>
      <c r="B466" s="1" t="n">
        <v>45105</v>
      </c>
      <c r="C466" s="1" t="n">
        <v>45976</v>
      </c>
      <c r="D466" t="inlineStr">
        <is>
          <t>ÖSTERGÖTLANDS LÄN</t>
        </is>
      </c>
      <c r="E466" t="inlineStr">
        <is>
          <t>LINKÖPING</t>
        </is>
      </c>
      <c r="F466" t="inlineStr">
        <is>
          <t>Övriga statliga verk och myndigheter</t>
        </is>
      </c>
      <c r="G466" t="n">
        <v>4.6</v>
      </c>
      <c r="H466" t="n">
        <v>0</v>
      </c>
      <c r="I466" t="n">
        <v>0</v>
      </c>
      <c r="J466" t="n">
        <v>0</v>
      </c>
      <c r="K466" t="n">
        <v>0</v>
      </c>
      <c r="L466" t="n">
        <v>0</v>
      </c>
      <c r="M466" t="n">
        <v>0</v>
      </c>
      <c r="N466" t="n">
        <v>0</v>
      </c>
      <c r="O466" t="n">
        <v>0</v>
      </c>
      <c r="P466" t="n">
        <v>0</v>
      </c>
      <c r="Q466" t="n">
        <v>0</v>
      </c>
      <c r="R466" s="2" t="inlineStr"/>
    </row>
    <row r="467" ht="15" customHeight="1">
      <c r="A467" t="inlineStr">
        <is>
          <t>A 20296-2025</t>
        </is>
      </c>
      <c r="B467" s="1" t="n">
        <v>45774.74922453704</v>
      </c>
      <c r="C467" s="1" t="n">
        <v>45976</v>
      </c>
      <c r="D467" t="inlineStr">
        <is>
          <t>ÖSTERGÖTLANDS LÄN</t>
        </is>
      </c>
      <c r="E467" t="inlineStr">
        <is>
          <t>LINKÖPING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67129-2020</t>
        </is>
      </c>
      <c r="B468" s="1" t="n">
        <v>44180</v>
      </c>
      <c r="C468" s="1" t="n">
        <v>45976</v>
      </c>
      <c r="D468" t="inlineStr">
        <is>
          <t>ÖSTERGÖTLANDS LÄN</t>
        </is>
      </c>
      <c r="E468" t="inlineStr">
        <is>
          <t>LINKÖPING</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53639-2023</t>
        </is>
      </c>
      <c r="B469" s="1" t="n">
        <v>45230.59686342593</v>
      </c>
      <c r="C469" s="1" t="n">
        <v>45976</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29293-2025</t>
        </is>
      </c>
      <c r="B470" s="1" t="n">
        <v>45824</v>
      </c>
      <c r="C470" s="1" t="n">
        <v>45976</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22770-2024</t>
        </is>
      </c>
      <c r="B471" s="1" t="n">
        <v>45448.4634375</v>
      </c>
      <c r="C471" s="1" t="n">
        <v>45976</v>
      </c>
      <c r="D471" t="inlineStr">
        <is>
          <t>ÖSTERGÖTLANDS LÄN</t>
        </is>
      </c>
      <c r="E471" t="inlineStr">
        <is>
          <t>LINKÖPING</t>
        </is>
      </c>
      <c r="F471" t="inlineStr">
        <is>
          <t>Sveaskog</t>
        </is>
      </c>
      <c r="G471" t="n">
        <v>3.4</v>
      </c>
      <c r="H471" t="n">
        <v>0</v>
      </c>
      <c r="I471" t="n">
        <v>0</v>
      </c>
      <c r="J471" t="n">
        <v>0</v>
      </c>
      <c r="K471" t="n">
        <v>0</v>
      </c>
      <c r="L471" t="n">
        <v>0</v>
      </c>
      <c r="M471" t="n">
        <v>0</v>
      </c>
      <c r="N471" t="n">
        <v>0</v>
      </c>
      <c r="O471" t="n">
        <v>0</v>
      </c>
      <c r="P471" t="n">
        <v>0</v>
      </c>
      <c r="Q471" t="n">
        <v>0</v>
      </c>
      <c r="R471" s="2" t="inlineStr"/>
    </row>
    <row r="472" ht="15" customHeight="1">
      <c r="A472" t="inlineStr">
        <is>
          <t>A 10253-2022</t>
        </is>
      </c>
      <c r="B472" s="1" t="n">
        <v>44622</v>
      </c>
      <c r="C472" s="1" t="n">
        <v>45976</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42624-2025</t>
        </is>
      </c>
      <c r="B473" s="1" t="n">
        <v>45905</v>
      </c>
      <c r="C473" s="1" t="n">
        <v>45976</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42626-2025</t>
        </is>
      </c>
      <c r="B474" s="1" t="n">
        <v>45905</v>
      </c>
      <c r="C474" s="1" t="n">
        <v>45976</v>
      </c>
      <c r="D474" t="inlineStr">
        <is>
          <t>ÖSTERGÖTLANDS LÄN</t>
        </is>
      </c>
      <c r="E474" t="inlineStr">
        <is>
          <t>LINKÖPING</t>
        </is>
      </c>
      <c r="G474" t="n">
        <v>3.6</v>
      </c>
      <c r="H474" t="n">
        <v>0</v>
      </c>
      <c r="I474" t="n">
        <v>0</v>
      </c>
      <c r="J474" t="n">
        <v>0</v>
      </c>
      <c r="K474" t="n">
        <v>0</v>
      </c>
      <c r="L474" t="n">
        <v>0</v>
      </c>
      <c r="M474" t="n">
        <v>0</v>
      </c>
      <c r="N474" t="n">
        <v>0</v>
      </c>
      <c r="O474" t="n">
        <v>0</v>
      </c>
      <c r="P474" t="n">
        <v>0</v>
      </c>
      <c r="Q474" t="n">
        <v>0</v>
      </c>
      <c r="R474" s="2" t="inlineStr"/>
    </row>
    <row r="475" ht="15" customHeight="1">
      <c r="A475" t="inlineStr">
        <is>
          <t>A 1657-2024</t>
        </is>
      </c>
      <c r="B475" s="1" t="n">
        <v>45306.82501157407</v>
      </c>
      <c r="C475" s="1" t="n">
        <v>45976</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50784-2022</t>
        </is>
      </c>
      <c r="B476" s="1" t="n">
        <v>44862</v>
      </c>
      <c r="C476" s="1" t="n">
        <v>45976</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42623-2025</t>
        </is>
      </c>
      <c r="B477" s="1" t="n">
        <v>45905</v>
      </c>
      <c r="C477" s="1" t="n">
        <v>45976</v>
      </c>
      <c r="D477" t="inlineStr">
        <is>
          <t>ÖSTERGÖTLANDS LÄN</t>
        </is>
      </c>
      <c r="E477" t="inlineStr">
        <is>
          <t>LINKÖPING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26803-2024</t>
        </is>
      </c>
      <c r="B478" s="1" t="n">
        <v>45470</v>
      </c>
      <c r="C478" s="1" t="n">
        <v>45976</v>
      </c>
      <c r="D478" t="inlineStr">
        <is>
          <t>ÖSTERGÖTLANDS LÄN</t>
        </is>
      </c>
      <c r="E478" t="inlineStr">
        <is>
          <t>LINKÖPING</t>
        </is>
      </c>
      <c r="F478" t="inlineStr">
        <is>
          <t>Allmännings- och besparingsskogar</t>
        </is>
      </c>
      <c r="G478" t="n">
        <v>4.5</v>
      </c>
      <c r="H478" t="n">
        <v>0</v>
      </c>
      <c r="I478" t="n">
        <v>0</v>
      </c>
      <c r="J478" t="n">
        <v>0</v>
      </c>
      <c r="K478" t="n">
        <v>0</v>
      </c>
      <c r="L478" t="n">
        <v>0</v>
      </c>
      <c r="M478" t="n">
        <v>0</v>
      </c>
      <c r="N478" t="n">
        <v>0</v>
      </c>
      <c r="O478" t="n">
        <v>0</v>
      </c>
      <c r="P478" t="n">
        <v>0</v>
      </c>
      <c r="Q478" t="n">
        <v>0</v>
      </c>
      <c r="R478" s="2" t="inlineStr"/>
    </row>
    <row r="479" ht="15" customHeight="1">
      <c r="A479" t="inlineStr">
        <is>
          <t>A 11595-2025</t>
        </is>
      </c>
      <c r="B479" s="1" t="n">
        <v>45727.41893518518</v>
      </c>
      <c r="C479" s="1" t="n">
        <v>45976</v>
      </c>
      <c r="D479" t="inlineStr">
        <is>
          <t>ÖSTERGÖTLANDS LÄN</t>
        </is>
      </c>
      <c r="E479" t="inlineStr">
        <is>
          <t>LINKÖPING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19187-2021</t>
        </is>
      </c>
      <c r="B480" s="1" t="n">
        <v>44308</v>
      </c>
      <c r="C480" s="1" t="n">
        <v>45976</v>
      </c>
      <c r="D480" t="inlineStr">
        <is>
          <t>ÖSTERGÖTLANDS LÄN</t>
        </is>
      </c>
      <c r="E480" t="inlineStr">
        <is>
          <t>LINKÖPING</t>
        </is>
      </c>
      <c r="F480" t="inlineStr">
        <is>
          <t>Allmännings- och besparingsskogar</t>
        </is>
      </c>
      <c r="G480" t="n">
        <v>20</v>
      </c>
      <c r="H480" t="n">
        <v>0</v>
      </c>
      <c r="I480" t="n">
        <v>0</v>
      </c>
      <c r="J480" t="n">
        <v>0</v>
      </c>
      <c r="K480" t="n">
        <v>0</v>
      </c>
      <c r="L480" t="n">
        <v>0</v>
      </c>
      <c r="M480" t="n">
        <v>0</v>
      </c>
      <c r="N480" t="n">
        <v>0</v>
      </c>
      <c r="O480" t="n">
        <v>0</v>
      </c>
      <c r="P480" t="n">
        <v>0</v>
      </c>
      <c r="Q480" t="n">
        <v>0</v>
      </c>
      <c r="R480" s="2" t="inlineStr"/>
    </row>
    <row r="481" ht="15" customHeight="1">
      <c r="A481" t="inlineStr">
        <is>
          <t>A 48839-2022</t>
        </is>
      </c>
      <c r="B481" s="1" t="n">
        <v>44859</v>
      </c>
      <c r="C481" s="1" t="n">
        <v>45976</v>
      </c>
      <c r="D481" t="inlineStr">
        <is>
          <t>ÖSTERGÖTLANDS LÄN</t>
        </is>
      </c>
      <c r="E481" t="inlineStr">
        <is>
          <t>LINKÖPING</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60472-2022</t>
        </is>
      </c>
      <c r="B482" s="1" t="n">
        <v>44911.41037037037</v>
      </c>
      <c r="C482" s="1" t="n">
        <v>45976</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8967-2025</t>
        </is>
      </c>
      <c r="B483" s="1" t="n">
        <v>45712</v>
      </c>
      <c r="C483" s="1" t="n">
        <v>45976</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46225-2021</t>
        </is>
      </c>
      <c r="B484" s="1" t="n">
        <v>44442</v>
      </c>
      <c r="C484" s="1" t="n">
        <v>45976</v>
      </c>
      <c r="D484" t="inlineStr">
        <is>
          <t>ÖSTERGÖTLANDS LÄN</t>
        </is>
      </c>
      <c r="E484" t="inlineStr">
        <is>
          <t>LINKÖPING</t>
        </is>
      </c>
      <c r="G484" t="n">
        <v>2.9</v>
      </c>
      <c r="H484" t="n">
        <v>0</v>
      </c>
      <c r="I484" t="n">
        <v>0</v>
      </c>
      <c r="J484" t="n">
        <v>0</v>
      </c>
      <c r="K484" t="n">
        <v>0</v>
      </c>
      <c r="L484" t="n">
        <v>0</v>
      </c>
      <c r="M484" t="n">
        <v>0</v>
      </c>
      <c r="N484" t="n">
        <v>0</v>
      </c>
      <c r="O484" t="n">
        <v>0</v>
      </c>
      <c r="P484" t="n">
        <v>0</v>
      </c>
      <c r="Q484" t="n">
        <v>0</v>
      </c>
      <c r="R484" s="2" t="inlineStr"/>
    </row>
    <row r="485" ht="15" customHeight="1">
      <c r="A485" t="inlineStr">
        <is>
          <t>A 43934-2023</t>
        </is>
      </c>
      <c r="B485" s="1" t="n">
        <v>45187</v>
      </c>
      <c r="C485" s="1" t="n">
        <v>45976</v>
      </c>
      <c r="D485" t="inlineStr">
        <is>
          <t>ÖSTERGÖTLANDS LÄN</t>
        </is>
      </c>
      <c r="E485" t="inlineStr">
        <is>
          <t>LINKÖPING</t>
        </is>
      </c>
      <c r="F485" t="inlineStr">
        <is>
          <t>Övriga Aktiebolag</t>
        </is>
      </c>
      <c r="G485" t="n">
        <v>3.8</v>
      </c>
      <c r="H485" t="n">
        <v>0</v>
      </c>
      <c r="I485" t="n">
        <v>0</v>
      </c>
      <c r="J485" t="n">
        <v>0</v>
      </c>
      <c r="K485" t="n">
        <v>0</v>
      </c>
      <c r="L485" t="n">
        <v>0</v>
      </c>
      <c r="M485" t="n">
        <v>0</v>
      </c>
      <c r="N485" t="n">
        <v>0</v>
      </c>
      <c r="O485" t="n">
        <v>0</v>
      </c>
      <c r="P485" t="n">
        <v>0</v>
      </c>
      <c r="Q485" t="n">
        <v>0</v>
      </c>
      <c r="R485" s="2" t="inlineStr"/>
    </row>
    <row r="486" ht="15" customHeight="1">
      <c r="A486" t="inlineStr">
        <is>
          <t>A 25776-2021</t>
        </is>
      </c>
      <c r="B486" s="1" t="n">
        <v>44343</v>
      </c>
      <c r="C486" s="1" t="n">
        <v>45976</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22774-2024</t>
        </is>
      </c>
      <c r="B487" s="1" t="n">
        <v>45448.46924768519</v>
      </c>
      <c r="C487" s="1" t="n">
        <v>45976</v>
      </c>
      <c r="D487" t="inlineStr">
        <is>
          <t>ÖSTERGÖTLANDS LÄN</t>
        </is>
      </c>
      <c r="E487" t="inlineStr">
        <is>
          <t>LINKÖPING</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22778-2024</t>
        </is>
      </c>
      <c r="B488" s="1" t="n">
        <v>45448.47233796296</v>
      </c>
      <c r="C488" s="1" t="n">
        <v>45976</v>
      </c>
      <c r="D488" t="inlineStr">
        <is>
          <t>ÖSTERGÖTLANDS LÄN</t>
        </is>
      </c>
      <c r="E488" t="inlineStr">
        <is>
          <t>LINKÖPING</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1209-2023</t>
        </is>
      </c>
      <c r="B489" s="1" t="n">
        <v>44930</v>
      </c>
      <c r="C489" s="1" t="n">
        <v>45976</v>
      </c>
      <c r="D489" t="inlineStr">
        <is>
          <t>ÖSTERGÖTLANDS LÄN</t>
        </is>
      </c>
      <c r="E489" t="inlineStr">
        <is>
          <t>LINKÖPING</t>
        </is>
      </c>
      <c r="F489" t="inlineStr">
        <is>
          <t>Övriga statliga verk och myndigheter</t>
        </is>
      </c>
      <c r="G489" t="n">
        <v>25.8</v>
      </c>
      <c r="H489" t="n">
        <v>0</v>
      </c>
      <c r="I489" t="n">
        <v>0</v>
      </c>
      <c r="J489" t="n">
        <v>0</v>
      </c>
      <c r="K489" t="n">
        <v>0</v>
      </c>
      <c r="L489" t="n">
        <v>0</v>
      </c>
      <c r="M489" t="n">
        <v>0</v>
      </c>
      <c r="N489" t="n">
        <v>0</v>
      </c>
      <c r="O489" t="n">
        <v>0</v>
      </c>
      <c r="P489" t="n">
        <v>0</v>
      </c>
      <c r="Q489" t="n">
        <v>0</v>
      </c>
      <c r="R489" s="2" t="inlineStr"/>
    </row>
    <row r="490" ht="15" customHeight="1">
      <c r="A490" t="inlineStr">
        <is>
          <t>A 51484-2023</t>
        </is>
      </c>
      <c r="B490" s="1" t="n">
        <v>45222</v>
      </c>
      <c r="C490" s="1" t="n">
        <v>45976</v>
      </c>
      <c r="D490" t="inlineStr">
        <is>
          <t>ÖSTERGÖTLANDS LÄN</t>
        </is>
      </c>
      <c r="E490" t="inlineStr">
        <is>
          <t>LINKÖPING</t>
        </is>
      </c>
      <c r="F490" t="inlineStr">
        <is>
          <t>Övriga Aktiebolag</t>
        </is>
      </c>
      <c r="G490" t="n">
        <v>7.7</v>
      </c>
      <c r="H490" t="n">
        <v>0</v>
      </c>
      <c r="I490" t="n">
        <v>0</v>
      </c>
      <c r="J490" t="n">
        <v>0</v>
      </c>
      <c r="K490" t="n">
        <v>0</v>
      </c>
      <c r="L490" t="n">
        <v>0</v>
      </c>
      <c r="M490" t="n">
        <v>0</v>
      </c>
      <c r="N490" t="n">
        <v>0</v>
      </c>
      <c r="O490" t="n">
        <v>0</v>
      </c>
      <c r="P490" t="n">
        <v>0</v>
      </c>
      <c r="Q490" t="n">
        <v>0</v>
      </c>
      <c r="R490" s="2" t="inlineStr"/>
    </row>
    <row r="491" ht="15" customHeight="1">
      <c r="A491" t="inlineStr">
        <is>
          <t>A 17898-2022</t>
        </is>
      </c>
      <c r="B491" s="1" t="n">
        <v>44683</v>
      </c>
      <c r="C491" s="1" t="n">
        <v>45976</v>
      </c>
      <c r="D491" t="inlineStr">
        <is>
          <t>ÖSTERGÖTLANDS LÄN</t>
        </is>
      </c>
      <c r="E491" t="inlineStr">
        <is>
          <t>LINKÖPING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63678-2023</t>
        </is>
      </c>
      <c r="B492" s="1" t="n">
        <v>45275.64769675926</v>
      </c>
      <c r="C492" s="1" t="n">
        <v>45976</v>
      </c>
      <c r="D492" t="inlineStr">
        <is>
          <t>ÖSTERGÖTLANDS LÄN</t>
        </is>
      </c>
      <c r="E492" t="inlineStr">
        <is>
          <t>LINKÖPING</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51802-2025</t>
        </is>
      </c>
      <c r="B493" s="1" t="n">
        <v>45950</v>
      </c>
      <c r="C493" s="1" t="n">
        <v>45976</v>
      </c>
      <c r="D493" t="inlineStr">
        <is>
          <t>ÖSTERGÖTLANDS LÄN</t>
        </is>
      </c>
      <c r="E493" t="inlineStr">
        <is>
          <t>LINKÖPING</t>
        </is>
      </c>
      <c r="F493" t="inlineStr">
        <is>
          <t>Övriga Aktiebolag</t>
        </is>
      </c>
      <c r="G493" t="n">
        <v>2</v>
      </c>
      <c r="H493" t="n">
        <v>0</v>
      </c>
      <c r="I493" t="n">
        <v>0</v>
      </c>
      <c r="J493" t="n">
        <v>0</v>
      </c>
      <c r="K493" t="n">
        <v>0</v>
      </c>
      <c r="L493" t="n">
        <v>0</v>
      </c>
      <c r="M493" t="n">
        <v>0</v>
      </c>
      <c r="N493" t="n">
        <v>0</v>
      </c>
      <c r="O493" t="n">
        <v>0</v>
      </c>
      <c r="P493" t="n">
        <v>0</v>
      </c>
      <c r="Q493" t="n">
        <v>0</v>
      </c>
      <c r="R493" s="2" t="inlineStr"/>
    </row>
    <row r="494" ht="15" customHeight="1">
      <c r="A494" t="inlineStr">
        <is>
          <t>A 63487-2023</t>
        </is>
      </c>
      <c r="B494" s="1" t="n">
        <v>45274.66712962963</v>
      </c>
      <c r="C494" s="1" t="n">
        <v>45976</v>
      </c>
      <c r="D494" t="inlineStr">
        <is>
          <t>ÖSTERGÖTLANDS LÄN</t>
        </is>
      </c>
      <c r="E494" t="inlineStr">
        <is>
          <t>LINKÖPING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35463-2023</t>
        </is>
      </c>
      <c r="B495" s="1" t="n">
        <v>45146</v>
      </c>
      <c r="C495" s="1" t="n">
        <v>45976</v>
      </c>
      <c r="D495" t="inlineStr">
        <is>
          <t>ÖSTERGÖTLANDS LÄN</t>
        </is>
      </c>
      <c r="E495" t="inlineStr">
        <is>
          <t>LINKÖPING</t>
        </is>
      </c>
      <c r="F495" t="inlineStr">
        <is>
          <t>Övriga Aktiebolag</t>
        </is>
      </c>
      <c r="G495" t="n">
        <v>1.8</v>
      </c>
      <c r="H495" t="n">
        <v>0</v>
      </c>
      <c r="I495" t="n">
        <v>0</v>
      </c>
      <c r="J495" t="n">
        <v>0</v>
      </c>
      <c r="K495" t="n">
        <v>0</v>
      </c>
      <c r="L495" t="n">
        <v>0</v>
      </c>
      <c r="M495" t="n">
        <v>0</v>
      </c>
      <c r="N495" t="n">
        <v>0</v>
      </c>
      <c r="O495" t="n">
        <v>0</v>
      </c>
      <c r="P495" t="n">
        <v>0</v>
      </c>
      <c r="Q495" t="n">
        <v>0</v>
      </c>
      <c r="R495" s="2" t="inlineStr"/>
    </row>
    <row r="496" ht="15" customHeight="1">
      <c r="A496" t="inlineStr">
        <is>
          <t>A 10407-2025</t>
        </is>
      </c>
      <c r="B496" s="1" t="n">
        <v>45720.62863425926</v>
      </c>
      <c r="C496" s="1" t="n">
        <v>45976</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11590-2023</t>
        </is>
      </c>
      <c r="B497" s="1" t="n">
        <v>44994.36689814815</v>
      </c>
      <c r="C497" s="1" t="n">
        <v>45976</v>
      </c>
      <c r="D497" t="inlineStr">
        <is>
          <t>ÖSTERGÖTLANDS LÄN</t>
        </is>
      </c>
      <c r="E497" t="inlineStr">
        <is>
          <t>LINKÖPING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55632-2022</t>
        </is>
      </c>
      <c r="B498" s="1" t="n">
        <v>44888</v>
      </c>
      <c r="C498" s="1" t="n">
        <v>45976</v>
      </c>
      <c r="D498" t="inlineStr">
        <is>
          <t>ÖSTERGÖTLANDS LÄN</t>
        </is>
      </c>
      <c r="E498" t="inlineStr">
        <is>
          <t>LINKÖPING</t>
        </is>
      </c>
      <c r="G498" t="n">
        <v>1.8</v>
      </c>
      <c r="H498" t="n">
        <v>0</v>
      </c>
      <c r="I498" t="n">
        <v>0</v>
      </c>
      <c r="J498" t="n">
        <v>0</v>
      </c>
      <c r="K498" t="n">
        <v>0</v>
      </c>
      <c r="L498" t="n">
        <v>0</v>
      </c>
      <c r="M498" t="n">
        <v>0</v>
      </c>
      <c r="N498" t="n">
        <v>0</v>
      </c>
      <c r="O498" t="n">
        <v>0</v>
      </c>
      <c r="P498" t="n">
        <v>0</v>
      </c>
      <c r="Q498" t="n">
        <v>0</v>
      </c>
      <c r="R498" s="2" t="inlineStr"/>
    </row>
    <row r="499" ht="15" customHeight="1">
      <c r="A499" t="inlineStr">
        <is>
          <t>A 19169-2023</t>
        </is>
      </c>
      <c r="B499" s="1" t="n">
        <v>45044</v>
      </c>
      <c r="C499" s="1" t="n">
        <v>45976</v>
      </c>
      <c r="D499" t="inlineStr">
        <is>
          <t>ÖSTERGÖTLANDS LÄN</t>
        </is>
      </c>
      <c r="E499" t="inlineStr">
        <is>
          <t>LINKÖPING</t>
        </is>
      </c>
      <c r="G499" t="n">
        <v>2.7</v>
      </c>
      <c r="H499" t="n">
        <v>0</v>
      </c>
      <c r="I499" t="n">
        <v>0</v>
      </c>
      <c r="J499" t="n">
        <v>0</v>
      </c>
      <c r="K499" t="n">
        <v>0</v>
      </c>
      <c r="L499" t="n">
        <v>0</v>
      </c>
      <c r="M499" t="n">
        <v>0</v>
      </c>
      <c r="N499" t="n">
        <v>0</v>
      </c>
      <c r="O499" t="n">
        <v>0</v>
      </c>
      <c r="P499" t="n">
        <v>0</v>
      </c>
      <c r="Q499" t="n">
        <v>0</v>
      </c>
      <c r="R499" s="2" t="inlineStr"/>
    </row>
    <row r="500" ht="15" customHeight="1">
      <c r="A500" t="inlineStr">
        <is>
          <t>A 63559-2023</t>
        </is>
      </c>
      <c r="B500" s="1" t="n">
        <v>45275.35924768518</v>
      </c>
      <c r="C500" s="1" t="n">
        <v>45976</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672-2024</t>
        </is>
      </c>
      <c r="B501" s="1" t="n">
        <v>45300</v>
      </c>
      <c r="C501" s="1" t="n">
        <v>45976</v>
      </c>
      <c r="D501" t="inlineStr">
        <is>
          <t>ÖSTERGÖTLANDS LÄN</t>
        </is>
      </c>
      <c r="E501" t="inlineStr">
        <is>
          <t>LINKÖPING</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55493-2021</t>
        </is>
      </c>
      <c r="B502" s="1" t="n">
        <v>44475.61988425926</v>
      </c>
      <c r="C502" s="1" t="n">
        <v>45976</v>
      </c>
      <c r="D502" t="inlineStr">
        <is>
          <t>ÖSTERGÖTLANDS LÄN</t>
        </is>
      </c>
      <c r="E502" t="inlineStr">
        <is>
          <t>LINKÖPING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58114-2021</t>
        </is>
      </c>
      <c r="B503" s="1" t="n">
        <v>44487</v>
      </c>
      <c r="C503" s="1" t="n">
        <v>45976</v>
      </c>
      <c r="D503" t="inlineStr">
        <is>
          <t>ÖSTERGÖTLANDS LÄN</t>
        </is>
      </c>
      <c r="E503" t="inlineStr">
        <is>
          <t>LINKÖPING</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1844-2025</t>
        </is>
      </c>
      <c r="B504" s="1" t="n">
        <v>45671.57730324074</v>
      </c>
      <c r="C504" s="1" t="n">
        <v>45976</v>
      </c>
      <c r="D504" t="inlineStr">
        <is>
          <t>ÖSTERGÖTLANDS LÄN</t>
        </is>
      </c>
      <c r="E504" t="inlineStr">
        <is>
          <t>LINKÖPING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52111-2025</t>
        </is>
      </c>
      <c r="B505" s="1" t="n">
        <v>45952.69527777778</v>
      </c>
      <c r="C505" s="1" t="n">
        <v>45976</v>
      </c>
      <c r="D505" t="inlineStr">
        <is>
          <t>ÖSTERGÖTLANDS LÄN</t>
        </is>
      </c>
      <c r="E505" t="inlineStr">
        <is>
          <t>LINKÖPING</t>
        </is>
      </c>
      <c r="G505" t="n">
        <v>1.3</v>
      </c>
      <c r="H505" t="n">
        <v>0</v>
      </c>
      <c r="I505" t="n">
        <v>0</v>
      </c>
      <c r="J505" t="n">
        <v>0</v>
      </c>
      <c r="K505" t="n">
        <v>0</v>
      </c>
      <c r="L505" t="n">
        <v>0</v>
      </c>
      <c r="M505" t="n">
        <v>0</v>
      </c>
      <c r="N505" t="n">
        <v>0</v>
      </c>
      <c r="O505" t="n">
        <v>0</v>
      </c>
      <c r="P505" t="n">
        <v>0</v>
      </c>
      <c r="Q505" t="n">
        <v>0</v>
      </c>
      <c r="R505" s="2" t="inlineStr"/>
    </row>
    <row r="506" ht="15" customHeight="1">
      <c r="A506" t="inlineStr">
        <is>
          <t>A 55944-2024</t>
        </is>
      </c>
      <c r="B506" s="1" t="n">
        <v>45623.61640046296</v>
      </c>
      <c r="C506" s="1" t="n">
        <v>45976</v>
      </c>
      <c r="D506" t="inlineStr">
        <is>
          <t>ÖSTERGÖTLANDS LÄN</t>
        </is>
      </c>
      <c r="E506" t="inlineStr">
        <is>
          <t>LINKÖPING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55947-2024</t>
        </is>
      </c>
      <c r="B507" s="1" t="n">
        <v>45623</v>
      </c>
      <c r="C507" s="1" t="n">
        <v>45976</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3374-2023</t>
        </is>
      </c>
      <c r="B508" s="1" t="n">
        <v>44949</v>
      </c>
      <c r="C508" s="1" t="n">
        <v>45976</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14093-2024</t>
        </is>
      </c>
      <c r="B509" s="1" t="n">
        <v>45392.60278935185</v>
      </c>
      <c r="C509" s="1" t="n">
        <v>45976</v>
      </c>
      <c r="D509" t="inlineStr">
        <is>
          <t>ÖSTERGÖTLANDS LÄN</t>
        </is>
      </c>
      <c r="E509" t="inlineStr">
        <is>
          <t>LINKÖPING</t>
        </is>
      </c>
      <c r="F509" t="inlineStr">
        <is>
          <t>Övriga Aktiebolag</t>
        </is>
      </c>
      <c r="G509" t="n">
        <v>0.6</v>
      </c>
      <c r="H509" t="n">
        <v>0</v>
      </c>
      <c r="I509" t="n">
        <v>0</v>
      </c>
      <c r="J509" t="n">
        <v>0</v>
      </c>
      <c r="K509" t="n">
        <v>0</v>
      </c>
      <c r="L509" t="n">
        <v>0</v>
      </c>
      <c r="M509" t="n">
        <v>0</v>
      </c>
      <c r="N509" t="n">
        <v>0</v>
      </c>
      <c r="O509" t="n">
        <v>0</v>
      </c>
      <c r="P509" t="n">
        <v>0</v>
      </c>
      <c r="Q509" t="n">
        <v>0</v>
      </c>
      <c r="R509" s="2" t="inlineStr"/>
    </row>
    <row r="510" ht="15" customHeight="1">
      <c r="A510" t="inlineStr">
        <is>
          <t>A 24151-2024</t>
        </is>
      </c>
      <c r="B510" s="1" t="n">
        <v>45456.67717592593</v>
      </c>
      <c r="C510" s="1" t="n">
        <v>45976</v>
      </c>
      <c r="D510" t="inlineStr">
        <is>
          <t>ÖSTERGÖTLANDS LÄN</t>
        </is>
      </c>
      <c r="E510" t="inlineStr">
        <is>
          <t>LINKÖPING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62019-2024</t>
        </is>
      </c>
      <c r="B511" s="1" t="n">
        <v>45655.82</v>
      </c>
      <c r="C511" s="1" t="n">
        <v>45976</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25119-2023</t>
        </is>
      </c>
      <c r="B512" s="1" t="n">
        <v>45086.42326388889</v>
      </c>
      <c r="C512" s="1" t="n">
        <v>45976</v>
      </c>
      <c r="D512" t="inlineStr">
        <is>
          <t>ÖSTERGÖTLANDS LÄN</t>
        </is>
      </c>
      <c r="E512" t="inlineStr">
        <is>
          <t>LINKÖPING</t>
        </is>
      </c>
      <c r="G512" t="n">
        <v>3.2</v>
      </c>
      <c r="H512" t="n">
        <v>0</v>
      </c>
      <c r="I512" t="n">
        <v>0</v>
      </c>
      <c r="J512" t="n">
        <v>0</v>
      </c>
      <c r="K512" t="n">
        <v>0</v>
      </c>
      <c r="L512" t="n">
        <v>0</v>
      </c>
      <c r="M512" t="n">
        <v>0</v>
      </c>
      <c r="N512" t="n">
        <v>0</v>
      </c>
      <c r="O512" t="n">
        <v>0</v>
      </c>
      <c r="P512" t="n">
        <v>0</v>
      </c>
      <c r="Q512" t="n">
        <v>0</v>
      </c>
      <c r="R512" s="2" t="inlineStr"/>
    </row>
    <row r="513" ht="15" customHeight="1">
      <c r="A513" t="inlineStr">
        <is>
          <t>A 67123-2020</t>
        </is>
      </c>
      <c r="B513" s="1" t="n">
        <v>44180</v>
      </c>
      <c r="C513" s="1" t="n">
        <v>45976</v>
      </c>
      <c r="D513" t="inlineStr">
        <is>
          <t>ÖSTERGÖTLANDS LÄN</t>
        </is>
      </c>
      <c r="E513" t="inlineStr">
        <is>
          <t>LINKÖPING</t>
        </is>
      </c>
      <c r="F513" t="inlineStr">
        <is>
          <t>Övriga statliga verk och myndigheter</t>
        </is>
      </c>
      <c r="G513" t="n">
        <v>1.3</v>
      </c>
      <c r="H513" t="n">
        <v>0</v>
      </c>
      <c r="I513" t="n">
        <v>0</v>
      </c>
      <c r="J513" t="n">
        <v>0</v>
      </c>
      <c r="K513" t="n">
        <v>0</v>
      </c>
      <c r="L513" t="n">
        <v>0</v>
      </c>
      <c r="M513" t="n">
        <v>0</v>
      </c>
      <c r="N513" t="n">
        <v>0</v>
      </c>
      <c r="O513" t="n">
        <v>0</v>
      </c>
      <c r="P513" t="n">
        <v>0</v>
      </c>
      <c r="Q513" t="n">
        <v>0</v>
      </c>
      <c r="R513" s="2" t="inlineStr"/>
    </row>
    <row r="514" ht="15" customHeight="1">
      <c r="A514" t="inlineStr">
        <is>
          <t>A 21165-2025</t>
        </is>
      </c>
      <c r="B514" s="1" t="n">
        <v>45779.39417824074</v>
      </c>
      <c r="C514" s="1" t="n">
        <v>45976</v>
      </c>
      <c r="D514" t="inlineStr">
        <is>
          <t>ÖSTERGÖTLANDS LÄN</t>
        </is>
      </c>
      <c r="E514" t="inlineStr">
        <is>
          <t>LINKÖPING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21155-2025</t>
        </is>
      </c>
      <c r="B515" s="1" t="n">
        <v>45779.37586805555</v>
      </c>
      <c r="C515" s="1" t="n">
        <v>45976</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14576-2023</t>
        </is>
      </c>
      <c r="B516" s="1" t="n">
        <v>45013</v>
      </c>
      <c r="C516" s="1" t="n">
        <v>45976</v>
      </c>
      <c r="D516" t="inlineStr">
        <is>
          <t>ÖSTERGÖTLANDS LÄN</t>
        </is>
      </c>
      <c r="E516" t="inlineStr">
        <is>
          <t>LINKÖPING</t>
        </is>
      </c>
      <c r="G516" t="n">
        <v>3.2</v>
      </c>
      <c r="H516" t="n">
        <v>0</v>
      </c>
      <c r="I516" t="n">
        <v>0</v>
      </c>
      <c r="J516" t="n">
        <v>0</v>
      </c>
      <c r="K516" t="n">
        <v>0</v>
      </c>
      <c r="L516" t="n">
        <v>0</v>
      </c>
      <c r="M516" t="n">
        <v>0</v>
      </c>
      <c r="N516" t="n">
        <v>0</v>
      </c>
      <c r="O516" t="n">
        <v>0</v>
      </c>
      <c r="P516" t="n">
        <v>0</v>
      </c>
      <c r="Q516" t="n">
        <v>0</v>
      </c>
      <c r="R516" s="2" t="inlineStr"/>
    </row>
    <row r="517" ht="15" customHeight="1">
      <c r="A517" t="inlineStr">
        <is>
          <t>A 57396-2021</t>
        </is>
      </c>
      <c r="B517" s="1" t="n">
        <v>44483.56151620371</v>
      </c>
      <c r="C517" s="1" t="n">
        <v>45976</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51571-2024</t>
        </is>
      </c>
      <c r="B518" s="1" t="n">
        <v>45604</v>
      </c>
      <c r="C518" s="1" t="n">
        <v>45976</v>
      </c>
      <c r="D518" t="inlineStr">
        <is>
          <t>ÖSTERGÖTLANDS LÄN</t>
        </is>
      </c>
      <c r="E518" t="inlineStr">
        <is>
          <t>LINKÖPING</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17143-2025</t>
        </is>
      </c>
      <c r="B519" s="1" t="n">
        <v>45755.92731481481</v>
      </c>
      <c r="C519" s="1" t="n">
        <v>45976</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52743-2025</t>
        </is>
      </c>
      <c r="B520" s="1" t="n">
        <v>45957.38039351852</v>
      </c>
      <c r="C520" s="1" t="n">
        <v>45976</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74160-2021</t>
        </is>
      </c>
      <c r="B521" s="1" t="n">
        <v>44558</v>
      </c>
      <c r="C521" s="1" t="n">
        <v>45976</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17124-2025</t>
        </is>
      </c>
      <c r="B522" s="1" t="n">
        <v>45755.69678240741</v>
      </c>
      <c r="C522" s="1" t="n">
        <v>45976</v>
      </c>
      <c r="D522" t="inlineStr">
        <is>
          <t>ÖSTERGÖTLANDS LÄN</t>
        </is>
      </c>
      <c r="E522" t="inlineStr">
        <is>
          <t>LINKÖPING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17126-2025</t>
        </is>
      </c>
      <c r="B523" s="1" t="n">
        <v>45755.70814814815</v>
      </c>
      <c r="C523" s="1" t="n">
        <v>45976</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52807-2025</t>
        </is>
      </c>
      <c r="B524" s="1" t="n">
        <v>45957.44837962963</v>
      </c>
      <c r="C524" s="1" t="n">
        <v>45976</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27766-2022</t>
        </is>
      </c>
      <c r="B525" s="1" t="n">
        <v>44743.53112268518</v>
      </c>
      <c r="C525" s="1" t="n">
        <v>45976</v>
      </c>
      <c r="D525" t="inlineStr">
        <is>
          <t>ÖSTERGÖTLANDS LÄN</t>
        </is>
      </c>
      <c r="E525" t="inlineStr">
        <is>
          <t>LINKÖPING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31640-2023</t>
        </is>
      </c>
      <c r="B526" s="1" t="n">
        <v>45117</v>
      </c>
      <c r="C526" s="1" t="n">
        <v>45976</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44170-2025</t>
        </is>
      </c>
      <c r="B527" s="1" t="n">
        <v>45915.59864583334</v>
      </c>
      <c r="C527" s="1" t="n">
        <v>45976</v>
      </c>
      <c r="D527" t="inlineStr">
        <is>
          <t>ÖSTERGÖTLANDS LÄN</t>
        </is>
      </c>
      <c r="E527" t="inlineStr">
        <is>
          <t>LINKÖPING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53641-2023</t>
        </is>
      </c>
      <c r="B528" s="1" t="n">
        <v>45230</v>
      </c>
      <c r="C528" s="1" t="n">
        <v>45976</v>
      </c>
      <c r="D528" t="inlineStr">
        <is>
          <t>ÖSTERGÖTLANDS LÄN</t>
        </is>
      </c>
      <c r="E528" t="inlineStr">
        <is>
          <t>LINKÖPING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33000-2023</t>
        </is>
      </c>
      <c r="B529" s="1" t="n">
        <v>45125</v>
      </c>
      <c r="C529" s="1" t="n">
        <v>45976</v>
      </c>
      <c r="D529" t="inlineStr">
        <is>
          <t>ÖSTERGÖTLANDS LÄN</t>
        </is>
      </c>
      <c r="E529" t="inlineStr">
        <is>
          <t>LINKÖPING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52892-2024</t>
        </is>
      </c>
      <c r="B530" s="1" t="n">
        <v>45610</v>
      </c>
      <c r="C530" s="1" t="n">
        <v>45976</v>
      </c>
      <c r="D530" t="inlineStr">
        <is>
          <t>ÖSTERGÖTLANDS LÄN</t>
        </is>
      </c>
      <c r="E530" t="inlineStr">
        <is>
          <t>LINKÖPING</t>
        </is>
      </c>
      <c r="G530" t="n">
        <v>4.2</v>
      </c>
      <c r="H530" t="n">
        <v>0</v>
      </c>
      <c r="I530" t="n">
        <v>0</v>
      </c>
      <c r="J530" t="n">
        <v>0</v>
      </c>
      <c r="K530" t="n">
        <v>0</v>
      </c>
      <c r="L530" t="n">
        <v>0</v>
      </c>
      <c r="M530" t="n">
        <v>0</v>
      </c>
      <c r="N530" t="n">
        <v>0</v>
      </c>
      <c r="O530" t="n">
        <v>0</v>
      </c>
      <c r="P530" t="n">
        <v>0</v>
      </c>
      <c r="Q530" t="n">
        <v>0</v>
      </c>
      <c r="R530" s="2" t="inlineStr"/>
    </row>
    <row r="531" ht="15" customHeight="1">
      <c r="A531" t="inlineStr">
        <is>
          <t>A 43755-2025</t>
        </is>
      </c>
      <c r="B531" s="1" t="n">
        <v>45912.47329861111</v>
      </c>
      <c r="C531" s="1" t="n">
        <v>45976</v>
      </c>
      <c r="D531" t="inlineStr">
        <is>
          <t>ÖSTERGÖTLANDS LÄN</t>
        </is>
      </c>
      <c r="E531" t="inlineStr">
        <is>
          <t>LINKÖPING</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43758-2025</t>
        </is>
      </c>
      <c r="B532" s="1" t="n">
        <v>45912.47711805555</v>
      </c>
      <c r="C532" s="1" t="n">
        <v>45976</v>
      </c>
      <c r="D532" t="inlineStr">
        <is>
          <t>ÖSTERGÖTLANDS LÄN</t>
        </is>
      </c>
      <c r="E532" t="inlineStr">
        <is>
          <t>LINKÖPING</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52802-2025</t>
        </is>
      </c>
      <c r="B533" s="1" t="n">
        <v>45957.44295138889</v>
      </c>
      <c r="C533" s="1" t="n">
        <v>45976</v>
      </c>
      <c r="D533" t="inlineStr">
        <is>
          <t>ÖSTERGÖTLANDS LÄN</t>
        </is>
      </c>
      <c r="E533" t="inlineStr">
        <is>
          <t>LINKÖPING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43753-2025</t>
        </is>
      </c>
      <c r="B534" s="1" t="n">
        <v>45912.4715625</v>
      </c>
      <c r="C534" s="1" t="n">
        <v>45976</v>
      </c>
      <c r="D534" t="inlineStr">
        <is>
          <t>ÖSTERGÖTLANDS LÄN</t>
        </is>
      </c>
      <c r="E534" t="inlineStr">
        <is>
          <t>LINKÖPING</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11790-2024</t>
        </is>
      </c>
      <c r="B535" s="1" t="n">
        <v>45374</v>
      </c>
      <c r="C535" s="1" t="n">
        <v>45976</v>
      </c>
      <c r="D535" t="inlineStr">
        <is>
          <t>ÖSTERGÖTLANDS LÄN</t>
        </is>
      </c>
      <c r="E535" t="inlineStr">
        <is>
          <t>LINKÖPING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52800-2025</t>
        </is>
      </c>
      <c r="B536" s="1" t="n">
        <v>45957.44152777778</v>
      </c>
      <c r="C536" s="1" t="n">
        <v>45976</v>
      </c>
      <c r="D536" t="inlineStr">
        <is>
          <t>ÖSTERGÖTLANDS LÄN</t>
        </is>
      </c>
      <c r="E536" t="inlineStr">
        <is>
          <t>LINKÖPING</t>
        </is>
      </c>
      <c r="G536" t="n">
        <v>2.5</v>
      </c>
      <c r="H536" t="n">
        <v>0</v>
      </c>
      <c r="I536" t="n">
        <v>0</v>
      </c>
      <c r="J536" t="n">
        <v>0</v>
      </c>
      <c r="K536" t="n">
        <v>0</v>
      </c>
      <c r="L536" t="n">
        <v>0</v>
      </c>
      <c r="M536" t="n">
        <v>0</v>
      </c>
      <c r="N536" t="n">
        <v>0</v>
      </c>
      <c r="O536" t="n">
        <v>0</v>
      </c>
      <c r="P536" t="n">
        <v>0</v>
      </c>
      <c r="Q536" t="n">
        <v>0</v>
      </c>
      <c r="R536" s="2" t="inlineStr"/>
    </row>
    <row r="537" ht="15" customHeight="1">
      <c r="A537" t="inlineStr">
        <is>
          <t>A 61281-2021</t>
        </is>
      </c>
      <c r="B537" s="1" t="n">
        <v>44498.60736111111</v>
      </c>
      <c r="C537" s="1" t="n">
        <v>45976</v>
      </c>
      <c r="D537" t="inlineStr">
        <is>
          <t>ÖSTERGÖTLANDS LÄN</t>
        </is>
      </c>
      <c r="E537" t="inlineStr">
        <is>
          <t>LINKÖPING</t>
        </is>
      </c>
      <c r="G537" t="n">
        <v>4.5</v>
      </c>
      <c r="H537" t="n">
        <v>0</v>
      </c>
      <c r="I537" t="n">
        <v>0</v>
      </c>
      <c r="J537" t="n">
        <v>0</v>
      </c>
      <c r="K537" t="n">
        <v>0</v>
      </c>
      <c r="L537" t="n">
        <v>0</v>
      </c>
      <c r="M537" t="n">
        <v>0</v>
      </c>
      <c r="N537" t="n">
        <v>0</v>
      </c>
      <c r="O537" t="n">
        <v>0</v>
      </c>
      <c r="P537" t="n">
        <v>0</v>
      </c>
      <c r="Q537" t="n">
        <v>0</v>
      </c>
      <c r="R537" s="2" t="inlineStr"/>
    </row>
    <row r="538" ht="15" customHeight="1">
      <c r="A538" t="inlineStr">
        <is>
          <t>A 6206-2024</t>
        </is>
      </c>
      <c r="B538" s="1" t="n">
        <v>45337.5977662037</v>
      </c>
      <c r="C538" s="1" t="n">
        <v>45976</v>
      </c>
      <c r="D538" t="inlineStr">
        <is>
          <t>ÖSTERGÖTLANDS LÄN</t>
        </is>
      </c>
      <c r="E538" t="inlineStr">
        <is>
          <t>LINKÖPING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22264-2025</t>
        </is>
      </c>
      <c r="B539" s="1" t="n">
        <v>45785</v>
      </c>
      <c r="C539" s="1" t="n">
        <v>45976</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168-2024</t>
        </is>
      </c>
      <c r="B540" s="1" t="n">
        <v>45294</v>
      </c>
      <c r="C540" s="1" t="n">
        <v>45976</v>
      </c>
      <c r="D540" t="inlineStr">
        <is>
          <t>ÖSTERGÖTLANDS LÄN</t>
        </is>
      </c>
      <c r="E540" t="inlineStr">
        <is>
          <t>LINKÖPING</t>
        </is>
      </c>
      <c r="F540" t="inlineStr">
        <is>
          <t>Allmännings- och besparingsskogar</t>
        </is>
      </c>
      <c r="G540" t="n">
        <v>8.9</v>
      </c>
      <c r="H540" t="n">
        <v>0</v>
      </c>
      <c r="I540" t="n">
        <v>0</v>
      </c>
      <c r="J540" t="n">
        <v>0</v>
      </c>
      <c r="K540" t="n">
        <v>0</v>
      </c>
      <c r="L540" t="n">
        <v>0</v>
      </c>
      <c r="M540" t="n">
        <v>0</v>
      </c>
      <c r="N540" t="n">
        <v>0</v>
      </c>
      <c r="O540" t="n">
        <v>0</v>
      </c>
      <c r="P540" t="n">
        <v>0</v>
      </c>
      <c r="Q540" t="n">
        <v>0</v>
      </c>
      <c r="R540" s="2" t="inlineStr"/>
    </row>
    <row r="541" ht="15" customHeight="1">
      <c r="A541" t="inlineStr">
        <is>
          <t>A 44759-2025</t>
        </is>
      </c>
      <c r="B541" s="1" t="n">
        <v>45917.7152662037</v>
      </c>
      <c r="C541" s="1" t="n">
        <v>45976</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51919-2024</t>
        </is>
      </c>
      <c r="B542" s="1" t="n">
        <v>45607.60791666667</v>
      </c>
      <c r="C542" s="1" t="n">
        <v>45976</v>
      </c>
      <c r="D542" t="inlineStr">
        <is>
          <t>ÖSTERGÖTLANDS LÄN</t>
        </is>
      </c>
      <c r="E542" t="inlineStr">
        <is>
          <t>LINKÖPING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56623-2024</t>
        </is>
      </c>
      <c r="B543" s="1" t="n">
        <v>45625</v>
      </c>
      <c r="C543" s="1" t="n">
        <v>45976</v>
      </c>
      <c r="D543" t="inlineStr">
        <is>
          <t>ÖSTERGÖTLANDS LÄN</t>
        </is>
      </c>
      <c r="E543" t="inlineStr">
        <is>
          <t>LINKÖPING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11330-2023</t>
        </is>
      </c>
      <c r="B544" s="1" t="n">
        <v>44993.24648148148</v>
      </c>
      <c r="C544" s="1" t="n">
        <v>45976</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9473-2024</t>
        </is>
      </c>
      <c r="B545" s="1" t="n">
        <v>45359.55474537037</v>
      </c>
      <c r="C545" s="1" t="n">
        <v>45976</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63304-2021</t>
        </is>
      </c>
      <c r="B546" s="1" t="n">
        <v>44508.4396412037</v>
      </c>
      <c r="C546" s="1" t="n">
        <v>45976</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6859-2024</t>
        </is>
      </c>
      <c r="B547" s="1" t="n">
        <v>45342</v>
      </c>
      <c r="C547" s="1" t="n">
        <v>45976</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44287-2024</t>
        </is>
      </c>
      <c r="B548" s="1" t="n">
        <v>45573.50582175926</v>
      </c>
      <c r="C548" s="1" t="n">
        <v>45976</v>
      </c>
      <c r="D548" t="inlineStr">
        <is>
          <t>ÖSTERGÖTLANDS LÄN</t>
        </is>
      </c>
      <c r="E548" t="inlineStr">
        <is>
          <t>LINKÖPING</t>
        </is>
      </c>
      <c r="G548" t="n">
        <v>12.7</v>
      </c>
      <c r="H548" t="n">
        <v>0</v>
      </c>
      <c r="I548" t="n">
        <v>0</v>
      </c>
      <c r="J548" t="n">
        <v>0</v>
      </c>
      <c r="K548" t="n">
        <v>0</v>
      </c>
      <c r="L548" t="n">
        <v>0</v>
      </c>
      <c r="M548" t="n">
        <v>0</v>
      </c>
      <c r="N548" t="n">
        <v>0</v>
      </c>
      <c r="O548" t="n">
        <v>0</v>
      </c>
      <c r="P548" t="n">
        <v>0</v>
      </c>
      <c r="Q548" t="n">
        <v>0</v>
      </c>
      <c r="R548" s="2" t="inlineStr"/>
    </row>
    <row r="549" ht="15" customHeight="1">
      <c r="A549" t="inlineStr">
        <is>
          <t>A 14528-2025</t>
        </is>
      </c>
      <c r="B549" s="1" t="n">
        <v>45741</v>
      </c>
      <c r="C549" s="1" t="n">
        <v>45976</v>
      </c>
      <c r="D549" t="inlineStr">
        <is>
          <t>ÖSTERGÖTLANDS LÄN</t>
        </is>
      </c>
      <c r="E549" t="inlineStr">
        <is>
          <t>LINKÖPING</t>
        </is>
      </c>
      <c r="G549" t="n">
        <v>1.5</v>
      </c>
      <c r="H549" t="n">
        <v>0</v>
      </c>
      <c r="I549" t="n">
        <v>0</v>
      </c>
      <c r="J549" t="n">
        <v>0</v>
      </c>
      <c r="K549" t="n">
        <v>0</v>
      </c>
      <c r="L549" t="n">
        <v>0</v>
      </c>
      <c r="M549" t="n">
        <v>0</v>
      </c>
      <c r="N549" t="n">
        <v>0</v>
      </c>
      <c r="O549" t="n">
        <v>0</v>
      </c>
      <c r="P549" t="n">
        <v>0</v>
      </c>
      <c r="Q549" t="n">
        <v>0</v>
      </c>
      <c r="R549" s="2" t="inlineStr"/>
    </row>
    <row r="550" ht="15" customHeight="1">
      <c r="A550" t="inlineStr">
        <is>
          <t>A 22364-2025</t>
        </is>
      </c>
      <c r="B550" s="1" t="n">
        <v>45786.46930555555</v>
      </c>
      <c r="C550" s="1" t="n">
        <v>45976</v>
      </c>
      <c r="D550" t="inlineStr">
        <is>
          <t>ÖSTERGÖTLANDS LÄN</t>
        </is>
      </c>
      <c r="E550" t="inlineStr">
        <is>
          <t>LINKÖPING</t>
        </is>
      </c>
      <c r="G550" t="n">
        <v>2.2</v>
      </c>
      <c r="H550" t="n">
        <v>0</v>
      </c>
      <c r="I550" t="n">
        <v>0</v>
      </c>
      <c r="J550" t="n">
        <v>0</v>
      </c>
      <c r="K550" t="n">
        <v>0</v>
      </c>
      <c r="L550" t="n">
        <v>0</v>
      </c>
      <c r="M550" t="n">
        <v>0</v>
      </c>
      <c r="N550" t="n">
        <v>0</v>
      </c>
      <c r="O550" t="n">
        <v>0</v>
      </c>
      <c r="P550" t="n">
        <v>0</v>
      </c>
      <c r="Q550" t="n">
        <v>0</v>
      </c>
      <c r="R550" s="2" t="inlineStr"/>
    </row>
    <row r="551" ht="15" customHeight="1">
      <c r="A551" t="inlineStr">
        <is>
          <t>A 44764-2025</t>
        </is>
      </c>
      <c r="B551" s="1" t="n">
        <v>45917.72821759259</v>
      </c>
      <c r="C551" s="1" t="n">
        <v>45976</v>
      </c>
      <c r="D551" t="inlineStr">
        <is>
          <t>ÖSTERGÖTLANDS LÄN</t>
        </is>
      </c>
      <c r="E551" t="inlineStr">
        <is>
          <t>LINKÖPING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3530-2024</t>
        </is>
      </c>
      <c r="B552" s="1" t="n">
        <v>45320.54717592592</v>
      </c>
      <c r="C552" s="1" t="n">
        <v>45976</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62073-2023</t>
        </is>
      </c>
      <c r="B553" s="1" t="n">
        <v>45266.73844907407</v>
      </c>
      <c r="C553" s="1" t="n">
        <v>45976</v>
      </c>
      <c r="D553" t="inlineStr">
        <is>
          <t>ÖSTERGÖTLANDS LÄN</t>
        </is>
      </c>
      <c r="E553" t="inlineStr">
        <is>
          <t>LINKÖPING</t>
        </is>
      </c>
      <c r="F553" t="inlineStr">
        <is>
          <t>Allmännings- och besparingsskogar</t>
        </is>
      </c>
      <c r="G553" t="n">
        <v>1.8</v>
      </c>
      <c r="H553" t="n">
        <v>0</v>
      </c>
      <c r="I553" t="n">
        <v>0</v>
      </c>
      <c r="J553" t="n">
        <v>0</v>
      </c>
      <c r="K553" t="n">
        <v>0</v>
      </c>
      <c r="L553" t="n">
        <v>0</v>
      </c>
      <c r="M553" t="n">
        <v>0</v>
      </c>
      <c r="N553" t="n">
        <v>0</v>
      </c>
      <c r="O553" t="n">
        <v>0</v>
      </c>
      <c r="P553" t="n">
        <v>0</v>
      </c>
      <c r="Q553" t="n">
        <v>0</v>
      </c>
      <c r="R553" s="2" t="inlineStr"/>
    </row>
    <row r="554" ht="15" customHeight="1">
      <c r="A554" t="inlineStr">
        <is>
          <t>A 5872-2025</t>
        </is>
      </c>
      <c r="B554" s="1" t="n">
        <v>45695.36659722222</v>
      </c>
      <c r="C554" s="1" t="n">
        <v>45976</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53814-2023</t>
        </is>
      </c>
      <c r="B555" s="1" t="n">
        <v>45231</v>
      </c>
      <c r="C555" s="1" t="n">
        <v>45976</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3432-2023</t>
        </is>
      </c>
      <c r="B556" s="1" t="n">
        <v>44949</v>
      </c>
      <c r="C556" s="1" t="n">
        <v>45976</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572-2025</t>
        </is>
      </c>
      <c r="B557" s="1" t="n">
        <v>45664.56349537037</v>
      </c>
      <c r="C557" s="1" t="n">
        <v>45976</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10797-2024</t>
        </is>
      </c>
      <c r="B558" s="1" t="n">
        <v>45369.6190162037</v>
      </c>
      <c r="C558" s="1" t="n">
        <v>45976</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38580-2024</t>
        </is>
      </c>
      <c r="B559" s="1" t="n">
        <v>45546.64825231482</v>
      </c>
      <c r="C559" s="1" t="n">
        <v>45976</v>
      </c>
      <c r="D559" t="inlineStr">
        <is>
          <t>ÖSTERGÖTLANDS LÄN</t>
        </is>
      </c>
      <c r="E559" t="inlineStr">
        <is>
          <t>LINKÖPING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57752-2023</t>
        </is>
      </c>
      <c r="B560" s="1" t="n">
        <v>45246.78474537037</v>
      </c>
      <c r="C560" s="1" t="n">
        <v>45976</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45112-2025</t>
        </is>
      </c>
      <c r="B561" s="1" t="n">
        <v>45919</v>
      </c>
      <c r="C561" s="1" t="n">
        <v>45976</v>
      </c>
      <c r="D561" t="inlineStr">
        <is>
          <t>ÖSTERGÖTLANDS LÄN</t>
        </is>
      </c>
      <c r="E561" t="inlineStr">
        <is>
          <t>LINKÖPING</t>
        </is>
      </c>
      <c r="G561" t="n">
        <v>3.5</v>
      </c>
      <c r="H561" t="n">
        <v>0</v>
      </c>
      <c r="I561" t="n">
        <v>0</v>
      </c>
      <c r="J561" t="n">
        <v>0</v>
      </c>
      <c r="K561" t="n">
        <v>0</v>
      </c>
      <c r="L561" t="n">
        <v>0</v>
      </c>
      <c r="M561" t="n">
        <v>0</v>
      </c>
      <c r="N561" t="n">
        <v>0</v>
      </c>
      <c r="O561" t="n">
        <v>0</v>
      </c>
      <c r="P561" t="n">
        <v>0</v>
      </c>
      <c r="Q561" t="n">
        <v>0</v>
      </c>
      <c r="R561" s="2" t="inlineStr"/>
    </row>
    <row r="562" ht="15" customHeight="1">
      <c r="A562" t="inlineStr">
        <is>
          <t>A 54425-2022</t>
        </is>
      </c>
      <c r="B562" s="1" t="n">
        <v>44882.57453703704</v>
      </c>
      <c r="C562" s="1" t="n">
        <v>45976</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54428-2022</t>
        </is>
      </c>
      <c r="B563" s="1" t="n">
        <v>44882.57643518518</v>
      </c>
      <c r="C563" s="1" t="n">
        <v>45976</v>
      </c>
      <c r="D563" t="inlineStr">
        <is>
          <t>ÖSTERGÖTLANDS LÄN</t>
        </is>
      </c>
      <c r="E563" t="inlineStr">
        <is>
          <t>LINKÖPING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50056-2025</t>
        </is>
      </c>
      <c r="B564" s="1" t="n">
        <v>45941</v>
      </c>
      <c r="C564" s="1" t="n">
        <v>45976</v>
      </c>
      <c r="D564" t="inlineStr">
        <is>
          <t>ÖSTERGÖTLANDS LÄN</t>
        </is>
      </c>
      <c r="E564" t="inlineStr">
        <is>
          <t>LINKÖPING</t>
        </is>
      </c>
      <c r="G564" t="n">
        <v>0.3</v>
      </c>
      <c r="H564" t="n">
        <v>0</v>
      </c>
      <c r="I564" t="n">
        <v>0</v>
      </c>
      <c r="J564" t="n">
        <v>0</v>
      </c>
      <c r="K564" t="n">
        <v>0</v>
      </c>
      <c r="L564" t="n">
        <v>0</v>
      </c>
      <c r="M564" t="n">
        <v>0</v>
      </c>
      <c r="N564" t="n">
        <v>0</v>
      </c>
      <c r="O564" t="n">
        <v>0</v>
      </c>
      <c r="P564" t="n">
        <v>0</v>
      </c>
      <c r="Q564" t="n">
        <v>0</v>
      </c>
      <c r="R564" s="2" t="inlineStr"/>
    </row>
    <row r="565" ht="15" customHeight="1">
      <c r="A565" t="inlineStr">
        <is>
          <t>A 29312-2024</t>
        </is>
      </c>
      <c r="B565" s="1" t="n">
        <v>45483</v>
      </c>
      <c r="C565" s="1" t="n">
        <v>45976</v>
      </c>
      <c r="D565" t="inlineStr">
        <is>
          <t>ÖSTERGÖTLANDS LÄN</t>
        </is>
      </c>
      <c r="E565" t="inlineStr">
        <is>
          <t>LINKÖPING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23120-2025</t>
        </is>
      </c>
      <c r="B566" s="1" t="n">
        <v>45791.37481481482</v>
      </c>
      <c r="C566" s="1" t="n">
        <v>45976</v>
      </c>
      <c r="D566" t="inlineStr">
        <is>
          <t>ÖSTERGÖTLANDS LÄN</t>
        </is>
      </c>
      <c r="E566" t="inlineStr">
        <is>
          <t>LINKÖPING</t>
        </is>
      </c>
      <c r="G566" t="n">
        <v>2.9</v>
      </c>
      <c r="H566" t="n">
        <v>0</v>
      </c>
      <c r="I566" t="n">
        <v>0</v>
      </c>
      <c r="J566" t="n">
        <v>0</v>
      </c>
      <c r="K566" t="n">
        <v>0</v>
      </c>
      <c r="L566" t="n">
        <v>0</v>
      </c>
      <c r="M566" t="n">
        <v>0</v>
      </c>
      <c r="N566" t="n">
        <v>0</v>
      </c>
      <c r="O566" t="n">
        <v>0</v>
      </c>
      <c r="P566" t="n">
        <v>0</v>
      </c>
      <c r="Q566" t="n">
        <v>0</v>
      </c>
      <c r="R566" s="2" t="inlineStr"/>
    </row>
    <row r="567" ht="15" customHeight="1">
      <c r="A567" t="inlineStr">
        <is>
          <t>A 660-2023</t>
        </is>
      </c>
      <c r="B567" s="1" t="n">
        <v>44930</v>
      </c>
      <c r="C567" s="1" t="n">
        <v>45976</v>
      </c>
      <c r="D567" t="inlineStr">
        <is>
          <t>ÖSTERGÖTLANDS LÄN</t>
        </is>
      </c>
      <c r="E567" t="inlineStr">
        <is>
          <t>LINKÖPING</t>
        </is>
      </c>
      <c r="F567" t="inlineStr">
        <is>
          <t>Kyrkan</t>
        </is>
      </c>
      <c r="G567" t="n">
        <v>1.6</v>
      </c>
      <c r="H567" t="n">
        <v>0</v>
      </c>
      <c r="I567" t="n">
        <v>0</v>
      </c>
      <c r="J567" t="n">
        <v>0</v>
      </c>
      <c r="K567" t="n">
        <v>0</v>
      </c>
      <c r="L567" t="n">
        <v>0</v>
      </c>
      <c r="M567" t="n">
        <v>0</v>
      </c>
      <c r="N567" t="n">
        <v>0</v>
      </c>
      <c r="O567" t="n">
        <v>0</v>
      </c>
      <c r="P567" t="n">
        <v>0</v>
      </c>
      <c r="Q567" t="n">
        <v>0</v>
      </c>
      <c r="R567" s="2" t="inlineStr"/>
    </row>
    <row r="568" ht="15" customHeight="1">
      <c r="A568" t="inlineStr">
        <is>
          <t>A 62501-2023</t>
        </is>
      </c>
      <c r="B568" s="1" t="n">
        <v>45268</v>
      </c>
      <c r="C568" s="1" t="n">
        <v>45976</v>
      </c>
      <c r="D568" t="inlineStr">
        <is>
          <t>ÖSTERGÖTLANDS LÄN</t>
        </is>
      </c>
      <c r="E568" t="inlineStr">
        <is>
          <t>LINKÖPING</t>
        </is>
      </c>
      <c r="G568" t="n">
        <v>7.4</v>
      </c>
      <c r="H568" t="n">
        <v>0</v>
      </c>
      <c r="I568" t="n">
        <v>0</v>
      </c>
      <c r="J568" t="n">
        <v>0</v>
      </c>
      <c r="K568" t="n">
        <v>0</v>
      </c>
      <c r="L568" t="n">
        <v>0</v>
      </c>
      <c r="M568" t="n">
        <v>0</v>
      </c>
      <c r="N568" t="n">
        <v>0</v>
      </c>
      <c r="O568" t="n">
        <v>0</v>
      </c>
      <c r="P568" t="n">
        <v>0</v>
      </c>
      <c r="Q568" t="n">
        <v>0</v>
      </c>
      <c r="R568" s="2" t="inlineStr"/>
    </row>
    <row r="569" ht="15" customHeight="1">
      <c r="A569" t="inlineStr">
        <is>
          <t>A 13413-2023</t>
        </is>
      </c>
      <c r="B569" s="1" t="n">
        <v>45005.58341435185</v>
      </c>
      <c r="C569" s="1" t="n">
        <v>45976</v>
      </c>
      <c r="D569" t="inlineStr">
        <is>
          <t>ÖSTERGÖTLANDS LÄN</t>
        </is>
      </c>
      <c r="E569" t="inlineStr">
        <is>
          <t>LINKÖPING</t>
        </is>
      </c>
      <c r="G569" t="n">
        <v>2.4</v>
      </c>
      <c r="H569" t="n">
        <v>0</v>
      </c>
      <c r="I569" t="n">
        <v>0</v>
      </c>
      <c r="J569" t="n">
        <v>0</v>
      </c>
      <c r="K569" t="n">
        <v>0</v>
      </c>
      <c r="L569" t="n">
        <v>0</v>
      </c>
      <c r="M569" t="n">
        <v>0</v>
      </c>
      <c r="N569" t="n">
        <v>0</v>
      </c>
      <c r="O569" t="n">
        <v>0</v>
      </c>
      <c r="P569" t="n">
        <v>0</v>
      </c>
      <c r="Q569" t="n">
        <v>0</v>
      </c>
      <c r="R569" s="2" t="inlineStr"/>
    </row>
    <row r="570" ht="15" customHeight="1">
      <c r="A570" t="inlineStr">
        <is>
          <t>A 26620-2023</t>
        </is>
      </c>
      <c r="B570" s="1" t="n">
        <v>45092.70390046296</v>
      </c>
      <c r="C570" s="1" t="n">
        <v>45976</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62374-2020</t>
        </is>
      </c>
      <c r="B571" s="1" t="n">
        <v>44159</v>
      </c>
      <c r="C571" s="1" t="n">
        <v>45976</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23768-2025</t>
        </is>
      </c>
      <c r="B572" s="1" t="n">
        <v>45793.47493055555</v>
      </c>
      <c r="C572" s="1" t="n">
        <v>45976</v>
      </c>
      <c r="D572" t="inlineStr">
        <is>
          <t>ÖSTERGÖTLANDS LÄN</t>
        </is>
      </c>
      <c r="E572" t="inlineStr">
        <is>
          <t>LINKÖPING</t>
        </is>
      </c>
      <c r="G572" t="n">
        <v>3.4</v>
      </c>
      <c r="H572" t="n">
        <v>0</v>
      </c>
      <c r="I572" t="n">
        <v>0</v>
      </c>
      <c r="J572" t="n">
        <v>0</v>
      </c>
      <c r="K572" t="n">
        <v>0</v>
      </c>
      <c r="L572" t="n">
        <v>0</v>
      </c>
      <c r="M572" t="n">
        <v>0</v>
      </c>
      <c r="N572" t="n">
        <v>0</v>
      </c>
      <c r="O572" t="n">
        <v>0</v>
      </c>
      <c r="P572" t="n">
        <v>0</v>
      </c>
      <c r="Q572" t="n">
        <v>0</v>
      </c>
      <c r="R572" s="2" t="inlineStr"/>
    </row>
    <row r="573" ht="15" customHeight="1">
      <c r="A573" t="inlineStr">
        <is>
          <t>A 45634-2025</t>
        </is>
      </c>
      <c r="B573" s="1" t="n">
        <v>45922.85089120371</v>
      </c>
      <c r="C573" s="1" t="n">
        <v>45976</v>
      </c>
      <c r="D573" t="inlineStr">
        <is>
          <t>ÖSTERGÖTLANDS LÄN</t>
        </is>
      </c>
      <c r="E573" t="inlineStr">
        <is>
          <t>LINKÖPING</t>
        </is>
      </c>
      <c r="F573" t="inlineStr">
        <is>
          <t>Övriga Aktiebolag</t>
        </is>
      </c>
      <c r="G573" t="n">
        <v>0.3</v>
      </c>
      <c r="H573" t="n">
        <v>0</v>
      </c>
      <c r="I573" t="n">
        <v>0</v>
      </c>
      <c r="J573" t="n">
        <v>0</v>
      </c>
      <c r="K573" t="n">
        <v>0</v>
      </c>
      <c r="L573" t="n">
        <v>0</v>
      </c>
      <c r="M573" t="n">
        <v>0</v>
      </c>
      <c r="N573" t="n">
        <v>0</v>
      </c>
      <c r="O573" t="n">
        <v>0</v>
      </c>
      <c r="P573" t="n">
        <v>0</v>
      </c>
      <c r="Q573" t="n">
        <v>0</v>
      </c>
      <c r="R573" s="2" t="inlineStr"/>
    </row>
    <row r="574" ht="15" customHeight="1">
      <c r="A574" t="inlineStr">
        <is>
          <t>A 16462-2021</t>
        </is>
      </c>
      <c r="B574" s="1" t="n">
        <v>44293</v>
      </c>
      <c r="C574" s="1" t="n">
        <v>45976</v>
      </c>
      <c r="D574" t="inlineStr">
        <is>
          <t>ÖSTERGÖTLANDS LÄN</t>
        </is>
      </c>
      <c r="E574" t="inlineStr">
        <is>
          <t>LINKÖPING</t>
        </is>
      </c>
      <c r="F574" t="inlineStr">
        <is>
          <t>Allmännings- och besparingsskogar</t>
        </is>
      </c>
      <c r="G574" t="n">
        <v>24.7</v>
      </c>
      <c r="H574" t="n">
        <v>0</v>
      </c>
      <c r="I574" t="n">
        <v>0</v>
      </c>
      <c r="J574" t="n">
        <v>0</v>
      </c>
      <c r="K574" t="n">
        <v>0</v>
      </c>
      <c r="L574" t="n">
        <v>0</v>
      </c>
      <c r="M574" t="n">
        <v>0</v>
      </c>
      <c r="N574" t="n">
        <v>0</v>
      </c>
      <c r="O574" t="n">
        <v>0</v>
      </c>
      <c r="P574" t="n">
        <v>0</v>
      </c>
      <c r="Q574" t="n">
        <v>0</v>
      </c>
      <c r="R574" s="2" t="inlineStr"/>
    </row>
    <row r="575" ht="15" customHeight="1">
      <c r="A575" t="inlineStr">
        <is>
          <t>A 48699-2024</t>
        </is>
      </c>
      <c r="B575" s="1" t="n">
        <v>45593.52091435185</v>
      </c>
      <c r="C575" s="1" t="n">
        <v>45976</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63554-2023</t>
        </is>
      </c>
      <c r="B576" s="1" t="n">
        <v>45275</v>
      </c>
      <c r="C576" s="1" t="n">
        <v>45976</v>
      </c>
      <c r="D576" t="inlineStr">
        <is>
          <t>ÖSTERGÖTLANDS LÄN</t>
        </is>
      </c>
      <c r="E576" t="inlineStr">
        <is>
          <t>LINKÖPING</t>
        </is>
      </c>
      <c r="G576" t="n">
        <v>4.3</v>
      </c>
      <c r="H576" t="n">
        <v>0</v>
      </c>
      <c r="I576" t="n">
        <v>0</v>
      </c>
      <c r="J576" t="n">
        <v>0</v>
      </c>
      <c r="K576" t="n">
        <v>0</v>
      </c>
      <c r="L576" t="n">
        <v>0</v>
      </c>
      <c r="M576" t="n">
        <v>0</v>
      </c>
      <c r="N576" t="n">
        <v>0</v>
      </c>
      <c r="O576" t="n">
        <v>0</v>
      </c>
      <c r="P576" t="n">
        <v>0</v>
      </c>
      <c r="Q576" t="n">
        <v>0</v>
      </c>
      <c r="R576" s="2" t="inlineStr"/>
    </row>
    <row r="577" ht="15" customHeight="1">
      <c r="A577" t="inlineStr">
        <is>
          <t>A 54333-2025</t>
        </is>
      </c>
      <c r="B577" s="1" t="n">
        <v>45965.35090277778</v>
      </c>
      <c r="C577" s="1" t="n">
        <v>45976</v>
      </c>
      <c r="D577" t="inlineStr">
        <is>
          <t>ÖSTERGÖTLANDS LÄN</t>
        </is>
      </c>
      <c r="E577" t="inlineStr">
        <is>
          <t>LINKÖPING</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45792-2025</t>
        </is>
      </c>
      <c r="B578" s="1" t="n">
        <v>45923.56998842592</v>
      </c>
      <c r="C578" s="1" t="n">
        <v>45976</v>
      </c>
      <c r="D578" t="inlineStr">
        <is>
          <t>ÖSTERGÖTLANDS LÄN</t>
        </is>
      </c>
      <c r="E578" t="inlineStr">
        <is>
          <t>LINKÖPING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45804-2025</t>
        </is>
      </c>
      <c r="B579" s="1" t="n">
        <v>45923.5819675926</v>
      </c>
      <c r="C579" s="1" t="n">
        <v>45976</v>
      </c>
      <c r="D579" t="inlineStr">
        <is>
          <t>ÖSTERGÖTLANDS LÄN</t>
        </is>
      </c>
      <c r="E579" t="inlineStr">
        <is>
          <t>LINKÖPING</t>
        </is>
      </c>
      <c r="G579" t="n">
        <v>3.3</v>
      </c>
      <c r="H579" t="n">
        <v>0</v>
      </c>
      <c r="I579" t="n">
        <v>0</v>
      </c>
      <c r="J579" t="n">
        <v>0</v>
      </c>
      <c r="K579" t="n">
        <v>0</v>
      </c>
      <c r="L579" t="n">
        <v>0</v>
      </c>
      <c r="M579" t="n">
        <v>0</v>
      </c>
      <c r="N579" t="n">
        <v>0</v>
      </c>
      <c r="O579" t="n">
        <v>0</v>
      </c>
      <c r="P579" t="n">
        <v>0</v>
      </c>
      <c r="Q579" t="n">
        <v>0</v>
      </c>
      <c r="R579" s="2" t="inlineStr"/>
    </row>
    <row r="580" ht="15" customHeight="1">
      <c r="A580" t="inlineStr">
        <is>
          <t>A 13911-2025</t>
        </is>
      </c>
      <c r="B580" s="1" t="n">
        <v>45737.64784722222</v>
      </c>
      <c r="C580" s="1" t="n">
        <v>45976</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63638-2023</t>
        </is>
      </c>
      <c r="B581" s="1" t="n">
        <v>45275</v>
      </c>
      <c r="C581" s="1" t="n">
        <v>45976</v>
      </c>
      <c r="D581" t="inlineStr">
        <is>
          <t>ÖSTERGÖTLANDS LÄN</t>
        </is>
      </c>
      <c r="E581" t="inlineStr">
        <is>
          <t>LINKÖPING</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63658-2023</t>
        </is>
      </c>
      <c r="B582" s="1" t="n">
        <v>45275</v>
      </c>
      <c r="C582" s="1" t="n">
        <v>45976</v>
      </c>
      <c r="D582" t="inlineStr">
        <is>
          <t>ÖSTERGÖTLANDS LÄN</t>
        </is>
      </c>
      <c r="E582" t="inlineStr">
        <is>
          <t>LINKÖPING</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46426-2025</t>
        </is>
      </c>
      <c r="B583" s="1" t="n">
        <v>45925.6012962963</v>
      </c>
      <c r="C583" s="1" t="n">
        <v>45976</v>
      </c>
      <c r="D583" t="inlineStr">
        <is>
          <t>ÖSTERGÖTLANDS LÄN</t>
        </is>
      </c>
      <c r="E583" t="inlineStr">
        <is>
          <t>LINKÖPING</t>
        </is>
      </c>
      <c r="G583" t="n">
        <v>4.4</v>
      </c>
      <c r="H583" t="n">
        <v>0</v>
      </c>
      <c r="I583" t="n">
        <v>0</v>
      </c>
      <c r="J583" t="n">
        <v>0</v>
      </c>
      <c r="K583" t="n">
        <v>0</v>
      </c>
      <c r="L583" t="n">
        <v>0</v>
      </c>
      <c r="M583" t="n">
        <v>0</v>
      </c>
      <c r="N583" t="n">
        <v>0</v>
      </c>
      <c r="O583" t="n">
        <v>0</v>
      </c>
      <c r="P583" t="n">
        <v>0</v>
      </c>
      <c r="Q583" t="n">
        <v>0</v>
      </c>
      <c r="R583" s="2" t="inlineStr"/>
    </row>
    <row r="584" ht="15" customHeight="1">
      <c r="A584" t="inlineStr">
        <is>
          <t>A 44280-2024</t>
        </is>
      </c>
      <c r="B584" s="1" t="n">
        <v>45573.49461805556</v>
      </c>
      <c r="C584" s="1" t="n">
        <v>45976</v>
      </c>
      <c r="D584" t="inlineStr">
        <is>
          <t>ÖSTERGÖTLANDS LÄN</t>
        </is>
      </c>
      <c r="E584" t="inlineStr">
        <is>
          <t>LINKÖPING</t>
        </is>
      </c>
      <c r="G584" t="n">
        <v>5.3</v>
      </c>
      <c r="H584" t="n">
        <v>0</v>
      </c>
      <c r="I584" t="n">
        <v>0</v>
      </c>
      <c r="J584" t="n">
        <v>0</v>
      </c>
      <c r="K584" t="n">
        <v>0</v>
      </c>
      <c r="L584" t="n">
        <v>0</v>
      </c>
      <c r="M584" t="n">
        <v>0</v>
      </c>
      <c r="N584" t="n">
        <v>0</v>
      </c>
      <c r="O584" t="n">
        <v>0</v>
      </c>
      <c r="P584" t="n">
        <v>0</v>
      </c>
      <c r="Q584" t="n">
        <v>0</v>
      </c>
      <c r="R584" s="2" t="inlineStr"/>
    </row>
    <row r="585" ht="15" customHeight="1">
      <c r="A585" t="inlineStr">
        <is>
          <t>A 16820-2024</t>
        </is>
      </c>
      <c r="B585" s="1" t="n">
        <v>45411.46809027778</v>
      </c>
      <c r="C585" s="1" t="n">
        <v>45976</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46428-2025</t>
        </is>
      </c>
      <c r="B586" s="1" t="n">
        <v>45925.60758101852</v>
      </c>
      <c r="C586" s="1" t="n">
        <v>45976</v>
      </c>
      <c r="D586" t="inlineStr">
        <is>
          <t>ÖSTERGÖTLANDS LÄN</t>
        </is>
      </c>
      <c r="E586" t="inlineStr">
        <is>
          <t>LINKÖPING</t>
        </is>
      </c>
      <c r="G586" t="n">
        <v>3</v>
      </c>
      <c r="H586" t="n">
        <v>0</v>
      </c>
      <c r="I586" t="n">
        <v>0</v>
      </c>
      <c r="J586" t="n">
        <v>0</v>
      </c>
      <c r="K586" t="n">
        <v>0</v>
      </c>
      <c r="L586" t="n">
        <v>0</v>
      </c>
      <c r="M586" t="n">
        <v>0</v>
      </c>
      <c r="N586" t="n">
        <v>0</v>
      </c>
      <c r="O586" t="n">
        <v>0</v>
      </c>
      <c r="P586" t="n">
        <v>0</v>
      </c>
      <c r="Q586" t="n">
        <v>0</v>
      </c>
      <c r="R586" s="2" t="inlineStr"/>
    </row>
    <row r="587" ht="15" customHeight="1">
      <c r="A587" t="inlineStr">
        <is>
          <t>A 4456-2024</t>
        </is>
      </c>
      <c r="B587" s="1" t="n">
        <v>45327.52847222222</v>
      </c>
      <c r="C587" s="1" t="n">
        <v>45976</v>
      </c>
      <c r="D587" t="inlineStr">
        <is>
          <t>ÖSTERGÖTLANDS LÄN</t>
        </is>
      </c>
      <c r="E587" t="inlineStr">
        <is>
          <t>LINKÖPING</t>
        </is>
      </c>
      <c r="G587" t="n">
        <v>2.7</v>
      </c>
      <c r="H587" t="n">
        <v>0</v>
      </c>
      <c r="I587" t="n">
        <v>0</v>
      </c>
      <c r="J587" t="n">
        <v>0</v>
      </c>
      <c r="K587" t="n">
        <v>0</v>
      </c>
      <c r="L587" t="n">
        <v>0</v>
      </c>
      <c r="M587" t="n">
        <v>0</v>
      </c>
      <c r="N587" t="n">
        <v>0</v>
      </c>
      <c r="O587" t="n">
        <v>0</v>
      </c>
      <c r="P587" t="n">
        <v>0</v>
      </c>
      <c r="Q587" t="n">
        <v>0</v>
      </c>
      <c r="R587" s="2" t="inlineStr"/>
    </row>
    <row r="588" ht="15" customHeight="1">
      <c r="A588" t="inlineStr">
        <is>
          <t>A 20298-2025</t>
        </is>
      </c>
      <c r="B588" s="1" t="n">
        <v>45774.75024305555</v>
      </c>
      <c r="C588" s="1" t="n">
        <v>45976</v>
      </c>
      <c r="D588" t="inlineStr">
        <is>
          <t>ÖSTERGÖTLANDS LÄN</t>
        </is>
      </c>
      <c r="E588" t="inlineStr">
        <is>
          <t>LINKÖPING</t>
        </is>
      </c>
      <c r="G588" t="n">
        <v>1.3</v>
      </c>
      <c r="H588" t="n">
        <v>0</v>
      </c>
      <c r="I588" t="n">
        <v>0</v>
      </c>
      <c r="J588" t="n">
        <v>0</v>
      </c>
      <c r="K588" t="n">
        <v>0</v>
      </c>
      <c r="L588" t="n">
        <v>0</v>
      </c>
      <c r="M588" t="n">
        <v>0</v>
      </c>
      <c r="N588" t="n">
        <v>0</v>
      </c>
      <c r="O588" t="n">
        <v>0</v>
      </c>
      <c r="P588" t="n">
        <v>0</v>
      </c>
      <c r="Q588" t="n">
        <v>0</v>
      </c>
      <c r="R588" s="2" t="inlineStr"/>
    </row>
    <row r="589" ht="15" customHeight="1">
      <c r="A589" t="inlineStr">
        <is>
          <t>A 15121-2022</t>
        </is>
      </c>
      <c r="B589" s="1" t="n">
        <v>44658</v>
      </c>
      <c r="C589" s="1" t="n">
        <v>45976</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50743-2023</t>
        </is>
      </c>
      <c r="B590" s="1" t="n">
        <v>45217</v>
      </c>
      <c r="C590" s="1" t="n">
        <v>45976</v>
      </c>
      <c r="D590" t="inlineStr">
        <is>
          <t>ÖSTERGÖTLANDS LÄN</t>
        </is>
      </c>
      <c r="E590" t="inlineStr">
        <is>
          <t>LINKÖPING</t>
        </is>
      </c>
      <c r="G590" t="n">
        <v>2.7</v>
      </c>
      <c r="H590" t="n">
        <v>0</v>
      </c>
      <c r="I590" t="n">
        <v>0</v>
      </c>
      <c r="J590" t="n">
        <v>0</v>
      </c>
      <c r="K590" t="n">
        <v>0</v>
      </c>
      <c r="L590" t="n">
        <v>0</v>
      </c>
      <c r="M590" t="n">
        <v>0</v>
      </c>
      <c r="N590" t="n">
        <v>0</v>
      </c>
      <c r="O590" t="n">
        <v>0</v>
      </c>
      <c r="P590" t="n">
        <v>0</v>
      </c>
      <c r="Q590" t="n">
        <v>0</v>
      </c>
      <c r="R590" s="2" t="inlineStr"/>
    </row>
    <row r="591" ht="15" customHeight="1">
      <c r="A591" t="inlineStr">
        <is>
          <t>A 46377-2025</t>
        </is>
      </c>
      <c r="B591" s="1" t="n">
        <v>45925.51773148148</v>
      </c>
      <c r="C591" s="1" t="n">
        <v>45976</v>
      </c>
      <c r="D591" t="inlineStr">
        <is>
          <t>ÖSTERGÖTLANDS LÄN</t>
        </is>
      </c>
      <c r="E591" t="inlineStr">
        <is>
          <t>LINKÖPING</t>
        </is>
      </c>
      <c r="G591" t="n">
        <v>3.1</v>
      </c>
      <c r="H591" t="n">
        <v>0</v>
      </c>
      <c r="I591" t="n">
        <v>0</v>
      </c>
      <c r="J591" t="n">
        <v>0</v>
      </c>
      <c r="K591" t="n">
        <v>0</v>
      </c>
      <c r="L591" t="n">
        <v>0</v>
      </c>
      <c r="M591" t="n">
        <v>0</v>
      </c>
      <c r="N591" t="n">
        <v>0</v>
      </c>
      <c r="O591" t="n">
        <v>0</v>
      </c>
      <c r="P591" t="n">
        <v>0</v>
      </c>
      <c r="Q591" t="n">
        <v>0</v>
      </c>
      <c r="R591" s="2" t="inlineStr"/>
    </row>
    <row r="592" ht="15" customHeight="1">
      <c r="A592" t="inlineStr">
        <is>
          <t>A 1440-2021</t>
        </is>
      </c>
      <c r="B592" s="1" t="n">
        <v>44208</v>
      </c>
      <c r="C592" s="1" t="n">
        <v>45976</v>
      </c>
      <c r="D592" t="inlineStr">
        <is>
          <t>ÖSTERGÖTLANDS LÄN</t>
        </is>
      </c>
      <c r="E592" t="inlineStr">
        <is>
          <t>LINKÖPING</t>
        </is>
      </c>
      <c r="G592" t="n">
        <v>8.4</v>
      </c>
      <c r="H592" t="n">
        <v>0</v>
      </c>
      <c r="I592" t="n">
        <v>0</v>
      </c>
      <c r="J592" t="n">
        <v>0</v>
      </c>
      <c r="K592" t="n">
        <v>0</v>
      </c>
      <c r="L592" t="n">
        <v>0</v>
      </c>
      <c r="M592" t="n">
        <v>0</v>
      </c>
      <c r="N592" t="n">
        <v>0</v>
      </c>
      <c r="O592" t="n">
        <v>0</v>
      </c>
      <c r="P592" t="n">
        <v>0</v>
      </c>
      <c r="Q592" t="n">
        <v>0</v>
      </c>
      <c r="R592" s="2" t="inlineStr"/>
    </row>
    <row r="593" ht="15" customHeight="1">
      <c r="A593" t="inlineStr">
        <is>
          <t>A 55132-2025</t>
        </is>
      </c>
      <c r="B593" s="1" t="n">
        <v>45968.41912037037</v>
      </c>
      <c r="C593" s="1" t="n">
        <v>45976</v>
      </c>
      <c r="D593" t="inlineStr">
        <is>
          <t>ÖSTERGÖTLANDS LÄN</t>
        </is>
      </c>
      <c r="E593" t="inlineStr">
        <is>
          <t>LINKÖPING</t>
        </is>
      </c>
      <c r="G593" t="n">
        <v>2.4</v>
      </c>
      <c r="H593" t="n">
        <v>0</v>
      </c>
      <c r="I593" t="n">
        <v>0</v>
      </c>
      <c r="J593" t="n">
        <v>0</v>
      </c>
      <c r="K593" t="n">
        <v>0</v>
      </c>
      <c r="L593" t="n">
        <v>0</v>
      </c>
      <c r="M593" t="n">
        <v>0</v>
      </c>
      <c r="N593" t="n">
        <v>0</v>
      </c>
      <c r="O593" t="n">
        <v>0</v>
      </c>
      <c r="P593" t="n">
        <v>0</v>
      </c>
      <c r="Q593" t="n">
        <v>0</v>
      </c>
      <c r="R593" s="2" t="inlineStr"/>
    </row>
    <row r="594" ht="15" customHeight="1">
      <c r="A594" t="inlineStr">
        <is>
          <t>A 13687-2025</t>
        </is>
      </c>
      <c r="B594" s="1" t="n">
        <v>45737.31425925926</v>
      </c>
      <c r="C594" s="1" t="n">
        <v>45976</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13695-2025</t>
        </is>
      </c>
      <c r="B595" s="1" t="n">
        <v>45737.32219907407</v>
      </c>
      <c r="C595" s="1" t="n">
        <v>45976</v>
      </c>
      <c r="D595" t="inlineStr">
        <is>
          <t>ÖSTERGÖTLANDS LÄN</t>
        </is>
      </c>
      <c r="E595" t="inlineStr">
        <is>
          <t>LINKÖPING</t>
        </is>
      </c>
      <c r="G595" t="n">
        <v>5.3</v>
      </c>
      <c r="H595" t="n">
        <v>0</v>
      </c>
      <c r="I595" t="n">
        <v>0</v>
      </c>
      <c r="J595" t="n">
        <v>0</v>
      </c>
      <c r="K595" t="n">
        <v>0</v>
      </c>
      <c r="L595" t="n">
        <v>0</v>
      </c>
      <c r="M595" t="n">
        <v>0</v>
      </c>
      <c r="N595" t="n">
        <v>0</v>
      </c>
      <c r="O595" t="n">
        <v>0</v>
      </c>
      <c r="P595" t="n">
        <v>0</v>
      </c>
      <c r="Q595" t="n">
        <v>0</v>
      </c>
      <c r="R595" s="2" t="inlineStr"/>
    </row>
    <row r="596" ht="15" customHeight="1">
      <c r="A596" t="inlineStr">
        <is>
          <t>A 20294-2025</t>
        </is>
      </c>
      <c r="B596" s="1" t="n">
        <v>45774.74667824074</v>
      </c>
      <c r="C596" s="1" t="n">
        <v>45976</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26002-2025</t>
        </is>
      </c>
      <c r="B597" s="1" t="n">
        <v>45804.66534722222</v>
      </c>
      <c r="C597" s="1" t="n">
        <v>45976</v>
      </c>
      <c r="D597" t="inlineStr">
        <is>
          <t>ÖSTERGÖTLANDS LÄN</t>
        </is>
      </c>
      <c r="E597" t="inlineStr">
        <is>
          <t>LINKÖPING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17128-2025</t>
        </is>
      </c>
      <c r="B598" s="1" t="n">
        <v>45755.72622685185</v>
      </c>
      <c r="C598" s="1" t="n">
        <v>45976</v>
      </c>
      <c r="D598" t="inlineStr">
        <is>
          <t>ÖSTERGÖTLANDS LÄN</t>
        </is>
      </c>
      <c r="E598" t="inlineStr">
        <is>
          <t>LINKÖPING</t>
        </is>
      </c>
      <c r="G598" t="n">
        <v>2.9</v>
      </c>
      <c r="H598" t="n">
        <v>0</v>
      </c>
      <c r="I598" t="n">
        <v>0</v>
      </c>
      <c r="J598" t="n">
        <v>0</v>
      </c>
      <c r="K598" t="n">
        <v>0</v>
      </c>
      <c r="L598" t="n">
        <v>0</v>
      </c>
      <c r="M598" t="n">
        <v>0</v>
      </c>
      <c r="N598" t="n">
        <v>0</v>
      </c>
      <c r="O598" t="n">
        <v>0</v>
      </c>
      <c r="P598" t="n">
        <v>0</v>
      </c>
      <c r="Q598" t="n">
        <v>0</v>
      </c>
      <c r="R598" s="2" t="inlineStr"/>
    </row>
    <row r="599" ht="15" customHeight="1">
      <c r="A599" t="inlineStr">
        <is>
          <t>A 52125-2022</t>
        </is>
      </c>
      <c r="B599" s="1" t="n">
        <v>44873</v>
      </c>
      <c r="C599" s="1" t="n">
        <v>45976</v>
      </c>
      <c r="D599" t="inlineStr">
        <is>
          <t>ÖSTERGÖTLANDS LÄN</t>
        </is>
      </c>
      <c r="E599" t="inlineStr">
        <is>
          <t>LINKÖPING</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25996-2025</t>
        </is>
      </c>
      <c r="B600" s="1" t="n">
        <v>45804.65851851852</v>
      </c>
      <c r="C600" s="1" t="n">
        <v>45976</v>
      </c>
      <c r="D600" t="inlineStr">
        <is>
          <t>ÖSTERGÖTLANDS LÄN</t>
        </is>
      </c>
      <c r="E600" t="inlineStr">
        <is>
          <t>LINKÖPING</t>
        </is>
      </c>
      <c r="G600" t="n">
        <v>3.2</v>
      </c>
      <c r="H600" t="n">
        <v>0</v>
      </c>
      <c r="I600" t="n">
        <v>0</v>
      </c>
      <c r="J600" t="n">
        <v>0</v>
      </c>
      <c r="K600" t="n">
        <v>0</v>
      </c>
      <c r="L600" t="n">
        <v>0</v>
      </c>
      <c r="M600" t="n">
        <v>0</v>
      </c>
      <c r="N600" t="n">
        <v>0</v>
      </c>
      <c r="O600" t="n">
        <v>0</v>
      </c>
      <c r="P600" t="n">
        <v>0</v>
      </c>
      <c r="Q600" t="n">
        <v>0</v>
      </c>
      <c r="R600" s="2" t="inlineStr"/>
    </row>
    <row r="601" ht="15" customHeight="1">
      <c r="A601" t="inlineStr">
        <is>
          <t>A 55102-2025</t>
        </is>
      </c>
      <c r="B601" s="1" t="n">
        <v>45968.35410879629</v>
      </c>
      <c r="C601" s="1" t="n">
        <v>45976</v>
      </c>
      <c r="D601" t="inlineStr">
        <is>
          <t>ÖSTERGÖTLANDS LÄN</t>
        </is>
      </c>
      <c r="E601" t="inlineStr">
        <is>
          <t>LINKÖPING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55109-2025</t>
        </is>
      </c>
      <c r="B602" s="1" t="n">
        <v>45968.37731481482</v>
      </c>
      <c r="C602" s="1" t="n">
        <v>45976</v>
      </c>
      <c r="D602" t="inlineStr">
        <is>
          <t>ÖSTERGÖTLANDS LÄN</t>
        </is>
      </c>
      <c r="E602" t="inlineStr">
        <is>
          <t>LINKÖPING</t>
        </is>
      </c>
      <c r="G602" t="n">
        <v>3.2</v>
      </c>
      <c r="H602" t="n">
        <v>0</v>
      </c>
      <c r="I602" t="n">
        <v>0</v>
      </c>
      <c r="J602" t="n">
        <v>0</v>
      </c>
      <c r="K602" t="n">
        <v>0</v>
      </c>
      <c r="L602" t="n">
        <v>0</v>
      </c>
      <c r="M602" t="n">
        <v>0</v>
      </c>
      <c r="N602" t="n">
        <v>0</v>
      </c>
      <c r="O602" t="n">
        <v>0</v>
      </c>
      <c r="P602" t="n">
        <v>0</v>
      </c>
      <c r="Q602" t="n">
        <v>0</v>
      </c>
      <c r="R602" s="2" t="inlineStr"/>
    </row>
    <row r="603" ht="15" customHeight="1">
      <c r="A603" t="inlineStr">
        <is>
          <t>A 27343-2023</t>
        </is>
      </c>
      <c r="B603" s="1" t="n">
        <v>45096</v>
      </c>
      <c r="C603" s="1" t="n">
        <v>45976</v>
      </c>
      <c r="D603" t="inlineStr">
        <is>
          <t>ÖSTERGÖTLANDS LÄN</t>
        </is>
      </c>
      <c r="E603" t="inlineStr">
        <is>
          <t>LINKÖPING</t>
        </is>
      </c>
      <c r="F603" t="inlineStr">
        <is>
          <t>Allmännings- och besparingsskogar</t>
        </is>
      </c>
      <c r="G603" t="n">
        <v>6.9</v>
      </c>
      <c r="H603" t="n">
        <v>0</v>
      </c>
      <c r="I603" t="n">
        <v>0</v>
      </c>
      <c r="J603" t="n">
        <v>0</v>
      </c>
      <c r="K603" t="n">
        <v>0</v>
      </c>
      <c r="L603" t="n">
        <v>0</v>
      </c>
      <c r="M603" t="n">
        <v>0</v>
      </c>
      <c r="N603" t="n">
        <v>0</v>
      </c>
      <c r="O603" t="n">
        <v>0</v>
      </c>
      <c r="P603" t="n">
        <v>0</v>
      </c>
      <c r="Q603" t="n">
        <v>0</v>
      </c>
      <c r="R603" s="2" t="inlineStr"/>
    </row>
    <row r="604" ht="15" customHeight="1">
      <c r="A604" t="inlineStr">
        <is>
          <t>A 55165-2025</t>
        </is>
      </c>
      <c r="B604" s="1" t="n">
        <v>45968.48194444444</v>
      </c>
      <c r="C604" s="1" t="n">
        <v>45976</v>
      </c>
      <c r="D604" t="inlineStr">
        <is>
          <t>ÖSTERGÖTLANDS LÄN</t>
        </is>
      </c>
      <c r="E604" t="inlineStr">
        <is>
          <t>LINKÖPING</t>
        </is>
      </c>
      <c r="G604" t="n">
        <v>2.4</v>
      </c>
      <c r="H604" t="n">
        <v>0</v>
      </c>
      <c r="I604" t="n">
        <v>0</v>
      </c>
      <c r="J604" t="n">
        <v>0</v>
      </c>
      <c r="K604" t="n">
        <v>0</v>
      </c>
      <c r="L604" t="n">
        <v>0</v>
      </c>
      <c r="M604" t="n">
        <v>0</v>
      </c>
      <c r="N604" t="n">
        <v>0</v>
      </c>
      <c r="O604" t="n">
        <v>0</v>
      </c>
      <c r="P604" t="n">
        <v>0</v>
      </c>
      <c r="Q604" t="n">
        <v>0</v>
      </c>
      <c r="R604" s="2" t="inlineStr"/>
    </row>
    <row r="605" ht="15" customHeight="1">
      <c r="A605" t="inlineStr">
        <is>
          <t>A 46847-2025</t>
        </is>
      </c>
      <c r="B605" s="1" t="n">
        <v>45928.69971064815</v>
      </c>
      <c r="C605" s="1" t="n">
        <v>45976</v>
      </c>
      <c r="D605" t="inlineStr">
        <is>
          <t>ÖSTERGÖTLANDS LÄN</t>
        </is>
      </c>
      <c r="E605" t="inlineStr">
        <is>
          <t>LINKÖPING</t>
        </is>
      </c>
      <c r="G605" t="n">
        <v>4.6</v>
      </c>
      <c r="H605" t="n">
        <v>0</v>
      </c>
      <c r="I605" t="n">
        <v>0</v>
      </c>
      <c r="J605" t="n">
        <v>0</v>
      </c>
      <c r="K605" t="n">
        <v>0</v>
      </c>
      <c r="L605" t="n">
        <v>0</v>
      </c>
      <c r="M605" t="n">
        <v>0</v>
      </c>
      <c r="N605" t="n">
        <v>0</v>
      </c>
      <c r="O605" t="n">
        <v>0</v>
      </c>
      <c r="P605" t="n">
        <v>0</v>
      </c>
      <c r="Q605" t="n">
        <v>0</v>
      </c>
      <c r="R605" s="2" t="inlineStr"/>
    </row>
    <row r="606" ht="15" customHeight="1">
      <c r="A606" t="inlineStr">
        <is>
          <t>A 22842-2023</t>
        </is>
      </c>
      <c r="B606" s="1" t="n">
        <v>45071</v>
      </c>
      <c r="C606" s="1" t="n">
        <v>45976</v>
      </c>
      <c r="D606" t="inlineStr">
        <is>
          <t>ÖSTERGÖTLANDS LÄN</t>
        </is>
      </c>
      <c r="E606" t="inlineStr">
        <is>
          <t>LINKÖPING</t>
        </is>
      </c>
      <c r="F606" t="inlineStr">
        <is>
          <t>Kommuner</t>
        </is>
      </c>
      <c r="G606" t="n">
        <v>1.3</v>
      </c>
      <c r="H606" t="n">
        <v>0</v>
      </c>
      <c r="I606" t="n">
        <v>0</v>
      </c>
      <c r="J606" t="n">
        <v>0</v>
      </c>
      <c r="K606" t="n">
        <v>0</v>
      </c>
      <c r="L606" t="n">
        <v>0</v>
      </c>
      <c r="M606" t="n">
        <v>0</v>
      </c>
      <c r="N606" t="n">
        <v>0</v>
      </c>
      <c r="O606" t="n">
        <v>0</v>
      </c>
      <c r="P606" t="n">
        <v>0</v>
      </c>
      <c r="Q606" t="n">
        <v>0</v>
      </c>
      <c r="R606" s="2" t="inlineStr"/>
    </row>
    <row r="607" ht="15" customHeight="1">
      <c r="A607" t="inlineStr">
        <is>
          <t>A 56113-2025</t>
        </is>
      </c>
      <c r="B607" s="1" t="n">
        <v>45973.73924768518</v>
      </c>
      <c r="C607" s="1" t="n">
        <v>45976</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14520-2025</t>
        </is>
      </c>
      <c r="B608" s="1" t="n">
        <v>45741</v>
      </c>
      <c r="C608" s="1" t="n">
        <v>45976</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31548-2022</t>
        </is>
      </c>
      <c r="B609" s="1" t="n">
        <v>44775.39832175926</v>
      </c>
      <c r="C609" s="1" t="n">
        <v>45976</v>
      </c>
      <c r="D609" t="inlineStr">
        <is>
          <t>ÖSTERGÖTLANDS LÄN</t>
        </is>
      </c>
      <c r="E609" t="inlineStr">
        <is>
          <t>LINKÖPING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47233-2025</t>
        </is>
      </c>
      <c r="B610" s="1" t="n">
        <v>45930.40612268518</v>
      </c>
      <c r="C610" s="1" t="n">
        <v>45976</v>
      </c>
      <c r="D610" t="inlineStr">
        <is>
          <t>ÖSTERGÖTLANDS LÄN</t>
        </is>
      </c>
      <c r="E610" t="inlineStr">
        <is>
          <t>LINKÖPING</t>
        </is>
      </c>
      <c r="G610" t="n">
        <v>4.3</v>
      </c>
      <c r="H610" t="n">
        <v>0</v>
      </c>
      <c r="I610" t="n">
        <v>0</v>
      </c>
      <c r="J610" t="n">
        <v>0</v>
      </c>
      <c r="K610" t="n">
        <v>0</v>
      </c>
      <c r="L610" t="n">
        <v>0</v>
      </c>
      <c r="M610" t="n">
        <v>0</v>
      </c>
      <c r="N610" t="n">
        <v>0</v>
      </c>
      <c r="O610" t="n">
        <v>0</v>
      </c>
      <c r="P610" t="n">
        <v>0</v>
      </c>
      <c r="Q610" t="n">
        <v>0</v>
      </c>
      <c r="R610" s="2" t="inlineStr"/>
    </row>
    <row r="611" ht="15" customHeight="1">
      <c r="A611" t="inlineStr">
        <is>
          <t>A 62017-2024</t>
        </is>
      </c>
      <c r="B611" s="1" t="n">
        <v>45655.81140046296</v>
      </c>
      <c r="C611" s="1" t="n">
        <v>45976</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47606-2025</t>
        </is>
      </c>
      <c r="B612" s="1" t="n">
        <v>45931.46402777778</v>
      </c>
      <c r="C612" s="1" t="n">
        <v>45976</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17785-2023</t>
        </is>
      </c>
      <c r="B613" s="1" t="n">
        <v>45037.55094907407</v>
      </c>
      <c r="C613" s="1" t="n">
        <v>45976</v>
      </c>
      <c r="D613" t="inlineStr">
        <is>
          <t>ÖSTERGÖTLANDS LÄN</t>
        </is>
      </c>
      <c r="E613" t="inlineStr">
        <is>
          <t>LINKÖPING</t>
        </is>
      </c>
      <c r="F613" t="inlineStr">
        <is>
          <t>Allmännings- och besparingsskogar</t>
        </is>
      </c>
      <c r="G613" t="n">
        <v>3.1</v>
      </c>
      <c r="H613" t="n">
        <v>0</v>
      </c>
      <c r="I613" t="n">
        <v>0</v>
      </c>
      <c r="J613" t="n">
        <v>0</v>
      </c>
      <c r="K613" t="n">
        <v>0</v>
      </c>
      <c r="L613" t="n">
        <v>0</v>
      </c>
      <c r="M613" t="n">
        <v>0</v>
      </c>
      <c r="N613" t="n">
        <v>0</v>
      </c>
      <c r="O613" t="n">
        <v>0</v>
      </c>
      <c r="P613" t="n">
        <v>0</v>
      </c>
      <c r="Q613" t="n">
        <v>0</v>
      </c>
      <c r="R613" s="2" t="inlineStr"/>
    </row>
    <row r="614" ht="15" customHeight="1">
      <c r="A614" t="inlineStr">
        <is>
          <t>A 55683-2025</t>
        </is>
      </c>
      <c r="B614" s="1" t="n">
        <v>45972.4255324074</v>
      </c>
      <c r="C614" s="1" t="n">
        <v>45976</v>
      </c>
      <c r="D614" t="inlineStr">
        <is>
          <t>ÖSTERGÖTLANDS LÄN</t>
        </is>
      </c>
      <c r="E614" t="inlineStr">
        <is>
          <t>LINKÖPING</t>
        </is>
      </c>
      <c r="G614" t="n">
        <v>3.3</v>
      </c>
      <c r="H614" t="n">
        <v>0</v>
      </c>
      <c r="I614" t="n">
        <v>0</v>
      </c>
      <c r="J614" t="n">
        <v>0</v>
      </c>
      <c r="K614" t="n">
        <v>0</v>
      </c>
      <c r="L614" t="n">
        <v>0</v>
      </c>
      <c r="M614" t="n">
        <v>0</v>
      </c>
      <c r="N614" t="n">
        <v>0</v>
      </c>
      <c r="O614" t="n">
        <v>0</v>
      </c>
      <c r="P614" t="n">
        <v>0</v>
      </c>
      <c r="Q614" t="n">
        <v>0</v>
      </c>
      <c r="R614" s="2" t="inlineStr"/>
    </row>
    <row r="615" ht="15" customHeight="1">
      <c r="A615" t="inlineStr">
        <is>
          <t>A 47304-2025</t>
        </is>
      </c>
      <c r="B615" s="1" t="n">
        <v>45930.52037037037</v>
      </c>
      <c r="C615" s="1" t="n">
        <v>45976</v>
      </c>
      <c r="D615" t="inlineStr">
        <is>
          <t>ÖSTERGÖTLANDS LÄN</t>
        </is>
      </c>
      <c r="E615" t="inlineStr">
        <is>
          <t>LINKÖPING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56105-2025</t>
        </is>
      </c>
      <c r="B616" s="1" t="n">
        <v>45973.72855324074</v>
      </c>
      <c r="C616" s="1" t="n">
        <v>45976</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62686-2023</t>
        </is>
      </c>
      <c r="B617" s="1" t="n">
        <v>45271</v>
      </c>
      <c r="C617" s="1" t="n">
        <v>45976</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42044-2023</t>
        </is>
      </c>
      <c r="B618" s="1" t="n">
        <v>45177</v>
      </c>
      <c r="C618" s="1" t="n">
        <v>45976</v>
      </c>
      <c r="D618" t="inlineStr">
        <is>
          <t>ÖSTERGÖTLANDS LÄN</t>
        </is>
      </c>
      <c r="E618" t="inlineStr">
        <is>
          <t>LINKÖPING</t>
        </is>
      </c>
      <c r="G618" t="n">
        <v>3.9</v>
      </c>
      <c r="H618" t="n">
        <v>0</v>
      </c>
      <c r="I618" t="n">
        <v>0</v>
      </c>
      <c r="J618" t="n">
        <v>0</v>
      </c>
      <c r="K618" t="n">
        <v>0</v>
      </c>
      <c r="L618" t="n">
        <v>0</v>
      </c>
      <c r="M618" t="n">
        <v>0</v>
      </c>
      <c r="N618" t="n">
        <v>0</v>
      </c>
      <c r="O618" t="n">
        <v>0</v>
      </c>
      <c r="P618" t="n">
        <v>0</v>
      </c>
      <c r="Q618" t="n">
        <v>0</v>
      </c>
      <c r="R618" s="2" t="inlineStr"/>
    </row>
    <row r="619" ht="15" customHeight="1">
      <c r="A619" t="inlineStr">
        <is>
          <t>A 5314-2021</t>
        </is>
      </c>
      <c r="B619" s="1" t="n">
        <v>44229</v>
      </c>
      <c r="C619" s="1" t="n">
        <v>45976</v>
      </c>
      <c r="D619" t="inlineStr">
        <is>
          <t>ÖSTERGÖTLANDS LÄN</t>
        </is>
      </c>
      <c r="E619" t="inlineStr">
        <is>
          <t>LINKÖPING</t>
        </is>
      </c>
      <c r="G619" t="n">
        <v>6.2</v>
      </c>
      <c r="H619" t="n">
        <v>0</v>
      </c>
      <c r="I619" t="n">
        <v>0</v>
      </c>
      <c r="J619" t="n">
        <v>0</v>
      </c>
      <c r="K619" t="n">
        <v>0</v>
      </c>
      <c r="L619" t="n">
        <v>0</v>
      </c>
      <c r="M619" t="n">
        <v>0</v>
      </c>
      <c r="N619" t="n">
        <v>0</v>
      </c>
      <c r="O619" t="n">
        <v>0</v>
      </c>
      <c r="P619" t="n">
        <v>0</v>
      </c>
      <c r="Q619" t="n">
        <v>0</v>
      </c>
      <c r="R619" s="2" t="inlineStr"/>
    </row>
    <row r="620" ht="15" customHeight="1">
      <c r="A620" t="inlineStr">
        <is>
          <t>A 49656-2021</t>
        </is>
      </c>
      <c r="B620" s="1" t="n">
        <v>44454</v>
      </c>
      <c r="C620" s="1" t="n">
        <v>45976</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27950-2025</t>
        </is>
      </c>
      <c r="B621" s="1" t="n">
        <v>45817.52960648148</v>
      </c>
      <c r="C621" s="1" t="n">
        <v>45976</v>
      </c>
      <c r="D621" t="inlineStr">
        <is>
          <t>ÖSTERGÖTLANDS LÄN</t>
        </is>
      </c>
      <c r="E621" t="inlineStr">
        <is>
          <t>LINKÖPING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27797-2025</t>
        </is>
      </c>
      <c r="B622" s="1" t="n">
        <v>45816.80521990741</v>
      </c>
      <c r="C622" s="1" t="n">
        <v>45976</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27798-2025</t>
        </is>
      </c>
      <c r="B623" s="1" t="n">
        <v>45816.81532407407</v>
      </c>
      <c r="C623" s="1" t="n">
        <v>45976</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52740-2025</t>
        </is>
      </c>
      <c r="B624" s="1" t="n">
        <v>45957.37747685185</v>
      </c>
      <c r="C624" s="1" t="n">
        <v>45976</v>
      </c>
      <c r="D624" t="inlineStr">
        <is>
          <t>ÖSTERGÖTLANDS LÄN</t>
        </is>
      </c>
      <c r="E624" t="inlineStr">
        <is>
          <t>LINKÖPING</t>
        </is>
      </c>
      <c r="G624" t="n">
        <v>3.7</v>
      </c>
      <c r="H624" t="n">
        <v>0</v>
      </c>
      <c r="I624" t="n">
        <v>0</v>
      </c>
      <c r="J624" t="n">
        <v>0</v>
      </c>
      <c r="K624" t="n">
        <v>0</v>
      </c>
      <c r="L624" t="n">
        <v>0</v>
      </c>
      <c r="M624" t="n">
        <v>0</v>
      </c>
      <c r="N624" t="n">
        <v>0</v>
      </c>
      <c r="O624" t="n">
        <v>0</v>
      </c>
      <c r="P624" t="n">
        <v>0</v>
      </c>
      <c r="Q624" t="n">
        <v>0</v>
      </c>
      <c r="R624" s="2" t="inlineStr"/>
    </row>
    <row r="625" ht="15" customHeight="1">
      <c r="A625" t="inlineStr">
        <is>
          <t>A 38230-2023</t>
        </is>
      </c>
      <c r="B625" s="1" t="n">
        <v>45161.55373842592</v>
      </c>
      <c r="C625" s="1" t="n">
        <v>45976</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45442-2024</t>
        </is>
      </c>
      <c r="B626" s="1" t="n">
        <v>45576.64189814815</v>
      </c>
      <c r="C626" s="1" t="n">
        <v>45976</v>
      </c>
      <c r="D626" t="inlineStr">
        <is>
          <t>ÖSTERGÖTLANDS LÄN</t>
        </is>
      </c>
      <c r="E626" t="inlineStr">
        <is>
          <t>LINKÖPING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28200-2025</t>
        </is>
      </c>
      <c r="B627" s="1" t="n">
        <v>45818.4428125</v>
      </c>
      <c r="C627" s="1" t="n">
        <v>45976</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4908-2023</t>
        </is>
      </c>
      <c r="B628" s="1" t="n">
        <v>44958</v>
      </c>
      <c r="C628" s="1" t="n">
        <v>45976</v>
      </c>
      <c r="D628" t="inlineStr">
        <is>
          <t>ÖSTERGÖTLANDS LÄN</t>
        </is>
      </c>
      <c r="E628" t="inlineStr">
        <is>
          <t>LINKÖPING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1265-2023</t>
        </is>
      </c>
      <c r="B629" s="1" t="n">
        <v>44936</v>
      </c>
      <c r="C629" s="1" t="n">
        <v>45976</v>
      </c>
      <c r="D629" t="inlineStr">
        <is>
          <t>ÖSTERGÖTLANDS LÄN</t>
        </is>
      </c>
      <c r="E629" t="inlineStr">
        <is>
          <t>LINKÖPING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28204-2025</t>
        </is>
      </c>
      <c r="B630" s="1" t="n">
        <v>45818.4477662037</v>
      </c>
      <c r="C630" s="1" t="n">
        <v>45976</v>
      </c>
      <c r="D630" t="inlineStr">
        <is>
          <t>ÖSTERGÖTLANDS LÄN</t>
        </is>
      </c>
      <c r="E630" t="inlineStr">
        <is>
          <t>LINKÖPING</t>
        </is>
      </c>
      <c r="G630" t="n">
        <v>2.9</v>
      </c>
      <c r="H630" t="n">
        <v>0</v>
      </c>
      <c r="I630" t="n">
        <v>0</v>
      </c>
      <c r="J630" t="n">
        <v>0</v>
      </c>
      <c r="K630" t="n">
        <v>0</v>
      </c>
      <c r="L630" t="n">
        <v>0</v>
      </c>
      <c r="M630" t="n">
        <v>0</v>
      </c>
      <c r="N630" t="n">
        <v>0</v>
      </c>
      <c r="O630" t="n">
        <v>0</v>
      </c>
      <c r="P630" t="n">
        <v>0</v>
      </c>
      <c r="Q630" t="n">
        <v>0</v>
      </c>
      <c r="R630" s="2" t="inlineStr"/>
    </row>
    <row r="631" ht="15" customHeight="1">
      <c r="A631" t="inlineStr">
        <is>
          <t>A 28416-2025</t>
        </is>
      </c>
      <c r="B631" s="1" t="n">
        <v>45819.35346064815</v>
      </c>
      <c r="C631" s="1" t="n">
        <v>45976</v>
      </c>
      <c r="D631" t="inlineStr">
        <is>
          <t>ÖSTERGÖTLANDS LÄN</t>
        </is>
      </c>
      <c r="E631" t="inlineStr">
        <is>
          <t>LINKÖPING</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56403-2025</t>
        </is>
      </c>
      <c r="B632" s="1" t="n">
        <v>45974.9269212963</v>
      </c>
      <c r="C632" s="1" t="n">
        <v>45976</v>
      </c>
      <c r="D632" t="inlineStr">
        <is>
          <t>ÖSTERGÖTLANDS LÄN</t>
        </is>
      </c>
      <c r="E632" t="inlineStr">
        <is>
          <t>LINKÖPING</t>
        </is>
      </c>
      <c r="G632" t="n">
        <v>3.3</v>
      </c>
      <c r="H632" t="n">
        <v>0</v>
      </c>
      <c r="I632" t="n">
        <v>0</v>
      </c>
      <c r="J632" t="n">
        <v>0</v>
      </c>
      <c r="K632" t="n">
        <v>0</v>
      </c>
      <c r="L632" t="n">
        <v>0</v>
      </c>
      <c r="M632" t="n">
        <v>0</v>
      </c>
      <c r="N632" t="n">
        <v>0</v>
      </c>
      <c r="O632" t="n">
        <v>0</v>
      </c>
      <c r="P632" t="n">
        <v>0</v>
      </c>
      <c r="Q632" t="n">
        <v>0</v>
      </c>
      <c r="R632" s="2" t="inlineStr"/>
    </row>
    <row r="633" ht="15" customHeight="1">
      <c r="A633" t="inlineStr">
        <is>
          <t>A 54332-2025</t>
        </is>
      </c>
      <c r="B633" s="1" t="n">
        <v>45965.34915509259</v>
      </c>
      <c r="C633" s="1" t="n">
        <v>45976</v>
      </c>
      <c r="D633" t="inlineStr">
        <is>
          <t>ÖSTERGÖTLANDS LÄN</t>
        </is>
      </c>
      <c r="E633" t="inlineStr">
        <is>
          <t>LINKÖPING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28398-2025</t>
        </is>
      </c>
      <c r="B634" s="1" t="n">
        <v>45819.34208333334</v>
      </c>
      <c r="C634" s="1" t="n">
        <v>45976</v>
      </c>
      <c r="D634" t="inlineStr">
        <is>
          <t>ÖSTERGÖTLANDS LÄN</t>
        </is>
      </c>
      <c r="E634" t="inlineStr">
        <is>
          <t>LINKÖPING</t>
        </is>
      </c>
      <c r="F634" t="inlineStr">
        <is>
          <t>Sveaskog</t>
        </is>
      </c>
      <c r="G634" t="n">
        <v>7.9</v>
      </c>
      <c r="H634" t="n">
        <v>0</v>
      </c>
      <c r="I634" t="n">
        <v>0</v>
      </c>
      <c r="J634" t="n">
        <v>0</v>
      </c>
      <c r="K634" t="n">
        <v>0</v>
      </c>
      <c r="L634" t="n">
        <v>0</v>
      </c>
      <c r="M634" t="n">
        <v>0</v>
      </c>
      <c r="N634" t="n">
        <v>0</v>
      </c>
      <c r="O634" t="n">
        <v>0</v>
      </c>
      <c r="P634" t="n">
        <v>0</v>
      </c>
      <c r="Q634" t="n">
        <v>0</v>
      </c>
      <c r="R634" s="2" t="inlineStr"/>
    </row>
    <row r="635" ht="15" customHeight="1">
      <c r="A635" t="inlineStr">
        <is>
          <t>A 28209-2025</t>
        </is>
      </c>
      <c r="B635" s="1" t="n">
        <v>45818.45112268518</v>
      </c>
      <c r="C635" s="1" t="n">
        <v>45976</v>
      </c>
      <c r="D635" t="inlineStr">
        <is>
          <t>ÖSTERGÖTLANDS LÄN</t>
        </is>
      </c>
      <c r="E635" t="inlineStr">
        <is>
          <t>LINKÖPING</t>
        </is>
      </c>
      <c r="G635" t="n">
        <v>4.2</v>
      </c>
      <c r="H635" t="n">
        <v>0</v>
      </c>
      <c r="I635" t="n">
        <v>0</v>
      </c>
      <c r="J635" t="n">
        <v>0</v>
      </c>
      <c r="K635" t="n">
        <v>0</v>
      </c>
      <c r="L635" t="n">
        <v>0</v>
      </c>
      <c r="M635" t="n">
        <v>0</v>
      </c>
      <c r="N635" t="n">
        <v>0</v>
      </c>
      <c r="O635" t="n">
        <v>0</v>
      </c>
      <c r="P635" t="n">
        <v>0</v>
      </c>
      <c r="Q635" t="n">
        <v>0</v>
      </c>
      <c r="R635" s="2" t="inlineStr"/>
    </row>
    <row r="636" ht="15" customHeight="1">
      <c r="A636" t="inlineStr">
        <is>
          <t>A 12411-2022</t>
        </is>
      </c>
      <c r="B636" s="1" t="n">
        <v>44638.21601851852</v>
      </c>
      <c r="C636" s="1" t="n">
        <v>45976</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48343-2025</t>
        </is>
      </c>
      <c r="B637" s="1" t="n">
        <v>45932</v>
      </c>
      <c r="C637" s="1" t="n">
        <v>45976</v>
      </c>
      <c r="D637" t="inlineStr">
        <is>
          <t>ÖSTERGÖTLANDS LÄN</t>
        </is>
      </c>
      <c r="E637" t="inlineStr">
        <is>
          <t>LINKÖPING</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48266-2025</t>
        </is>
      </c>
      <c r="B638" s="1" t="n">
        <v>45932</v>
      </c>
      <c r="C638" s="1" t="n">
        <v>45976</v>
      </c>
      <c r="D638" t="inlineStr">
        <is>
          <t>ÖSTERGÖTLANDS LÄN</t>
        </is>
      </c>
      <c r="E638" t="inlineStr">
        <is>
          <t>LINKÖPING</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29027-2025</t>
        </is>
      </c>
      <c r="B639" s="1" t="n">
        <v>45821.4375462963</v>
      </c>
      <c r="C639" s="1" t="n">
        <v>45976</v>
      </c>
      <c r="D639" t="inlineStr">
        <is>
          <t>ÖSTERGÖTLANDS LÄN</t>
        </is>
      </c>
      <c r="E639" t="inlineStr">
        <is>
          <t>LINKÖPING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29411-2025</t>
        </is>
      </c>
      <c r="B640" s="1" t="n">
        <v>45824.6219212963</v>
      </c>
      <c r="C640" s="1" t="n">
        <v>45976</v>
      </c>
      <c r="D640" t="inlineStr">
        <is>
          <t>ÖSTERGÖTLANDS LÄN</t>
        </is>
      </c>
      <c r="E640" t="inlineStr">
        <is>
          <t>LINKÖPING</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29393-2025</t>
        </is>
      </c>
      <c r="B641" s="1" t="n">
        <v>45824.6057175926</v>
      </c>
      <c r="C641" s="1" t="n">
        <v>45976</v>
      </c>
      <c r="D641" t="inlineStr">
        <is>
          <t>ÖSTERGÖTLANDS LÄN</t>
        </is>
      </c>
      <c r="E641" t="inlineStr">
        <is>
          <t>LINKÖPING</t>
        </is>
      </c>
      <c r="F641" t="inlineStr">
        <is>
          <t>Sveaskog</t>
        </is>
      </c>
      <c r="G641" t="n">
        <v>24.6</v>
      </c>
      <c r="H641" t="n">
        <v>0</v>
      </c>
      <c r="I641" t="n">
        <v>0</v>
      </c>
      <c r="J641" t="n">
        <v>0</v>
      </c>
      <c r="K641" t="n">
        <v>0</v>
      </c>
      <c r="L641" t="n">
        <v>0</v>
      </c>
      <c r="M641" t="n">
        <v>0</v>
      </c>
      <c r="N641" t="n">
        <v>0</v>
      </c>
      <c r="O641" t="n">
        <v>0</v>
      </c>
      <c r="P641" t="n">
        <v>0</v>
      </c>
      <c r="Q641" t="n">
        <v>0</v>
      </c>
      <c r="R641" s="2" t="inlineStr"/>
    </row>
    <row r="642" ht="15" customHeight="1">
      <c r="A642" t="inlineStr">
        <is>
          <t>A 23491-2024</t>
        </is>
      </c>
      <c r="B642" s="1" t="n">
        <v>45453</v>
      </c>
      <c r="C642" s="1" t="n">
        <v>45976</v>
      </c>
      <c r="D642" t="inlineStr">
        <is>
          <t>ÖSTERGÖTLANDS LÄN</t>
        </is>
      </c>
      <c r="E642" t="inlineStr">
        <is>
          <t>LINKÖPING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70-2024</t>
        </is>
      </c>
      <c r="B643" s="1" t="n">
        <v>45293</v>
      </c>
      <c r="C643" s="1" t="n">
        <v>45976</v>
      </c>
      <c r="D643" t="inlineStr">
        <is>
          <t>ÖSTERGÖTLANDS LÄN</t>
        </is>
      </c>
      <c r="E643" t="inlineStr">
        <is>
          <t>LINKÖPING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6054-2022</t>
        </is>
      </c>
      <c r="B644" s="1" t="n">
        <v>44599.53623842593</v>
      </c>
      <c r="C644" s="1" t="n">
        <v>45976</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31725-2022</t>
        </is>
      </c>
      <c r="B645" s="1" t="n">
        <v>44776.48541666667</v>
      </c>
      <c r="C645" s="1" t="n">
        <v>45976</v>
      </c>
      <c r="D645" t="inlineStr">
        <is>
          <t>ÖSTERGÖTLANDS LÄN</t>
        </is>
      </c>
      <c r="E645" t="inlineStr">
        <is>
          <t>LINKÖPING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54329-2025</t>
        </is>
      </c>
      <c r="B646" s="1" t="n">
        <v>45965.34706018519</v>
      </c>
      <c r="C646" s="1" t="n">
        <v>45976</v>
      </c>
      <c r="D646" t="inlineStr">
        <is>
          <t>ÖSTERGÖTLANDS LÄN</t>
        </is>
      </c>
      <c r="E646" t="inlineStr">
        <is>
          <t>LINKÖPING</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29599-2025</t>
        </is>
      </c>
      <c r="B647" s="1" t="n">
        <v>45825.41101851852</v>
      </c>
      <c r="C647" s="1" t="n">
        <v>45976</v>
      </c>
      <c r="D647" t="inlineStr">
        <is>
          <t>ÖSTERGÖTLANDS LÄN</t>
        </is>
      </c>
      <c r="E647" t="inlineStr">
        <is>
          <t>LINKÖPING</t>
        </is>
      </c>
      <c r="G647" t="n">
        <v>0.9</v>
      </c>
      <c r="H647" t="n">
        <v>0</v>
      </c>
      <c r="I647" t="n">
        <v>0</v>
      </c>
      <c r="J647" t="n">
        <v>0</v>
      </c>
      <c r="K647" t="n">
        <v>0</v>
      </c>
      <c r="L647" t="n">
        <v>0</v>
      </c>
      <c r="M647" t="n">
        <v>0</v>
      </c>
      <c r="N647" t="n">
        <v>0</v>
      </c>
      <c r="O647" t="n">
        <v>0</v>
      </c>
      <c r="P647" t="n">
        <v>0</v>
      </c>
      <c r="Q647" t="n">
        <v>0</v>
      </c>
      <c r="R647" s="2" t="inlineStr"/>
    </row>
    <row r="648" ht="15" customHeight="1">
      <c r="A648" t="inlineStr">
        <is>
          <t>A 30355-2025</t>
        </is>
      </c>
      <c r="B648" s="1" t="n">
        <v>45827</v>
      </c>
      <c r="C648" s="1" t="n">
        <v>45976</v>
      </c>
      <c r="D648" t="inlineStr">
        <is>
          <t>ÖSTERGÖTLANDS LÄN</t>
        </is>
      </c>
      <c r="E648" t="inlineStr">
        <is>
          <t>LINKÖPING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30353-2025</t>
        </is>
      </c>
      <c r="B649" s="1" t="n">
        <v>45827</v>
      </c>
      <c r="C649" s="1" t="n">
        <v>45976</v>
      </c>
      <c r="D649" t="inlineStr">
        <is>
          <t>ÖSTERGÖTLANDS LÄN</t>
        </is>
      </c>
      <c r="E649" t="inlineStr">
        <is>
          <t>LINKÖPING</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48254-2025</t>
        </is>
      </c>
      <c r="B650" s="1" t="n">
        <v>45932</v>
      </c>
      <c r="C650" s="1" t="n">
        <v>45976</v>
      </c>
      <c r="D650" t="inlineStr">
        <is>
          <t>ÖSTERGÖTLANDS LÄN</t>
        </is>
      </c>
      <c r="E650" t="inlineStr">
        <is>
          <t>LINKÖPING</t>
        </is>
      </c>
      <c r="F650" t="inlineStr">
        <is>
          <t>Övriga Aktiebolag</t>
        </is>
      </c>
      <c r="G650" t="n">
        <v>0.8</v>
      </c>
      <c r="H650" t="n">
        <v>0</v>
      </c>
      <c r="I650" t="n">
        <v>0</v>
      </c>
      <c r="J650" t="n">
        <v>0</v>
      </c>
      <c r="K650" t="n">
        <v>0</v>
      </c>
      <c r="L650" t="n">
        <v>0</v>
      </c>
      <c r="M650" t="n">
        <v>0</v>
      </c>
      <c r="N650" t="n">
        <v>0</v>
      </c>
      <c r="O650" t="n">
        <v>0</v>
      </c>
      <c r="P650" t="n">
        <v>0</v>
      </c>
      <c r="Q650" t="n">
        <v>0</v>
      </c>
      <c r="R650" s="2" t="inlineStr"/>
    </row>
    <row r="651" ht="15" customHeight="1">
      <c r="A651" t="inlineStr">
        <is>
          <t>A 57391-2023</t>
        </is>
      </c>
      <c r="B651" s="1" t="n">
        <v>45245</v>
      </c>
      <c r="C651" s="1" t="n">
        <v>45976</v>
      </c>
      <c r="D651" t="inlineStr">
        <is>
          <t>ÖSTERGÖTLANDS LÄN</t>
        </is>
      </c>
      <c r="E651" t="inlineStr">
        <is>
          <t>LINKÖPING</t>
        </is>
      </c>
      <c r="F651" t="inlineStr">
        <is>
          <t>Övriga Aktiebolag</t>
        </is>
      </c>
      <c r="G651" t="n">
        <v>1.7</v>
      </c>
      <c r="H651" t="n">
        <v>0</v>
      </c>
      <c r="I651" t="n">
        <v>0</v>
      </c>
      <c r="J651" t="n">
        <v>0</v>
      </c>
      <c r="K651" t="n">
        <v>0</v>
      </c>
      <c r="L651" t="n">
        <v>0</v>
      </c>
      <c r="M651" t="n">
        <v>0</v>
      </c>
      <c r="N651" t="n">
        <v>0</v>
      </c>
      <c r="O651" t="n">
        <v>0</v>
      </c>
      <c r="P651" t="n">
        <v>0</v>
      </c>
      <c r="Q651" t="n">
        <v>0</v>
      </c>
      <c r="R651" s="2" t="inlineStr"/>
    </row>
    <row r="652" ht="15" customHeight="1">
      <c r="A652" t="inlineStr">
        <is>
          <t>A 7992-2023</t>
        </is>
      </c>
      <c r="B652" s="1" t="n">
        <v>44970</v>
      </c>
      <c r="C652" s="1" t="n">
        <v>45976</v>
      </c>
      <c r="D652" t="inlineStr">
        <is>
          <t>ÖSTERGÖTLANDS LÄN</t>
        </is>
      </c>
      <c r="E652" t="inlineStr">
        <is>
          <t>LINKÖPING</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13689-2025</t>
        </is>
      </c>
      <c r="B653" s="1" t="n">
        <v>45737.31590277778</v>
      </c>
      <c r="C653" s="1" t="n">
        <v>45976</v>
      </c>
      <c r="D653" t="inlineStr">
        <is>
          <t>ÖSTERGÖTLANDS LÄN</t>
        </is>
      </c>
      <c r="E653" t="inlineStr">
        <is>
          <t>LINKÖPING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13696-2025</t>
        </is>
      </c>
      <c r="B654" s="1" t="n">
        <v>45737.32273148148</v>
      </c>
      <c r="C654" s="1" t="n">
        <v>45976</v>
      </c>
      <c r="D654" t="inlineStr">
        <is>
          <t>ÖSTERGÖTLANDS LÄN</t>
        </is>
      </c>
      <c r="E654" t="inlineStr">
        <is>
          <t>LINKÖPING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1924-2024</t>
        </is>
      </c>
      <c r="B655" s="1" t="n">
        <v>45308</v>
      </c>
      <c r="C655" s="1" t="n">
        <v>45976</v>
      </c>
      <c r="D655" t="inlineStr">
        <is>
          <t>ÖSTERGÖTLANDS LÄN</t>
        </is>
      </c>
      <c r="E655" t="inlineStr">
        <is>
          <t>LINKÖPING</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32346-2023</t>
        </is>
      </c>
      <c r="B656" s="1" t="n">
        <v>45120</v>
      </c>
      <c r="C656" s="1" t="n">
        <v>45976</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31581-2025</t>
        </is>
      </c>
      <c r="B657" s="1" t="n">
        <v>45833.6840162037</v>
      </c>
      <c r="C657" s="1" t="n">
        <v>45976</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31585-2025</t>
        </is>
      </c>
      <c r="B658" s="1" t="n">
        <v>45833.68815972222</v>
      </c>
      <c r="C658" s="1" t="n">
        <v>45976</v>
      </c>
      <c r="D658" t="inlineStr">
        <is>
          <t>ÖSTERGÖTLANDS LÄN</t>
        </is>
      </c>
      <c r="E658" t="inlineStr">
        <is>
          <t>LINKÖPING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50508-2024</t>
        </is>
      </c>
      <c r="B659" s="1" t="n">
        <v>45601.53907407408</v>
      </c>
      <c r="C659" s="1" t="n">
        <v>45976</v>
      </c>
      <c r="D659" t="inlineStr">
        <is>
          <t>ÖSTERGÖTLANDS LÄN</t>
        </is>
      </c>
      <c r="E659" t="inlineStr">
        <is>
          <t>LINKÖPING</t>
        </is>
      </c>
      <c r="F659" t="inlineStr">
        <is>
          <t>Övriga Aktiebolag</t>
        </is>
      </c>
      <c r="G659" t="n">
        <v>2</v>
      </c>
      <c r="H659" t="n">
        <v>0</v>
      </c>
      <c r="I659" t="n">
        <v>0</v>
      </c>
      <c r="J659" t="n">
        <v>0</v>
      </c>
      <c r="K659" t="n">
        <v>0</v>
      </c>
      <c r="L659" t="n">
        <v>0</v>
      </c>
      <c r="M659" t="n">
        <v>0</v>
      </c>
      <c r="N659" t="n">
        <v>0</v>
      </c>
      <c r="O659" t="n">
        <v>0</v>
      </c>
      <c r="P659" t="n">
        <v>0</v>
      </c>
      <c r="Q659" t="n">
        <v>0</v>
      </c>
      <c r="R659" s="2" t="inlineStr"/>
    </row>
    <row r="660" ht="15" customHeight="1">
      <c r="A660" t="inlineStr">
        <is>
          <t>A 7808-2022</t>
        </is>
      </c>
      <c r="B660" s="1" t="n">
        <v>44608</v>
      </c>
      <c r="C660" s="1" t="n">
        <v>45976</v>
      </c>
      <c r="D660" t="inlineStr">
        <is>
          <t>ÖSTERGÖTLANDS LÄN</t>
        </is>
      </c>
      <c r="E660" t="inlineStr">
        <is>
          <t>LINKÖPING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27844-2024</t>
        </is>
      </c>
      <c r="B661" s="1" t="n">
        <v>45475.63047453704</v>
      </c>
      <c r="C661" s="1" t="n">
        <v>45976</v>
      </c>
      <c r="D661" t="inlineStr">
        <is>
          <t>ÖSTERGÖTLANDS LÄN</t>
        </is>
      </c>
      <c r="E661" t="inlineStr">
        <is>
          <t>LINKÖPING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40810-2022</t>
        </is>
      </c>
      <c r="B662" s="1" t="n">
        <v>44824</v>
      </c>
      <c r="C662" s="1" t="n">
        <v>45976</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51559-2024</t>
        </is>
      </c>
      <c r="B663" s="1" t="n">
        <v>45604.61431712963</v>
      </c>
      <c r="C663" s="1" t="n">
        <v>45976</v>
      </c>
      <c r="D663" t="inlineStr">
        <is>
          <t>ÖSTERGÖTLANDS LÄN</t>
        </is>
      </c>
      <c r="E663" t="inlineStr">
        <is>
          <t>LINKÖPING</t>
        </is>
      </c>
      <c r="F663" t="inlineStr">
        <is>
          <t>Övriga Aktiebolag</t>
        </is>
      </c>
      <c r="G663" t="n">
        <v>2.4</v>
      </c>
      <c r="H663" t="n">
        <v>0</v>
      </c>
      <c r="I663" t="n">
        <v>0</v>
      </c>
      <c r="J663" t="n">
        <v>0</v>
      </c>
      <c r="K663" t="n">
        <v>0</v>
      </c>
      <c r="L663" t="n">
        <v>0</v>
      </c>
      <c r="M663" t="n">
        <v>0</v>
      </c>
      <c r="N663" t="n">
        <v>0</v>
      </c>
      <c r="O663" t="n">
        <v>0</v>
      </c>
      <c r="P663" t="n">
        <v>0</v>
      </c>
      <c r="Q663" t="n">
        <v>0</v>
      </c>
      <c r="R663" s="2" t="inlineStr"/>
    </row>
    <row r="664" ht="15" customHeight="1">
      <c r="A664" t="inlineStr">
        <is>
          <t>A 32723-2025</t>
        </is>
      </c>
      <c r="B664" s="1" t="n">
        <v>45838</v>
      </c>
      <c r="C664" s="1" t="n">
        <v>45976</v>
      </c>
      <c r="D664" t="inlineStr">
        <is>
          <t>ÖSTERGÖTLANDS LÄN</t>
        </is>
      </c>
      <c r="E664" t="inlineStr">
        <is>
          <t>LINKÖPING</t>
        </is>
      </c>
      <c r="G664" t="n">
        <v>2.1</v>
      </c>
      <c r="H664" t="n">
        <v>0</v>
      </c>
      <c r="I664" t="n">
        <v>0</v>
      </c>
      <c r="J664" t="n">
        <v>0</v>
      </c>
      <c r="K664" t="n">
        <v>0</v>
      </c>
      <c r="L664" t="n">
        <v>0</v>
      </c>
      <c r="M664" t="n">
        <v>0</v>
      </c>
      <c r="N664" t="n">
        <v>0</v>
      </c>
      <c r="O664" t="n">
        <v>0</v>
      </c>
      <c r="P664" t="n">
        <v>0</v>
      </c>
      <c r="Q664" t="n">
        <v>0</v>
      </c>
      <c r="R664" s="2" t="inlineStr"/>
    </row>
    <row r="665" ht="15" customHeight="1">
      <c r="A665" t="inlineStr">
        <is>
          <t>A 49979-2022</t>
        </is>
      </c>
      <c r="B665" s="1" t="n">
        <v>44865</v>
      </c>
      <c r="C665" s="1" t="n">
        <v>45976</v>
      </c>
      <c r="D665" t="inlineStr">
        <is>
          <t>ÖSTERGÖTLANDS LÄN</t>
        </is>
      </c>
      <c r="E665" t="inlineStr">
        <is>
          <t>LINKÖPING</t>
        </is>
      </c>
      <c r="F665" t="inlineStr">
        <is>
          <t>Övriga Aktiebolag</t>
        </is>
      </c>
      <c r="G665" t="n">
        <v>11.4</v>
      </c>
      <c r="H665" t="n">
        <v>0</v>
      </c>
      <c r="I665" t="n">
        <v>0</v>
      </c>
      <c r="J665" t="n">
        <v>0</v>
      </c>
      <c r="K665" t="n">
        <v>0</v>
      </c>
      <c r="L665" t="n">
        <v>0</v>
      </c>
      <c r="M665" t="n">
        <v>0</v>
      </c>
      <c r="N665" t="n">
        <v>0</v>
      </c>
      <c r="O665" t="n">
        <v>0</v>
      </c>
      <c r="P665" t="n">
        <v>0</v>
      </c>
      <c r="Q665" t="n">
        <v>0</v>
      </c>
      <c r="R665" s="2" t="inlineStr"/>
    </row>
    <row r="666" ht="15" customHeight="1">
      <c r="A666" t="inlineStr">
        <is>
          <t>A 39219-2021</t>
        </is>
      </c>
      <c r="B666" s="1" t="n">
        <v>44413</v>
      </c>
      <c r="C666" s="1" t="n">
        <v>45976</v>
      </c>
      <c r="D666" t="inlineStr">
        <is>
          <t>ÖSTERGÖTLANDS LÄN</t>
        </is>
      </c>
      <c r="E666" t="inlineStr">
        <is>
          <t>LINKÖPING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39224-2021</t>
        </is>
      </c>
      <c r="B667" s="1" t="n">
        <v>44413</v>
      </c>
      <c r="C667" s="1" t="n">
        <v>45976</v>
      </c>
      <c r="D667" t="inlineStr">
        <is>
          <t>ÖSTERGÖTLANDS LÄN</t>
        </is>
      </c>
      <c r="E667" t="inlineStr">
        <is>
          <t>LINKÖPING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62495-2023</t>
        </is>
      </c>
      <c r="B668" s="1" t="n">
        <v>45268.59717592593</v>
      </c>
      <c r="C668" s="1" t="n">
        <v>45976</v>
      </c>
      <c r="D668" t="inlineStr">
        <is>
          <t>ÖSTERGÖTLANDS LÄN</t>
        </is>
      </c>
      <c r="E668" t="inlineStr">
        <is>
          <t>LINKÖPING</t>
        </is>
      </c>
      <c r="G668" t="n">
        <v>4.1</v>
      </c>
      <c r="H668" t="n">
        <v>0</v>
      </c>
      <c r="I668" t="n">
        <v>0</v>
      </c>
      <c r="J668" t="n">
        <v>0</v>
      </c>
      <c r="K668" t="n">
        <v>0</v>
      </c>
      <c r="L668" t="n">
        <v>0</v>
      </c>
      <c r="M668" t="n">
        <v>0</v>
      </c>
      <c r="N668" t="n">
        <v>0</v>
      </c>
      <c r="O668" t="n">
        <v>0</v>
      </c>
      <c r="P668" t="n">
        <v>0</v>
      </c>
      <c r="Q668" t="n">
        <v>0</v>
      </c>
      <c r="R668" s="2" t="inlineStr"/>
    </row>
    <row r="669" ht="15" customHeight="1">
      <c r="A669" t="inlineStr">
        <is>
          <t>A 29413-2023</t>
        </is>
      </c>
      <c r="B669" s="1" t="n">
        <v>45106.46465277778</v>
      </c>
      <c r="C669" s="1" t="n">
        <v>45976</v>
      </c>
      <c r="D669" t="inlineStr">
        <is>
          <t>ÖSTERGÖTLANDS LÄN</t>
        </is>
      </c>
      <c r="E669" t="inlineStr">
        <is>
          <t>LINKÖPING</t>
        </is>
      </c>
      <c r="G669" t="n">
        <v>8</v>
      </c>
      <c r="H669" t="n">
        <v>0</v>
      </c>
      <c r="I669" t="n">
        <v>0</v>
      </c>
      <c r="J669" t="n">
        <v>0</v>
      </c>
      <c r="K669" t="n">
        <v>0</v>
      </c>
      <c r="L669" t="n">
        <v>0</v>
      </c>
      <c r="M669" t="n">
        <v>0</v>
      </c>
      <c r="N669" t="n">
        <v>0</v>
      </c>
      <c r="O669" t="n">
        <v>0</v>
      </c>
      <c r="P669" t="n">
        <v>0</v>
      </c>
      <c r="Q669" t="n">
        <v>0</v>
      </c>
      <c r="R669" s="2" t="inlineStr"/>
    </row>
    <row r="670" ht="15" customHeight="1">
      <c r="A670" t="inlineStr">
        <is>
          <t>A 25948-2023</t>
        </is>
      </c>
      <c r="B670" s="1" t="n">
        <v>45090</v>
      </c>
      <c r="C670" s="1" t="n">
        <v>45976</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1627-2023</t>
        </is>
      </c>
      <c r="B671" s="1" t="n">
        <v>44937</v>
      </c>
      <c r="C671" s="1" t="n">
        <v>45976</v>
      </c>
      <c r="D671" t="inlineStr">
        <is>
          <t>ÖSTERGÖTLANDS LÄN</t>
        </is>
      </c>
      <c r="E671" t="inlineStr">
        <is>
          <t>LINKÖPING</t>
        </is>
      </c>
      <c r="G671" t="n">
        <v>10.8</v>
      </c>
      <c r="H671" t="n">
        <v>0</v>
      </c>
      <c r="I671" t="n">
        <v>0</v>
      </c>
      <c r="J671" t="n">
        <v>0</v>
      </c>
      <c r="K671" t="n">
        <v>0</v>
      </c>
      <c r="L671" t="n">
        <v>0</v>
      </c>
      <c r="M671" t="n">
        <v>0</v>
      </c>
      <c r="N671" t="n">
        <v>0</v>
      </c>
      <c r="O671" t="n">
        <v>0</v>
      </c>
      <c r="P671" t="n">
        <v>0</v>
      </c>
      <c r="Q671" t="n">
        <v>0</v>
      </c>
      <c r="R671" s="2" t="inlineStr"/>
    </row>
    <row r="672" ht="15" customHeight="1">
      <c r="A672" t="inlineStr">
        <is>
          <t>A 30481-2023</t>
        </is>
      </c>
      <c r="B672" s="1" t="n">
        <v>45111</v>
      </c>
      <c r="C672" s="1" t="n">
        <v>45976</v>
      </c>
      <c r="D672" t="inlineStr">
        <is>
          <t>ÖSTERGÖTLANDS LÄN</t>
        </is>
      </c>
      <c r="E672" t="inlineStr">
        <is>
          <t>LINKÖPING</t>
        </is>
      </c>
      <c r="F672" t="inlineStr">
        <is>
          <t>Övriga Aktiebolag</t>
        </is>
      </c>
      <c r="G672" t="n">
        <v>2</v>
      </c>
      <c r="H672" t="n">
        <v>0</v>
      </c>
      <c r="I672" t="n">
        <v>0</v>
      </c>
      <c r="J672" t="n">
        <v>0</v>
      </c>
      <c r="K672" t="n">
        <v>0</v>
      </c>
      <c r="L672" t="n">
        <v>0</v>
      </c>
      <c r="M672" t="n">
        <v>0</v>
      </c>
      <c r="N672" t="n">
        <v>0</v>
      </c>
      <c r="O672" t="n">
        <v>0</v>
      </c>
      <c r="P672" t="n">
        <v>0</v>
      </c>
      <c r="Q672" t="n">
        <v>0</v>
      </c>
      <c r="R672" s="2" t="inlineStr"/>
    </row>
    <row r="673" ht="15" customHeight="1">
      <c r="A673" t="inlineStr">
        <is>
          <t>A 21782-2024</t>
        </is>
      </c>
      <c r="B673" s="1" t="n">
        <v>45442.63368055555</v>
      </c>
      <c r="C673" s="1" t="n">
        <v>45976</v>
      </c>
      <c r="D673" t="inlineStr">
        <is>
          <t>ÖSTERGÖTLANDS LÄN</t>
        </is>
      </c>
      <c r="E673" t="inlineStr">
        <is>
          <t>LINKÖPING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11671-2023</t>
        </is>
      </c>
      <c r="B674" s="1" t="n">
        <v>44994.48125</v>
      </c>
      <c r="C674" s="1" t="n">
        <v>45976</v>
      </c>
      <c r="D674" t="inlineStr">
        <is>
          <t>ÖSTERGÖTLANDS LÄN</t>
        </is>
      </c>
      <c r="E674" t="inlineStr">
        <is>
          <t>LINKÖPING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33947-2025</t>
        </is>
      </c>
      <c r="B675" s="1" t="n">
        <v>45842.65444444444</v>
      </c>
      <c r="C675" s="1" t="n">
        <v>45976</v>
      </c>
      <c r="D675" t="inlineStr">
        <is>
          <t>ÖSTERGÖTLANDS LÄN</t>
        </is>
      </c>
      <c r="E675" t="inlineStr">
        <is>
          <t>LINKÖPING</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53529-2024</t>
        </is>
      </c>
      <c r="B676" s="1" t="n">
        <v>45614</v>
      </c>
      <c r="C676" s="1" t="n">
        <v>45976</v>
      </c>
      <c r="D676" t="inlineStr">
        <is>
          <t>ÖSTERGÖTLANDS LÄN</t>
        </is>
      </c>
      <c r="E676" t="inlineStr">
        <is>
          <t>LINKÖPING</t>
        </is>
      </c>
      <c r="G676" t="n">
        <v>6.7</v>
      </c>
      <c r="H676" t="n">
        <v>0</v>
      </c>
      <c r="I676" t="n">
        <v>0</v>
      </c>
      <c r="J676" t="n">
        <v>0</v>
      </c>
      <c r="K676" t="n">
        <v>0</v>
      </c>
      <c r="L676" t="n">
        <v>0</v>
      </c>
      <c r="M676" t="n">
        <v>0</v>
      </c>
      <c r="N676" t="n">
        <v>0</v>
      </c>
      <c r="O676" t="n">
        <v>0</v>
      </c>
      <c r="P676" t="n">
        <v>0</v>
      </c>
      <c r="Q676" t="n">
        <v>0</v>
      </c>
      <c r="R676" s="2" t="inlineStr"/>
    </row>
    <row r="677" ht="15" customHeight="1">
      <c r="A677" t="inlineStr">
        <is>
          <t>A 62012-2024</t>
        </is>
      </c>
      <c r="B677" s="1" t="n">
        <v>45655.79679398148</v>
      </c>
      <c r="C677" s="1" t="n">
        <v>45976</v>
      </c>
      <c r="D677" t="inlineStr">
        <is>
          <t>ÖSTERGÖTLANDS LÄN</t>
        </is>
      </c>
      <c r="E677" t="inlineStr">
        <is>
          <t>LINKÖPING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3013-2023</t>
        </is>
      </c>
      <c r="B678" s="1" t="n">
        <v>44945.8092824074</v>
      </c>
      <c r="C678" s="1" t="n">
        <v>45976</v>
      </c>
      <c r="D678" t="inlineStr">
        <is>
          <t>ÖSTERGÖTLANDS LÄN</t>
        </is>
      </c>
      <c r="E678" t="inlineStr">
        <is>
          <t>LINKÖPING</t>
        </is>
      </c>
      <c r="G678" t="n">
        <v>5.2</v>
      </c>
      <c r="H678" t="n">
        <v>0</v>
      </c>
      <c r="I678" t="n">
        <v>0</v>
      </c>
      <c r="J678" t="n">
        <v>0</v>
      </c>
      <c r="K678" t="n">
        <v>0</v>
      </c>
      <c r="L678" t="n">
        <v>0</v>
      </c>
      <c r="M678" t="n">
        <v>0</v>
      </c>
      <c r="N678" t="n">
        <v>0</v>
      </c>
      <c r="O678" t="n">
        <v>0</v>
      </c>
      <c r="P678" t="n">
        <v>0</v>
      </c>
      <c r="Q678" t="n">
        <v>0</v>
      </c>
      <c r="R678" s="2" t="inlineStr"/>
    </row>
    <row r="679" ht="15" customHeight="1">
      <c r="A679" t="inlineStr">
        <is>
          <t>A 49747-2024</t>
        </is>
      </c>
      <c r="B679" s="1" t="n">
        <v>45596</v>
      </c>
      <c r="C679" s="1" t="n">
        <v>45976</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42997-2021</t>
        </is>
      </c>
      <c r="B680" s="1" t="n">
        <v>44431.45556712963</v>
      </c>
      <c r="C680" s="1" t="n">
        <v>45976</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20469-2025</t>
        </is>
      </c>
      <c r="B681" s="1" t="n">
        <v>45775</v>
      </c>
      <c r="C681" s="1" t="n">
        <v>45976</v>
      </c>
      <c r="D681" t="inlineStr">
        <is>
          <t>ÖSTERGÖTLANDS LÄN</t>
        </is>
      </c>
      <c r="E681" t="inlineStr">
        <is>
          <t>LINKÖPING</t>
        </is>
      </c>
      <c r="F681" t="inlineStr">
        <is>
          <t>Kyrkan</t>
        </is>
      </c>
      <c r="G681" t="n">
        <v>6.1</v>
      </c>
      <c r="H681" t="n">
        <v>0</v>
      </c>
      <c r="I681" t="n">
        <v>0</v>
      </c>
      <c r="J681" t="n">
        <v>0</v>
      </c>
      <c r="K681" t="n">
        <v>0</v>
      </c>
      <c r="L681" t="n">
        <v>0</v>
      </c>
      <c r="M681" t="n">
        <v>0</v>
      </c>
      <c r="N681" t="n">
        <v>0</v>
      </c>
      <c r="O681" t="n">
        <v>0</v>
      </c>
      <c r="P681" t="n">
        <v>0</v>
      </c>
      <c r="Q681" t="n">
        <v>0</v>
      </c>
      <c r="R681" s="2" t="inlineStr"/>
    </row>
    <row r="682" ht="15" customHeight="1">
      <c r="A682" t="inlineStr">
        <is>
          <t>A 3011-2023</t>
        </is>
      </c>
      <c r="B682" s="1" t="n">
        <v>44945</v>
      </c>
      <c r="C682" s="1" t="n">
        <v>45976</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23735-2023</t>
        </is>
      </c>
      <c r="B683" s="1" t="n">
        <v>45077</v>
      </c>
      <c r="C683" s="1" t="n">
        <v>45976</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45821-2024</t>
        </is>
      </c>
      <c r="B684" s="1" t="n">
        <v>45579.75803240741</v>
      </c>
      <c r="C684" s="1" t="n">
        <v>45976</v>
      </c>
      <c r="D684" t="inlineStr">
        <is>
          <t>ÖSTERGÖTLANDS LÄN</t>
        </is>
      </c>
      <c r="E684" t="inlineStr">
        <is>
          <t>LINKÖPING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33800-2023</t>
        </is>
      </c>
      <c r="B685" s="1" t="n">
        <v>45121</v>
      </c>
      <c r="C685" s="1" t="n">
        <v>45976</v>
      </c>
      <c r="D685" t="inlineStr">
        <is>
          <t>ÖSTERGÖTLANDS LÄN</t>
        </is>
      </c>
      <c r="E685" t="inlineStr">
        <is>
          <t>LINKÖPING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26007-2025</t>
        </is>
      </c>
      <c r="B686" s="1" t="n">
        <v>45804.67081018518</v>
      </c>
      <c r="C686" s="1" t="n">
        <v>45976</v>
      </c>
      <c r="D686" t="inlineStr">
        <is>
          <t>ÖSTERGÖTLANDS LÄN</t>
        </is>
      </c>
      <c r="E686" t="inlineStr">
        <is>
          <t>LINKÖPING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35174-2025</t>
        </is>
      </c>
      <c r="B687" s="1" t="n">
        <v>45852.90648148148</v>
      </c>
      <c r="C687" s="1" t="n">
        <v>45976</v>
      </c>
      <c r="D687" t="inlineStr">
        <is>
          <t>ÖSTERGÖTLANDS LÄN</t>
        </is>
      </c>
      <c r="E687" t="inlineStr">
        <is>
          <t>LINKÖPING</t>
        </is>
      </c>
      <c r="G687" t="n">
        <v>1.3</v>
      </c>
      <c r="H687" t="n">
        <v>0</v>
      </c>
      <c r="I687" t="n">
        <v>0</v>
      </c>
      <c r="J687" t="n">
        <v>0</v>
      </c>
      <c r="K687" t="n">
        <v>0</v>
      </c>
      <c r="L687" t="n">
        <v>0</v>
      </c>
      <c r="M687" t="n">
        <v>0</v>
      </c>
      <c r="N687" t="n">
        <v>0</v>
      </c>
      <c r="O687" t="n">
        <v>0</v>
      </c>
      <c r="P687" t="n">
        <v>0</v>
      </c>
      <c r="Q687" t="n">
        <v>0</v>
      </c>
      <c r="R687" s="2" t="inlineStr"/>
    </row>
    <row r="688" ht="15" customHeight="1">
      <c r="A688" t="inlineStr">
        <is>
          <t>A 47991-2023</t>
        </is>
      </c>
      <c r="B688" s="1" t="n">
        <v>45204.62655092592</v>
      </c>
      <c r="C688" s="1" t="n">
        <v>45976</v>
      </c>
      <c r="D688" t="inlineStr">
        <is>
          <t>ÖSTERGÖTLANDS LÄN</t>
        </is>
      </c>
      <c r="E688" t="inlineStr">
        <is>
          <t>LINKÖPING</t>
        </is>
      </c>
      <c r="F688" t="inlineStr">
        <is>
          <t>Allmännings- och besparingsskogar</t>
        </is>
      </c>
      <c r="G688" t="n">
        <v>7.3</v>
      </c>
      <c r="H688" t="n">
        <v>0</v>
      </c>
      <c r="I688" t="n">
        <v>0</v>
      </c>
      <c r="J688" t="n">
        <v>0</v>
      </c>
      <c r="K688" t="n">
        <v>0</v>
      </c>
      <c r="L688" t="n">
        <v>0</v>
      </c>
      <c r="M688" t="n">
        <v>0</v>
      </c>
      <c r="N688" t="n">
        <v>0</v>
      </c>
      <c r="O688" t="n">
        <v>0</v>
      </c>
      <c r="P688" t="n">
        <v>0</v>
      </c>
      <c r="Q688" t="n">
        <v>0</v>
      </c>
      <c r="R688" s="2" t="inlineStr"/>
    </row>
    <row r="689" ht="15" customHeight="1">
      <c r="A689" t="inlineStr">
        <is>
          <t>A 35179-2025</t>
        </is>
      </c>
      <c r="B689" s="1" t="n">
        <v>45852.93737268518</v>
      </c>
      <c r="C689" s="1" t="n">
        <v>45976</v>
      </c>
      <c r="D689" t="inlineStr">
        <is>
          <t>ÖSTERGÖTLANDS LÄN</t>
        </is>
      </c>
      <c r="E689" t="inlineStr">
        <is>
          <t>LINKÖPING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35180-2025</t>
        </is>
      </c>
      <c r="B690" s="1" t="n">
        <v>45852.9413425926</v>
      </c>
      <c r="C690" s="1" t="n">
        <v>45976</v>
      </c>
      <c r="D690" t="inlineStr">
        <is>
          <t>ÖSTERGÖTLANDS LÄN</t>
        </is>
      </c>
      <c r="E690" t="inlineStr">
        <is>
          <t>LINKÖPING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53647-2021</t>
        </is>
      </c>
      <c r="B691" s="1" t="n">
        <v>44469</v>
      </c>
      <c r="C691" s="1" t="n">
        <v>45976</v>
      </c>
      <c r="D691" t="inlineStr">
        <is>
          <t>ÖSTERGÖTLANDS LÄN</t>
        </is>
      </c>
      <c r="E691" t="inlineStr">
        <is>
          <t>LINKÖPING</t>
        </is>
      </c>
      <c r="G691" t="n">
        <v>2.3</v>
      </c>
      <c r="H691" t="n">
        <v>0</v>
      </c>
      <c r="I691" t="n">
        <v>0</v>
      </c>
      <c r="J691" t="n">
        <v>0</v>
      </c>
      <c r="K691" t="n">
        <v>0</v>
      </c>
      <c r="L691" t="n">
        <v>0</v>
      </c>
      <c r="M691" t="n">
        <v>0</v>
      </c>
      <c r="N691" t="n">
        <v>0</v>
      </c>
      <c r="O691" t="n">
        <v>0</v>
      </c>
      <c r="P691" t="n">
        <v>0</v>
      </c>
      <c r="Q691" t="n">
        <v>0</v>
      </c>
      <c r="R691" s="2" t="inlineStr"/>
    </row>
    <row r="692" ht="15" customHeight="1">
      <c r="A692" t="inlineStr">
        <is>
          <t>A 35178-2025</t>
        </is>
      </c>
      <c r="B692" s="1" t="n">
        <v>45852.91939814815</v>
      </c>
      <c r="C692" s="1" t="n">
        <v>45976</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6599-2023</t>
        </is>
      </c>
      <c r="B693" s="1" t="n">
        <v>44966.52603009259</v>
      </c>
      <c r="C693" s="1" t="n">
        <v>45976</v>
      </c>
      <c r="D693" t="inlineStr">
        <is>
          <t>ÖSTERGÖTLANDS LÄN</t>
        </is>
      </c>
      <c r="E693" t="inlineStr">
        <is>
          <t>LINKÖPING</t>
        </is>
      </c>
      <c r="G693" t="n">
        <v>1.9</v>
      </c>
      <c r="H693" t="n">
        <v>0</v>
      </c>
      <c r="I693" t="n">
        <v>0</v>
      </c>
      <c r="J693" t="n">
        <v>0</v>
      </c>
      <c r="K693" t="n">
        <v>0</v>
      </c>
      <c r="L693" t="n">
        <v>0</v>
      </c>
      <c r="M693" t="n">
        <v>0</v>
      </c>
      <c r="N693" t="n">
        <v>0</v>
      </c>
      <c r="O693" t="n">
        <v>0</v>
      </c>
      <c r="P693" t="n">
        <v>0</v>
      </c>
      <c r="Q693" t="n">
        <v>0</v>
      </c>
      <c r="R693" s="2" t="inlineStr"/>
    </row>
    <row r="694" ht="15" customHeight="1">
      <c r="A694" t="inlineStr">
        <is>
          <t>A 35757-2025</t>
        </is>
      </c>
      <c r="B694" s="1" t="n">
        <v>45860.59876157407</v>
      </c>
      <c r="C694" s="1" t="n">
        <v>45976</v>
      </c>
      <c r="D694" t="inlineStr">
        <is>
          <t>ÖSTERGÖTLANDS LÄN</t>
        </is>
      </c>
      <c r="E694" t="inlineStr">
        <is>
          <t>LINKÖPING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35745-2025</t>
        </is>
      </c>
      <c r="B695" s="1" t="n">
        <v>45860.54739583333</v>
      </c>
      <c r="C695" s="1" t="n">
        <v>45976</v>
      </c>
      <c r="D695" t="inlineStr">
        <is>
          <t>ÖSTERGÖTLANDS LÄN</t>
        </is>
      </c>
      <c r="E695" t="inlineStr">
        <is>
          <t>LINKÖPING</t>
        </is>
      </c>
      <c r="G695" t="n">
        <v>4.4</v>
      </c>
      <c r="H695" t="n">
        <v>0</v>
      </c>
      <c r="I695" t="n">
        <v>0</v>
      </c>
      <c r="J695" t="n">
        <v>0</v>
      </c>
      <c r="K695" t="n">
        <v>0</v>
      </c>
      <c r="L695" t="n">
        <v>0</v>
      </c>
      <c r="M695" t="n">
        <v>0</v>
      </c>
      <c r="N695" t="n">
        <v>0</v>
      </c>
      <c r="O695" t="n">
        <v>0</v>
      </c>
      <c r="P695" t="n">
        <v>0</v>
      </c>
      <c r="Q695" t="n">
        <v>0</v>
      </c>
      <c r="R695" s="2" t="inlineStr"/>
    </row>
    <row r="696" ht="15" customHeight="1">
      <c r="A696" t="inlineStr">
        <is>
          <t>A 35747-2025</t>
        </is>
      </c>
      <c r="B696" s="1" t="n">
        <v>45860.56385416666</v>
      </c>
      <c r="C696" s="1" t="n">
        <v>45976</v>
      </c>
      <c r="D696" t="inlineStr">
        <is>
          <t>ÖSTERGÖTLANDS LÄN</t>
        </is>
      </c>
      <c r="E696" t="inlineStr">
        <is>
          <t>LINKÖPING</t>
        </is>
      </c>
      <c r="G696" t="n">
        <v>2.4</v>
      </c>
      <c r="H696" t="n">
        <v>0</v>
      </c>
      <c r="I696" t="n">
        <v>0</v>
      </c>
      <c r="J696" t="n">
        <v>0</v>
      </c>
      <c r="K696" t="n">
        <v>0</v>
      </c>
      <c r="L696" t="n">
        <v>0</v>
      </c>
      <c r="M696" t="n">
        <v>0</v>
      </c>
      <c r="N696" t="n">
        <v>0</v>
      </c>
      <c r="O696" t="n">
        <v>0</v>
      </c>
      <c r="P696" t="n">
        <v>0</v>
      </c>
      <c r="Q696" t="n">
        <v>0</v>
      </c>
      <c r="R696" s="2" t="inlineStr"/>
    </row>
    <row r="697" ht="15" customHeight="1">
      <c r="A697" t="inlineStr">
        <is>
          <t>A 35735-2023</t>
        </is>
      </c>
      <c r="B697" s="1" t="n">
        <v>45147</v>
      </c>
      <c r="C697" s="1" t="n">
        <v>45976</v>
      </c>
      <c r="D697" t="inlineStr">
        <is>
          <t>ÖSTERGÖTLANDS LÄN</t>
        </is>
      </c>
      <c r="E697" t="inlineStr">
        <is>
          <t>LINKÖPING</t>
        </is>
      </c>
      <c r="G697" t="n">
        <v>2.8</v>
      </c>
      <c r="H697" t="n">
        <v>0</v>
      </c>
      <c r="I697" t="n">
        <v>0</v>
      </c>
      <c r="J697" t="n">
        <v>0</v>
      </c>
      <c r="K697" t="n">
        <v>0</v>
      </c>
      <c r="L697" t="n">
        <v>0</v>
      </c>
      <c r="M697" t="n">
        <v>0</v>
      </c>
      <c r="N697" t="n">
        <v>0</v>
      </c>
      <c r="O697" t="n">
        <v>0</v>
      </c>
      <c r="P697" t="n">
        <v>0</v>
      </c>
      <c r="Q697" t="n">
        <v>0</v>
      </c>
      <c r="R697" s="2" t="inlineStr"/>
    </row>
    <row r="698" ht="15" customHeight="1">
      <c r="A698" t="inlineStr">
        <is>
          <t>A 35759-2025</t>
        </is>
      </c>
      <c r="B698" s="1" t="n">
        <v>45860</v>
      </c>
      <c r="C698" s="1" t="n">
        <v>45976</v>
      </c>
      <c r="D698" t="inlineStr">
        <is>
          <t>ÖSTERGÖTLANDS LÄN</t>
        </is>
      </c>
      <c r="E698" t="inlineStr">
        <is>
          <t>LINKÖPING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45831-2024</t>
        </is>
      </c>
      <c r="B699" s="1" t="n">
        <v>45579.90508101852</v>
      </c>
      <c r="C699" s="1" t="n">
        <v>45976</v>
      </c>
      <c r="D699" t="inlineStr">
        <is>
          <t>ÖSTERGÖTLANDS LÄN</t>
        </is>
      </c>
      <c r="E699" t="inlineStr">
        <is>
          <t>LINKÖPING</t>
        </is>
      </c>
      <c r="G699" t="n">
        <v>1.9</v>
      </c>
      <c r="H699" t="n">
        <v>0</v>
      </c>
      <c r="I699" t="n">
        <v>0</v>
      </c>
      <c r="J699" t="n">
        <v>0</v>
      </c>
      <c r="K699" t="n">
        <v>0</v>
      </c>
      <c r="L699" t="n">
        <v>0</v>
      </c>
      <c r="M699" t="n">
        <v>0</v>
      </c>
      <c r="N699" t="n">
        <v>0</v>
      </c>
      <c r="O699" t="n">
        <v>0</v>
      </c>
      <c r="P699" t="n">
        <v>0</v>
      </c>
      <c r="Q699" t="n">
        <v>0</v>
      </c>
      <c r="R699" s="2" t="inlineStr"/>
    </row>
    <row r="700" ht="15" customHeight="1">
      <c r="A700" t="inlineStr">
        <is>
          <t>A 17157-2024</t>
        </is>
      </c>
      <c r="B700" s="1" t="n">
        <v>45412.70567129629</v>
      </c>
      <c r="C700" s="1" t="n">
        <v>45976</v>
      </c>
      <c r="D700" t="inlineStr">
        <is>
          <t>ÖSTERGÖTLANDS LÄN</t>
        </is>
      </c>
      <c r="E700" t="inlineStr">
        <is>
          <t>LINKÖPING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37154-2023</t>
        </is>
      </c>
      <c r="B701" s="1" t="n">
        <v>45155</v>
      </c>
      <c r="C701" s="1" t="n">
        <v>45976</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53812-2023</t>
        </is>
      </c>
      <c r="B702" s="1" t="n">
        <v>45231.39583333334</v>
      </c>
      <c r="C702" s="1" t="n">
        <v>45976</v>
      </c>
      <c r="D702" t="inlineStr">
        <is>
          <t>ÖSTERGÖTLANDS LÄN</t>
        </is>
      </c>
      <c r="E702" t="inlineStr">
        <is>
          <t>LINKÖPING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53830-2023</t>
        </is>
      </c>
      <c r="B703" s="1" t="n">
        <v>45230</v>
      </c>
      <c r="C703" s="1" t="n">
        <v>45976</v>
      </c>
      <c r="D703" t="inlineStr">
        <is>
          <t>ÖSTERGÖTLANDS LÄN</t>
        </is>
      </c>
      <c r="E703" t="inlineStr">
        <is>
          <t>LINKÖPING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56841-2023</t>
        </is>
      </c>
      <c r="B704" s="1" t="n">
        <v>45244</v>
      </c>
      <c r="C704" s="1" t="n">
        <v>45976</v>
      </c>
      <c r="D704" t="inlineStr">
        <is>
          <t>ÖSTERGÖTLANDS LÄN</t>
        </is>
      </c>
      <c r="E704" t="inlineStr">
        <is>
          <t>LINKÖPING</t>
        </is>
      </c>
      <c r="F704" t="inlineStr">
        <is>
          <t>Övriga Aktiebolag</t>
        </is>
      </c>
      <c r="G704" t="n">
        <v>0.5</v>
      </c>
      <c r="H704" t="n">
        <v>0</v>
      </c>
      <c r="I704" t="n">
        <v>0</v>
      </c>
      <c r="J704" t="n">
        <v>0</v>
      </c>
      <c r="K704" t="n">
        <v>0</v>
      </c>
      <c r="L704" t="n">
        <v>0</v>
      </c>
      <c r="M704" t="n">
        <v>0</v>
      </c>
      <c r="N704" t="n">
        <v>0</v>
      </c>
      <c r="O704" t="n">
        <v>0</v>
      </c>
      <c r="P704" t="n">
        <v>0</v>
      </c>
      <c r="Q704" t="n">
        <v>0</v>
      </c>
      <c r="R704" s="2" t="inlineStr"/>
    </row>
    <row r="705" ht="15" customHeight="1">
      <c r="A705" t="inlineStr">
        <is>
          <t>A 56741-2023</t>
        </is>
      </c>
      <c r="B705" s="1" t="n">
        <v>45244</v>
      </c>
      <c r="C705" s="1" t="n">
        <v>45976</v>
      </c>
      <c r="D705" t="inlineStr">
        <is>
          <t>ÖSTERGÖTLANDS LÄN</t>
        </is>
      </c>
      <c r="E705" t="inlineStr">
        <is>
          <t>LINKÖPING</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53816-2023</t>
        </is>
      </c>
      <c r="B706" s="1" t="n">
        <v>45231.40012731482</v>
      </c>
      <c r="C706" s="1" t="n">
        <v>45976</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63935-2021</t>
        </is>
      </c>
      <c r="B707" s="1" t="n">
        <v>44509</v>
      </c>
      <c r="C707" s="1" t="n">
        <v>45976</v>
      </c>
      <c r="D707" t="inlineStr">
        <is>
          <t>ÖSTERGÖTLANDS LÄN</t>
        </is>
      </c>
      <c r="E707" t="inlineStr">
        <is>
          <t>LINKÖPING</t>
        </is>
      </c>
      <c r="F707" t="inlineStr">
        <is>
          <t>Övriga statliga verk och myndigheter</t>
        </is>
      </c>
      <c r="G707" t="n">
        <v>2.8</v>
      </c>
      <c r="H707" t="n">
        <v>0</v>
      </c>
      <c r="I707" t="n">
        <v>0</v>
      </c>
      <c r="J707" t="n">
        <v>0</v>
      </c>
      <c r="K707" t="n">
        <v>0</v>
      </c>
      <c r="L707" t="n">
        <v>0</v>
      </c>
      <c r="M707" t="n">
        <v>0</v>
      </c>
      <c r="N707" t="n">
        <v>0</v>
      </c>
      <c r="O707" t="n">
        <v>0</v>
      </c>
      <c r="P707" t="n">
        <v>0</v>
      </c>
      <c r="Q707" t="n">
        <v>0</v>
      </c>
      <c r="R707" s="2" t="inlineStr"/>
    </row>
    <row r="708" ht="15" customHeight="1">
      <c r="A708" t="inlineStr">
        <is>
          <t>A 6726-2024</t>
        </is>
      </c>
      <c r="B708" s="1" t="n">
        <v>45341</v>
      </c>
      <c r="C708" s="1" t="n">
        <v>45976</v>
      </c>
      <c r="D708" t="inlineStr">
        <is>
          <t>ÖSTERGÖTLANDS LÄN</t>
        </is>
      </c>
      <c r="E708" t="inlineStr">
        <is>
          <t>LINKÖPING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3007-2023</t>
        </is>
      </c>
      <c r="B709" s="1" t="n">
        <v>44945</v>
      </c>
      <c r="C709" s="1" t="n">
        <v>45976</v>
      </c>
      <c r="D709" t="inlineStr">
        <is>
          <t>ÖSTERGÖTLANDS LÄN</t>
        </is>
      </c>
      <c r="E709" t="inlineStr">
        <is>
          <t>LINKÖPING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18145-2021</t>
        </is>
      </c>
      <c r="B710" s="1" t="n">
        <v>44302</v>
      </c>
      <c r="C710" s="1" t="n">
        <v>45976</v>
      </c>
      <c r="D710" t="inlineStr">
        <is>
          <t>ÖSTERGÖTLANDS LÄN</t>
        </is>
      </c>
      <c r="E710" t="inlineStr">
        <is>
          <t>LINKÖPING</t>
        </is>
      </c>
      <c r="G710" t="n">
        <v>2.4</v>
      </c>
      <c r="H710" t="n">
        <v>0</v>
      </c>
      <c r="I710" t="n">
        <v>0</v>
      </c>
      <c r="J710" t="n">
        <v>0</v>
      </c>
      <c r="K710" t="n">
        <v>0</v>
      </c>
      <c r="L710" t="n">
        <v>0</v>
      </c>
      <c r="M710" t="n">
        <v>0</v>
      </c>
      <c r="N710" t="n">
        <v>0</v>
      </c>
      <c r="O710" t="n">
        <v>0</v>
      </c>
      <c r="P710" t="n">
        <v>0</v>
      </c>
      <c r="Q710" t="n">
        <v>0</v>
      </c>
      <c r="R710" s="2" t="inlineStr"/>
    </row>
    <row r="711" ht="15" customHeight="1">
      <c r="A711" t="inlineStr">
        <is>
          <t>A 29309-2024</t>
        </is>
      </c>
      <c r="B711" s="1" t="n">
        <v>45483</v>
      </c>
      <c r="C711" s="1" t="n">
        <v>45976</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53411-2023</t>
        </is>
      </c>
      <c r="B712" s="1" t="n">
        <v>45229.81049768518</v>
      </c>
      <c r="C712" s="1" t="n">
        <v>45976</v>
      </c>
      <c r="D712" t="inlineStr">
        <is>
          <t>ÖSTERGÖTLANDS LÄN</t>
        </is>
      </c>
      <c r="E712" t="inlineStr">
        <is>
          <t>LINKÖPING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26788-2022</t>
        </is>
      </c>
      <c r="B713" s="1" t="n">
        <v>44740</v>
      </c>
      <c r="C713" s="1" t="n">
        <v>45976</v>
      </c>
      <c r="D713" t="inlineStr">
        <is>
          <t>ÖSTERGÖTLANDS LÄN</t>
        </is>
      </c>
      <c r="E713" t="inlineStr">
        <is>
          <t>LINKÖPING</t>
        </is>
      </c>
      <c r="G713" t="n">
        <v>3.2</v>
      </c>
      <c r="H713" t="n">
        <v>0</v>
      </c>
      <c r="I713" t="n">
        <v>0</v>
      </c>
      <c r="J713" t="n">
        <v>0</v>
      </c>
      <c r="K713" t="n">
        <v>0</v>
      </c>
      <c r="L713" t="n">
        <v>0</v>
      </c>
      <c r="M713" t="n">
        <v>0</v>
      </c>
      <c r="N713" t="n">
        <v>0</v>
      </c>
      <c r="O713" t="n">
        <v>0</v>
      </c>
      <c r="P713" t="n">
        <v>0</v>
      </c>
      <c r="Q713" t="n">
        <v>0</v>
      </c>
      <c r="R713" s="2" t="inlineStr"/>
    </row>
    <row r="714" ht="15" customHeight="1">
      <c r="A714" t="inlineStr">
        <is>
          <t>A 24462-2023</t>
        </is>
      </c>
      <c r="B714" s="1" t="n">
        <v>45082</v>
      </c>
      <c r="C714" s="1" t="n">
        <v>45976</v>
      </c>
      <c r="D714" t="inlineStr">
        <is>
          <t>ÖSTERGÖTLANDS LÄN</t>
        </is>
      </c>
      <c r="E714" t="inlineStr">
        <is>
          <t>LINKÖPING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62015-2024</t>
        </is>
      </c>
      <c r="B715" s="1" t="n">
        <v>45655.80457175926</v>
      </c>
      <c r="C715" s="1" t="n">
        <v>45976</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10741-2023</t>
        </is>
      </c>
      <c r="B716" s="1" t="n">
        <v>44988.70084490741</v>
      </c>
      <c r="C716" s="1" t="n">
        <v>45976</v>
      </c>
      <c r="D716" t="inlineStr">
        <is>
          <t>ÖSTERGÖTLANDS LÄN</t>
        </is>
      </c>
      <c r="E716" t="inlineStr">
        <is>
          <t>LINKÖPING</t>
        </is>
      </c>
      <c r="F716" t="inlineStr">
        <is>
          <t>Allmännings- och besparingsskogar</t>
        </is>
      </c>
      <c r="G716" t="n">
        <v>11.2</v>
      </c>
      <c r="H716" t="n">
        <v>0</v>
      </c>
      <c r="I716" t="n">
        <v>0</v>
      </c>
      <c r="J716" t="n">
        <v>0</v>
      </c>
      <c r="K716" t="n">
        <v>0</v>
      </c>
      <c r="L716" t="n">
        <v>0</v>
      </c>
      <c r="M716" t="n">
        <v>0</v>
      </c>
      <c r="N716" t="n">
        <v>0</v>
      </c>
      <c r="O716" t="n">
        <v>0</v>
      </c>
      <c r="P716" t="n">
        <v>0</v>
      </c>
      <c r="Q716" t="n">
        <v>0</v>
      </c>
      <c r="R716" s="2" t="inlineStr"/>
    </row>
    <row r="717" ht="15" customHeight="1">
      <c r="A717" t="inlineStr">
        <is>
          <t>A 43473-2024</t>
        </is>
      </c>
      <c r="B717" s="1" t="n">
        <v>45568</v>
      </c>
      <c r="C717" s="1" t="n">
        <v>45976</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c r="A718" t="inlineStr">
        <is>
          <t>A 43475-2024</t>
        </is>
      </c>
      <c r="B718" s="1" t="n">
        <v>45568</v>
      </c>
      <c r="C718" s="1" t="n">
        <v>45976</v>
      </c>
      <c r="D718" t="inlineStr">
        <is>
          <t>ÖSTERGÖTLANDS LÄN</t>
        </is>
      </c>
      <c r="E718" t="inlineStr">
        <is>
          <t>LINKÖPING</t>
        </is>
      </c>
      <c r="G718" t="n">
        <v>3.2</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2025-11-15T10:09:03Z</dcterms:created>
  <dcterms:modified xmlns:dcterms="http://purl.org/dc/terms/" xmlns:xsi="http://www.w3.org/2001/XMLSchema-instance" xsi:type="dcterms:W3CDTF">2025-11-15T10:09:04Z</dcterms:modified>
</cp:coreProperties>
</file>