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45852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45852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45852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45852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45852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45852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45852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45852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45852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45852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45852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45852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45852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45852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45852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45852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45852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45852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45852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45852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45852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45852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45852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45852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57634-2024</t>
        </is>
      </c>
      <c r="B26" s="1" t="n">
        <v>45630</v>
      </c>
      <c r="C26" s="1" t="n">
        <v>45852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Kyrkan</t>
        </is>
      </c>
      <c r="G26" t="n">
        <v>18.1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Vedskivlav
Stor aspticka
Revlummer</t>
        </is>
      </c>
      <c r="S26">
        <f>HYPERLINK("https://klasma.github.io/Logging_0580/artfynd/A 57634-2024 artfynd.xlsx", "A 57634-2024")</f>
        <v/>
      </c>
      <c r="T26">
        <f>HYPERLINK("https://klasma.github.io/Logging_0580/kartor/A 57634-2024 karta.png", "A 57634-2024")</f>
        <v/>
      </c>
      <c r="U26">
        <f>HYPERLINK("https://klasma.github.io/Logging_0580/knärot/A 57634-2024 karta knärot.png", "A 57634-2024")</f>
        <v/>
      </c>
      <c r="V26">
        <f>HYPERLINK("https://klasma.github.io/Logging_0580/klagomål/A 57634-2024 FSC-klagomål.docx", "A 57634-2024")</f>
        <v/>
      </c>
      <c r="W26">
        <f>HYPERLINK("https://klasma.github.io/Logging_0580/klagomålsmail/A 57634-2024 FSC-klagomål mail.docx", "A 57634-2024")</f>
        <v/>
      </c>
      <c r="X26">
        <f>HYPERLINK("https://klasma.github.io/Logging_0580/tillsyn/A 57634-2024 tillsynsbegäran.docx", "A 57634-2024")</f>
        <v/>
      </c>
      <c r="Y26">
        <f>HYPERLINK("https://klasma.github.io/Logging_0580/tillsynsmail/A 57634-2024 tillsynsbegäran mail.docx", "A 57634-2024")</f>
        <v/>
      </c>
    </row>
    <row r="27" ht="15" customHeight="1">
      <c r="A27" t="inlineStr">
        <is>
          <t>A 35697-2019</t>
        </is>
      </c>
      <c r="B27" s="1" t="n">
        <v>43656</v>
      </c>
      <c r="C27" s="1" t="n">
        <v>45852</v>
      </c>
      <c r="D27" t="inlineStr">
        <is>
          <t>ÖSTERGÖTLANDS LÄN</t>
        </is>
      </c>
      <c r="E27" t="inlineStr">
        <is>
          <t>LINKÖPING</t>
        </is>
      </c>
      <c r="G27" t="n">
        <v>1.3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Buskskvätta
Gulsparv
Gullviva</t>
        </is>
      </c>
      <c r="S27">
        <f>HYPERLINK("https://klasma.github.io/Logging_0580/artfynd/A 35697-2019 artfynd.xlsx", "A 35697-2019")</f>
        <v/>
      </c>
      <c r="T27">
        <f>HYPERLINK("https://klasma.github.io/Logging_0580/kartor/A 35697-2019 karta.png", "A 35697-2019")</f>
        <v/>
      </c>
      <c r="V27">
        <f>HYPERLINK("https://klasma.github.io/Logging_0580/klagomål/A 35697-2019 FSC-klagomål.docx", "A 35697-2019")</f>
        <v/>
      </c>
      <c r="W27">
        <f>HYPERLINK("https://klasma.github.io/Logging_0580/klagomålsmail/A 35697-2019 FSC-klagomål mail.docx", "A 35697-2019")</f>
        <v/>
      </c>
      <c r="X27">
        <f>HYPERLINK("https://klasma.github.io/Logging_0580/tillsyn/A 35697-2019 tillsynsbegäran.docx", "A 35697-2019")</f>
        <v/>
      </c>
      <c r="Y27">
        <f>HYPERLINK("https://klasma.github.io/Logging_0580/tillsynsmail/A 35697-2019 tillsynsbegäran mail.docx", "A 35697-2019")</f>
        <v/>
      </c>
      <c r="Z27">
        <f>HYPERLINK("https://klasma.github.io/Logging_0580/fåglar/A 35697-2019 prioriterade fågelarter.docx", "A 35697-2019")</f>
        <v/>
      </c>
    </row>
    <row r="28" ht="15" customHeight="1">
      <c r="A28" t="inlineStr">
        <is>
          <t>A 43487-2019</t>
        </is>
      </c>
      <c r="B28" s="1" t="n">
        <v>43706</v>
      </c>
      <c r="C28" s="1" t="n">
        <v>45852</v>
      </c>
      <c r="D28" t="inlineStr">
        <is>
          <t>ÖSTERGÖTLANDS LÄN</t>
        </is>
      </c>
      <c r="E28" t="inlineStr">
        <is>
          <t>LINKÖPING</t>
        </is>
      </c>
      <c r="G28" t="n">
        <v>5.2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Bronshjon
Skuggblåslav</t>
        </is>
      </c>
      <c r="S28">
        <f>HYPERLINK("https://klasma.github.io/Logging_0580/artfynd/A 43487-2019 artfynd.xlsx", "A 43487-2019")</f>
        <v/>
      </c>
      <c r="T28">
        <f>HYPERLINK("https://klasma.github.io/Logging_0580/kartor/A 43487-2019 karta.png", "A 43487-2019")</f>
        <v/>
      </c>
      <c r="V28">
        <f>HYPERLINK("https://klasma.github.io/Logging_0580/klagomål/A 43487-2019 FSC-klagomål.docx", "A 43487-2019")</f>
        <v/>
      </c>
      <c r="W28">
        <f>HYPERLINK("https://klasma.github.io/Logging_0580/klagomålsmail/A 43487-2019 FSC-klagomål mail.docx", "A 43487-2019")</f>
        <v/>
      </c>
      <c r="X28">
        <f>HYPERLINK("https://klasma.github.io/Logging_0580/tillsyn/A 43487-2019 tillsynsbegäran.docx", "A 43487-2019")</f>
        <v/>
      </c>
      <c r="Y28">
        <f>HYPERLINK("https://klasma.github.io/Logging_0580/tillsynsmail/A 43487-2019 tillsynsbegäran mail.docx", "A 43487-2019")</f>
        <v/>
      </c>
    </row>
    <row r="29" ht="15" customHeight="1">
      <c r="A29" t="inlineStr">
        <is>
          <t>A 44668-2020</t>
        </is>
      </c>
      <c r="B29" s="1" t="n">
        <v>44085</v>
      </c>
      <c r="C29" s="1" t="n">
        <v>45852</v>
      </c>
      <c r="D29" t="inlineStr">
        <is>
          <t>ÖSTERGÖTLANDS LÄN</t>
        </is>
      </c>
      <c r="E29" t="inlineStr">
        <is>
          <t>LINKÖPING</t>
        </is>
      </c>
      <c r="G29" t="n">
        <v>15.2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Skogsalm
Riddarsporre
Sommarfibbla</t>
        </is>
      </c>
      <c r="S29">
        <f>HYPERLINK("https://klasma.github.io/Logging_0580/artfynd/A 44668-2020 artfynd.xlsx", "A 44668-2020")</f>
        <v/>
      </c>
      <c r="T29">
        <f>HYPERLINK("https://klasma.github.io/Logging_0580/kartor/A 44668-2020 karta.png", "A 44668-2020")</f>
        <v/>
      </c>
      <c r="V29">
        <f>HYPERLINK("https://klasma.github.io/Logging_0580/klagomål/A 44668-2020 FSC-klagomål.docx", "A 44668-2020")</f>
        <v/>
      </c>
      <c r="W29">
        <f>HYPERLINK("https://klasma.github.io/Logging_0580/klagomålsmail/A 44668-2020 FSC-klagomål mail.docx", "A 44668-2020")</f>
        <v/>
      </c>
      <c r="X29">
        <f>HYPERLINK("https://klasma.github.io/Logging_0580/tillsyn/A 44668-2020 tillsynsbegäran.docx", "A 44668-2020")</f>
        <v/>
      </c>
      <c r="Y29">
        <f>HYPERLINK("https://klasma.github.io/Logging_0580/tillsynsmail/A 44668-2020 tillsynsbegäran mail.docx", "A 44668-2020")</f>
        <v/>
      </c>
    </row>
    <row r="30" ht="15" customHeight="1">
      <c r="A30" t="inlineStr">
        <is>
          <t>A 17518-2022</t>
        </is>
      </c>
      <c r="B30" s="1" t="n">
        <v>44679</v>
      </c>
      <c r="C30" s="1" t="n">
        <v>45852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3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Smal svampklubba
Blåsippa</t>
        </is>
      </c>
      <c r="S30">
        <f>HYPERLINK("https://klasma.github.io/Logging_0580/artfynd/A 17518-2022 artfynd.xlsx", "A 17518-2022")</f>
        <v/>
      </c>
      <c r="T30">
        <f>HYPERLINK("https://klasma.github.io/Logging_0580/kartor/A 17518-2022 karta.png", "A 17518-2022")</f>
        <v/>
      </c>
      <c r="V30">
        <f>HYPERLINK("https://klasma.github.io/Logging_0580/klagomål/A 17518-2022 FSC-klagomål.docx", "A 17518-2022")</f>
        <v/>
      </c>
      <c r="W30">
        <f>HYPERLINK("https://klasma.github.io/Logging_0580/klagomålsmail/A 17518-2022 FSC-klagomål mail.docx", "A 17518-2022")</f>
        <v/>
      </c>
      <c r="X30">
        <f>HYPERLINK("https://klasma.github.io/Logging_0580/tillsyn/A 17518-2022 tillsynsbegäran.docx", "A 17518-2022")</f>
        <v/>
      </c>
      <c r="Y30">
        <f>HYPERLINK("https://klasma.github.io/Logging_0580/tillsynsmail/A 17518-2022 tillsynsbegäran mail.docx", "A 17518-2022")</f>
        <v/>
      </c>
    </row>
    <row r="31" ht="15" customHeight="1">
      <c r="A31" t="inlineStr">
        <is>
          <t>A 32571-2022</t>
        </is>
      </c>
      <c r="B31" s="1" t="n">
        <v>44783</v>
      </c>
      <c r="C31" s="1" t="n">
        <v>45852</v>
      </c>
      <c r="D31" t="inlineStr">
        <is>
          <t>ÖSTERGÖTLANDS LÄN</t>
        </is>
      </c>
      <c r="E31" t="inlineStr">
        <is>
          <t>LINKÖPING</t>
        </is>
      </c>
      <c r="G31" t="n">
        <v>3.8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Granbarkgnagare
Skogsbräsma
Tibast</t>
        </is>
      </c>
      <c r="S31">
        <f>HYPERLINK("https://klasma.github.io/Logging_0580/artfynd/A 32571-2022 artfynd.xlsx", "A 32571-2022")</f>
        <v/>
      </c>
      <c r="T31">
        <f>HYPERLINK("https://klasma.github.io/Logging_0580/kartor/A 32571-2022 karta.png", "A 32571-2022")</f>
        <v/>
      </c>
      <c r="V31">
        <f>HYPERLINK("https://klasma.github.io/Logging_0580/klagomål/A 32571-2022 FSC-klagomål.docx", "A 32571-2022")</f>
        <v/>
      </c>
      <c r="W31">
        <f>HYPERLINK("https://klasma.github.io/Logging_0580/klagomålsmail/A 32571-2022 FSC-klagomål mail.docx", "A 32571-2022")</f>
        <v/>
      </c>
      <c r="X31">
        <f>HYPERLINK("https://klasma.github.io/Logging_0580/tillsyn/A 32571-2022 tillsynsbegäran.docx", "A 32571-2022")</f>
        <v/>
      </c>
      <c r="Y31">
        <f>HYPERLINK("https://klasma.github.io/Logging_0580/tillsynsmail/A 32571-2022 tillsynsbegäran mail.docx", "A 32571-2022")</f>
        <v/>
      </c>
    </row>
    <row r="32" ht="15" customHeight="1">
      <c r="A32" t="inlineStr">
        <is>
          <t>A 6923-2023</t>
        </is>
      </c>
      <c r="B32" s="1" t="n">
        <v>44964</v>
      </c>
      <c r="C32" s="1" t="n">
        <v>45852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0.9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Grönfink
Grönsångare
Kungsfågel</t>
        </is>
      </c>
      <c r="S32">
        <f>HYPERLINK("https://klasma.github.io/Logging_0580/artfynd/A 6923-2023 artfynd.xlsx", "A 6923-2023")</f>
        <v/>
      </c>
      <c r="T32">
        <f>HYPERLINK("https://klasma.github.io/Logging_0580/kartor/A 6923-2023 karta.png", "A 6923-2023")</f>
        <v/>
      </c>
      <c r="V32">
        <f>HYPERLINK("https://klasma.github.io/Logging_0580/klagomål/A 6923-2023 FSC-klagomål.docx", "A 6923-2023")</f>
        <v/>
      </c>
      <c r="W32">
        <f>HYPERLINK("https://klasma.github.io/Logging_0580/klagomålsmail/A 6923-2023 FSC-klagomål mail.docx", "A 6923-2023")</f>
        <v/>
      </c>
      <c r="X32">
        <f>HYPERLINK("https://klasma.github.io/Logging_0580/tillsyn/A 6923-2023 tillsynsbegäran.docx", "A 6923-2023")</f>
        <v/>
      </c>
      <c r="Y32">
        <f>HYPERLINK("https://klasma.github.io/Logging_0580/tillsynsmail/A 6923-2023 tillsynsbegäran mail.docx", "A 6923-2023")</f>
        <v/>
      </c>
      <c r="Z32">
        <f>HYPERLINK("https://klasma.github.io/Logging_0580/fåglar/A 6923-2023 prioriterade fågelarter.docx", "A 6923-2023")</f>
        <v/>
      </c>
    </row>
    <row r="33" ht="15" customHeight="1">
      <c r="A33" t="inlineStr">
        <is>
          <t>A 55341-2024</t>
        </is>
      </c>
      <c r="B33" s="1" t="n">
        <v>45621</v>
      </c>
      <c r="C33" s="1" t="n">
        <v>45852</v>
      </c>
      <c r="D33" t="inlineStr">
        <is>
          <t>ÖSTERGÖTLANDS LÄN</t>
        </is>
      </c>
      <c r="E33" t="inlineStr">
        <is>
          <t>LINKÖPING</t>
        </is>
      </c>
      <c r="G33" t="n">
        <v>4.3</v>
      </c>
      <c r="H33" t="n">
        <v>0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Rynkskinn
Barkticka
Smal svampklubba</t>
        </is>
      </c>
      <c r="S33">
        <f>HYPERLINK("https://klasma.github.io/Logging_0580/artfynd/A 55341-2024 artfynd.xlsx", "A 55341-2024")</f>
        <v/>
      </c>
      <c r="T33">
        <f>HYPERLINK("https://klasma.github.io/Logging_0580/kartor/A 55341-2024 karta.png", "A 55341-2024")</f>
        <v/>
      </c>
      <c r="V33">
        <f>HYPERLINK("https://klasma.github.io/Logging_0580/klagomål/A 55341-2024 FSC-klagomål.docx", "A 55341-2024")</f>
        <v/>
      </c>
      <c r="W33">
        <f>HYPERLINK("https://klasma.github.io/Logging_0580/klagomålsmail/A 55341-2024 FSC-klagomål mail.docx", "A 55341-2024")</f>
        <v/>
      </c>
      <c r="X33">
        <f>HYPERLINK("https://klasma.github.io/Logging_0580/tillsyn/A 55341-2024 tillsynsbegäran.docx", "A 55341-2024")</f>
        <v/>
      </c>
      <c r="Y33">
        <f>HYPERLINK("https://klasma.github.io/Logging_0580/tillsynsmail/A 55341-2024 tillsynsbegäran mail.docx", "A 55341-2024")</f>
        <v/>
      </c>
    </row>
    <row r="34" ht="15" customHeight="1">
      <c r="A34" t="inlineStr">
        <is>
          <t>A 577-2025</t>
        </is>
      </c>
      <c r="B34" s="1" t="n">
        <v>45664</v>
      </c>
      <c r="C34" s="1" t="n">
        <v>45852</v>
      </c>
      <c r="D34" t="inlineStr">
        <is>
          <t>ÖSTERGÖTLANDS LÄN</t>
        </is>
      </c>
      <c r="E34" t="inlineStr">
        <is>
          <t>LINKÖPING</t>
        </is>
      </c>
      <c r="G34" t="n">
        <v>3.7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Brunlångöra
Dvärgpipistrell
Större brunfladdermus</t>
        </is>
      </c>
      <c r="S34">
        <f>HYPERLINK("https://klasma.github.io/Logging_0580/artfynd/A 577-2025 artfynd.xlsx", "A 577-2025")</f>
        <v/>
      </c>
      <c r="T34">
        <f>HYPERLINK("https://klasma.github.io/Logging_0580/kartor/A 577-2025 karta.png", "A 577-2025")</f>
        <v/>
      </c>
      <c r="V34">
        <f>HYPERLINK("https://klasma.github.io/Logging_0580/klagomål/A 577-2025 FSC-klagomål.docx", "A 577-2025")</f>
        <v/>
      </c>
      <c r="W34">
        <f>HYPERLINK("https://klasma.github.io/Logging_0580/klagomålsmail/A 577-2025 FSC-klagomål mail.docx", "A 577-2025")</f>
        <v/>
      </c>
      <c r="X34">
        <f>HYPERLINK("https://klasma.github.io/Logging_0580/tillsyn/A 577-2025 tillsynsbegäran.docx", "A 577-2025")</f>
        <v/>
      </c>
      <c r="Y34">
        <f>HYPERLINK("https://klasma.github.io/Logging_0580/tillsynsmail/A 577-2025 tillsynsbegäran mail.docx", "A 577-2025")</f>
        <v/>
      </c>
    </row>
    <row r="35" ht="15" customHeight="1">
      <c r="A35" t="inlineStr">
        <is>
          <t>A 9192-2025</t>
        </is>
      </c>
      <c r="B35" s="1" t="n">
        <v>45714</v>
      </c>
      <c r="C35" s="1" t="n">
        <v>45852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Allmännings- och besparingsskogar</t>
        </is>
      </c>
      <c r="G35" t="n">
        <v>17.4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Purpurknipprot
Svart jordtunga
Fläcknycklar</t>
        </is>
      </c>
      <c r="S35">
        <f>HYPERLINK("https://klasma.github.io/Logging_0580/artfynd/A 9192-2025 artfynd.xlsx", "A 9192-2025")</f>
        <v/>
      </c>
      <c r="T35">
        <f>HYPERLINK("https://klasma.github.io/Logging_0580/kartor/A 9192-2025 karta.png", "A 9192-2025")</f>
        <v/>
      </c>
      <c r="V35">
        <f>HYPERLINK("https://klasma.github.io/Logging_0580/klagomål/A 9192-2025 FSC-klagomål.docx", "A 9192-2025")</f>
        <v/>
      </c>
      <c r="W35">
        <f>HYPERLINK("https://klasma.github.io/Logging_0580/klagomålsmail/A 9192-2025 FSC-klagomål mail.docx", "A 9192-2025")</f>
        <v/>
      </c>
      <c r="X35">
        <f>HYPERLINK("https://klasma.github.io/Logging_0580/tillsyn/A 9192-2025 tillsynsbegäran.docx", "A 9192-2025")</f>
        <v/>
      </c>
      <c r="Y35">
        <f>HYPERLINK("https://klasma.github.io/Logging_0580/tillsynsmail/A 9192-2025 tillsynsbegäran mail.docx", "A 9192-2025")</f>
        <v/>
      </c>
    </row>
    <row r="36" ht="15" customHeight="1">
      <c r="A36" t="inlineStr">
        <is>
          <t>A 17275-2025</t>
        </is>
      </c>
      <c r="B36" s="1" t="n">
        <v>45756</v>
      </c>
      <c r="C36" s="1" t="n">
        <v>45852</v>
      </c>
      <c r="D36" t="inlineStr">
        <is>
          <t>ÖSTERGÖTLANDS LÄN</t>
        </is>
      </c>
      <c r="E36" t="inlineStr">
        <is>
          <t>LINKÖPING</t>
        </is>
      </c>
      <c r="G36" t="n">
        <v>2.9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Fällmossa
Platt fjädermossa</t>
        </is>
      </c>
      <c r="S36">
        <f>HYPERLINK("https://klasma.github.io/Logging_050580/artfynd/A 17275-2025 artfynd.xlsx", "A 17275-2025")</f>
        <v/>
      </c>
      <c r="T36">
        <f>HYPERLINK("https://klasma.github.io/Logging_050580/kartor/A 17275-2025 karta.png", "A 17275-2025")</f>
        <v/>
      </c>
      <c r="V36">
        <f>HYPERLINK("https://klasma.github.io/Logging_050580/klagomål/A 17275-2025 FSC-klagomål.docx", "A 17275-2025")</f>
        <v/>
      </c>
      <c r="W36">
        <f>HYPERLINK("https://klasma.github.io/Logging_050580/klagomålsmail/A 17275-2025 FSC-klagomål mail.docx", "A 17275-2025")</f>
        <v/>
      </c>
      <c r="X36">
        <f>HYPERLINK("https://klasma.github.io/Logging_050580/tillsyn/A 17275-2025 tillsynsbegäran.docx", "A 17275-2025")</f>
        <v/>
      </c>
      <c r="Y36">
        <f>HYPERLINK("https://klasma.github.io/Logging_050580/tillsynsmail/A 17275-2025 tillsynsbegäran mail.docx", "A 17275-2025")</f>
        <v/>
      </c>
      <c r="Z36">
        <f>HYPERLINK("https://klasma.github.io/Logging_050580/fåglar/A 17275-2025 prioriterade fågelarter.docx", "A 17275-2025")</f>
        <v/>
      </c>
    </row>
    <row r="37" ht="15" customHeight="1">
      <c r="A37" t="inlineStr">
        <is>
          <t>A 39326-2019</t>
        </is>
      </c>
      <c r="B37" s="1" t="n">
        <v>43690</v>
      </c>
      <c r="C37" s="1" t="n">
        <v>45852</v>
      </c>
      <c r="D37" t="inlineStr">
        <is>
          <t>ÖSTERGÖTLANDS LÄN</t>
        </is>
      </c>
      <c r="E37" t="inlineStr">
        <is>
          <t>LINKÖPING</t>
        </is>
      </c>
      <c r="G37" t="n">
        <v>0.8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Säfferot</t>
        </is>
      </c>
      <c r="S37">
        <f>HYPERLINK("https://klasma.github.io/Logging_0580/artfynd/A 39326-2019 artfynd.xlsx", "A 39326-2019")</f>
        <v/>
      </c>
      <c r="T37">
        <f>HYPERLINK("https://klasma.github.io/Logging_0580/kartor/A 39326-2019 karta.png", "A 39326-2019")</f>
        <v/>
      </c>
      <c r="V37">
        <f>HYPERLINK("https://klasma.github.io/Logging_0580/klagomål/A 39326-2019 FSC-klagomål.docx", "A 39326-2019")</f>
        <v/>
      </c>
      <c r="W37">
        <f>HYPERLINK("https://klasma.github.io/Logging_0580/klagomålsmail/A 39326-2019 FSC-klagomål mail.docx", "A 39326-2019")</f>
        <v/>
      </c>
      <c r="X37">
        <f>HYPERLINK("https://klasma.github.io/Logging_0580/tillsyn/A 39326-2019 tillsynsbegäran.docx", "A 39326-2019")</f>
        <v/>
      </c>
      <c r="Y37">
        <f>HYPERLINK("https://klasma.github.io/Logging_0580/tillsynsmail/A 39326-2019 tillsynsbegäran mail.docx", "A 39326-2019")</f>
        <v/>
      </c>
    </row>
    <row r="38" ht="15" customHeight="1">
      <c r="A38" t="inlineStr">
        <is>
          <t>A 45531-2019</t>
        </is>
      </c>
      <c r="B38" s="1" t="n">
        <v>43714</v>
      </c>
      <c r="C38" s="1" t="n">
        <v>45852</v>
      </c>
      <c r="D38" t="inlineStr">
        <is>
          <t>ÖSTERGÖTLANDS LÄN</t>
        </is>
      </c>
      <c r="E38" t="inlineStr">
        <is>
          <t>LINKÖPING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Grönvit nattviol</t>
        </is>
      </c>
      <c r="S38">
        <f>HYPERLINK("https://klasma.github.io/Logging_0580/artfynd/A 45531-2019 artfynd.xlsx", "A 45531-2019")</f>
        <v/>
      </c>
      <c r="T38">
        <f>HYPERLINK("https://klasma.github.io/Logging_0580/kartor/A 45531-2019 karta.png", "A 45531-2019")</f>
        <v/>
      </c>
      <c r="V38">
        <f>HYPERLINK("https://klasma.github.io/Logging_0580/klagomål/A 45531-2019 FSC-klagomål.docx", "A 45531-2019")</f>
        <v/>
      </c>
      <c r="W38">
        <f>HYPERLINK("https://klasma.github.io/Logging_0580/klagomålsmail/A 45531-2019 FSC-klagomål mail.docx", "A 45531-2019")</f>
        <v/>
      </c>
      <c r="X38">
        <f>HYPERLINK("https://klasma.github.io/Logging_0580/tillsyn/A 45531-2019 tillsynsbegäran.docx", "A 45531-2019")</f>
        <v/>
      </c>
      <c r="Y38">
        <f>HYPERLINK("https://klasma.github.io/Logging_0580/tillsynsmail/A 45531-2019 tillsynsbegäran mail.docx", "A 45531-2019")</f>
        <v/>
      </c>
    </row>
    <row r="39" ht="15" customHeight="1">
      <c r="A39" t="inlineStr">
        <is>
          <t>A 55928-2019</t>
        </is>
      </c>
      <c r="B39" s="1" t="n">
        <v>43761</v>
      </c>
      <c r="C39" s="1" t="n">
        <v>45852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Gulpudrad spiklav</t>
        </is>
      </c>
      <c r="S39">
        <f>HYPERLINK("https://klasma.github.io/Logging_0580/artfynd/A 55928-2019 artfynd.xlsx", "A 55928-2019")</f>
        <v/>
      </c>
      <c r="T39">
        <f>HYPERLINK("https://klasma.github.io/Logging_0580/kartor/A 55928-2019 karta.png", "A 55928-2019")</f>
        <v/>
      </c>
      <c r="V39">
        <f>HYPERLINK("https://klasma.github.io/Logging_0580/klagomål/A 55928-2019 FSC-klagomål.docx", "A 55928-2019")</f>
        <v/>
      </c>
      <c r="W39">
        <f>HYPERLINK("https://klasma.github.io/Logging_0580/klagomålsmail/A 55928-2019 FSC-klagomål mail.docx", "A 55928-2019")</f>
        <v/>
      </c>
      <c r="X39">
        <f>HYPERLINK("https://klasma.github.io/Logging_0580/tillsyn/A 55928-2019 tillsynsbegäran.docx", "A 55928-2019")</f>
        <v/>
      </c>
      <c r="Y39">
        <f>HYPERLINK("https://klasma.github.io/Logging_0580/tillsynsmail/A 55928-2019 tillsynsbegäran mail.docx", "A 55928-2019")</f>
        <v/>
      </c>
    </row>
    <row r="40" ht="15" customHeight="1">
      <c r="A40" t="inlineStr">
        <is>
          <t>A 9820-2020</t>
        </is>
      </c>
      <c r="B40" s="1" t="n">
        <v>43881</v>
      </c>
      <c r="C40" s="1" t="n">
        <v>45852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24.8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Ekticka
Ekoxe</t>
        </is>
      </c>
      <c r="S40">
        <f>HYPERLINK("https://klasma.github.io/Logging_0580/artfynd/A 9820-2020 artfynd.xlsx", "A 9820-2020")</f>
        <v/>
      </c>
      <c r="T40">
        <f>HYPERLINK("https://klasma.github.io/Logging_0580/kartor/A 9820-2020 karta.png", "A 9820-2020")</f>
        <v/>
      </c>
      <c r="V40">
        <f>HYPERLINK("https://klasma.github.io/Logging_0580/klagomål/A 9820-2020 FSC-klagomål.docx", "A 9820-2020")</f>
        <v/>
      </c>
      <c r="W40">
        <f>HYPERLINK("https://klasma.github.io/Logging_0580/klagomålsmail/A 9820-2020 FSC-klagomål mail.docx", "A 9820-2020")</f>
        <v/>
      </c>
      <c r="X40">
        <f>HYPERLINK("https://klasma.github.io/Logging_0580/tillsyn/A 9820-2020 tillsynsbegäran.docx", "A 9820-2020")</f>
        <v/>
      </c>
      <c r="Y40">
        <f>HYPERLINK("https://klasma.github.io/Logging_0580/tillsynsmail/A 9820-2020 tillsynsbegäran mail.docx", "A 9820-2020")</f>
        <v/>
      </c>
    </row>
    <row r="41" ht="15" customHeight="1">
      <c r="A41" t="inlineStr">
        <is>
          <t>A 22939-2020</t>
        </is>
      </c>
      <c r="B41" s="1" t="n">
        <v>43965</v>
      </c>
      <c r="C41" s="1" t="n">
        <v>45852</v>
      </c>
      <c r="D41" t="inlineStr">
        <is>
          <t>ÖSTERGÖTLANDS LÄN</t>
        </is>
      </c>
      <c r="E41" t="inlineStr">
        <is>
          <t>LINKÖPING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Rödlånke
Svartvit flugsnappare</t>
        </is>
      </c>
      <c r="S41">
        <f>HYPERLINK("https://klasma.github.io/Logging_0580/artfynd/A 22939-2020 artfynd.xlsx", "A 22939-2020")</f>
        <v/>
      </c>
      <c r="T41">
        <f>HYPERLINK("https://klasma.github.io/Logging_0580/kartor/A 22939-2020 karta.png", "A 22939-2020")</f>
        <v/>
      </c>
      <c r="V41">
        <f>HYPERLINK("https://klasma.github.io/Logging_0580/klagomål/A 22939-2020 FSC-klagomål.docx", "A 22939-2020")</f>
        <v/>
      </c>
      <c r="W41">
        <f>HYPERLINK("https://klasma.github.io/Logging_0580/klagomålsmail/A 22939-2020 FSC-klagomål mail.docx", "A 22939-2020")</f>
        <v/>
      </c>
      <c r="X41">
        <f>HYPERLINK("https://klasma.github.io/Logging_0580/tillsyn/A 22939-2020 tillsynsbegäran.docx", "A 22939-2020")</f>
        <v/>
      </c>
      <c r="Y41">
        <f>HYPERLINK("https://klasma.github.io/Logging_0580/tillsynsmail/A 22939-2020 tillsynsbegäran mail.docx", "A 22939-2020")</f>
        <v/>
      </c>
      <c r="Z41">
        <f>HYPERLINK("https://klasma.github.io/Logging_0580/fåglar/A 22939-2020 prioriterade fågelarter.docx", "A 22939-2020")</f>
        <v/>
      </c>
    </row>
    <row r="42" ht="15" customHeight="1">
      <c r="A42" t="inlineStr">
        <is>
          <t>A 16760-2021</t>
        </is>
      </c>
      <c r="B42" s="1" t="n">
        <v>44294</v>
      </c>
      <c r="C42" s="1" t="n">
        <v>45852</v>
      </c>
      <c r="D42" t="inlineStr">
        <is>
          <t>ÖSTERGÖTLANDS LÄN</t>
        </is>
      </c>
      <c r="E42" t="inlineStr">
        <is>
          <t>LINKÖPING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Blekticka
Skuggorangelav</t>
        </is>
      </c>
      <c r="S42">
        <f>HYPERLINK("https://klasma.github.io/Logging_0580/artfynd/A 16760-2021 artfynd.xlsx", "A 16760-2021")</f>
        <v/>
      </c>
      <c r="T42">
        <f>HYPERLINK("https://klasma.github.io/Logging_0580/kartor/A 16760-2021 karta.png", "A 16760-2021")</f>
        <v/>
      </c>
      <c r="V42">
        <f>HYPERLINK("https://klasma.github.io/Logging_0580/klagomål/A 16760-2021 FSC-klagomål.docx", "A 16760-2021")</f>
        <v/>
      </c>
      <c r="W42">
        <f>HYPERLINK("https://klasma.github.io/Logging_0580/klagomålsmail/A 16760-2021 FSC-klagomål mail.docx", "A 16760-2021")</f>
        <v/>
      </c>
      <c r="X42">
        <f>HYPERLINK("https://klasma.github.io/Logging_0580/tillsyn/A 16760-2021 tillsynsbegäran.docx", "A 16760-2021")</f>
        <v/>
      </c>
      <c r="Y42">
        <f>HYPERLINK("https://klasma.github.io/Logging_0580/tillsynsmail/A 16760-2021 tillsynsbegäran mail.docx", "A 16760-2021")</f>
        <v/>
      </c>
    </row>
    <row r="43" ht="15" customHeight="1">
      <c r="A43" t="inlineStr">
        <is>
          <t>A 38137-2021</t>
        </is>
      </c>
      <c r="B43" s="1" t="n">
        <v>44405</v>
      </c>
      <c r="C43" s="1" t="n">
        <v>45852</v>
      </c>
      <c r="D43" t="inlineStr">
        <is>
          <t>ÖSTERGÖTLANDS LÄN</t>
        </is>
      </c>
      <c r="E43" t="inlineStr">
        <is>
          <t>LINKÖPING</t>
        </is>
      </c>
      <c r="G43" t="n">
        <v>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Mandelriska</t>
        </is>
      </c>
      <c r="S43">
        <f>HYPERLINK("https://klasma.github.io/Logging_0580/artfynd/A 38137-2021 artfynd.xlsx", "A 38137-2021")</f>
        <v/>
      </c>
      <c r="T43">
        <f>HYPERLINK("https://klasma.github.io/Logging_0580/kartor/A 38137-2021 karta.png", "A 38137-2021")</f>
        <v/>
      </c>
      <c r="V43">
        <f>HYPERLINK("https://klasma.github.io/Logging_0580/klagomål/A 38137-2021 FSC-klagomål.docx", "A 38137-2021")</f>
        <v/>
      </c>
      <c r="W43">
        <f>HYPERLINK("https://klasma.github.io/Logging_0580/klagomålsmail/A 38137-2021 FSC-klagomål mail.docx", "A 38137-2021")</f>
        <v/>
      </c>
      <c r="X43">
        <f>HYPERLINK("https://klasma.github.io/Logging_0580/tillsyn/A 38137-2021 tillsynsbegäran.docx", "A 38137-2021")</f>
        <v/>
      </c>
      <c r="Y43">
        <f>HYPERLINK("https://klasma.github.io/Logging_0580/tillsynsmail/A 38137-2021 tillsynsbegäran mail.docx", "A 38137-2021")</f>
        <v/>
      </c>
    </row>
    <row r="44" ht="15" customHeight="1">
      <c r="A44" t="inlineStr">
        <is>
          <t>A 58068-2021</t>
        </is>
      </c>
      <c r="B44" s="1" t="n">
        <v>44487</v>
      </c>
      <c r="C44" s="1" t="n">
        <v>45852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Rödbrun blekspik
Skuggorangelav</t>
        </is>
      </c>
      <c r="S44">
        <f>HYPERLINK("https://klasma.github.io/Logging_0580/artfynd/A 58068-2021 artfynd.xlsx", "A 58068-2021")</f>
        <v/>
      </c>
      <c r="T44">
        <f>HYPERLINK("https://klasma.github.io/Logging_0580/kartor/A 58068-2021 karta.png", "A 58068-2021")</f>
        <v/>
      </c>
      <c r="V44">
        <f>HYPERLINK("https://klasma.github.io/Logging_0580/klagomål/A 58068-2021 FSC-klagomål.docx", "A 58068-2021")</f>
        <v/>
      </c>
      <c r="W44">
        <f>HYPERLINK("https://klasma.github.io/Logging_0580/klagomålsmail/A 58068-2021 FSC-klagomål mail.docx", "A 58068-2021")</f>
        <v/>
      </c>
      <c r="X44">
        <f>HYPERLINK("https://klasma.github.io/Logging_0580/tillsyn/A 58068-2021 tillsynsbegäran.docx", "A 58068-2021")</f>
        <v/>
      </c>
      <c r="Y44">
        <f>HYPERLINK("https://klasma.github.io/Logging_0580/tillsynsmail/A 58068-2021 tillsynsbegäran mail.docx", "A 58068-2021")</f>
        <v/>
      </c>
    </row>
    <row r="45" ht="15" customHeight="1">
      <c r="A45" t="inlineStr">
        <is>
          <t>A 17520-2022</t>
        </is>
      </c>
      <c r="B45" s="1" t="n">
        <v>44679</v>
      </c>
      <c r="C45" s="1" t="n">
        <v>45852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4.6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Trådticka</t>
        </is>
      </c>
      <c r="S45">
        <f>HYPERLINK("https://klasma.github.io/Logging_0580/artfynd/A 17520-2022 artfynd.xlsx", "A 17520-2022")</f>
        <v/>
      </c>
      <c r="T45">
        <f>HYPERLINK("https://klasma.github.io/Logging_0580/kartor/A 17520-2022 karta.png", "A 17520-2022")</f>
        <v/>
      </c>
      <c r="V45">
        <f>HYPERLINK("https://klasma.github.io/Logging_0580/klagomål/A 17520-2022 FSC-klagomål.docx", "A 17520-2022")</f>
        <v/>
      </c>
      <c r="W45">
        <f>HYPERLINK("https://klasma.github.io/Logging_0580/klagomålsmail/A 17520-2022 FSC-klagomål mail.docx", "A 17520-2022")</f>
        <v/>
      </c>
      <c r="X45">
        <f>HYPERLINK("https://klasma.github.io/Logging_0580/tillsyn/A 17520-2022 tillsynsbegäran.docx", "A 17520-2022")</f>
        <v/>
      </c>
      <c r="Y45">
        <f>HYPERLINK("https://klasma.github.io/Logging_0580/tillsynsmail/A 17520-2022 tillsynsbegäran mail.docx", "A 17520-2022")</f>
        <v/>
      </c>
    </row>
    <row r="46" ht="15" customHeight="1">
      <c r="A46" t="inlineStr">
        <is>
          <t>A 27981-2022</t>
        </is>
      </c>
      <c r="B46" s="1" t="n">
        <v>44745</v>
      </c>
      <c r="C46" s="1" t="n">
        <v>45852</v>
      </c>
      <c r="D46" t="inlineStr">
        <is>
          <t>ÖSTERGÖTLANDS LÄN</t>
        </is>
      </c>
      <c r="E46" t="inlineStr">
        <is>
          <t>LINKÖPING</t>
        </is>
      </c>
      <c r="G46" t="n">
        <v>8.4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Solvända
Svinrot</t>
        </is>
      </c>
      <c r="S46">
        <f>HYPERLINK("https://klasma.github.io/Logging_0580/artfynd/A 27981-2022 artfynd.xlsx", "A 27981-2022")</f>
        <v/>
      </c>
      <c r="T46">
        <f>HYPERLINK("https://klasma.github.io/Logging_0580/kartor/A 27981-2022 karta.png", "A 27981-2022")</f>
        <v/>
      </c>
      <c r="V46">
        <f>HYPERLINK("https://klasma.github.io/Logging_0580/klagomål/A 27981-2022 FSC-klagomål.docx", "A 27981-2022")</f>
        <v/>
      </c>
      <c r="W46">
        <f>HYPERLINK("https://klasma.github.io/Logging_0580/klagomålsmail/A 27981-2022 FSC-klagomål mail.docx", "A 27981-2022")</f>
        <v/>
      </c>
      <c r="X46">
        <f>HYPERLINK("https://klasma.github.io/Logging_0580/tillsyn/A 27981-2022 tillsynsbegäran.docx", "A 27981-2022")</f>
        <v/>
      </c>
      <c r="Y46">
        <f>HYPERLINK("https://klasma.github.io/Logging_0580/tillsynsmail/A 27981-2022 tillsynsbegäran mail.docx", "A 27981-2022")</f>
        <v/>
      </c>
    </row>
    <row r="47" ht="15" customHeight="1">
      <c r="A47" t="inlineStr">
        <is>
          <t>A 8446-2023</t>
        </is>
      </c>
      <c r="B47" s="1" t="n">
        <v>44977</v>
      </c>
      <c r="C47" s="1" t="n">
        <v>45852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Sveaskog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Tibast</t>
        </is>
      </c>
      <c r="S47">
        <f>HYPERLINK("https://klasma.github.io/Logging_0580/artfynd/A 8446-2023 artfynd.xlsx", "A 8446-2023")</f>
        <v/>
      </c>
      <c r="T47">
        <f>HYPERLINK("https://klasma.github.io/Logging_0580/kartor/A 8446-2023 karta.png", "A 8446-2023")</f>
        <v/>
      </c>
      <c r="V47">
        <f>HYPERLINK("https://klasma.github.io/Logging_0580/klagomål/A 8446-2023 FSC-klagomål.docx", "A 8446-2023")</f>
        <v/>
      </c>
      <c r="W47">
        <f>HYPERLINK("https://klasma.github.io/Logging_0580/klagomålsmail/A 8446-2023 FSC-klagomål mail.docx", "A 8446-2023")</f>
        <v/>
      </c>
      <c r="X47">
        <f>HYPERLINK("https://klasma.github.io/Logging_0580/tillsyn/A 8446-2023 tillsynsbegäran.docx", "A 8446-2023")</f>
        <v/>
      </c>
      <c r="Y47">
        <f>HYPERLINK("https://klasma.github.io/Logging_0580/tillsynsmail/A 8446-2023 tillsynsbegäran mail.docx", "A 8446-2023")</f>
        <v/>
      </c>
    </row>
    <row r="48" ht="15" customHeight="1">
      <c r="A48" t="inlineStr">
        <is>
          <t>A 11362-2023</t>
        </is>
      </c>
      <c r="B48" s="1" t="n">
        <v>44993</v>
      </c>
      <c r="C48" s="1" t="n">
        <v>45852</v>
      </c>
      <c r="D48" t="inlineStr">
        <is>
          <t>ÖSTERGÖTLANDS LÄN</t>
        </is>
      </c>
      <c r="E48" t="inlineStr">
        <is>
          <t>LINKÖPING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Gulbrunt nejlikfly
Glimfältmätare</t>
        </is>
      </c>
      <c r="S48">
        <f>HYPERLINK("https://klasma.github.io/Logging_0580/artfynd/A 11362-2023 artfynd.xlsx", "A 11362-2023")</f>
        <v/>
      </c>
      <c r="T48">
        <f>HYPERLINK("https://klasma.github.io/Logging_0580/kartor/A 11362-2023 karta.png", "A 11362-2023")</f>
        <v/>
      </c>
      <c r="V48">
        <f>HYPERLINK("https://klasma.github.io/Logging_0580/klagomål/A 11362-2023 FSC-klagomål.docx", "A 11362-2023")</f>
        <v/>
      </c>
      <c r="W48">
        <f>HYPERLINK("https://klasma.github.io/Logging_0580/klagomålsmail/A 11362-2023 FSC-klagomål mail.docx", "A 11362-2023")</f>
        <v/>
      </c>
      <c r="X48">
        <f>HYPERLINK("https://klasma.github.io/Logging_0580/tillsyn/A 11362-2023 tillsynsbegäran.docx", "A 11362-2023")</f>
        <v/>
      </c>
      <c r="Y48">
        <f>HYPERLINK("https://klasma.github.io/Logging_0580/tillsynsmail/A 11362-2023 tillsynsbegäran mail.docx", "A 11362-2023")</f>
        <v/>
      </c>
    </row>
    <row r="49" ht="15" customHeight="1">
      <c r="A49" t="inlineStr">
        <is>
          <t>A 38913-2023</t>
        </is>
      </c>
      <c r="B49" s="1" t="n">
        <v>45163</v>
      </c>
      <c r="C49" s="1" t="n">
        <v>45852</v>
      </c>
      <c r="D49" t="inlineStr">
        <is>
          <t>ÖSTERGÖTLANDS LÄN</t>
        </is>
      </c>
      <c r="E49" t="inlineStr">
        <is>
          <t>LINKÖPING</t>
        </is>
      </c>
      <c r="G49" t="n">
        <v>2.7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Revlummer</t>
        </is>
      </c>
      <c r="S49">
        <f>HYPERLINK("https://klasma.github.io/Logging_0580/artfynd/A 38913-2023 artfynd.xlsx", "A 38913-2023")</f>
        <v/>
      </c>
      <c r="T49">
        <f>HYPERLINK("https://klasma.github.io/Logging_0580/kartor/A 38913-2023 karta.png", "A 38913-2023")</f>
        <v/>
      </c>
      <c r="V49">
        <f>HYPERLINK("https://klasma.github.io/Logging_0580/klagomål/A 38913-2023 FSC-klagomål.docx", "A 38913-2023")</f>
        <v/>
      </c>
      <c r="W49">
        <f>HYPERLINK("https://klasma.github.io/Logging_0580/klagomålsmail/A 38913-2023 FSC-klagomål mail.docx", "A 38913-2023")</f>
        <v/>
      </c>
      <c r="X49">
        <f>HYPERLINK("https://klasma.github.io/Logging_0580/tillsyn/A 38913-2023 tillsynsbegäran.docx", "A 38913-2023")</f>
        <v/>
      </c>
      <c r="Y49">
        <f>HYPERLINK("https://klasma.github.io/Logging_0580/tillsynsmail/A 38913-2023 tillsynsbegäran mail.docx", "A 38913-2023")</f>
        <v/>
      </c>
    </row>
    <row r="50" ht="15" customHeight="1">
      <c r="A50" t="inlineStr">
        <is>
          <t>A 41751-2023</t>
        </is>
      </c>
      <c r="B50" s="1" t="n">
        <v>45176</v>
      </c>
      <c r="C50" s="1" t="n">
        <v>45852</v>
      </c>
      <c r="D50" t="inlineStr">
        <is>
          <t>ÖSTERGÖTLANDS LÄN</t>
        </is>
      </c>
      <c r="E50" t="inlineStr">
        <is>
          <t>LINKÖPING</t>
        </is>
      </c>
      <c r="G50" t="n">
        <v>1.5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Grönvit nattviol</t>
        </is>
      </c>
      <c r="S50">
        <f>HYPERLINK("https://klasma.github.io/Logging_0580/artfynd/A 41751-2023 artfynd.xlsx", "A 41751-2023")</f>
        <v/>
      </c>
      <c r="T50">
        <f>HYPERLINK("https://klasma.github.io/Logging_0580/kartor/A 41751-2023 karta.png", "A 41751-2023")</f>
        <v/>
      </c>
      <c r="V50">
        <f>HYPERLINK("https://klasma.github.io/Logging_0580/klagomål/A 41751-2023 FSC-klagomål.docx", "A 41751-2023")</f>
        <v/>
      </c>
      <c r="W50">
        <f>HYPERLINK("https://klasma.github.io/Logging_0580/klagomålsmail/A 41751-2023 FSC-klagomål mail.docx", "A 41751-2023")</f>
        <v/>
      </c>
      <c r="X50">
        <f>HYPERLINK("https://klasma.github.io/Logging_0580/tillsyn/A 41751-2023 tillsynsbegäran.docx", "A 41751-2023")</f>
        <v/>
      </c>
      <c r="Y50">
        <f>HYPERLINK("https://klasma.github.io/Logging_0580/tillsynsmail/A 41751-2023 tillsynsbegäran mail.docx", "A 41751-2023")</f>
        <v/>
      </c>
    </row>
    <row r="51" ht="15" customHeight="1">
      <c r="A51" t="inlineStr">
        <is>
          <t>A 42858-2023</t>
        </is>
      </c>
      <c r="B51" s="1" t="n">
        <v>45177</v>
      </c>
      <c r="C51" s="1" t="n">
        <v>45852</v>
      </c>
      <c r="D51" t="inlineStr">
        <is>
          <t>ÖSTERGÖTLANDS LÄN</t>
        </is>
      </c>
      <c r="E51" t="inlineStr">
        <is>
          <t>LINKÖPING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Skogsödla</t>
        </is>
      </c>
      <c r="S51">
        <f>HYPERLINK("https://klasma.github.io/Logging_0580/artfynd/A 42858-2023 artfynd.xlsx", "A 42858-2023")</f>
        <v/>
      </c>
      <c r="T51">
        <f>HYPERLINK("https://klasma.github.io/Logging_0580/kartor/A 42858-2023 karta.png", "A 42858-2023")</f>
        <v/>
      </c>
      <c r="V51">
        <f>HYPERLINK("https://klasma.github.io/Logging_0580/klagomål/A 42858-2023 FSC-klagomål.docx", "A 42858-2023")</f>
        <v/>
      </c>
      <c r="W51">
        <f>HYPERLINK("https://klasma.github.io/Logging_0580/klagomålsmail/A 42858-2023 FSC-klagomål mail.docx", "A 42858-2023")</f>
        <v/>
      </c>
      <c r="X51">
        <f>HYPERLINK("https://klasma.github.io/Logging_0580/tillsyn/A 42858-2023 tillsynsbegäran.docx", "A 42858-2023")</f>
        <v/>
      </c>
      <c r="Y51">
        <f>HYPERLINK("https://klasma.github.io/Logging_0580/tillsynsmail/A 42858-2023 tillsynsbegäran mail.docx", "A 42858-2023")</f>
        <v/>
      </c>
    </row>
    <row r="52" ht="15" customHeight="1">
      <c r="A52" t="inlineStr">
        <is>
          <t>A 50404-2023</t>
        </is>
      </c>
      <c r="B52" s="1" t="n">
        <v>45216</v>
      </c>
      <c r="C52" s="1" t="n">
        <v>45852</v>
      </c>
      <c r="D52" t="inlineStr">
        <is>
          <t>ÖSTERGÖTLANDS LÄN</t>
        </is>
      </c>
      <c r="E52" t="inlineStr">
        <is>
          <t>LINKÖPING</t>
        </is>
      </c>
      <c r="G52" t="n">
        <v>1.2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Hasselticka
Gullviva</t>
        </is>
      </c>
      <c r="S52">
        <f>HYPERLINK("https://klasma.github.io/Logging_0580/artfynd/A 50404-2023 artfynd.xlsx", "A 50404-2023")</f>
        <v/>
      </c>
      <c r="T52">
        <f>HYPERLINK("https://klasma.github.io/Logging_0580/kartor/A 50404-2023 karta.png", "A 50404-2023")</f>
        <v/>
      </c>
      <c r="V52">
        <f>HYPERLINK("https://klasma.github.io/Logging_0580/klagomål/A 50404-2023 FSC-klagomål.docx", "A 50404-2023")</f>
        <v/>
      </c>
      <c r="W52">
        <f>HYPERLINK("https://klasma.github.io/Logging_0580/klagomålsmail/A 50404-2023 FSC-klagomål mail.docx", "A 50404-2023")</f>
        <v/>
      </c>
      <c r="X52">
        <f>HYPERLINK("https://klasma.github.io/Logging_0580/tillsyn/A 50404-2023 tillsynsbegäran.docx", "A 50404-2023")</f>
        <v/>
      </c>
      <c r="Y52">
        <f>HYPERLINK("https://klasma.github.io/Logging_0580/tillsynsmail/A 50404-2023 tillsynsbegäran mail.docx", "A 50404-2023")</f>
        <v/>
      </c>
    </row>
    <row r="53" ht="15" customHeight="1">
      <c r="A53" t="inlineStr">
        <is>
          <t>A 3078-2024</t>
        </is>
      </c>
      <c r="B53" s="1" t="n">
        <v>45316</v>
      </c>
      <c r="C53" s="1" t="n">
        <v>45852</v>
      </c>
      <c r="D53" t="inlineStr">
        <is>
          <t>ÖSTERGÖTLANDS LÄN</t>
        </is>
      </c>
      <c r="E53" t="inlineStr">
        <is>
          <t>LINKÖPING</t>
        </is>
      </c>
      <c r="G53" t="n">
        <v>12.6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Fällmossa</t>
        </is>
      </c>
      <c r="S53">
        <f>HYPERLINK("https://klasma.github.io/Logging_0580/artfynd/A 3078-2024 artfynd.xlsx", "A 3078-2024")</f>
        <v/>
      </c>
      <c r="T53">
        <f>HYPERLINK("https://klasma.github.io/Logging_0580/kartor/A 3078-2024 karta.png", "A 3078-2024")</f>
        <v/>
      </c>
      <c r="V53">
        <f>HYPERLINK("https://klasma.github.io/Logging_0580/klagomål/A 3078-2024 FSC-klagomål.docx", "A 3078-2024")</f>
        <v/>
      </c>
      <c r="W53">
        <f>HYPERLINK("https://klasma.github.io/Logging_0580/klagomålsmail/A 3078-2024 FSC-klagomål mail.docx", "A 3078-2024")</f>
        <v/>
      </c>
      <c r="X53">
        <f>HYPERLINK("https://klasma.github.io/Logging_0580/tillsyn/A 3078-2024 tillsynsbegäran.docx", "A 3078-2024")</f>
        <v/>
      </c>
      <c r="Y53">
        <f>HYPERLINK("https://klasma.github.io/Logging_0580/tillsynsmail/A 3078-2024 tillsynsbegäran mail.docx", "A 3078-2024")</f>
        <v/>
      </c>
    </row>
    <row r="54" ht="15" customHeight="1">
      <c r="A54" t="inlineStr">
        <is>
          <t>A 14879-2024</t>
        </is>
      </c>
      <c r="B54" s="1" t="n">
        <v>45398</v>
      </c>
      <c r="C54" s="1" t="n">
        <v>45852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1.7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trolldruva
Grönvit nattviol</t>
        </is>
      </c>
      <c r="S54">
        <f>HYPERLINK("https://klasma.github.io/Logging_0580/artfynd/A 14879-2024 artfynd.xlsx", "A 14879-2024")</f>
        <v/>
      </c>
      <c r="T54">
        <f>HYPERLINK("https://klasma.github.io/Logging_0580/kartor/A 14879-2024 karta.png", "A 14879-2024")</f>
        <v/>
      </c>
      <c r="V54">
        <f>HYPERLINK("https://klasma.github.io/Logging_0580/klagomål/A 14879-2024 FSC-klagomål.docx", "A 14879-2024")</f>
        <v/>
      </c>
      <c r="W54">
        <f>HYPERLINK("https://klasma.github.io/Logging_0580/klagomålsmail/A 14879-2024 FSC-klagomål mail.docx", "A 14879-2024")</f>
        <v/>
      </c>
      <c r="X54">
        <f>HYPERLINK("https://klasma.github.io/Logging_0580/tillsyn/A 14879-2024 tillsynsbegäran.docx", "A 14879-2024")</f>
        <v/>
      </c>
      <c r="Y54">
        <f>HYPERLINK("https://klasma.github.io/Logging_0580/tillsynsmail/A 14879-2024 tillsynsbegäran mail.docx", "A 14879-2024")</f>
        <v/>
      </c>
    </row>
    <row r="55" ht="15" customHeight="1">
      <c r="A55" t="inlineStr">
        <is>
          <t>A 49188-2024</t>
        </is>
      </c>
      <c r="B55" s="1" t="n">
        <v>45595</v>
      </c>
      <c r="C55" s="1" t="n">
        <v>45852</v>
      </c>
      <c r="D55" t="inlineStr">
        <is>
          <t>ÖSTERGÖTLANDS LÄN</t>
        </is>
      </c>
      <c r="E55" t="inlineStr">
        <is>
          <t>LINKÖPING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Skogsalm
Ask</t>
        </is>
      </c>
      <c r="S55">
        <f>HYPERLINK("https://klasma.github.io/Logging_0580/artfynd/A 49188-2024 artfynd.xlsx", "A 49188-2024")</f>
        <v/>
      </c>
      <c r="T55">
        <f>HYPERLINK("https://klasma.github.io/Logging_0580/kartor/A 49188-2024 karta.png", "A 49188-2024")</f>
        <v/>
      </c>
      <c r="V55">
        <f>HYPERLINK("https://klasma.github.io/Logging_0580/klagomål/A 49188-2024 FSC-klagomål.docx", "A 49188-2024")</f>
        <v/>
      </c>
      <c r="W55">
        <f>HYPERLINK("https://klasma.github.io/Logging_0580/klagomålsmail/A 49188-2024 FSC-klagomål mail.docx", "A 49188-2024")</f>
        <v/>
      </c>
      <c r="X55">
        <f>HYPERLINK("https://klasma.github.io/Logging_0580/tillsyn/A 49188-2024 tillsynsbegäran.docx", "A 49188-2024")</f>
        <v/>
      </c>
      <c r="Y55">
        <f>HYPERLINK("https://klasma.github.io/Logging_0580/tillsynsmail/A 49188-2024 tillsynsbegäran mail.docx", "A 49188-2024")</f>
        <v/>
      </c>
    </row>
    <row r="56" ht="15" customHeight="1">
      <c r="A56" t="inlineStr">
        <is>
          <t>A 55344-2024</t>
        </is>
      </c>
      <c r="B56" s="1" t="n">
        <v>45621</v>
      </c>
      <c r="C56" s="1" t="n">
        <v>45852</v>
      </c>
      <c r="D56" t="inlineStr">
        <is>
          <t>ÖSTERGÖTLANDS LÄN</t>
        </is>
      </c>
      <c r="E56" t="inlineStr">
        <is>
          <t>LINKÖPING</t>
        </is>
      </c>
      <c r="G56" t="n">
        <v>6.6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Kandelabersvamp
Stjärnnästing</t>
        </is>
      </c>
      <c r="S56">
        <f>HYPERLINK("https://klasma.github.io/Logging_0580/artfynd/A 55344-2024 artfynd.xlsx", "A 55344-2024")</f>
        <v/>
      </c>
      <c r="T56">
        <f>HYPERLINK("https://klasma.github.io/Logging_0580/kartor/A 55344-2024 karta.png", "A 55344-2024")</f>
        <v/>
      </c>
      <c r="V56">
        <f>HYPERLINK("https://klasma.github.io/Logging_0580/klagomål/A 55344-2024 FSC-klagomål.docx", "A 55344-2024")</f>
        <v/>
      </c>
      <c r="W56">
        <f>HYPERLINK("https://klasma.github.io/Logging_0580/klagomålsmail/A 55344-2024 FSC-klagomål mail.docx", "A 55344-2024")</f>
        <v/>
      </c>
      <c r="X56">
        <f>HYPERLINK("https://klasma.github.io/Logging_0580/tillsyn/A 55344-2024 tillsynsbegäran.docx", "A 55344-2024")</f>
        <v/>
      </c>
      <c r="Y56">
        <f>HYPERLINK("https://klasma.github.io/Logging_0580/tillsynsmail/A 55344-2024 tillsynsbegäran mail.docx", "A 55344-2024")</f>
        <v/>
      </c>
    </row>
    <row r="57" ht="15" customHeight="1">
      <c r="A57" t="inlineStr">
        <is>
          <t>A 594-2025</t>
        </is>
      </c>
      <c r="B57" s="1" t="n">
        <v>45664</v>
      </c>
      <c r="C57" s="1" t="n">
        <v>45852</v>
      </c>
      <c r="D57" t="inlineStr">
        <is>
          <t>ÖSTERGÖTLANDS LÄN</t>
        </is>
      </c>
      <c r="E57" t="inlineStr">
        <is>
          <t>LINKÖPING</t>
        </is>
      </c>
      <c r="G57" t="n">
        <v>11.7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Blekticka
Veckticka</t>
        </is>
      </c>
      <c r="S57">
        <f>HYPERLINK("https://klasma.github.io/Logging_0580/artfynd/A 594-2025 artfynd.xlsx", "A 594-2025")</f>
        <v/>
      </c>
      <c r="T57">
        <f>HYPERLINK("https://klasma.github.io/Logging_0580/kartor/A 594-2025 karta.png", "A 594-2025")</f>
        <v/>
      </c>
      <c r="V57">
        <f>HYPERLINK("https://klasma.github.io/Logging_0580/klagomål/A 594-2025 FSC-klagomål.docx", "A 594-2025")</f>
        <v/>
      </c>
      <c r="W57">
        <f>HYPERLINK("https://klasma.github.io/Logging_0580/klagomålsmail/A 594-2025 FSC-klagomål mail.docx", "A 594-2025")</f>
        <v/>
      </c>
      <c r="X57">
        <f>HYPERLINK("https://klasma.github.io/Logging_0580/tillsyn/A 594-2025 tillsynsbegäran.docx", "A 594-2025")</f>
        <v/>
      </c>
      <c r="Y57">
        <f>HYPERLINK("https://klasma.github.io/Logging_0580/tillsynsmail/A 594-2025 tillsynsbegäran mail.docx", "A 594-2025")</f>
        <v/>
      </c>
    </row>
    <row r="58" ht="15" customHeight="1">
      <c r="A58" t="inlineStr">
        <is>
          <t>A 8818-2025</t>
        </is>
      </c>
      <c r="B58" s="1" t="n">
        <v>45712</v>
      </c>
      <c r="C58" s="1" t="n">
        <v>45852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Luddvicker
Klubbsprötad bastardsvärmare</t>
        </is>
      </c>
      <c r="S58">
        <f>HYPERLINK("https://klasma.github.io/Logging_0580/artfynd/A 8818-2025 artfynd.xlsx", "A 8818-2025")</f>
        <v/>
      </c>
      <c r="T58">
        <f>HYPERLINK("https://klasma.github.io/Logging_0580/kartor/A 8818-2025 karta.png", "A 8818-2025")</f>
        <v/>
      </c>
      <c r="V58">
        <f>HYPERLINK("https://klasma.github.io/Logging_0580/klagomål/A 8818-2025 FSC-klagomål.docx", "A 8818-2025")</f>
        <v/>
      </c>
      <c r="W58">
        <f>HYPERLINK("https://klasma.github.io/Logging_0580/klagomålsmail/A 8818-2025 FSC-klagomål mail.docx", "A 8818-2025")</f>
        <v/>
      </c>
      <c r="X58">
        <f>HYPERLINK("https://klasma.github.io/Logging_0580/tillsyn/A 8818-2025 tillsynsbegäran.docx", "A 8818-2025")</f>
        <v/>
      </c>
      <c r="Y58">
        <f>HYPERLINK("https://klasma.github.io/Logging_0580/tillsynsmail/A 8818-2025 tillsynsbegäran mail.docx", "A 8818-2025")</f>
        <v/>
      </c>
    </row>
    <row r="59" ht="15" customHeight="1">
      <c r="A59" t="inlineStr">
        <is>
          <t>A 11613-2025</t>
        </is>
      </c>
      <c r="B59" s="1" t="n">
        <v>45727</v>
      </c>
      <c r="C59" s="1" t="n">
        <v>45852</v>
      </c>
      <c r="D59" t="inlineStr">
        <is>
          <t>ÖSTERGÖTLANDS LÄN</t>
        </is>
      </c>
      <c r="E59" t="inlineStr">
        <is>
          <t>LINKÖPING</t>
        </is>
      </c>
      <c r="G59" t="n">
        <v>5.7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HYPERLINK("https://klasma.github.io/Logging_050580/artfynd/A 11613-2025 artfynd.xlsx", "A 11613-2025")</f>
        <v/>
      </c>
      <c r="T59">
        <f>HYPERLINK("https://klasma.github.io/Logging_050580/kartor/A 11613-2025 karta.png", "A 11613-2025")</f>
        <v/>
      </c>
      <c r="U59">
        <f>HYPERLINK("https://klasma.github.io/Logging_050580/knärot/A 11613-2025 karta knärot.png", "A 11613-2025")</f>
        <v/>
      </c>
      <c r="V59">
        <f>HYPERLINK("https://klasma.github.io/Logging_050580/klagomål/A 11613-2025 FSC-klagomål.docx", "A 11613-2025")</f>
        <v/>
      </c>
      <c r="W59">
        <f>HYPERLINK("https://klasma.github.io/Logging_050580/klagomålsmail/A 11613-2025 FSC-klagomål mail.docx", "A 11613-2025")</f>
        <v/>
      </c>
      <c r="X59">
        <f>HYPERLINK("https://klasma.github.io/Logging_050580/tillsyn/A 11613-2025 tillsynsbegäran.docx", "A 11613-2025")</f>
        <v/>
      </c>
      <c r="Y59">
        <f>HYPERLINK("https://klasma.github.io/Logging_050580/tillsynsmail/A 11613-2025 tillsynsbegäran mail.docx", "A 11613-2025")</f>
        <v/>
      </c>
    </row>
    <row r="60" ht="15" customHeight="1">
      <c r="A60" t="inlineStr">
        <is>
          <t>A 20292-2025</t>
        </is>
      </c>
      <c r="B60" s="1" t="n">
        <v>45774</v>
      </c>
      <c r="C60" s="1" t="n">
        <v>45852</v>
      </c>
      <c r="D60" t="inlineStr">
        <is>
          <t>ÖSTERGÖTLANDS LÄN</t>
        </is>
      </c>
      <c r="E60" t="inlineStr">
        <is>
          <t>LINKÖPING</t>
        </is>
      </c>
      <c r="G60" t="n">
        <v>8.4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Blåsippa</t>
        </is>
      </c>
      <c r="S60">
        <f>HYPERLINK("https://klasma.github.io/Logging_050580/artfynd/A 20292-2025 artfynd.xlsx", "A 20292-2025")</f>
        <v/>
      </c>
      <c r="T60">
        <f>HYPERLINK("https://klasma.github.io/Logging_050580/kartor/A 20292-2025 karta.png", "A 20292-2025")</f>
        <v/>
      </c>
      <c r="V60">
        <f>HYPERLINK("https://klasma.github.io/Logging_050580/klagomål/A 20292-2025 FSC-klagomål.docx", "A 20292-2025")</f>
        <v/>
      </c>
      <c r="W60">
        <f>HYPERLINK("https://klasma.github.io/Logging_050580/klagomålsmail/A 20292-2025 FSC-klagomål mail.docx", "A 20292-2025")</f>
        <v/>
      </c>
      <c r="X60">
        <f>HYPERLINK("https://klasma.github.io/Logging_050580/tillsyn/A 20292-2025 tillsynsbegäran.docx", "A 20292-2025")</f>
        <v/>
      </c>
      <c r="Y60">
        <f>HYPERLINK("https://klasma.github.io/Logging_050580/tillsynsmail/A 20292-2025 tillsynsbegäran mail.docx", "A 20292-2025")</f>
        <v/>
      </c>
    </row>
    <row r="61" ht="15" customHeight="1">
      <c r="A61" t="inlineStr">
        <is>
          <t>A 20297-2025</t>
        </is>
      </c>
      <c r="B61" s="1" t="n">
        <v>45774</v>
      </c>
      <c r="C61" s="1" t="n">
        <v>45852</v>
      </c>
      <c r="D61" t="inlineStr">
        <is>
          <t>ÖSTERGÖTLANDS LÄN</t>
        </is>
      </c>
      <c r="E61" t="inlineStr">
        <is>
          <t>LINKÖPING</t>
        </is>
      </c>
      <c r="G61" t="n">
        <v>1.5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Blåsippa</t>
        </is>
      </c>
      <c r="S61">
        <f>HYPERLINK("https://klasma.github.io/Logging_050580/artfynd/A 20297-2025 artfynd.xlsx", "A 20297-2025")</f>
        <v/>
      </c>
      <c r="T61">
        <f>HYPERLINK("https://klasma.github.io/Logging_050580/kartor/A 20297-2025 karta.png", "A 20297-2025")</f>
        <v/>
      </c>
      <c r="V61">
        <f>HYPERLINK("https://klasma.github.io/Logging_050580/klagomål/A 20297-2025 FSC-klagomål.docx", "A 20297-2025")</f>
        <v/>
      </c>
      <c r="W61">
        <f>HYPERLINK("https://klasma.github.io/Logging_050580/klagomålsmail/A 20297-2025 FSC-klagomål mail.docx", "A 20297-2025")</f>
        <v/>
      </c>
      <c r="X61">
        <f>HYPERLINK("https://klasma.github.io/Logging_050580/tillsyn/A 20297-2025 tillsynsbegäran.docx", "A 20297-2025")</f>
        <v/>
      </c>
      <c r="Y61">
        <f>HYPERLINK("https://klasma.github.io/Logging_050580/tillsynsmail/A 20297-2025 tillsynsbegäran mail.docx", "A 20297-2025")</f>
        <v/>
      </c>
    </row>
    <row r="62" ht="15" customHeight="1">
      <c r="A62" t="inlineStr">
        <is>
          <t>A 21326-2025</t>
        </is>
      </c>
      <c r="B62" s="1" t="n">
        <v>45782</v>
      </c>
      <c r="C62" s="1" t="n">
        <v>45852</v>
      </c>
      <c r="D62" t="inlineStr">
        <is>
          <t>ÖSTERGÖTLANDS LÄN</t>
        </is>
      </c>
      <c r="E62" t="inlineStr">
        <is>
          <t>LINKÖPING</t>
        </is>
      </c>
      <c r="G62" t="n">
        <v>4.9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HYPERLINK("https://klasma.github.io/Logging_050580/artfynd/A 21326-2025 artfynd.xlsx", "A 21326-2025")</f>
        <v/>
      </c>
      <c r="T62">
        <f>HYPERLINK("https://klasma.github.io/Logging_050580/kartor/A 21326-2025 karta.png", "A 21326-2025")</f>
        <v/>
      </c>
      <c r="V62">
        <f>HYPERLINK("https://klasma.github.io/Logging_050580/klagomål/A 21326-2025 FSC-klagomål.docx", "A 21326-2025")</f>
        <v/>
      </c>
      <c r="W62">
        <f>HYPERLINK("https://klasma.github.io/Logging_050580/klagomålsmail/A 21326-2025 FSC-klagomål mail.docx", "A 21326-2025")</f>
        <v/>
      </c>
      <c r="X62">
        <f>HYPERLINK("https://klasma.github.io/Logging_050580/tillsyn/A 21326-2025 tillsynsbegäran.docx", "A 21326-2025")</f>
        <v/>
      </c>
      <c r="Y62">
        <f>HYPERLINK("https://klasma.github.io/Logging_050580/tillsynsmail/A 21326-2025 tillsynsbegäran mail.docx", "A 21326-2025")</f>
        <v/>
      </c>
    </row>
    <row r="63" ht="15" customHeight="1">
      <c r="A63" t="inlineStr">
        <is>
          <t>A 25985-2025</t>
        </is>
      </c>
      <c r="B63" s="1" t="n">
        <v>45804</v>
      </c>
      <c r="C63" s="1" t="n">
        <v>45852</v>
      </c>
      <c r="D63" t="inlineStr">
        <is>
          <t>ÖSTERGÖTLANDS LÄN</t>
        </is>
      </c>
      <c r="E63" t="inlineStr">
        <is>
          <t>LINKÖPING</t>
        </is>
      </c>
      <c r="G63" t="n">
        <v>4.5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HYPERLINK("https://klasma.github.io/Logging_050580/artfynd/A 25985-2025 artfynd.xlsx", "A 25985-2025")</f>
        <v/>
      </c>
      <c r="T63">
        <f>HYPERLINK("https://klasma.github.io/Logging_050580/kartor/A 25985-2025 karta.png", "A 25985-2025")</f>
        <v/>
      </c>
      <c r="V63">
        <f>HYPERLINK("https://klasma.github.io/Logging_050580/klagomål/A 25985-2025 FSC-klagomål.docx", "A 25985-2025")</f>
        <v/>
      </c>
      <c r="W63">
        <f>HYPERLINK("https://klasma.github.io/Logging_050580/klagomålsmail/A 25985-2025 FSC-klagomål mail.docx", "A 25985-2025")</f>
        <v/>
      </c>
      <c r="X63">
        <f>HYPERLINK("https://klasma.github.io/Logging_050580/tillsyn/A 25985-2025 tillsynsbegäran.docx", "A 25985-2025")</f>
        <v/>
      </c>
      <c r="Y63">
        <f>HYPERLINK("https://klasma.github.io/Logging_050580/tillsynsmail/A 25985-2025 tillsynsbegäran mail.docx", "A 25985-2025")</f>
        <v/>
      </c>
      <c r="Z63">
        <f>HYPERLINK("https://klasma.github.io/Logging_050580/fåglar/A 25985-2025 prioriterade fågelarter.docx", "A 25985-2025")</f>
        <v/>
      </c>
    </row>
    <row r="64" ht="15" customHeight="1">
      <c r="A64" t="inlineStr">
        <is>
          <t>A 27795-2025</t>
        </is>
      </c>
      <c r="B64" s="1" t="n">
        <v>45816</v>
      </c>
      <c r="C64" s="1" t="n">
        <v>45852</v>
      </c>
      <c r="D64" t="inlineStr">
        <is>
          <t>ÖSTERGÖTLANDS LÄN</t>
        </is>
      </c>
      <c r="E64" t="inlineStr">
        <is>
          <t>LINKÖPING</t>
        </is>
      </c>
      <c r="G64" t="n">
        <v>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Svinrot
Ängsskära</t>
        </is>
      </c>
      <c r="S64">
        <f>HYPERLINK("https://klasma.github.io/Logging_050580/artfynd/A 27795-2025 artfynd.xlsx", "A 27795-2025")</f>
        <v/>
      </c>
      <c r="T64">
        <f>HYPERLINK("https://klasma.github.io/Logging_050580/kartor/A 27795-2025 karta.png", "A 27795-2025")</f>
        <v/>
      </c>
      <c r="V64">
        <f>HYPERLINK("https://klasma.github.io/Logging_050580/klagomål/A 27795-2025 FSC-klagomål.docx", "A 27795-2025")</f>
        <v/>
      </c>
      <c r="W64">
        <f>HYPERLINK("https://klasma.github.io/Logging_050580/klagomålsmail/A 27795-2025 FSC-klagomål mail.docx", "A 27795-2025")</f>
        <v/>
      </c>
      <c r="X64">
        <f>HYPERLINK("https://klasma.github.io/Logging_050580/tillsyn/A 27795-2025 tillsynsbegäran.docx", "A 27795-2025")</f>
        <v/>
      </c>
      <c r="Y64">
        <f>HYPERLINK("https://klasma.github.io/Logging_050580/tillsynsmail/A 27795-2025 tillsynsbegäran mail.docx", "A 27795-2025")</f>
        <v/>
      </c>
    </row>
    <row r="65" ht="15" customHeight="1">
      <c r="A65" t="inlineStr">
        <is>
          <t>A 43518-2019</t>
        </is>
      </c>
      <c r="B65" s="1" t="n">
        <v>43706</v>
      </c>
      <c r="C65" s="1" t="n">
        <v>45852</v>
      </c>
      <c r="D65" t="inlineStr">
        <is>
          <t>ÖSTERGÖTLANDS LÄN</t>
        </is>
      </c>
      <c r="E65" t="inlineStr">
        <is>
          <t>LINKÖPING</t>
        </is>
      </c>
      <c r="G65" t="n">
        <v>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Rävticka</t>
        </is>
      </c>
      <c r="S65">
        <f>HYPERLINK("https://klasma.github.io/Logging_0580/artfynd/A 43518-2019 artfynd.xlsx", "A 43518-2019")</f>
        <v/>
      </c>
      <c r="T65">
        <f>HYPERLINK("https://klasma.github.io/Logging_0580/kartor/A 43518-2019 karta.png", "A 43518-2019")</f>
        <v/>
      </c>
      <c r="V65">
        <f>HYPERLINK("https://klasma.github.io/Logging_0580/klagomål/A 43518-2019 FSC-klagomål.docx", "A 43518-2019")</f>
        <v/>
      </c>
      <c r="W65">
        <f>HYPERLINK("https://klasma.github.io/Logging_0580/klagomålsmail/A 43518-2019 FSC-klagomål mail.docx", "A 43518-2019")</f>
        <v/>
      </c>
      <c r="X65">
        <f>HYPERLINK("https://klasma.github.io/Logging_0580/tillsyn/A 43518-2019 tillsynsbegäran.docx", "A 43518-2019")</f>
        <v/>
      </c>
      <c r="Y65">
        <f>HYPERLINK("https://klasma.github.io/Logging_0580/tillsynsmail/A 43518-2019 tillsynsbegäran mail.docx", "A 43518-2019")</f>
        <v/>
      </c>
    </row>
    <row r="66" ht="15" customHeight="1">
      <c r="A66" t="inlineStr">
        <is>
          <t>A 44773-2019</t>
        </is>
      </c>
      <c r="B66" s="1" t="n">
        <v>43712</v>
      </c>
      <c r="C66" s="1" t="n">
        <v>45852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HYPERLINK("https://klasma.github.io/Logging_0580/artfynd/A 44773-2019 artfynd.xlsx", "A 44773-2019")</f>
        <v/>
      </c>
      <c r="T66">
        <f>HYPERLINK("https://klasma.github.io/Logging_0580/kartor/A 44773-2019 karta.png", "A 44773-2019")</f>
        <v/>
      </c>
      <c r="V66">
        <f>HYPERLINK("https://klasma.github.io/Logging_0580/klagomål/A 44773-2019 FSC-klagomål.docx", "A 44773-2019")</f>
        <v/>
      </c>
      <c r="W66">
        <f>HYPERLINK("https://klasma.github.io/Logging_0580/klagomålsmail/A 44773-2019 FSC-klagomål mail.docx", "A 44773-2019")</f>
        <v/>
      </c>
      <c r="X66">
        <f>HYPERLINK("https://klasma.github.io/Logging_0580/tillsyn/A 44773-2019 tillsynsbegäran.docx", "A 44773-2019")</f>
        <v/>
      </c>
      <c r="Y66">
        <f>HYPERLINK("https://klasma.github.io/Logging_0580/tillsynsmail/A 44773-2019 tillsynsbegäran mail.docx", "A 44773-2019")</f>
        <v/>
      </c>
      <c r="Z66">
        <f>HYPERLINK("https://klasma.github.io/Logging_0580/fåglar/A 44773-2019 prioriterade fågelarter.docx", "A 44773-2019")</f>
        <v/>
      </c>
    </row>
    <row r="67" ht="15" customHeight="1">
      <c r="A67" t="inlineStr">
        <is>
          <t>A 49148-2019</t>
        </is>
      </c>
      <c r="B67" s="1" t="n">
        <v>43731</v>
      </c>
      <c r="C67" s="1" t="n">
        <v>45852</v>
      </c>
      <c r="D67" t="inlineStr">
        <is>
          <t>ÖSTERGÖTLANDS LÄN</t>
        </is>
      </c>
      <c r="E67" t="inlineStr">
        <is>
          <t>LINKÖPING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49148-2019 artfynd.xlsx", "A 49148-2019")</f>
        <v/>
      </c>
      <c r="T67">
        <f>HYPERLINK("https://klasma.github.io/Logging_0580/kartor/A 49148-2019 karta.png", "A 49148-2019")</f>
        <v/>
      </c>
      <c r="V67">
        <f>HYPERLINK("https://klasma.github.io/Logging_0580/klagomål/A 49148-2019 FSC-klagomål.docx", "A 49148-2019")</f>
        <v/>
      </c>
      <c r="W67">
        <f>HYPERLINK("https://klasma.github.io/Logging_0580/klagomålsmail/A 49148-2019 FSC-klagomål mail.docx", "A 49148-2019")</f>
        <v/>
      </c>
      <c r="X67">
        <f>HYPERLINK("https://klasma.github.io/Logging_0580/tillsyn/A 49148-2019 tillsynsbegäran.docx", "A 49148-2019")</f>
        <v/>
      </c>
      <c r="Y67">
        <f>HYPERLINK("https://klasma.github.io/Logging_0580/tillsynsmail/A 49148-2019 tillsynsbegäran mail.docx", "A 49148-2019")</f>
        <v/>
      </c>
    </row>
    <row r="68" ht="15" customHeight="1">
      <c r="A68" t="inlineStr">
        <is>
          <t>A 49556-2019</t>
        </is>
      </c>
      <c r="B68" s="1" t="n">
        <v>43732</v>
      </c>
      <c r="C68" s="1" t="n">
        <v>45852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49556-2019 artfynd.xlsx", "A 49556-2019")</f>
        <v/>
      </c>
      <c r="T68">
        <f>HYPERLINK("https://klasma.github.io/Logging_0580/kartor/A 49556-2019 karta.png", "A 49556-2019")</f>
        <v/>
      </c>
      <c r="V68">
        <f>HYPERLINK("https://klasma.github.io/Logging_0580/klagomål/A 49556-2019 FSC-klagomål.docx", "A 49556-2019")</f>
        <v/>
      </c>
      <c r="W68">
        <f>HYPERLINK("https://klasma.github.io/Logging_0580/klagomålsmail/A 49556-2019 FSC-klagomål mail.docx", "A 49556-2019")</f>
        <v/>
      </c>
      <c r="X68">
        <f>HYPERLINK("https://klasma.github.io/Logging_0580/tillsyn/A 49556-2019 tillsynsbegäran.docx", "A 49556-2019")</f>
        <v/>
      </c>
      <c r="Y68">
        <f>HYPERLINK("https://klasma.github.io/Logging_0580/tillsynsmail/A 49556-2019 tillsynsbegäran mail.docx", "A 49556-2019")</f>
        <v/>
      </c>
    </row>
    <row r="69" ht="15" customHeight="1">
      <c r="A69" t="inlineStr">
        <is>
          <t>A 54164-2019</t>
        </is>
      </c>
      <c r="B69" s="1" t="n">
        <v>43752</v>
      </c>
      <c r="C69" s="1" t="n">
        <v>45852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HYPERLINK("https://klasma.github.io/Logging_0580/artfynd/A 54164-2019 artfynd.xlsx", "A 54164-2019")</f>
        <v/>
      </c>
      <c r="T69">
        <f>HYPERLINK("https://klasma.github.io/Logging_0580/kartor/A 54164-2019 karta.png", "A 54164-2019")</f>
        <v/>
      </c>
      <c r="V69">
        <f>HYPERLINK("https://klasma.github.io/Logging_0580/klagomål/A 54164-2019 FSC-klagomål.docx", "A 54164-2019")</f>
        <v/>
      </c>
      <c r="W69">
        <f>HYPERLINK("https://klasma.github.io/Logging_0580/klagomålsmail/A 54164-2019 FSC-klagomål mail.docx", "A 54164-2019")</f>
        <v/>
      </c>
      <c r="X69">
        <f>HYPERLINK("https://klasma.github.io/Logging_0580/tillsyn/A 54164-2019 tillsynsbegäran.docx", "A 54164-2019")</f>
        <v/>
      </c>
      <c r="Y69">
        <f>HYPERLINK("https://klasma.github.io/Logging_0580/tillsynsmail/A 54164-2019 tillsynsbegäran mail.docx", "A 54164-2019")</f>
        <v/>
      </c>
    </row>
    <row r="70" ht="15" customHeight="1">
      <c r="A70" t="inlineStr">
        <is>
          <t>A 55917-2019</t>
        </is>
      </c>
      <c r="B70" s="1" t="n">
        <v>43761</v>
      </c>
      <c r="C70" s="1" t="n">
        <v>45852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HYPERLINK("https://klasma.github.io/Logging_0580/artfynd/A 55917-2019 artfynd.xlsx", "A 55917-2019")</f>
        <v/>
      </c>
      <c r="T70">
        <f>HYPERLINK("https://klasma.github.io/Logging_0580/kartor/A 55917-2019 karta.png", "A 55917-2019")</f>
        <v/>
      </c>
      <c r="V70">
        <f>HYPERLINK("https://klasma.github.io/Logging_0580/klagomål/A 55917-2019 FSC-klagomål.docx", "A 55917-2019")</f>
        <v/>
      </c>
      <c r="W70">
        <f>HYPERLINK("https://klasma.github.io/Logging_0580/klagomålsmail/A 55917-2019 FSC-klagomål mail.docx", "A 55917-2019")</f>
        <v/>
      </c>
      <c r="X70">
        <f>HYPERLINK("https://klasma.github.io/Logging_0580/tillsyn/A 55917-2019 tillsynsbegäran.docx", "A 55917-2019")</f>
        <v/>
      </c>
      <c r="Y70">
        <f>HYPERLINK("https://klasma.github.io/Logging_0580/tillsynsmail/A 55917-2019 tillsynsbegäran mail.docx", "A 55917-2019")</f>
        <v/>
      </c>
    </row>
    <row r="71" ht="15" customHeight="1">
      <c r="A71" t="inlineStr">
        <is>
          <t>A 60584-2019</t>
        </is>
      </c>
      <c r="B71" s="1" t="n">
        <v>43781</v>
      </c>
      <c r="C71" s="1" t="n">
        <v>45852</v>
      </c>
      <c r="D71" t="inlineStr">
        <is>
          <t>ÖSTERGÖTLANDS LÄN</t>
        </is>
      </c>
      <c r="E71" t="inlineStr">
        <is>
          <t>LINKÖPING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60584-2019 artfynd.xlsx", "A 60584-2019")</f>
        <v/>
      </c>
      <c r="T71">
        <f>HYPERLINK("https://klasma.github.io/Logging_0580/kartor/A 60584-2019 karta.png", "A 60584-2019")</f>
        <v/>
      </c>
      <c r="V71">
        <f>HYPERLINK("https://klasma.github.io/Logging_0580/klagomål/A 60584-2019 FSC-klagomål.docx", "A 60584-2019")</f>
        <v/>
      </c>
      <c r="W71">
        <f>HYPERLINK("https://klasma.github.io/Logging_0580/klagomålsmail/A 60584-2019 FSC-klagomål mail.docx", "A 60584-2019")</f>
        <v/>
      </c>
      <c r="X71">
        <f>HYPERLINK("https://klasma.github.io/Logging_0580/tillsyn/A 60584-2019 tillsynsbegäran.docx", "A 60584-2019")</f>
        <v/>
      </c>
      <c r="Y71">
        <f>HYPERLINK("https://klasma.github.io/Logging_0580/tillsynsmail/A 60584-2019 tillsynsbegäran mail.docx", "A 60584-2019")</f>
        <v/>
      </c>
    </row>
    <row r="72" ht="15" customHeight="1">
      <c r="A72" t="inlineStr">
        <is>
          <t>A 61702-2019</t>
        </is>
      </c>
      <c r="B72" s="1" t="n">
        <v>43784</v>
      </c>
      <c r="C72" s="1" t="n">
        <v>45852</v>
      </c>
      <c r="D72" t="inlineStr">
        <is>
          <t>ÖSTERGÖTLANDS LÄN</t>
        </is>
      </c>
      <c r="E72" t="inlineStr">
        <is>
          <t>LINKÖPING</t>
        </is>
      </c>
      <c r="G72" t="n">
        <v>15.2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HYPERLINK("https://klasma.github.io/Logging_0580/artfynd/A 61702-2019 artfynd.xlsx", "A 61702-2019")</f>
        <v/>
      </c>
      <c r="T72">
        <f>HYPERLINK("https://klasma.github.io/Logging_0580/kartor/A 61702-2019 karta.png", "A 61702-2019")</f>
        <v/>
      </c>
      <c r="V72">
        <f>HYPERLINK("https://klasma.github.io/Logging_0580/klagomål/A 61702-2019 FSC-klagomål.docx", "A 61702-2019")</f>
        <v/>
      </c>
      <c r="W72">
        <f>HYPERLINK("https://klasma.github.io/Logging_0580/klagomålsmail/A 61702-2019 FSC-klagomål mail.docx", "A 61702-2019")</f>
        <v/>
      </c>
      <c r="X72">
        <f>HYPERLINK("https://klasma.github.io/Logging_0580/tillsyn/A 61702-2019 tillsynsbegäran.docx", "A 61702-2019")</f>
        <v/>
      </c>
      <c r="Y72">
        <f>HYPERLINK("https://klasma.github.io/Logging_0580/tillsynsmail/A 61702-2019 tillsynsbegäran mail.docx", "A 61702-2019")</f>
        <v/>
      </c>
    </row>
    <row r="73" ht="15" customHeight="1">
      <c r="A73" t="inlineStr">
        <is>
          <t>A 15742-2020</t>
        </is>
      </c>
      <c r="B73" s="1" t="n">
        <v>43915</v>
      </c>
      <c r="C73" s="1" t="n">
        <v>45852</v>
      </c>
      <c r="D73" t="inlineStr">
        <is>
          <t>ÖSTERGÖTLANDS LÄN</t>
        </is>
      </c>
      <c r="E73" t="inlineStr">
        <is>
          <t>LINKÖPING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HYPERLINK("https://klasma.github.io/Logging_0580/artfynd/A 15742-2020 artfynd.xlsx", "A 15742-2020")</f>
        <v/>
      </c>
      <c r="T73">
        <f>HYPERLINK("https://klasma.github.io/Logging_0580/kartor/A 15742-2020 karta.png", "A 15742-2020")</f>
        <v/>
      </c>
      <c r="V73">
        <f>HYPERLINK("https://klasma.github.io/Logging_0580/klagomål/A 15742-2020 FSC-klagomål.docx", "A 15742-2020")</f>
        <v/>
      </c>
      <c r="W73">
        <f>HYPERLINK("https://klasma.github.io/Logging_0580/klagomålsmail/A 15742-2020 FSC-klagomål mail.docx", "A 15742-2020")</f>
        <v/>
      </c>
      <c r="X73">
        <f>HYPERLINK("https://klasma.github.io/Logging_0580/tillsyn/A 15742-2020 tillsynsbegäran.docx", "A 15742-2020")</f>
        <v/>
      </c>
      <c r="Y73">
        <f>HYPERLINK("https://klasma.github.io/Logging_0580/tillsynsmail/A 15742-2020 tillsynsbegäran mail.docx", "A 15742-2020")</f>
        <v/>
      </c>
    </row>
    <row r="74" ht="15" customHeight="1">
      <c r="A74" t="inlineStr">
        <is>
          <t>A 42665-2020</t>
        </is>
      </c>
      <c r="B74" s="1" t="n">
        <v>44077</v>
      </c>
      <c r="C74" s="1" t="n">
        <v>45852</v>
      </c>
      <c r="D74" t="inlineStr">
        <is>
          <t>ÖSTERGÖTLANDS LÄN</t>
        </is>
      </c>
      <c r="E74" t="inlineStr">
        <is>
          <t>LINKÖPING</t>
        </is>
      </c>
      <c r="G74" t="n">
        <v>15.6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42665-2020 artfynd.xlsx", "A 42665-2020")</f>
        <v/>
      </c>
      <c r="T74">
        <f>HYPERLINK("https://klasma.github.io/Logging_0580/kartor/A 42665-2020 karta.png", "A 42665-2020")</f>
        <v/>
      </c>
      <c r="V74">
        <f>HYPERLINK("https://klasma.github.io/Logging_0580/klagomål/A 42665-2020 FSC-klagomål.docx", "A 42665-2020")</f>
        <v/>
      </c>
      <c r="W74">
        <f>HYPERLINK("https://klasma.github.io/Logging_0580/klagomålsmail/A 42665-2020 FSC-klagomål mail.docx", "A 42665-2020")</f>
        <v/>
      </c>
      <c r="X74">
        <f>HYPERLINK("https://klasma.github.io/Logging_0580/tillsyn/A 42665-2020 tillsynsbegäran.docx", "A 42665-2020")</f>
        <v/>
      </c>
      <c r="Y74">
        <f>HYPERLINK("https://klasma.github.io/Logging_0580/tillsynsmail/A 42665-2020 tillsynsbegäran mail.docx", "A 42665-2020")</f>
        <v/>
      </c>
    </row>
    <row r="75" ht="15" customHeight="1">
      <c r="A75" t="inlineStr">
        <is>
          <t>A 44930-2020</t>
        </is>
      </c>
      <c r="B75" s="1" t="n">
        <v>44088</v>
      </c>
      <c r="C75" s="1" t="n">
        <v>45852</v>
      </c>
      <c r="D75" t="inlineStr">
        <is>
          <t>ÖSTERGÖTLANDS LÄN</t>
        </is>
      </c>
      <c r="E75" t="inlineStr">
        <is>
          <t>LINKÖPING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HYPERLINK("https://klasma.github.io/Logging_0580/artfynd/A 44930-2020 artfynd.xlsx", "A 44930-2020")</f>
        <v/>
      </c>
      <c r="T75">
        <f>HYPERLINK("https://klasma.github.io/Logging_0580/kartor/A 44930-2020 karta.png", "A 44930-2020")</f>
        <v/>
      </c>
      <c r="U75">
        <f>HYPERLINK("https://klasma.github.io/Logging_0580/knärot/A 44930-2020 karta knärot.png", "A 44930-2020")</f>
        <v/>
      </c>
      <c r="V75">
        <f>HYPERLINK("https://klasma.github.io/Logging_0580/klagomål/A 44930-2020 FSC-klagomål.docx", "A 44930-2020")</f>
        <v/>
      </c>
      <c r="W75">
        <f>HYPERLINK("https://klasma.github.io/Logging_0580/klagomålsmail/A 44930-2020 FSC-klagomål mail.docx", "A 44930-2020")</f>
        <v/>
      </c>
      <c r="X75">
        <f>HYPERLINK("https://klasma.github.io/Logging_0580/tillsyn/A 44930-2020 tillsynsbegäran.docx", "A 44930-2020")</f>
        <v/>
      </c>
      <c r="Y75">
        <f>HYPERLINK("https://klasma.github.io/Logging_0580/tillsynsmail/A 44930-2020 tillsynsbegäran mail.docx", "A 44930-2020")</f>
        <v/>
      </c>
    </row>
    <row r="76" ht="15" customHeight="1">
      <c r="A76" t="inlineStr">
        <is>
          <t>A 47346-2020</t>
        </is>
      </c>
      <c r="B76" s="1" t="n">
        <v>44095</v>
      </c>
      <c r="C76" s="1" t="n">
        <v>45852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Kommuner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HYPERLINK("https://klasma.github.io/Logging_0580/artfynd/A 47346-2020 artfynd.xlsx", "A 47346-2020")</f>
        <v/>
      </c>
      <c r="T76">
        <f>HYPERLINK("https://klasma.github.io/Logging_0580/kartor/A 47346-2020 karta.png", "A 47346-2020")</f>
        <v/>
      </c>
      <c r="V76">
        <f>HYPERLINK("https://klasma.github.io/Logging_0580/klagomål/A 47346-2020 FSC-klagomål.docx", "A 47346-2020")</f>
        <v/>
      </c>
      <c r="W76">
        <f>HYPERLINK("https://klasma.github.io/Logging_0580/klagomålsmail/A 47346-2020 FSC-klagomål mail.docx", "A 47346-2020")</f>
        <v/>
      </c>
      <c r="X76">
        <f>HYPERLINK("https://klasma.github.io/Logging_0580/tillsyn/A 47346-2020 tillsynsbegäran.docx", "A 47346-2020")</f>
        <v/>
      </c>
      <c r="Y76">
        <f>HYPERLINK("https://klasma.github.io/Logging_0580/tillsynsmail/A 47346-2020 tillsynsbegäran mail.docx", "A 47346-2020")</f>
        <v/>
      </c>
    </row>
    <row r="77" ht="15" customHeight="1">
      <c r="A77" t="inlineStr">
        <is>
          <t>A 48984-2020</t>
        </is>
      </c>
      <c r="B77" s="1" t="n">
        <v>44104</v>
      </c>
      <c r="C77" s="1" t="n">
        <v>45852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HYPERLINK("https://klasma.github.io/Logging_0580/artfynd/A 48984-2020 artfynd.xlsx", "A 48984-2020")</f>
        <v/>
      </c>
      <c r="T77">
        <f>HYPERLINK("https://klasma.github.io/Logging_0580/kartor/A 48984-2020 karta.png", "A 48984-2020")</f>
        <v/>
      </c>
      <c r="V77">
        <f>HYPERLINK("https://klasma.github.io/Logging_0580/klagomål/A 48984-2020 FSC-klagomål.docx", "A 48984-2020")</f>
        <v/>
      </c>
      <c r="W77">
        <f>HYPERLINK("https://klasma.github.io/Logging_0580/klagomålsmail/A 48984-2020 FSC-klagomål mail.docx", "A 48984-2020")</f>
        <v/>
      </c>
      <c r="X77">
        <f>HYPERLINK("https://klasma.github.io/Logging_0580/tillsyn/A 48984-2020 tillsynsbegäran.docx", "A 48984-2020")</f>
        <v/>
      </c>
      <c r="Y77">
        <f>HYPERLINK("https://klasma.github.io/Logging_0580/tillsynsmail/A 48984-2020 tillsynsbegäran mail.docx", "A 48984-2020")</f>
        <v/>
      </c>
    </row>
    <row r="78" ht="15" customHeight="1">
      <c r="A78" t="inlineStr">
        <is>
          <t>A 67164-2020</t>
        </is>
      </c>
      <c r="B78" s="1" t="n">
        <v>44180</v>
      </c>
      <c r="C78" s="1" t="n">
        <v>45852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8.6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HYPERLINK("https://klasma.github.io/Logging_0580/artfynd/A 67164-2020 artfynd.xlsx", "A 67164-2020")</f>
        <v/>
      </c>
      <c r="T78">
        <f>HYPERLINK("https://klasma.github.io/Logging_0580/kartor/A 67164-2020 karta.png", "A 67164-2020")</f>
        <v/>
      </c>
      <c r="V78">
        <f>HYPERLINK("https://klasma.github.io/Logging_0580/klagomål/A 67164-2020 FSC-klagomål.docx", "A 67164-2020")</f>
        <v/>
      </c>
      <c r="W78">
        <f>HYPERLINK("https://klasma.github.io/Logging_0580/klagomålsmail/A 67164-2020 FSC-klagomål mail.docx", "A 67164-2020")</f>
        <v/>
      </c>
      <c r="X78">
        <f>HYPERLINK("https://klasma.github.io/Logging_0580/tillsyn/A 67164-2020 tillsynsbegäran.docx", "A 67164-2020")</f>
        <v/>
      </c>
      <c r="Y78">
        <f>HYPERLINK("https://klasma.github.io/Logging_0580/tillsynsmail/A 67164-2020 tillsynsbegäran mail.docx", "A 67164-2020")</f>
        <v/>
      </c>
      <c r="Z78">
        <f>HYPERLINK("https://klasma.github.io/Logging_0580/fåglar/A 67164-2020 prioriterade fågelarter.docx", "A 67164-2020")</f>
        <v/>
      </c>
    </row>
    <row r="79" ht="15" customHeight="1">
      <c r="A79" t="inlineStr">
        <is>
          <t>A 14096-2021</t>
        </is>
      </c>
      <c r="B79" s="1" t="n">
        <v>44278</v>
      </c>
      <c r="C79" s="1" t="n">
        <v>45852</v>
      </c>
      <c r="D79" t="inlineStr">
        <is>
          <t>ÖSTERGÖTLANDS LÄN</t>
        </is>
      </c>
      <c r="E79" t="inlineStr">
        <is>
          <t>LINKÖPING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HYPERLINK("https://klasma.github.io/Logging_0580/artfynd/A 14096-2021 artfynd.xlsx", "A 14096-2021")</f>
        <v/>
      </c>
      <c r="T79">
        <f>HYPERLINK("https://klasma.github.io/Logging_0580/kartor/A 14096-2021 karta.png", "A 14096-2021")</f>
        <v/>
      </c>
      <c r="V79">
        <f>HYPERLINK("https://klasma.github.io/Logging_0580/klagomål/A 14096-2021 FSC-klagomål.docx", "A 14096-2021")</f>
        <v/>
      </c>
      <c r="W79">
        <f>HYPERLINK("https://klasma.github.io/Logging_0580/klagomålsmail/A 14096-2021 FSC-klagomål mail.docx", "A 14096-2021")</f>
        <v/>
      </c>
      <c r="X79">
        <f>HYPERLINK("https://klasma.github.io/Logging_0580/tillsyn/A 14096-2021 tillsynsbegäran.docx", "A 14096-2021")</f>
        <v/>
      </c>
      <c r="Y79">
        <f>HYPERLINK("https://klasma.github.io/Logging_0580/tillsynsmail/A 14096-2021 tillsynsbegäran mail.docx", "A 14096-2021")</f>
        <v/>
      </c>
    </row>
    <row r="80" ht="15" customHeight="1">
      <c r="A80" t="inlineStr">
        <is>
          <t>A 17389-2021</t>
        </is>
      </c>
      <c r="B80" s="1" t="n">
        <v>44299</v>
      </c>
      <c r="C80" s="1" t="n">
        <v>45852</v>
      </c>
      <c r="D80" t="inlineStr">
        <is>
          <t>ÖSTERGÖTLANDS LÄN</t>
        </is>
      </c>
      <c r="E80" t="inlineStr">
        <is>
          <t>LINKÖPING</t>
        </is>
      </c>
      <c r="G80" t="n">
        <v>5.1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HYPERLINK("https://klasma.github.io/Logging_0580/artfynd/A 17389-2021 artfynd.xlsx", "A 17389-2021")</f>
        <v/>
      </c>
      <c r="T80">
        <f>HYPERLINK("https://klasma.github.io/Logging_0580/kartor/A 17389-2021 karta.png", "A 17389-2021")</f>
        <v/>
      </c>
      <c r="V80">
        <f>HYPERLINK("https://klasma.github.io/Logging_0580/klagomål/A 17389-2021 FSC-klagomål.docx", "A 17389-2021")</f>
        <v/>
      </c>
      <c r="W80">
        <f>HYPERLINK("https://klasma.github.io/Logging_0580/klagomålsmail/A 17389-2021 FSC-klagomål mail.docx", "A 17389-2021")</f>
        <v/>
      </c>
      <c r="X80">
        <f>HYPERLINK("https://klasma.github.io/Logging_0580/tillsyn/A 17389-2021 tillsynsbegäran.docx", "A 17389-2021")</f>
        <v/>
      </c>
      <c r="Y80">
        <f>HYPERLINK("https://klasma.github.io/Logging_0580/tillsynsmail/A 17389-2021 tillsynsbegäran mail.docx", "A 17389-2021")</f>
        <v/>
      </c>
    </row>
    <row r="81" ht="15" customHeight="1">
      <c r="A81" t="inlineStr">
        <is>
          <t>A 19103-2021</t>
        </is>
      </c>
      <c r="B81" s="1" t="n">
        <v>44308</v>
      </c>
      <c r="C81" s="1" t="n">
        <v>45852</v>
      </c>
      <c r="D81" t="inlineStr">
        <is>
          <t>ÖSTERGÖTLANDS LÄN</t>
        </is>
      </c>
      <c r="E81" t="inlineStr">
        <is>
          <t>LINKÖPING</t>
        </is>
      </c>
      <c r="G81" t="n">
        <v>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HYPERLINK("https://klasma.github.io/Logging_0580/artfynd/A 19103-2021 artfynd.xlsx", "A 19103-2021")</f>
        <v/>
      </c>
      <c r="T81">
        <f>HYPERLINK("https://klasma.github.io/Logging_0580/kartor/A 19103-2021 karta.png", "A 19103-2021")</f>
        <v/>
      </c>
      <c r="V81">
        <f>HYPERLINK("https://klasma.github.io/Logging_0580/klagomål/A 19103-2021 FSC-klagomål.docx", "A 19103-2021")</f>
        <v/>
      </c>
      <c r="W81">
        <f>HYPERLINK("https://klasma.github.io/Logging_0580/klagomålsmail/A 19103-2021 FSC-klagomål mail.docx", "A 19103-2021")</f>
        <v/>
      </c>
      <c r="X81">
        <f>HYPERLINK("https://klasma.github.io/Logging_0580/tillsyn/A 19103-2021 tillsynsbegäran.docx", "A 19103-2021")</f>
        <v/>
      </c>
      <c r="Y81">
        <f>HYPERLINK("https://klasma.github.io/Logging_0580/tillsynsmail/A 19103-2021 tillsynsbegäran mail.docx", "A 19103-2021")</f>
        <v/>
      </c>
    </row>
    <row r="82" ht="15" customHeight="1">
      <c r="A82" t="inlineStr">
        <is>
          <t>A 38129-2021</t>
        </is>
      </c>
      <c r="B82" s="1" t="n">
        <v>44405</v>
      </c>
      <c r="C82" s="1" t="n">
        <v>45852</v>
      </c>
      <c r="D82" t="inlineStr">
        <is>
          <t>ÖSTERGÖTLANDS LÄN</t>
        </is>
      </c>
      <c r="E82" t="inlineStr">
        <is>
          <t>LINKÖPING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HYPERLINK("https://klasma.github.io/Logging_0580/artfynd/A 38129-2021 artfynd.xlsx", "A 38129-2021")</f>
        <v/>
      </c>
      <c r="T82">
        <f>HYPERLINK("https://klasma.github.io/Logging_0580/kartor/A 38129-2021 karta.png", "A 38129-2021")</f>
        <v/>
      </c>
      <c r="V82">
        <f>HYPERLINK("https://klasma.github.io/Logging_0580/klagomål/A 38129-2021 FSC-klagomål.docx", "A 38129-2021")</f>
        <v/>
      </c>
      <c r="W82">
        <f>HYPERLINK("https://klasma.github.io/Logging_0580/klagomålsmail/A 38129-2021 FSC-klagomål mail.docx", "A 38129-2021")</f>
        <v/>
      </c>
      <c r="X82">
        <f>HYPERLINK("https://klasma.github.io/Logging_0580/tillsyn/A 38129-2021 tillsynsbegäran.docx", "A 38129-2021")</f>
        <v/>
      </c>
      <c r="Y82">
        <f>HYPERLINK("https://klasma.github.io/Logging_0580/tillsynsmail/A 38129-2021 tillsynsbegäran mail.docx", "A 38129-2021")</f>
        <v/>
      </c>
      <c r="Z82">
        <f>HYPERLINK("https://klasma.github.io/Logging_0580/fåglar/A 38129-2021 prioriterade fågelarter.docx", "A 38129-2021")</f>
        <v/>
      </c>
    </row>
    <row r="83" ht="15" customHeight="1">
      <c r="A83" t="inlineStr">
        <is>
          <t>A 43017-2021</t>
        </is>
      </c>
      <c r="B83" s="1" t="n">
        <v>44431</v>
      </c>
      <c r="C83" s="1" t="n">
        <v>45852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Hapalopilus aurantiacus</t>
        </is>
      </c>
      <c r="S83">
        <f>HYPERLINK("https://klasma.github.io/Logging_0580/artfynd/A 43017-2021 artfynd.xlsx", "A 43017-2021")</f>
        <v/>
      </c>
      <c r="T83">
        <f>HYPERLINK("https://klasma.github.io/Logging_0580/kartor/A 43017-2021 karta.png", "A 43017-2021")</f>
        <v/>
      </c>
      <c r="V83">
        <f>HYPERLINK("https://klasma.github.io/Logging_0580/klagomål/A 43017-2021 FSC-klagomål.docx", "A 43017-2021")</f>
        <v/>
      </c>
      <c r="W83">
        <f>HYPERLINK("https://klasma.github.io/Logging_0580/klagomålsmail/A 43017-2021 FSC-klagomål mail.docx", "A 43017-2021")</f>
        <v/>
      </c>
      <c r="X83">
        <f>HYPERLINK("https://klasma.github.io/Logging_0580/tillsyn/A 43017-2021 tillsynsbegäran.docx", "A 43017-2021")</f>
        <v/>
      </c>
      <c r="Y83">
        <f>HYPERLINK("https://klasma.github.io/Logging_0580/tillsynsmail/A 43017-2021 tillsynsbegäran mail.docx", "A 43017-2021")</f>
        <v/>
      </c>
    </row>
    <row r="84" ht="15" customHeight="1">
      <c r="A84" t="inlineStr">
        <is>
          <t>A 56250-2021</t>
        </is>
      </c>
      <c r="B84" s="1" t="n">
        <v>44479</v>
      </c>
      <c r="C84" s="1" t="n">
        <v>45852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HYPERLINK("https://klasma.github.io/Logging_0580/artfynd/A 56250-2021 artfynd.xlsx", "A 56250-2021")</f>
        <v/>
      </c>
      <c r="T84">
        <f>HYPERLINK("https://klasma.github.io/Logging_0580/kartor/A 56250-2021 karta.png", "A 56250-2021")</f>
        <v/>
      </c>
      <c r="V84">
        <f>HYPERLINK("https://klasma.github.io/Logging_0580/klagomål/A 56250-2021 FSC-klagomål.docx", "A 56250-2021")</f>
        <v/>
      </c>
      <c r="W84">
        <f>HYPERLINK("https://klasma.github.io/Logging_0580/klagomålsmail/A 56250-2021 FSC-klagomål mail.docx", "A 56250-2021")</f>
        <v/>
      </c>
      <c r="X84">
        <f>HYPERLINK("https://klasma.github.io/Logging_0580/tillsyn/A 56250-2021 tillsynsbegäran.docx", "A 56250-2021")</f>
        <v/>
      </c>
      <c r="Y84">
        <f>HYPERLINK("https://klasma.github.io/Logging_0580/tillsynsmail/A 56250-2021 tillsynsbegäran mail.docx", "A 56250-2021")</f>
        <v/>
      </c>
    </row>
    <row r="85" ht="15" customHeight="1">
      <c r="A85" t="inlineStr">
        <is>
          <t>A 60573-2021</t>
        </is>
      </c>
      <c r="B85" s="1" t="n">
        <v>44496</v>
      </c>
      <c r="C85" s="1" t="n">
        <v>45852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60573-2021 artfynd.xlsx", "A 60573-2021")</f>
        <v/>
      </c>
      <c r="T85">
        <f>HYPERLINK("https://klasma.github.io/Logging_0580/kartor/A 60573-2021 karta.png", "A 60573-2021")</f>
        <v/>
      </c>
      <c r="V85">
        <f>HYPERLINK("https://klasma.github.io/Logging_0580/klagomål/A 60573-2021 FSC-klagomål.docx", "A 60573-2021")</f>
        <v/>
      </c>
      <c r="W85">
        <f>HYPERLINK("https://klasma.github.io/Logging_0580/klagomålsmail/A 60573-2021 FSC-klagomål mail.docx", "A 60573-2021")</f>
        <v/>
      </c>
      <c r="X85">
        <f>HYPERLINK("https://klasma.github.io/Logging_0580/tillsyn/A 60573-2021 tillsynsbegäran.docx", "A 60573-2021")</f>
        <v/>
      </c>
      <c r="Y85">
        <f>HYPERLINK("https://klasma.github.io/Logging_0580/tillsynsmail/A 60573-2021 tillsynsbegäran mail.docx", "A 60573-2021")</f>
        <v/>
      </c>
    </row>
    <row r="86" ht="15" customHeight="1">
      <c r="A86" t="inlineStr">
        <is>
          <t>A 69211-2021</t>
        </is>
      </c>
      <c r="B86" s="1" t="n">
        <v>44531</v>
      </c>
      <c r="C86" s="1" t="n">
        <v>45852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statliga verk och myndigheter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HYPERLINK("https://klasma.github.io/Logging_0580/artfynd/A 69211-2021 artfynd.xlsx", "A 69211-2021")</f>
        <v/>
      </c>
      <c r="T86">
        <f>HYPERLINK("https://klasma.github.io/Logging_0580/kartor/A 69211-2021 karta.png", "A 69211-2021")</f>
        <v/>
      </c>
      <c r="V86">
        <f>HYPERLINK("https://klasma.github.io/Logging_0580/klagomål/A 69211-2021 FSC-klagomål.docx", "A 69211-2021")</f>
        <v/>
      </c>
      <c r="W86">
        <f>HYPERLINK("https://klasma.github.io/Logging_0580/klagomålsmail/A 69211-2021 FSC-klagomål mail.docx", "A 69211-2021")</f>
        <v/>
      </c>
      <c r="X86">
        <f>HYPERLINK("https://klasma.github.io/Logging_0580/tillsyn/A 69211-2021 tillsynsbegäran.docx", "A 69211-2021")</f>
        <v/>
      </c>
      <c r="Y86">
        <f>HYPERLINK("https://klasma.github.io/Logging_0580/tillsynsmail/A 69211-2021 tillsynsbegäran mail.docx", "A 69211-2021")</f>
        <v/>
      </c>
    </row>
    <row r="87" ht="15" customHeight="1">
      <c r="A87" t="inlineStr">
        <is>
          <t>A 71127-2021</t>
        </is>
      </c>
      <c r="B87" s="1" t="n">
        <v>44537</v>
      </c>
      <c r="C87" s="1" t="n">
        <v>45852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7.2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71127-2021 artfynd.xlsx", "A 71127-2021")</f>
        <v/>
      </c>
      <c r="T87">
        <f>HYPERLINK("https://klasma.github.io/Logging_0580/kartor/A 71127-2021 karta.png", "A 71127-2021")</f>
        <v/>
      </c>
      <c r="V87">
        <f>HYPERLINK("https://klasma.github.io/Logging_0580/klagomål/A 71127-2021 FSC-klagomål.docx", "A 71127-2021")</f>
        <v/>
      </c>
      <c r="W87">
        <f>HYPERLINK("https://klasma.github.io/Logging_0580/klagomålsmail/A 71127-2021 FSC-klagomål mail.docx", "A 71127-2021")</f>
        <v/>
      </c>
      <c r="X87">
        <f>HYPERLINK("https://klasma.github.io/Logging_0580/tillsyn/A 71127-2021 tillsynsbegäran.docx", "A 71127-2021")</f>
        <v/>
      </c>
      <c r="Y87">
        <f>HYPERLINK("https://klasma.github.io/Logging_0580/tillsynsmail/A 71127-2021 tillsynsbegäran mail.docx", "A 71127-2021")</f>
        <v/>
      </c>
    </row>
    <row r="88" ht="15" customHeight="1">
      <c r="A88" t="inlineStr">
        <is>
          <t>A 2628-2022</t>
        </is>
      </c>
      <c r="B88" s="1" t="n">
        <v>44579</v>
      </c>
      <c r="C88" s="1" t="n">
        <v>45852</v>
      </c>
      <c r="D88" t="inlineStr">
        <is>
          <t>ÖSTERGÖTLANDS LÄN</t>
        </is>
      </c>
      <c r="E88" t="inlineStr">
        <is>
          <t>LINKÖPING</t>
        </is>
      </c>
      <c r="G88" t="n">
        <v>4.6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Dårgräsfjäril</t>
        </is>
      </c>
      <c r="S88">
        <f>HYPERLINK("https://klasma.github.io/Logging_0580/artfynd/A 2628-2022 artfynd.xlsx", "A 2628-2022")</f>
        <v/>
      </c>
      <c r="T88">
        <f>HYPERLINK("https://klasma.github.io/Logging_0580/kartor/A 2628-2022 karta.png", "A 2628-2022")</f>
        <v/>
      </c>
      <c r="V88">
        <f>HYPERLINK("https://klasma.github.io/Logging_0580/klagomål/A 2628-2022 FSC-klagomål.docx", "A 2628-2022")</f>
        <v/>
      </c>
      <c r="W88">
        <f>HYPERLINK("https://klasma.github.io/Logging_0580/klagomålsmail/A 2628-2022 FSC-klagomål mail.docx", "A 2628-2022")</f>
        <v/>
      </c>
      <c r="X88">
        <f>HYPERLINK("https://klasma.github.io/Logging_0580/tillsyn/A 2628-2022 tillsynsbegäran.docx", "A 2628-2022")</f>
        <v/>
      </c>
      <c r="Y88">
        <f>HYPERLINK("https://klasma.github.io/Logging_0580/tillsynsmail/A 2628-2022 tillsynsbegäran mail.docx", "A 2628-2022")</f>
        <v/>
      </c>
    </row>
    <row r="89" ht="15" customHeight="1">
      <c r="A89" t="inlineStr">
        <is>
          <t>A 5911-2022</t>
        </is>
      </c>
      <c r="B89" s="1" t="n">
        <v>44597</v>
      </c>
      <c r="C89" s="1" t="n">
        <v>45852</v>
      </c>
      <c r="D89" t="inlineStr">
        <is>
          <t>ÖSTERGÖTLANDS LÄN</t>
        </is>
      </c>
      <c r="E89" t="inlineStr">
        <is>
          <t>LINKÖPING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HYPERLINK("https://klasma.github.io/Logging_0580/artfynd/A 5911-2022 artfynd.xlsx", "A 5911-2022")</f>
        <v/>
      </c>
      <c r="T89">
        <f>HYPERLINK("https://klasma.github.io/Logging_0580/kartor/A 5911-2022 karta.png", "A 5911-2022")</f>
        <v/>
      </c>
      <c r="V89">
        <f>HYPERLINK("https://klasma.github.io/Logging_0580/klagomål/A 5911-2022 FSC-klagomål.docx", "A 5911-2022")</f>
        <v/>
      </c>
      <c r="W89">
        <f>HYPERLINK("https://klasma.github.io/Logging_0580/klagomålsmail/A 5911-2022 FSC-klagomål mail.docx", "A 5911-2022")</f>
        <v/>
      </c>
      <c r="X89">
        <f>HYPERLINK("https://klasma.github.io/Logging_0580/tillsyn/A 5911-2022 tillsynsbegäran.docx", "A 5911-2022")</f>
        <v/>
      </c>
      <c r="Y89">
        <f>HYPERLINK("https://klasma.github.io/Logging_0580/tillsynsmail/A 5911-2022 tillsynsbegäran mail.docx", "A 5911-2022")</f>
        <v/>
      </c>
    </row>
    <row r="90" ht="15" customHeight="1">
      <c r="A90" t="inlineStr">
        <is>
          <t>A 11985-2022</t>
        </is>
      </c>
      <c r="B90" s="1" t="n">
        <v>44635</v>
      </c>
      <c r="C90" s="1" t="n">
        <v>45852</v>
      </c>
      <c r="D90" t="inlineStr">
        <is>
          <t>ÖSTERGÖTLANDS LÄN</t>
        </is>
      </c>
      <c r="E90" t="inlineStr">
        <is>
          <t>LINKÖPING</t>
        </is>
      </c>
      <c r="G90" t="n">
        <v>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Rödvingetrast</t>
        </is>
      </c>
      <c r="S90">
        <f>HYPERLINK("https://klasma.github.io/Logging_0580/artfynd/A 11985-2022 artfynd.xlsx", "A 11985-2022")</f>
        <v/>
      </c>
      <c r="T90">
        <f>HYPERLINK("https://klasma.github.io/Logging_0580/kartor/A 11985-2022 karta.png", "A 11985-2022")</f>
        <v/>
      </c>
      <c r="V90">
        <f>HYPERLINK("https://klasma.github.io/Logging_0580/klagomål/A 11985-2022 FSC-klagomål.docx", "A 11985-2022")</f>
        <v/>
      </c>
      <c r="W90">
        <f>HYPERLINK("https://klasma.github.io/Logging_0580/klagomålsmail/A 11985-2022 FSC-klagomål mail.docx", "A 11985-2022")</f>
        <v/>
      </c>
      <c r="X90">
        <f>HYPERLINK("https://klasma.github.io/Logging_0580/tillsyn/A 11985-2022 tillsynsbegäran.docx", "A 11985-2022")</f>
        <v/>
      </c>
      <c r="Y90">
        <f>HYPERLINK("https://klasma.github.io/Logging_0580/tillsynsmail/A 11985-2022 tillsynsbegäran mail.docx", "A 11985-2022")</f>
        <v/>
      </c>
      <c r="Z90">
        <f>HYPERLINK("https://klasma.github.io/Logging_0580/fåglar/A 11985-2022 prioriterade fågelarter.docx", "A 11985-2022")</f>
        <v/>
      </c>
    </row>
    <row r="91" ht="15" customHeight="1">
      <c r="A91" t="inlineStr">
        <is>
          <t>A 17513-2022</t>
        </is>
      </c>
      <c r="B91" s="1" t="n">
        <v>44679</v>
      </c>
      <c r="C91" s="1" t="n">
        <v>45852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HYPERLINK("https://klasma.github.io/Logging_0580/artfynd/A 17513-2022 artfynd.xlsx", "A 17513-2022")</f>
        <v/>
      </c>
      <c r="T91">
        <f>HYPERLINK("https://klasma.github.io/Logging_0580/kartor/A 17513-2022 karta.png", "A 17513-2022")</f>
        <v/>
      </c>
      <c r="V91">
        <f>HYPERLINK("https://klasma.github.io/Logging_0580/klagomål/A 17513-2022 FSC-klagomål.docx", "A 17513-2022")</f>
        <v/>
      </c>
      <c r="W91">
        <f>HYPERLINK("https://klasma.github.io/Logging_0580/klagomålsmail/A 17513-2022 FSC-klagomål mail.docx", "A 17513-2022")</f>
        <v/>
      </c>
      <c r="X91">
        <f>HYPERLINK("https://klasma.github.io/Logging_0580/tillsyn/A 17513-2022 tillsynsbegäran.docx", "A 17513-2022")</f>
        <v/>
      </c>
      <c r="Y91">
        <f>HYPERLINK("https://klasma.github.io/Logging_0580/tillsynsmail/A 17513-2022 tillsynsbegäran mail.docx", "A 17513-2022")</f>
        <v/>
      </c>
    </row>
    <row r="92" ht="15" customHeight="1">
      <c r="A92" t="inlineStr">
        <is>
          <t>A 27984-2022</t>
        </is>
      </c>
      <c r="B92" s="1" t="n">
        <v>44745</v>
      </c>
      <c r="C92" s="1" t="n">
        <v>45852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27984-2022 artfynd.xlsx", "A 27984-2022")</f>
        <v/>
      </c>
      <c r="T92">
        <f>HYPERLINK("https://klasma.github.io/Logging_0580/kartor/A 27984-2022 karta.png", "A 27984-2022")</f>
        <v/>
      </c>
      <c r="V92">
        <f>HYPERLINK("https://klasma.github.io/Logging_0580/klagomål/A 27984-2022 FSC-klagomål.docx", "A 27984-2022")</f>
        <v/>
      </c>
      <c r="W92">
        <f>HYPERLINK("https://klasma.github.io/Logging_0580/klagomålsmail/A 27984-2022 FSC-klagomål mail.docx", "A 27984-2022")</f>
        <v/>
      </c>
      <c r="X92">
        <f>HYPERLINK("https://klasma.github.io/Logging_0580/tillsyn/A 27984-2022 tillsynsbegäran.docx", "A 27984-2022")</f>
        <v/>
      </c>
      <c r="Y92">
        <f>HYPERLINK("https://klasma.github.io/Logging_0580/tillsynsmail/A 27984-2022 tillsynsbegäran mail.docx", "A 27984-2022")</f>
        <v/>
      </c>
    </row>
    <row r="93" ht="15" customHeight="1">
      <c r="A93" t="inlineStr">
        <is>
          <t>A 28123-2022</t>
        </is>
      </c>
      <c r="B93" s="1" t="n">
        <v>44746</v>
      </c>
      <c r="C93" s="1" t="n">
        <v>45852</v>
      </c>
      <c r="D93" t="inlineStr">
        <is>
          <t>ÖSTERGÖTLANDS LÄN</t>
        </is>
      </c>
      <c r="E93" t="inlineStr">
        <is>
          <t>LINKÖPING</t>
        </is>
      </c>
      <c r="G93" t="n">
        <v>6.4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HYPERLINK("https://klasma.github.io/Logging_0580/artfynd/A 28123-2022 artfynd.xlsx", "A 28123-2022")</f>
        <v/>
      </c>
      <c r="T93">
        <f>HYPERLINK("https://klasma.github.io/Logging_0580/kartor/A 28123-2022 karta.png", "A 28123-2022")</f>
        <v/>
      </c>
      <c r="V93">
        <f>HYPERLINK("https://klasma.github.io/Logging_0580/klagomål/A 28123-2022 FSC-klagomål.docx", "A 28123-2022")</f>
        <v/>
      </c>
      <c r="W93">
        <f>HYPERLINK("https://klasma.github.io/Logging_0580/klagomålsmail/A 28123-2022 FSC-klagomål mail.docx", "A 28123-2022")</f>
        <v/>
      </c>
      <c r="X93">
        <f>HYPERLINK("https://klasma.github.io/Logging_0580/tillsyn/A 28123-2022 tillsynsbegäran.docx", "A 28123-2022")</f>
        <v/>
      </c>
      <c r="Y93">
        <f>HYPERLINK("https://klasma.github.io/Logging_0580/tillsynsmail/A 28123-2022 tillsynsbegäran mail.docx", "A 28123-2022")</f>
        <v/>
      </c>
    </row>
    <row r="94" ht="15" customHeight="1">
      <c r="A94" t="inlineStr">
        <is>
          <t>A 43041-2022</t>
        </is>
      </c>
      <c r="B94" s="1" t="n">
        <v>44833</v>
      </c>
      <c r="C94" s="1" t="n">
        <v>45852</v>
      </c>
      <c r="D94" t="inlineStr">
        <is>
          <t>ÖSTERGÖTLANDS LÄN</t>
        </is>
      </c>
      <c r="E94" t="inlineStr">
        <is>
          <t>LINKÖPING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HYPERLINK("https://klasma.github.io/Logging_0580/artfynd/A 43041-2022 artfynd.xlsx", "A 43041-2022")</f>
        <v/>
      </c>
      <c r="T94">
        <f>HYPERLINK("https://klasma.github.io/Logging_0580/kartor/A 43041-2022 karta.png", "A 43041-2022")</f>
        <v/>
      </c>
      <c r="V94">
        <f>HYPERLINK("https://klasma.github.io/Logging_0580/klagomål/A 43041-2022 FSC-klagomål.docx", "A 43041-2022")</f>
        <v/>
      </c>
      <c r="W94">
        <f>HYPERLINK("https://klasma.github.io/Logging_0580/klagomålsmail/A 43041-2022 FSC-klagomål mail.docx", "A 43041-2022")</f>
        <v/>
      </c>
      <c r="X94">
        <f>HYPERLINK("https://klasma.github.io/Logging_0580/tillsyn/A 43041-2022 tillsynsbegäran.docx", "A 43041-2022")</f>
        <v/>
      </c>
      <c r="Y94">
        <f>HYPERLINK("https://klasma.github.io/Logging_0580/tillsynsmail/A 43041-2022 tillsynsbegäran mail.docx", "A 43041-2022")</f>
        <v/>
      </c>
    </row>
    <row r="95" ht="15" customHeight="1">
      <c r="A95" t="inlineStr">
        <is>
          <t>A 46496-2022</t>
        </is>
      </c>
      <c r="B95" s="1" t="n">
        <v>44848</v>
      </c>
      <c r="C95" s="1" t="n">
        <v>45852</v>
      </c>
      <c r="D95" t="inlineStr">
        <is>
          <t>ÖSTERGÖTLANDS LÄN</t>
        </is>
      </c>
      <c r="E95" t="inlineStr">
        <is>
          <t>LINKÖPING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HYPERLINK("https://klasma.github.io/Logging_0580/artfynd/A 46496-2022 artfynd.xlsx", "A 46496-2022")</f>
        <v/>
      </c>
      <c r="T95">
        <f>HYPERLINK("https://klasma.github.io/Logging_0580/kartor/A 46496-2022 karta.png", "A 46496-2022")</f>
        <v/>
      </c>
      <c r="V95">
        <f>HYPERLINK("https://klasma.github.io/Logging_0580/klagomål/A 46496-2022 FSC-klagomål.docx", "A 46496-2022")</f>
        <v/>
      </c>
      <c r="W95">
        <f>HYPERLINK("https://klasma.github.io/Logging_0580/klagomålsmail/A 46496-2022 FSC-klagomål mail.docx", "A 46496-2022")</f>
        <v/>
      </c>
      <c r="X95">
        <f>HYPERLINK("https://klasma.github.io/Logging_0580/tillsyn/A 46496-2022 tillsynsbegäran.docx", "A 46496-2022")</f>
        <v/>
      </c>
      <c r="Y95">
        <f>HYPERLINK("https://klasma.github.io/Logging_0580/tillsynsmail/A 46496-2022 tillsynsbegäran mail.docx", "A 46496-2022")</f>
        <v/>
      </c>
    </row>
    <row r="96" ht="15" customHeight="1">
      <c r="A96" t="inlineStr">
        <is>
          <t>A 56128-2022</t>
        </is>
      </c>
      <c r="B96" s="1" t="n">
        <v>44889</v>
      </c>
      <c r="C96" s="1" t="n">
        <v>45852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56128-2022 artfynd.xlsx", "A 56128-2022")</f>
        <v/>
      </c>
      <c r="T96">
        <f>HYPERLINK("https://klasma.github.io/Logging_0580/kartor/A 56128-2022 karta.png", "A 56128-2022")</f>
        <v/>
      </c>
      <c r="V96">
        <f>HYPERLINK("https://klasma.github.io/Logging_0580/klagomål/A 56128-2022 FSC-klagomål.docx", "A 56128-2022")</f>
        <v/>
      </c>
      <c r="W96">
        <f>HYPERLINK("https://klasma.github.io/Logging_0580/klagomålsmail/A 56128-2022 FSC-klagomål mail.docx", "A 56128-2022")</f>
        <v/>
      </c>
      <c r="X96">
        <f>HYPERLINK("https://klasma.github.io/Logging_0580/tillsyn/A 56128-2022 tillsynsbegäran.docx", "A 56128-2022")</f>
        <v/>
      </c>
      <c r="Y96">
        <f>HYPERLINK("https://klasma.github.io/Logging_0580/tillsynsmail/A 56128-2022 tillsynsbegäran mail.docx", "A 56128-2022")</f>
        <v/>
      </c>
    </row>
    <row r="97" ht="15" customHeight="1">
      <c r="A97" t="inlineStr">
        <is>
          <t>A 1213-2023</t>
        </is>
      </c>
      <c r="B97" s="1" t="n">
        <v>44930</v>
      </c>
      <c r="C97" s="1" t="n">
        <v>45852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statliga verk och myndigheter</t>
        </is>
      </c>
      <c r="G97" t="n">
        <v>17.8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Stubbspretmossa</t>
        </is>
      </c>
      <c r="S97">
        <f>HYPERLINK("https://klasma.github.io/Logging_0580/artfynd/A 1213-2023 artfynd.xlsx", "A 1213-2023")</f>
        <v/>
      </c>
      <c r="T97">
        <f>HYPERLINK("https://klasma.github.io/Logging_0580/kartor/A 1213-2023 karta.png", "A 1213-2023")</f>
        <v/>
      </c>
      <c r="V97">
        <f>HYPERLINK("https://klasma.github.io/Logging_0580/klagomål/A 1213-2023 FSC-klagomål.docx", "A 1213-2023")</f>
        <v/>
      </c>
      <c r="W97">
        <f>HYPERLINK("https://klasma.github.io/Logging_0580/klagomålsmail/A 1213-2023 FSC-klagomål mail.docx", "A 1213-2023")</f>
        <v/>
      </c>
      <c r="X97">
        <f>HYPERLINK("https://klasma.github.io/Logging_0580/tillsyn/A 1213-2023 tillsynsbegäran.docx", "A 1213-2023")</f>
        <v/>
      </c>
      <c r="Y97">
        <f>HYPERLINK("https://klasma.github.io/Logging_0580/tillsynsmail/A 1213-2023 tillsynsbegäran mail.docx", "A 1213-2023")</f>
        <v/>
      </c>
    </row>
    <row r="98" ht="15" customHeight="1">
      <c r="A98" t="inlineStr">
        <is>
          <t>A 1716-2023</t>
        </is>
      </c>
      <c r="B98" s="1" t="n">
        <v>44938</v>
      </c>
      <c r="C98" s="1" t="n">
        <v>45852</v>
      </c>
      <c r="D98" t="inlineStr">
        <is>
          <t>ÖSTERGÖTLANDS LÄN</t>
        </is>
      </c>
      <c r="E98" t="inlineStr">
        <is>
          <t>LINKÖPING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1716-2023 artfynd.xlsx", "A 1716-2023")</f>
        <v/>
      </c>
      <c r="T98">
        <f>HYPERLINK("https://klasma.github.io/Logging_0580/kartor/A 1716-2023 karta.png", "A 1716-2023")</f>
        <v/>
      </c>
      <c r="V98">
        <f>HYPERLINK("https://klasma.github.io/Logging_0580/klagomål/A 1716-2023 FSC-klagomål.docx", "A 1716-2023")</f>
        <v/>
      </c>
      <c r="W98">
        <f>HYPERLINK("https://klasma.github.io/Logging_0580/klagomålsmail/A 1716-2023 FSC-klagomål mail.docx", "A 1716-2023")</f>
        <v/>
      </c>
      <c r="X98">
        <f>HYPERLINK("https://klasma.github.io/Logging_0580/tillsyn/A 1716-2023 tillsynsbegäran.docx", "A 1716-2023")</f>
        <v/>
      </c>
      <c r="Y98">
        <f>HYPERLINK("https://klasma.github.io/Logging_0580/tillsynsmail/A 1716-2023 tillsynsbegäran mail.docx", "A 1716-2023")</f>
        <v/>
      </c>
    </row>
    <row r="99" ht="15" customHeight="1">
      <c r="A99" t="inlineStr">
        <is>
          <t>A 3395-2023</t>
        </is>
      </c>
      <c r="B99" s="1" t="n">
        <v>44949</v>
      </c>
      <c r="C99" s="1" t="n">
        <v>45852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HYPERLINK("https://klasma.github.io/Logging_0580/artfynd/A 3395-2023 artfynd.xlsx", "A 3395-2023")</f>
        <v/>
      </c>
      <c r="T99">
        <f>HYPERLINK("https://klasma.github.io/Logging_0580/kartor/A 3395-2023 karta.png", "A 3395-2023")</f>
        <v/>
      </c>
      <c r="V99">
        <f>HYPERLINK("https://klasma.github.io/Logging_0580/klagomål/A 3395-2023 FSC-klagomål.docx", "A 3395-2023")</f>
        <v/>
      </c>
      <c r="W99">
        <f>HYPERLINK("https://klasma.github.io/Logging_0580/klagomålsmail/A 3395-2023 FSC-klagomål mail.docx", "A 3395-2023")</f>
        <v/>
      </c>
      <c r="X99">
        <f>HYPERLINK("https://klasma.github.io/Logging_0580/tillsyn/A 3395-2023 tillsynsbegäran.docx", "A 3395-2023")</f>
        <v/>
      </c>
      <c r="Y99">
        <f>HYPERLINK("https://klasma.github.io/Logging_0580/tillsynsmail/A 3395-2023 tillsynsbegäran mail.docx", "A 3395-2023")</f>
        <v/>
      </c>
    </row>
    <row r="100" ht="15" customHeight="1">
      <c r="A100" t="inlineStr">
        <is>
          <t>A 3397-2023</t>
        </is>
      </c>
      <c r="B100" s="1" t="n">
        <v>44949</v>
      </c>
      <c r="C100" s="1" t="n">
        <v>45852</v>
      </c>
      <c r="D100" t="inlineStr">
        <is>
          <t>ÖSTERGÖTLANDS LÄN</t>
        </is>
      </c>
      <c r="E100" t="inlineStr">
        <is>
          <t>LINKÖPING</t>
        </is>
      </c>
      <c r="G100" t="n">
        <v>4.1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3397-2023 artfynd.xlsx", "A 3397-2023")</f>
        <v/>
      </c>
      <c r="T100">
        <f>HYPERLINK("https://klasma.github.io/Logging_0580/kartor/A 3397-2023 karta.png", "A 3397-2023")</f>
        <v/>
      </c>
      <c r="V100">
        <f>HYPERLINK("https://klasma.github.io/Logging_0580/klagomål/A 3397-2023 FSC-klagomål.docx", "A 3397-2023")</f>
        <v/>
      </c>
      <c r="W100">
        <f>HYPERLINK("https://klasma.github.io/Logging_0580/klagomålsmail/A 3397-2023 FSC-klagomål mail.docx", "A 3397-2023")</f>
        <v/>
      </c>
      <c r="X100">
        <f>HYPERLINK("https://klasma.github.io/Logging_0580/tillsyn/A 3397-2023 tillsynsbegäran.docx", "A 3397-2023")</f>
        <v/>
      </c>
      <c r="Y100">
        <f>HYPERLINK("https://klasma.github.io/Logging_0580/tillsynsmail/A 3397-2023 tillsynsbegäran mail.docx", "A 3397-2023")</f>
        <v/>
      </c>
    </row>
    <row r="101" ht="15" customHeight="1">
      <c r="A101" t="inlineStr">
        <is>
          <t>A 4764-2023</t>
        </is>
      </c>
      <c r="B101" s="1" t="n">
        <v>44957</v>
      </c>
      <c r="C101" s="1" t="n">
        <v>45852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HYPERLINK("https://klasma.github.io/Logging_0580/artfynd/A 4764-2023 artfynd.xlsx", "A 4764-2023")</f>
        <v/>
      </c>
      <c r="T101">
        <f>HYPERLINK("https://klasma.github.io/Logging_0580/kartor/A 4764-2023 karta.png", "A 4764-2023")</f>
        <v/>
      </c>
      <c r="V101">
        <f>HYPERLINK("https://klasma.github.io/Logging_0580/klagomål/A 4764-2023 FSC-klagomål.docx", "A 4764-2023")</f>
        <v/>
      </c>
      <c r="W101">
        <f>HYPERLINK("https://klasma.github.io/Logging_0580/klagomålsmail/A 4764-2023 FSC-klagomål mail.docx", "A 4764-2023")</f>
        <v/>
      </c>
      <c r="X101">
        <f>HYPERLINK("https://klasma.github.io/Logging_0580/tillsyn/A 4764-2023 tillsynsbegäran.docx", "A 4764-2023")</f>
        <v/>
      </c>
      <c r="Y101">
        <f>HYPERLINK("https://klasma.github.io/Logging_0580/tillsynsmail/A 4764-2023 tillsynsbegäran mail.docx", "A 4764-2023")</f>
        <v/>
      </c>
    </row>
    <row r="102" ht="15" customHeight="1">
      <c r="A102" t="inlineStr">
        <is>
          <t>A 4929-2023</t>
        </is>
      </c>
      <c r="B102" s="1" t="n">
        <v>44958</v>
      </c>
      <c r="C102" s="1" t="n">
        <v>45852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Sågfibbla</t>
        </is>
      </c>
      <c r="S102">
        <f>HYPERLINK("https://klasma.github.io/Logging_0580/artfynd/A 4929-2023 artfynd.xlsx", "A 4929-2023")</f>
        <v/>
      </c>
      <c r="T102">
        <f>HYPERLINK("https://klasma.github.io/Logging_0580/kartor/A 4929-2023 karta.png", "A 4929-2023")</f>
        <v/>
      </c>
      <c r="V102">
        <f>HYPERLINK("https://klasma.github.io/Logging_0580/klagomål/A 4929-2023 FSC-klagomål.docx", "A 4929-2023")</f>
        <v/>
      </c>
      <c r="W102">
        <f>HYPERLINK("https://klasma.github.io/Logging_0580/klagomålsmail/A 4929-2023 FSC-klagomål mail.docx", "A 4929-2023")</f>
        <v/>
      </c>
      <c r="X102">
        <f>HYPERLINK("https://klasma.github.io/Logging_0580/tillsyn/A 4929-2023 tillsynsbegäran.docx", "A 4929-2023")</f>
        <v/>
      </c>
      <c r="Y102">
        <f>HYPERLINK("https://klasma.github.io/Logging_0580/tillsynsmail/A 4929-2023 tillsynsbegäran mail.docx", "A 4929-2023")</f>
        <v/>
      </c>
    </row>
    <row r="103" ht="15" customHeight="1">
      <c r="A103" t="inlineStr">
        <is>
          <t>A 8719-2023</t>
        </is>
      </c>
      <c r="B103" s="1" t="n">
        <v>44973</v>
      </c>
      <c r="C103" s="1" t="n">
        <v>45852</v>
      </c>
      <c r="D103" t="inlineStr">
        <is>
          <t>ÖSTERGÖTLANDS LÄN</t>
        </is>
      </c>
      <c r="E103" t="inlineStr">
        <is>
          <t>LINKÖPING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HYPERLINK("https://klasma.github.io/Logging_0580/artfynd/A 8719-2023 artfynd.xlsx", "A 8719-2023")</f>
        <v/>
      </c>
      <c r="T103">
        <f>HYPERLINK("https://klasma.github.io/Logging_0580/kartor/A 8719-2023 karta.png", "A 8719-2023")</f>
        <v/>
      </c>
      <c r="V103">
        <f>HYPERLINK("https://klasma.github.io/Logging_0580/klagomål/A 8719-2023 FSC-klagomål.docx", "A 8719-2023")</f>
        <v/>
      </c>
      <c r="W103">
        <f>HYPERLINK("https://klasma.github.io/Logging_0580/klagomålsmail/A 8719-2023 FSC-klagomål mail.docx", "A 8719-2023")</f>
        <v/>
      </c>
      <c r="X103">
        <f>HYPERLINK("https://klasma.github.io/Logging_0580/tillsyn/A 8719-2023 tillsynsbegäran.docx", "A 8719-2023")</f>
        <v/>
      </c>
      <c r="Y103">
        <f>HYPERLINK("https://klasma.github.io/Logging_0580/tillsynsmail/A 8719-2023 tillsynsbegäran mail.docx", "A 8719-2023")</f>
        <v/>
      </c>
      <c r="Z103">
        <f>HYPERLINK("https://klasma.github.io/Logging_0580/fåglar/A 8719-2023 prioriterade fågelarter.docx", "A 8719-2023")</f>
        <v/>
      </c>
    </row>
    <row r="104" ht="15" customHeight="1">
      <c r="A104" t="inlineStr">
        <is>
          <t>A 22040-2023</t>
        </is>
      </c>
      <c r="B104" s="1" t="n">
        <v>45068</v>
      </c>
      <c r="C104" s="1" t="n">
        <v>45852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HYPERLINK("https://klasma.github.io/Logging_0580/artfynd/A 22040-2023 artfynd.xlsx", "A 22040-2023")</f>
        <v/>
      </c>
      <c r="T104">
        <f>HYPERLINK("https://klasma.github.io/Logging_0580/kartor/A 22040-2023 karta.png", "A 22040-2023")</f>
        <v/>
      </c>
      <c r="V104">
        <f>HYPERLINK("https://klasma.github.io/Logging_0580/klagomål/A 22040-2023 FSC-klagomål.docx", "A 22040-2023")</f>
        <v/>
      </c>
      <c r="W104">
        <f>HYPERLINK("https://klasma.github.io/Logging_0580/klagomålsmail/A 22040-2023 FSC-klagomål mail.docx", "A 22040-2023")</f>
        <v/>
      </c>
      <c r="X104">
        <f>HYPERLINK("https://klasma.github.io/Logging_0580/tillsyn/A 22040-2023 tillsynsbegäran.docx", "A 22040-2023")</f>
        <v/>
      </c>
      <c r="Y104">
        <f>HYPERLINK("https://klasma.github.io/Logging_0580/tillsynsmail/A 22040-2023 tillsynsbegäran mail.docx", "A 22040-2023")</f>
        <v/>
      </c>
    </row>
    <row r="105" ht="15" customHeight="1">
      <c r="A105" t="inlineStr">
        <is>
          <t>A 22137-2023</t>
        </is>
      </c>
      <c r="B105" s="1" t="n">
        <v>45069</v>
      </c>
      <c r="C105" s="1" t="n">
        <v>45852</v>
      </c>
      <c r="D105" t="inlineStr">
        <is>
          <t>ÖSTERGÖTLANDS LÄN</t>
        </is>
      </c>
      <c r="E105" t="inlineStr">
        <is>
          <t>LINKÖPING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Granbarkgnagare</t>
        </is>
      </c>
      <c r="S105">
        <f>HYPERLINK("https://klasma.github.io/Logging_0580/artfynd/A 22137-2023 artfynd.xlsx", "A 22137-2023")</f>
        <v/>
      </c>
      <c r="T105">
        <f>HYPERLINK("https://klasma.github.io/Logging_0580/kartor/A 22137-2023 karta.png", "A 22137-2023")</f>
        <v/>
      </c>
      <c r="V105">
        <f>HYPERLINK("https://klasma.github.io/Logging_0580/klagomål/A 22137-2023 FSC-klagomål.docx", "A 22137-2023")</f>
        <v/>
      </c>
      <c r="W105">
        <f>HYPERLINK("https://klasma.github.io/Logging_0580/klagomålsmail/A 22137-2023 FSC-klagomål mail.docx", "A 22137-2023")</f>
        <v/>
      </c>
      <c r="X105">
        <f>HYPERLINK("https://klasma.github.io/Logging_0580/tillsyn/A 22137-2023 tillsynsbegäran.docx", "A 22137-2023")</f>
        <v/>
      </c>
      <c r="Y105">
        <f>HYPERLINK("https://klasma.github.io/Logging_0580/tillsynsmail/A 22137-2023 tillsynsbegäran mail.docx", "A 22137-2023")</f>
        <v/>
      </c>
    </row>
    <row r="106" ht="15" customHeight="1">
      <c r="A106" t="inlineStr">
        <is>
          <t>A 23864-2023</t>
        </is>
      </c>
      <c r="B106" s="1" t="n">
        <v>45078</v>
      </c>
      <c r="C106" s="1" t="n">
        <v>45852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23864-2023 artfynd.xlsx", "A 23864-2023")</f>
        <v/>
      </c>
      <c r="T106">
        <f>HYPERLINK("https://klasma.github.io/Logging_0580/kartor/A 23864-2023 karta.png", "A 23864-2023")</f>
        <v/>
      </c>
      <c r="V106">
        <f>HYPERLINK("https://klasma.github.io/Logging_0580/klagomål/A 23864-2023 FSC-klagomål.docx", "A 23864-2023")</f>
        <v/>
      </c>
      <c r="W106">
        <f>HYPERLINK("https://klasma.github.io/Logging_0580/klagomålsmail/A 23864-2023 FSC-klagomål mail.docx", "A 23864-2023")</f>
        <v/>
      </c>
      <c r="X106">
        <f>HYPERLINK("https://klasma.github.io/Logging_0580/tillsyn/A 23864-2023 tillsynsbegäran.docx", "A 23864-2023")</f>
        <v/>
      </c>
      <c r="Y106">
        <f>HYPERLINK("https://klasma.github.io/Logging_0580/tillsynsmail/A 23864-2023 tillsynsbegäran mail.docx", "A 23864-2023")</f>
        <v/>
      </c>
    </row>
    <row r="107" ht="15" customHeight="1">
      <c r="A107" t="inlineStr">
        <is>
          <t>A 33573-2023</t>
        </is>
      </c>
      <c r="B107" s="1" t="n">
        <v>45131</v>
      </c>
      <c r="C107" s="1" t="n">
        <v>45852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HYPERLINK("https://klasma.github.io/Logging_0580/artfynd/A 33573-2023 artfynd.xlsx", "A 33573-2023")</f>
        <v/>
      </c>
      <c r="T107">
        <f>HYPERLINK("https://klasma.github.io/Logging_0580/kartor/A 33573-2023 karta.png", "A 33573-2023")</f>
        <v/>
      </c>
      <c r="V107">
        <f>HYPERLINK("https://klasma.github.io/Logging_0580/klagomål/A 33573-2023 FSC-klagomål.docx", "A 33573-2023")</f>
        <v/>
      </c>
      <c r="W107">
        <f>HYPERLINK("https://klasma.github.io/Logging_0580/klagomålsmail/A 33573-2023 FSC-klagomål mail.docx", "A 33573-2023")</f>
        <v/>
      </c>
      <c r="X107">
        <f>HYPERLINK("https://klasma.github.io/Logging_0580/tillsyn/A 33573-2023 tillsynsbegäran.docx", "A 33573-2023")</f>
        <v/>
      </c>
      <c r="Y107">
        <f>HYPERLINK("https://klasma.github.io/Logging_0580/tillsynsmail/A 33573-2023 tillsynsbegäran mail.docx", "A 33573-2023")</f>
        <v/>
      </c>
    </row>
    <row r="108" ht="15" customHeight="1">
      <c r="A108" t="inlineStr">
        <is>
          <t>A 34881-2023</t>
        </is>
      </c>
      <c r="B108" s="1" t="n">
        <v>45140</v>
      </c>
      <c r="C108" s="1" t="n">
        <v>45852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HYPERLINK("https://klasma.github.io/Logging_0580/artfynd/A 34881-2023 artfynd.xlsx", "A 34881-2023")</f>
        <v/>
      </c>
      <c r="T108">
        <f>HYPERLINK("https://klasma.github.io/Logging_0580/kartor/A 34881-2023 karta.png", "A 34881-2023")</f>
        <v/>
      </c>
      <c r="U108">
        <f>HYPERLINK("https://klasma.github.io/Logging_0580/knärot/A 34881-2023 karta knärot.png", "A 34881-2023")</f>
        <v/>
      </c>
      <c r="V108">
        <f>HYPERLINK("https://klasma.github.io/Logging_0580/klagomål/A 34881-2023 FSC-klagomål.docx", "A 34881-2023")</f>
        <v/>
      </c>
      <c r="W108">
        <f>HYPERLINK("https://klasma.github.io/Logging_0580/klagomålsmail/A 34881-2023 FSC-klagomål mail.docx", "A 34881-2023")</f>
        <v/>
      </c>
      <c r="X108">
        <f>HYPERLINK("https://klasma.github.io/Logging_0580/tillsyn/A 34881-2023 tillsynsbegäran.docx", "A 34881-2023")</f>
        <v/>
      </c>
      <c r="Y108">
        <f>HYPERLINK("https://klasma.github.io/Logging_0580/tillsynsmail/A 34881-2023 tillsynsbegäran mail.docx", "A 34881-2023")</f>
        <v/>
      </c>
    </row>
    <row r="109" ht="15" customHeight="1">
      <c r="A109" t="inlineStr">
        <is>
          <t>A 35948-2023</t>
        </is>
      </c>
      <c r="B109" s="1" t="n">
        <v>45148</v>
      </c>
      <c r="C109" s="1" t="n">
        <v>45852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Brun nållav</t>
        </is>
      </c>
      <c r="S109">
        <f>HYPERLINK("https://klasma.github.io/Logging_0580/artfynd/A 35948-2023 artfynd.xlsx", "A 35948-2023")</f>
        <v/>
      </c>
      <c r="T109">
        <f>HYPERLINK("https://klasma.github.io/Logging_0580/kartor/A 35948-2023 karta.png", "A 35948-2023")</f>
        <v/>
      </c>
      <c r="V109">
        <f>HYPERLINK("https://klasma.github.io/Logging_0580/klagomål/A 35948-2023 FSC-klagomål.docx", "A 35948-2023")</f>
        <v/>
      </c>
      <c r="W109">
        <f>HYPERLINK("https://klasma.github.io/Logging_0580/klagomålsmail/A 35948-2023 FSC-klagomål mail.docx", "A 35948-2023")</f>
        <v/>
      </c>
      <c r="X109">
        <f>HYPERLINK("https://klasma.github.io/Logging_0580/tillsyn/A 35948-2023 tillsynsbegäran.docx", "A 35948-2023")</f>
        <v/>
      </c>
      <c r="Y109">
        <f>HYPERLINK("https://klasma.github.io/Logging_0580/tillsynsmail/A 35948-2023 tillsynsbegäran mail.docx", "A 35948-2023")</f>
        <v/>
      </c>
    </row>
    <row r="110" ht="15" customHeight="1">
      <c r="A110" t="inlineStr">
        <is>
          <t>A 36723-2023</t>
        </is>
      </c>
      <c r="B110" s="1" t="n">
        <v>45153</v>
      </c>
      <c r="C110" s="1" t="n">
        <v>45852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Bitter taggsvamp</t>
        </is>
      </c>
      <c r="S110">
        <f>HYPERLINK("https://klasma.github.io/Logging_0580/artfynd/A 36723-2023 artfynd.xlsx", "A 36723-2023")</f>
        <v/>
      </c>
      <c r="T110">
        <f>HYPERLINK("https://klasma.github.io/Logging_0580/kartor/A 36723-2023 karta.png", "A 36723-2023")</f>
        <v/>
      </c>
      <c r="V110">
        <f>HYPERLINK("https://klasma.github.io/Logging_0580/klagomål/A 36723-2023 FSC-klagomål.docx", "A 36723-2023")</f>
        <v/>
      </c>
      <c r="W110">
        <f>HYPERLINK("https://klasma.github.io/Logging_0580/klagomålsmail/A 36723-2023 FSC-klagomål mail.docx", "A 36723-2023")</f>
        <v/>
      </c>
      <c r="X110">
        <f>HYPERLINK("https://klasma.github.io/Logging_0580/tillsyn/A 36723-2023 tillsynsbegäran.docx", "A 36723-2023")</f>
        <v/>
      </c>
      <c r="Y110">
        <f>HYPERLINK("https://klasma.github.io/Logging_0580/tillsynsmail/A 36723-2023 tillsynsbegäran mail.docx", "A 36723-2023")</f>
        <v/>
      </c>
    </row>
    <row r="111" ht="15" customHeight="1">
      <c r="A111" t="inlineStr">
        <is>
          <t>A 41749-2023</t>
        </is>
      </c>
      <c r="B111" s="1" t="n">
        <v>45176</v>
      </c>
      <c r="C111" s="1" t="n">
        <v>45852</v>
      </c>
      <c r="D111" t="inlineStr">
        <is>
          <t>ÖSTERGÖTLANDS LÄN</t>
        </is>
      </c>
      <c r="E111" t="inlineStr">
        <is>
          <t>LINKÖPING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41749-2023 artfynd.xlsx", "A 41749-2023")</f>
        <v/>
      </c>
      <c r="T111">
        <f>HYPERLINK("https://klasma.github.io/Logging_0580/kartor/A 41749-2023 karta.png", "A 41749-2023")</f>
        <v/>
      </c>
      <c r="V111">
        <f>HYPERLINK("https://klasma.github.io/Logging_0580/klagomål/A 41749-2023 FSC-klagomål.docx", "A 41749-2023")</f>
        <v/>
      </c>
      <c r="W111">
        <f>HYPERLINK("https://klasma.github.io/Logging_0580/klagomålsmail/A 41749-2023 FSC-klagomål mail.docx", "A 41749-2023")</f>
        <v/>
      </c>
      <c r="X111">
        <f>HYPERLINK("https://klasma.github.io/Logging_0580/tillsyn/A 41749-2023 tillsynsbegäran.docx", "A 41749-2023")</f>
        <v/>
      </c>
      <c r="Y111">
        <f>HYPERLINK("https://klasma.github.io/Logging_0580/tillsynsmail/A 41749-2023 tillsynsbegäran mail.docx", "A 41749-2023")</f>
        <v/>
      </c>
    </row>
    <row r="112" ht="15" customHeight="1">
      <c r="A112" t="inlineStr">
        <is>
          <t>A 45317-2023</t>
        </is>
      </c>
      <c r="B112" s="1" t="n">
        <v>45191</v>
      </c>
      <c r="C112" s="1" t="n">
        <v>45852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29.3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45317-2023 artfynd.xlsx", "A 45317-2023")</f>
        <v/>
      </c>
      <c r="T112">
        <f>HYPERLINK("https://klasma.github.io/Logging_0580/kartor/A 45317-2023 karta.png", "A 45317-2023")</f>
        <v/>
      </c>
      <c r="V112">
        <f>HYPERLINK("https://klasma.github.io/Logging_0580/klagomål/A 45317-2023 FSC-klagomål.docx", "A 45317-2023")</f>
        <v/>
      </c>
      <c r="W112">
        <f>HYPERLINK("https://klasma.github.io/Logging_0580/klagomålsmail/A 45317-2023 FSC-klagomål mail.docx", "A 45317-2023")</f>
        <v/>
      </c>
      <c r="X112">
        <f>HYPERLINK("https://klasma.github.io/Logging_0580/tillsyn/A 45317-2023 tillsynsbegäran.docx", "A 45317-2023")</f>
        <v/>
      </c>
      <c r="Y112">
        <f>HYPERLINK("https://klasma.github.io/Logging_0580/tillsynsmail/A 45317-2023 tillsynsbegäran mail.docx", "A 45317-2023")</f>
        <v/>
      </c>
    </row>
    <row r="113" ht="15" customHeight="1">
      <c r="A113" t="inlineStr">
        <is>
          <t>A 45754-2023</t>
        </is>
      </c>
      <c r="B113" s="1" t="n">
        <v>45195</v>
      </c>
      <c r="C113" s="1" t="n">
        <v>45852</v>
      </c>
      <c r="D113" t="inlineStr">
        <is>
          <t>ÖSTERGÖTLANDS LÄN</t>
        </is>
      </c>
      <c r="E113" t="inlineStr">
        <is>
          <t>LINKÖPING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Rostfläck</t>
        </is>
      </c>
      <c r="S113">
        <f>HYPERLINK("https://klasma.github.io/Logging_0580/artfynd/A 45754-2023 artfynd.xlsx", "A 45754-2023")</f>
        <v/>
      </c>
      <c r="T113">
        <f>HYPERLINK("https://klasma.github.io/Logging_0580/kartor/A 45754-2023 karta.png", "A 45754-2023")</f>
        <v/>
      </c>
      <c r="V113">
        <f>HYPERLINK("https://klasma.github.io/Logging_0580/klagomål/A 45754-2023 FSC-klagomål.docx", "A 45754-2023")</f>
        <v/>
      </c>
      <c r="W113">
        <f>HYPERLINK("https://klasma.github.io/Logging_0580/klagomålsmail/A 45754-2023 FSC-klagomål mail.docx", "A 45754-2023")</f>
        <v/>
      </c>
      <c r="X113">
        <f>HYPERLINK("https://klasma.github.io/Logging_0580/tillsyn/A 45754-2023 tillsynsbegäran.docx", "A 45754-2023")</f>
        <v/>
      </c>
      <c r="Y113">
        <f>HYPERLINK("https://klasma.github.io/Logging_0580/tillsynsmail/A 45754-2023 tillsynsbegäran mail.docx", "A 45754-2023")</f>
        <v/>
      </c>
    </row>
    <row r="114" ht="15" customHeight="1">
      <c r="A114" t="inlineStr">
        <is>
          <t>A 50806-2023</t>
        </is>
      </c>
      <c r="B114" s="1" t="n">
        <v>45217</v>
      </c>
      <c r="C114" s="1" t="n">
        <v>45852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HYPERLINK("https://klasma.github.io/Logging_0580/artfynd/A 50806-2023 artfynd.xlsx", "A 50806-2023")</f>
        <v/>
      </c>
      <c r="T114">
        <f>HYPERLINK("https://klasma.github.io/Logging_0580/kartor/A 50806-2023 karta.png", "A 50806-2023")</f>
        <v/>
      </c>
      <c r="V114">
        <f>HYPERLINK("https://klasma.github.io/Logging_0580/klagomål/A 50806-2023 FSC-klagomål.docx", "A 50806-2023")</f>
        <v/>
      </c>
      <c r="W114">
        <f>HYPERLINK("https://klasma.github.io/Logging_0580/klagomålsmail/A 50806-2023 FSC-klagomål mail.docx", "A 50806-2023")</f>
        <v/>
      </c>
      <c r="X114">
        <f>HYPERLINK("https://klasma.github.io/Logging_0580/tillsyn/A 50806-2023 tillsynsbegäran.docx", "A 50806-2023")</f>
        <v/>
      </c>
      <c r="Y114">
        <f>HYPERLINK("https://klasma.github.io/Logging_0580/tillsynsmail/A 50806-2023 tillsynsbegäran mail.docx", "A 50806-2023")</f>
        <v/>
      </c>
    </row>
    <row r="115" ht="15" customHeight="1">
      <c r="A115" t="inlineStr">
        <is>
          <t>A 51591-2023</t>
        </is>
      </c>
      <c r="B115" s="1" t="n">
        <v>45222</v>
      </c>
      <c r="C115" s="1" t="n">
        <v>45852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7.8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Äkta lopplummer</t>
        </is>
      </c>
      <c r="S115">
        <f>HYPERLINK("https://klasma.github.io/Logging_0580/artfynd/A 51591-2023 artfynd.xlsx", "A 51591-2023")</f>
        <v/>
      </c>
      <c r="T115">
        <f>HYPERLINK("https://klasma.github.io/Logging_0580/kartor/A 51591-2023 karta.png", "A 51591-2023")</f>
        <v/>
      </c>
      <c r="V115">
        <f>HYPERLINK("https://klasma.github.io/Logging_0580/klagomål/A 51591-2023 FSC-klagomål.docx", "A 51591-2023")</f>
        <v/>
      </c>
      <c r="W115">
        <f>HYPERLINK("https://klasma.github.io/Logging_0580/klagomålsmail/A 51591-2023 FSC-klagomål mail.docx", "A 51591-2023")</f>
        <v/>
      </c>
      <c r="X115">
        <f>HYPERLINK("https://klasma.github.io/Logging_0580/tillsyn/A 51591-2023 tillsynsbegäran.docx", "A 51591-2023")</f>
        <v/>
      </c>
      <c r="Y115">
        <f>HYPERLINK("https://klasma.github.io/Logging_0580/tillsynsmail/A 51591-2023 tillsynsbegäran mail.docx", "A 51591-2023")</f>
        <v/>
      </c>
    </row>
    <row r="116" ht="15" customHeight="1">
      <c r="A116" t="inlineStr">
        <is>
          <t>A 54835-2023</t>
        </is>
      </c>
      <c r="B116" s="1" t="n">
        <v>45236</v>
      </c>
      <c r="C116" s="1" t="n">
        <v>45852</v>
      </c>
      <c r="D116" t="inlineStr">
        <is>
          <t>ÖSTERGÖTLANDS LÄN</t>
        </is>
      </c>
      <c r="E116" t="inlineStr">
        <is>
          <t>LINKÖPING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HYPERLINK("https://klasma.github.io/Logging_0580/artfynd/A 54835-2023 artfynd.xlsx", "A 54835-2023")</f>
        <v/>
      </c>
      <c r="T116">
        <f>HYPERLINK("https://klasma.github.io/Logging_0580/kartor/A 54835-2023 karta.png", "A 54835-2023")</f>
        <v/>
      </c>
      <c r="V116">
        <f>HYPERLINK("https://klasma.github.io/Logging_0580/klagomål/A 54835-2023 FSC-klagomål.docx", "A 54835-2023")</f>
        <v/>
      </c>
      <c r="W116">
        <f>HYPERLINK("https://klasma.github.io/Logging_0580/klagomålsmail/A 54835-2023 FSC-klagomål mail.docx", "A 54835-2023")</f>
        <v/>
      </c>
      <c r="X116">
        <f>HYPERLINK("https://klasma.github.io/Logging_0580/tillsyn/A 54835-2023 tillsynsbegäran.docx", "A 54835-2023")</f>
        <v/>
      </c>
      <c r="Y116">
        <f>HYPERLINK("https://klasma.github.io/Logging_0580/tillsynsmail/A 54835-2023 tillsynsbegäran mail.docx", "A 54835-2023")</f>
        <v/>
      </c>
      <c r="Z116">
        <f>HYPERLINK("https://klasma.github.io/Logging_0580/fåglar/A 54835-2023 prioriterade fågelarter.docx", "A 54835-2023")</f>
        <v/>
      </c>
    </row>
    <row r="117" ht="15" customHeight="1">
      <c r="A117" t="inlineStr">
        <is>
          <t>A 56651-2023</t>
        </is>
      </c>
      <c r="B117" s="1" t="n">
        <v>45243</v>
      </c>
      <c r="C117" s="1" t="n">
        <v>45852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 dropplav</t>
        </is>
      </c>
      <c r="S117">
        <f>HYPERLINK("https://klasma.github.io/Logging_0580/artfynd/A 56651-2023 artfynd.xlsx", "A 56651-2023")</f>
        <v/>
      </c>
      <c r="T117">
        <f>HYPERLINK("https://klasma.github.io/Logging_0580/kartor/A 56651-2023 karta.png", "A 56651-2023")</f>
        <v/>
      </c>
      <c r="V117">
        <f>HYPERLINK("https://klasma.github.io/Logging_0580/klagomål/A 56651-2023 FSC-klagomål.docx", "A 56651-2023")</f>
        <v/>
      </c>
      <c r="W117">
        <f>HYPERLINK("https://klasma.github.io/Logging_0580/klagomålsmail/A 56651-2023 FSC-klagomål mail.docx", "A 56651-2023")</f>
        <v/>
      </c>
      <c r="X117">
        <f>HYPERLINK("https://klasma.github.io/Logging_0580/tillsyn/A 56651-2023 tillsynsbegäran.docx", "A 56651-2023")</f>
        <v/>
      </c>
      <c r="Y117">
        <f>HYPERLINK("https://klasma.github.io/Logging_0580/tillsynsmail/A 56651-2023 tillsynsbegäran mail.docx", "A 56651-2023")</f>
        <v/>
      </c>
    </row>
    <row r="118" ht="15" customHeight="1">
      <c r="A118" t="inlineStr">
        <is>
          <t>A 62071-2023</t>
        </is>
      </c>
      <c r="B118" s="1" t="n">
        <v>45266</v>
      </c>
      <c r="C118" s="1" t="n">
        <v>45852</v>
      </c>
      <c r="D118" t="inlineStr">
        <is>
          <t>ÖSTERGÖTLANDS LÄN</t>
        </is>
      </c>
      <c r="E118" t="inlineStr">
        <is>
          <t>LINKÖPING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HYPERLINK("https://klasma.github.io/Logging_0580/artfynd/A 62071-2023 artfynd.xlsx", "A 62071-2023")</f>
        <v/>
      </c>
      <c r="T118">
        <f>HYPERLINK("https://klasma.github.io/Logging_0580/kartor/A 62071-2023 karta.png", "A 62071-2023")</f>
        <v/>
      </c>
      <c r="V118">
        <f>HYPERLINK("https://klasma.github.io/Logging_0580/klagomål/A 62071-2023 FSC-klagomål.docx", "A 62071-2023")</f>
        <v/>
      </c>
      <c r="W118">
        <f>HYPERLINK("https://klasma.github.io/Logging_0580/klagomålsmail/A 62071-2023 FSC-klagomål mail.docx", "A 62071-2023")</f>
        <v/>
      </c>
      <c r="X118">
        <f>HYPERLINK("https://klasma.github.io/Logging_0580/tillsyn/A 62071-2023 tillsynsbegäran.docx", "A 62071-2023")</f>
        <v/>
      </c>
      <c r="Y118">
        <f>HYPERLINK("https://klasma.github.io/Logging_0580/tillsynsmail/A 62071-2023 tillsynsbegäran mail.docx", "A 62071-2023")</f>
        <v/>
      </c>
    </row>
    <row r="119" ht="15" customHeight="1">
      <c r="A119" t="inlineStr">
        <is>
          <t>A 63325-2023</t>
        </is>
      </c>
      <c r="B119" s="1" t="n">
        <v>45274</v>
      </c>
      <c r="C119" s="1" t="n">
        <v>45852</v>
      </c>
      <c r="D119" t="inlineStr">
        <is>
          <t>ÖSTERGÖTLANDS LÄN</t>
        </is>
      </c>
      <c r="E119" t="inlineStr">
        <is>
          <t>LINKÖPING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HYPERLINK("https://klasma.github.io/Logging_0580/artfynd/A 63325-2023 artfynd.xlsx", "A 63325-2023")</f>
        <v/>
      </c>
      <c r="T119">
        <f>HYPERLINK("https://klasma.github.io/Logging_0580/kartor/A 63325-2023 karta.png", "A 63325-2023")</f>
        <v/>
      </c>
      <c r="V119">
        <f>HYPERLINK("https://klasma.github.io/Logging_0580/klagomål/A 63325-2023 FSC-klagomål.docx", "A 63325-2023")</f>
        <v/>
      </c>
      <c r="W119">
        <f>HYPERLINK("https://klasma.github.io/Logging_0580/klagomålsmail/A 63325-2023 FSC-klagomål mail.docx", "A 63325-2023")</f>
        <v/>
      </c>
      <c r="X119">
        <f>HYPERLINK("https://klasma.github.io/Logging_0580/tillsyn/A 63325-2023 tillsynsbegäran.docx", "A 63325-2023")</f>
        <v/>
      </c>
      <c r="Y119">
        <f>HYPERLINK("https://klasma.github.io/Logging_0580/tillsynsmail/A 63325-2023 tillsynsbegäran mail.docx", "A 63325-2023")</f>
        <v/>
      </c>
    </row>
    <row r="120" ht="15" customHeight="1">
      <c r="A120" t="inlineStr">
        <is>
          <t>A 63558-2023</t>
        </is>
      </c>
      <c r="B120" s="1" t="n">
        <v>45275</v>
      </c>
      <c r="C120" s="1" t="n">
        <v>45852</v>
      </c>
      <c r="D120" t="inlineStr">
        <is>
          <t>ÖSTERGÖTLANDS LÄN</t>
        </is>
      </c>
      <c r="E120" t="inlineStr">
        <is>
          <t>LINKÖPING</t>
        </is>
      </c>
      <c r="G120" t="n">
        <v>5.3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63558-2023 artfynd.xlsx", "A 63558-2023")</f>
        <v/>
      </c>
      <c r="T120">
        <f>HYPERLINK("https://klasma.github.io/Logging_0580/kartor/A 63558-2023 karta.png", "A 63558-2023")</f>
        <v/>
      </c>
      <c r="V120">
        <f>HYPERLINK("https://klasma.github.io/Logging_0580/klagomål/A 63558-2023 FSC-klagomål.docx", "A 63558-2023")</f>
        <v/>
      </c>
      <c r="W120">
        <f>HYPERLINK("https://klasma.github.io/Logging_0580/klagomålsmail/A 63558-2023 FSC-klagomål mail.docx", "A 63558-2023")</f>
        <v/>
      </c>
      <c r="X120">
        <f>HYPERLINK("https://klasma.github.io/Logging_0580/tillsyn/A 63558-2023 tillsynsbegäran.docx", "A 63558-2023")</f>
        <v/>
      </c>
      <c r="Y120">
        <f>HYPERLINK("https://klasma.github.io/Logging_0580/tillsynsmail/A 63558-2023 tillsynsbegäran mail.docx", "A 63558-2023")</f>
        <v/>
      </c>
    </row>
    <row r="121" ht="15" customHeight="1">
      <c r="A121" t="inlineStr">
        <is>
          <t>A 90-2024</t>
        </is>
      </c>
      <c r="B121" s="1" t="n">
        <v>45293</v>
      </c>
      <c r="C121" s="1" t="n">
        <v>45852</v>
      </c>
      <c r="D121" t="inlineStr">
        <is>
          <t>ÖSTERGÖTLANDS LÄN</t>
        </is>
      </c>
      <c r="E121" t="inlineStr">
        <is>
          <t>LINKÖPING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Grov fjädermossa</t>
        </is>
      </c>
      <c r="S121">
        <f>HYPERLINK("https://klasma.github.io/Logging_0580/artfynd/A 90-2024 artfynd.xlsx", "A 90-2024")</f>
        <v/>
      </c>
      <c r="T121">
        <f>HYPERLINK("https://klasma.github.io/Logging_0580/kartor/A 90-2024 karta.png", "A 90-2024")</f>
        <v/>
      </c>
      <c r="V121">
        <f>HYPERLINK("https://klasma.github.io/Logging_0580/klagomål/A 90-2024 FSC-klagomål.docx", "A 90-2024")</f>
        <v/>
      </c>
      <c r="W121">
        <f>HYPERLINK("https://klasma.github.io/Logging_0580/klagomålsmail/A 90-2024 FSC-klagomål mail.docx", "A 90-2024")</f>
        <v/>
      </c>
      <c r="X121">
        <f>HYPERLINK("https://klasma.github.io/Logging_0580/tillsyn/A 90-2024 tillsynsbegäran.docx", "A 90-2024")</f>
        <v/>
      </c>
      <c r="Y121">
        <f>HYPERLINK("https://klasma.github.io/Logging_0580/tillsynsmail/A 90-2024 tillsynsbegäran mail.docx", "A 90-2024")</f>
        <v/>
      </c>
    </row>
    <row r="122" ht="15" customHeight="1">
      <c r="A122" t="inlineStr">
        <is>
          <t>A 126-2024</t>
        </is>
      </c>
      <c r="B122" s="1" t="n">
        <v>45294</v>
      </c>
      <c r="C122" s="1" t="n">
        <v>45852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HYPERLINK("https://klasma.github.io/Logging_0580/artfynd/A 126-2024 artfynd.xlsx", "A 126-2024")</f>
        <v/>
      </c>
      <c r="T122">
        <f>HYPERLINK("https://klasma.github.io/Logging_0580/kartor/A 126-2024 karta.png", "A 126-2024")</f>
        <v/>
      </c>
      <c r="V122">
        <f>HYPERLINK("https://klasma.github.io/Logging_0580/klagomål/A 126-2024 FSC-klagomål.docx", "A 126-2024")</f>
        <v/>
      </c>
      <c r="W122">
        <f>HYPERLINK("https://klasma.github.io/Logging_0580/klagomålsmail/A 126-2024 FSC-klagomål mail.docx", "A 126-2024")</f>
        <v/>
      </c>
      <c r="X122">
        <f>HYPERLINK("https://klasma.github.io/Logging_0580/tillsyn/A 126-2024 tillsynsbegäran.docx", "A 126-2024")</f>
        <v/>
      </c>
      <c r="Y122">
        <f>HYPERLINK("https://klasma.github.io/Logging_0580/tillsynsmail/A 126-2024 tillsynsbegäran mail.docx", "A 126-2024")</f>
        <v/>
      </c>
    </row>
    <row r="123" ht="15" customHeight="1">
      <c r="A123" t="inlineStr">
        <is>
          <t>A 622-2024</t>
        </is>
      </c>
      <c r="B123" s="1" t="n">
        <v>45299</v>
      </c>
      <c r="C123" s="1" t="n">
        <v>45852</v>
      </c>
      <c r="D123" t="inlineStr">
        <is>
          <t>ÖSTERGÖTLANDS LÄN</t>
        </is>
      </c>
      <c r="E123" t="inlineStr">
        <is>
          <t>LINKÖPING</t>
        </is>
      </c>
      <c r="G123" t="n">
        <v>8.699999999999999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flugsnappare</t>
        </is>
      </c>
      <c r="S123">
        <f>HYPERLINK("https://klasma.github.io/Logging_0580/artfynd/A 622-2024 artfynd.xlsx", "A 622-2024")</f>
        <v/>
      </c>
      <c r="T123">
        <f>HYPERLINK("https://klasma.github.io/Logging_0580/kartor/A 622-2024 karta.png", "A 622-2024")</f>
        <v/>
      </c>
      <c r="V123">
        <f>HYPERLINK("https://klasma.github.io/Logging_0580/klagomål/A 622-2024 FSC-klagomål.docx", "A 622-2024")</f>
        <v/>
      </c>
      <c r="W123">
        <f>HYPERLINK("https://klasma.github.io/Logging_0580/klagomålsmail/A 622-2024 FSC-klagomål mail.docx", "A 622-2024")</f>
        <v/>
      </c>
      <c r="X123">
        <f>HYPERLINK("https://klasma.github.io/Logging_0580/tillsyn/A 622-2024 tillsynsbegäran.docx", "A 622-2024")</f>
        <v/>
      </c>
      <c r="Y123">
        <f>HYPERLINK("https://klasma.github.io/Logging_0580/tillsynsmail/A 622-2024 tillsynsbegäran mail.docx", "A 622-2024")</f>
        <v/>
      </c>
      <c r="Z123">
        <f>HYPERLINK("https://klasma.github.io/Logging_0580/fåglar/A 622-2024 prioriterade fågelarter.docx", "A 622-2024")</f>
        <v/>
      </c>
    </row>
    <row r="124" ht="15" customHeight="1">
      <c r="A124" t="inlineStr">
        <is>
          <t>A 3537-2024</t>
        </is>
      </c>
      <c r="B124" s="1" t="n">
        <v>45320</v>
      </c>
      <c r="C124" s="1" t="n">
        <v>45852</v>
      </c>
      <c r="D124" t="inlineStr">
        <is>
          <t>ÖSTERGÖTLANDS LÄN</t>
        </is>
      </c>
      <c r="E124" t="inlineStr">
        <is>
          <t>LINKÖPING</t>
        </is>
      </c>
      <c r="G124" t="n">
        <v>1.1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HYPERLINK("https://klasma.github.io/Logging_0580/artfynd/A 3537-2024 artfynd.xlsx", "A 3537-2024")</f>
        <v/>
      </c>
      <c r="T124">
        <f>HYPERLINK("https://klasma.github.io/Logging_0580/kartor/A 3537-2024 karta.png", "A 3537-2024")</f>
        <v/>
      </c>
      <c r="V124">
        <f>HYPERLINK("https://klasma.github.io/Logging_0580/klagomål/A 3537-2024 FSC-klagomål.docx", "A 3537-2024")</f>
        <v/>
      </c>
      <c r="W124">
        <f>HYPERLINK("https://klasma.github.io/Logging_0580/klagomålsmail/A 3537-2024 FSC-klagomål mail.docx", "A 3537-2024")</f>
        <v/>
      </c>
      <c r="X124">
        <f>HYPERLINK("https://klasma.github.io/Logging_0580/tillsyn/A 3537-2024 tillsynsbegäran.docx", "A 3537-2024")</f>
        <v/>
      </c>
      <c r="Y124">
        <f>HYPERLINK("https://klasma.github.io/Logging_0580/tillsynsmail/A 3537-2024 tillsynsbegäran mail.docx", "A 3537-2024")</f>
        <v/>
      </c>
    </row>
    <row r="125" ht="15" customHeight="1">
      <c r="A125" t="inlineStr">
        <is>
          <t>A 5873-2024</t>
        </is>
      </c>
      <c r="B125" s="1" t="n">
        <v>45335</v>
      </c>
      <c r="C125" s="1" t="n">
        <v>45852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6.7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HYPERLINK("https://klasma.github.io/Logging_0580/artfynd/A 5873-2024 artfynd.xlsx", "A 5873-2024")</f>
        <v/>
      </c>
      <c r="T125">
        <f>HYPERLINK("https://klasma.github.io/Logging_0580/kartor/A 5873-2024 karta.png", "A 5873-2024")</f>
        <v/>
      </c>
      <c r="V125">
        <f>HYPERLINK("https://klasma.github.io/Logging_0580/klagomål/A 5873-2024 FSC-klagomål.docx", "A 5873-2024")</f>
        <v/>
      </c>
      <c r="W125">
        <f>HYPERLINK("https://klasma.github.io/Logging_0580/klagomålsmail/A 5873-2024 FSC-klagomål mail.docx", "A 5873-2024")</f>
        <v/>
      </c>
      <c r="X125">
        <f>HYPERLINK("https://klasma.github.io/Logging_0580/tillsyn/A 5873-2024 tillsynsbegäran.docx", "A 5873-2024")</f>
        <v/>
      </c>
      <c r="Y125">
        <f>HYPERLINK("https://klasma.github.io/Logging_0580/tillsynsmail/A 5873-2024 tillsynsbegäran mail.docx", "A 5873-2024")</f>
        <v/>
      </c>
    </row>
    <row r="126" ht="15" customHeight="1">
      <c r="A126" t="inlineStr">
        <is>
          <t>A 8093-2024</t>
        </is>
      </c>
      <c r="B126" s="1" t="n">
        <v>45351</v>
      </c>
      <c r="C126" s="1" t="n">
        <v>45852</v>
      </c>
      <c r="D126" t="inlineStr">
        <is>
          <t>ÖSTERGÖTLANDS LÄN</t>
        </is>
      </c>
      <c r="E126" t="inlineStr">
        <is>
          <t>LINKÖPING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HYPERLINK("https://klasma.github.io/Logging_0580/artfynd/A 8093-2024 artfynd.xlsx", "A 8093-2024")</f>
        <v/>
      </c>
      <c r="T126">
        <f>HYPERLINK("https://klasma.github.io/Logging_0580/kartor/A 8093-2024 karta.png", "A 8093-2024")</f>
        <v/>
      </c>
      <c r="V126">
        <f>HYPERLINK("https://klasma.github.io/Logging_0580/klagomål/A 8093-2024 FSC-klagomål.docx", "A 8093-2024")</f>
        <v/>
      </c>
      <c r="W126">
        <f>HYPERLINK("https://klasma.github.io/Logging_0580/klagomålsmail/A 8093-2024 FSC-klagomål mail.docx", "A 8093-2024")</f>
        <v/>
      </c>
      <c r="X126">
        <f>HYPERLINK("https://klasma.github.io/Logging_0580/tillsyn/A 8093-2024 tillsynsbegäran.docx", "A 8093-2024")</f>
        <v/>
      </c>
      <c r="Y126">
        <f>HYPERLINK("https://klasma.github.io/Logging_0580/tillsynsmail/A 8093-2024 tillsynsbegäran mail.docx", "A 8093-2024")</f>
        <v/>
      </c>
    </row>
    <row r="127" ht="15" customHeight="1">
      <c r="A127" t="inlineStr">
        <is>
          <t>A 17065-2024</t>
        </is>
      </c>
      <c r="B127" s="1" t="n">
        <v>45411</v>
      </c>
      <c r="C127" s="1" t="n">
        <v>45852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HYPERLINK("https://klasma.github.io/Logging_0580/artfynd/A 17065-2024 artfynd.xlsx", "A 17065-2024")</f>
        <v/>
      </c>
      <c r="T127">
        <f>HYPERLINK("https://klasma.github.io/Logging_0580/kartor/A 17065-2024 karta.png", "A 17065-2024")</f>
        <v/>
      </c>
      <c r="V127">
        <f>HYPERLINK("https://klasma.github.io/Logging_0580/klagomål/A 17065-2024 FSC-klagomål.docx", "A 17065-2024")</f>
        <v/>
      </c>
      <c r="W127">
        <f>HYPERLINK("https://klasma.github.io/Logging_0580/klagomålsmail/A 17065-2024 FSC-klagomål mail.docx", "A 17065-2024")</f>
        <v/>
      </c>
      <c r="X127">
        <f>HYPERLINK("https://klasma.github.io/Logging_0580/tillsyn/A 17065-2024 tillsynsbegäran.docx", "A 17065-2024")</f>
        <v/>
      </c>
      <c r="Y127">
        <f>HYPERLINK("https://klasma.github.io/Logging_0580/tillsynsmail/A 17065-2024 tillsynsbegäran mail.docx", "A 17065-2024")</f>
        <v/>
      </c>
    </row>
    <row r="128" ht="15" customHeight="1">
      <c r="A128" t="inlineStr">
        <is>
          <t>A 28265-2024</t>
        </is>
      </c>
      <c r="B128" s="1" t="n">
        <v>45477</v>
      </c>
      <c r="C128" s="1" t="n">
        <v>45852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28265-2024 artfynd.xlsx", "A 28265-2024")</f>
        <v/>
      </c>
      <c r="T128">
        <f>HYPERLINK("https://klasma.github.io/Logging_0580/kartor/A 28265-2024 karta.png", "A 28265-2024")</f>
        <v/>
      </c>
      <c r="V128">
        <f>HYPERLINK("https://klasma.github.io/Logging_0580/klagomål/A 28265-2024 FSC-klagomål.docx", "A 28265-2024")</f>
        <v/>
      </c>
      <c r="W128">
        <f>HYPERLINK("https://klasma.github.io/Logging_0580/klagomålsmail/A 28265-2024 FSC-klagomål mail.docx", "A 28265-2024")</f>
        <v/>
      </c>
      <c r="X128">
        <f>HYPERLINK("https://klasma.github.io/Logging_0580/tillsyn/A 28265-2024 tillsynsbegäran.docx", "A 28265-2024")</f>
        <v/>
      </c>
      <c r="Y128">
        <f>HYPERLINK("https://klasma.github.io/Logging_0580/tillsynsmail/A 28265-2024 tillsynsbegäran mail.docx", "A 28265-2024")</f>
        <v/>
      </c>
    </row>
    <row r="129" ht="15" customHeight="1">
      <c r="A129" t="inlineStr">
        <is>
          <t>A 40315-2024</t>
        </is>
      </c>
      <c r="B129" s="1" t="n">
        <v>45554</v>
      </c>
      <c r="C129" s="1" t="n">
        <v>45852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Skogsalm</t>
        </is>
      </c>
      <c r="S129">
        <f>HYPERLINK("https://klasma.github.io/Logging_0580/artfynd/A 40315-2024 artfynd.xlsx", "A 40315-2024")</f>
        <v/>
      </c>
      <c r="T129">
        <f>HYPERLINK("https://klasma.github.io/Logging_0580/kartor/A 40315-2024 karta.png", "A 40315-2024")</f>
        <v/>
      </c>
      <c r="V129">
        <f>HYPERLINK("https://klasma.github.io/Logging_0580/klagomål/A 40315-2024 FSC-klagomål.docx", "A 40315-2024")</f>
        <v/>
      </c>
      <c r="W129">
        <f>HYPERLINK("https://klasma.github.io/Logging_0580/klagomålsmail/A 40315-2024 FSC-klagomål mail.docx", "A 40315-2024")</f>
        <v/>
      </c>
      <c r="X129">
        <f>HYPERLINK("https://klasma.github.io/Logging_0580/tillsyn/A 40315-2024 tillsynsbegäran.docx", "A 40315-2024")</f>
        <v/>
      </c>
      <c r="Y129">
        <f>HYPERLINK("https://klasma.github.io/Logging_0580/tillsynsmail/A 40315-2024 tillsynsbegäran mail.docx", "A 40315-2024")</f>
        <v/>
      </c>
    </row>
    <row r="130" ht="15" customHeight="1">
      <c r="A130" t="inlineStr">
        <is>
          <t>A 40309-2024</t>
        </is>
      </c>
      <c r="B130" s="1" t="n">
        <v>45554</v>
      </c>
      <c r="C130" s="1" t="n">
        <v>45852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HYPERLINK("https://klasma.github.io/Logging_0580/artfynd/A 40309-2024 artfynd.xlsx", "A 40309-2024")</f>
        <v/>
      </c>
      <c r="T130">
        <f>HYPERLINK("https://klasma.github.io/Logging_0580/kartor/A 40309-2024 karta.png", "A 40309-2024")</f>
        <v/>
      </c>
      <c r="V130">
        <f>HYPERLINK("https://klasma.github.io/Logging_0580/klagomål/A 40309-2024 FSC-klagomål.docx", "A 40309-2024")</f>
        <v/>
      </c>
      <c r="W130">
        <f>HYPERLINK("https://klasma.github.io/Logging_0580/klagomålsmail/A 40309-2024 FSC-klagomål mail.docx", "A 40309-2024")</f>
        <v/>
      </c>
      <c r="X130">
        <f>HYPERLINK("https://klasma.github.io/Logging_0580/tillsyn/A 40309-2024 tillsynsbegäran.docx", "A 40309-2024")</f>
        <v/>
      </c>
      <c r="Y130">
        <f>HYPERLINK("https://klasma.github.io/Logging_0580/tillsynsmail/A 40309-2024 tillsynsbegäran mail.docx", "A 40309-2024")</f>
        <v/>
      </c>
    </row>
    <row r="131" ht="15" customHeight="1">
      <c r="A131" t="inlineStr">
        <is>
          <t>A 40340-2024</t>
        </is>
      </c>
      <c r="B131" s="1" t="n">
        <v>45555</v>
      </c>
      <c r="C131" s="1" t="n">
        <v>45852</v>
      </c>
      <c r="D131" t="inlineStr">
        <is>
          <t>ÖSTERGÖTLANDS LÄN</t>
        </is>
      </c>
      <c r="E131" t="inlineStr">
        <is>
          <t>LINKÖPING</t>
        </is>
      </c>
      <c r="G131" t="n">
        <v>1.1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HYPERLINK("https://klasma.github.io/Logging_0580/artfynd/A 40340-2024 artfynd.xlsx", "A 40340-2024")</f>
        <v/>
      </c>
      <c r="T131">
        <f>HYPERLINK("https://klasma.github.io/Logging_0580/kartor/A 40340-2024 karta.png", "A 40340-2024")</f>
        <v/>
      </c>
      <c r="V131">
        <f>HYPERLINK("https://klasma.github.io/Logging_0580/klagomål/A 40340-2024 FSC-klagomål.docx", "A 40340-2024")</f>
        <v/>
      </c>
      <c r="W131">
        <f>HYPERLINK("https://klasma.github.io/Logging_0580/klagomålsmail/A 40340-2024 FSC-klagomål mail.docx", "A 40340-2024")</f>
        <v/>
      </c>
      <c r="X131">
        <f>HYPERLINK("https://klasma.github.io/Logging_0580/tillsyn/A 40340-2024 tillsynsbegäran.docx", "A 40340-2024")</f>
        <v/>
      </c>
      <c r="Y131">
        <f>HYPERLINK("https://klasma.github.io/Logging_0580/tillsynsmail/A 40340-2024 tillsynsbegäran mail.docx", "A 40340-2024")</f>
        <v/>
      </c>
      <c r="Z131">
        <f>HYPERLINK("https://klasma.github.io/Logging_0580/fåglar/A 40340-2024 prioriterade fågelarter.docx", "A 40340-2024")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45852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45852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45852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45852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45852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45852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45852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45852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45852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45852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45852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45852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45852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45852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45852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45852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45852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45852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45852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45852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45852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45852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45852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45852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45852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45852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45852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45852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45852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45852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45852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45852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45852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45852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45852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45852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45852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45852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45852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45852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45852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45852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45852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45852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45852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45852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45852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45852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45852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45852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45852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45852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45852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45852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45852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45852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45852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45852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45852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45852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45852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45852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45852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45852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45852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45852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45852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45852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45852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45852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45852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45852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45852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45852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45852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45852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45852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45852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45852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45852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45852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45852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45852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45852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45852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45852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45852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45852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45852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45852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45852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45852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45852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45852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45852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45852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45852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45852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45852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45852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45852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45852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45852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45852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45852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45852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45852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45852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45852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45852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45852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45852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45852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45852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45852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45852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45852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45852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45852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45852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45852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45852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45852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45852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45852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45852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45852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45852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45852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45852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45852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45852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45852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45852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45852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45852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45852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45852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45852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45852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45852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45852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45852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45852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45852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45852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45852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45852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45852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45852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45852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45852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45852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45852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45852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45852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45852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45852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45852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45852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45852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45852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45852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45852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45852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45852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45852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45852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45852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45852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45852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45852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45852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45852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45852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45852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45852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45852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45852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45852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45852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45852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45852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45852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45852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45852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45852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45852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45852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45852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45852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45852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45852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45852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45852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45852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45852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45852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45852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45852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45852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45852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45852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45852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45852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45852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45852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45852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45852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45852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45852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45852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45852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45852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45852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45852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45852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45852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45852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45852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45852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45852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45852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45852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45852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45852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45852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45852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45852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45852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45852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45852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45852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45852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45852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45852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45852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45852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45852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45852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45852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45852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45852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45852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45852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45852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45852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45852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45852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45852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45852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45852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45852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45852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45852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45852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45852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45852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45852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45852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45852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45852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45852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45852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45852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45852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45852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45852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45852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45852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45852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45852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45852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45852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45852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45852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45852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45852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45852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45852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45852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45852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45852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45852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45852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45852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45852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45852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45852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45852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45852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45852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45852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45852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45852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45852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45852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45852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45852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45852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45852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45852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45852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45852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45852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45852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45852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45852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45852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45852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45852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45852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45852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45852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45852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45852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45852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45852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45852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45852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45852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45852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45852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45852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45852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45852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45852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45852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45852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45852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45852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45852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45852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45852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45852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45852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45852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45852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45852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45852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45852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45852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45852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45852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45852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45852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45852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45852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45852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45852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45852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45852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45852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45852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45852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45852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45852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45852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45852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45852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45852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45852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45852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45852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45852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45852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45852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45852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45852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45852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45852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45852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45852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45852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45852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45852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45852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45852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45852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45852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45852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45852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45852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45852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45852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45852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45852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45852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45852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45852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45852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45852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45852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45852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45852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45852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45852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45852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45852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45852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45852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45852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45852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45852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45852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45852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45852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45852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45852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45852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45852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45852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45852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45852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45852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45852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45852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45852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45852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45852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45852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45852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45852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45852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45852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45852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45852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45852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45852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45852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45852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45852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45852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45852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45852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45852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45852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45852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45852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45852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45852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45852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45852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45852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45852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45852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45852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45852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45852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45852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45852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45852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45852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45852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45852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45852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45852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45852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45852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45852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45852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45852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45852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45852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45852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45852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45852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45852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45852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45852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45852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45852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45852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45852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45852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45852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45852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45852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45852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45852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45852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45852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45852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45852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45852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45852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45852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45852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45852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45852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45852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45852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45852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45852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45852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45852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45852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45852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45852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45852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45852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45852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45852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45852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45852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45852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45852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45852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45852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45852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45852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45852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45852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45852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45852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45852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45852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45852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45852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45852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45852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45852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45852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45852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45852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45852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45852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45852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45852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45852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45852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45852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45852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45852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45852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45852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45852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45852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45852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45852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45852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45852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45852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45852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45852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45852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45852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45852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45852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45852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45852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45852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45852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45852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45852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45852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45852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45852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45852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45852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45852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45852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45852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45852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45852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45852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45852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45852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45852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45852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45852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45852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45852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45852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45852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45852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45852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45852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45852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45852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45852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45852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45852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45852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45852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45852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45852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45852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45852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45852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45852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45852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45852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45852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45852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45852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45852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45852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45852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45852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45852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45852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45852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45852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45852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45852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45852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45852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45852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45852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45852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45852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45852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45852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45852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45852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45852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45852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45852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45852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45852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45852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45852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45852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45852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45852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45852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45852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45852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45852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45852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45852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45852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45852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45852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45852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45852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45852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45852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45852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45852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45852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45852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45852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45852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45852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45852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45852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45852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45852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45852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45852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45852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45852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45852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45852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45852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45852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45852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45852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45852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45852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45852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45852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45852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45852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45852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45852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45852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45852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45852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45852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45852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45852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45852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45852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45852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45852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45852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45852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45852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45852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45852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45852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45852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45852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45852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45852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45852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45852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45852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45852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45852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45852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45852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45852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45852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45852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45852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45852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45852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45852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45852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45852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45852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45852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45852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45852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45852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45852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45852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45852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45852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45852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45852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45852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45852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45852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45852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45852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45852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45852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45852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45852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45852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45852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45852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45852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45852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45852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45852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45852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45852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45852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45852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45852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45852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45852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45852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45852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45852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45852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45852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45852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45852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45852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45852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45852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45852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45852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45852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45852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45852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45852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45852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45852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45852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45852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45852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45852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45852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45852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45852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45852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45852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45852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45852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45852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45852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45852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45852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45852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45852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45852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45852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45852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45852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45852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45852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45852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45852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45852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45852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45852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45852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45852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45852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45852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45852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45852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45852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45852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45852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45852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45852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45852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45852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45852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45852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45852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45852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45852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45852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45852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45852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45852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45852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45852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45852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45852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45852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45852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45852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45852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45852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45852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45852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45852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45852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45852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45852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45852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45852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45852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45852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45852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45852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45852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45852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45852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45852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45852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45852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45852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45852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45852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45852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45852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45852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45852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45852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45852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45852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45852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45852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45852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45852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45852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45852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45852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45852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45852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45852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45852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45852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45852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45852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45852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45852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45852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45852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45852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45852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45852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45852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45852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45852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45852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45852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45852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45852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45852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45852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45852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45852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45852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45852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45852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45852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45852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45852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45852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45852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45852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45852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45852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45852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45852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45852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45852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45852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45852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45852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45852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45852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45852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45852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45852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45852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45852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45852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45852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45852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45852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45852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45852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45852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45852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45852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45852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45852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45852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45852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45852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45852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45852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45852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45852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45852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45852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45852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45852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45852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45852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45852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45852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45852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45852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45852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45852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45852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45852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45852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45852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45852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45852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45852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45852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45852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45852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45852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45852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45852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45852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45852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45852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45852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45852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45852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45852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45852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45852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45852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45852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45852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45852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45852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45852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45852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45852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45852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45852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45852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45852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45852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45852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45852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45852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45852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45852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45852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45852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45852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45852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45852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45852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45852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45852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45852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45852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45852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45852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45852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45852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45852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45852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45852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45852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45852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45852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45852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45852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45852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45852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45852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45852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45852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45852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45852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45852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45852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45852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45852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45852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45852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45852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45852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45852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45852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45852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45852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45852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45852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45852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45852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45852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45852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45852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45852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45852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45852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45852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45852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45852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45852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45852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45852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45852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45852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45852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45852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45852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45852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45852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45852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45852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45852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45852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45852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45852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45852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45852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45852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45852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45852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45852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45852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45852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45852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45852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45852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45852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45852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45852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45852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45852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45852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45852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45852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45852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45852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45852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45852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45852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45852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45852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45852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45852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45852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45852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45852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45852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45852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45852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45852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45852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45852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45852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45852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45852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45852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45852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45852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45852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45852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45852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45852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45852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45852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45852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45852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45852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45852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45852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45852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45852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45852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45852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45852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45852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45852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45852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45852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45852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45852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45852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45852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45852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45852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45852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45852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45852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45852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45852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45852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45852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45852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45852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45852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45852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45852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45852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45852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45852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45852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45852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45852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45852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45852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45852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45852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45852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45852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45852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45852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45852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45852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45852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45852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45852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45852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45852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45852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45852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45852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45852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45852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45852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45852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45852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45852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45852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45852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45852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45852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45852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45852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45852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45852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45852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45852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45852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45852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45852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45852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45852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45852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45852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45852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45852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45852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45852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45852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45852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45852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45852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45852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45852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45852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45852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45852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45852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45852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45852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45852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45852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45852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45852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45852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45852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45852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45852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45852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45852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45852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45852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45852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45852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45852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45852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45852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45852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45852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45852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45852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45852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45852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45852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45852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45852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45852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45852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45852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45852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45852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45852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45852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45852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45852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45852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45852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45852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45852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45852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45852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45852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45852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45852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45852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45852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45852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45852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45852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45852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45852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45852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45852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45852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45852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45852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45852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45852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45852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45852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45852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45852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45852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45852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45852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45852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45852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45852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45852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45852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45852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45852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45852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45852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45852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45852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45852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45852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45852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45852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45852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45852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45852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45852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45852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45852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45852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45852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45852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45852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45852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45852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45852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45852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45852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45852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45852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45852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45852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45852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45852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45852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45852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45852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45852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45852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45852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45852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45852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45852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45852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45852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45852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45852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45852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30353-2025</t>
        </is>
      </c>
      <c r="B1431" s="1" t="n">
        <v>45827</v>
      </c>
      <c r="C1431" s="1" t="n">
        <v>45852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30355-2025</t>
        </is>
      </c>
      <c r="B1432" s="1" t="n">
        <v>45827</v>
      </c>
      <c r="C1432" s="1" t="n">
        <v>45852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45852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31581-2025</t>
        </is>
      </c>
      <c r="B1434" s="1" t="n">
        <v>45833</v>
      </c>
      <c r="C1434" s="1" t="n">
        <v>45852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32723-2025</t>
        </is>
      </c>
      <c r="B1435" s="1" t="n">
        <v>45838</v>
      </c>
      <c r="C1435" s="1" t="n">
        <v>45852</v>
      </c>
      <c r="D1435" t="inlineStr">
        <is>
          <t>ÖSTERGÖTLANDS LÄN</t>
        </is>
      </c>
      <c r="E1435" t="inlineStr">
        <is>
          <t>LINKÖPING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33947-2025</t>
        </is>
      </c>
      <c r="B1436" s="1" t="n">
        <v>45842</v>
      </c>
      <c r="C1436" s="1" t="n">
        <v>45852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Sveaskog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2025-07-14T19:52:18Z</dcterms:created>
  <dcterms:modified xmlns:dcterms="http://purl.org/dc/terms/" xmlns:xsi="http://www.w3.org/2001/XMLSchema-instance" xsi:type="dcterms:W3CDTF">2025-07-14T19:52:19Z</dcterms:modified>
</cp:coreProperties>
</file>