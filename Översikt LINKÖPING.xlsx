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45363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45363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45363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45363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45363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45363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45363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60246-2023</t>
        </is>
      </c>
      <c r="B9" s="1" t="n">
        <v>45258</v>
      </c>
      <c r="C9" s="1" t="n">
        <v>45363</v>
      </c>
      <c r="D9" t="inlineStr">
        <is>
          <t>ÖSTERGÖTLANDS LÄN</t>
        </is>
      </c>
      <c r="E9" t="inlineStr">
        <is>
          <t>LINKÖPING</t>
        </is>
      </c>
      <c r="G9" t="n">
        <v>2.8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Svartvit flugsnappare
Gök
Järnsparv
Kungsfågel</t>
        </is>
      </c>
      <c r="S9">
        <f>HYPERLINK("https://klasma.github.io/Logging_0580/artfynd/A 60246-2023 artfynd.xlsx", "A 60246-2023")</f>
        <v/>
      </c>
      <c r="T9">
        <f>HYPERLINK("https://klasma.github.io/Logging_0580/kartor/A 60246-2023 karta.png", "A 60246-2023")</f>
        <v/>
      </c>
      <c r="V9">
        <f>HYPERLINK("https://klasma.github.io/Logging_0580/klagomål/A 60246-2023 FSC-klagomål.docx", "A 60246-2023")</f>
        <v/>
      </c>
      <c r="W9">
        <f>HYPERLINK("https://klasma.github.io/Logging_0580/klagomålsmail/A 60246-2023 FSC-klagomål mail.docx", "A 60246-2023")</f>
        <v/>
      </c>
      <c r="X9">
        <f>HYPERLINK("https://klasma.github.io/Logging_0580/tillsyn/A 60246-2023 tillsynsbegäran.docx", "A 60246-2023")</f>
        <v/>
      </c>
      <c r="Y9">
        <f>HYPERLINK("https://klasma.github.io/Logging_0580/tillsynsmail/A 60246-2023 tillsynsbegäran mail.docx", "A 60246-2023")</f>
        <v/>
      </c>
      <c r="Z9">
        <f>HYPERLINK("https://klasma.github.io/Logging_0580/fåglar/A 60246-2023 prioriterade fågelarter.docx", "A 60246-2023")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45363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Strandviol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45363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45363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45363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45363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45363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45363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5622-2019</t>
        </is>
      </c>
      <c r="B17" s="1" t="n">
        <v>43489</v>
      </c>
      <c r="C17" s="1" t="n">
        <v>45363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Kyrkan</t>
        </is>
      </c>
      <c r="G17" t="n">
        <v>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Gammelekslav
Sotlav
Blåsippa</t>
        </is>
      </c>
      <c r="S17">
        <f>HYPERLINK("https://klasma.github.io/Logging_0580/artfynd/A 5622-2019 artfynd.xlsx", "A 5622-2019")</f>
        <v/>
      </c>
      <c r="T17">
        <f>HYPERLINK("https://klasma.github.io/Logging_0580/kartor/A 5622-2019 karta.png", "A 5622-2019")</f>
        <v/>
      </c>
      <c r="V17">
        <f>HYPERLINK("https://klasma.github.io/Logging_0580/klagomål/A 5622-2019 FSC-klagomål.docx", "A 5622-2019")</f>
        <v/>
      </c>
      <c r="W17">
        <f>HYPERLINK("https://klasma.github.io/Logging_0580/klagomålsmail/A 5622-2019 FSC-klagomål mail.docx", "A 5622-2019")</f>
        <v/>
      </c>
      <c r="X17">
        <f>HYPERLINK("https://klasma.github.io/Logging_0580/tillsyn/A 5622-2019 tillsynsbegäran.docx", "A 5622-2019")</f>
        <v/>
      </c>
      <c r="Y17">
        <f>HYPERLINK("https://klasma.github.io/Logging_0580/tillsynsmail/A 5622-2019 tillsynsbegäran mail.docx", "A 5622-2019")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45363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45363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45363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45363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17502-2022</t>
        </is>
      </c>
      <c r="B22" s="1" t="n">
        <v>44679</v>
      </c>
      <c r="C22" s="1" t="n">
        <v>45363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Strimspindling
Blåsippa</t>
        </is>
      </c>
      <c r="S22">
        <f>HYPERLINK("https://klasma.github.io/Logging_0580/artfynd/A 17502-2022 artfynd.xlsx", "A 17502-2022")</f>
        <v/>
      </c>
      <c r="T22">
        <f>HYPERLINK("https://klasma.github.io/Logging_0580/kartor/A 17502-2022 karta.png", "A 17502-2022")</f>
        <v/>
      </c>
      <c r="V22">
        <f>HYPERLINK("https://klasma.github.io/Logging_0580/klagomål/A 17502-2022 FSC-klagomål.docx", "A 17502-2022")</f>
        <v/>
      </c>
      <c r="W22">
        <f>HYPERLINK("https://klasma.github.io/Logging_0580/klagomålsmail/A 17502-2022 FSC-klagomål mail.docx", "A 17502-2022")</f>
        <v/>
      </c>
      <c r="X22">
        <f>HYPERLINK("https://klasma.github.io/Logging_0580/tillsyn/A 17502-2022 tillsynsbegäran.docx", "A 17502-2022")</f>
        <v/>
      </c>
      <c r="Y22">
        <f>HYPERLINK("https://klasma.github.io/Logging_0580/tillsynsmail/A 17502-2022 tillsynsbegäran mail.docx", "A 17502-2022")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45363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45363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45363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45363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45363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45363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45363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45363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45363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45363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45363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45363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45363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45363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45363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45363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45363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45363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45363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45363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45363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45363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45363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45363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45363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45363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45363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45363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45363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45363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45363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45363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45363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45363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45363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45363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45363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45363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45363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45363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45363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45363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45363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45363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45363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45363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45363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45363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45363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45363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45363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45363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45363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45363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45363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45363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45363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45363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45363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45363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45363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45363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45363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45363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45363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45363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45363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45363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45363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45363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45363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45363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45363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45363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45363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45363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45363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45363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45363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45363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45363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45363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45363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45363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45363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45363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45363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45363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45363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45363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45363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45363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45363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45363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45363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45363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45363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45363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45363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45363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45363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45363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45363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45363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45363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45363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45363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45363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45363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45363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45363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45363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45363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45363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45363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45363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45363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45363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45363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45363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45363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45363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45363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45363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45363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45363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45363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45363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45363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45363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45363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45363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45363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45363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45363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45363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45363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45363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45363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45363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45363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45363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45363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45363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45363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45363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45363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45363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45363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45363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45363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45363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45363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45363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45363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45363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45363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45363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45363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45363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45363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45363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45363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45363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45363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45363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45363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45363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45363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45363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45363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45363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45363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45363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45363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45363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45363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45363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45363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45363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45363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45363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45363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45363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45363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45363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45363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45363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45363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45363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45363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45363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45363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45363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45363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45363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45363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45363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45363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45363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45363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45363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45363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45363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45363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45363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45363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45363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45363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45363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45363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45363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45363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45363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45363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45363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45363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45363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45363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45363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45363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45363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45363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45363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45363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45363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45363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45363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45363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45363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45363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45363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45363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45363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45363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45363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45363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45363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45363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45363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45363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45363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45363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45363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45363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45363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45363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45363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45363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45363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45363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45363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45363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45363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45363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45363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45363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45363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45363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45363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45363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45363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45363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45363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45363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45363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45363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45363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45363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45363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45363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45363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45363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45363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45363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45363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45363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45363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45363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45363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45363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45363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45363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45363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45363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45363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45363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45363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45363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45363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45363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45363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45363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45363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45363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45363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45363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45363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45363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45363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45363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45363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45363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45363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45363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45363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45363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45363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45363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45363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45363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45363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45363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45363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45363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45363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45363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45363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45363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45363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45363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45363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45363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45363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45363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45363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45363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45363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45363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45363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45363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45363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45363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45363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45363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45363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45363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45363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45363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45363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45363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45363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45363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45363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45363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45363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45363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45363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45363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45363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45363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45363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45363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45363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45363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45363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45363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45363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45363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45363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45363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45363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45363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45363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45363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45363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45363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45363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45363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45363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45363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45363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45363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45363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45363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45363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45363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45363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45363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45363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45363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45363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45363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45363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45363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45363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45363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45363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45363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45363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45363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45363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45363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45363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45363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45363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45363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45363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45363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45363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45363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45363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45363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45363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45363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45363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45363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45363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45363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45363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45363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45363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45363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45363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45363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45363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45363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45363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45363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45363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45363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45363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45363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45363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45363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45363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45363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45363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45363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45363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45363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45363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45363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45363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45363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45363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45363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45363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45363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45363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45363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45363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45363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45363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45363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45363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45363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45363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45363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45363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45363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45363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45363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45363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45363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45363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45363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45363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45363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45363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45363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45363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45363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45363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45363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45363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45363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45363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45363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45363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45363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45363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45363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45363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45363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45363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45363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45363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45363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45363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45363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45363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45363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45363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45363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45363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45363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45363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45363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45363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45363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45363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45363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45363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45363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45363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45363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45363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45363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45363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45363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45363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45363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45363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45363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45363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45363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45363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45363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45363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45363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45363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45363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45363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45363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45363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45363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45363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45363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45363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45363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45363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45363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45363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45363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45363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45363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45363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45363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45363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45363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45363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45363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45363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45363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45363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45363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45363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45363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45363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45363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45363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45363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45363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45363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45363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45363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45363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45363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45363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45363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45363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45363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45363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45363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45363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45363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45363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45363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45363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45363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45363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45363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45363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45363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45363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45363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45363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45363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45363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45363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45363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45363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45363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45363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45363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45363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45363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45363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45363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45363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45363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45363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45363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45363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45363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45363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45363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45363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45363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45363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45363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45363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45363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45363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45363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45363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45363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45363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45363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45363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45363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45363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45363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45363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45363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45363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45363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45363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45363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45363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45363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45363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45363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45363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45363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45363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45363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45363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45363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45363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45363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45363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45363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45363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45363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45363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45363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45363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45363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45363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45363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45363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45363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45363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45363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45363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45363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45363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45363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45363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45363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45363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45363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45363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45363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45363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45363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45363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45363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45363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45363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45363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45363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45363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45363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45363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45363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45363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45363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45363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45363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45363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45363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45363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45363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45363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45363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45363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45363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45363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45363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45363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45363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45363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45363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45363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45363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45363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45363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45363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45363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45363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45363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45363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45363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45363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45363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45363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45363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45363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45363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45363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45363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45363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45363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45363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45363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45363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45363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45363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45363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45363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45363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45363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45363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45363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45363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45363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45363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45363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45363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45363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45363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45363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45363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45363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45363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45363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45363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45363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45363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45363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45363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45363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45363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45363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45363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45363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45363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45363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45363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45363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45363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45363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45363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45363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45363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45363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45363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45363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45363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45363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45363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45363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45363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45363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45363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45363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45363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45363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45363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45363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45363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45363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45363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45363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45363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45363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45363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45363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45363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45363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45363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45363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45363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45363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45363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45363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45363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45363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45363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45363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45363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45363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45363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45363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45363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45363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45363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45363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45363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45363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45363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45363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45363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45363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45363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45363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45363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45363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45363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45363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45363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45363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45363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45363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45363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45363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45363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45363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45363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45363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45363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45363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45363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45363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45363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45363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45363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45363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45363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45363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45363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45363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45363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45363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45363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45363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45363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45363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45363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45363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45363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45363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45363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45363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45363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45363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45363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45363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45363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45363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45363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45363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45363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45363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45363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45363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45363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45363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45363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45363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45363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45363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45363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45363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45363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45363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45363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45363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45363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45363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45363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45363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45363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45363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45363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45363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45363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45363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45363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45363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45363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45363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45363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45363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45363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45363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45363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45363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45363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45363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45363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45363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45363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45363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45363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45363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45363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45363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45363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45363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45363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45363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45363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45363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45363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45363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45363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45363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45363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45363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45363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45363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45363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45363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45363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45363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45363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45363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45363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45363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45363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45363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45363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45363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45363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45363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45363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45363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45363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45363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45363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45363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45363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45363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45363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45363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45363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45363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45363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45363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45363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45363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45363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45363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45363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45363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45363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45363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45363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45363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45363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45363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45363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45363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45363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45363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45363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45363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45363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45363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45363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45363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45363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45363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45363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45363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45363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45363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45363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45363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45363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45363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45363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45363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45363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45363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45363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45363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45363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45363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45363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45363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45363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45363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45363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45363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45363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45363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45363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45363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45363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45363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45363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45363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45363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45363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45363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45363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45363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45363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45363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45363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45363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45363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45363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45363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45363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45363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45363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45363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45363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45363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45363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45363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45363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45363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45363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45363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45363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45363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45363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45363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45363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45363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45363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45363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45363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45363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45363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45363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45363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45363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45363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45363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45363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45363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45363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45363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45363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45363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45363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45363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45363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45363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45363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45363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45363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45363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45363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45363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45363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45363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45363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45363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45363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45363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45363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45363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45363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45363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45363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45363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45363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45363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45363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45363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45363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45363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45363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45363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45363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45363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45363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45363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45363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45363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45363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45363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45363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45363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45363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45363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45363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45363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45363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45363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45363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45363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45363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45363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45363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45363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45363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45363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45363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45363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45363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45363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45363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45363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45363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45363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45363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45363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45363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45363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45363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45363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45363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45363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45363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45363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45363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45363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45363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45363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45363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45363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45363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45363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45363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45363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45363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45363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45363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45363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45363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45363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45363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45363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45363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45363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45363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45363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45363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45363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45363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45363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45363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45363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45363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45363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45363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45363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45363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45363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45363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45363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45363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45363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45363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45363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45363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45363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45363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45363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45363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45363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45363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45363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45363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45363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45363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45363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45363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45363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45363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45363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45363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6858-2024</t>
        </is>
      </c>
      <c r="B1175" s="1" t="n">
        <v>45342</v>
      </c>
      <c r="C1175" s="1" t="n">
        <v>45363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6859-2024</t>
        </is>
      </c>
      <c r="B1176" s="1" t="n">
        <v>45342</v>
      </c>
      <c r="C1176" s="1" t="n">
        <v>45363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8014-2024</t>
        </is>
      </c>
      <c r="B1177" s="1" t="n">
        <v>45350</v>
      </c>
      <c r="C1177" s="1" t="n">
        <v>45363</v>
      </c>
      <c r="D1177" t="inlineStr">
        <is>
          <t>ÖSTERGÖTLANDS LÄN</t>
        </is>
      </c>
      <c r="E1177" t="inlineStr">
        <is>
          <t>LINKÖPING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8015-2024</t>
        </is>
      </c>
      <c r="B1178" s="1" t="n">
        <v>45350</v>
      </c>
      <c r="C1178" s="1" t="n">
        <v>45363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45363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8914-2024</t>
        </is>
      </c>
      <c r="B1180" s="1" t="n">
        <v>45355</v>
      </c>
      <c r="C1180" s="1" t="n">
        <v>45363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8767-2024</t>
        </is>
      </c>
      <c r="B1181" s="1" t="n">
        <v>45356</v>
      </c>
      <c r="C1181" s="1" t="n">
        <v>45363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9434-2024</t>
        </is>
      </c>
      <c r="B1182" s="1" t="n">
        <v>45359</v>
      </c>
      <c r="C1182" s="1" t="n">
        <v>45363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9473-2024</t>
        </is>
      </c>
      <c r="B1183" s="1" t="n">
        <v>45359</v>
      </c>
      <c r="C1183" s="1" t="n">
        <v>45363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9471-2024</t>
        </is>
      </c>
      <c r="B1184" s="1" t="n">
        <v>45359</v>
      </c>
      <c r="C1184" s="1" t="n">
        <v>45363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9798-2024</t>
        </is>
      </c>
      <c r="B1185" s="1" t="n">
        <v>45362</v>
      </c>
      <c r="C1185" s="1" t="n">
        <v>45363</v>
      </c>
      <c r="D1185" t="inlineStr">
        <is>
          <t>ÖSTERGÖTLANDS LÄN</t>
        </is>
      </c>
      <c r="E1185" t="inlineStr">
        <is>
          <t>LINKÖPING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2024-03-12T13:57:30Z</dcterms:created>
  <dcterms:modified xmlns:dcterms="http://purl.org/dc/terms/" xmlns:xsi="http://www.w3.org/2001/XMLSchema-instance" xsi:type="dcterms:W3CDTF">2024-03-12T13:57:31Z</dcterms:modified>
</cp:coreProperties>
</file>