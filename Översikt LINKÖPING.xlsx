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46017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46017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46017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46017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46017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46017</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46017</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46017</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46017</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15475-2021</t>
        </is>
      </c>
      <c r="B12" s="1" t="n">
        <v>44285</v>
      </c>
      <c r="C12" s="1" t="n">
        <v>46017</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46017</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46017</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48329-2025</t>
        </is>
      </c>
      <c r="B15" s="1" t="n">
        <v>45932</v>
      </c>
      <c r="C15" s="1" t="n">
        <v>46017</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55683-2025</t>
        </is>
      </c>
      <c r="B16" s="1" t="n">
        <v>45972.4255324074</v>
      </c>
      <c r="C16" s="1" t="n">
        <v>46017</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49999-2025</t>
        </is>
      </c>
      <c r="B17" s="1" t="n">
        <v>45943.30185185185</v>
      </c>
      <c r="C17" s="1" t="n">
        <v>46017</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55341-2024</t>
        </is>
      </c>
      <c r="B18" s="1" t="n">
        <v>45621.71255787037</v>
      </c>
      <c r="C18" s="1" t="n">
        <v>46017</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46017</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46017</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17520-2022</t>
        </is>
      </c>
      <c r="B21" s="1" t="n">
        <v>44679</v>
      </c>
      <c r="C21" s="1" t="n">
        <v>46017</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46017</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58068-2021</t>
        </is>
      </c>
      <c r="B23" s="1" t="n">
        <v>44487</v>
      </c>
      <c r="C23" s="1" t="n">
        <v>46017</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20297-2025</t>
        </is>
      </c>
      <c r="B24" s="1" t="n">
        <v>45774.74971064815</v>
      </c>
      <c r="C24" s="1" t="n">
        <v>46017</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38913-2023</t>
        </is>
      </c>
      <c r="B25" s="1" t="n">
        <v>45163</v>
      </c>
      <c r="C25" s="1" t="n">
        <v>46017</v>
      </c>
      <c r="D25" t="inlineStr">
        <is>
          <t>ÖSTERGÖTLANDS LÄN</t>
        </is>
      </c>
      <c r="E25" t="inlineStr">
        <is>
          <t>LINKÖPING</t>
        </is>
      </c>
      <c r="G25" t="n">
        <v>2.7</v>
      </c>
      <c r="H25" t="n">
        <v>1</v>
      </c>
      <c r="I25" t="n">
        <v>1</v>
      </c>
      <c r="J25" t="n">
        <v>0</v>
      </c>
      <c r="K25" t="n">
        <v>0</v>
      </c>
      <c r="L25" t="n">
        <v>0</v>
      </c>
      <c r="M25" t="n">
        <v>0</v>
      </c>
      <c r="N25" t="n">
        <v>0</v>
      </c>
      <c r="O25" t="n">
        <v>0</v>
      </c>
      <c r="P25" t="n">
        <v>0</v>
      </c>
      <c r="Q25" t="n">
        <v>2</v>
      </c>
      <c r="R25" s="2" t="inlineStr">
        <is>
          <t>Skogsbräsma
Revlummer</t>
        </is>
      </c>
      <c r="S25">
        <f>HYPERLINK("https://klasma.github.io/Logging_0580/artfynd/A 38913-2023 artfynd.xlsx", "A 38913-2023")</f>
        <v/>
      </c>
      <c r="T25">
        <f>HYPERLINK("https://klasma.github.io/Logging_0580/kartor/A 38913-2023 karta.png", "A 38913-2023")</f>
        <v/>
      </c>
      <c r="V25">
        <f>HYPERLINK("https://klasma.github.io/Logging_0580/klagomål/A 38913-2023 FSC-klagomål.docx", "A 38913-2023")</f>
        <v/>
      </c>
      <c r="W25">
        <f>HYPERLINK("https://klasma.github.io/Logging_0580/klagomålsmail/A 38913-2023 FSC-klagomål mail.docx", "A 38913-2023")</f>
        <v/>
      </c>
      <c r="X25">
        <f>HYPERLINK("https://klasma.github.io/Logging_0580/tillsyn/A 38913-2023 tillsynsbegäran.docx", "A 38913-2023")</f>
        <v/>
      </c>
      <c r="Y25">
        <f>HYPERLINK("https://klasma.github.io/Logging_0580/tillsynsmail/A 38913-2023 tillsynsbegäran mail.docx", "A 38913-2023")</f>
        <v/>
      </c>
    </row>
    <row r="26" ht="15" customHeight="1">
      <c r="A26" t="inlineStr">
        <is>
          <t>A 49188-2024</t>
        </is>
      </c>
      <c r="B26" s="1" t="n">
        <v>45595</v>
      </c>
      <c r="C26" s="1" t="n">
        <v>46017</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27981-2022</t>
        </is>
      </c>
      <c r="B27" s="1" t="n">
        <v>44745</v>
      </c>
      <c r="C27" s="1" t="n">
        <v>46017</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58068-2021</t>
        </is>
      </c>
      <c r="B28" s="1" t="n">
        <v>44487</v>
      </c>
      <c r="C28" s="1" t="n">
        <v>46017</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22040-2023</t>
        </is>
      </c>
      <c r="B29" s="1" t="n">
        <v>45068</v>
      </c>
      <c r="C29" s="1" t="n">
        <v>46017</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42858-2023</t>
        </is>
      </c>
      <c r="B30" s="1" t="n">
        <v>45177</v>
      </c>
      <c r="C30" s="1" t="n">
        <v>46017</v>
      </c>
      <c r="D30" t="inlineStr">
        <is>
          <t>ÖSTERGÖTLANDS LÄN</t>
        </is>
      </c>
      <c r="E30" t="inlineStr">
        <is>
          <t>LINKÖPING</t>
        </is>
      </c>
      <c r="G30" t="n">
        <v>5.3</v>
      </c>
      <c r="H30" t="n">
        <v>1</v>
      </c>
      <c r="I30" t="n">
        <v>0</v>
      </c>
      <c r="J30" t="n">
        <v>1</v>
      </c>
      <c r="K30" t="n">
        <v>0</v>
      </c>
      <c r="L30" t="n">
        <v>0</v>
      </c>
      <c r="M30" t="n">
        <v>0</v>
      </c>
      <c r="N30" t="n">
        <v>0</v>
      </c>
      <c r="O30" t="n">
        <v>1</v>
      </c>
      <c r="P30" t="n">
        <v>0</v>
      </c>
      <c r="Q30" t="n">
        <v>2</v>
      </c>
      <c r="R30" s="2" t="inlineStr">
        <is>
          <t>Svinrot
Skogsödla</t>
        </is>
      </c>
      <c r="S30">
        <f>HYPERLINK("https://klasma.github.io/Logging_0580/artfynd/A 42858-2023 artfynd.xlsx", "A 42858-2023")</f>
        <v/>
      </c>
      <c r="T30">
        <f>HYPERLINK("https://klasma.github.io/Logging_0580/kartor/A 42858-2023 karta.png", "A 42858-2023")</f>
        <v/>
      </c>
      <c r="V30">
        <f>HYPERLINK("https://klasma.github.io/Logging_0580/klagomål/A 42858-2023 FSC-klagomål.docx", "A 42858-2023")</f>
        <v/>
      </c>
      <c r="W30">
        <f>HYPERLINK("https://klasma.github.io/Logging_0580/klagomålsmail/A 42858-2023 FSC-klagomål mail.docx", "A 42858-2023")</f>
        <v/>
      </c>
      <c r="X30">
        <f>HYPERLINK("https://klasma.github.io/Logging_0580/tillsyn/A 42858-2023 tillsynsbegäran.docx", "A 42858-2023")</f>
        <v/>
      </c>
      <c r="Y30">
        <f>HYPERLINK("https://klasma.github.io/Logging_0580/tillsynsmail/A 42858-2023 tillsynsbegäran mail.docx", "A 42858-2023")</f>
        <v/>
      </c>
    </row>
    <row r="31" ht="15" customHeight="1">
      <c r="A31" t="inlineStr">
        <is>
          <t>A 11613-2025</t>
        </is>
      </c>
      <c r="B31" s="1" t="n">
        <v>45727.44623842592</v>
      </c>
      <c r="C31" s="1" t="n">
        <v>46017</v>
      </c>
      <c r="D31" t="inlineStr">
        <is>
          <t>ÖSTERGÖTLANDS LÄN</t>
        </is>
      </c>
      <c r="E31" t="inlineStr">
        <is>
          <t>LINKÖPING</t>
        </is>
      </c>
      <c r="G31" t="n">
        <v>5.7</v>
      </c>
      <c r="H31" t="n">
        <v>1</v>
      </c>
      <c r="I31" t="n">
        <v>1</v>
      </c>
      <c r="J31" t="n">
        <v>0</v>
      </c>
      <c r="K31" t="n">
        <v>1</v>
      </c>
      <c r="L31" t="n">
        <v>0</v>
      </c>
      <c r="M31" t="n">
        <v>0</v>
      </c>
      <c r="N31" t="n">
        <v>0</v>
      </c>
      <c r="O31" t="n">
        <v>1</v>
      </c>
      <c r="P31" t="n">
        <v>1</v>
      </c>
      <c r="Q31" t="n">
        <v>2</v>
      </c>
      <c r="R31" s="2" t="inlineStr">
        <is>
          <t>Knärot
Grönpyrola</t>
        </is>
      </c>
      <c r="S31">
        <f>HYPERLINK("https://klasma.github.io/Logging_0580/artfynd/A 11613-2025 artfynd.xlsx", "A 11613-2025")</f>
        <v/>
      </c>
      <c r="T31">
        <f>HYPERLINK("https://klasma.github.io/Logging_0580/kartor/A 11613-2025 karta.png", "A 11613-2025")</f>
        <v/>
      </c>
      <c r="U31">
        <f>HYPERLINK("https://klasma.github.io/Logging_0580/knärot/A 11613-2025 karta knärot.png", "A 11613-2025")</f>
        <v/>
      </c>
      <c r="V31">
        <f>HYPERLINK("https://klasma.github.io/Logging_0580/klagomål/A 11613-2025 FSC-klagomål.docx", "A 11613-2025")</f>
        <v/>
      </c>
      <c r="W31">
        <f>HYPERLINK("https://klasma.github.io/Logging_0580/klagomålsmail/A 11613-2025 FSC-klagomål mail.docx", "A 11613-2025")</f>
        <v/>
      </c>
      <c r="X31">
        <f>HYPERLINK("https://klasma.github.io/Logging_0580/tillsyn/A 11613-2025 tillsynsbegäran.docx", "A 11613-2025")</f>
        <v/>
      </c>
      <c r="Y31">
        <f>HYPERLINK("https://klasma.github.io/Logging_0580/tillsynsmail/A 11613-2025 tillsynsbegäran mail.docx", "A 11613-2025")</f>
        <v/>
      </c>
    </row>
    <row r="32" ht="15" customHeight="1">
      <c r="A32" t="inlineStr">
        <is>
          <t>A 41751-2023</t>
        </is>
      </c>
      <c r="B32" s="1" t="n">
        <v>45176</v>
      </c>
      <c r="C32" s="1" t="n">
        <v>46017</v>
      </c>
      <c r="D32" t="inlineStr">
        <is>
          <t>ÖSTERGÖTLANDS LÄN</t>
        </is>
      </c>
      <c r="E32" t="inlineStr">
        <is>
          <t>LINKÖPING</t>
        </is>
      </c>
      <c r="G32" t="n">
        <v>1.5</v>
      </c>
      <c r="H32" t="n">
        <v>1</v>
      </c>
      <c r="I32" t="n">
        <v>0</v>
      </c>
      <c r="J32" t="n">
        <v>1</v>
      </c>
      <c r="K32" t="n">
        <v>0</v>
      </c>
      <c r="L32" t="n">
        <v>0</v>
      </c>
      <c r="M32" t="n">
        <v>0</v>
      </c>
      <c r="N32" t="n">
        <v>0</v>
      </c>
      <c r="O32" t="n">
        <v>1</v>
      </c>
      <c r="P32" t="n">
        <v>0</v>
      </c>
      <c r="Q32" t="n">
        <v>2</v>
      </c>
      <c r="R32" s="2" t="inlineStr">
        <is>
          <t>Svinrot
Grönvit nattviol</t>
        </is>
      </c>
      <c r="S32">
        <f>HYPERLINK("https://klasma.github.io/Logging_0580/artfynd/A 41751-2023 artfynd.xlsx", "A 41751-2023")</f>
        <v/>
      </c>
      <c r="T32">
        <f>HYPERLINK("https://klasma.github.io/Logging_0580/kartor/A 41751-2023 karta.png", "A 41751-2023")</f>
        <v/>
      </c>
      <c r="V32">
        <f>HYPERLINK("https://klasma.github.io/Logging_0580/klagomål/A 41751-2023 FSC-klagomål.docx", "A 41751-2023")</f>
        <v/>
      </c>
      <c r="W32">
        <f>HYPERLINK("https://klasma.github.io/Logging_0580/klagomålsmail/A 41751-2023 FSC-klagomål mail.docx", "A 41751-2023")</f>
        <v/>
      </c>
      <c r="X32">
        <f>HYPERLINK("https://klasma.github.io/Logging_0580/tillsyn/A 41751-2023 tillsynsbegäran.docx", "A 41751-2023")</f>
        <v/>
      </c>
      <c r="Y32">
        <f>HYPERLINK("https://klasma.github.io/Logging_0580/tillsynsmail/A 41751-2023 tillsynsbegäran mail.docx", "A 41751-2023")</f>
        <v/>
      </c>
    </row>
    <row r="33" ht="15" customHeight="1">
      <c r="A33" t="inlineStr">
        <is>
          <t>A 8818-2025</t>
        </is>
      </c>
      <c r="B33" s="1" t="n">
        <v>45712</v>
      </c>
      <c r="C33" s="1" t="n">
        <v>46017</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14879-2024</t>
        </is>
      </c>
      <c r="B34" s="1" t="n">
        <v>45398</v>
      </c>
      <c r="C34" s="1" t="n">
        <v>46017</v>
      </c>
      <c r="D34" t="inlineStr">
        <is>
          <t>ÖSTERGÖTLANDS LÄN</t>
        </is>
      </c>
      <c r="E34" t="inlineStr">
        <is>
          <t>LINKÖPING</t>
        </is>
      </c>
      <c r="F34" t="inlineStr">
        <is>
          <t>Övriga Aktiebolag</t>
        </is>
      </c>
      <c r="G34" t="n">
        <v>1.7</v>
      </c>
      <c r="H34" t="n">
        <v>1</v>
      </c>
      <c r="I34" t="n">
        <v>1</v>
      </c>
      <c r="J34" t="n">
        <v>0</v>
      </c>
      <c r="K34" t="n">
        <v>0</v>
      </c>
      <c r="L34" t="n">
        <v>0</v>
      </c>
      <c r="M34" t="n">
        <v>0</v>
      </c>
      <c r="N34" t="n">
        <v>0</v>
      </c>
      <c r="O34" t="n">
        <v>0</v>
      </c>
      <c r="P34" t="n">
        <v>0</v>
      </c>
      <c r="Q34" t="n">
        <v>2</v>
      </c>
      <c r="R34" s="2" t="inlineStr">
        <is>
          <t>Svart trolldruva
Grönvit nattviol</t>
        </is>
      </c>
      <c r="S34">
        <f>HYPERLINK("https://klasma.github.io/Logging_0580/artfynd/A 14879-2024 artfynd.xlsx", "A 14879-2024")</f>
        <v/>
      </c>
      <c r="T34">
        <f>HYPERLINK("https://klasma.github.io/Logging_0580/kartor/A 14879-2024 karta.png", "A 14879-2024")</f>
        <v/>
      </c>
      <c r="V34">
        <f>HYPERLINK("https://klasma.github.io/Logging_0580/klagomål/A 14879-2024 FSC-klagomål.docx", "A 14879-2024")</f>
        <v/>
      </c>
      <c r="W34">
        <f>HYPERLINK("https://klasma.github.io/Logging_0580/klagomålsmail/A 14879-2024 FSC-klagomål mail.docx", "A 14879-2024")</f>
        <v/>
      </c>
      <c r="X34">
        <f>HYPERLINK("https://klasma.github.io/Logging_0580/tillsyn/A 14879-2024 tillsynsbegäran.docx", "A 14879-2024")</f>
        <v/>
      </c>
      <c r="Y34">
        <f>HYPERLINK("https://klasma.github.io/Logging_0580/tillsynsmail/A 14879-2024 tillsynsbegäran mail.docx", "A 14879-2024")</f>
        <v/>
      </c>
    </row>
    <row r="35" ht="15" customHeight="1">
      <c r="A35" t="inlineStr">
        <is>
          <t>A 50048-2025</t>
        </is>
      </c>
      <c r="B35" s="1" t="n">
        <v>45941</v>
      </c>
      <c r="C35" s="1" t="n">
        <v>46017</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55344-2024</t>
        </is>
      </c>
      <c r="B36" s="1" t="n">
        <v>45621.7202662037</v>
      </c>
      <c r="C36" s="1" t="n">
        <v>46017</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46017</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50404-2023</t>
        </is>
      </c>
      <c r="B38" s="1" t="n">
        <v>45216</v>
      </c>
      <c r="C38" s="1" t="n">
        <v>46017</v>
      </c>
      <c r="D38" t="inlineStr">
        <is>
          <t>ÖSTERGÖTLANDS LÄN</t>
        </is>
      </c>
      <c r="E38" t="inlineStr">
        <is>
          <t>LINKÖPING</t>
        </is>
      </c>
      <c r="G38" t="n">
        <v>1.2</v>
      </c>
      <c r="H38" t="n">
        <v>1</v>
      </c>
      <c r="I38" t="n">
        <v>1</v>
      </c>
      <c r="J38" t="n">
        <v>0</v>
      </c>
      <c r="K38" t="n">
        <v>0</v>
      </c>
      <c r="L38" t="n">
        <v>0</v>
      </c>
      <c r="M38" t="n">
        <v>0</v>
      </c>
      <c r="N38" t="n">
        <v>0</v>
      </c>
      <c r="O38" t="n">
        <v>0</v>
      </c>
      <c r="P38" t="n">
        <v>0</v>
      </c>
      <c r="Q38" t="n">
        <v>2</v>
      </c>
      <c r="R38" s="2" t="inlineStr">
        <is>
          <t>Hasselticka
Gullviva</t>
        </is>
      </c>
      <c r="S38">
        <f>HYPERLINK("https://klasma.github.io/Logging_0580/artfynd/A 50404-2023 artfynd.xlsx", "A 50404-2023")</f>
        <v/>
      </c>
      <c r="T38">
        <f>HYPERLINK("https://klasma.github.io/Logging_0580/kartor/A 50404-2023 karta.png", "A 50404-2023")</f>
        <v/>
      </c>
      <c r="V38">
        <f>HYPERLINK("https://klasma.github.io/Logging_0580/klagomål/A 50404-2023 FSC-klagomål.docx", "A 50404-2023")</f>
        <v/>
      </c>
      <c r="W38">
        <f>HYPERLINK("https://klasma.github.io/Logging_0580/klagomålsmail/A 50404-2023 FSC-klagomål mail.docx", "A 50404-2023")</f>
        <v/>
      </c>
      <c r="X38">
        <f>HYPERLINK("https://klasma.github.io/Logging_0580/tillsyn/A 50404-2023 tillsynsbegäran.docx", "A 50404-2023")</f>
        <v/>
      </c>
      <c r="Y38">
        <f>HYPERLINK("https://klasma.github.io/Logging_0580/tillsynsmail/A 50404-2023 tillsynsbegäran mail.docx", "A 50404-2023")</f>
        <v/>
      </c>
    </row>
    <row r="39" ht="15" customHeight="1">
      <c r="A39" t="inlineStr">
        <is>
          <t>A 21326-2025</t>
        </is>
      </c>
      <c r="B39" s="1" t="n">
        <v>45782.35407407407</v>
      </c>
      <c r="C39" s="1" t="n">
        <v>46017</v>
      </c>
      <c r="D39" t="inlineStr">
        <is>
          <t>ÖSTERGÖTLANDS LÄN</t>
        </is>
      </c>
      <c r="E39" t="inlineStr">
        <is>
          <t>LINKÖPING</t>
        </is>
      </c>
      <c r="G39" t="n">
        <v>4.9</v>
      </c>
      <c r="H39" t="n">
        <v>2</v>
      </c>
      <c r="I39" t="n">
        <v>0</v>
      </c>
      <c r="J39" t="n">
        <v>0</v>
      </c>
      <c r="K39" t="n">
        <v>0</v>
      </c>
      <c r="L39" t="n">
        <v>0</v>
      </c>
      <c r="M39" t="n">
        <v>0</v>
      </c>
      <c r="N39" t="n">
        <v>0</v>
      </c>
      <c r="O39" t="n">
        <v>0</v>
      </c>
      <c r="P39" t="n">
        <v>0</v>
      </c>
      <c r="Q39" t="n">
        <v>2</v>
      </c>
      <c r="R39" s="2" t="inlineStr">
        <is>
          <t>Blåsippa
Revlummer</t>
        </is>
      </c>
      <c r="S39">
        <f>HYPERLINK("https://klasma.github.io/Logging_0580/artfynd/A 21326-2025 artfynd.xlsx", "A 21326-2025")</f>
        <v/>
      </c>
      <c r="T39">
        <f>HYPERLINK("https://klasma.github.io/Logging_0580/kartor/A 21326-2025 karta.png", "A 21326-2025")</f>
        <v/>
      </c>
      <c r="V39">
        <f>HYPERLINK("https://klasma.github.io/Logging_0580/klagomål/A 21326-2025 FSC-klagomål.docx", "A 21326-2025")</f>
        <v/>
      </c>
      <c r="W39">
        <f>HYPERLINK("https://klasma.github.io/Logging_0580/klagomålsmail/A 21326-2025 FSC-klagomål mail.docx", "A 21326-2025")</f>
        <v/>
      </c>
      <c r="X39">
        <f>HYPERLINK("https://klasma.github.io/Logging_0580/tillsyn/A 21326-2025 tillsynsbegäran.docx", "A 21326-2025")</f>
        <v/>
      </c>
      <c r="Y39">
        <f>HYPERLINK("https://klasma.github.io/Logging_0580/tillsynsmail/A 21326-2025 tillsynsbegäran mail.docx", "A 21326-2025")</f>
        <v/>
      </c>
    </row>
    <row r="40" ht="15" customHeight="1">
      <c r="A40" t="inlineStr">
        <is>
          <t>A 27795-2025</t>
        </is>
      </c>
      <c r="B40" s="1" t="n">
        <v>45816.7908912037</v>
      </c>
      <c r="C40" s="1" t="n">
        <v>46017</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46017</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46017</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43017-2021</t>
        </is>
      </c>
      <c r="B43" s="1" t="n">
        <v>44431</v>
      </c>
      <c r="C43" s="1" t="n">
        <v>46017</v>
      </c>
      <c r="D43" t="inlineStr">
        <is>
          <t>ÖSTERGÖTLANDS LÄN</t>
        </is>
      </c>
      <c r="E43" t="inlineStr">
        <is>
          <t>LINKÖPING</t>
        </is>
      </c>
      <c r="G43" t="n">
        <v>0.9</v>
      </c>
      <c r="H43" t="n">
        <v>0</v>
      </c>
      <c r="I43" t="n">
        <v>0</v>
      </c>
      <c r="J43" t="n">
        <v>1</v>
      </c>
      <c r="K43" t="n">
        <v>0</v>
      </c>
      <c r="L43" t="n">
        <v>0</v>
      </c>
      <c r="M43" t="n">
        <v>0</v>
      </c>
      <c r="N43" t="n">
        <v>0</v>
      </c>
      <c r="O43" t="n">
        <v>1</v>
      </c>
      <c r="P43" t="n">
        <v>0</v>
      </c>
      <c r="Q43" t="n">
        <v>1</v>
      </c>
      <c r="R43" s="2" t="inlineStr">
        <is>
          <t>Hapalopilus aurantiacus</t>
        </is>
      </c>
      <c r="S43">
        <f>HYPERLINK("https://klasma.github.io/Logging_0580/artfynd/A 43017-2021 artfynd.xlsx", "A 43017-2021")</f>
        <v/>
      </c>
      <c r="T43">
        <f>HYPERLINK("https://klasma.github.io/Logging_0580/kartor/A 43017-2021 karta.png", "A 43017-2021")</f>
        <v/>
      </c>
      <c r="V43">
        <f>HYPERLINK("https://klasma.github.io/Logging_0580/klagomål/A 43017-2021 FSC-klagomål.docx", "A 43017-2021")</f>
        <v/>
      </c>
      <c r="W43">
        <f>HYPERLINK("https://klasma.github.io/Logging_0580/klagomålsmail/A 43017-2021 FSC-klagomål mail.docx", "A 43017-2021")</f>
        <v/>
      </c>
      <c r="X43">
        <f>HYPERLINK("https://klasma.github.io/Logging_0580/tillsyn/A 43017-2021 tillsynsbegäran.docx", "A 43017-2021")</f>
        <v/>
      </c>
      <c r="Y43">
        <f>HYPERLINK("https://klasma.github.io/Logging_0580/tillsynsmail/A 43017-2021 tillsynsbegäran mail.docx", "A 43017-2021")</f>
        <v/>
      </c>
    </row>
    <row r="44" ht="15" customHeight="1">
      <c r="A44" t="inlineStr">
        <is>
          <t>A 46496-2022</t>
        </is>
      </c>
      <c r="B44" s="1" t="n">
        <v>44848</v>
      </c>
      <c r="C44" s="1" t="n">
        <v>46017</v>
      </c>
      <c r="D44" t="inlineStr">
        <is>
          <t>ÖSTERGÖTLANDS LÄN</t>
        </is>
      </c>
      <c r="E44" t="inlineStr">
        <is>
          <t>LINKÖPING</t>
        </is>
      </c>
      <c r="G44" t="n">
        <v>1.1</v>
      </c>
      <c r="H44" t="n">
        <v>0</v>
      </c>
      <c r="I44" t="n">
        <v>0</v>
      </c>
      <c r="J44" t="n">
        <v>1</v>
      </c>
      <c r="K44" t="n">
        <v>0</v>
      </c>
      <c r="L44" t="n">
        <v>0</v>
      </c>
      <c r="M44" t="n">
        <v>0</v>
      </c>
      <c r="N44" t="n">
        <v>0</v>
      </c>
      <c r="O44" t="n">
        <v>1</v>
      </c>
      <c r="P44" t="n">
        <v>0</v>
      </c>
      <c r="Q44" t="n">
        <v>1</v>
      </c>
      <c r="R44" s="2" t="inlineStr">
        <is>
          <t>Bredbrämad bastardsvärmare</t>
        </is>
      </c>
      <c r="S44">
        <f>HYPERLINK("https://klasma.github.io/Logging_0580/artfynd/A 46496-2022 artfynd.xlsx", "A 46496-2022")</f>
        <v/>
      </c>
      <c r="T44">
        <f>HYPERLINK("https://klasma.github.io/Logging_0580/kartor/A 46496-2022 karta.png", "A 46496-2022")</f>
        <v/>
      </c>
      <c r="V44">
        <f>HYPERLINK("https://klasma.github.io/Logging_0580/klagomål/A 46496-2022 FSC-klagomål.docx", "A 46496-2022")</f>
        <v/>
      </c>
      <c r="W44">
        <f>HYPERLINK("https://klasma.github.io/Logging_0580/klagomålsmail/A 46496-2022 FSC-klagomål mail.docx", "A 46496-2022")</f>
        <v/>
      </c>
      <c r="X44">
        <f>HYPERLINK("https://klasma.github.io/Logging_0580/tillsyn/A 46496-2022 tillsynsbegäran.docx", "A 46496-2022")</f>
        <v/>
      </c>
      <c r="Y44">
        <f>HYPERLINK("https://klasma.github.io/Logging_0580/tillsynsmail/A 46496-2022 tillsynsbegäran mail.docx", "A 46496-2022")</f>
        <v/>
      </c>
    </row>
    <row r="45" ht="15" customHeight="1">
      <c r="A45" t="inlineStr">
        <is>
          <t>A 14096-2021</t>
        </is>
      </c>
      <c r="B45" s="1" t="n">
        <v>44278</v>
      </c>
      <c r="C45" s="1" t="n">
        <v>46017</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46017</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71127-2021</t>
        </is>
      </c>
      <c r="B47" s="1" t="n">
        <v>44537</v>
      </c>
      <c r="C47" s="1" t="n">
        <v>46017</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56250-2021</t>
        </is>
      </c>
      <c r="B48" s="1" t="n">
        <v>44479</v>
      </c>
      <c r="C48" s="1" t="n">
        <v>46017</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54835-2023</t>
        </is>
      </c>
      <c r="B49" s="1" t="n">
        <v>45236</v>
      </c>
      <c r="C49" s="1" t="n">
        <v>46017</v>
      </c>
      <c r="D49" t="inlineStr">
        <is>
          <t>ÖSTERGÖTLANDS LÄN</t>
        </is>
      </c>
      <c r="E49" t="inlineStr">
        <is>
          <t>LINKÖPING</t>
        </is>
      </c>
      <c r="G49" t="n">
        <v>2</v>
      </c>
      <c r="H49" t="n">
        <v>1</v>
      </c>
      <c r="I49" t="n">
        <v>0</v>
      </c>
      <c r="J49" t="n">
        <v>0</v>
      </c>
      <c r="K49" t="n">
        <v>0</v>
      </c>
      <c r="L49" t="n">
        <v>0</v>
      </c>
      <c r="M49" t="n">
        <v>0</v>
      </c>
      <c r="N49" t="n">
        <v>0</v>
      </c>
      <c r="O49" t="n">
        <v>0</v>
      </c>
      <c r="P49" t="n">
        <v>0</v>
      </c>
      <c r="Q49" t="n">
        <v>1</v>
      </c>
      <c r="R49" s="2" t="inlineStr">
        <is>
          <t>Sparvuggla</t>
        </is>
      </c>
      <c r="S49">
        <f>HYPERLINK("https://klasma.github.io/Logging_0580/artfynd/A 54835-2023 artfynd.xlsx", "A 54835-2023")</f>
        <v/>
      </c>
      <c r="T49">
        <f>HYPERLINK("https://klasma.github.io/Logging_0580/kartor/A 54835-2023 karta.png", "A 54835-2023")</f>
        <v/>
      </c>
      <c r="V49">
        <f>HYPERLINK("https://klasma.github.io/Logging_0580/klagomål/A 54835-2023 FSC-klagomål.docx", "A 54835-2023")</f>
        <v/>
      </c>
      <c r="W49">
        <f>HYPERLINK("https://klasma.github.io/Logging_0580/klagomålsmail/A 54835-2023 FSC-klagomål mail.docx", "A 54835-2023")</f>
        <v/>
      </c>
      <c r="X49">
        <f>HYPERLINK("https://klasma.github.io/Logging_0580/tillsyn/A 54835-2023 tillsynsbegäran.docx", "A 54835-2023")</f>
        <v/>
      </c>
      <c r="Y49">
        <f>HYPERLINK("https://klasma.github.io/Logging_0580/tillsynsmail/A 54835-2023 tillsynsbegäran mail.docx", "A 54835-2023")</f>
        <v/>
      </c>
      <c r="Z49">
        <f>HYPERLINK("https://klasma.github.io/Logging_0580/fåglar/A 54835-2023 prioriterade fågelarter.docx", "A 54835-2023")</f>
        <v/>
      </c>
    </row>
    <row r="50" ht="15" customHeight="1">
      <c r="A50" t="inlineStr">
        <is>
          <t>A 1213-2023</t>
        </is>
      </c>
      <c r="B50" s="1" t="n">
        <v>44930</v>
      </c>
      <c r="C50" s="1" t="n">
        <v>46017</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17389-2021</t>
        </is>
      </c>
      <c r="B51" s="1" t="n">
        <v>44298.96792824074</v>
      </c>
      <c r="C51" s="1" t="n">
        <v>46017</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34881-2023</t>
        </is>
      </c>
      <c r="B52" s="1" t="n">
        <v>45140</v>
      </c>
      <c r="C52" s="1" t="n">
        <v>46017</v>
      </c>
      <c r="D52" t="inlineStr">
        <is>
          <t>ÖSTERGÖTLANDS LÄN</t>
        </is>
      </c>
      <c r="E52" t="inlineStr">
        <is>
          <t>LINKÖPING</t>
        </is>
      </c>
      <c r="G52" t="n">
        <v>1.9</v>
      </c>
      <c r="H52" t="n">
        <v>0</v>
      </c>
      <c r="I52" t="n">
        <v>0</v>
      </c>
      <c r="J52" t="n">
        <v>1</v>
      </c>
      <c r="K52" t="n">
        <v>0</v>
      </c>
      <c r="L52" t="n">
        <v>0</v>
      </c>
      <c r="M52" t="n">
        <v>0</v>
      </c>
      <c r="N52" t="n">
        <v>0</v>
      </c>
      <c r="O52" t="n">
        <v>1</v>
      </c>
      <c r="P52" t="n">
        <v>0</v>
      </c>
      <c r="Q52" t="n">
        <v>1</v>
      </c>
      <c r="R52" s="2" t="inlineStr">
        <is>
          <t>Tallticka</t>
        </is>
      </c>
      <c r="S52">
        <f>HYPERLINK("https://klasma.github.io/Logging_0580/artfynd/A 34881-2023 artfynd.xlsx", "A 34881-2023")</f>
        <v/>
      </c>
      <c r="T52">
        <f>HYPERLINK("https://klasma.github.io/Logging_0580/kartor/A 34881-2023 karta.png", "A 34881-2023")</f>
        <v/>
      </c>
      <c r="U52">
        <f>HYPERLINK("https://klasma.github.io/Logging_0580/knärot/A 34881-2023 karta knärot.png", "A 34881-2023")</f>
        <v/>
      </c>
      <c r="V52">
        <f>HYPERLINK("https://klasma.github.io/Logging_0580/klagomål/A 34881-2023 FSC-klagomål.docx", "A 34881-2023")</f>
        <v/>
      </c>
      <c r="W52">
        <f>HYPERLINK("https://klasma.github.io/Logging_0580/klagomålsmail/A 34881-2023 FSC-klagomål mail.docx", "A 34881-2023")</f>
        <v/>
      </c>
      <c r="X52">
        <f>HYPERLINK("https://klasma.github.io/Logging_0580/tillsyn/A 34881-2023 tillsynsbegäran.docx", "A 34881-2023")</f>
        <v/>
      </c>
      <c r="Y52">
        <f>HYPERLINK("https://klasma.github.io/Logging_0580/tillsynsmail/A 34881-2023 tillsynsbegäran mail.docx", "A 34881-2023")</f>
        <v/>
      </c>
    </row>
    <row r="53" ht="15" customHeight="1">
      <c r="A53" t="inlineStr">
        <is>
          <t>A 40315-2024</t>
        </is>
      </c>
      <c r="B53" s="1" t="n">
        <v>45554.7571875</v>
      </c>
      <c r="C53" s="1" t="n">
        <v>46017</v>
      </c>
      <c r="D53" t="inlineStr">
        <is>
          <t>ÖSTERGÖTLANDS LÄN</t>
        </is>
      </c>
      <c r="E53" t="inlineStr">
        <is>
          <t>LINKÖPING</t>
        </is>
      </c>
      <c r="F53" t="inlineStr">
        <is>
          <t>Allmännings- och besparingsskogar</t>
        </is>
      </c>
      <c r="G53" t="n">
        <v>15.8</v>
      </c>
      <c r="H53" t="n">
        <v>0</v>
      </c>
      <c r="I53" t="n">
        <v>0</v>
      </c>
      <c r="J53" t="n">
        <v>0</v>
      </c>
      <c r="K53" t="n">
        <v>0</v>
      </c>
      <c r="L53" t="n">
        <v>0</v>
      </c>
      <c r="M53" t="n">
        <v>1</v>
      </c>
      <c r="N53" t="n">
        <v>0</v>
      </c>
      <c r="O53" t="n">
        <v>1</v>
      </c>
      <c r="P53" t="n">
        <v>1</v>
      </c>
      <c r="Q53" t="n">
        <v>1</v>
      </c>
      <c r="R53" s="2" t="inlineStr">
        <is>
          <t>Skogsalm</t>
        </is>
      </c>
      <c r="S53">
        <f>HYPERLINK("https://klasma.github.io/Logging_0580/artfynd/A 40315-2024 artfynd.xlsx", "A 40315-2024")</f>
        <v/>
      </c>
      <c r="T53">
        <f>HYPERLINK("https://klasma.github.io/Logging_0580/kartor/A 40315-2024 karta.png", "A 40315-2024")</f>
        <v/>
      </c>
      <c r="V53">
        <f>HYPERLINK("https://klasma.github.io/Logging_0580/klagomål/A 40315-2024 FSC-klagomål.docx", "A 40315-2024")</f>
        <v/>
      </c>
      <c r="W53">
        <f>HYPERLINK("https://klasma.github.io/Logging_0580/klagomålsmail/A 40315-2024 FSC-klagomål mail.docx", "A 40315-2024")</f>
        <v/>
      </c>
      <c r="X53">
        <f>HYPERLINK("https://klasma.github.io/Logging_0580/tillsyn/A 40315-2024 tillsynsbegäran.docx", "A 40315-2024")</f>
        <v/>
      </c>
      <c r="Y53">
        <f>HYPERLINK("https://klasma.github.io/Logging_0580/tillsynsmail/A 40315-2024 tillsynsbegäran mail.docx", "A 40315-2024")</f>
        <v/>
      </c>
    </row>
    <row r="54" ht="15" customHeight="1">
      <c r="A54" t="inlineStr">
        <is>
          <t>A 19103-2021</t>
        </is>
      </c>
      <c r="B54" s="1" t="n">
        <v>44308</v>
      </c>
      <c r="C54" s="1" t="n">
        <v>46017</v>
      </c>
      <c r="D54" t="inlineStr">
        <is>
          <t>ÖSTERGÖTLANDS LÄN</t>
        </is>
      </c>
      <c r="E54" t="inlineStr">
        <is>
          <t>LINKÖPING</t>
        </is>
      </c>
      <c r="G54" t="n">
        <v>4.7</v>
      </c>
      <c r="H54" t="n">
        <v>0</v>
      </c>
      <c r="I54" t="n">
        <v>0</v>
      </c>
      <c r="J54" t="n">
        <v>1</v>
      </c>
      <c r="K54" t="n">
        <v>0</v>
      </c>
      <c r="L54" t="n">
        <v>0</v>
      </c>
      <c r="M54" t="n">
        <v>0</v>
      </c>
      <c r="N54" t="n">
        <v>0</v>
      </c>
      <c r="O54" t="n">
        <v>1</v>
      </c>
      <c r="P54" t="n">
        <v>0</v>
      </c>
      <c r="Q54" t="n">
        <v>1</v>
      </c>
      <c r="R54" s="2" t="inlineStr">
        <is>
          <t>Tallticka</t>
        </is>
      </c>
      <c r="S54">
        <f>HYPERLINK("https://klasma.github.io/Logging_0580/artfynd/A 19103-2021 artfynd.xlsx", "A 19103-2021")</f>
        <v/>
      </c>
      <c r="T54">
        <f>HYPERLINK("https://klasma.github.io/Logging_0580/kartor/A 19103-2021 karta.png", "A 19103-2021")</f>
        <v/>
      </c>
      <c r="V54">
        <f>HYPERLINK("https://klasma.github.io/Logging_0580/klagomål/A 19103-2021 FSC-klagomål.docx", "A 19103-2021")</f>
        <v/>
      </c>
      <c r="W54">
        <f>HYPERLINK("https://klasma.github.io/Logging_0580/klagomålsmail/A 19103-2021 FSC-klagomål mail.docx", "A 19103-2021")</f>
        <v/>
      </c>
      <c r="X54">
        <f>HYPERLINK("https://klasma.github.io/Logging_0580/tillsyn/A 19103-2021 tillsynsbegäran.docx", "A 19103-2021")</f>
        <v/>
      </c>
      <c r="Y54">
        <f>HYPERLINK("https://klasma.github.io/Logging_0580/tillsynsmail/A 19103-2021 tillsynsbegäran mail.docx", "A 19103-2021")</f>
        <v/>
      </c>
    </row>
    <row r="55" ht="15" customHeight="1">
      <c r="A55" t="inlineStr">
        <is>
          <t>A 45317-2023</t>
        </is>
      </c>
      <c r="B55" s="1" t="n">
        <v>45191.74868055555</v>
      </c>
      <c r="C55" s="1" t="n">
        <v>46017</v>
      </c>
      <c r="D55" t="inlineStr">
        <is>
          <t>ÖSTERGÖTLANDS LÄN</t>
        </is>
      </c>
      <c r="E55" t="inlineStr">
        <is>
          <t>LINKÖPING</t>
        </is>
      </c>
      <c r="F55" t="inlineStr">
        <is>
          <t>Allmännings- och besparingsskogar</t>
        </is>
      </c>
      <c r="G55" t="n">
        <v>29.3</v>
      </c>
      <c r="H55" t="n">
        <v>0</v>
      </c>
      <c r="I55" t="n">
        <v>0</v>
      </c>
      <c r="J55" t="n">
        <v>1</v>
      </c>
      <c r="K55" t="n">
        <v>0</v>
      </c>
      <c r="L55" t="n">
        <v>0</v>
      </c>
      <c r="M55" t="n">
        <v>0</v>
      </c>
      <c r="N55" t="n">
        <v>0</v>
      </c>
      <c r="O55" t="n">
        <v>1</v>
      </c>
      <c r="P55" t="n">
        <v>0</v>
      </c>
      <c r="Q55" t="n">
        <v>1</v>
      </c>
      <c r="R55" s="2" t="inlineStr">
        <is>
          <t>Svinrot</t>
        </is>
      </c>
      <c r="S55">
        <f>HYPERLINK("https://klasma.github.io/Logging_0580/artfynd/A 45317-2023 artfynd.xlsx", "A 45317-2023")</f>
        <v/>
      </c>
      <c r="T55">
        <f>HYPERLINK("https://klasma.github.io/Logging_0580/kartor/A 45317-2023 karta.png", "A 45317-2023")</f>
        <v/>
      </c>
      <c r="V55">
        <f>HYPERLINK("https://klasma.github.io/Logging_0580/klagomål/A 45317-2023 FSC-klagomål.docx", "A 45317-2023")</f>
        <v/>
      </c>
      <c r="W55">
        <f>HYPERLINK("https://klasma.github.io/Logging_0580/klagomålsmail/A 45317-2023 FSC-klagomål mail.docx", "A 45317-2023")</f>
        <v/>
      </c>
      <c r="X55">
        <f>HYPERLINK("https://klasma.github.io/Logging_0580/tillsyn/A 45317-2023 tillsynsbegäran.docx", "A 45317-2023")</f>
        <v/>
      </c>
      <c r="Y55">
        <f>HYPERLINK("https://klasma.github.io/Logging_0580/tillsynsmail/A 45317-2023 tillsynsbegäran mail.docx", "A 45317-2023")</f>
        <v/>
      </c>
    </row>
    <row r="56" ht="15" customHeight="1">
      <c r="A56" t="inlineStr">
        <is>
          <t>A 20295-2025</t>
        </is>
      </c>
      <c r="B56" s="1" t="n">
        <v>45774.74846064814</v>
      </c>
      <c r="C56" s="1" t="n">
        <v>46017</v>
      </c>
      <c r="D56" t="inlineStr">
        <is>
          <t>ÖSTERGÖTLANDS LÄN</t>
        </is>
      </c>
      <c r="E56" t="inlineStr">
        <is>
          <t>LINKÖPING</t>
        </is>
      </c>
      <c r="G56" t="n">
        <v>3</v>
      </c>
      <c r="H56" t="n">
        <v>0</v>
      </c>
      <c r="I56" t="n">
        <v>0</v>
      </c>
      <c r="J56" t="n">
        <v>1</v>
      </c>
      <c r="K56" t="n">
        <v>0</v>
      </c>
      <c r="L56" t="n">
        <v>0</v>
      </c>
      <c r="M56" t="n">
        <v>0</v>
      </c>
      <c r="N56" t="n">
        <v>0</v>
      </c>
      <c r="O56" t="n">
        <v>1</v>
      </c>
      <c r="P56" t="n">
        <v>0</v>
      </c>
      <c r="Q56" t="n">
        <v>1</v>
      </c>
      <c r="R56" s="2" t="inlineStr">
        <is>
          <t>Tallticka</t>
        </is>
      </c>
      <c r="S56">
        <f>HYPERLINK("https://klasma.github.io/Logging_0580/artfynd/A 20295-2025 artfynd.xlsx", "A 20295-2025")</f>
        <v/>
      </c>
      <c r="T56">
        <f>HYPERLINK("https://klasma.github.io/Logging_0580/kartor/A 20295-2025 karta.png", "A 20295-2025")</f>
        <v/>
      </c>
      <c r="V56">
        <f>HYPERLINK("https://klasma.github.io/Logging_0580/klagomål/A 20295-2025 FSC-klagomål.docx", "A 20295-2025")</f>
        <v/>
      </c>
      <c r="W56">
        <f>HYPERLINK("https://klasma.github.io/Logging_0580/klagomålsmail/A 20295-2025 FSC-klagomål mail.docx", "A 20295-2025")</f>
        <v/>
      </c>
      <c r="X56">
        <f>HYPERLINK("https://klasma.github.io/Logging_0580/tillsyn/A 20295-2025 tillsynsbegäran.docx", "A 20295-2025")</f>
        <v/>
      </c>
      <c r="Y56">
        <f>HYPERLINK("https://klasma.github.io/Logging_0580/tillsynsmail/A 20295-2025 tillsynsbegäran mail.docx", "A 20295-2025")</f>
        <v/>
      </c>
    </row>
    <row r="57" ht="15" customHeight="1">
      <c r="A57" t="inlineStr">
        <is>
          <t>A 37683-2024</t>
        </is>
      </c>
      <c r="B57" s="1" t="n">
        <v>45541.59120370371</v>
      </c>
      <c r="C57" s="1" t="n">
        <v>46017</v>
      </c>
      <c r="D57" t="inlineStr">
        <is>
          <t>ÖSTERGÖTLANDS LÄN</t>
        </is>
      </c>
      <c r="E57" t="inlineStr">
        <is>
          <t>LINKÖPING</t>
        </is>
      </c>
      <c r="G57" t="n">
        <v>0.6</v>
      </c>
      <c r="H57" t="n">
        <v>0</v>
      </c>
      <c r="I57" t="n">
        <v>1</v>
      </c>
      <c r="J57" t="n">
        <v>0</v>
      </c>
      <c r="K57" t="n">
        <v>0</v>
      </c>
      <c r="L57" t="n">
        <v>0</v>
      </c>
      <c r="M57" t="n">
        <v>0</v>
      </c>
      <c r="N57" t="n">
        <v>0</v>
      </c>
      <c r="O57" t="n">
        <v>0</v>
      </c>
      <c r="P57" t="n">
        <v>0</v>
      </c>
      <c r="Q57" t="n">
        <v>1</v>
      </c>
      <c r="R57" s="2" t="inlineStr">
        <is>
          <t>Tibast</t>
        </is>
      </c>
      <c r="S57">
        <f>HYPERLINK("https://klasma.github.io/Logging_0580/artfynd/A 37683-2024 artfynd.xlsx", "A 37683-2024")</f>
        <v/>
      </c>
      <c r="T57">
        <f>HYPERLINK("https://klasma.github.io/Logging_0580/kartor/A 37683-2024 karta.png", "A 37683-2024")</f>
        <v/>
      </c>
      <c r="V57">
        <f>HYPERLINK("https://klasma.github.io/Logging_0580/klagomål/A 37683-2024 FSC-klagomål.docx", "A 37683-2024")</f>
        <v/>
      </c>
      <c r="W57">
        <f>HYPERLINK("https://klasma.github.io/Logging_0580/klagomålsmail/A 37683-2024 FSC-klagomål mail.docx", "A 37683-2024")</f>
        <v/>
      </c>
      <c r="X57">
        <f>HYPERLINK("https://klasma.github.io/Logging_0580/tillsyn/A 37683-2024 tillsynsbegäran.docx", "A 37683-2024")</f>
        <v/>
      </c>
      <c r="Y57">
        <f>HYPERLINK("https://klasma.github.io/Logging_0580/tillsynsmail/A 37683-2024 tillsynsbegäran mail.docx", "A 37683-2024")</f>
        <v/>
      </c>
    </row>
    <row r="58" ht="15" customHeight="1">
      <c r="A58" t="inlineStr">
        <is>
          <t>A 50471-2024</t>
        </is>
      </c>
      <c r="B58" s="1" t="n">
        <v>45601.47166666666</v>
      </c>
      <c r="C58" s="1" t="n">
        <v>46017</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35948-2023</t>
        </is>
      </c>
      <c r="B59" s="1" t="n">
        <v>45148</v>
      </c>
      <c r="C59" s="1" t="n">
        <v>46017</v>
      </c>
      <c r="D59" t="inlineStr">
        <is>
          <t>ÖSTERGÖTLANDS LÄN</t>
        </is>
      </c>
      <c r="E59" t="inlineStr">
        <is>
          <t>LINKÖPING</t>
        </is>
      </c>
      <c r="G59" t="n">
        <v>1.9</v>
      </c>
      <c r="H59" t="n">
        <v>0</v>
      </c>
      <c r="I59" t="n">
        <v>1</v>
      </c>
      <c r="J59" t="n">
        <v>0</v>
      </c>
      <c r="K59" t="n">
        <v>0</v>
      </c>
      <c r="L59" t="n">
        <v>0</v>
      </c>
      <c r="M59" t="n">
        <v>0</v>
      </c>
      <c r="N59" t="n">
        <v>0</v>
      </c>
      <c r="O59" t="n">
        <v>0</v>
      </c>
      <c r="P59" t="n">
        <v>0</v>
      </c>
      <c r="Q59" t="n">
        <v>1</v>
      </c>
      <c r="R59" s="2" t="inlineStr">
        <is>
          <t>Brun nållav</t>
        </is>
      </c>
      <c r="S59">
        <f>HYPERLINK("https://klasma.github.io/Logging_0580/artfynd/A 35948-2023 artfynd.xlsx", "A 35948-2023")</f>
        <v/>
      </c>
      <c r="T59">
        <f>HYPERLINK("https://klasma.github.io/Logging_0580/kartor/A 35948-2023 karta.png", "A 35948-2023")</f>
        <v/>
      </c>
      <c r="V59">
        <f>HYPERLINK("https://klasma.github.io/Logging_0580/klagomål/A 35948-2023 FSC-klagomål.docx", "A 35948-2023")</f>
        <v/>
      </c>
      <c r="W59">
        <f>HYPERLINK("https://klasma.github.io/Logging_0580/klagomålsmail/A 35948-2023 FSC-klagomål mail.docx", "A 35948-2023")</f>
        <v/>
      </c>
      <c r="X59">
        <f>HYPERLINK("https://klasma.github.io/Logging_0580/tillsyn/A 35948-2023 tillsynsbegäran.docx", "A 35948-2023")</f>
        <v/>
      </c>
      <c r="Y59">
        <f>HYPERLINK("https://klasma.github.io/Logging_0580/tillsynsmail/A 35948-2023 tillsynsbegäran mail.docx", "A 35948-2023")</f>
        <v/>
      </c>
    </row>
    <row r="60" ht="15" customHeight="1">
      <c r="A60" t="inlineStr">
        <is>
          <t>A 50806-2023</t>
        </is>
      </c>
      <c r="B60" s="1" t="n">
        <v>45217</v>
      </c>
      <c r="C60" s="1" t="n">
        <v>46017</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60573-2021</t>
        </is>
      </c>
      <c r="B61" s="1" t="n">
        <v>44496</v>
      </c>
      <c r="C61" s="1" t="n">
        <v>46017</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22526-2025</t>
        </is>
      </c>
      <c r="B62" s="1" t="n">
        <v>45786.78096064815</v>
      </c>
      <c r="C62" s="1" t="n">
        <v>46017</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56651-2023</t>
        </is>
      </c>
      <c r="B63" s="1" t="n">
        <v>45243</v>
      </c>
      <c r="C63" s="1" t="n">
        <v>46017</v>
      </c>
      <c r="D63" t="inlineStr">
        <is>
          <t>ÖSTERGÖTLANDS LÄN</t>
        </is>
      </c>
      <c r="E63" t="inlineStr">
        <is>
          <t>LINKÖPING</t>
        </is>
      </c>
      <c r="F63" t="inlineStr">
        <is>
          <t>Övriga Aktiebolag</t>
        </is>
      </c>
      <c r="G63" t="n">
        <v>2.3</v>
      </c>
      <c r="H63" t="n">
        <v>0</v>
      </c>
      <c r="I63" t="n">
        <v>0</v>
      </c>
      <c r="J63" t="n">
        <v>1</v>
      </c>
      <c r="K63" t="n">
        <v>0</v>
      </c>
      <c r="L63" t="n">
        <v>0</v>
      </c>
      <c r="M63" t="n">
        <v>0</v>
      </c>
      <c r="N63" t="n">
        <v>0</v>
      </c>
      <c r="O63" t="n">
        <v>1</v>
      </c>
      <c r="P63" t="n">
        <v>0</v>
      </c>
      <c r="Q63" t="n">
        <v>1</v>
      </c>
      <c r="R63" s="2" t="inlineStr">
        <is>
          <t>Gul dropplav</t>
        </is>
      </c>
      <c r="S63">
        <f>HYPERLINK("https://klasma.github.io/Logging_0580/artfynd/A 56651-2023 artfynd.xlsx", "A 56651-2023")</f>
        <v/>
      </c>
      <c r="T63">
        <f>HYPERLINK("https://klasma.github.io/Logging_0580/kartor/A 56651-2023 karta.png", "A 56651-2023")</f>
        <v/>
      </c>
      <c r="V63">
        <f>HYPERLINK("https://klasma.github.io/Logging_0580/klagomål/A 56651-2023 FSC-klagomål.docx", "A 56651-2023")</f>
        <v/>
      </c>
      <c r="W63">
        <f>HYPERLINK("https://klasma.github.io/Logging_0580/klagomålsmail/A 56651-2023 FSC-klagomål mail.docx", "A 56651-2023")</f>
        <v/>
      </c>
      <c r="X63">
        <f>HYPERLINK("https://klasma.github.io/Logging_0580/tillsyn/A 56651-2023 tillsynsbegäran.docx", "A 56651-2023")</f>
        <v/>
      </c>
      <c r="Y63">
        <f>HYPERLINK("https://klasma.github.io/Logging_0580/tillsynsmail/A 56651-2023 tillsynsbegäran mail.docx", "A 56651-2023")</f>
        <v/>
      </c>
    </row>
    <row r="64" ht="15" customHeight="1">
      <c r="A64" t="inlineStr">
        <is>
          <t>A 59948-2022</t>
        </is>
      </c>
      <c r="B64" s="1" t="n">
        <v>44909</v>
      </c>
      <c r="C64" s="1" t="n">
        <v>46017</v>
      </c>
      <c r="D64" t="inlineStr">
        <is>
          <t>ÖSTERGÖTLANDS LÄN</t>
        </is>
      </c>
      <c r="E64" t="inlineStr">
        <is>
          <t>LINKÖPING</t>
        </is>
      </c>
      <c r="G64" t="n">
        <v>6.7</v>
      </c>
      <c r="H64" t="n">
        <v>0</v>
      </c>
      <c r="I64" t="n">
        <v>0</v>
      </c>
      <c r="J64" t="n">
        <v>0</v>
      </c>
      <c r="K64" t="n">
        <v>0</v>
      </c>
      <c r="L64" t="n">
        <v>0</v>
      </c>
      <c r="M64" t="n">
        <v>1</v>
      </c>
      <c r="N64" t="n">
        <v>0</v>
      </c>
      <c r="O64" t="n">
        <v>1</v>
      </c>
      <c r="P64" t="n">
        <v>1</v>
      </c>
      <c r="Q64" t="n">
        <v>1</v>
      </c>
      <c r="R64" s="2" t="inlineStr">
        <is>
          <t>Skogsalm</t>
        </is>
      </c>
      <c r="S64">
        <f>HYPERLINK("https://klasma.github.io/Logging_0580/artfynd/A 59948-2022 artfynd.xlsx", "A 59948-2022")</f>
        <v/>
      </c>
      <c r="T64">
        <f>HYPERLINK("https://klasma.github.io/Logging_0580/kartor/A 59948-2022 karta.png", "A 59948-2022")</f>
        <v/>
      </c>
      <c r="V64">
        <f>HYPERLINK("https://klasma.github.io/Logging_0580/klagomål/A 59948-2022 FSC-klagomål.docx", "A 59948-2022")</f>
        <v/>
      </c>
      <c r="W64">
        <f>HYPERLINK("https://klasma.github.io/Logging_0580/klagomålsmail/A 59948-2022 FSC-klagomål mail.docx", "A 59948-2022")</f>
        <v/>
      </c>
      <c r="X64">
        <f>HYPERLINK("https://klasma.github.io/Logging_0580/tillsyn/A 59948-2022 tillsynsbegäran.docx", "A 59948-2022")</f>
        <v/>
      </c>
      <c r="Y64">
        <f>HYPERLINK("https://klasma.github.io/Logging_0580/tillsynsmail/A 59948-2022 tillsynsbegäran mail.docx", "A 59948-2022")</f>
        <v/>
      </c>
    </row>
    <row r="65" ht="15" customHeight="1">
      <c r="A65" t="inlineStr">
        <is>
          <t>A 39457-2023</t>
        </is>
      </c>
      <c r="B65" s="1" t="n">
        <v>45166</v>
      </c>
      <c r="C65" s="1" t="n">
        <v>46017</v>
      </c>
      <c r="D65" t="inlineStr">
        <is>
          <t>ÖSTERGÖTLANDS LÄN</t>
        </is>
      </c>
      <c r="E65" t="inlineStr">
        <is>
          <t>LINKÖPING</t>
        </is>
      </c>
      <c r="G65" t="n">
        <v>2.1</v>
      </c>
      <c r="H65" t="n">
        <v>1</v>
      </c>
      <c r="I65" t="n">
        <v>0</v>
      </c>
      <c r="J65" t="n">
        <v>0</v>
      </c>
      <c r="K65" t="n">
        <v>0</v>
      </c>
      <c r="L65" t="n">
        <v>0</v>
      </c>
      <c r="M65" t="n">
        <v>0</v>
      </c>
      <c r="N65" t="n">
        <v>0</v>
      </c>
      <c r="O65" t="n">
        <v>0</v>
      </c>
      <c r="P65" t="n">
        <v>0</v>
      </c>
      <c r="Q65" t="n">
        <v>1</v>
      </c>
      <c r="R65" s="2" t="inlineStr">
        <is>
          <t>Sparvuggla</t>
        </is>
      </c>
      <c r="S65">
        <f>HYPERLINK("https://klasma.github.io/Logging_0580/artfynd/A 39457-2023 artfynd.xlsx", "A 39457-2023")</f>
        <v/>
      </c>
      <c r="T65">
        <f>HYPERLINK("https://klasma.github.io/Logging_0580/kartor/A 39457-2023 karta.png", "A 39457-2023")</f>
        <v/>
      </c>
      <c r="V65">
        <f>HYPERLINK("https://klasma.github.io/Logging_0580/klagomål/A 39457-2023 FSC-klagomål.docx", "A 39457-2023")</f>
        <v/>
      </c>
      <c r="W65">
        <f>HYPERLINK("https://klasma.github.io/Logging_0580/klagomålsmail/A 39457-2023 FSC-klagomål mail.docx", "A 39457-2023")</f>
        <v/>
      </c>
      <c r="X65">
        <f>HYPERLINK("https://klasma.github.io/Logging_0580/tillsyn/A 39457-2023 tillsynsbegäran.docx", "A 39457-2023")</f>
        <v/>
      </c>
      <c r="Y65">
        <f>HYPERLINK("https://klasma.github.io/Logging_0580/tillsynsmail/A 39457-2023 tillsynsbegäran mail.docx", "A 39457-2023")</f>
        <v/>
      </c>
      <c r="Z65">
        <f>HYPERLINK("https://klasma.github.io/Logging_0580/fåglar/A 39457-2023 prioriterade fågelarter.docx", "A 39457-2023")</f>
        <v/>
      </c>
    </row>
    <row r="66" ht="15" customHeight="1">
      <c r="A66" t="inlineStr">
        <is>
          <t>A 62071-2023</t>
        </is>
      </c>
      <c r="B66" s="1" t="n">
        <v>45266.73542824074</v>
      </c>
      <c r="C66" s="1" t="n">
        <v>46017</v>
      </c>
      <c r="D66" t="inlineStr">
        <is>
          <t>ÖSTERGÖTLANDS LÄN</t>
        </is>
      </c>
      <c r="E66" t="inlineStr">
        <is>
          <t>LINKÖPING</t>
        </is>
      </c>
      <c r="G66" t="n">
        <v>6.5</v>
      </c>
      <c r="H66" t="n">
        <v>0</v>
      </c>
      <c r="I66" t="n">
        <v>0</v>
      </c>
      <c r="J66" t="n">
        <v>1</v>
      </c>
      <c r="K66" t="n">
        <v>0</v>
      </c>
      <c r="L66" t="n">
        <v>0</v>
      </c>
      <c r="M66" t="n">
        <v>0</v>
      </c>
      <c r="N66" t="n">
        <v>0</v>
      </c>
      <c r="O66" t="n">
        <v>1</v>
      </c>
      <c r="P66" t="n">
        <v>0</v>
      </c>
      <c r="Q66" t="n">
        <v>1</v>
      </c>
      <c r="R66" s="2" t="inlineStr">
        <is>
          <t>Svinrot</t>
        </is>
      </c>
      <c r="S66">
        <f>HYPERLINK("https://klasma.github.io/Logging_0580/artfynd/A 62071-2023 artfynd.xlsx", "A 62071-2023")</f>
        <v/>
      </c>
      <c r="T66">
        <f>HYPERLINK("https://klasma.github.io/Logging_0580/kartor/A 62071-2023 karta.png", "A 62071-2023")</f>
        <v/>
      </c>
      <c r="V66">
        <f>HYPERLINK("https://klasma.github.io/Logging_0580/klagomål/A 62071-2023 FSC-klagomål.docx", "A 62071-2023")</f>
        <v/>
      </c>
      <c r="W66">
        <f>HYPERLINK("https://klasma.github.io/Logging_0580/klagomålsmail/A 62071-2023 FSC-klagomål mail.docx", "A 62071-2023")</f>
        <v/>
      </c>
      <c r="X66">
        <f>HYPERLINK("https://klasma.github.io/Logging_0580/tillsyn/A 62071-2023 tillsynsbegäran.docx", "A 62071-2023")</f>
        <v/>
      </c>
      <c r="Y66">
        <f>HYPERLINK("https://klasma.github.io/Logging_0580/tillsynsmail/A 62071-2023 tillsynsbegäran mail.docx", "A 62071-2023")</f>
        <v/>
      </c>
    </row>
    <row r="67" ht="15" customHeight="1">
      <c r="A67" t="inlineStr">
        <is>
          <t>A 90-2024</t>
        </is>
      </c>
      <c r="B67" s="1" t="n">
        <v>45293</v>
      </c>
      <c r="C67" s="1" t="n">
        <v>46017</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17444-2025</t>
        </is>
      </c>
      <c r="B68" s="1" t="n">
        <v>45757.43452546297</v>
      </c>
      <c r="C68" s="1" t="n">
        <v>46017</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43989-2025</t>
        </is>
      </c>
      <c r="B69" s="1" t="n">
        <v>45915.44128472222</v>
      </c>
      <c r="C69" s="1" t="n">
        <v>46017</v>
      </c>
      <c r="D69" t="inlineStr">
        <is>
          <t>ÖSTERGÖTLANDS LÄN</t>
        </is>
      </c>
      <c r="E69" t="inlineStr">
        <is>
          <t>LINKÖPING</t>
        </is>
      </c>
      <c r="F69" t="inlineStr">
        <is>
          <t>Allmännings- och besparingsskogar</t>
        </is>
      </c>
      <c r="G69" t="n">
        <v>3.5</v>
      </c>
      <c r="H69" t="n">
        <v>0</v>
      </c>
      <c r="I69" t="n">
        <v>0</v>
      </c>
      <c r="J69" t="n">
        <v>1</v>
      </c>
      <c r="K69" t="n">
        <v>0</v>
      </c>
      <c r="L69" t="n">
        <v>0</v>
      </c>
      <c r="M69" t="n">
        <v>0</v>
      </c>
      <c r="N69" t="n">
        <v>0</v>
      </c>
      <c r="O69" t="n">
        <v>1</v>
      </c>
      <c r="P69" t="n">
        <v>0</v>
      </c>
      <c r="Q69" t="n">
        <v>1</v>
      </c>
      <c r="R69" s="2" t="inlineStr">
        <is>
          <t>Kavelhirs</t>
        </is>
      </c>
      <c r="S69">
        <f>HYPERLINK("https://klasma.github.io/Logging_0580/artfynd/A 43989-2025 artfynd.xlsx", "A 43989-2025")</f>
        <v/>
      </c>
      <c r="T69">
        <f>HYPERLINK("https://klasma.github.io/Logging_0580/kartor/A 43989-2025 karta.png", "A 43989-2025")</f>
        <v/>
      </c>
      <c r="V69">
        <f>HYPERLINK("https://klasma.github.io/Logging_0580/klagomål/A 43989-2025 FSC-klagomål.docx", "A 43989-2025")</f>
        <v/>
      </c>
      <c r="W69">
        <f>HYPERLINK("https://klasma.github.io/Logging_0580/klagomålsmail/A 43989-2025 FSC-klagomål mail.docx", "A 43989-2025")</f>
        <v/>
      </c>
      <c r="X69">
        <f>HYPERLINK("https://klasma.github.io/Logging_0580/tillsyn/A 43989-2025 tillsynsbegäran.docx", "A 43989-2025")</f>
        <v/>
      </c>
      <c r="Y69">
        <f>HYPERLINK("https://klasma.github.io/Logging_0580/tillsynsmail/A 43989-2025 tillsynsbegäran mail.docx", "A 43989-2025")</f>
        <v/>
      </c>
    </row>
    <row r="70" ht="15" customHeight="1">
      <c r="A70" t="inlineStr">
        <is>
          <t>A 44760-2025</t>
        </is>
      </c>
      <c r="B70" s="1" t="n">
        <v>45917.71873842592</v>
      </c>
      <c r="C70" s="1" t="n">
        <v>46017</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5911-2022</t>
        </is>
      </c>
      <c r="B71" s="1" t="n">
        <v>44597</v>
      </c>
      <c r="C71" s="1" t="n">
        <v>46017</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56128-2022</t>
        </is>
      </c>
      <c r="B72" s="1" t="n">
        <v>44889</v>
      </c>
      <c r="C72" s="1" t="n">
        <v>46017</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48273-2025</t>
        </is>
      </c>
      <c r="B73" s="1" t="n">
        <v>45932</v>
      </c>
      <c r="C73" s="1" t="n">
        <v>46017</v>
      </c>
      <c r="D73" t="inlineStr">
        <is>
          <t>ÖSTERGÖTLANDS LÄN</t>
        </is>
      </c>
      <c r="E73" t="inlineStr">
        <is>
          <t>LINKÖPING</t>
        </is>
      </c>
      <c r="F73" t="inlineStr">
        <is>
          <t>Övriga Aktiebolag</t>
        </is>
      </c>
      <c r="G73" t="n">
        <v>4.6</v>
      </c>
      <c r="H73" t="n">
        <v>0</v>
      </c>
      <c r="I73" t="n">
        <v>0</v>
      </c>
      <c r="J73" t="n">
        <v>1</v>
      </c>
      <c r="K73" t="n">
        <v>0</v>
      </c>
      <c r="L73" t="n">
        <v>0</v>
      </c>
      <c r="M73" t="n">
        <v>0</v>
      </c>
      <c r="N73" t="n">
        <v>0</v>
      </c>
      <c r="O73" t="n">
        <v>1</v>
      </c>
      <c r="P73" t="n">
        <v>0</v>
      </c>
      <c r="Q73" t="n">
        <v>1</v>
      </c>
      <c r="R73" s="2" t="inlineStr">
        <is>
          <t>Barrviolspindling</t>
        </is>
      </c>
      <c r="S73">
        <f>HYPERLINK("https://klasma.github.io/Logging_0580/artfynd/A 48273-2025 artfynd.xlsx", "A 48273-2025")</f>
        <v/>
      </c>
      <c r="T73">
        <f>HYPERLINK("https://klasma.github.io/Logging_0580/kartor/A 48273-2025 karta.png", "A 48273-2025")</f>
        <v/>
      </c>
      <c r="V73">
        <f>HYPERLINK("https://klasma.github.io/Logging_0580/klagomål/A 48273-2025 FSC-klagomål.docx", "A 48273-2025")</f>
        <v/>
      </c>
      <c r="W73">
        <f>HYPERLINK("https://klasma.github.io/Logging_0580/klagomålsmail/A 48273-2025 FSC-klagomål mail.docx", "A 48273-2025")</f>
        <v/>
      </c>
      <c r="X73">
        <f>HYPERLINK("https://klasma.github.io/Logging_0580/tillsyn/A 48273-2025 tillsynsbegäran.docx", "A 48273-2025")</f>
        <v/>
      </c>
      <c r="Y73">
        <f>HYPERLINK("https://klasma.github.io/Logging_0580/tillsynsmail/A 48273-2025 tillsynsbegäran mail.docx", "A 48273-2025")</f>
        <v/>
      </c>
    </row>
    <row r="74" ht="15" customHeight="1">
      <c r="A74" t="inlineStr">
        <is>
          <t>A 48298-2025</t>
        </is>
      </c>
      <c r="B74" s="1" t="n">
        <v>45932</v>
      </c>
      <c r="C74" s="1" t="n">
        <v>46017</v>
      </c>
      <c r="D74" t="inlineStr">
        <is>
          <t>ÖSTERGÖTLANDS LÄN</t>
        </is>
      </c>
      <c r="E74" t="inlineStr">
        <is>
          <t>LINKÖPING</t>
        </is>
      </c>
      <c r="F74" t="inlineStr">
        <is>
          <t>Övriga Aktiebolag</t>
        </is>
      </c>
      <c r="G74" t="n">
        <v>1.7</v>
      </c>
      <c r="H74" t="n">
        <v>0</v>
      </c>
      <c r="I74" t="n">
        <v>1</v>
      </c>
      <c r="J74" t="n">
        <v>0</v>
      </c>
      <c r="K74" t="n">
        <v>0</v>
      </c>
      <c r="L74" t="n">
        <v>0</v>
      </c>
      <c r="M74" t="n">
        <v>0</v>
      </c>
      <c r="N74" t="n">
        <v>0</v>
      </c>
      <c r="O74" t="n">
        <v>0</v>
      </c>
      <c r="P74" t="n">
        <v>0</v>
      </c>
      <c r="Q74" t="n">
        <v>1</v>
      </c>
      <c r="R74" s="2" t="inlineStr">
        <is>
          <t>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48353-2025</t>
        </is>
      </c>
      <c r="B75" s="1" t="n">
        <v>45932</v>
      </c>
      <c r="C75" s="1" t="n">
        <v>46017</v>
      </c>
      <c r="D75" t="inlineStr">
        <is>
          <t>ÖSTERGÖTLANDS LÄN</t>
        </is>
      </c>
      <c r="E75" t="inlineStr">
        <is>
          <t>LINKÖPING</t>
        </is>
      </c>
      <c r="F75" t="inlineStr">
        <is>
          <t>Övriga Aktiebolag</t>
        </is>
      </c>
      <c r="G75" t="n">
        <v>4.5</v>
      </c>
      <c r="H75" t="n">
        <v>1</v>
      </c>
      <c r="I75" t="n">
        <v>0</v>
      </c>
      <c r="J75" t="n">
        <v>1</v>
      </c>
      <c r="K75" t="n">
        <v>0</v>
      </c>
      <c r="L75" t="n">
        <v>0</v>
      </c>
      <c r="M75" t="n">
        <v>0</v>
      </c>
      <c r="N75" t="n">
        <v>0</v>
      </c>
      <c r="O75" t="n">
        <v>1</v>
      </c>
      <c r="P75" t="n">
        <v>0</v>
      </c>
      <c r="Q75" t="n">
        <v>1</v>
      </c>
      <c r="R75" s="2" t="inlineStr">
        <is>
          <t>Entita</t>
        </is>
      </c>
      <c r="S75">
        <f>HYPERLINK("https://klasma.github.io/Logging_0580/artfynd/A 48353-2025 artfynd.xlsx", "A 48353-2025")</f>
        <v/>
      </c>
      <c r="T75">
        <f>HYPERLINK("https://klasma.github.io/Logging_0580/kartor/A 48353-2025 karta.png", "A 48353-2025")</f>
        <v/>
      </c>
      <c r="V75">
        <f>HYPERLINK("https://klasma.github.io/Logging_0580/klagomål/A 48353-2025 FSC-klagomål.docx", "A 48353-2025")</f>
        <v/>
      </c>
      <c r="W75">
        <f>HYPERLINK("https://klasma.github.io/Logging_0580/klagomålsmail/A 48353-2025 FSC-klagomål mail.docx", "A 48353-2025")</f>
        <v/>
      </c>
      <c r="X75">
        <f>HYPERLINK("https://klasma.github.io/Logging_0580/tillsyn/A 48353-2025 tillsynsbegäran.docx", "A 48353-2025")</f>
        <v/>
      </c>
      <c r="Y75">
        <f>HYPERLINK("https://klasma.github.io/Logging_0580/tillsynsmail/A 48353-2025 tillsynsbegäran mail.docx", "A 48353-2025")</f>
        <v/>
      </c>
      <c r="Z75">
        <f>HYPERLINK("https://klasma.github.io/Logging_0580/fåglar/A 48353-2025 prioriterade fågelarter.docx", "A 48353-2025")</f>
        <v/>
      </c>
    </row>
    <row r="76" ht="15" customHeight="1">
      <c r="A76" t="inlineStr">
        <is>
          <t>A 40309-2024</t>
        </is>
      </c>
      <c r="B76" s="1" t="n">
        <v>45554.724375</v>
      </c>
      <c r="C76" s="1" t="n">
        <v>46017</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48347-2025</t>
        </is>
      </c>
      <c r="B77" s="1" t="n">
        <v>45932</v>
      </c>
      <c r="C77" s="1" t="n">
        <v>46017</v>
      </c>
      <c r="D77" t="inlineStr">
        <is>
          <t>ÖSTERGÖTLANDS LÄN</t>
        </is>
      </c>
      <c r="E77" t="inlineStr">
        <is>
          <t>LINKÖPING</t>
        </is>
      </c>
      <c r="F77" t="inlineStr">
        <is>
          <t>Övriga Aktiebolag</t>
        </is>
      </c>
      <c r="G77" t="n">
        <v>0.9</v>
      </c>
      <c r="H77" t="n">
        <v>0</v>
      </c>
      <c r="I77" t="n">
        <v>0</v>
      </c>
      <c r="J77" t="n">
        <v>1</v>
      </c>
      <c r="K77" t="n">
        <v>0</v>
      </c>
      <c r="L77" t="n">
        <v>0</v>
      </c>
      <c r="M77" t="n">
        <v>0</v>
      </c>
      <c r="N77" t="n">
        <v>0</v>
      </c>
      <c r="O77" t="n">
        <v>1</v>
      </c>
      <c r="P77" t="n">
        <v>0</v>
      </c>
      <c r="Q77" t="n">
        <v>1</v>
      </c>
      <c r="R77" s="2" t="inlineStr">
        <is>
          <t>Igelkott</t>
        </is>
      </c>
      <c r="S77">
        <f>HYPERLINK("https://klasma.github.io/Logging_0580/artfynd/A 48347-2025 artfynd.xlsx", "A 48347-2025")</f>
        <v/>
      </c>
      <c r="T77">
        <f>HYPERLINK("https://klasma.github.io/Logging_0580/kartor/A 48347-2025 karta.png", "A 48347-2025")</f>
        <v/>
      </c>
      <c r="V77">
        <f>HYPERLINK("https://klasma.github.io/Logging_0580/klagomål/A 48347-2025 FSC-klagomål.docx", "A 48347-2025")</f>
        <v/>
      </c>
      <c r="W77">
        <f>HYPERLINK("https://klasma.github.io/Logging_0580/klagomålsmail/A 48347-2025 FSC-klagomål mail.docx", "A 48347-2025")</f>
        <v/>
      </c>
      <c r="X77">
        <f>HYPERLINK("https://klasma.github.io/Logging_0580/tillsyn/A 48347-2025 tillsynsbegäran.docx", "A 48347-2025")</f>
        <v/>
      </c>
      <c r="Y77">
        <f>HYPERLINK("https://klasma.github.io/Logging_0580/tillsynsmail/A 48347-2025 tillsynsbegäran mail.docx", "A 48347-2025")</f>
        <v/>
      </c>
    </row>
    <row r="78" ht="15" customHeight="1">
      <c r="A78" t="inlineStr">
        <is>
          <t>A 15290-2025</t>
        </is>
      </c>
      <c r="B78" s="1" t="n">
        <v>45745.45288194445</v>
      </c>
      <c r="C78" s="1" t="n">
        <v>46017</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50034-2025</t>
        </is>
      </c>
      <c r="B79" s="1" t="n">
        <v>45941</v>
      </c>
      <c r="C79" s="1" t="n">
        <v>46017</v>
      </c>
      <c r="D79" t="inlineStr">
        <is>
          <t>ÖSTERGÖTLANDS LÄN</t>
        </is>
      </c>
      <c r="E79" t="inlineStr">
        <is>
          <t>LINKÖPING</t>
        </is>
      </c>
      <c r="G79" t="n">
        <v>6.2</v>
      </c>
      <c r="H79" t="n">
        <v>0</v>
      </c>
      <c r="I79" t="n">
        <v>0</v>
      </c>
      <c r="J79" t="n">
        <v>0</v>
      </c>
      <c r="K79" t="n">
        <v>0</v>
      </c>
      <c r="L79" t="n">
        <v>0</v>
      </c>
      <c r="M79" t="n">
        <v>1</v>
      </c>
      <c r="N79" t="n">
        <v>0</v>
      </c>
      <c r="O79" t="n">
        <v>1</v>
      </c>
      <c r="P79" t="n">
        <v>1</v>
      </c>
      <c r="Q79" t="n">
        <v>1</v>
      </c>
      <c r="R79" s="2" t="inlineStr">
        <is>
          <t>Skogsalm</t>
        </is>
      </c>
      <c r="S79">
        <f>HYPERLINK("https://klasma.github.io/Logging_0580/artfynd/A 50034-2025 artfynd.xlsx", "A 50034-2025")</f>
        <v/>
      </c>
      <c r="T79">
        <f>HYPERLINK("https://klasma.github.io/Logging_0580/kartor/A 50034-2025 karta.png", "A 50034-2025")</f>
        <v/>
      </c>
      <c r="V79">
        <f>HYPERLINK("https://klasma.github.io/Logging_0580/klagomål/A 50034-2025 FSC-klagomål.docx", "A 50034-2025")</f>
        <v/>
      </c>
      <c r="W79">
        <f>HYPERLINK("https://klasma.github.io/Logging_0580/klagomålsmail/A 50034-2025 FSC-klagomål mail.docx", "A 50034-2025")</f>
        <v/>
      </c>
      <c r="X79">
        <f>HYPERLINK("https://klasma.github.io/Logging_0580/tillsyn/A 50034-2025 tillsynsbegäran.docx", "A 50034-2025")</f>
        <v/>
      </c>
      <c r="Y79">
        <f>HYPERLINK("https://klasma.github.io/Logging_0580/tillsynsmail/A 50034-2025 tillsynsbegäran mail.docx", "A 50034-2025")</f>
        <v/>
      </c>
    </row>
    <row r="80" ht="15" customHeight="1">
      <c r="A80" t="inlineStr">
        <is>
          <t>A 1716-2023</t>
        </is>
      </c>
      <c r="B80" s="1" t="n">
        <v>44938</v>
      </c>
      <c r="C80" s="1" t="n">
        <v>46017</v>
      </c>
      <c r="D80" t="inlineStr">
        <is>
          <t>ÖSTERGÖTLANDS LÄN</t>
        </is>
      </c>
      <c r="E80" t="inlineStr">
        <is>
          <t>LINKÖPING</t>
        </is>
      </c>
      <c r="G80" t="n">
        <v>3.6</v>
      </c>
      <c r="H80" t="n">
        <v>0</v>
      </c>
      <c r="I80" t="n">
        <v>0</v>
      </c>
      <c r="J80" t="n">
        <v>1</v>
      </c>
      <c r="K80" t="n">
        <v>0</v>
      </c>
      <c r="L80" t="n">
        <v>0</v>
      </c>
      <c r="M80" t="n">
        <v>0</v>
      </c>
      <c r="N80" t="n">
        <v>0</v>
      </c>
      <c r="O80" t="n">
        <v>1</v>
      </c>
      <c r="P80" t="n">
        <v>0</v>
      </c>
      <c r="Q80" t="n">
        <v>1</v>
      </c>
      <c r="R80" s="2" t="inlineStr">
        <is>
          <t>Svinrot</t>
        </is>
      </c>
      <c r="S80">
        <f>HYPERLINK("https://klasma.github.io/Logging_0580/artfynd/A 1716-2023 artfynd.xlsx", "A 1716-2023")</f>
        <v/>
      </c>
      <c r="T80">
        <f>HYPERLINK("https://klasma.github.io/Logging_0580/kartor/A 1716-2023 karta.png", "A 1716-2023")</f>
        <v/>
      </c>
      <c r="V80">
        <f>HYPERLINK("https://klasma.github.io/Logging_0580/klagomål/A 1716-2023 FSC-klagomål.docx", "A 1716-2023")</f>
        <v/>
      </c>
      <c r="W80">
        <f>HYPERLINK("https://klasma.github.io/Logging_0580/klagomålsmail/A 1716-2023 FSC-klagomål mail.docx", "A 1716-2023")</f>
        <v/>
      </c>
      <c r="X80">
        <f>HYPERLINK("https://klasma.github.io/Logging_0580/tillsyn/A 1716-2023 tillsynsbegäran.docx", "A 1716-2023")</f>
        <v/>
      </c>
      <c r="Y80">
        <f>HYPERLINK("https://klasma.github.io/Logging_0580/tillsynsmail/A 1716-2023 tillsynsbegäran mail.docx", "A 1716-2023")</f>
        <v/>
      </c>
    </row>
    <row r="81" ht="15" customHeight="1">
      <c r="A81" t="inlineStr">
        <is>
          <t>A 59474-2025</t>
        </is>
      </c>
      <c r="B81" s="1" t="n">
        <v>45989.58512731481</v>
      </c>
      <c r="C81" s="1" t="n">
        <v>46017</v>
      </c>
      <c r="D81" t="inlineStr">
        <is>
          <t>ÖSTERGÖTLANDS LÄN</t>
        </is>
      </c>
      <c r="E81" t="inlineStr">
        <is>
          <t>LINKÖPING</t>
        </is>
      </c>
      <c r="G81" t="n">
        <v>8</v>
      </c>
      <c r="H81" t="n">
        <v>0</v>
      </c>
      <c r="I81" t="n">
        <v>1</v>
      </c>
      <c r="J81" t="n">
        <v>0</v>
      </c>
      <c r="K81" t="n">
        <v>0</v>
      </c>
      <c r="L81" t="n">
        <v>0</v>
      </c>
      <c r="M81" t="n">
        <v>0</v>
      </c>
      <c r="N81" t="n">
        <v>0</v>
      </c>
      <c r="O81" t="n">
        <v>0</v>
      </c>
      <c r="P81" t="n">
        <v>0</v>
      </c>
      <c r="Q81" t="n">
        <v>1</v>
      </c>
      <c r="R81" s="2" t="inlineStr">
        <is>
          <t>Fällmossa</t>
        </is>
      </c>
      <c r="S81">
        <f>HYPERLINK("https://klasma.github.io/Logging_0580/artfynd/A 59474-2025 artfynd.xlsx", "A 59474-2025")</f>
        <v/>
      </c>
      <c r="T81">
        <f>HYPERLINK("https://klasma.github.io/Logging_0580/kartor/A 59474-2025 karta.png", "A 59474-2025")</f>
        <v/>
      </c>
      <c r="V81">
        <f>HYPERLINK("https://klasma.github.io/Logging_0580/klagomål/A 59474-2025 FSC-klagomål.docx", "A 59474-2025")</f>
        <v/>
      </c>
      <c r="W81">
        <f>HYPERLINK("https://klasma.github.io/Logging_0580/klagomålsmail/A 59474-2025 FSC-klagomål mail.docx", "A 59474-2025")</f>
        <v/>
      </c>
      <c r="X81">
        <f>HYPERLINK("https://klasma.github.io/Logging_0580/tillsyn/A 59474-2025 tillsynsbegäran.docx", "A 59474-2025")</f>
        <v/>
      </c>
      <c r="Y81">
        <f>HYPERLINK("https://klasma.github.io/Logging_0580/tillsynsmail/A 59474-2025 tillsynsbegäran mail.docx", "A 59474-2025")</f>
        <v/>
      </c>
    </row>
    <row r="82" ht="15" customHeight="1">
      <c r="A82" t="inlineStr">
        <is>
          <t>A 931-2025</t>
        </is>
      </c>
      <c r="B82" s="1" t="n">
        <v>45665.88498842593</v>
      </c>
      <c r="C82" s="1" t="n">
        <v>46017</v>
      </c>
      <c r="D82" t="inlineStr">
        <is>
          <t>ÖSTERGÖTLANDS LÄN</t>
        </is>
      </c>
      <c r="E82" t="inlineStr">
        <is>
          <t>LINKÖPING</t>
        </is>
      </c>
      <c r="F82" t="inlineStr">
        <is>
          <t>Övriga Aktiebolag</t>
        </is>
      </c>
      <c r="G82" t="n">
        <v>0.8</v>
      </c>
      <c r="H82" t="n">
        <v>0</v>
      </c>
      <c r="I82" t="n">
        <v>0</v>
      </c>
      <c r="J82" t="n">
        <v>1</v>
      </c>
      <c r="K82" t="n">
        <v>0</v>
      </c>
      <c r="L82" t="n">
        <v>0</v>
      </c>
      <c r="M82" t="n">
        <v>0</v>
      </c>
      <c r="N82" t="n">
        <v>0</v>
      </c>
      <c r="O82" t="n">
        <v>1</v>
      </c>
      <c r="P82" t="n">
        <v>0</v>
      </c>
      <c r="Q82" t="n">
        <v>1</v>
      </c>
      <c r="R82" s="2" t="inlineStr">
        <is>
          <t>Tallticka</t>
        </is>
      </c>
      <c r="S82">
        <f>HYPERLINK("https://klasma.github.io/Logging_0580/artfynd/A 931-2025 artfynd.xlsx", "A 931-2025")</f>
        <v/>
      </c>
      <c r="T82">
        <f>HYPERLINK("https://klasma.github.io/Logging_0580/kartor/A 931-2025 karta.png", "A 931-2025")</f>
        <v/>
      </c>
      <c r="V82">
        <f>HYPERLINK("https://klasma.github.io/Logging_0580/klagomål/A 931-2025 FSC-klagomål.docx", "A 931-2025")</f>
        <v/>
      </c>
      <c r="W82">
        <f>HYPERLINK("https://klasma.github.io/Logging_0580/klagomålsmail/A 931-2025 FSC-klagomål mail.docx", "A 931-2025")</f>
        <v/>
      </c>
      <c r="X82">
        <f>HYPERLINK("https://klasma.github.io/Logging_0580/tillsyn/A 931-2025 tillsynsbegäran.docx", "A 931-2025")</f>
        <v/>
      </c>
      <c r="Y82">
        <f>HYPERLINK("https://klasma.github.io/Logging_0580/tillsynsmail/A 931-2025 tillsynsbegäran mail.docx", "A 931-2025")</f>
        <v/>
      </c>
    </row>
    <row r="83" ht="15" customHeight="1">
      <c r="A83" t="inlineStr">
        <is>
          <t>A 126-2024</t>
        </is>
      </c>
      <c r="B83" s="1" t="n">
        <v>45294</v>
      </c>
      <c r="C83" s="1" t="n">
        <v>46017</v>
      </c>
      <c r="D83" t="inlineStr">
        <is>
          <t>ÖSTERGÖTLANDS LÄN</t>
        </is>
      </c>
      <c r="E83" t="inlineStr">
        <is>
          <t>LINKÖPING</t>
        </is>
      </c>
      <c r="G83" t="n">
        <v>1</v>
      </c>
      <c r="H83" t="n">
        <v>0</v>
      </c>
      <c r="I83" t="n">
        <v>1</v>
      </c>
      <c r="J83" t="n">
        <v>0</v>
      </c>
      <c r="K83" t="n">
        <v>0</v>
      </c>
      <c r="L83" t="n">
        <v>0</v>
      </c>
      <c r="M83" t="n">
        <v>0</v>
      </c>
      <c r="N83" t="n">
        <v>0</v>
      </c>
      <c r="O83" t="n">
        <v>0</v>
      </c>
      <c r="P83" t="n">
        <v>0</v>
      </c>
      <c r="Q83" t="n">
        <v>1</v>
      </c>
      <c r="R83" s="2" t="inlineStr">
        <is>
          <t>Blåmossa</t>
        </is>
      </c>
      <c r="S83">
        <f>HYPERLINK("https://klasma.github.io/Logging_0580/artfynd/A 126-2024 artfynd.xlsx", "A 126-2024")</f>
        <v/>
      </c>
      <c r="T83">
        <f>HYPERLINK("https://klasma.github.io/Logging_0580/kartor/A 126-2024 karta.png", "A 126-2024")</f>
        <v/>
      </c>
      <c r="V83">
        <f>HYPERLINK("https://klasma.github.io/Logging_0580/klagomål/A 126-2024 FSC-klagomål.docx", "A 126-2024")</f>
        <v/>
      </c>
      <c r="W83">
        <f>HYPERLINK("https://klasma.github.io/Logging_0580/klagomålsmail/A 126-2024 FSC-klagomål mail.docx", "A 126-2024")</f>
        <v/>
      </c>
      <c r="X83">
        <f>HYPERLINK("https://klasma.github.io/Logging_0580/tillsyn/A 126-2024 tillsynsbegäran.docx", "A 126-2024")</f>
        <v/>
      </c>
      <c r="Y83">
        <f>HYPERLINK("https://klasma.github.io/Logging_0580/tillsynsmail/A 126-2024 tillsynsbegäran mail.docx", "A 126-2024")</f>
        <v/>
      </c>
    </row>
    <row r="84" ht="15" customHeight="1">
      <c r="A84" t="inlineStr">
        <is>
          <t>A 3395-2023</t>
        </is>
      </c>
      <c r="B84" s="1" t="n">
        <v>44949</v>
      </c>
      <c r="C84" s="1" t="n">
        <v>46017</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3397-2023</t>
        </is>
      </c>
      <c r="B85" s="1" t="n">
        <v>44949</v>
      </c>
      <c r="C85" s="1" t="n">
        <v>46017</v>
      </c>
      <c r="D85" t="inlineStr">
        <is>
          <t>ÖSTERGÖTLANDS LÄN</t>
        </is>
      </c>
      <c r="E85" t="inlineStr">
        <is>
          <t>LINKÖPING</t>
        </is>
      </c>
      <c r="G85" t="n">
        <v>4.1</v>
      </c>
      <c r="H85" t="n">
        <v>0</v>
      </c>
      <c r="I85" t="n">
        <v>0</v>
      </c>
      <c r="J85" t="n">
        <v>1</v>
      </c>
      <c r="K85" t="n">
        <v>0</v>
      </c>
      <c r="L85" t="n">
        <v>0</v>
      </c>
      <c r="M85" t="n">
        <v>0</v>
      </c>
      <c r="N85" t="n">
        <v>0</v>
      </c>
      <c r="O85" t="n">
        <v>1</v>
      </c>
      <c r="P85" t="n">
        <v>0</v>
      </c>
      <c r="Q85" t="n">
        <v>1</v>
      </c>
      <c r="R85" s="2" t="inlineStr">
        <is>
          <t>Svinrot</t>
        </is>
      </c>
      <c r="S85">
        <f>HYPERLINK("https://klasma.github.io/Logging_0580/artfynd/A 3397-2023 artfynd.xlsx", "A 3397-2023")</f>
        <v/>
      </c>
      <c r="T85">
        <f>HYPERLINK("https://klasma.github.io/Logging_0580/kartor/A 3397-2023 karta.png", "A 3397-2023")</f>
        <v/>
      </c>
      <c r="V85">
        <f>HYPERLINK("https://klasma.github.io/Logging_0580/klagomål/A 3397-2023 FSC-klagomål.docx", "A 3397-2023")</f>
        <v/>
      </c>
      <c r="W85">
        <f>HYPERLINK("https://klasma.github.io/Logging_0580/klagomålsmail/A 3397-2023 FSC-klagomål mail.docx", "A 3397-2023")</f>
        <v/>
      </c>
      <c r="X85">
        <f>HYPERLINK("https://klasma.github.io/Logging_0580/tillsyn/A 3397-2023 tillsynsbegäran.docx", "A 3397-2023")</f>
        <v/>
      </c>
      <c r="Y85">
        <f>HYPERLINK("https://klasma.github.io/Logging_0580/tillsynsmail/A 3397-2023 tillsynsbegäran mail.docx", "A 3397-2023")</f>
        <v/>
      </c>
    </row>
    <row r="86" ht="15" customHeight="1">
      <c r="A86" t="inlineStr">
        <is>
          <t>A 41749-2023</t>
        </is>
      </c>
      <c r="B86" s="1" t="n">
        <v>45176</v>
      </c>
      <c r="C86" s="1" t="n">
        <v>46017</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41749-2023 artfynd.xlsx", "A 41749-2023")</f>
        <v/>
      </c>
      <c r="T86">
        <f>HYPERLINK("https://klasma.github.io/Logging_0580/kartor/A 41749-2023 karta.png", "A 41749-2023")</f>
        <v/>
      </c>
      <c r="V86">
        <f>HYPERLINK("https://klasma.github.io/Logging_0580/klagomål/A 41749-2023 FSC-klagomål.docx", "A 41749-2023")</f>
        <v/>
      </c>
      <c r="W86">
        <f>HYPERLINK("https://klasma.github.io/Logging_0580/klagomålsmail/A 41749-2023 FSC-klagomål mail.docx", "A 41749-2023")</f>
        <v/>
      </c>
      <c r="X86">
        <f>HYPERLINK("https://klasma.github.io/Logging_0580/tillsyn/A 41749-2023 tillsynsbegäran.docx", "A 41749-2023")</f>
        <v/>
      </c>
      <c r="Y86">
        <f>HYPERLINK("https://klasma.github.io/Logging_0580/tillsynsmail/A 41749-2023 tillsynsbegäran mail.docx", "A 41749-2023")</f>
        <v/>
      </c>
    </row>
    <row r="87" ht="15" customHeight="1">
      <c r="A87" t="inlineStr">
        <is>
          <t>A 60311-2025</t>
        </is>
      </c>
      <c r="B87" s="1" t="n">
        <v>45994</v>
      </c>
      <c r="C87" s="1" t="n">
        <v>46017</v>
      </c>
      <c r="D87" t="inlineStr">
        <is>
          <t>ÖSTERGÖTLANDS LÄN</t>
        </is>
      </c>
      <c r="E87" t="inlineStr">
        <is>
          <t>LINKÖPING</t>
        </is>
      </c>
      <c r="G87" t="n">
        <v>1.9</v>
      </c>
      <c r="H87" t="n">
        <v>0</v>
      </c>
      <c r="I87" t="n">
        <v>0</v>
      </c>
      <c r="J87" t="n">
        <v>1</v>
      </c>
      <c r="K87" t="n">
        <v>0</v>
      </c>
      <c r="L87" t="n">
        <v>0</v>
      </c>
      <c r="M87" t="n">
        <v>0</v>
      </c>
      <c r="N87" t="n">
        <v>0</v>
      </c>
      <c r="O87" t="n">
        <v>1</v>
      </c>
      <c r="P87" t="n">
        <v>0</v>
      </c>
      <c r="Q87" t="n">
        <v>1</v>
      </c>
      <c r="R87" s="2" t="inlineStr">
        <is>
          <t>Gammelekslav</t>
        </is>
      </c>
      <c r="S87">
        <f>HYPERLINK("https://klasma.github.io/Logging_0580/artfynd/A 60311-2025 artfynd.xlsx", "A 60311-2025")</f>
        <v/>
      </c>
      <c r="T87">
        <f>HYPERLINK("https://klasma.github.io/Logging_0580/kartor/A 60311-2025 karta.png", "A 60311-2025")</f>
        <v/>
      </c>
      <c r="V87">
        <f>HYPERLINK("https://klasma.github.io/Logging_0580/klagomål/A 60311-2025 FSC-klagomål.docx", "A 60311-2025")</f>
        <v/>
      </c>
      <c r="W87">
        <f>HYPERLINK("https://klasma.github.io/Logging_0580/klagomålsmail/A 60311-2025 FSC-klagomål mail.docx", "A 60311-2025")</f>
        <v/>
      </c>
      <c r="X87">
        <f>HYPERLINK("https://klasma.github.io/Logging_0580/tillsyn/A 60311-2025 tillsynsbegäran.docx", "A 60311-2025")</f>
        <v/>
      </c>
      <c r="Y87">
        <f>HYPERLINK("https://klasma.github.io/Logging_0580/tillsynsmail/A 60311-2025 tillsynsbegäran mail.docx", "A 60311-2025")</f>
        <v/>
      </c>
    </row>
    <row r="88" ht="15" customHeight="1">
      <c r="A88" t="inlineStr">
        <is>
          <t>A 56112-2025</t>
        </is>
      </c>
      <c r="B88" s="1" t="n">
        <v>45973.73625</v>
      </c>
      <c r="C88" s="1" t="n">
        <v>46017</v>
      </c>
      <c r="D88" t="inlineStr">
        <is>
          <t>ÖSTERGÖTLANDS LÄN</t>
        </is>
      </c>
      <c r="E88" t="inlineStr">
        <is>
          <t>LINKÖPING</t>
        </is>
      </c>
      <c r="G88" t="n">
        <v>0.6</v>
      </c>
      <c r="H88" t="n">
        <v>0</v>
      </c>
      <c r="I88" t="n">
        <v>0</v>
      </c>
      <c r="J88" t="n">
        <v>1</v>
      </c>
      <c r="K88" t="n">
        <v>0</v>
      </c>
      <c r="L88" t="n">
        <v>0</v>
      </c>
      <c r="M88" t="n">
        <v>0</v>
      </c>
      <c r="N88" t="n">
        <v>0</v>
      </c>
      <c r="O88" t="n">
        <v>1</v>
      </c>
      <c r="P88" t="n">
        <v>0</v>
      </c>
      <c r="Q88" t="n">
        <v>1</v>
      </c>
      <c r="R88" s="2" t="inlineStr">
        <is>
          <t>Solvända</t>
        </is>
      </c>
      <c r="S88">
        <f>HYPERLINK("https://klasma.github.io/Logging_0580/artfynd/A 56112-2025 artfynd.xlsx", "A 56112-2025")</f>
        <v/>
      </c>
      <c r="T88">
        <f>HYPERLINK("https://klasma.github.io/Logging_0580/kartor/A 56112-2025 karta.png", "A 56112-2025")</f>
        <v/>
      </c>
      <c r="V88">
        <f>HYPERLINK("https://klasma.github.io/Logging_0580/klagomål/A 56112-2025 FSC-klagomål.docx", "A 56112-2025")</f>
        <v/>
      </c>
      <c r="W88">
        <f>HYPERLINK("https://klasma.github.io/Logging_0580/klagomålsmail/A 56112-2025 FSC-klagomål mail.docx", "A 56112-2025")</f>
        <v/>
      </c>
      <c r="X88">
        <f>HYPERLINK("https://klasma.github.io/Logging_0580/tillsyn/A 56112-2025 tillsynsbegäran.docx", "A 56112-2025")</f>
        <v/>
      </c>
      <c r="Y88">
        <f>HYPERLINK("https://klasma.github.io/Logging_0580/tillsynsmail/A 56112-2025 tillsynsbegäran mail.docx", "A 56112-2025")</f>
        <v/>
      </c>
    </row>
    <row r="89" ht="15" customHeight="1">
      <c r="A89" t="inlineStr">
        <is>
          <t>A 27403-2025</t>
        </is>
      </c>
      <c r="B89" s="1" t="n">
        <v>45812.72518518518</v>
      </c>
      <c r="C89" s="1" t="n">
        <v>46017</v>
      </c>
      <c r="D89" t="inlineStr">
        <is>
          <t>ÖSTERGÖTLANDS LÄN</t>
        </is>
      </c>
      <c r="E89" t="inlineStr">
        <is>
          <t>LINKÖPING</t>
        </is>
      </c>
      <c r="G89" t="n">
        <v>1.4</v>
      </c>
      <c r="H89" t="n">
        <v>0</v>
      </c>
      <c r="I89" t="n">
        <v>0</v>
      </c>
      <c r="J89" t="n">
        <v>1</v>
      </c>
      <c r="K89" t="n">
        <v>0</v>
      </c>
      <c r="L89" t="n">
        <v>0</v>
      </c>
      <c r="M89" t="n">
        <v>0</v>
      </c>
      <c r="N89" t="n">
        <v>0</v>
      </c>
      <c r="O89" t="n">
        <v>1</v>
      </c>
      <c r="P89" t="n">
        <v>0</v>
      </c>
      <c r="Q89" t="n">
        <v>1</v>
      </c>
      <c r="R89" s="2" t="inlineStr">
        <is>
          <t>Tallticka</t>
        </is>
      </c>
      <c r="S89">
        <f>HYPERLINK("https://klasma.github.io/Logging_0580/artfynd/A 27403-2025 artfynd.xlsx", "A 27403-2025")</f>
        <v/>
      </c>
      <c r="T89">
        <f>HYPERLINK("https://klasma.github.io/Logging_0580/kartor/A 27403-2025 karta.png", "A 27403-2025")</f>
        <v/>
      </c>
      <c r="V89">
        <f>HYPERLINK("https://klasma.github.io/Logging_0580/klagomål/A 27403-2025 FSC-klagomål.docx", "A 27403-2025")</f>
        <v/>
      </c>
      <c r="W89">
        <f>HYPERLINK("https://klasma.github.io/Logging_0580/klagomålsmail/A 27403-2025 FSC-klagomål mail.docx", "A 27403-2025")</f>
        <v/>
      </c>
      <c r="X89">
        <f>HYPERLINK("https://klasma.github.io/Logging_0580/tillsyn/A 27403-2025 tillsynsbegäran.docx", "A 27403-2025")</f>
        <v/>
      </c>
      <c r="Y89">
        <f>HYPERLINK("https://klasma.github.io/Logging_0580/tillsynsmail/A 27403-2025 tillsynsbegäran mail.docx", "A 27403-2025")</f>
        <v/>
      </c>
    </row>
    <row r="90" ht="15" customHeight="1">
      <c r="A90" t="inlineStr">
        <is>
          <t>A 36723-2023</t>
        </is>
      </c>
      <c r="B90" s="1" t="n">
        <v>45153</v>
      </c>
      <c r="C90" s="1" t="n">
        <v>46017</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46017</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46017</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46017</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46017</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46017</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46017</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46017</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46017</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46017</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46017</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46017</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46017</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46017</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46017</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46017</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46017</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46017</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46017</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46017</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46017</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46017</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46017</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46017</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46017</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46017</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46017</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46017</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31703-2022</t>
        </is>
      </c>
      <c r="B118" s="1" t="n">
        <v>44776</v>
      </c>
      <c r="C118" s="1" t="n">
        <v>46017</v>
      </c>
      <c r="D118" t="inlineStr">
        <is>
          <t>ÖSTERGÖTLANDS LÄN</t>
        </is>
      </c>
      <c r="E118" t="inlineStr">
        <is>
          <t>LINKÖPING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46017</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46017</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46017</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46017</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46017</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46017</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46017</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46017</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46017</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46017</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46017</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46017</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46017</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46017</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46017</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46017</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46730-2021</t>
        </is>
      </c>
      <c r="B135" s="1" t="n">
        <v>44445</v>
      </c>
      <c r="C135" s="1" t="n">
        <v>46017</v>
      </c>
      <c r="D135" t="inlineStr">
        <is>
          <t>ÖSTERGÖTLANDS LÄN</t>
        </is>
      </c>
      <c r="E135" t="inlineStr">
        <is>
          <t>LINKÖPING</t>
        </is>
      </c>
      <c r="F135" t="inlineStr">
        <is>
          <t>Övriga statliga verk och myndigheter</t>
        </is>
      </c>
      <c r="G135" t="n">
        <v>1.1</v>
      </c>
      <c r="H135" t="n">
        <v>0</v>
      </c>
      <c r="I135" t="n">
        <v>0</v>
      </c>
      <c r="J135" t="n">
        <v>0</v>
      </c>
      <c r="K135" t="n">
        <v>0</v>
      </c>
      <c r="L135" t="n">
        <v>0</v>
      </c>
      <c r="M135" t="n">
        <v>0</v>
      </c>
      <c r="N135" t="n">
        <v>0</v>
      </c>
      <c r="O135" t="n">
        <v>0</v>
      </c>
      <c r="P135" t="n">
        <v>0</v>
      </c>
      <c r="Q135" t="n">
        <v>0</v>
      </c>
      <c r="R135" s="2" t="inlineStr"/>
    </row>
    <row r="136" ht="15" customHeight="1">
      <c r="A136" t="inlineStr">
        <is>
          <t>A 16469-2021</t>
        </is>
      </c>
      <c r="B136" s="1" t="n">
        <v>44293.54331018519</v>
      </c>
      <c r="C136" s="1" t="n">
        <v>46017</v>
      </c>
      <c r="D136" t="inlineStr">
        <is>
          <t>ÖSTERGÖTLANDS LÄN</t>
        </is>
      </c>
      <c r="E136" t="inlineStr">
        <is>
          <t>LINKÖPING</t>
        </is>
      </c>
      <c r="F136" t="inlineStr">
        <is>
          <t>Allmännings- och besparingsskogar</t>
        </is>
      </c>
      <c r="G136" t="n">
        <v>33.5</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46017</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26197-2021</t>
        </is>
      </c>
      <c r="B138" s="1" t="n">
        <v>44347.39319444444</v>
      </c>
      <c r="C138" s="1" t="n">
        <v>46017</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46017</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46017</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46017</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46017</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46017</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54854-2022</t>
        </is>
      </c>
      <c r="B144" s="1" t="n">
        <v>44884</v>
      </c>
      <c r="C144" s="1" t="n">
        <v>46017</v>
      </c>
      <c r="D144" t="inlineStr">
        <is>
          <t>ÖSTERGÖTLANDS LÄN</t>
        </is>
      </c>
      <c r="E144" t="inlineStr">
        <is>
          <t>LINKÖPING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54855-2022</t>
        </is>
      </c>
      <c r="B145" s="1" t="n">
        <v>44884.59502314815</v>
      </c>
      <c r="C145" s="1" t="n">
        <v>46017</v>
      </c>
      <c r="D145" t="inlineStr">
        <is>
          <t>ÖSTERGÖTLANDS LÄN</t>
        </is>
      </c>
      <c r="E145" t="inlineStr">
        <is>
          <t>LINKÖPING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52966-2021</t>
        </is>
      </c>
      <c r="B146" s="1" t="n">
        <v>44467</v>
      </c>
      <c r="C146" s="1" t="n">
        <v>46017</v>
      </c>
      <c r="D146" t="inlineStr">
        <is>
          <t>ÖSTERGÖTLANDS LÄN</t>
        </is>
      </c>
      <c r="E146" t="inlineStr">
        <is>
          <t>LINKÖPING</t>
        </is>
      </c>
      <c r="G146" t="n">
        <v>2.6</v>
      </c>
      <c r="H146" t="n">
        <v>0</v>
      </c>
      <c r="I146" t="n">
        <v>0</v>
      </c>
      <c r="J146" t="n">
        <v>0</v>
      </c>
      <c r="K146" t="n">
        <v>0</v>
      </c>
      <c r="L146" t="n">
        <v>0</v>
      </c>
      <c r="M146" t="n">
        <v>0</v>
      </c>
      <c r="N146" t="n">
        <v>0</v>
      </c>
      <c r="O146" t="n">
        <v>0</v>
      </c>
      <c r="P146" t="n">
        <v>0</v>
      </c>
      <c r="Q146" t="n">
        <v>0</v>
      </c>
      <c r="R146" s="2" t="inlineStr"/>
    </row>
    <row r="147" ht="15" customHeight="1">
      <c r="A147" t="inlineStr">
        <is>
          <t>A 54467-2022</t>
        </is>
      </c>
      <c r="B147" s="1" t="n">
        <v>44882</v>
      </c>
      <c r="C147" s="1" t="n">
        <v>46017</v>
      </c>
      <c r="D147" t="inlineStr">
        <is>
          <t>ÖSTERGÖTLANDS LÄN</t>
        </is>
      </c>
      <c r="E147" t="inlineStr">
        <is>
          <t>LINKÖPING</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36341-2022</t>
        </is>
      </c>
      <c r="B148" s="1" t="n">
        <v>44803</v>
      </c>
      <c r="C148" s="1" t="n">
        <v>46017</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4929-2021</t>
        </is>
      </c>
      <c r="B149" s="1" t="n">
        <v>44227.57533564815</v>
      </c>
      <c r="C149" s="1" t="n">
        <v>46017</v>
      </c>
      <c r="D149" t="inlineStr">
        <is>
          <t>ÖSTERGÖTLANDS LÄN</t>
        </is>
      </c>
      <c r="E149" t="inlineStr">
        <is>
          <t>LINKÖPING</t>
        </is>
      </c>
      <c r="G149" t="n">
        <v>0.4</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46017</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25305-2021</t>
        </is>
      </c>
      <c r="B151" s="1" t="n">
        <v>44342</v>
      </c>
      <c r="C151" s="1" t="n">
        <v>46017</v>
      </c>
      <c r="D151" t="inlineStr">
        <is>
          <t>ÖSTERGÖTLANDS LÄN</t>
        </is>
      </c>
      <c r="E151" t="inlineStr">
        <is>
          <t>LINKÖPING</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20901-2021</t>
        </is>
      </c>
      <c r="B152" s="1" t="n">
        <v>44319</v>
      </c>
      <c r="C152" s="1" t="n">
        <v>46017</v>
      </c>
      <c r="D152" t="inlineStr">
        <is>
          <t>ÖSTERGÖTLANDS LÄN</t>
        </is>
      </c>
      <c r="E152" t="inlineStr">
        <is>
          <t>LINKÖPING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33891-2021</t>
        </is>
      </c>
      <c r="B153" s="1" t="n">
        <v>44378</v>
      </c>
      <c r="C153" s="1" t="n">
        <v>46017</v>
      </c>
      <c r="D153" t="inlineStr">
        <is>
          <t>ÖSTERGÖTLANDS LÄN</t>
        </is>
      </c>
      <c r="E153" t="inlineStr">
        <is>
          <t>LINKÖPING</t>
        </is>
      </c>
      <c r="G153" t="n">
        <v>5.1</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46017</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19254-2021</t>
        </is>
      </c>
      <c r="B155" s="1" t="n">
        <v>44309.38962962963</v>
      </c>
      <c r="C155" s="1" t="n">
        <v>46017</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4377-2021</t>
        </is>
      </c>
      <c r="B156" s="1" t="n">
        <v>44223</v>
      </c>
      <c r="C156" s="1" t="n">
        <v>46017</v>
      </c>
      <c r="D156" t="inlineStr">
        <is>
          <t>ÖSTERGÖTLANDS LÄN</t>
        </is>
      </c>
      <c r="E156" t="inlineStr">
        <is>
          <t>LINKÖPING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46017</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65398-2021</t>
        </is>
      </c>
      <c r="B158" s="1" t="n">
        <v>44515</v>
      </c>
      <c r="C158" s="1" t="n">
        <v>46017</v>
      </c>
      <c r="D158" t="inlineStr">
        <is>
          <t>ÖSTERGÖTLANDS LÄN</t>
        </is>
      </c>
      <c r="E158" t="inlineStr">
        <is>
          <t>LINKÖPING</t>
        </is>
      </c>
      <c r="F158" t="inlineStr">
        <is>
          <t>Övriga statliga verk och myndigheter</t>
        </is>
      </c>
      <c r="G158" t="n">
        <v>2.4</v>
      </c>
      <c r="H158" t="n">
        <v>0</v>
      </c>
      <c r="I158" t="n">
        <v>0</v>
      </c>
      <c r="J158" t="n">
        <v>0</v>
      </c>
      <c r="K158" t="n">
        <v>0</v>
      </c>
      <c r="L158" t="n">
        <v>0</v>
      </c>
      <c r="M158" t="n">
        <v>0</v>
      </c>
      <c r="N158" t="n">
        <v>0</v>
      </c>
      <c r="O158" t="n">
        <v>0</v>
      </c>
      <c r="P158" t="n">
        <v>0</v>
      </c>
      <c r="Q158" t="n">
        <v>0</v>
      </c>
      <c r="R158" s="2" t="inlineStr"/>
    </row>
    <row r="159" ht="15" customHeight="1">
      <c r="A159" t="inlineStr">
        <is>
          <t>A 61153-2021</t>
        </is>
      </c>
      <c r="B159" s="1" t="n">
        <v>44497</v>
      </c>
      <c r="C159" s="1" t="n">
        <v>46017</v>
      </c>
      <c r="D159" t="inlineStr">
        <is>
          <t>ÖSTERGÖTLANDS LÄN</t>
        </is>
      </c>
      <c r="E159" t="inlineStr">
        <is>
          <t>LINKÖPING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33885-2021</t>
        </is>
      </c>
      <c r="B160" s="1" t="n">
        <v>44378</v>
      </c>
      <c r="C160" s="1" t="n">
        <v>46017</v>
      </c>
      <c r="D160" t="inlineStr">
        <is>
          <t>ÖSTERGÖTLANDS LÄN</t>
        </is>
      </c>
      <c r="E160" t="inlineStr">
        <is>
          <t>LINKÖPING</t>
        </is>
      </c>
      <c r="G160" t="n">
        <v>3.5</v>
      </c>
      <c r="H160" t="n">
        <v>0</v>
      </c>
      <c r="I160" t="n">
        <v>0</v>
      </c>
      <c r="J160" t="n">
        <v>0</v>
      </c>
      <c r="K160" t="n">
        <v>0</v>
      </c>
      <c r="L160" t="n">
        <v>0</v>
      </c>
      <c r="M160" t="n">
        <v>0</v>
      </c>
      <c r="N160" t="n">
        <v>0</v>
      </c>
      <c r="O160" t="n">
        <v>0</v>
      </c>
      <c r="P160" t="n">
        <v>0</v>
      </c>
      <c r="Q160" t="n">
        <v>0</v>
      </c>
      <c r="R160" s="2" t="inlineStr"/>
    </row>
    <row r="161" ht="15" customHeight="1">
      <c r="A161" t="inlineStr">
        <is>
          <t>A 67912-2021</t>
        </is>
      </c>
      <c r="B161" s="1" t="n">
        <v>44525</v>
      </c>
      <c r="C161" s="1" t="n">
        <v>46017</v>
      </c>
      <c r="D161" t="inlineStr">
        <is>
          <t>ÖSTERGÖTLANDS LÄN</t>
        </is>
      </c>
      <c r="E161" t="inlineStr">
        <is>
          <t>LINKÖPING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67940-2021</t>
        </is>
      </c>
      <c r="B162" s="1" t="n">
        <v>44525.62849537037</v>
      </c>
      <c r="C162" s="1" t="n">
        <v>46017</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12413-2022</t>
        </is>
      </c>
      <c r="B163" s="1" t="n">
        <v>44638</v>
      </c>
      <c r="C163" s="1" t="n">
        <v>46017</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384-2021</t>
        </is>
      </c>
      <c r="B164" s="1" t="n">
        <v>44201.57689814815</v>
      </c>
      <c r="C164" s="1" t="n">
        <v>46017</v>
      </c>
      <c r="D164" t="inlineStr">
        <is>
          <t>ÖSTERGÖTLANDS LÄN</t>
        </is>
      </c>
      <c r="E164" t="inlineStr">
        <is>
          <t>LINKÖPING</t>
        </is>
      </c>
      <c r="G164" t="n">
        <v>0.2</v>
      </c>
      <c r="H164" t="n">
        <v>0</v>
      </c>
      <c r="I164" t="n">
        <v>0</v>
      </c>
      <c r="J164" t="n">
        <v>0</v>
      </c>
      <c r="K164" t="n">
        <v>0</v>
      </c>
      <c r="L164" t="n">
        <v>0</v>
      </c>
      <c r="M164" t="n">
        <v>0</v>
      </c>
      <c r="N164" t="n">
        <v>0</v>
      </c>
      <c r="O164" t="n">
        <v>0</v>
      </c>
      <c r="P164" t="n">
        <v>0</v>
      </c>
      <c r="Q164" t="n">
        <v>0</v>
      </c>
      <c r="R164" s="2" t="inlineStr"/>
    </row>
    <row r="165" ht="15" customHeight="1">
      <c r="A165" t="inlineStr">
        <is>
          <t>A 27666-2022</t>
        </is>
      </c>
      <c r="B165" s="1" t="n">
        <v>44743.39017361111</v>
      </c>
      <c r="C165" s="1" t="n">
        <v>46017</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19183-2021</t>
        </is>
      </c>
      <c r="B166" s="1" t="n">
        <v>44308.73248842593</v>
      </c>
      <c r="C166" s="1" t="n">
        <v>46017</v>
      </c>
      <c r="D166" t="inlineStr">
        <is>
          <t>ÖSTERGÖTLANDS LÄN</t>
        </is>
      </c>
      <c r="E166" t="inlineStr">
        <is>
          <t>LINKÖPING</t>
        </is>
      </c>
      <c r="F166" t="inlineStr">
        <is>
          <t>Allmännings- och besparingsskogar</t>
        </is>
      </c>
      <c r="G166" t="n">
        <v>4.6</v>
      </c>
      <c r="H166" t="n">
        <v>0</v>
      </c>
      <c r="I166" t="n">
        <v>0</v>
      </c>
      <c r="J166" t="n">
        <v>0</v>
      </c>
      <c r="K166" t="n">
        <v>0</v>
      </c>
      <c r="L166" t="n">
        <v>0</v>
      </c>
      <c r="M166" t="n">
        <v>0</v>
      </c>
      <c r="N166" t="n">
        <v>0</v>
      </c>
      <c r="O166" t="n">
        <v>0</v>
      </c>
      <c r="P166" t="n">
        <v>0</v>
      </c>
      <c r="Q166" t="n">
        <v>0</v>
      </c>
      <c r="R166" s="2" t="inlineStr"/>
    </row>
    <row r="167" ht="15" customHeight="1">
      <c r="A167" t="inlineStr">
        <is>
          <t>A 46490-2022</t>
        </is>
      </c>
      <c r="B167" s="1" t="n">
        <v>44848</v>
      </c>
      <c r="C167" s="1" t="n">
        <v>46017</v>
      </c>
      <c r="D167" t="inlineStr">
        <is>
          <t>ÖSTERGÖTLANDS LÄN</t>
        </is>
      </c>
      <c r="E167" t="inlineStr">
        <is>
          <t>LINKÖPING</t>
        </is>
      </c>
      <c r="G167" t="n">
        <v>3.5</v>
      </c>
      <c r="H167" t="n">
        <v>0</v>
      </c>
      <c r="I167" t="n">
        <v>0</v>
      </c>
      <c r="J167" t="n">
        <v>0</v>
      </c>
      <c r="K167" t="n">
        <v>0</v>
      </c>
      <c r="L167" t="n">
        <v>0</v>
      </c>
      <c r="M167" t="n">
        <v>0</v>
      </c>
      <c r="N167" t="n">
        <v>0</v>
      </c>
      <c r="O167" t="n">
        <v>0</v>
      </c>
      <c r="P167" t="n">
        <v>0</v>
      </c>
      <c r="Q167" t="n">
        <v>0</v>
      </c>
      <c r="R167" s="2" t="inlineStr"/>
    </row>
    <row r="168" ht="15" customHeight="1">
      <c r="A168" t="inlineStr">
        <is>
          <t>A 10951-2022</t>
        </is>
      </c>
      <c r="B168" s="1" t="n">
        <v>44627</v>
      </c>
      <c r="C168" s="1" t="n">
        <v>46017</v>
      </c>
      <c r="D168" t="inlineStr">
        <is>
          <t>ÖSTERGÖTLANDS LÄN</t>
        </is>
      </c>
      <c r="E168" t="inlineStr">
        <is>
          <t>LINKÖPING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33134-2022</t>
        </is>
      </c>
      <c r="B169" s="1" t="n">
        <v>44785</v>
      </c>
      <c r="C169" s="1" t="n">
        <v>46017</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46017</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13075-2022</t>
        </is>
      </c>
      <c r="B171" s="1" t="n">
        <v>44643</v>
      </c>
      <c r="C171" s="1" t="n">
        <v>46017</v>
      </c>
      <c r="D171" t="inlineStr">
        <is>
          <t>ÖSTERGÖTLANDS LÄN</t>
        </is>
      </c>
      <c r="E171" t="inlineStr">
        <is>
          <t>LINKÖPING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1787-2022</t>
        </is>
      </c>
      <c r="B172" s="1" t="n">
        <v>44574</v>
      </c>
      <c r="C172" s="1" t="n">
        <v>46017</v>
      </c>
      <c r="D172" t="inlineStr">
        <is>
          <t>ÖSTERGÖTLANDS LÄN</t>
        </is>
      </c>
      <c r="E172" t="inlineStr">
        <is>
          <t>LINKÖPING</t>
        </is>
      </c>
      <c r="G172" t="n">
        <v>1.9</v>
      </c>
      <c r="H172" t="n">
        <v>0</v>
      </c>
      <c r="I172" t="n">
        <v>0</v>
      </c>
      <c r="J172" t="n">
        <v>0</v>
      </c>
      <c r="K172" t="n">
        <v>0</v>
      </c>
      <c r="L172" t="n">
        <v>0</v>
      </c>
      <c r="M172" t="n">
        <v>0</v>
      </c>
      <c r="N172" t="n">
        <v>0</v>
      </c>
      <c r="O172" t="n">
        <v>0</v>
      </c>
      <c r="P172" t="n">
        <v>0</v>
      </c>
      <c r="Q172" t="n">
        <v>0</v>
      </c>
      <c r="R172" s="2" t="inlineStr"/>
    </row>
    <row r="173" ht="15" customHeight="1">
      <c r="A173" t="inlineStr">
        <is>
          <t>A 948-2022</t>
        </is>
      </c>
      <c r="B173" s="1" t="n">
        <v>44571</v>
      </c>
      <c r="C173" s="1" t="n">
        <v>46017</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23416-2022</t>
        </is>
      </c>
      <c r="B174" s="1" t="n">
        <v>44720.78243055556</v>
      </c>
      <c r="C174" s="1" t="n">
        <v>46017</v>
      </c>
      <c r="D174" t="inlineStr">
        <is>
          <t>ÖSTERGÖTLANDS LÄN</t>
        </is>
      </c>
      <c r="E174" t="inlineStr">
        <is>
          <t>LINKÖPING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38130-2021</t>
        </is>
      </c>
      <c r="B175" s="1" t="n">
        <v>44405</v>
      </c>
      <c r="C175" s="1" t="n">
        <v>46017</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46017</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46017</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37014-2021</t>
        </is>
      </c>
      <c r="B178" s="1" t="n">
        <v>44393</v>
      </c>
      <c r="C178" s="1" t="n">
        <v>46017</v>
      </c>
      <c r="D178" t="inlineStr">
        <is>
          <t>ÖSTERGÖTLANDS LÄN</t>
        </is>
      </c>
      <c r="E178" t="inlineStr">
        <is>
          <t>LINKÖPING</t>
        </is>
      </c>
      <c r="F178" t="inlineStr">
        <is>
          <t>Allmännings- och besparingsskogar</t>
        </is>
      </c>
      <c r="G178" t="n">
        <v>7.7</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46017</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38134-2021</t>
        </is>
      </c>
      <c r="B180" s="1" t="n">
        <v>44405.3794212963</v>
      </c>
      <c r="C180" s="1" t="n">
        <v>46017</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40527-2022</t>
        </is>
      </c>
      <c r="B181" s="1" t="n">
        <v>44823</v>
      </c>
      <c r="C181" s="1" t="n">
        <v>46017</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34486-2021</t>
        </is>
      </c>
      <c r="B182" s="1" t="n">
        <v>44382.29295138889</v>
      </c>
      <c r="C182" s="1" t="n">
        <v>46017</v>
      </c>
      <c r="D182" t="inlineStr">
        <is>
          <t>ÖSTERGÖTLANDS LÄN</t>
        </is>
      </c>
      <c r="E182" t="inlineStr">
        <is>
          <t>LINKÖPING</t>
        </is>
      </c>
      <c r="G182" t="n">
        <v>4.4</v>
      </c>
      <c r="H182" t="n">
        <v>0</v>
      </c>
      <c r="I182" t="n">
        <v>0</v>
      </c>
      <c r="J182" t="n">
        <v>0</v>
      </c>
      <c r="K182" t="n">
        <v>0</v>
      </c>
      <c r="L182" t="n">
        <v>0</v>
      </c>
      <c r="M182" t="n">
        <v>0</v>
      </c>
      <c r="N182" t="n">
        <v>0</v>
      </c>
      <c r="O182" t="n">
        <v>0</v>
      </c>
      <c r="P182" t="n">
        <v>0</v>
      </c>
      <c r="Q182" t="n">
        <v>0</v>
      </c>
      <c r="R182" s="2" t="inlineStr"/>
    </row>
    <row r="183" ht="15" customHeight="1">
      <c r="A183" t="inlineStr">
        <is>
          <t>A 44849-2022</t>
        </is>
      </c>
      <c r="B183" s="1" t="n">
        <v>44841</v>
      </c>
      <c r="C183" s="1" t="n">
        <v>46017</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70835-2021</t>
        </is>
      </c>
      <c r="B184" s="1" t="n">
        <v>44537</v>
      </c>
      <c r="C184" s="1" t="n">
        <v>46017</v>
      </c>
      <c r="D184" t="inlineStr">
        <is>
          <t>ÖSTERGÖTLANDS LÄN</t>
        </is>
      </c>
      <c r="E184" t="inlineStr">
        <is>
          <t>LINKÖPING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52968-2021</t>
        </is>
      </c>
      <c r="B185" s="1" t="n">
        <v>44467</v>
      </c>
      <c r="C185" s="1" t="n">
        <v>46017</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46017</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56917-2022</t>
        </is>
      </c>
      <c r="B187" s="1" t="n">
        <v>44894</v>
      </c>
      <c r="C187" s="1" t="n">
        <v>46017</v>
      </c>
      <c r="D187" t="inlineStr">
        <is>
          <t>ÖSTERGÖTLANDS LÄN</t>
        </is>
      </c>
      <c r="E187" t="inlineStr">
        <is>
          <t>LINKÖPING</t>
        </is>
      </c>
      <c r="G187" t="n">
        <v>2.2</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46017</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32255-2021</t>
        </is>
      </c>
      <c r="B189" s="1" t="n">
        <v>44371.45949074074</v>
      </c>
      <c r="C189" s="1" t="n">
        <v>46017</v>
      </c>
      <c r="D189" t="inlineStr">
        <is>
          <t>ÖSTERGÖTLANDS LÄN</t>
        </is>
      </c>
      <c r="E189" t="inlineStr">
        <is>
          <t>LINKÖPING</t>
        </is>
      </c>
      <c r="F189" t="inlineStr">
        <is>
          <t>Övriga Aktiebolag</t>
        </is>
      </c>
      <c r="G189" t="n">
        <v>1.1</v>
      </c>
      <c r="H189" t="n">
        <v>0</v>
      </c>
      <c r="I189" t="n">
        <v>0</v>
      </c>
      <c r="J189" t="n">
        <v>0</v>
      </c>
      <c r="K189" t="n">
        <v>0</v>
      </c>
      <c r="L189" t="n">
        <v>0</v>
      </c>
      <c r="M189" t="n">
        <v>0</v>
      </c>
      <c r="N189" t="n">
        <v>0</v>
      </c>
      <c r="O189" t="n">
        <v>0</v>
      </c>
      <c r="P189" t="n">
        <v>0</v>
      </c>
      <c r="Q189" t="n">
        <v>0</v>
      </c>
      <c r="R189" s="2" t="inlineStr"/>
    </row>
    <row r="190" ht="15" customHeight="1">
      <c r="A190" t="inlineStr">
        <is>
          <t>A 1265-2023</t>
        </is>
      </c>
      <c r="B190" s="1" t="n">
        <v>44936</v>
      </c>
      <c r="C190" s="1" t="n">
        <v>46017</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1362-2023</t>
        </is>
      </c>
      <c r="B191" s="1" t="n">
        <v>44931</v>
      </c>
      <c r="C191" s="1" t="n">
        <v>46017</v>
      </c>
      <c r="D191" t="inlineStr">
        <is>
          <t>ÖSTERGÖTLANDS LÄN</t>
        </is>
      </c>
      <c r="E191" t="inlineStr">
        <is>
          <t>LINKÖPING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54034-2022</t>
        </is>
      </c>
      <c r="B192" s="1" t="n">
        <v>44881</v>
      </c>
      <c r="C192" s="1" t="n">
        <v>46017</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61302-2021</t>
        </is>
      </c>
      <c r="B193" s="1" t="n">
        <v>44498.63189814815</v>
      </c>
      <c r="C193" s="1" t="n">
        <v>46017</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55493-2021</t>
        </is>
      </c>
      <c r="B194" s="1" t="n">
        <v>44475.61988425926</v>
      </c>
      <c r="C194" s="1" t="n">
        <v>46017</v>
      </c>
      <c r="D194" t="inlineStr">
        <is>
          <t>ÖSTERGÖTLANDS LÄN</t>
        </is>
      </c>
      <c r="E194" t="inlineStr">
        <is>
          <t>LINKÖPING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46017</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6054-2022</t>
        </is>
      </c>
      <c r="B196" s="1" t="n">
        <v>44599.53623842593</v>
      </c>
      <c r="C196" s="1" t="n">
        <v>46017</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46017</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46017</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25119-2023</t>
        </is>
      </c>
      <c r="B199" s="1" t="n">
        <v>45086.42326388889</v>
      </c>
      <c r="C199" s="1" t="n">
        <v>46017</v>
      </c>
      <c r="D199" t="inlineStr">
        <is>
          <t>ÖSTERGÖTLANDS LÄN</t>
        </is>
      </c>
      <c r="E199" t="inlineStr">
        <is>
          <t>LINKÖPING</t>
        </is>
      </c>
      <c r="G199" t="n">
        <v>3.2</v>
      </c>
      <c r="H199" t="n">
        <v>0</v>
      </c>
      <c r="I199" t="n">
        <v>0</v>
      </c>
      <c r="J199" t="n">
        <v>0</v>
      </c>
      <c r="K199" t="n">
        <v>0</v>
      </c>
      <c r="L199" t="n">
        <v>0</v>
      </c>
      <c r="M199" t="n">
        <v>0</v>
      </c>
      <c r="N199" t="n">
        <v>0</v>
      </c>
      <c r="O199" t="n">
        <v>0</v>
      </c>
      <c r="P199" t="n">
        <v>0</v>
      </c>
      <c r="Q199" t="n">
        <v>0</v>
      </c>
      <c r="R199" s="2" t="inlineStr"/>
    </row>
    <row r="200" ht="15" customHeight="1">
      <c r="A200" t="inlineStr">
        <is>
          <t>A 65395-2021</t>
        </is>
      </c>
      <c r="B200" s="1" t="n">
        <v>44515</v>
      </c>
      <c r="C200" s="1" t="n">
        <v>46017</v>
      </c>
      <c r="D200" t="inlineStr">
        <is>
          <t>ÖSTERGÖTLANDS LÄN</t>
        </is>
      </c>
      <c r="E200" t="inlineStr">
        <is>
          <t>LINKÖPING</t>
        </is>
      </c>
      <c r="F200" t="inlineStr">
        <is>
          <t>Övriga statliga verk och myndigheter</t>
        </is>
      </c>
      <c r="G200" t="n">
        <v>0.7</v>
      </c>
      <c r="H200" t="n">
        <v>0</v>
      </c>
      <c r="I200" t="n">
        <v>0</v>
      </c>
      <c r="J200" t="n">
        <v>0</v>
      </c>
      <c r="K200" t="n">
        <v>0</v>
      </c>
      <c r="L200" t="n">
        <v>0</v>
      </c>
      <c r="M200" t="n">
        <v>0</v>
      </c>
      <c r="N200" t="n">
        <v>0</v>
      </c>
      <c r="O200" t="n">
        <v>0</v>
      </c>
      <c r="P200" t="n">
        <v>0</v>
      </c>
      <c r="Q200" t="n">
        <v>0</v>
      </c>
      <c r="R200" s="2" t="inlineStr"/>
    </row>
    <row r="201" ht="15" customHeight="1">
      <c r="A201" t="inlineStr">
        <is>
          <t>A 41426-2022</t>
        </is>
      </c>
      <c r="B201" s="1" t="n">
        <v>44826</v>
      </c>
      <c r="C201" s="1" t="n">
        <v>46017</v>
      </c>
      <c r="D201" t="inlineStr">
        <is>
          <t>ÖSTERGÖTLANDS LÄN</t>
        </is>
      </c>
      <c r="E201" t="inlineStr">
        <is>
          <t>LINKÖPING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34162-2022</t>
        </is>
      </c>
      <c r="B202" s="1" t="n">
        <v>44791</v>
      </c>
      <c r="C202" s="1" t="n">
        <v>46017</v>
      </c>
      <c r="D202" t="inlineStr">
        <is>
          <t>ÖSTERGÖTLANDS LÄN</t>
        </is>
      </c>
      <c r="E202" t="inlineStr">
        <is>
          <t>LINKÖPING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4456-2024</t>
        </is>
      </c>
      <c r="B203" s="1" t="n">
        <v>45327.52847222222</v>
      </c>
      <c r="C203" s="1" t="n">
        <v>46017</v>
      </c>
      <c r="D203" t="inlineStr">
        <is>
          <t>ÖSTERGÖTLANDS LÄN</t>
        </is>
      </c>
      <c r="E203" t="inlineStr">
        <is>
          <t>LINKÖPING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61298-2021</t>
        </is>
      </c>
      <c r="B204" s="1" t="n">
        <v>44498.62533564815</v>
      </c>
      <c r="C204" s="1" t="n">
        <v>46017</v>
      </c>
      <c r="D204" t="inlineStr">
        <is>
          <t>ÖSTERGÖTLANDS LÄN</t>
        </is>
      </c>
      <c r="E204" t="inlineStr">
        <is>
          <t>LINKÖPING</t>
        </is>
      </c>
      <c r="G204" t="n">
        <v>4.3</v>
      </c>
      <c r="H204" t="n">
        <v>0</v>
      </c>
      <c r="I204" t="n">
        <v>0</v>
      </c>
      <c r="J204" t="n">
        <v>0</v>
      </c>
      <c r="K204" t="n">
        <v>0</v>
      </c>
      <c r="L204" t="n">
        <v>0</v>
      </c>
      <c r="M204" t="n">
        <v>0</v>
      </c>
      <c r="N204" t="n">
        <v>0</v>
      </c>
      <c r="O204" t="n">
        <v>0</v>
      </c>
      <c r="P204" t="n">
        <v>0</v>
      </c>
      <c r="Q204" t="n">
        <v>0</v>
      </c>
      <c r="R204" s="2" t="inlineStr"/>
    </row>
    <row r="205" ht="15" customHeight="1">
      <c r="A205" t="inlineStr">
        <is>
          <t>A 61333-2021</t>
        </is>
      </c>
      <c r="B205" s="1" t="n">
        <v>44498.6764699074</v>
      </c>
      <c r="C205" s="1" t="n">
        <v>46017</v>
      </c>
      <c r="D205" t="inlineStr">
        <is>
          <t>ÖSTERGÖTLANDS LÄN</t>
        </is>
      </c>
      <c r="E205" t="inlineStr">
        <is>
          <t>LINKÖPING</t>
        </is>
      </c>
      <c r="G205" t="n">
        <v>7.5</v>
      </c>
      <c r="H205" t="n">
        <v>0</v>
      </c>
      <c r="I205" t="n">
        <v>0</v>
      </c>
      <c r="J205" t="n">
        <v>0</v>
      </c>
      <c r="K205" t="n">
        <v>0</v>
      </c>
      <c r="L205" t="n">
        <v>0</v>
      </c>
      <c r="M205" t="n">
        <v>0</v>
      </c>
      <c r="N205" t="n">
        <v>0</v>
      </c>
      <c r="O205" t="n">
        <v>0</v>
      </c>
      <c r="P205" t="n">
        <v>0</v>
      </c>
      <c r="Q205" t="n">
        <v>0</v>
      </c>
      <c r="R205" s="2" t="inlineStr"/>
    </row>
    <row r="206" ht="15" customHeight="1">
      <c r="A206" t="inlineStr">
        <is>
          <t>A 10407-2025</t>
        </is>
      </c>
      <c r="B206" s="1" t="n">
        <v>45720.62863425926</v>
      </c>
      <c r="C206" s="1" t="n">
        <v>46017</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12412-2022</t>
        </is>
      </c>
      <c r="B207" s="1" t="n">
        <v>44638</v>
      </c>
      <c r="C207" s="1" t="n">
        <v>46017</v>
      </c>
      <c r="D207" t="inlineStr">
        <is>
          <t>ÖSTERGÖTLANDS LÄN</t>
        </is>
      </c>
      <c r="E207" t="inlineStr">
        <is>
          <t>LINKÖPING</t>
        </is>
      </c>
      <c r="G207" t="n">
        <v>1.7</v>
      </c>
      <c r="H207" t="n">
        <v>0</v>
      </c>
      <c r="I207" t="n">
        <v>0</v>
      </c>
      <c r="J207" t="n">
        <v>0</v>
      </c>
      <c r="K207" t="n">
        <v>0</v>
      </c>
      <c r="L207" t="n">
        <v>0</v>
      </c>
      <c r="M207" t="n">
        <v>0</v>
      </c>
      <c r="N207" t="n">
        <v>0</v>
      </c>
      <c r="O207" t="n">
        <v>0</v>
      </c>
      <c r="P207" t="n">
        <v>0</v>
      </c>
      <c r="Q207" t="n">
        <v>0</v>
      </c>
      <c r="R207" s="2" t="inlineStr"/>
    </row>
    <row r="208" ht="15" customHeight="1">
      <c r="A208" t="inlineStr">
        <is>
          <t>A 58114-2021</t>
        </is>
      </c>
      <c r="B208" s="1" t="n">
        <v>44487</v>
      </c>
      <c r="C208" s="1" t="n">
        <v>46017</v>
      </c>
      <c r="D208" t="inlineStr">
        <is>
          <t>ÖSTERGÖTLANDS LÄN</t>
        </is>
      </c>
      <c r="E208" t="inlineStr">
        <is>
          <t>LINKÖPING</t>
        </is>
      </c>
      <c r="F208" t="inlineStr">
        <is>
          <t>Övriga Aktiebolag</t>
        </is>
      </c>
      <c r="G208" t="n">
        <v>0.8</v>
      </c>
      <c r="H208" t="n">
        <v>0</v>
      </c>
      <c r="I208" t="n">
        <v>0</v>
      </c>
      <c r="J208" t="n">
        <v>0</v>
      </c>
      <c r="K208" t="n">
        <v>0</v>
      </c>
      <c r="L208" t="n">
        <v>0</v>
      </c>
      <c r="M208" t="n">
        <v>0</v>
      </c>
      <c r="N208" t="n">
        <v>0</v>
      </c>
      <c r="O208" t="n">
        <v>0</v>
      </c>
      <c r="P208" t="n">
        <v>0</v>
      </c>
      <c r="Q208" t="n">
        <v>0</v>
      </c>
      <c r="R208" s="2" t="inlineStr"/>
    </row>
    <row r="209" ht="15" customHeight="1">
      <c r="A209" t="inlineStr">
        <is>
          <t>A 48016-2021</t>
        </is>
      </c>
      <c r="B209" s="1" t="n">
        <v>44449</v>
      </c>
      <c r="C209" s="1" t="n">
        <v>46017</v>
      </c>
      <c r="D209" t="inlineStr">
        <is>
          <t>ÖSTERGÖTLANDS LÄN</t>
        </is>
      </c>
      <c r="E209" t="inlineStr">
        <is>
          <t>LINKÖPING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39021-2021</t>
        </is>
      </c>
      <c r="B210" s="1" t="n">
        <v>44412</v>
      </c>
      <c r="C210" s="1" t="n">
        <v>46017</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29309-2024</t>
        </is>
      </c>
      <c r="B211" s="1" t="n">
        <v>45483</v>
      </c>
      <c r="C211" s="1" t="n">
        <v>46017</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29411-2023</t>
        </is>
      </c>
      <c r="B212" s="1" t="n">
        <v>45106.46225694445</v>
      </c>
      <c r="C212" s="1" t="n">
        <v>46017</v>
      </c>
      <c r="D212" t="inlineStr">
        <is>
          <t>ÖSTERGÖTLANDS LÄN</t>
        </is>
      </c>
      <c r="E212" t="inlineStr">
        <is>
          <t>LINKÖPING</t>
        </is>
      </c>
      <c r="G212" t="n">
        <v>2.5</v>
      </c>
      <c r="H212" t="n">
        <v>0</v>
      </c>
      <c r="I212" t="n">
        <v>0</v>
      </c>
      <c r="J212" t="n">
        <v>0</v>
      </c>
      <c r="K212" t="n">
        <v>0</v>
      </c>
      <c r="L212" t="n">
        <v>0</v>
      </c>
      <c r="M212" t="n">
        <v>0</v>
      </c>
      <c r="N212" t="n">
        <v>0</v>
      </c>
      <c r="O212" t="n">
        <v>0</v>
      </c>
      <c r="P212" t="n">
        <v>0</v>
      </c>
      <c r="Q212" t="n">
        <v>0</v>
      </c>
      <c r="R212" s="2" t="inlineStr"/>
    </row>
    <row r="213" ht="15" customHeight="1">
      <c r="A213" t="inlineStr">
        <is>
          <t>A 29412-2023</t>
        </is>
      </c>
      <c r="B213" s="1" t="n">
        <v>45106.46359953703</v>
      </c>
      <c r="C213" s="1" t="n">
        <v>46017</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29413-2023</t>
        </is>
      </c>
      <c r="B214" s="1" t="n">
        <v>45106.46465277778</v>
      </c>
      <c r="C214" s="1" t="n">
        <v>46017</v>
      </c>
      <c r="D214" t="inlineStr">
        <is>
          <t>ÖSTERGÖTLANDS LÄN</t>
        </is>
      </c>
      <c r="E214" t="inlineStr">
        <is>
          <t>LINKÖPING</t>
        </is>
      </c>
      <c r="G214" t="n">
        <v>8</v>
      </c>
      <c r="H214" t="n">
        <v>0</v>
      </c>
      <c r="I214" t="n">
        <v>0</v>
      </c>
      <c r="J214" t="n">
        <v>0</v>
      </c>
      <c r="K214" t="n">
        <v>0</v>
      </c>
      <c r="L214" t="n">
        <v>0</v>
      </c>
      <c r="M214" t="n">
        <v>0</v>
      </c>
      <c r="N214" t="n">
        <v>0</v>
      </c>
      <c r="O214" t="n">
        <v>0</v>
      </c>
      <c r="P214" t="n">
        <v>0</v>
      </c>
      <c r="Q214" t="n">
        <v>0</v>
      </c>
      <c r="R214" s="2" t="inlineStr"/>
    </row>
    <row r="215" ht="15" customHeight="1">
      <c r="A215" t="inlineStr">
        <is>
          <t>A 52892-2024</t>
        </is>
      </c>
      <c r="B215" s="1" t="n">
        <v>45610</v>
      </c>
      <c r="C215" s="1" t="n">
        <v>46017</v>
      </c>
      <c r="D215" t="inlineStr">
        <is>
          <t>ÖSTERGÖTLANDS LÄN</t>
        </is>
      </c>
      <c r="E215" t="inlineStr">
        <is>
          <t>LINKÖPING</t>
        </is>
      </c>
      <c r="G215" t="n">
        <v>4.2</v>
      </c>
      <c r="H215" t="n">
        <v>0</v>
      </c>
      <c r="I215" t="n">
        <v>0</v>
      </c>
      <c r="J215" t="n">
        <v>0</v>
      </c>
      <c r="K215" t="n">
        <v>0</v>
      </c>
      <c r="L215" t="n">
        <v>0</v>
      </c>
      <c r="M215" t="n">
        <v>0</v>
      </c>
      <c r="N215" t="n">
        <v>0</v>
      </c>
      <c r="O215" t="n">
        <v>0</v>
      </c>
      <c r="P215" t="n">
        <v>0</v>
      </c>
      <c r="Q215" t="n">
        <v>0</v>
      </c>
      <c r="R215" s="2" t="inlineStr"/>
    </row>
    <row r="216" ht="15" customHeight="1">
      <c r="A216" t="inlineStr">
        <is>
          <t>A 12035-2025</t>
        </is>
      </c>
      <c r="B216" s="1" t="n">
        <v>45728.64946759259</v>
      </c>
      <c r="C216" s="1" t="n">
        <v>46017</v>
      </c>
      <c r="D216" t="inlineStr">
        <is>
          <t>ÖSTERGÖTLANDS LÄN</t>
        </is>
      </c>
      <c r="E216" t="inlineStr">
        <is>
          <t>LINKÖPING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24151-2024</t>
        </is>
      </c>
      <c r="B217" s="1" t="n">
        <v>45456.67717592593</v>
      </c>
      <c r="C217" s="1" t="n">
        <v>46017</v>
      </c>
      <c r="D217" t="inlineStr">
        <is>
          <t>ÖSTERGÖTLANDS LÄN</t>
        </is>
      </c>
      <c r="E217" t="inlineStr">
        <is>
          <t>LINKÖPING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30858-2022</t>
        </is>
      </c>
      <c r="B218" s="1" t="n">
        <v>44767</v>
      </c>
      <c r="C218" s="1" t="n">
        <v>46017</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51484-2023</t>
        </is>
      </c>
      <c r="B219" s="1" t="n">
        <v>45222</v>
      </c>
      <c r="C219" s="1" t="n">
        <v>46017</v>
      </c>
      <c r="D219" t="inlineStr">
        <is>
          <t>ÖSTERGÖTLANDS LÄN</t>
        </is>
      </c>
      <c r="E219" t="inlineStr">
        <is>
          <t>LINKÖPING</t>
        </is>
      </c>
      <c r="F219" t="inlineStr">
        <is>
          <t>Övriga Aktiebolag</t>
        </is>
      </c>
      <c r="G219" t="n">
        <v>7.7</v>
      </c>
      <c r="H219" t="n">
        <v>0</v>
      </c>
      <c r="I219" t="n">
        <v>0</v>
      </c>
      <c r="J219" t="n">
        <v>0</v>
      </c>
      <c r="K219" t="n">
        <v>0</v>
      </c>
      <c r="L219" t="n">
        <v>0</v>
      </c>
      <c r="M219" t="n">
        <v>0</v>
      </c>
      <c r="N219" t="n">
        <v>0</v>
      </c>
      <c r="O219" t="n">
        <v>0</v>
      </c>
      <c r="P219" t="n">
        <v>0</v>
      </c>
      <c r="Q219" t="n">
        <v>0</v>
      </c>
      <c r="R219" s="2" t="inlineStr"/>
    </row>
    <row r="220" ht="15" customHeight="1">
      <c r="A220" t="inlineStr">
        <is>
          <t>A 3008-2023</t>
        </is>
      </c>
      <c r="B220" s="1" t="n">
        <v>44945.79784722222</v>
      </c>
      <c r="C220" s="1" t="n">
        <v>46017</v>
      </c>
      <c r="D220" t="inlineStr">
        <is>
          <t>ÖSTERGÖTLANDS LÄN</t>
        </is>
      </c>
      <c r="E220" t="inlineStr">
        <is>
          <t>LINKÖPING</t>
        </is>
      </c>
      <c r="G220" t="n">
        <v>19.3</v>
      </c>
      <c r="H220" t="n">
        <v>0</v>
      </c>
      <c r="I220" t="n">
        <v>0</v>
      </c>
      <c r="J220" t="n">
        <v>0</v>
      </c>
      <c r="K220" t="n">
        <v>0</v>
      </c>
      <c r="L220" t="n">
        <v>0</v>
      </c>
      <c r="M220" t="n">
        <v>0</v>
      </c>
      <c r="N220" t="n">
        <v>0</v>
      </c>
      <c r="O220" t="n">
        <v>0</v>
      </c>
      <c r="P220" t="n">
        <v>0</v>
      </c>
      <c r="Q220" t="n">
        <v>0</v>
      </c>
      <c r="R220" s="2" t="inlineStr"/>
    </row>
    <row r="221" ht="15" customHeight="1">
      <c r="A221" t="inlineStr">
        <is>
          <t>A 63845-2021</t>
        </is>
      </c>
      <c r="B221" s="1" t="n">
        <v>44509</v>
      </c>
      <c r="C221" s="1" t="n">
        <v>46017</v>
      </c>
      <c r="D221" t="inlineStr">
        <is>
          <t>ÖSTERGÖTLANDS LÄN</t>
        </is>
      </c>
      <c r="E221" t="inlineStr">
        <is>
          <t>LINKÖPING</t>
        </is>
      </c>
      <c r="G221" t="n">
        <v>5</v>
      </c>
      <c r="H221" t="n">
        <v>0</v>
      </c>
      <c r="I221" t="n">
        <v>0</v>
      </c>
      <c r="J221" t="n">
        <v>0</v>
      </c>
      <c r="K221" t="n">
        <v>0</v>
      </c>
      <c r="L221" t="n">
        <v>0</v>
      </c>
      <c r="M221" t="n">
        <v>0</v>
      </c>
      <c r="N221" t="n">
        <v>0</v>
      </c>
      <c r="O221" t="n">
        <v>0</v>
      </c>
      <c r="P221" t="n">
        <v>0</v>
      </c>
      <c r="Q221" t="n">
        <v>0</v>
      </c>
      <c r="R221" s="2" t="inlineStr"/>
    </row>
    <row r="222" ht="15" customHeight="1">
      <c r="A222" t="inlineStr">
        <is>
          <t>A 17785-2023</t>
        </is>
      </c>
      <c r="B222" s="1" t="n">
        <v>45037.55094907407</v>
      </c>
      <c r="C222" s="1" t="n">
        <v>46017</v>
      </c>
      <c r="D222" t="inlineStr">
        <is>
          <t>ÖSTERGÖTLANDS LÄN</t>
        </is>
      </c>
      <c r="E222" t="inlineStr">
        <is>
          <t>LINKÖPING</t>
        </is>
      </c>
      <c r="F222" t="inlineStr">
        <is>
          <t>Allmännings- och besparingsskogar</t>
        </is>
      </c>
      <c r="G222" t="n">
        <v>3.1</v>
      </c>
      <c r="H222" t="n">
        <v>0</v>
      </c>
      <c r="I222" t="n">
        <v>0</v>
      </c>
      <c r="J222" t="n">
        <v>0</v>
      </c>
      <c r="K222" t="n">
        <v>0</v>
      </c>
      <c r="L222" t="n">
        <v>0</v>
      </c>
      <c r="M222" t="n">
        <v>0</v>
      </c>
      <c r="N222" t="n">
        <v>0</v>
      </c>
      <c r="O222" t="n">
        <v>0</v>
      </c>
      <c r="P222" t="n">
        <v>0</v>
      </c>
      <c r="Q222" t="n">
        <v>0</v>
      </c>
      <c r="R222" s="2" t="inlineStr"/>
    </row>
    <row r="223" ht="15" customHeight="1">
      <c r="A223" t="inlineStr">
        <is>
          <t>A 32346-2023</t>
        </is>
      </c>
      <c r="B223" s="1" t="n">
        <v>45120</v>
      </c>
      <c r="C223" s="1" t="n">
        <v>46017</v>
      </c>
      <c r="D223" t="inlineStr">
        <is>
          <t>ÖSTERGÖTLANDS LÄN</t>
        </is>
      </c>
      <c r="E223" t="inlineStr">
        <is>
          <t>LINKÖPING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55736-2022</t>
        </is>
      </c>
      <c r="B224" s="1" t="n">
        <v>44888</v>
      </c>
      <c r="C224" s="1" t="n">
        <v>46017</v>
      </c>
      <c r="D224" t="inlineStr">
        <is>
          <t>ÖSTERGÖTLANDS LÄN</t>
        </is>
      </c>
      <c r="E224" t="inlineStr">
        <is>
          <t>LINKÖPING</t>
        </is>
      </c>
      <c r="G224" t="n">
        <v>5.5</v>
      </c>
      <c r="H224" t="n">
        <v>0</v>
      </c>
      <c r="I224" t="n">
        <v>0</v>
      </c>
      <c r="J224" t="n">
        <v>0</v>
      </c>
      <c r="K224" t="n">
        <v>0</v>
      </c>
      <c r="L224" t="n">
        <v>0</v>
      </c>
      <c r="M224" t="n">
        <v>0</v>
      </c>
      <c r="N224" t="n">
        <v>0</v>
      </c>
      <c r="O224" t="n">
        <v>0</v>
      </c>
      <c r="P224" t="n">
        <v>0</v>
      </c>
      <c r="Q224" t="n">
        <v>0</v>
      </c>
      <c r="R224" s="2" t="inlineStr"/>
    </row>
    <row r="225" ht="15" customHeight="1">
      <c r="A225" t="inlineStr">
        <is>
          <t>A 1627-2023</t>
        </is>
      </c>
      <c r="B225" s="1" t="n">
        <v>44937</v>
      </c>
      <c r="C225" s="1" t="n">
        <v>46017</v>
      </c>
      <c r="D225" t="inlineStr">
        <is>
          <t>ÖSTERGÖTLANDS LÄN</t>
        </is>
      </c>
      <c r="E225" t="inlineStr">
        <is>
          <t>LINKÖPING</t>
        </is>
      </c>
      <c r="G225" t="n">
        <v>10.8</v>
      </c>
      <c r="H225" t="n">
        <v>0</v>
      </c>
      <c r="I225" t="n">
        <v>0</v>
      </c>
      <c r="J225" t="n">
        <v>0</v>
      </c>
      <c r="K225" t="n">
        <v>0</v>
      </c>
      <c r="L225" t="n">
        <v>0</v>
      </c>
      <c r="M225" t="n">
        <v>0</v>
      </c>
      <c r="N225" t="n">
        <v>0</v>
      </c>
      <c r="O225" t="n">
        <v>0</v>
      </c>
      <c r="P225" t="n">
        <v>0</v>
      </c>
      <c r="Q225" t="n">
        <v>0</v>
      </c>
      <c r="R225" s="2" t="inlineStr"/>
    </row>
    <row r="226" ht="15" customHeight="1">
      <c r="A226" t="inlineStr">
        <is>
          <t>A 9434-2024</t>
        </is>
      </c>
      <c r="B226" s="1" t="n">
        <v>45359</v>
      </c>
      <c r="C226" s="1" t="n">
        <v>46017</v>
      </c>
      <c r="D226" t="inlineStr">
        <is>
          <t>ÖSTERGÖTLANDS LÄN</t>
        </is>
      </c>
      <c r="E226" t="inlineStr">
        <is>
          <t>LINKÖPING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63678-2023</t>
        </is>
      </c>
      <c r="B227" s="1" t="n">
        <v>45275.64769675926</v>
      </c>
      <c r="C227" s="1" t="n">
        <v>46017</v>
      </c>
      <c r="D227" t="inlineStr">
        <is>
          <t>ÖSTERGÖTLANDS LÄN</t>
        </is>
      </c>
      <c r="E227" t="inlineStr">
        <is>
          <t>LINKÖPING</t>
        </is>
      </c>
      <c r="F227" t="inlineStr">
        <is>
          <t>Övriga Aktiebolag</t>
        </is>
      </c>
      <c r="G227" t="n">
        <v>0.4</v>
      </c>
      <c r="H227" t="n">
        <v>0</v>
      </c>
      <c r="I227" t="n">
        <v>0</v>
      </c>
      <c r="J227" t="n">
        <v>0</v>
      </c>
      <c r="K227" t="n">
        <v>0</v>
      </c>
      <c r="L227" t="n">
        <v>0</v>
      </c>
      <c r="M227" t="n">
        <v>0</v>
      </c>
      <c r="N227" t="n">
        <v>0</v>
      </c>
      <c r="O227" t="n">
        <v>0</v>
      </c>
      <c r="P227" t="n">
        <v>0</v>
      </c>
      <c r="Q227" t="n">
        <v>0</v>
      </c>
      <c r="R227" s="2" t="inlineStr"/>
    </row>
    <row r="228" ht="15" customHeight="1">
      <c r="A228" t="inlineStr">
        <is>
          <t>A 63688-2023</t>
        </is>
      </c>
      <c r="B228" s="1" t="n">
        <v>45275</v>
      </c>
      <c r="C228" s="1" t="n">
        <v>46017</v>
      </c>
      <c r="D228" t="inlineStr">
        <is>
          <t>ÖSTERGÖTLANDS LÄN</t>
        </is>
      </c>
      <c r="E228" t="inlineStr">
        <is>
          <t>LINKÖPING</t>
        </is>
      </c>
      <c r="F228" t="inlineStr">
        <is>
          <t>Övriga Aktiebolag</t>
        </is>
      </c>
      <c r="G228" t="n">
        <v>2.4</v>
      </c>
      <c r="H228" t="n">
        <v>0</v>
      </c>
      <c r="I228" t="n">
        <v>0</v>
      </c>
      <c r="J228" t="n">
        <v>0</v>
      </c>
      <c r="K228" t="n">
        <v>0</v>
      </c>
      <c r="L228" t="n">
        <v>0</v>
      </c>
      <c r="M228" t="n">
        <v>0</v>
      </c>
      <c r="N228" t="n">
        <v>0</v>
      </c>
      <c r="O228" t="n">
        <v>0</v>
      </c>
      <c r="P228" t="n">
        <v>0</v>
      </c>
      <c r="Q228" t="n">
        <v>0</v>
      </c>
      <c r="R228" s="2" t="inlineStr"/>
    </row>
    <row r="229" ht="15" customHeight="1">
      <c r="A229" t="inlineStr">
        <is>
          <t>A 63691-2023</t>
        </is>
      </c>
      <c r="B229" s="1" t="n">
        <v>45275</v>
      </c>
      <c r="C229" s="1" t="n">
        <v>46017</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34557-2022</t>
        </is>
      </c>
      <c r="B230" s="1" t="n">
        <v>44794.57074074074</v>
      </c>
      <c r="C230" s="1" t="n">
        <v>46017</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17157-2024</t>
        </is>
      </c>
      <c r="B231" s="1" t="n">
        <v>45412.70567129629</v>
      </c>
      <c r="C231" s="1" t="n">
        <v>46017</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30434-2024</t>
        </is>
      </c>
      <c r="B232" s="1" t="n">
        <v>45491.69811342593</v>
      </c>
      <c r="C232" s="1" t="n">
        <v>46017</v>
      </c>
      <c r="D232" t="inlineStr">
        <is>
          <t>ÖSTERGÖTLANDS LÄN</t>
        </is>
      </c>
      <c r="E232" t="inlineStr">
        <is>
          <t>LINKÖPING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16665-2023</t>
        </is>
      </c>
      <c r="B233" s="1" t="n">
        <v>45030.5583912037</v>
      </c>
      <c r="C233" s="1" t="n">
        <v>46017</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60860-2024</t>
        </is>
      </c>
      <c r="B234" s="1" t="n">
        <v>45644.6893287037</v>
      </c>
      <c r="C234" s="1" t="n">
        <v>46017</v>
      </c>
      <c r="D234" t="inlineStr">
        <is>
          <t>ÖSTERGÖTLANDS LÄN</t>
        </is>
      </c>
      <c r="E234" t="inlineStr">
        <is>
          <t>LINKÖPING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13689-2025</t>
        </is>
      </c>
      <c r="B235" s="1" t="n">
        <v>45737.31590277778</v>
      </c>
      <c r="C235" s="1" t="n">
        <v>46017</v>
      </c>
      <c r="D235" t="inlineStr">
        <is>
          <t>ÖSTERGÖTLANDS LÄN</t>
        </is>
      </c>
      <c r="E235" t="inlineStr">
        <is>
          <t>LINKÖPING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13696-2025</t>
        </is>
      </c>
      <c r="B236" s="1" t="n">
        <v>45737.32273148148</v>
      </c>
      <c r="C236" s="1" t="n">
        <v>46017</v>
      </c>
      <c r="D236" t="inlineStr">
        <is>
          <t>ÖSTERGÖTLANDS LÄN</t>
        </is>
      </c>
      <c r="E236" t="inlineStr">
        <is>
          <t>LINKÖPING</t>
        </is>
      </c>
      <c r="G236" t="n">
        <v>3.5</v>
      </c>
      <c r="H236" t="n">
        <v>0</v>
      </c>
      <c r="I236" t="n">
        <v>0</v>
      </c>
      <c r="J236" t="n">
        <v>0</v>
      </c>
      <c r="K236" t="n">
        <v>0</v>
      </c>
      <c r="L236" t="n">
        <v>0</v>
      </c>
      <c r="M236" t="n">
        <v>0</v>
      </c>
      <c r="N236" t="n">
        <v>0</v>
      </c>
      <c r="O236" t="n">
        <v>0</v>
      </c>
      <c r="P236" t="n">
        <v>0</v>
      </c>
      <c r="Q236" t="n">
        <v>0</v>
      </c>
      <c r="R236" s="2" t="inlineStr"/>
    </row>
    <row r="237" ht="15" customHeight="1">
      <c r="A237" t="inlineStr">
        <is>
          <t>A 31640-2023</t>
        </is>
      </c>
      <c r="B237" s="1" t="n">
        <v>45117</v>
      </c>
      <c r="C237" s="1" t="n">
        <v>46017</v>
      </c>
      <c r="D237" t="inlineStr">
        <is>
          <t>ÖSTERGÖTLANDS LÄN</t>
        </is>
      </c>
      <c r="E237" t="inlineStr">
        <is>
          <t>LINKÖPING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16213-2025</t>
        </is>
      </c>
      <c r="B238" s="1" t="n">
        <v>45750.62740740741</v>
      </c>
      <c r="C238" s="1" t="n">
        <v>46017</v>
      </c>
      <c r="D238" t="inlineStr">
        <is>
          <t>ÖSTERGÖTLANDS LÄN</t>
        </is>
      </c>
      <c r="E238" t="inlineStr">
        <is>
          <t>LINKÖPING</t>
        </is>
      </c>
      <c r="G238" t="n">
        <v>3.4</v>
      </c>
      <c r="H238" t="n">
        <v>0</v>
      </c>
      <c r="I238" t="n">
        <v>0</v>
      </c>
      <c r="J238" t="n">
        <v>0</v>
      </c>
      <c r="K238" t="n">
        <v>0</v>
      </c>
      <c r="L238" t="n">
        <v>0</v>
      </c>
      <c r="M238" t="n">
        <v>0</v>
      </c>
      <c r="N238" t="n">
        <v>0</v>
      </c>
      <c r="O238" t="n">
        <v>0</v>
      </c>
      <c r="P238" t="n">
        <v>0</v>
      </c>
      <c r="Q238" t="n">
        <v>0</v>
      </c>
      <c r="R238" s="2" t="inlineStr"/>
    </row>
    <row r="239" ht="15" customHeight="1">
      <c r="A239" t="inlineStr">
        <is>
          <t>A 23175-2022</t>
        </is>
      </c>
      <c r="B239" s="1" t="n">
        <v>44719</v>
      </c>
      <c r="C239" s="1" t="n">
        <v>46017</v>
      </c>
      <c r="D239" t="inlineStr">
        <is>
          <t>ÖSTERGÖTLANDS LÄN</t>
        </is>
      </c>
      <c r="E239" t="inlineStr">
        <is>
          <t>LINKÖPING</t>
        </is>
      </c>
      <c r="F239" t="inlineStr">
        <is>
          <t>Allmännings- och besparingsskogar</t>
        </is>
      </c>
      <c r="G239" t="n">
        <v>1.4</v>
      </c>
      <c r="H239" t="n">
        <v>0</v>
      </c>
      <c r="I239" t="n">
        <v>0</v>
      </c>
      <c r="J239" t="n">
        <v>0</v>
      </c>
      <c r="K239" t="n">
        <v>0</v>
      </c>
      <c r="L239" t="n">
        <v>0</v>
      </c>
      <c r="M239" t="n">
        <v>0</v>
      </c>
      <c r="N239" t="n">
        <v>0</v>
      </c>
      <c r="O239" t="n">
        <v>0</v>
      </c>
      <c r="P239" t="n">
        <v>0</v>
      </c>
      <c r="Q239" t="n">
        <v>0</v>
      </c>
      <c r="R239" s="2" t="inlineStr"/>
    </row>
    <row r="240" ht="15" customHeight="1">
      <c r="A240" t="inlineStr">
        <is>
          <t>A 12428-2024</t>
        </is>
      </c>
      <c r="B240" s="1" t="n">
        <v>45379</v>
      </c>
      <c r="C240" s="1" t="n">
        <v>46017</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11084-2022</t>
        </is>
      </c>
      <c r="B241" s="1" t="n">
        <v>44628</v>
      </c>
      <c r="C241" s="1" t="n">
        <v>46017</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34872-2023</t>
        </is>
      </c>
      <c r="B242" s="1" t="n">
        <v>45140</v>
      </c>
      <c r="C242" s="1" t="n">
        <v>46017</v>
      </c>
      <c r="D242" t="inlineStr">
        <is>
          <t>ÖSTERGÖTLANDS LÄN</t>
        </is>
      </c>
      <c r="E242" t="inlineStr">
        <is>
          <t>LINKÖPING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33000-2023</t>
        </is>
      </c>
      <c r="B243" s="1" t="n">
        <v>45125</v>
      </c>
      <c r="C243" s="1" t="n">
        <v>46017</v>
      </c>
      <c r="D243" t="inlineStr">
        <is>
          <t>ÖSTERGÖTLANDS LÄN</t>
        </is>
      </c>
      <c r="E243" t="inlineStr">
        <is>
          <t>LINKÖPING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57745-2022</t>
        </is>
      </c>
      <c r="B244" s="1" t="n">
        <v>44897.58119212963</v>
      </c>
      <c r="C244" s="1" t="n">
        <v>46017</v>
      </c>
      <c r="D244" t="inlineStr">
        <is>
          <t>ÖSTERGÖTLANDS LÄN</t>
        </is>
      </c>
      <c r="E244" t="inlineStr">
        <is>
          <t>LINKÖPING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14520-2025</t>
        </is>
      </c>
      <c r="B245" s="1" t="n">
        <v>45741</v>
      </c>
      <c r="C245" s="1" t="n">
        <v>46017</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2997-2025</t>
        </is>
      </c>
      <c r="B246" s="1" t="n">
        <v>45678.54631944445</v>
      </c>
      <c r="C246" s="1" t="n">
        <v>46017</v>
      </c>
      <c r="D246" t="inlineStr">
        <is>
          <t>ÖSTERGÖTLANDS LÄN</t>
        </is>
      </c>
      <c r="E246" t="inlineStr">
        <is>
          <t>LINKÖPING</t>
        </is>
      </c>
      <c r="G246" t="n">
        <v>2.7</v>
      </c>
      <c r="H246" t="n">
        <v>0</v>
      </c>
      <c r="I246" t="n">
        <v>0</v>
      </c>
      <c r="J246" t="n">
        <v>0</v>
      </c>
      <c r="K246" t="n">
        <v>0</v>
      </c>
      <c r="L246" t="n">
        <v>0</v>
      </c>
      <c r="M246" t="n">
        <v>0</v>
      </c>
      <c r="N246" t="n">
        <v>0</v>
      </c>
      <c r="O246" t="n">
        <v>0</v>
      </c>
      <c r="P246" t="n">
        <v>0</v>
      </c>
      <c r="Q246" t="n">
        <v>0</v>
      </c>
      <c r="R246" s="2" t="inlineStr"/>
    </row>
    <row r="247" ht="15" customHeight="1">
      <c r="A247" t="inlineStr">
        <is>
          <t>A 31534-2023</t>
        </is>
      </c>
      <c r="B247" s="1" t="n">
        <v>45116</v>
      </c>
      <c r="C247" s="1" t="n">
        <v>46017</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46225-2021</t>
        </is>
      </c>
      <c r="B248" s="1" t="n">
        <v>44442</v>
      </c>
      <c r="C248" s="1" t="n">
        <v>46017</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54428-2022</t>
        </is>
      </c>
      <c r="B249" s="1" t="n">
        <v>44882.57643518518</v>
      </c>
      <c r="C249" s="1" t="n">
        <v>46017</v>
      </c>
      <c r="D249" t="inlineStr">
        <is>
          <t>ÖSTERGÖTLANDS LÄN</t>
        </is>
      </c>
      <c r="E249" t="inlineStr">
        <is>
          <t>LINKÖPING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56064-2022</t>
        </is>
      </c>
      <c r="B250" s="1" t="n">
        <v>44889.59107638889</v>
      </c>
      <c r="C250" s="1" t="n">
        <v>46017</v>
      </c>
      <c r="D250" t="inlineStr">
        <is>
          <t>ÖSTERGÖTLANDS LÄN</t>
        </is>
      </c>
      <c r="E250" t="inlineStr">
        <is>
          <t>LINKÖPING</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26803-2024</t>
        </is>
      </c>
      <c r="B251" s="1" t="n">
        <v>45470</v>
      </c>
      <c r="C251" s="1" t="n">
        <v>46017</v>
      </c>
      <c r="D251" t="inlineStr">
        <is>
          <t>ÖSTERGÖTLANDS LÄN</t>
        </is>
      </c>
      <c r="E251" t="inlineStr">
        <is>
          <t>LINKÖPING</t>
        </is>
      </c>
      <c r="F251" t="inlineStr">
        <is>
          <t>Allmännings- och besparingsskogar</t>
        </is>
      </c>
      <c r="G251" t="n">
        <v>4.5</v>
      </c>
      <c r="H251" t="n">
        <v>0</v>
      </c>
      <c r="I251" t="n">
        <v>0</v>
      </c>
      <c r="J251" t="n">
        <v>0</v>
      </c>
      <c r="K251" t="n">
        <v>0</v>
      </c>
      <c r="L251" t="n">
        <v>0</v>
      </c>
      <c r="M251" t="n">
        <v>0</v>
      </c>
      <c r="N251" t="n">
        <v>0</v>
      </c>
      <c r="O251" t="n">
        <v>0</v>
      </c>
      <c r="P251" t="n">
        <v>0</v>
      </c>
      <c r="Q251" t="n">
        <v>0</v>
      </c>
      <c r="R251" s="2" t="inlineStr"/>
    </row>
    <row r="252" ht="15" customHeight="1">
      <c r="A252" t="inlineStr">
        <is>
          <t>A 58266-2021</t>
        </is>
      </c>
      <c r="B252" s="1" t="n">
        <v>44487</v>
      </c>
      <c r="C252" s="1" t="n">
        <v>46017</v>
      </c>
      <c r="D252" t="inlineStr">
        <is>
          <t>ÖSTERGÖTLANDS LÄN</t>
        </is>
      </c>
      <c r="E252" t="inlineStr">
        <is>
          <t>LINKÖPING</t>
        </is>
      </c>
      <c r="F252" t="inlineStr">
        <is>
          <t>Övriga Aktiebolag</t>
        </is>
      </c>
      <c r="G252" t="n">
        <v>3.2</v>
      </c>
      <c r="H252" t="n">
        <v>0</v>
      </c>
      <c r="I252" t="n">
        <v>0</v>
      </c>
      <c r="J252" t="n">
        <v>0</v>
      </c>
      <c r="K252" t="n">
        <v>0</v>
      </c>
      <c r="L252" t="n">
        <v>0</v>
      </c>
      <c r="M252" t="n">
        <v>0</v>
      </c>
      <c r="N252" t="n">
        <v>0</v>
      </c>
      <c r="O252" t="n">
        <v>0</v>
      </c>
      <c r="P252" t="n">
        <v>0</v>
      </c>
      <c r="Q252" t="n">
        <v>0</v>
      </c>
      <c r="R252" s="2" t="inlineStr"/>
    </row>
    <row r="253" ht="15" customHeight="1">
      <c r="A253" t="inlineStr">
        <is>
          <t>A 11790-2024</t>
        </is>
      </c>
      <c r="B253" s="1" t="n">
        <v>45374</v>
      </c>
      <c r="C253" s="1" t="n">
        <v>46017</v>
      </c>
      <c r="D253" t="inlineStr">
        <is>
          <t>ÖSTERGÖTLANDS LÄN</t>
        </is>
      </c>
      <c r="E253" t="inlineStr">
        <is>
          <t>LINKÖPING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40502-2024</t>
        </is>
      </c>
      <c r="B254" s="1" t="n">
        <v>45555.57263888889</v>
      </c>
      <c r="C254" s="1" t="n">
        <v>46017</v>
      </c>
      <c r="D254" t="inlineStr">
        <is>
          <t>ÖSTERGÖTLANDS LÄN</t>
        </is>
      </c>
      <c r="E254" t="inlineStr">
        <is>
          <t>LINKÖPING</t>
        </is>
      </c>
      <c r="F254" t="inlineStr">
        <is>
          <t>Allmännings- och besparingsskogar</t>
        </is>
      </c>
      <c r="G254" t="n">
        <v>17.5</v>
      </c>
      <c r="H254" t="n">
        <v>0</v>
      </c>
      <c r="I254" t="n">
        <v>0</v>
      </c>
      <c r="J254" t="n">
        <v>0</v>
      </c>
      <c r="K254" t="n">
        <v>0</v>
      </c>
      <c r="L254" t="n">
        <v>0</v>
      </c>
      <c r="M254" t="n">
        <v>0</v>
      </c>
      <c r="N254" t="n">
        <v>0</v>
      </c>
      <c r="O254" t="n">
        <v>0</v>
      </c>
      <c r="P254" t="n">
        <v>0</v>
      </c>
      <c r="Q254" t="n">
        <v>0</v>
      </c>
      <c r="R254" s="2" t="inlineStr"/>
    </row>
    <row r="255" ht="15" customHeight="1">
      <c r="A255" t="inlineStr">
        <is>
          <t>A 45806-2024</t>
        </is>
      </c>
      <c r="B255" s="1" t="n">
        <v>45579.69619212963</v>
      </c>
      <c r="C255" s="1" t="n">
        <v>46017</v>
      </c>
      <c r="D255" t="inlineStr">
        <is>
          <t>ÖSTERGÖTLANDS LÄN</t>
        </is>
      </c>
      <c r="E255" t="inlineStr">
        <is>
          <t>LINKÖPING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48962-2022</t>
        </is>
      </c>
      <c r="B256" s="1" t="n">
        <v>44860.31635416667</v>
      </c>
      <c r="C256" s="1" t="n">
        <v>46017</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53647-2021</t>
        </is>
      </c>
      <c r="B257" s="1" t="n">
        <v>44469</v>
      </c>
      <c r="C257" s="1" t="n">
        <v>46017</v>
      </c>
      <c r="D257" t="inlineStr">
        <is>
          <t>ÖSTERGÖTLANDS LÄN</t>
        </is>
      </c>
      <c r="E257" t="inlineStr">
        <is>
          <t>LINKÖPING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22772-2024</t>
        </is>
      </c>
      <c r="B258" s="1" t="n">
        <v>45448.46712962963</v>
      </c>
      <c r="C258" s="1" t="n">
        <v>46017</v>
      </c>
      <c r="D258" t="inlineStr">
        <is>
          <t>ÖSTERGÖTLANDS LÄN</t>
        </is>
      </c>
      <c r="E258" t="inlineStr">
        <is>
          <t>LINKÖPING</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18916-2024</t>
        </is>
      </c>
      <c r="B259" s="1" t="n">
        <v>45427.39541666667</v>
      </c>
      <c r="C259" s="1" t="n">
        <v>46017</v>
      </c>
      <c r="D259" t="inlineStr">
        <is>
          <t>ÖSTERGÖTLANDS LÄN</t>
        </is>
      </c>
      <c r="E259" t="inlineStr">
        <is>
          <t>LINKÖPING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28447-2021</t>
        </is>
      </c>
      <c r="B260" s="1" t="n">
        <v>44356</v>
      </c>
      <c r="C260" s="1" t="n">
        <v>46017</v>
      </c>
      <c r="D260" t="inlineStr">
        <is>
          <t>ÖSTERGÖTLANDS LÄN</t>
        </is>
      </c>
      <c r="E260" t="inlineStr">
        <is>
          <t>LINKÖPING</t>
        </is>
      </c>
      <c r="G260" t="n">
        <v>2</v>
      </c>
      <c r="H260" t="n">
        <v>0</v>
      </c>
      <c r="I260" t="n">
        <v>0</v>
      </c>
      <c r="J260" t="n">
        <v>0</v>
      </c>
      <c r="K260" t="n">
        <v>0</v>
      </c>
      <c r="L260" t="n">
        <v>0</v>
      </c>
      <c r="M260" t="n">
        <v>0</v>
      </c>
      <c r="N260" t="n">
        <v>0</v>
      </c>
      <c r="O260" t="n">
        <v>0</v>
      </c>
      <c r="P260" t="n">
        <v>0</v>
      </c>
      <c r="Q260" t="n">
        <v>0</v>
      </c>
      <c r="R260" s="2" t="inlineStr"/>
    </row>
    <row r="261" ht="15" customHeight="1">
      <c r="A261" t="inlineStr">
        <is>
          <t>A 37154-2023</t>
        </is>
      </c>
      <c r="B261" s="1" t="n">
        <v>45155</v>
      </c>
      <c r="C261" s="1" t="n">
        <v>46017</v>
      </c>
      <c r="D261" t="inlineStr">
        <is>
          <t>ÖSTERGÖTLANDS LÄN</t>
        </is>
      </c>
      <c r="E261" t="inlineStr">
        <is>
          <t>LINKÖPING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44155-2024</t>
        </is>
      </c>
      <c r="B262" s="1" t="n">
        <v>45572.68226851852</v>
      </c>
      <c r="C262" s="1" t="n">
        <v>46017</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24586-2024</t>
        </is>
      </c>
      <c r="B263" s="1" t="n">
        <v>45460.46664351852</v>
      </c>
      <c r="C263" s="1" t="n">
        <v>46017</v>
      </c>
      <c r="D263" t="inlineStr">
        <is>
          <t>ÖSTERGÖTLANDS LÄN</t>
        </is>
      </c>
      <c r="E263" t="inlineStr">
        <is>
          <t>LINKÖPING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17124-2025</t>
        </is>
      </c>
      <c r="B264" s="1" t="n">
        <v>45755.69678240741</v>
      </c>
      <c r="C264" s="1" t="n">
        <v>46017</v>
      </c>
      <c r="D264" t="inlineStr">
        <is>
          <t>ÖSTERGÖTLANDS LÄN</t>
        </is>
      </c>
      <c r="E264" t="inlineStr">
        <is>
          <t>LINKÖPING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17126-2025</t>
        </is>
      </c>
      <c r="B265" s="1" t="n">
        <v>45755.70814814815</v>
      </c>
      <c r="C265" s="1" t="n">
        <v>46017</v>
      </c>
      <c r="D265" t="inlineStr">
        <is>
          <t>ÖSTERGÖTLANDS LÄN</t>
        </is>
      </c>
      <c r="E265" t="inlineStr">
        <is>
          <t>LINKÖPING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17143-2025</t>
        </is>
      </c>
      <c r="B266" s="1" t="n">
        <v>45755.92731481481</v>
      </c>
      <c r="C266" s="1" t="n">
        <v>46017</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11330-2023</t>
        </is>
      </c>
      <c r="B267" s="1" t="n">
        <v>44993.24648148148</v>
      </c>
      <c r="C267" s="1" t="n">
        <v>46017</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42000-2023</t>
        </is>
      </c>
      <c r="B268" s="1" t="n">
        <v>45177</v>
      </c>
      <c r="C268" s="1" t="n">
        <v>46017</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9935-2021</t>
        </is>
      </c>
      <c r="B269" s="1" t="n">
        <v>44253</v>
      </c>
      <c r="C269" s="1" t="n">
        <v>46017</v>
      </c>
      <c r="D269" t="inlineStr">
        <is>
          <t>ÖSTERGÖTLANDS LÄN</t>
        </is>
      </c>
      <c r="E269" t="inlineStr">
        <is>
          <t>LINKÖPING</t>
        </is>
      </c>
      <c r="G269" t="n">
        <v>4.5</v>
      </c>
      <c r="H269" t="n">
        <v>0</v>
      </c>
      <c r="I269" t="n">
        <v>0</v>
      </c>
      <c r="J269" t="n">
        <v>0</v>
      </c>
      <c r="K269" t="n">
        <v>0</v>
      </c>
      <c r="L269" t="n">
        <v>0</v>
      </c>
      <c r="M269" t="n">
        <v>0</v>
      </c>
      <c r="N269" t="n">
        <v>0</v>
      </c>
      <c r="O269" t="n">
        <v>0</v>
      </c>
      <c r="P269" t="n">
        <v>0</v>
      </c>
      <c r="Q269" t="n">
        <v>0</v>
      </c>
      <c r="R269" s="2" t="inlineStr"/>
    </row>
    <row r="270" ht="15" customHeight="1">
      <c r="A270" t="inlineStr">
        <is>
          <t>A 31705-2022</t>
        </is>
      </c>
      <c r="B270" s="1" t="n">
        <v>44776.43607638889</v>
      </c>
      <c r="C270" s="1" t="n">
        <v>46017</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42997-2021</t>
        </is>
      </c>
      <c r="B271" s="1" t="n">
        <v>44431.45556712963</v>
      </c>
      <c r="C271" s="1" t="n">
        <v>46017</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39017-2021</t>
        </is>
      </c>
      <c r="B272" s="1" t="n">
        <v>44412</v>
      </c>
      <c r="C272" s="1" t="n">
        <v>46017</v>
      </c>
      <c r="D272" t="inlineStr">
        <is>
          <t>ÖSTERGÖTLANDS LÄN</t>
        </is>
      </c>
      <c r="E272" t="inlineStr">
        <is>
          <t>LINKÖPING</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19318-2022</t>
        </is>
      </c>
      <c r="B273" s="1" t="n">
        <v>44692.5827662037</v>
      </c>
      <c r="C273" s="1" t="n">
        <v>46017</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16820-2024</t>
        </is>
      </c>
      <c r="B274" s="1" t="n">
        <v>45411.46809027778</v>
      </c>
      <c r="C274" s="1" t="n">
        <v>46017</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32602-2022</t>
        </is>
      </c>
      <c r="B275" s="1" t="n">
        <v>44783.43192129629</v>
      </c>
      <c r="C275" s="1" t="n">
        <v>46017</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30980-2022</t>
        </is>
      </c>
      <c r="B276" s="1" t="n">
        <v>44768</v>
      </c>
      <c r="C276" s="1" t="n">
        <v>46017</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24351-2024</t>
        </is>
      </c>
      <c r="B277" s="1" t="n">
        <v>45457.59011574074</v>
      </c>
      <c r="C277" s="1" t="n">
        <v>46017</v>
      </c>
      <c r="D277" t="inlineStr">
        <is>
          <t>ÖSTERGÖTLANDS LÄN</t>
        </is>
      </c>
      <c r="E277" t="inlineStr">
        <is>
          <t>LINKÖPING</t>
        </is>
      </c>
      <c r="G277" t="n">
        <v>11.9</v>
      </c>
      <c r="H277" t="n">
        <v>0</v>
      </c>
      <c r="I277" t="n">
        <v>0</v>
      </c>
      <c r="J277" t="n">
        <v>0</v>
      </c>
      <c r="K277" t="n">
        <v>0</v>
      </c>
      <c r="L277" t="n">
        <v>0</v>
      </c>
      <c r="M277" t="n">
        <v>0</v>
      </c>
      <c r="N277" t="n">
        <v>0</v>
      </c>
      <c r="O277" t="n">
        <v>0</v>
      </c>
      <c r="P277" t="n">
        <v>0</v>
      </c>
      <c r="Q277" t="n">
        <v>0</v>
      </c>
      <c r="R277" s="2" t="inlineStr"/>
    </row>
    <row r="278" ht="15" customHeight="1">
      <c r="A278" t="inlineStr">
        <is>
          <t>A 62501-2023</t>
        </is>
      </c>
      <c r="B278" s="1" t="n">
        <v>45268</v>
      </c>
      <c r="C278" s="1" t="n">
        <v>46017</v>
      </c>
      <c r="D278" t="inlineStr">
        <is>
          <t>ÖSTERGÖTLANDS LÄN</t>
        </is>
      </c>
      <c r="E278" t="inlineStr">
        <is>
          <t>LINKÖPING</t>
        </is>
      </c>
      <c r="G278" t="n">
        <v>7.4</v>
      </c>
      <c r="H278" t="n">
        <v>0</v>
      </c>
      <c r="I278" t="n">
        <v>0</v>
      </c>
      <c r="J278" t="n">
        <v>0</v>
      </c>
      <c r="K278" t="n">
        <v>0</v>
      </c>
      <c r="L278" t="n">
        <v>0</v>
      </c>
      <c r="M278" t="n">
        <v>0</v>
      </c>
      <c r="N278" t="n">
        <v>0</v>
      </c>
      <c r="O278" t="n">
        <v>0</v>
      </c>
      <c r="P278" t="n">
        <v>0</v>
      </c>
      <c r="Q278" t="n">
        <v>0</v>
      </c>
      <c r="R278" s="2" t="inlineStr"/>
    </row>
    <row r="279" ht="15" customHeight="1">
      <c r="A279" t="inlineStr">
        <is>
          <t>A 58947-2022</t>
        </is>
      </c>
      <c r="B279" s="1" t="n">
        <v>44903.64769675926</v>
      </c>
      <c r="C279" s="1" t="n">
        <v>46017</v>
      </c>
      <c r="D279" t="inlineStr">
        <is>
          <t>ÖSTERGÖTLANDS LÄN</t>
        </is>
      </c>
      <c r="E279" t="inlineStr">
        <is>
          <t>LINKÖPING</t>
        </is>
      </c>
      <c r="G279" t="n">
        <v>4</v>
      </c>
      <c r="H279" t="n">
        <v>0</v>
      </c>
      <c r="I279" t="n">
        <v>0</v>
      </c>
      <c r="J279" t="n">
        <v>0</v>
      </c>
      <c r="K279" t="n">
        <v>0</v>
      </c>
      <c r="L279" t="n">
        <v>0</v>
      </c>
      <c r="M279" t="n">
        <v>0</v>
      </c>
      <c r="N279" t="n">
        <v>0</v>
      </c>
      <c r="O279" t="n">
        <v>0</v>
      </c>
      <c r="P279" t="n">
        <v>0</v>
      </c>
      <c r="Q279" t="n">
        <v>0</v>
      </c>
      <c r="R279" s="2" t="inlineStr"/>
    </row>
    <row r="280" ht="15" customHeight="1">
      <c r="A280" t="inlineStr">
        <is>
          <t>A 49979-2022</t>
        </is>
      </c>
      <c r="B280" s="1" t="n">
        <v>44865</v>
      </c>
      <c r="C280" s="1" t="n">
        <v>46017</v>
      </c>
      <c r="D280" t="inlineStr">
        <is>
          <t>ÖSTERGÖTLANDS LÄN</t>
        </is>
      </c>
      <c r="E280" t="inlineStr">
        <is>
          <t>LINKÖPING</t>
        </is>
      </c>
      <c r="F280" t="inlineStr">
        <is>
          <t>Övriga Aktiebolag</t>
        </is>
      </c>
      <c r="G280" t="n">
        <v>11.4</v>
      </c>
      <c r="H280" t="n">
        <v>0</v>
      </c>
      <c r="I280" t="n">
        <v>0</v>
      </c>
      <c r="J280" t="n">
        <v>0</v>
      </c>
      <c r="K280" t="n">
        <v>0</v>
      </c>
      <c r="L280" t="n">
        <v>0</v>
      </c>
      <c r="M280" t="n">
        <v>0</v>
      </c>
      <c r="N280" t="n">
        <v>0</v>
      </c>
      <c r="O280" t="n">
        <v>0</v>
      </c>
      <c r="P280" t="n">
        <v>0</v>
      </c>
      <c r="Q280" t="n">
        <v>0</v>
      </c>
      <c r="R280" s="2" t="inlineStr"/>
    </row>
    <row r="281" ht="15" customHeight="1">
      <c r="A281" t="inlineStr">
        <is>
          <t>A 53827-2023</t>
        </is>
      </c>
      <c r="B281" s="1" t="n">
        <v>45230</v>
      </c>
      <c r="C281" s="1" t="n">
        <v>46017</v>
      </c>
      <c r="D281" t="inlineStr">
        <is>
          <t>ÖSTERGÖTLANDS LÄN</t>
        </is>
      </c>
      <c r="E281" t="inlineStr">
        <is>
          <t>LINKÖPING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14028-2024</t>
        </is>
      </c>
      <c r="B282" s="1" t="n">
        <v>45392</v>
      </c>
      <c r="C282" s="1" t="n">
        <v>46017</v>
      </c>
      <c r="D282" t="inlineStr">
        <is>
          <t>ÖSTERGÖTLANDS LÄN</t>
        </is>
      </c>
      <c r="E282" t="inlineStr">
        <is>
          <t>LINKÖPING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940-2023</t>
        </is>
      </c>
      <c r="B283" s="1" t="n">
        <v>44933</v>
      </c>
      <c r="C283" s="1" t="n">
        <v>46017</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13413-2023</t>
        </is>
      </c>
      <c r="B284" s="1" t="n">
        <v>45005.58341435185</v>
      </c>
      <c r="C284" s="1" t="n">
        <v>46017</v>
      </c>
      <c r="D284" t="inlineStr">
        <is>
          <t>ÖSTERGÖTLANDS LÄN</t>
        </is>
      </c>
      <c r="E284" t="inlineStr">
        <is>
          <t>LINKÖPING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7992-2023</t>
        </is>
      </c>
      <c r="B285" s="1" t="n">
        <v>44970</v>
      </c>
      <c r="C285" s="1" t="n">
        <v>46017</v>
      </c>
      <c r="D285" t="inlineStr">
        <is>
          <t>ÖSTERGÖTLANDS LÄN</t>
        </is>
      </c>
      <c r="E285" t="inlineStr">
        <is>
          <t>LINKÖPING</t>
        </is>
      </c>
      <c r="F285" t="inlineStr">
        <is>
          <t>Kommuner</t>
        </is>
      </c>
      <c r="G285" t="n">
        <v>1</v>
      </c>
      <c r="H285" t="n">
        <v>0</v>
      </c>
      <c r="I285" t="n">
        <v>0</v>
      </c>
      <c r="J285" t="n">
        <v>0</v>
      </c>
      <c r="K285" t="n">
        <v>0</v>
      </c>
      <c r="L285" t="n">
        <v>0</v>
      </c>
      <c r="M285" t="n">
        <v>0</v>
      </c>
      <c r="N285" t="n">
        <v>0</v>
      </c>
      <c r="O285" t="n">
        <v>0</v>
      </c>
      <c r="P285" t="n">
        <v>0</v>
      </c>
      <c r="Q285" t="n">
        <v>0</v>
      </c>
      <c r="R285" s="2" t="inlineStr"/>
    </row>
    <row r="286" ht="15" customHeight="1">
      <c r="A286" t="inlineStr">
        <is>
          <t>A 45819-2024</t>
        </is>
      </c>
      <c r="B286" s="1" t="n">
        <v>45579.7454050926</v>
      </c>
      <c r="C286" s="1" t="n">
        <v>46017</v>
      </c>
      <c r="D286" t="inlineStr">
        <is>
          <t>ÖSTERGÖTLANDS LÄN</t>
        </is>
      </c>
      <c r="E286" t="inlineStr">
        <is>
          <t>LINKÖPING</t>
        </is>
      </c>
      <c r="G286" t="n">
        <v>5</v>
      </c>
      <c r="H286" t="n">
        <v>0</v>
      </c>
      <c r="I286" t="n">
        <v>0</v>
      </c>
      <c r="J286" t="n">
        <v>0</v>
      </c>
      <c r="K286" t="n">
        <v>0</v>
      </c>
      <c r="L286" t="n">
        <v>0</v>
      </c>
      <c r="M286" t="n">
        <v>0</v>
      </c>
      <c r="N286" t="n">
        <v>0</v>
      </c>
      <c r="O286" t="n">
        <v>0</v>
      </c>
      <c r="P286" t="n">
        <v>0</v>
      </c>
      <c r="Q286" t="n">
        <v>0</v>
      </c>
      <c r="R286" s="2" t="inlineStr"/>
    </row>
    <row r="287" ht="15" customHeight="1">
      <c r="A287" t="inlineStr">
        <is>
          <t>A 3041-2024</t>
        </is>
      </c>
      <c r="B287" s="1" t="n">
        <v>45316.34875</v>
      </c>
      <c r="C287" s="1" t="n">
        <v>46017</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63528-2023</t>
        </is>
      </c>
      <c r="B288" s="1" t="n">
        <v>45274.94810185185</v>
      </c>
      <c r="C288" s="1" t="n">
        <v>46017</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63638-2023</t>
        </is>
      </c>
      <c r="B289" s="1" t="n">
        <v>45275</v>
      </c>
      <c r="C289" s="1" t="n">
        <v>46017</v>
      </c>
      <c r="D289" t="inlineStr">
        <is>
          <t>ÖSTERGÖTLANDS LÄN</t>
        </is>
      </c>
      <c r="E289" t="inlineStr">
        <is>
          <t>LINKÖPING</t>
        </is>
      </c>
      <c r="F289" t="inlineStr">
        <is>
          <t>Övriga Aktiebolag</t>
        </is>
      </c>
      <c r="G289" t="n">
        <v>2.4</v>
      </c>
      <c r="H289" t="n">
        <v>0</v>
      </c>
      <c r="I289" t="n">
        <v>0</v>
      </c>
      <c r="J289" t="n">
        <v>0</v>
      </c>
      <c r="K289" t="n">
        <v>0</v>
      </c>
      <c r="L289" t="n">
        <v>0</v>
      </c>
      <c r="M289" t="n">
        <v>0</v>
      </c>
      <c r="N289" t="n">
        <v>0</v>
      </c>
      <c r="O289" t="n">
        <v>0</v>
      </c>
      <c r="P289" t="n">
        <v>0</v>
      </c>
      <c r="Q289" t="n">
        <v>0</v>
      </c>
      <c r="R289" s="2" t="inlineStr"/>
    </row>
    <row r="290" ht="15" customHeight="1">
      <c r="A290" t="inlineStr">
        <is>
          <t>A 63658-2023</t>
        </is>
      </c>
      <c r="B290" s="1" t="n">
        <v>45275</v>
      </c>
      <c r="C290" s="1" t="n">
        <v>46017</v>
      </c>
      <c r="D290" t="inlineStr">
        <is>
          <t>ÖSTERGÖTLANDS LÄN</t>
        </is>
      </c>
      <c r="E290" t="inlineStr">
        <is>
          <t>LINKÖPING</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14667-2024</t>
        </is>
      </c>
      <c r="B291" s="1" t="n">
        <v>45397.42005787037</v>
      </c>
      <c r="C291" s="1" t="n">
        <v>46017</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7808-2022</t>
        </is>
      </c>
      <c r="B292" s="1" t="n">
        <v>44608</v>
      </c>
      <c r="C292" s="1" t="n">
        <v>46017</v>
      </c>
      <c r="D292" t="inlineStr">
        <is>
          <t>ÖSTERGÖTLANDS LÄN</t>
        </is>
      </c>
      <c r="E292" t="inlineStr">
        <is>
          <t>LINKÖPING</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2697-2023</t>
        </is>
      </c>
      <c r="B293" s="1" t="n">
        <v>44944</v>
      </c>
      <c r="C293" s="1" t="n">
        <v>46017</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53641-2023</t>
        </is>
      </c>
      <c r="B294" s="1" t="n">
        <v>45230</v>
      </c>
      <c r="C294" s="1" t="n">
        <v>46017</v>
      </c>
      <c r="D294" t="inlineStr">
        <is>
          <t>ÖSTERGÖTLANDS LÄN</t>
        </is>
      </c>
      <c r="E294" t="inlineStr">
        <is>
          <t>LINKÖPING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36336-2023</t>
        </is>
      </c>
      <c r="B295" s="1" t="n">
        <v>45152.45078703704</v>
      </c>
      <c r="C295" s="1" t="n">
        <v>46017</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48707-2023</t>
        </is>
      </c>
      <c r="B296" s="1" t="n">
        <v>45202</v>
      </c>
      <c r="C296" s="1" t="n">
        <v>46017</v>
      </c>
      <c r="D296" t="inlineStr">
        <is>
          <t>ÖSTERGÖTLANDS LÄN</t>
        </is>
      </c>
      <c r="E296" t="inlineStr">
        <is>
          <t>LINKÖPING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56623-2024</t>
        </is>
      </c>
      <c r="B297" s="1" t="n">
        <v>45625</v>
      </c>
      <c r="C297" s="1" t="n">
        <v>46017</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53411-2023</t>
        </is>
      </c>
      <c r="B298" s="1" t="n">
        <v>45229.81049768518</v>
      </c>
      <c r="C298" s="1" t="n">
        <v>46017</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3530-2024</t>
        </is>
      </c>
      <c r="B299" s="1" t="n">
        <v>45320.54717592592</v>
      </c>
      <c r="C299" s="1" t="n">
        <v>46017</v>
      </c>
      <c r="D299" t="inlineStr">
        <is>
          <t>ÖSTERGÖTLANDS LÄN</t>
        </is>
      </c>
      <c r="E299" t="inlineStr">
        <is>
          <t>LINKÖPING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56741-2023</t>
        </is>
      </c>
      <c r="B300" s="1" t="n">
        <v>45244</v>
      </c>
      <c r="C300" s="1" t="n">
        <v>46017</v>
      </c>
      <c r="D300" t="inlineStr">
        <is>
          <t>ÖSTERGÖTLANDS LÄN</t>
        </is>
      </c>
      <c r="E300" t="inlineStr">
        <is>
          <t>LINKÖPING</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56792-2023</t>
        </is>
      </c>
      <c r="B301" s="1" t="n">
        <v>45244</v>
      </c>
      <c r="C301" s="1" t="n">
        <v>46017</v>
      </c>
      <c r="D301" t="inlineStr">
        <is>
          <t>ÖSTERGÖTLANDS LÄN</t>
        </is>
      </c>
      <c r="E301" t="inlineStr">
        <is>
          <t>LINKÖPING</t>
        </is>
      </c>
      <c r="F301" t="inlineStr">
        <is>
          <t>Övriga Aktiebolag</t>
        </is>
      </c>
      <c r="G301" t="n">
        <v>0.9</v>
      </c>
      <c r="H301" t="n">
        <v>0</v>
      </c>
      <c r="I301" t="n">
        <v>0</v>
      </c>
      <c r="J301" t="n">
        <v>0</v>
      </c>
      <c r="K301" t="n">
        <v>0</v>
      </c>
      <c r="L301" t="n">
        <v>0</v>
      </c>
      <c r="M301" t="n">
        <v>0</v>
      </c>
      <c r="N301" t="n">
        <v>0</v>
      </c>
      <c r="O301" t="n">
        <v>0</v>
      </c>
      <c r="P301" t="n">
        <v>0</v>
      </c>
      <c r="Q301" t="n">
        <v>0</v>
      </c>
      <c r="R301" s="2" t="inlineStr"/>
    </row>
    <row r="302" ht="15" customHeight="1">
      <c r="A302" t="inlineStr">
        <is>
          <t>A 3007-2023</t>
        </is>
      </c>
      <c r="B302" s="1" t="n">
        <v>44945</v>
      </c>
      <c r="C302" s="1" t="n">
        <v>46017</v>
      </c>
      <c r="D302" t="inlineStr">
        <is>
          <t>ÖSTERGÖTLANDS LÄN</t>
        </is>
      </c>
      <c r="E302" t="inlineStr">
        <is>
          <t>LINKÖPING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40338-2024</t>
        </is>
      </c>
      <c r="B303" s="1" t="n">
        <v>45555.32940972222</v>
      </c>
      <c r="C303" s="1" t="n">
        <v>46017</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3013-2023</t>
        </is>
      </c>
      <c r="B304" s="1" t="n">
        <v>44945.8092824074</v>
      </c>
      <c r="C304" s="1" t="n">
        <v>46017</v>
      </c>
      <c r="D304" t="inlineStr">
        <is>
          <t>ÖSTERGÖTLANDS LÄN</t>
        </is>
      </c>
      <c r="E304" t="inlineStr">
        <is>
          <t>LINKÖPING</t>
        </is>
      </c>
      <c r="G304" t="n">
        <v>5.2</v>
      </c>
      <c r="H304" t="n">
        <v>0</v>
      </c>
      <c r="I304" t="n">
        <v>0</v>
      </c>
      <c r="J304" t="n">
        <v>0</v>
      </c>
      <c r="K304" t="n">
        <v>0</v>
      </c>
      <c r="L304" t="n">
        <v>0</v>
      </c>
      <c r="M304" t="n">
        <v>0</v>
      </c>
      <c r="N304" t="n">
        <v>0</v>
      </c>
      <c r="O304" t="n">
        <v>0</v>
      </c>
      <c r="P304" t="n">
        <v>0</v>
      </c>
      <c r="Q304" t="n">
        <v>0</v>
      </c>
      <c r="R304" s="2" t="inlineStr"/>
    </row>
    <row r="305" ht="15" customHeight="1">
      <c r="A305" t="inlineStr">
        <is>
          <t>A 21782-2024</t>
        </is>
      </c>
      <c r="B305" s="1" t="n">
        <v>45442.63368055555</v>
      </c>
      <c r="C305" s="1" t="n">
        <v>46017</v>
      </c>
      <c r="D305" t="inlineStr">
        <is>
          <t>ÖSTERGÖTLANDS LÄN</t>
        </is>
      </c>
      <c r="E305" t="inlineStr">
        <is>
          <t>LINKÖPING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62686-2023</t>
        </is>
      </c>
      <c r="B306" s="1" t="n">
        <v>45271</v>
      </c>
      <c r="C306" s="1" t="n">
        <v>46017</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55945-2024</t>
        </is>
      </c>
      <c r="B307" s="1" t="n">
        <v>45623.61754629629</v>
      </c>
      <c r="C307" s="1" t="n">
        <v>46017</v>
      </c>
      <c r="D307" t="inlineStr">
        <is>
          <t>ÖSTERGÖTLANDS LÄN</t>
        </is>
      </c>
      <c r="E307" t="inlineStr">
        <is>
          <t>LINKÖPING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55345-2021</t>
        </is>
      </c>
      <c r="B308" s="1" t="n">
        <v>44475</v>
      </c>
      <c r="C308" s="1" t="n">
        <v>46017</v>
      </c>
      <c r="D308" t="inlineStr">
        <is>
          <t>ÖSTERGÖTLANDS LÄN</t>
        </is>
      </c>
      <c r="E308" t="inlineStr">
        <is>
          <t>LINKÖPING</t>
        </is>
      </c>
      <c r="G308" t="n">
        <v>5.7</v>
      </c>
      <c r="H308" t="n">
        <v>0</v>
      </c>
      <c r="I308" t="n">
        <v>0</v>
      </c>
      <c r="J308" t="n">
        <v>0</v>
      </c>
      <c r="K308" t="n">
        <v>0</v>
      </c>
      <c r="L308" t="n">
        <v>0</v>
      </c>
      <c r="M308" t="n">
        <v>0</v>
      </c>
      <c r="N308" t="n">
        <v>0</v>
      </c>
      <c r="O308" t="n">
        <v>0</v>
      </c>
      <c r="P308" t="n">
        <v>0</v>
      </c>
      <c r="Q308" t="n">
        <v>0</v>
      </c>
      <c r="R308" s="2" t="inlineStr"/>
    </row>
    <row r="309" ht="15" customHeight="1">
      <c r="A309" t="inlineStr">
        <is>
          <t>A 63489-2023</t>
        </is>
      </c>
      <c r="B309" s="1" t="n">
        <v>45274.66761574074</v>
      </c>
      <c r="C309" s="1" t="n">
        <v>46017</v>
      </c>
      <c r="D309" t="inlineStr">
        <is>
          <t>ÖSTERGÖTLANDS LÄN</t>
        </is>
      </c>
      <c r="E309" t="inlineStr">
        <is>
          <t>LINKÖPING</t>
        </is>
      </c>
      <c r="G309" t="n">
        <v>2.3</v>
      </c>
      <c r="H309" t="n">
        <v>0</v>
      </c>
      <c r="I309" t="n">
        <v>0</v>
      </c>
      <c r="J309" t="n">
        <v>0</v>
      </c>
      <c r="K309" t="n">
        <v>0</v>
      </c>
      <c r="L309" t="n">
        <v>0</v>
      </c>
      <c r="M309" t="n">
        <v>0</v>
      </c>
      <c r="N309" t="n">
        <v>0</v>
      </c>
      <c r="O309" t="n">
        <v>0</v>
      </c>
      <c r="P309" t="n">
        <v>0</v>
      </c>
      <c r="Q309" t="n">
        <v>0</v>
      </c>
      <c r="R309" s="2" t="inlineStr"/>
    </row>
    <row r="310" ht="15" customHeight="1">
      <c r="A310" t="inlineStr">
        <is>
          <t>A 1993-2023</t>
        </is>
      </c>
      <c r="B310" s="1" t="n">
        <v>44939</v>
      </c>
      <c r="C310" s="1" t="n">
        <v>46017</v>
      </c>
      <c r="D310" t="inlineStr">
        <is>
          <t>ÖSTERGÖTLANDS LÄN</t>
        </is>
      </c>
      <c r="E310" t="inlineStr">
        <is>
          <t>LINKÖPING</t>
        </is>
      </c>
      <c r="G310" t="n">
        <v>3.7</v>
      </c>
      <c r="H310" t="n">
        <v>0</v>
      </c>
      <c r="I310" t="n">
        <v>0</v>
      </c>
      <c r="J310" t="n">
        <v>0</v>
      </c>
      <c r="K310" t="n">
        <v>0</v>
      </c>
      <c r="L310" t="n">
        <v>0</v>
      </c>
      <c r="M310" t="n">
        <v>0</v>
      </c>
      <c r="N310" t="n">
        <v>0</v>
      </c>
      <c r="O310" t="n">
        <v>0</v>
      </c>
      <c r="P310" t="n">
        <v>0</v>
      </c>
      <c r="Q310" t="n">
        <v>0</v>
      </c>
      <c r="R310" s="2" t="inlineStr"/>
    </row>
    <row r="311" ht="15" customHeight="1">
      <c r="A311" t="inlineStr">
        <is>
          <t>A 2618-2023</t>
        </is>
      </c>
      <c r="B311" s="1" t="n">
        <v>44944.35847222222</v>
      </c>
      <c r="C311" s="1" t="n">
        <v>46017</v>
      </c>
      <c r="D311" t="inlineStr">
        <is>
          <t>ÖSTERGÖTLANDS LÄN</t>
        </is>
      </c>
      <c r="E311" t="inlineStr">
        <is>
          <t>LINKÖPING</t>
        </is>
      </c>
      <c r="G311" t="n">
        <v>4.3</v>
      </c>
      <c r="H311" t="n">
        <v>0</v>
      </c>
      <c r="I311" t="n">
        <v>0</v>
      </c>
      <c r="J311" t="n">
        <v>0</v>
      </c>
      <c r="K311" t="n">
        <v>0</v>
      </c>
      <c r="L311" t="n">
        <v>0</v>
      </c>
      <c r="M311" t="n">
        <v>0</v>
      </c>
      <c r="N311" t="n">
        <v>0</v>
      </c>
      <c r="O311" t="n">
        <v>0</v>
      </c>
      <c r="P311" t="n">
        <v>0</v>
      </c>
      <c r="Q311" t="n">
        <v>0</v>
      </c>
      <c r="R311" s="2" t="inlineStr"/>
    </row>
    <row r="312" ht="15" customHeight="1">
      <c r="A312" t="inlineStr">
        <is>
          <t>A 10203-2023</t>
        </is>
      </c>
      <c r="B312" s="1" t="n">
        <v>44986.55711805556</v>
      </c>
      <c r="C312" s="1" t="n">
        <v>46017</v>
      </c>
      <c r="D312" t="inlineStr">
        <is>
          <t>ÖSTERGÖTLANDS LÄN</t>
        </is>
      </c>
      <c r="E312" t="inlineStr">
        <is>
          <t>LINKÖPING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13011-2022</t>
        </is>
      </c>
      <c r="B313" s="1" t="n">
        <v>44643</v>
      </c>
      <c r="C313" s="1" t="n">
        <v>46017</v>
      </c>
      <c r="D313" t="inlineStr">
        <is>
          <t>ÖSTERGÖTLANDS LÄN</t>
        </is>
      </c>
      <c r="E313" t="inlineStr">
        <is>
          <t>LINKÖPING</t>
        </is>
      </c>
      <c r="G313" t="n">
        <v>3.7</v>
      </c>
      <c r="H313" t="n">
        <v>0</v>
      </c>
      <c r="I313" t="n">
        <v>0</v>
      </c>
      <c r="J313" t="n">
        <v>0</v>
      </c>
      <c r="K313" t="n">
        <v>0</v>
      </c>
      <c r="L313" t="n">
        <v>0</v>
      </c>
      <c r="M313" t="n">
        <v>0</v>
      </c>
      <c r="N313" t="n">
        <v>0</v>
      </c>
      <c r="O313" t="n">
        <v>0</v>
      </c>
      <c r="P313" t="n">
        <v>0</v>
      </c>
      <c r="Q313" t="n">
        <v>0</v>
      </c>
      <c r="R313" s="2" t="inlineStr"/>
    </row>
    <row r="314" ht="15" customHeight="1">
      <c r="A314" t="inlineStr">
        <is>
          <t>A 70-2024</t>
        </is>
      </c>
      <c r="B314" s="1" t="n">
        <v>45293</v>
      </c>
      <c r="C314" s="1" t="n">
        <v>46017</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11595-2025</t>
        </is>
      </c>
      <c r="B315" s="1" t="n">
        <v>45727.41893518518</v>
      </c>
      <c r="C315" s="1" t="n">
        <v>46017</v>
      </c>
      <c r="D315" t="inlineStr">
        <is>
          <t>ÖSTERGÖTLANDS LÄN</t>
        </is>
      </c>
      <c r="E315" t="inlineStr">
        <is>
          <t>LINKÖPING</t>
        </is>
      </c>
      <c r="G315" t="n">
        <v>6.6</v>
      </c>
      <c r="H315" t="n">
        <v>0</v>
      </c>
      <c r="I315" t="n">
        <v>0</v>
      </c>
      <c r="J315" t="n">
        <v>0</v>
      </c>
      <c r="K315" t="n">
        <v>0</v>
      </c>
      <c r="L315" t="n">
        <v>0</v>
      </c>
      <c r="M315" t="n">
        <v>0</v>
      </c>
      <c r="N315" t="n">
        <v>0</v>
      </c>
      <c r="O315" t="n">
        <v>0</v>
      </c>
      <c r="P315" t="n">
        <v>0</v>
      </c>
      <c r="Q315" t="n">
        <v>0</v>
      </c>
      <c r="R315" s="2" t="inlineStr"/>
    </row>
    <row r="316" ht="15" customHeight="1">
      <c r="A316" t="inlineStr">
        <is>
          <t>A 34889-2023</t>
        </is>
      </c>
      <c r="B316" s="1" t="n">
        <v>45140</v>
      </c>
      <c r="C316" s="1" t="n">
        <v>46017</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34928-2023</t>
        </is>
      </c>
      <c r="B317" s="1" t="n">
        <v>45142</v>
      </c>
      <c r="C317" s="1" t="n">
        <v>46017</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6782-2024</t>
        </is>
      </c>
      <c r="B318" s="1" t="n">
        <v>45342</v>
      </c>
      <c r="C318" s="1" t="n">
        <v>46017</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50508-2024</t>
        </is>
      </c>
      <c r="B319" s="1" t="n">
        <v>45601.53907407408</v>
      </c>
      <c r="C319" s="1" t="n">
        <v>46017</v>
      </c>
      <c r="D319" t="inlineStr">
        <is>
          <t>ÖSTERGÖTLANDS LÄN</t>
        </is>
      </c>
      <c r="E319" t="inlineStr">
        <is>
          <t>LINKÖPING</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617-2024</t>
        </is>
      </c>
      <c r="B320" s="1" t="n">
        <v>45299.66028935185</v>
      </c>
      <c r="C320" s="1" t="n">
        <v>46017</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670-2024</t>
        </is>
      </c>
      <c r="B321" s="1" t="n">
        <v>45300.3408912037</v>
      </c>
      <c r="C321" s="1" t="n">
        <v>46017</v>
      </c>
      <c r="D321" t="inlineStr">
        <is>
          <t>ÖSTERGÖTLANDS LÄN</t>
        </is>
      </c>
      <c r="E321" t="inlineStr">
        <is>
          <t>LINKÖPING</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52125-2022</t>
        </is>
      </c>
      <c r="B322" s="1" t="n">
        <v>44873</v>
      </c>
      <c r="C322" s="1" t="n">
        <v>46017</v>
      </c>
      <c r="D322" t="inlineStr">
        <is>
          <t>ÖSTERGÖTLANDS LÄN</t>
        </is>
      </c>
      <c r="E322" t="inlineStr">
        <is>
          <t>LINKÖPING</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1268-2023</t>
        </is>
      </c>
      <c r="B323" s="1" t="n">
        <v>44936</v>
      </c>
      <c r="C323" s="1" t="n">
        <v>46017</v>
      </c>
      <c r="D323" t="inlineStr">
        <is>
          <t>ÖSTERGÖTLANDS LÄN</t>
        </is>
      </c>
      <c r="E323" t="inlineStr">
        <is>
          <t>LINKÖPING</t>
        </is>
      </c>
      <c r="G323" t="n">
        <v>4.6</v>
      </c>
      <c r="H323" t="n">
        <v>0</v>
      </c>
      <c r="I323" t="n">
        <v>0</v>
      </c>
      <c r="J323" t="n">
        <v>0</v>
      </c>
      <c r="K323" t="n">
        <v>0</v>
      </c>
      <c r="L323" t="n">
        <v>0</v>
      </c>
      <c r="M323" t="n">
        <v>0</v>
      </c>
      <c r="N323" t="n">
        <v>0</v>
      </c>
      <c r="O323" t="n">
        <v>0</v>
      </c>
      <c r="P323" t="n">
        <v>0</v>
      </c>
      <c r="Q323" t="n">
        <v>0</v>
      </c>
      <c r="R323" s="2" t="inlineStr"/>
    </row>
    <row r="324" ht="15" customHeight="1">
      <c r="A324" t="inlineStr">
        <is>
          <t>A 5314-2021</t>
        </is>
      </c>
      <c r="B324" s="1" t="n">
        <v>44229</v>
      </c>
      <c r="C324" s="1" t="n">
        <v>46017</v>
      </c>
      <c r="D324" t="inlineStr">
        <is>
          <t>ÖSTERGÖTLANDS LÄN</t>
        </is>
      </c>
      <c r="E324" t="inlineStr">
        <is>
          <t>LINKÖPING</t>
        </is>
      </c>
      <c r="G324" t="n">
        <v>6.2</v>
      </c>
      <c r="H324" t="n">
        <v>0</v>
      </c>
      <c r="I324" t="n">
        <v>0</v>
      </c>
      <c r="J324" t="n">
        <v>0</v>
      </c>
      <c r="K324" t="n">
        <v>0</v>
      </c>
      <c r="L324" t="n">
        <v>0</v>
      </c>
      <c r="M324" t="n">
        <v>0</v>
      </c>
      <c r="N324" t="n">
        <v>0</v>
      </c>
      <c r="O324" t="n">
        <v>0</v>
      </c>
      <c r="P324" t="n">
        <v>0</v>
      </c>
      <c r="Q324" t="n">
        <v>0</v>
      </c>
      <c r="R324" s="2" t="inlineStr"/>
    </row>
    <row r="325" ht="15" customHeight="1">
      <c r="A325" t="inlineStr">
        <is>
          <t>A 36336-2022</t>
        </is>
      </c>
      <c r="B325" s="1" t="n">
        <v>44803</v>
      </c>
      <c r="C325" s="1" t="n">
        <v>46017</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1084-2023</t>
        </is>
      </c>
      <c r="B326" s="1" t="n">
        <v>44929</v>
      </c>
      <c r="C326" s="1" t="n">
        <v>46017</v>
      </c>
      <c r="D326" t="inlineStr">
        <is>
          <t>ÖSTERGÖTLANDS LÄN</t>
        </is>
      </c>
      <c r="E326" t="inlineStr">
        <is>
          <t>LINKÖPING</t>
        </is>
      </c>
      <c r="G326" t="n">
        <v>10.4</v>
      </c>
      <c r="H326" t="n">
        <v>0</v>
      </c>
      <c r="I326" t="n">
        <v>0</v>
      </c>
      <c r="J326" t="n">
        <v>0</v>
      </c>
      <c r="K326" t="n">
        <v>0</v>
      </c>
      <c r="L326" t="n">
        <v>0</v>
      </c>
      <c r="M326" t="n">
        <v>0</v>
      </c>
      <c r="N326" t="n">
        <v>0</v>
      </c>
      <c r="O326" t="n">
        <v>0</v>
      </c>
      <c r="P326" t="n">
        <v>0</v>
      </c>
      <c r="Q326" t="n">
        <v>0</v>
      </c>
      <c r="R326" s="2" t="inlineStr"/>
    </row>
    <row r="327" ht="15" customHeight="1">
      <c r="A327" t="inlineStr">
        <is>
          <t>A 48839-2022</t>
        </is>
      </c>
      <c r="B327" s="1" t="n">
        <v>44859</v>
      </c>
      <c r="C327" s="1" t="n">
        <v>46017</v>
      </c>
      <c r="D327" t="inlineStr">
        <is>
          <t>ÖSTERGÖTLANDS LÄN</t>
        </is>
      </c>
      <c r="E327" t="inlineStr">
        <is>
          <t>LINKÖPING</t>
        </is>
      </c>
      <c r="F327" t="inlineStr">
        <is>
          <t>Övriga Aktiebolag</t>
        </is>
      </c>
      <c r="G327" t="n">
        <v>0.6</v>
      </c>
      <c r="H327" t="n">
        <v>0</v>
      </c>
      <c r="I327" t="n">
        <v>0</v>
      </c>
      <c r="J327" t="n">
        <v>0</v>
      </c>
      <c r="K327" t="n">
        <v>0</v>
      </c>
      <c r="L327" t="n">
        <v>0</v>
      </c>
      <c r="M327" t="n">
        <v>0</v>
      </c>
      <c r="N327" t="n">
        <v>0</v>
      </c>
      <c r="O327" t="n">
        <v>0</v>
      </c>
      <c r="P327" t="n">
        <v>0</v>
      </c>
      <c r="Q327" t="n">
        <v>0</v>
      </c>
      <c r="R327" s="2" t="inlineStr"/>
    </row>
    <row r="328" ht="15" customHeight="1">
      <c r="A328" t="inlineStr">
        <is>
          <t>A 29859-2024</t>
        </is>
      </c>
      <c r="B328" s="1" t="n">
        <v>45485.6846412037</v>
      </c>
      <c r="C328" s="1" t="n">
        <v>46017</v>
      </c>
      <c r="D328" t="inlineStr">
        <is>
          <t>ÖSTERGÖTLANDS LÄN</t>
        </is>
      </c>
      <c r="E328" t="inlineStr">
        <is>
          <t>LINKÖPING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51571-2024</t>
        </is>
      </c>
      <c r="B329" s="1" t="n">
        <v>45604</v>
      </c>
      <c r="C329" s="1" t="n">
        <v>46017</v>
      </c>
      <c r="D329" t="inlineStr">
        <is>
          <t>ÖSTERGÖTLANDS LÄN</t>
        </is>
      </c>
      <c r="E329" t="inlineStr">
        <is>
          <t>LINKÖPING</t>
        </is>
      </c>
      <c r="F329" t="inlineStr">
        <is>
          <t>Övriga Aktiebolag</t>
        </is>
      </c>
      <c r="G329" t="n">
        <v>1.4</v>
      </c>
      <c r="H329" t="n">
        <v>0</v>
      </c>
      <c r="I329" t="n">
        <v>0</v>
      </c>
      <c r="J329" t="n">
        <v>0</v>
      </c>
      <c r="K329" t="n">
        <v>0</v>
      </c>
      <c r="L329" t="n">
        <v>0</v>
      </c>
      <c r="M329" t="n">
        <v>0</v>
      </c>
      <c r="N329" t="n">
        <v>0</v>
      </c>
      <c r="O329" t="n">
        <v>0</v>
      </c>
      <c r="P329" t="n">
        <v>0</v>
      </c>
      <c r="Q329" t="n">
        <v>0</v>
      </c>
      <c r="R329" s="2" t="inlineStr"/>
    </row>
    <row r="330" ht="15" customHeight="1">
      <c r="A330" t="inlineStr">
        <is>
          <t>A 223-2024</t>
        </is>
      </c>
      <c r="B330" s="1" t="n">
        <v>45294.72739583333</v>
      </c>
      <c r="C330" s="1" t="n">
        <v>46017</v>
      </c>
      <c r="D330" t="inlineStr">
        <is>
          <t>ÖSTERGÖTLANDS LÄN</t>
        </is>
      </c>
      <c r="E330" t="inlineStr">
        <is>
          <t>LINKÖPING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227-2024</t>
        </is>
      </c>
      <c r="B331" s="1" t="n">
        <v>45294.73603009259</v>
      </c>
      <c r="C331" s="1" t="n">
        <v>46017</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49747-2024</t>
        </is>
      </c>
      <c r="B332" s="1" t="n">
        <v>45596</v>
      </c>
      <c r="C332" s="1" t="n">
        <v>46017</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6387-2022</t>
        </is>
      </c>
      <c r="B333" s="1" t="n">
        <v>44600</v>
      </c>
      <c r="C333" s="1" t="n">
        <v>46017</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34641-2022</t>
        </is>
      </c>
      <c r="B334" s="1" t="n">
        <v>44795</v>
      </c>
      <c r="C334" s="1" t="n">
        <v>46017</v>
      </c>
      <c r="D334" t="inlineStr">
        <is>
          <t>ÖSTERGÖTLANDS LÄN</t>
        </is>
      </c>
      <c r="E334" t="inlineStr">
        <is>
          <t>LINKÖPING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31725-2022</t>
        </is>
      </c>
      <c r="B335" s="1" t="n">
        <v>44776.48541666667</v>
      </c>
      <c r="C335" s="1" t="n">
        <v>46017</v>
      </c>
      <c r="D335" t="inlineStr">
        <is>
          <t>ÖSTERGÖTLANDS LÄN</t>
        </is>
      </c>
      <c r="E335" t="inlineStr">
        <is>
          <t>LINKÖPING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13687-2025</t>
        </is>
      </c>
      <c r="B336" s="1" t="n">
        <v>45737.31425925926</v>
      </c>
      <c r="C336" s="1" t="n">
        <v>46017</v>
      </c>
      <c r="D336" t="inlineStr">
        <is>
          <t>ÖSTERGÖTLANDS LÄN</t>
        </is>
      </c>
      <c r="E336" t="inlineStr">
        <is>
          <t>LINKÖPING</t>
        </is>
      </c>
      <c r="G336" t="n">
        <v>2.7</v>
      </c>
      <c r="H336" t="n">
        <v>0</v>
      </c>
      <c r="I336" t="n">
        <v>0</v>
      </c>
      <c r="J336" t="n">
        <v>0</v>
      </c>
      <c r="K336" t="n">
        <v>0</v>
      </c>
      <c r="L336" t="n">
        <v>0</v>
      </c>
      <c r="M336" t="n">
        <v>0</v>
      </c>
      <c r="N336" t="n">
        <v>0</v>
      </c>
      <c r="O336" t="n">
        <v>0</v>
      </c>
      <c r="P336" t="n">
        <v>0</v>
      </c>
      <c r="Q336" t="n">
        <v>0</v>
      </c>
      <c r="R336" s="2" t="inlineStr"/>
    </row>
    <row r="337" ht="15" customHeight="1">
      <c r="A337" t="inlineStr">
        <is>
          <t>A 13695-2025</t>
        </is>
      </c>
      <c r="B337" s="1" t="n">
        <v>45737.32219907407</v>
      </c>
      <c r="C337" s="1" t="n">
        <v>46017</v>
      </c>
      <c r="D337" t="inlineStr">
        <is>
          <t>ÖSTERGÖTLANDS LÄN</t>
        </is>
      </c>
      <c r="E337" t="inlineStr">
        <is>
          <t>LINKÖPING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52413-2023</t>
        </is>
      </c>
      <c r="B338" s="1" t="n">
        <v>45225.27950231481</v>
      </c>
      <c r="C338" s="1" t="n">
        <v>46017</v>
      </c>
      <c r="D338" t="inlineStr">
        <is>
          <t>ÖSTERGÖTLANDS LÄN</t>
        </is>
      </c>
      <c r="E338" t="inlineStr">
        <is>
          <t>LINKÖPING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2389-2023</t>
        </is>
      </c>
      <c r="B339" s="1" t="n">
        <v>44942</v>
      </c>
      <c r="C339" s="1" t="n">
        <v>46017</v>
      </c>
      <c r="D339" t="inlineStr">
        <is>
          <t>ÖSTERGÖTLANDS LÄN</t>
        </is>
      </c>
      <c r="E339" t="inlineStr">
        <is>
          <t>LINKÖPING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3627-2023</t>
        </is>
      </c>
      <c r="B340" s="1" t="n">
        <v>44950.64782407408</v>
      </c>
      <c r="C340" s="1" t="n">
        <v>46017</v>
      </c>
      <c r="D340" t="inlineStr">
        <is>
          <t>ÖSTERGÖTLANDS LÄN</t>
        </is>
      </c>
      <c r="E340" t="inlineStr">
        <is>
          <t>LINKÖPING</t>
        </is>
      </c>
      <c r="G340" t="n">
        <v>3.1</v>
      </c>
      <c r="H340" t="n">
        <v>0</v>
      </c>
      <c r="I340" t="n">
        <v>0</v>
      </c>
      <c r="J340" t="n">
        <v>0</v>
      </c>
      <c r="K340" t="n">
        <v>0</v>
      </c>
      <c r="L340" t="n">
        <v>0</v>
      </c>
      <c r="M340" t="n">
        <v>0</v>
      </c>
      <c r="N340" t="n">
        <v>0</v>
      </c>
      <c r="O340" t="n">
        <v>0</v>
      </c>
      <c r="P340" t="n">
        <v>0</v>
      </c>
      <c r="Q340" t="n">
        <v>0</v>
      </c>
      <c r="R340" s="2" t="inlineStr"/>
    </row>
    <row r="341" ht="15" customHeight="1">
      <c r="A341" t="inlineStr">
        <is>
          <t>A 62687-2023</t>
        </is>
      </c>
      <c r="B341" s="1" t="n">
        <v>45271</v>
      </c>
      <c r="C341" s="1" t="n">
        <v>46017</v>
      </c>
      <c r="D341" t="inlineStr">
        <is>
          <t>ÖSTERGÖTLANDS LÄN</t>
        </is>
      </c>
      <c r="E341" t="inlineStr">
        <is>
          <t>LINKÖPING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42054-2022</t>
        </is>
      </c>
      <c r="B342" s="1" t="n">
        <v>44830</v>
      </c>
      <c r="C342" s="1" t="n">
        <v>46017</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53797-2023</t>
        </is>
      </c>
      <c r="B343" s="1" t="n">
        <v>45230</v>
      </c>
      <c r="C343" s="1" t="n">
        <v>46017</v>
      </c>
      <c r="D343" t="inlineStr">
        <is>
          <t>ÖSTERGÖTLANDS LÄN</t>
        </is>
      </c>
      <c r="E343" t="inlineStr">
        <is>
          <t>LINKÖPING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18891-2022</t>
        </is>
      </c>
      <c r="B344" s="1" t="n">
        <v>44690</v>
      </c>
      <c r="C344" s="1" t="n">
        <v>46017</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38046-2025</t>
        </is>
      </c>
      <c r="B345" s="1" t="n">
        <v>45882.39939814815</v>
      </c>
      <c r="C345" s="1" t="n">
        <v>46017</v>
      </c>
      <c r="D345" t="inlineStr">
        <is>
          <t>ÖSTERGÖTLANDS LÄN</t>
        </is>
      </c>
      <c r="E345" t="inlineStr">
        <is>
          <t>LINKÖPING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22833-2023</t>
        </is>
      </c>
      <c r="B346" s="1" t="n">
        <v>45071</v>
      </c>
      <c r="C346" s="1" t="n">
        <v>46017</v>
      </c>
      <c r="D346" t="inlineStr">
        <is>
          <t>ÖSTERGÖTLANDS LÄN</t>
        </is>
      </c>
      <c r="E346" t="inlineStr">
        <is>
          <t>LINKÖPING</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57766-2023</t>
        </is>
      </c>
      <c r="B347" s="1" t="n">
        <v>45246</v>
      </c>
      <c r="C347" s="1" t="n">
        <v>46017</v>
      </c>
      <c r="D347" t="inlineStr">
        <is>
          <t>ÖSTERGÖTLANDS LÄN</t>
        </is>
      </c>
      <c r="E347" t="inlineStr">
        <is>
          <t>LINKÖPING</t>
        </is>
      </c>
      <c r="F347" t="inlineStr">
        <is>
          <t>Allmännings- och besparingsskogar</t>
        </is>
      </c>
      <c r="G347" t="n">
        <v>12.8</v>
      </c>
      <c r="H347" t="n">
        <v>0</v>
      </c>
      <c r="I347" t="n">
        <v>0</v>
      </c>
      <c r="J347" t="n">
        <v>0</v>
      </c>
      <c r="K347" t="n">
        <v>0</v>
      </c>
      <c r="L347" t="n">
        <v>0</v>
      </c>
      <c r="M347" t="n">
        <v>0</v>
      </c>
      <c r="N347" t="n">
        <v>0</v>
      </c>
      <c r="O347" t="n">
        <v>0</v>
      </c>
      <c r="P347" t="n">
        <v>0</v>
      </c>
      <c r="Q347" t="n">
        <v>0</v>
      </c>
      <c r="R347" s="2" t="inlineStr"/>
    </row>
    <row r="348" ht="15" customHeight="1">
      <c r="A348" t="inlineStr">
        <is>
          <t>A 17898-2022</t>
        </is>
      </c>
      <c r="B348" s="1" t="n">
        <v>44683</v>
      </c>
      <c r="C348" s="1" t="n">
        <v>46017</v>
      </c>
      <c r="D348" t="inlineStr">
        <is>
          <t>ÖSTERGÖTLANDS LÄN</t>
        </is>
      </c>
      <c r="E348" t="inlineStr">
        <is>
          <t>LINKÖPING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26620-2023</t>
        </is>
      </c>
      <c r="B349" s="1" t="n">
        <v>45092.70390046296</v>
      </c>
      <c r="C349" s="1" t="n">
        <v>46017</v>
      </c>
      <c r="D349" t="inlineStr">
        <is>
          <t>ÖSTERGÖTLANDS LÄN</t>
        </is>
      </c>
      <c r="E349" t="inlineStr">
        <is>
          <t>LINKÖPING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62017-2024</t>
        </is>
      </c>
      <c r="B350" s="1" t="n">
        <v>45655.81140046296</v>
      </c>
      <c r="C350" s="1" t="n">
        <v>46017</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3008-2023</t>
        </is>
      </c>
      <c r="B351" s="1" t="n">
        <v>44945.79784722222</v>
      </c>
      <c r="C351" s="1" t="n">
        <v>46017</v>
      </c>
      <c r="D351" t="inlineStr">
        <is>
          <t>ÖSTERGÖTLANDS LÄN</t>
        </is>
      </c>
      <c r="E351" t="inlineStr">
        <is>
          <t>LINKÖPING</t>
        </is>
      </c>
      <c r="G351" t="n">
        <v>19.3</v>
      </c>
      <c r="H351" t="n">
        <v>0</v>
      </c>
      <c r="I351" t="n">
        <v>0</v>
      </c>
      <c r="J351" t="n">
        <v>0</v>
      </c>
      <c r="K351" t="n">
        <v>0</v>
      </c>
      <c r="L351" t="n">
        <v>0</v>
      </c>
      <c r="M351" t="n">
        <v>0</v>
      </c>
      <c r="N351" t="n">
        <v>0</v>
      </c>
      <c r="O351" t="n">
        <v>0</v>
      </c>
      <c r="P351" t="n">
        <v>0</v>
      </c>
      <c r="Q351" t="n">
        <v>0</v>
      </c>
      <c r="R351" s="2" t="inlineStr"/>
    </row>
    <row r="352" ht="15" customHeight="1">
      <c r="A352" t="inlineStr">
        <is>
          <t>A 12411-2022</t>
        </is>
      </c>
      <c r="B352" s="1" t="n">
        <v>44638.21601851852</v>
      </c>
      <c r="C352" s="1" t="n">
        <v>46017</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56180-2024</t>
        </is>
      </c>
      <c r="B353" s="1" t="n">
        <v>45624.56611111111</v>
      </c>
      <c r="C353" s="1" t="n">
        <v>46017</v>
      </c>
      <c r="D353" t="inlineStr">
        <is>
          <t>ÖSTERGÖTLANDS LÄN</t>
        </is>
      </c>
      <c r="E353" t="inlineStr">
        <is>
          <t>LINKÖPING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10492-2022</t>
        </is>
      </c>
      <c r="B354" s="1" t="n">
        <v>44623.6377199074</v>
      </c>
      <c r="C354" s="1" t="n">
        <v>46017</v>
      </c>
      <c r="D354" t="inlineStr">
        <is>
          <t>ÖSTERGÖTLANDS LÄN</t>
        </is>
      </c>
      <c r="E354" t="inlineStr">
        <is>
          <t>LINKÖPING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55345-2021</t>
        </is>
      </c>
      <c r="B355" s="1" t="n">
        <v>44475</v>
      </c>
      <c r="C355" s="1" t="n">
        <v>46017</v>
      </c>
      <c r="D355" t="inlineStr">
        <is>
          <t>ÖSTERGÖTLANDS LÄN</t>
        </is>
      </c>
      <c r="E355" t="inlineStr">
        <is>
          <t>LINKÖPING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938-2023</t>
        </is>
      </c>
      <c r="B356" s="1" t="n">
        <v>44933</v>
      </c>
      <c r="C356" s="1" t="n">
        <v>46017</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25418-2023</t>
        </is>
      </c>
      <c r="B357" s="1" t="n">
        <v>45089</v>
      </c>
      <c r="C357" s="1" t="n">
        <v>46017</v>
      </c>
      <c r="D357" t="inlineStr">
        <is>
          <t>ÖSTERGÖTLANDS LÄN</t>
        </is>
      </c>
      <c r="E357" t="inlineStr">
        <is>
          <t>LINKÖPING</t>
        </is>
      </c>
      <c r="F357" t="inlineStr">
        <is>
          <t>Övriga Aktiebolag</t>
        </is>
      </c>
      <c r="G357" t="n">
        <v>2.4</v>
      </c>
      <c r="H357" t="n">
        <v>0</v>
      </c>
      <c r="I357" t="n">
        <v>0</v>
      </c>
      <c r="J357" t="n">
        <v>0</v>
      </c>
      <c r="K357" t="n">
        <v>0</v>
      </c>
      <c r="L357" t="n">
        <v>0</v>
      </c>
      <c r="M357" t="n">
        <v>0</v>
      </c>
      <c r="N357" t="n">
        <v>0</v>
      </c>
      <c r="O357" t="n">
        <v>0</v>
      </c>
      <c r="P357" t="n">
        <v>0</v>
      </c>
      <c r="Q357" t="n">
        <v>0</v>
      </c>
      <c r="R357" s="2" t="inlineStr"/>
    </row>
    <row r="358" ht="15" customHeight="1">
      <c r="A358" t="inlineStr">
        <is>
          <t>A 60007-2022</t>
        </is>
      </c>
      <c r="B358" s="1" t="n">
        <v>44909.47282407407</v>
      </c>
      <c r="C358" s="1" t="n">
        <v>46017</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7343-2025</t>
        </is>
      </c>
      <c r="B359" s="1" t="n">
        <v>45703.67853009259</v>
      </c>
      <c r="C359" s="1" t="n">
        <v>46017</v>
      </c>
      <c r="D359" t="inlineStr">
        <is>
          <t>ÖSTERGÖTLANDS LÄN</t>
        </is>
      </c>
      <c r="E359" t="inlineStr">
        <is>
          <t>LINKÖPING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27186-2021</t>
        </is>
      </c>
      <c r="B360" s="1" t="n">
        <v>44350.67715277777</v>
      </c>
      <c r="C360" s="1" t="n">
        <v>46017</v>
      </c>
      <c r="D360" t="inlineStr">
        <is>
          <t>ÖSTERGÖTLANDS LÄN</t>
        </is>
      </c>
      <c r="E360" t="inlineStr">
        <is>
          <t>LINKÖPING</t>
        </is>
      </c>
      <c r="F360" t="inlineStr">
        <is>
          <t>Allmännings- och besparingsskogar</t>
        </is>
      </c>
      <c r="G360" t="n">
        <v>1.4</v>
      </c>
      <c r="H360" t="n">
        <v>0</v>
      </c>
      <c r="I360" t="n">
        <v>0</v>
      </c>
      <c r="J360" t="n">
        <v>0</v>
      </c>
      <c r="K360" t="n">
        <v>0</v>
      </c>
      <c r="L360" t="n">
        <v>0</v>
      </c>
      <c r="M360" t="n">
        <v>0</v>
      </c>
      <c r="N360" t="n">
        <v>0</v>
      </c>
      <c r="O360" t="n">
        <v>0</v>
      </c>
      <c r="P360" t="n">
        <v>0</v>
      </c>
      <c r="Q360" t="n">
        <v>0</v>
      </c>
      <c r="R360" s="2" t="inlineStr"/>
    </row>
    <row r="361" ht="15" customHeight="1">
      <c r="A361" t="inlineStr">
        <is>
          <t>A 61281-2021</t>
        </is>
      </c>
      <c r="B361" s="1" t="n">
        <v>44498.60736111111</v>
      </c>
      <c r="C361" s="1" t="n">
        <v>46017</v>
      </c>
      <c r="D361" t="inlineStr">
        <is>
          <t>ÖSTERGÖTLANDS LÄN</t>
        </is>
      </c>
      <c r="E361" t="inlineStr">
        <is>
          <t>LINKÖPING</t>
        </is>
      </c>
      <c r="G361" t="n">
        <v>4.5</v>
      </c>
      <c r="H361" t="n">
        <v>0</v>
      </c>
      <c r="I361" t="n">
        <v>0</v>
      </c>
      <c r="J361" t="n">
        <v>0</v>
      </c>
      <c r="K361" t="n">
        <v>0</v>
      </c>
      <c r="L361" t="n">
        <v>0</v>
      </c>
      <c r="M361" t="n">
        <v>0</v>
      </c>
      <c r="N361" t="n">
        <v>0</v>
      </c>
      <c r="O361" t="n">
        <v>0</v>
      </c>
      <c r="P361" t="n">
        <v>0</v>
      </c>
      <c r="Q361" t="n">
        <v>0</v>
      </c>
      <c r="R361" s="2" t="inlineStr"/>
    </row>
    <row r="362" ht="15" customHeight="1">
      <c r="A362" t="inlineStr">
        <is>
          <t>A 8967-2025</t>
        </is>
      </c>
      <c r="B362" s="1" t="n">
        <v>45712</v>
      </c>
      <c r="C362" s="1" t="n">
        <v>46017</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63935-2021</t>
        </is>
      </c>
      <c r="B363" s="1" t="n">
        <v>44509</v>
      </c>
      <c r="C363" s="1" t="n">
        <v>46017</v>
      </c>
      <c r="D363" t="inlineStr">
        <is>
          <t>ÖSTERGÖTLANDS LÄN</t>
        </is>
      </c>
      <c r="E363" t="inlineStr">
        <is>
          <t>LINKÖPING</t>
        </is>
      </c>
      <c r="F363" t="inlineStr">
        <is>
          <t>Övriga statliga verk och myndigheter</t>
        </is>
      </c>
      <c r="G363" t="n">
        <v>2.8</v>
      </c>
      <c r="H363" t="n">
        <v>0</v>
      </c>
      <c r="I363" t="n">
        <v>0</v>
      </c>
      <c r="J363" t="n">
        <v>0</v>
      </c>
      <c r="K363" t="n">
        <v>0</v>
      </c>
      <c r="L363" t="n">
        <v>0</v>
      </c>
      <c r="M363" t="n">
        <v>0</v>
      </c>
      <c r="N363" t="n">
        <v>0</v>
      </c>
      <c r="O363" t="n">
        <v>0</v>
      </c>
      <c r="P363" t="n">
        <v>0</v>
      </c>
      <c r="Q363" t="n">
        <v>0</v>
      </c>
      <c r="R363" s="2" t="inlineStr"/>
    </row>
    <row r="364" ht="15" customHeight="1">
      <c r="A364" t="inlineStr">
        <is>
          <t>A 35427-2023</t>
        </is>
      </c>
      <c r="B364" s="1" t="n">
        <v>45146</v>
      </c>
      <c r="C364" s="1" t="n">
        <v>46017</v>
      </c>
      <c r="D364" t="inlineStr">
        <is>
          <t>ÖSTERGÖTLANDS LÄN</t>
        </is>
      </c>
      <c r="E364" t="inlineStr">
        <is>
          <t>LINKÖPING</t>
        </is>
      </c>
      <c r="F364" t="inlineStr">
        <is>
          <t>Övriga Aktiebolag</t>
        </is>
      </c>
      <c r="G364" t="n">
        <v>2.5</v>
      </c>
      <c r="H364" t="n">
        <v>0</v>
      </c>
      <c r="I364" t="n">
        <v>0</v>
      </c>
      <c r="J364" t="n">
        <v>0</v>
      </c>
      <c r="K364" t="n">
        <v>0</v>
      </c>
      <c r="L364" t="n">
        <v>0</v>
      </c>
      <c r="M364" t="n">
        <v>0</v>
      </c>
      <c r="N364" t="n">
        <v>0</v>
      </c>
      <c r="O364" t="n">
        <v>0</v>
      </c>
      <c r="P364" t="n">
        <v>0</v>
      </c>
      <c r="Q364" t="n">
        <v>0</v>
      </c>
      <c r="R364" s="2" t="inlineStr"/>
    </row>
    <row r="365" ht="15" customHeight="1">
      <c r="A365" t="inlineStr">
        <is>
          <t>A 25292-2021</t>
        </is>
      </c>
      <c r="B365" s="1" t="n">
        <v>44342</v>
      </c>
      <c r="C365" s="1" t="n">
        <v>46017</v>
      </c>
      <c r="D365" t="inlineStr">
        <is>
          <t>ÖSTERGÖTLANDS LÄN</t>
        </is>
      </c>
      <c r="E365" t="inlineStr">
        <is>
          <t>LINKÖPING</t>
        </is>
      </c>
      <c r="F365" t="inlineStr">
        <is>
          <t>Övriga Aktiebolag</t>
        </is>
      </c>
      <c r="G365" t="n">
        <v>12.8</v>
      </c>
      <c r="H365" t="n">
        <v>0</v>
      </c>
      <c r="I365" t="n">
        <v>0</v>
      </c>
      <c r="J365" t="n">
        <v>0</v>
      </c>
      <c r="K365" t="n">
        <v>0</v>
      </c>
      <c r="L365" t="n">
        <v>0</v>
      </c>
      <c r="M365" t="n">
        <v>0</v>
      </c>
      <c r="N365" t="n">
        <v>0</v>
      </c>
      <c r="O365" t="n">
        <v>0</v>
      </c>
      <c r="P365" t="n">
        <v>0</v>
      </c>
      <c r="Q365" t="n">
        <v>0</v>
      </c>
      <c r="R365" s="2" t="inlineStr"/>
    </row>
    <row r="366" ht="15" customHeight="1">
      <c r="A366" t="inlineStr">
        <is>
          <t>A 30468-2023</t>
        </is>
      </c>
      <c r="B366" s="1" t="n">
        <v>45111.58732638889</v>
      </c>
      <c r="C366" s="1" t="n">
        <v>46017</v>
      </c>
      <c r="D366" t="inlineStr">
        <is>
          <t>ÖSTERGÖTLANDS LÄN</t>
        </is>
      </c>
      <c r="E366" t="inlineStr">
        <is>
          <t>LINKÖPING</t>
        </is>
      </c>
      <c r="G366" t="n">
        <v>10.1</v>
      </c>
      <c r="H366" t="n">
        <v>0</v>
      </c>
      <c r="I366" t="n">
        <v>0</v>
      </c>
      <c r="J366" t="n">
        <v>0</v>
      </c>
      <c r="K366" t="n">
        <v>0</v>
      </c>
      <c r="L366" t="n">
        <v>0</v>
      </c>
      <c r="M366" t="n">
        <v>0</v>
      </c>
      <c r="N366" t="n">
        <v>0</v>
      </c>
      <c r="O366" t="n">
        <v>0</v>
      </c>
      <c r="P366" t="n">
        <v>0</v>
      </c>
      <c r="Q366" t="n">
        <v>0</v>
      </c>
      <c r="R366" s="2" t="inlineStr"/>
    </row>
    <row r="367" ht="15" customHeight="1">
      <c r="A367" t="inlineStr">
        <is>
          <t>A 11601-2023</t>
        </is>
      </c>
      <c r="B367" s="1" t="n">
        <v>44994</v>
      </c>
      <c r="C367" s="1" t="n">
        <v>46017</v>
      </c>
      <c r="D367" t="inlineStr">
        <is>
          <t>ÖSTERGÖTLANDS LÄN</t>
        </is>
      </c>
      <c r="E367" t="inlineStr">
        <is>
          <t>LINKÖPING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10194-2023</t>
        </is>
      </c>
      <c r="B368" s="1" t="n">
        <v>44986.52277777778</v>
      </c>
      <c r="C368" s="1" t="n">
        <v>46017</v>
      </c>
      <c r="D368" t="inlineStr">
        <is>
          <t>ÖSTERGÖTLANDS LÄN</t>
        </is>
      </c>
      <c r="E368" t="inlineStr">
        <is>
          <t>LINKÖPING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55944-2024</t>
        </is>
      </c>
      <c r="B369" s="1" t="n">
        <v>45623.61640046296</v>
      </c>
      <c r="C369" s="1" t="n">
        <v>46017</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55947-2024</t>
        </is>
      </c>
      <c r="B370" s="1" t="n">
        <v>45623</v>
      </c>
      <c r="C370" s="1" t="n">
        <v>46017</v>
      </c>
      <c r="D370" t="inlineStr">
        <is>
          <t>ÖSTERGÖTLANDS LÄN</t>
        </is>
      </c>
      <c r="E370" t="inlineStr">
        <is>
          <t>LINKÖPING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47703-2023</t>
        </is>
      </c>
      <c r="B371" s="1" t="n">
        <v>45203</v>
      </c>
      <c r="C371" s="1" t="n">
        <v>46017</v>
      </c>
      <c r="D371" t="inlineStr">
        <is>
          <t>ÖSTERGÖTLANDS LÄN</t>
        </is>
      </c>
      <c r="E371" t="inlineStr">
        <is>
          <t>LINKÖPING</t>
        </is>
      </c>
      <c r="G371" t="n">
        <v>4.1</v>
      </c>
      <c r="H371" t="n">
        <v>0</v>
      </c>
      <c r="I371" t="n">
        <v>0</v>
      </c>
      <c r="J371" t="n">
        <v>0</v>
      </c>
      <c r="K371" t="n">
        <v>0</v>
      </c>
      <c r="L371" t="n">
        <v>0</v>
      </c>
      <c r="M371" t="n">
        <v>0</v>
      </c>
      <c r="N371" t="n">
        <v>0</v>
      </c>
      <c r="O371" t="n">
        <v>0</v>
      </c>
      <c r="P371" t="n">
        <v>0</v>
      </c>
      <c r="Q371" t="n">
        <v>0</v>
      </c>
      <c r="R371" s="2" t="inlineStr"/>
    </row>
    <row r="372" ht="15" customHeight="1">
      <c r="A372" t="inlineStr">
        <is>
          <t>A 51559-2024</t>
        </is>
      </c>
      <c r="B372" s="1" t="n">
        <v>45604.61431712963</v>
      </c>
      <c r="C372" s="1" t="n">
        <v>46017</v>
      </c>
      <c r="D372" t="inlineStr">
        <is>
          <t>ÖSTERGÖTLANDS LÄN</t>
        </is>
      </c>
      <c r="E372" t="inlineStr">
        <is>
          <t>LINKÖPING</t>
        </is>
      </c>
      <c r="F372" t="inlineStr">
        <is>
          <t>Övriga Aktiebolag</t>
        </is>
      </c>
      <c r="G372" t="n">
        <v>2.4</v>
      </c>
      <c r="H372" t="n">
        <v>0</v>
      </c>
      <c r="I372" t="n">
        <v>0</v>
      </c>
      <c r="J372" t="n">
        <v>0</v>
      </c>
      <c r="K372" t="n">
        <v>0</v>
      </c>
      <c r="L372" t="n">
        <v>0</v>
      </c>
      <c r="M372" t="n">
        <v>0</v>
      </c>
      <c r="N372" t="n">
        <v>0</v>
      </c>
      <c r="O372" t="n">
        <v>0</v>
      </c>
      <c r="P372" t="n">
        <v>0</v>
      </c>
      <c r="Q372" t="n">
        <v>0</v>
      </c>
      <c r="R372" s="2" t="inlineStr"/>
    </row>
    <row r="373" ht="15" customHeight="1">
      <c r="A373" t="inlineStr">
        <is>
          <t>A 20296-2025</t>
        </is>
      </c>
      <c r="B373" s="1" t="n">
        <v>45774.74922453704</v>
      </c>
      <c r="C373" s="1" t="n">
        <v>46017</v>
      </c>
      <c r="D373" t="inlineStr">
        <is>
          <t>ÖSTERGÖTLANDS LÄN</t>
        </is>
      </c>
      <c r="E373" t="inlineStr">
        <is>
          <t>LINKÖPING</t>
        </is>
      </c>
      <c r="G373" t="n">
        <v>2.2</v>
      </c>
      <c r="H373" t="n">
        <v>0</v>
      </c>
      <c r="I373" t="n">
        <v>0</v>
      </c>
      <c r="J373" t="n">
        <v>0</v>
      </c>
      <c r="K373" t="n">
        <v>0</v>
      </c>
      <c r="L373" t="n">
        <v>0</v>
      </c>
      <c r="M373" t="n">
        <v>0</v>
      </c>
      <c r="N373" t="n">
        <v>0</v>
      </c>
      <c r="O373" t="n">
        <v>0</v>
      </c>
      <c r="P373" t="n">
        <v>0</v>
      </c>
      <c r="Q373" t="n">
        <v>0</v>
      </c>
      <c r="R373" s="2" t="inlineStr"/>
    </row>
    <row r="374" ht="15" customHeight="1">
      <c r="A374" t="inlineStr">
        <is>
          <t>A 39074-2025</t>
        </is>
      </c>
      <c r="B374" s="1" t="n">
        <v>45888</v>
      </c>
      <c r="C374" s="1" t="n">
        <v>46017</v>
      </c>
      <c r="D374" t="inlineStr">
        <is>
          <t>ÖSTERGÖTLANDS LÄN</t>
        </is>
      </c>
      <c r="E374" t="inlineStr">
        <is>
          <t>LINKÖPING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1260-2023</t>
        </is>
      </c>
      <c r="B375" s="1" t="n">
        <v>44936</v>
      </c>
      <c r="C375" s="1" t="n">
        <v>46017</v>
      </c>
      <c r="D375" t="inlineStr">
        <is>
          <t>ÖSTERGÖTLANDS LÄN</t>
        </is>
      </c>
      <c r="E375" t="inlineStr">
        <is>
          <t>LINKÖPING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7702-2023</t>
        </is>
      </c>
      <c r="B376" s="1" t="n">
        <v>44967</v>
      </c>
      <c r="C376" s="1" t="n">
        <v>46017</v>
      </c>
      <c r="D376" t="inlineStr">
        <is>
          <t>ÖSTERGÖTLANDS LÄN</t>
        </is>
      </c>
      <c r="E376" t="inlineStr">
        <is>
          <t>LINKÖPING</t>
        </is>
      </c>
      <c r="F376" t="inlineStr">
        <is>
          <t>Övriga statliga verk och myndigheter</t>
        </is>
      </c>
      <c r="G376" t="n">
        <v>8</v>
      </c>
      <c r="H376" t="n">
        <v>0</v>
      </c>
      <c r="I376" t="n">
        <v>0</v>
      </c>
      <c r="J376" t="n">
        <v>0</v>
      </c>
      <c r="K376" t="n">
        <v>0</v>
      </c>
      <c r="L376" t="n">
        <v>0</v>
      </c>
      <c r="M376" t="n">
        <v>0</v>
      </c>
      <c r="N376" t="n">
        <v>0</v>
      </c>
      <c r="O376" t="n">
        <v>0</v>
      </c>
      <c r="P376" t="n">
        <v>0</v>
      </c>
      <c r="Q376" t="n">
        <v>0</v>
      </c>
      <c r="R376" s="2" t="inlineStr"/>
    </row>
    <row r="377" ht="15" customHeight="1">
      <c r="A377" t="inlineStr">
        <is>
          <t>A 56841-2023</t>
        </is>
      </c>
      <c r="B377" s="1" t="n">
        <v>45244</v>
      </c>
      <c r="C377" s="1" t="n">
        <v>46017</v>
      </c>
      <c r="D377" t="inlineStr">
        <is>
          <t>ÖSTERGÖTLANDS LÄN</t>
        </is>
      </c>
      <c r="E377" t="inlineStr">
        <is>
          <t>LINKÖPING</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674-2024</t>
        </is>
      </c>
      <c r="B378" s="1" t="n">
        <v>45300.34408564815</v>
      </c>
      <c r="C378" s="1" t="n">
        <v>46017</v>
      </c>
      <c r="D378" t="inlineStr">
        <is>
          <t>ÖSTERGÖTLANDS LÄN</t>
        </is>
      </c>
      <c r="E378" t="inlineStr">
        <is>
          <t>LINKÖPING</t>
        </is>
      </c>
      <c r="F378" t="inlineStr">
        <is>
          <t>Sveaskog</t>
        </is>
      </c>
      <c r="G378" t="n">
        <v>2.9</v>
      </c>
      <c r="H378" t="n">
        <v>0</v>
      </c>
      <c r="I378" t="n">
        <v>0</v>
      </c>
      <c r="J378" t="n">
        <v>0</v>
      </c>
      <c r="K378" t="n">
        <v>0</v>
      </c>
      <c r="L378" t="n">
        <v>0</v>
      </c>
      <c r="M378" t="n">
        <v>0</v>
      </c>
      <c r="N378" t="n">
        <v>0</v>
      </c>
      <c r="O378" t="n">
        <v>0</v>
      </c>
      <c r="P378" t="n">
        <v>0</v>
      </c>
      <c r="Q378" t="n">
        <v>0</v>
      </c>
      <c r="R378" s="2" t="inlineStr"/>
    </row>
    <row r="379" ht="15" customHeight="1">
      <c r="A379" t="inlineStr">
        <is>
          <t>A 63684-2023</t>
        </is>
      </c>
      <c r="B379" s="1" t="n">
        <v>45275</v>
      </c>
      <c r="C379" s="1" t="n">
        <v>46017</v>
      </c>
      <c r="D379" t="inlineStr">
        <is>
          <t>ÖSTERGÖTLANDS LÄN</t>
        </is>
      </c>
      <c r="E379" t="inlineStr">
        <is>
          <t>LINKÖPING</t>
        </is>
      </c>
      <c r="G379" t="n">
        <v>0.4</v>
      </c>
      <c r="H379" t="n">
        <v>0</v>
      </c>
      <c r="I379" t="n">
        <v>0</v>
      </c>
      <c r="J379" t="n">
        <v>0</v>
      </c>
      <c r="K379" t="n">
        <v>0</v>
      </c>
      <c r="L379" t="n">
        <v>0</v>
      </c>
      <c r="M379" t="n">
        <v>0</v>
      </c>
      <c r="N379" t="n">
        <v>0</v>
      </c>
      <c r="O379" t="n">
        <v>0</v>
      </c>
      <c r="P379" t="n">
        <v>0</v>
      </c>
      <c r="Q379" t="n">
        <v>0</v>
      </c>
      <c r="R379" s="2" t="inlineStr"/>
    </row>
    <row r="380" ht="15" customHeight="1">
      <c r="A380" t="inlineStr">
        <is>
          <t>A 167-2024</t>
        </is>
      </c>
      <c r="B380" s="1" t="n">
        <v>45294</v>
      </c>
      <c r="C380" s="1" t="n">
        <v>46017</v>
      </c>
      <c r="D380" t="inlineStr">
        <is>
          <t>ÖSTERGÖTLANDS LÄN</t>
        </is>
      </c>
      <c r="E380" t="inlineStr">
        <is>
          <t>LINKÖPING</t>
        </is>
      </c>
      <c r="F380" t="inlineStr">
        <is>
          <t>Allmännings- och besparingsskogar</t>
        </is>
      </c>
      <c r="G380" t="n">
        <v>11.6</v>
      </c>
      <c r="H380" t="n">
        <v>0</v>
      </c>
      <c r="I380" t="n">
        <v>0</v>
      </c>
      <c r="J380" t="n">
        <v>0</v>
      </c>
      <c r="K380" t="n">
        <v>0</v>
      </c>
      <c r="L380" t="n">
        <v>0</v>
      </c>
      <c r="M380" t="n">
        <v>0</v>
      </c>
      <c r="N380" t="n">
        <v>0</v>
      </c>
      <c r="O380" t="n">
        <v>0</v>
      </c>
      <c r="P380" t="n">
        <v>0</v>
      </c>
      <c r="Q380" t="n">
        <v>0</v>
      </c>
      <c r="R380" s="2" t="inlineStr"/>
    </row>
    <row r="381" ht="15" customHeight="1">
      <c r="A381" t="inlineStr">
        <is>
          <t>A 36725-2023</t>
        </is>
      </c>
      <c r="B381" s="1" t="n">
        <v>45153.68471064815</v>
      </c>
      <c r="C381" s="1" t="n">
        <v>46017</v>
      </c>
      <c r="D381" t="inlineStr">
        <is>
          <t>ÖSTERGÖTLANDS LÄN</t>
        </is>
      </c>
      <c r="E381" t="inlineStr">
        <is>
          <t>LINKÖPING</t>
        </is>
      </c>
      <c r="F381" t="inlineStr">
        <is>
          <t>Allmännings- och besparingsskogar</t>
        </is>
      </c>
      <c r="G381" t="n">
        <v>2.6</v>
      </c>
      <c r="H381" t="n">
        <v>0</v>
      </c>
      <c r="I381" t="n">
        <v>0</v>
      </c>
      <c r="J381" t="n">
        <v>0</v>
      </c>
      <c r="K381" t="n">
        <v>0</v>
      </c>
      <c r="L381" t="n">
        <v>0</v>
      </c>
      <c r="M381" t="n">
        <v>0</v>
      </c>
      <c r="N381" t="n">
        <v>0</v>
      </c>
      <c r="O381" t="n">
        <v>0</v>
      </c>
      <c r="P381" t="n">
        <v>0</v>
      </c>
      <c r="Q381" t="n">
        <v>0</v>
      </c>
      <c r="R381" s="2" t="inlineStr"/>
    </row>
    <row r="382" ht="15" customHeight="1">
      <c r="A382" t="inlineStr">
        <is>
          <t>A 27343-2023</t>
        </is>
      </c>
      <c r="B382" s="1" t="n">
        <v>45096</v>
      </c>
      <c r="C382" s="1" t="n">
        <v>46017</v>
      </c>
      <c r="D382" t="inlineStr">
        <is>
          <t>ÖSTERGÖTLANDS LÄN</t>
        </is>
      </c>
      <c r="E382" t="inlineStr">
        <is>
          <t>LINKÖPING</t>
        </is>
      </c>
      <c r="F382" t="inlineStr">
        <is>
          <t>Allmännings- och besparingsskogar</t>
        </is>
      </c>
      <c r="G382" t="n">
        <v>6.9</v>
      </c>
      <c r="H382" t="n">
        <v>0</v>
      </c>
      <c r="I382" t="n">
        <v>0</v>
      </c>
      <c r="J382" t="n">
        <v>0</v>
      </c>
      <c r="K382" t="n">
        <v>0</v>
      </c>
      <c r="L382" t="n">
        <v>0</v>
      </c>
      <c r="M382" t="n">
        <v>0</v>
      </c>
      <c r="N382" t="n">
        <v>0</v>
      </c>
      <c r="O382" t="n">
        <v>0</v>
      </c>
      <c r="P382" t="n">
        <v>0</v>
      </c>
      <c r="Q382" t="n">
        <v>0</v>
      </c>
      <c r="R382" s="2" t="inlineStr"/>
    </row>
    <row r="383" ht="15" customHeight="1">
      <c r="A383" t="inlineStr">
        <is>
          <t>A 38971-2025</t>
        </is>
      </c>
      <c r="B383" s="1" t="n">
        <v>45887.71827546296</v>
      </c>
      <c r="C383" s="1" t="n">
        <v>46017</v>
      </c>
      <c r="D383" t="inlineStr">
        <is>
          <t>ÖSTERGÖTLANDS LÄN</t>
        </is>
      </c>
      <c r="E383" t="inlineStr">
        <is>
          <t>LINKÖPING</t>
        </is>
      </c>
      <c r="G383" t="n">
        <v>3.9</v>
      </c>
      <c r="H383" t="n">
        <v>0</v>
      </c>
      <c r="I383" t="n">
        <v>0</v>
      </c>
      <c r="J383" t="n">
        <v>0</v>
      </c>
      <c r="K383" t="n">
        <v>0</v>
      </c>
      <c r="L383" t="n">
        <v>0</v>
      </c>
      <c r="M383" t="n">
        <v>0</v>
      </c>
      <c r="N383" t="n">
        <v>0</v>
      </c>
      <c r="O383" t="n">
        <v>0</v>
      </c>
      <c r="P383" t="n">
        <v>0</v>
      </c>
      <c r="Q383" t="n">
        <v>0</v>
      </c>
      <c r="R383" s="2" t="inlineStr"/>
    </row>
    <row r="384" ht="15" customHeight="1">
      <c r="A384" t="inlineStr">
        <is>
          <t>A 72567-2021</t>
        </is>
      </c>
      <c r="B384" s="1" t="n">
        <v>44546.45023148148</v>
      </c>
      <c r="C384" s="1" t="n">
        <v>46017</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22774-2024</t>
        </is>
      </c>
      <c r="B385" s="1" t="n">
        <v>45448.46924768519</v>
      </c>
      <c r="C385" s="1" t="n">
        <v>46017</v>
      </c>
      <c r="D385" t="inlineStr">
        <is>
          <t>ÖSTERGÖTLANDS LÄN</t>
        </is>
      </c>
      <c r="E385" t="inlineStr">
        <is>
          <t>LINKÖPING</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22778-2024</t>
        </is>
      </c>
      <c r="B386" s="1" t="n">
        <v>45448.47233796296</v>
      </c>
      <c r="C386" s="1" t="n">
        <v>46017</v>
      </c>
      <c r="D386" t="inlineStr">
        <is>
          <t>ÖSTERGÖTLANDS LÄN</t>
        </is>
      </c>
      <c r="E386" t="inlineStr">
        <is>
          <t>LINKÖPING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53812-2023</t>
        </is>
      </c>
      <c r="B387" s="1" t="n">
        <v>45231.39583333334</v>
      </c>
      <c r="C387" s="1" t="n">
        <v>46017</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53830-2023</t>
        </is>
      </c>
      <c r="B388" s="1" t="n">
        <v>45230</v>
      </c>
      <c r="C388" s="1" t="n">
        <v>46017</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27264-2025</t>
        </is>
      </c>
      <c r="B389" s="1" t="n">
        <v>45812.4794212963</v>
      </c>
      <c r="C389" s="1" t="n">
        <v>46017</v>
      </c>
      <c r="D389" t="inlineStr">
        <is>
          <t>ÖSTERGÖTLANDS LÄN</t>
        </is>
      </c>
      <c r="E389" t="inlineStr">
        <is>
          <t>LINKÖPING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34864-2023</t>
        </is>
      </c>
      <c r="B390" s="1" t="n">
        <v>45141</v>
      </c>
      <c r="C390" s="1" t="n">
        <v>46017</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52531-2023</t>
        </is>
      </c>
      <c r="B391" s="1" t="n">
        <v>45225</v>
      </c>
      <c r="C391" s="1" t="n">
        <v>46017</v>
      </c>
      <c r="D391" t="inlineStr">
        <is>
          <t>ÖSTERGÖTLANDS LÄN</t>
        </is>
      </c>
      <c r="E391" t="inlineStr">
        <is>
          <t>LINKÖPING</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34930-2023</t>
        </is>
      </c>
      <c r="B392" s="1" t="n">
        <v>45142</v>
      </c>
      <c r="C392" s="1" t="n">
        <v>46017</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39438-2025</t>
        </is>
      </c>
      <c r="B393" s="1" t="n">
        <v>45889.68641203704</v>
      </c>
      <c r="C393" s="1" t="n">
        <v>46017</v>
      </c>
      <c r="D393" t="inlineStr">
        <is>
          <t>ÖSTERGÖTLANDS LÄN</t>
        </is>
      </c>
      <c r="E393" t="inlineStr">
        <is>
          <t>LINKÖPING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38715-2023</t>
        </is>
      </c>
      <c r="B394" s="1" t="n">
        <v>45160</v>
      </c>
      <c r="C394" s="1" t="n">
        <v>46017</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30985-2022</t>
        </is>
      </c>
      <c r="B395" s="1" t="n">
        <v>44768</v>
      </c>
      <c r="C395" s="1" t="n">
        <v>46017</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62353-2022</t>
        </is>
      </c>
      <c r="B396" s="1" t="n">
        <v>44923</v>
      </c>
      <c r="C396" s="1" t="n">
        <v>46017</v>
      </c>
      <c r="D396" t="inlineStr">
        <is>
          <t>ÖSTERGÖTLANDS LÄN</t>
        </is>
      </c>
      <c r="E396" t="inlineStr">
        <is>
          <t>LINKÖPING</t>
        </is>
      </c>
      <c r="F396" t="inlineStr">
        <is>
          <t>Allmännings- och besparingsskogar</t>
        </is>
      </c>
      <c r="G396" t="n">
        <v>1.7</v>
      </c>
      <c r="H396" t="n">
        <v>0</v>
      </c>
      <c r="I396" t="n">
        <v>0</v>
      </c>
      <c r="J396" t="n">
        <v>0</v>
      </c>
      <c r="K396" t="n">
        <v>0</v>
      </c>
      <c r="L396" t="n">
        <v>0</v>
      </c>
      <c r="M396" t="n">
        <v>0</v>
      </c>
      <c r="N396" t="n">
        <v>0</v>
      </c>
      <c r="O396" t="n">
        <v>0</v>
      </c>
      <c r="P396" t="n">
        <v>0</v>
      </c>
      <c r="Q396" t="n">
        <v>0</v>
      </c>
      <c r="R396" s="2" t="inlineStr"/>
    </row>
    <row r="397" ht="15" customHeight="1">
      <c r="A397" t="inlineStr">
        <is>
          <t>A 15754-2025</t>
        </is>
      </c>
      <c r="B397" s="1" t="n">
        <v>45748.56105324074</v>
      </c>
      <c r="C397" s="1" t="n">
        <v>46017</v>
      </c>
      <c r="D397" t="inlineStr">
        <is>
          <t>ÖSTERGÖTLANDS LÄN</t>
        </is>
      </c>
      <c r="E397" t="inlineStr">
        <is>
          <t>LINKÖPING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40169-2025</t>
        </is>
      </c>
      <c r="B398" s="1" t="n">
        <v>45894.62824074074</v>
      </c>
      <c r="C398" s="1" t="n">
        <v>46017</v>
      </c>
      <c r="D398" t="inlineStr">
        <is>
          <t>ÖSTERGÖTLANDS LÄN</t>
        </is>
      </c>
      <c r="E398" t="inlineStr">
        <is>
          <t>LINKÖPING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4298-2023</t>
        </is>
      </c>
      <c r="B399" s="1" t="n">
        <v>44953</v>
      </c>
      <c r="C399" s="1" t="n">
        <v>46017</v>
      </c>
      <c r="D399" t="inlineStr">
        <is>
          <t>ÖSTERGÖTLANDS LÄN</t>
        </is>
      </c>
      <c r="E399" t="inlineStr">
        <is>
          <t>LINKÖPING</t>
        </is>
      </c>
      <c r="G399" t="n">
        <v>2.8</v>
      </c>
      <c r="H399" t="n">
        <v>0</v>
      </c>
      <c r="I399" t="n">
        <v>0</v>
      </c>
      <c r="J399" t="n">
        <v>0</v>
      </c>
      <c r="K399" t="n">
        <v>0</v>
      </c>
      <c r="L399" t="n">
        <v>0</v>
      </c>
      <c r="M399" t="n">
        <v>0</v>
      </c>
      <c r="N399" t="n">
        <v>0</v>
      </c>
      <c r="O399" t="n">
        <v>0</v>
      </c>
      <c r="P399" t="n">
        <v>0</v>
      </c>
      <c r="Q399" t="n">
        <v>0</v>
      </c>
      <c r="R399" s="2" t="inlineStr"/>
    </row>
    <row r="400" ht="15" customHeight="1">
      <c r="A400" t="inlineStr">
        <is>
          <t>A 27766-2022</t>
        </is>
      </c>
      <c r="B400" s="1" t="n">
        <v>44743.53112268518</v>
      </c>
      <c r="C400" s="1" t="n">
        <v>46017</v>
      </c>
      <c r="D400" t="inlineStr">
        <is>
          <t>ÖSTERGÖTLANDS LÄN</t>
        </is>
      </c>
      <c r="E400" t="inlineStr">
        <is>
          <t>LINKÖPING</t>
        </is>
      </c>
      <c r="G400" t="n">
        <v>2</v>
      </c>
      <c r="H400" t="n">
        <v>0</v>
      </c>
      <c r="I400" t="n">
        <v>0</v>
      </c>
      <c r="J400" t="n">
        <v>0</v>
      </c>
      <c r="K400" t="n">
        <v>0</v>
      </c>
      <c r="L400" t="n">
        <v>0</v>
      </c>
      <c r="M400" t="n">
        <v>0</v>
      </c>
      <c r="N400" t="n">
        <v>0</v>
      </c>
      <c r="O400" t="n">
        <v>0</v>
      </c>
      <c r="P400" t="n">
        <v>0</v>
      </c>
      <c r="Q400" t="n">
        <v>0</v>
      </c>
      <c r="R400" s="2" t="inlineStr"/>
    </row>
    <row r="401" ht="15" customHeight="1">
      <c r="A401" t="inlineStr">
        <is>
          <t>A 59642-2024</t>
        </is>
      </c>
      <c r="B401" s="1" t="n">
        <v>45639.31511574074</v>
      </c>
      <c r="C401" s="1" t="n">
        <v>46017</v>
      </c>
      <c r="D401" t="inlineStr">
        <is>
          <t>ÖSTERGÖTLANDS LÄN</t>
        </is>
      </c>
      <c r="E401" t="inlineStr">
        <is>
          <t>LINKÖPING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15748-2025</t>
        </is>
      </c>
      <c r="B402" s="1" t="n">
        <v>45748.55282407408</v>
      </c>
      <c r="C402" s="1" t="n">
        <v>46017</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31792-2021</t>
        </is>
      </c>
      <c r="B403" s="1" t="n">
        <v>44369</v>
      </c>
      <c r="C403" s="1" t="n">
        <v>46017</v>
      </c>
      <c r="D403" t="inlineStr">
        <is>
          <t>ÖSTERGÖTLANDS LÄN</t>
        </is>
      </c>
      <c r="E403" t="inlineStr">
        <is>
          <t>LINKÖPING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25097-2023</t>
        </is>
      </c>
      <c r="B404" s="1" t="n">
        <v>45086</v>
      </c>
      <c r="C404" s="1" t="n">
        <v>46017</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35735-2023</t>
        </is>
      </c>
      <c r="B405" s="1" t="n">
        <v>45147</v>
      </c>
      <c r="C405" s="1" t="n">
        <v>46017</v>
      </c>
      <c r="D405" t="inlineStr">
        <is>
          <t>ÖSTERGÖTLANDS LÄN</t>
        </is>
      </c>
      <c r="E405" t="inlineStr">
        <is>
          <t>LINKÖPING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16462-2021</t>
        </is>
      </c>
      <c r="B406" s="1" t="n">
        <v>44293</v>
      </c>
      <c r="C406" s="1" t="n">
        <v>46017</v>
      </c>
      <c r="D406" t="inlineStr">
        <is>
          <t>ÖSTERGÖTLANDS LÄN</t>
        </is>
      </c>
      <c r="E406" t="inlineStr">
        <is>
          <t>LINKÖPING</t>
        </is>
      </c>
      <c r="F406" t="inlineStr">
        <is>
          <t>Allmännings- och besparingsskogar</t>
        </is>
      </c>
      <c r="G406" t="n">
        <v>24.7</v>
      </c>
      <c r="H406" t="n">
        <v>0</v>
      </c>
      <c r="I406" t="n">
        <v>0</v>
      </c>
      <c r="J406" t="n">
        <v>0</v>
      </c>
      <c r="K406" t="n">
        <v>0</v>
      </c>
      <c r="L406" t="n">
        <v>0</v>
      </c>
      <c r="M406" t="n">
        <v>0</v>
      </c>
      <c r="N406" t="n">
        <v>0</v>
      </c>
      <c r="O406" t="n">
        <v>0</v>
      </c>
      <c r="P406" t="n">
        <v>0</v>
      </c>
      <c r="Q406" t="n">
        <v>0</v>
      </c>
      <c r="R406" s="2" t="inlineStr"/>
    </row>
    <row r="407" ht="15" customHeight="1">
      <c r="A407" t="inlineStr">
        <is>
          <t>A 48271-2023</t>
        </is>
      </c>
      <c r="B407" s="1" t="n">
        <v>45205</v>
      </c>
      <c r="C407" s="1" t="n">
        <v>46017</v>
      </c>
      <c r="D407" t="inlineStr">
        <is>
          <t>ÖSTERGÖTLANDS LÄN</t>
        </is>
      </c>
      <c r="E407" t="inlineStr">
        <is>
          <t>LINKÖPING</t>
        </is>
      </c>
      <c r="G407" t="n">
        <v>3</v>
      </c>
      <c r="H407" t="n">
        <v>0</v>
      </c>
      <c r="I407" t="n">
        <v>0</v>
      </c>
      <c r="J407" t="n">
        <v>0</v>
      </c>
      <c r="K407" t="n">
        <v>0</v>
      </c>
      <c r="L407" t="n">
        <v>0</v>
      </c>
      <c r="M407" t="n">
        <v>0</v>
      </c>
      <c r="N407" t="n">
        <v>0</v>
      </c>
      <c r="O407" t="n">
        <v>0</v>
      </c>
      <c r="P407" t="n">
        <v>0</v>
      </c>
      <c r="Q407" t="n">
        <v>0</v>
      </c>
      <c r="R407" s="2" t="inlineStr"/>
    </row>
    <row r="408" ht="15" customHeight="1">
      <c r="A408" t="inlineStr">
        <is>
          <t>A 25776-2021</t>
        </is>
      </c>
      <c r="B408" s="1" t="n">
        <v>44343</v>
      </c>
      <c r="C408" s="1" t="n">
        <v>46017</v>
      </c>
      <c r="D408" t="inlineStr">
        <is>
          <t>ÖSTERGÖTLANDS LÄN</t>
        </is>
      </c>
      <c r="E408" t="inlineStr">
        <is>
          <t>LINKÖPING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30856-2022</t>
        </is>
      </c>
      <c r="B409" s="1" t="n">
        <v>44767</v>
      </c>
      <c r="C409" s="1" t="n">
        <v>46017</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19187-2021</t>
        </is>
      </c>
      <c r="B410" s="1" t="n">
        <v>44308</v>
      </c>
      <c r="C410" s="1" t="n">
        <v>46017</v>
      </c>
      <c r="D410" t="inlineStr">
        <is>
          <t>ÖSTERGÖTLANDS LÄN</t>
        </is>
      </c>
      <c r="E410" t="inlineStr">
        <is>
          <t>LINKÖPING</t>
        </is>
      </c>
      <c r="F410" t="inlineStr">
        <is>
          <t>Allmännings- och besparingsskogar</t>
        </is>
      </c>
      <c r="G410" t="n">
        <v>20</v>
      </c>
      <c r="H410" t="n">
        <v>0</v>
      </c>
      <c r="I410" t="n">
        <v>0</v>
      </c>
      <c r="J410" t="n">
        <v>0</v>
      </c>
      <c r="K410" t="n">
        <v>0</v>
      </c>
      <c r="L410" t="n">
        <v>0</v>
      </c>
      <c r="M410" t="n">
        <v>0</v>
      </c>
      <c r="N410" t="n">
        <v>0</v>
      </c>
      <c r="O410" t="n">
        <v>0</v>
      </c>
      <c r="P410" t="n">
        <v>0</v>
      </c>
      <c r="Q410" t="n">
        <v>0</v>
      </c>
      <c r="R410" s="2" t="inlineStr"/>
    </row>
    <row r="411" ht="15" customHeight="1">
      <c r="A411" t="inlineStr">
        <is>
          <t>A 13266-2025</t>
        </is>
      </c>
      <c r="B411" s="1" t="n">
        <v>45735.53318287037</v>
      </c>
      <c r="C411" s="1" t="n">
        <v>46017</v>
      </c>
      <c r="D411" t="inlineStr">
        <is>
          <t>ÖSTERGÖTLANDS LÄN</t>
        </is>
      </c>
      <c r="E411" t="inlineStr">
        <is>
          <t>LINKÖPING</t>
        </is>
      </c>
      <c r="G411" t="n">
        <v>3.1</v>
      </c>
      <c r="H411" t="n">
        <v>0</v>
      </c>
      <c r="I411" t="n">
        <v>0</v>
      </c>
      <c r="J411" t="n">
        <v>0</v>
      </c>
      <c r="K411" t="n">
        <v>0</v>
      </c>
      <c r="L411" t="n">
        <v>0</v>
      </c>
      <c r="M411" t="n">
        <v>0</v>
      </c>
      <c r="N411" t="n">
        <v>0</v>
      </c>
      <c r="O411" t="n">
        <v>0</v>
      </c>
      <c r="P411" t="n">
        <v>0</v>
      </c>
      <c r="Q411" t="n">
        <v>0</v>
      </c>
      <c r="R411" s="2" t="inlineStr"/>
    </row>
    <row r="412" ht="15" customHeight="1">
      <c r="A412" t="inlineStr">
        <is>
          <t>A 18145-2021</t>
        </is>
      </c>
      <c r="B412" s="1" t="n">
        <v>44302</v>
      </c>
      <c r="C412" s="1" t="n">
        <v>46017</v>
      </c>
      <c r="D412" t="inlineStr">
        <is>
          <t>ÖSTERGÖTLANDS LÄN</t>
        </is>
      </c>
      <c r="E412" t="inlineStr">
        <is>
          <t>LINKÖPING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39219-2021</t>
        </is>
      </c>
      <c r="B413" s="1" t="n">
        <v>44413</v>
      </c>
      <c r="C413" s="1" t="n">
        <v>46017</v>
      </c>
      <c r="D413" t="inlineStr">
        <is>
          <t>ÖSTERGÖTLANDS LÄN</t>
        </is>
      </c>
      <c r="E413" t="inlineStr">
        <is>
          <t>LINKÖPING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39224-2021</t>
        </is>
      </c>
      <c r="B414" s="1" t="n">
        <v>44413</v>
      </c>
      <c r="C414" s="1" t="n">
        <v>46017</v>
      </c>
      <c r="D414" t="inlineStr">
        <is>
          <t>ÖSTERGÖTLANDS LÄN</t>
        </is>
      </c>
      <c r="E414" t="inlineStr">
        <is>
          <t>LINKÖPING</t>
        </is>
      </c>
      <c r="G414" t="n">
        <v>2.1</v>
      </c>
      <c r="H414" t="n">
        <v>0</v>
      </c>
      <c r="I414" t="n">
        <v>0</v>
      </c>
      <c r="J414" t="n">
        <v>0</v>
      </c>
      <c r="K414" t="n">
        <v>0</v>
      </c>
      <c r="L414" t="n">
        <v>0</v>
      </c>
      <c r="M414" t="n">
        <v>0</v>
      </c>
      <c r="N414" t="n">
        <v>0</v>
      </c>
      <c r="O414" t="n">
        <v>0</v>
      </c>
      <c r="P414" t="n">
        <v>0</v>
      </c>
      <c r="Q414" t="n">
        <v>0</v>
      </c>
      <c r="R414" s="2" t="inlineStr"/>
    </row>
    <row r="415" ht="15" customHeight="1">
      <c r="A415" t="inlineStr">
        <is>
          <t>A 25568-2024</t>
        </is>
      </c>
      <c r="B415" s="1" t="n">
        <v>45463.58699074074</v>
      </c>
      <c r="C415" s="1" t="n">
        <v>46017</v>
      </c>
      <c r="D415" t="inlineStr">
        <is>
          <t>ÖSTERGÖTLANDS LÄN</t>
        </is>
      </c>
      <c r="E415" t="inlineStr">
        <is>
          <t>LINKÖPING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41706-2025</t>
        </is>
      </c>
      <c r="B416" s="1" t="n">
        <v>45902.42209490741</v>
      </c>
      <c r="C416" s="1" t="n">
        <v>46017</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60001-2022</t>
        </is>
      </c>
      <c r="B417" s="1" t="n">
        <v>44909.47087962963</v>
      </c>
      <c r="C417" s="1" t="n">
        <v>46017</v>
      </c>
      <c r="D417" t="inlineStr">
        <is>
          <t>ÖSTERGÖTLANDS LÄN</t>
        </is>
      </c>
      <c r="E417" t="inlineStr">
        <is>
          <t>LINKÖPING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1657-2024</t>
        </is>
      </c>
      <c r="B418" s="1" t="n">
        <v>45306.82501157407</v>
      </c>
      <c r="C418" s="1" t="n">
        <v>46017</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38136-2023</t>
        </is>
      </c>
      <c r="B419" s="1" t="n">
        <v>45161.37310185185</v>
      </c>
      <c r="C419" s="1" t="n">
        <v>46017</v>
      </c>
      <c r="D419" t="inlineStr">
        <is>
          <t>ÖSTERGÖTLANDS LÄN</t>
        </is>
      </c>
      <c r="E419" t="inlineStr">
        <is>
          <t>LINKÖPING</t>
        </is>
      </c>
      <c r="G419" t="n">
        <v>5.6</v>
      </c>
      <c r="H419" t="n">
        <v>0</v>
      </c>
      <c r="I419" t="n">
        <v>0</v>
      </c>
      <c r="J419" t="n">
        <v>0</v>
      </c>
      <c r="K419" t="n">
        <v>0</v>
      </c>
      <c r="L419" t="n">
        <v>0</v>
      </c>
      <c r="M419" t="n">
        <v>0</v>
      </c>
      <c r="N419" t="n">
        <v>0</v>
      </c>
      <c r="O419" t="n">
        <v>0</v>
      </c>
      <c r="P419" t="n">
        <v>0</v>
      </c>
      <c r="Q419" t="n">
        <v>0</v>
      </c>
      <c r="R419" s="2" t="inlineStr"/>
    </row>
    <row r="420" ht="15" customHeight="1">
      <c r="A420" t="inlineStr">
        <is>
          <t>A 43934-2023</t>
        </is>
      </c>
      <c r="B420" s="1" t="n">
        <v>45187</v>
      </c>
      <c r="C420" s="1" t="n">
        <v>46017</v>
      </c>
      <c r="D420" t="inlineStr">
        <is>
          <t>ÖSTERGÖTLANDS LÄN</t>
        </is>
      </c>
      <c r="E420" t="inlineStr">
        <is>
          <t>LINKÖPING</t>
        </is>
      </c>
      <c r="F420" t="inlineStr">
        <is>
          <t>Övriga Aktiebolag</t>
        </is>
      </c>
      <c r="G420" t="n">
        <v>3.8</v>
      </c>
      <c r="H420" t="n">
        <v>0</v>
      </c>
      <c r="I420" t="n">
        <v>0</v>
      </c>
      <c r="J420" t="n">
        <v>0</v>
      </c>
      <c r="K420" t="n">
        <v>0</v>
      </c>
      <c r="L420" t="n">
        <v>0</v>
      </c>
      <c r="M420" t="n">
        <v>0</v>
      </c>
      <c r="N420" t="n">
        <v>0</v>
      </c>
      <c r="O420" t="n">
        <v>0</v>
      </c>
      <c r="P420" t="n">
        <v>0</v>
      </c>
      <c r="Q420" t="n">
        <v>0</v>
      </c>
      <c r="R420" s="2" t="inlineStr"/>
    </row>
    <row r="421" ht="15" customHeight="1">
      <c r="A421" t="inlineStr">
        <is>
          <t>A 12317-2025</t>
        </is>
      </c>
      <c r="B421" s="1" t="n">
        <v>45729.8487037037</v>
      </c>
      <c r="C421" s="1" t="n">
        <v>46017</v>
      </c>
      <c r="D421" t="inlineStr">
        <is>
          <t>ÖSTERGÖTLANDS LÄN</t>
        </is>
      </c>
      <c r="E421" t="inlineStr">
        <is>
          <t>LINKÖPING</t>
        </is>
      </c>
      <c r="G421" t="n">
        <v>8</v>
      </c>
      <c r="H421" t="n">
        <v>0</v>
      </c>
      <c r="I421" t="n">
        <v>0</v>
      </c>
      <c r="J421" t="n">
        <v>0</v>
      </c>
      <c r="K421" t="n">
        <v>0</v>
      </c>
      <c r="L421" t="n">
        <v>0</v>
      </c>
      <c r="M421" t="n">
        <v>0</v>
      </c>
      <c r="N421" t="n">
        <v>0</v>
      </c>
      <c r="O421" t="n">
        <v>0</v>
      </c>
      <c r="P421" t="n">
        <v>0</v>
      </c>
      <c r="Q421" t="n">
        <v>0</v>
      </c>
      <c r="R421" s="2" t="inlineStr"/>
    </row>
    <row r="422" ht="15" customHeight="1">
      <c r="A422" t="inlineStr">
        <is>
          <t>A 41511-2025</t>
        </is>
      </c>
      <c r="B422" s="1" t="n">
        <v>45901.53839120371</v>
      </c>
      <c r="C422" s="1" t="n">
        <v>46017</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3042-2024</t>
        </is>
      </c>
      <c r="B423" s="1" t="n">
        <v>45316.35028935185</v>
      </c>
      <c r="C423" s="1" t="n">
        <v>46017</v>
      </c>
      <c r="D423" t="inlineStr">
        <is>
          <t>ÖSTERGÖTLANDS LÄN</t>
        </is>
      </c>
      <c r="E423" t="inlineStr">
        <is>
          <t>LINKÖPING</t>
        </is>
      </c>
      <c r="G423" t="n">
        <v>3.1</v>
      </c>
      <c r="H423" t="n">
        <v>0</v>
      </c>
      <c r="I423" t="n">
        <v>0</v>
      </c>
      <c r="J423" t="n">
        <v>0</v>
      </c>
      <c r="K423" t="n">
        <v>0</v>
      </c>
      <c r="L423" t="n">
        <v>0</v>
      </c>
      <c r="M423" t="n">
        <v>0</v>
      </c>
      <c r="N423" t="n">
        <v>0</v>
      </c>
      <c r="O423" t="n">
        <v>0</v>
      </c>
      <c r="P423" t="n">
        <v>0</v>
      </c>
      <c r="Q423" t="n">
        <v>0</v>
      </c>
      <c r="R423" s="2" t="inlineStr"/>
    </row>
    <row r="424" ht="15" customHeight="1">
      <c r="A424" t="inlineStr">
        <is>
          <t>A 30976-2022</t>
        </is>
      </c>
      <c r="B424" s="1" t="n">
        <v>44768</v>
      </c>
      <c r="C424" s="1" t="n">
        <v>46017</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14528-2025</t>
        </is>
      </c>
      <c r="B425" s="1" t="n">
        <v>45741</v>
      </c>
      <c r="C425" s="1" t="n">
        <v>46017</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29293-2025</t>
        </is>
      </c>
      <c r="B426" s="1" t="n">
        <v>45824</v>
      </c>
      <c r="C426" s="1" t="n">
        <v>46017</v>
      </c>
      <c r="D426" t="inlineStr">
        <is>
          <t>ÖSTERGÖTLANDS LÄN</t>
        </is>
      </c>
      <c r="E426" t="inlineStr">
        <is>
          <t>LINKÖPING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30860-2022</t>
        </is>
      </c>
      <c r="B427" s="1" t="n">
        <v>44767</v>
      </c>
      <c r="C427" s="1" t="n">
        <v>46017</v>
      </c>
      <c r="D427" t="inlineStr">
        <is>
          <t>ÖSTERGÖTLANDS LÄN</t>
        </is>
      </c>
      <c r="E427" t="inlineStr">
        <is>
          <t>LINKÖPING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48186-2022</t>
        </is>
      </c>
      <c r="B428" s="1" t="n">
        <v>44858</v>
      </c>
      <c r="C428" s="1" t="n">
        <v>46017</v>
      </c>
      <c r="D428" t="inlineStr">
        <is>
          <t>ÖSTERGÖTLANDS LÄN</t>
        </is>
      </c>
      <c r="E428" t="inlineStr">
        <is>
          <t>LINKÖPING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28266-2024</t>
        </is>
      </c>
      <c r="B429" s="1" t="n">
        <v>45477.43600694444</v>
      </c>
      <c r="C429" s="1" t="n">
        <v>46017</v>
      </c>
      <c r="D429" t="inlineStr">
        <is>
          <t>ÖSTERGÖTLANDS LÄN</t>
        </is>
      </c>
      <c r="E429" t="inlineStr">
        <is>
          <t>LINKÖPING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7354-2025</t>
        </is>
      </c>
      <c r="B430" s="1" t="n">
        <v>45704.41174768518</v>
      </c>
      <c r="C430" s="1" t="n">
        <v>46017</v>
      </c>
      <c r="D430" t="inlineStr">
        <is>
          <t>ÖSTERGÖTLANDS LÄN</t>
        </is>
      </c>
      <c r="E430" t="inlineStr">
        <is>
          <t>LINKÖPING</t>
        </is>
      </c>
      <c r="G430" t="n">
        <v>4.8</v>
      </c>
      <c r="H430" t="n">
        <v>0</v>
      </c>
      <c r="I430" t="n">
        <v>0</v>
      </c>
      <c r="J430" t="n">
        <v>0</v>
      </c>
      <c r="K430" t="n">
        <v>0</v>
      </c>
      <c r="L430" t="n">
        <v>0</v>
      </c>
      <c r="M430" t="n">
        <v>0</v>
      </c>
      <c r="N430" t="n">
        <v>0</v>
      </c>
      <c r="O430" t="n">
        <v>0</v>
      </c>
      <c r="P430" t="n">
        <v>0</v>
      </c>
      <c r="Q430" t="n">
        <v>0</v>
      </c>
      <c r="R430" s="2" t="inlineStr"/>
    </row>
    <row r="431" ht="15" customHeight="1">
      <c r="A431" t="inlineStr">
        <is>
          <t>A 31548-2022</t>
        </is>
      </c>
      <c r="B431" s="1" t="n">
        <v>44775.39832175926</v>
      </c>
      <c r="C431" s="1" t="n">
        <v>46017</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63935-2021</t>
        </is>
      </c>
      <c r="B432" s="1" t="n">
        <v>44509</v>
      </c>
      <c r="C432" s="1" t="n">
        <v>46017</v>
      </c>
      <c r="D432" t="inlineStr">
        <is>
          <t>ÖSTERGÖTLANDS LÄN</t>
        </is>
      </c>
      <c r="E432" t="inlineStr">
        <is>
          <t>LINKÖPING</t>
        </is>
      </c>
      <c r="F432" t="inlineStr">
        <is>
          <t>Övriga statliga verk och myndigheter</t>
        </is>
      </c>
      <c r="G432" t="n">
        <v>2.8</v>
      </c>
      <c r="H432" t="n">
        <v>0</v>
      </c>
      <c r="I432" t="n">
        <v>0</v>
      </c>
      <c r="J432" t="n">
        <v>0</v>
      </c>
      <c r="K432" t="n">
        <v>0</v>
      </c>
      <c r="L432" t="n">
        <v>0</v>
      </c>
      <c r="M432" t="n">
        <v>0</v>
      </c>
      <c r="N432" t="n">
        <v>0</v>
      </c>
      <c r="O432" t="n">
        <v>0</v>
      </c>
      <c r="P432" t="n">
        <v>0</v>
      </c>
      <c r="Q432" t="n">
        <v>0</v>
      </c>
      <c r="R432" s="2" t="inlineStr"/>
    </row>
    <row r="433" ht="15" customHeight="1">
      <c r="A433" t="inlineStr">
        <is>
          <t>A 42623-2025</t>
        </is>
      </c>
      <c r="B433" s="1" t="n">
        <v>45905</v>
      </c>
      <c r="C433" s="1" t="n">
        <v>46017</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1211-2023</t>
        </is>
      </c>
      <c r="B434" s="1" t="n">
        <v>44930</v>
      </c>
      <c r="C434" s="1" t="n">
        <v>46017</v>
      </c>
      <c r="D434" t="inlineStr">
        <is>
          <t>ÖSTERGÖTLANDS LÄN</t>
        </is>
      </c>
      <c r="E434" t="inlineStr">
        <is>
          <t>LINKÖPING</t>
        </is>
      </c>
      <c r="F434" t="inlineStr">
        <is>
          <t>Övriga statliga verk och myndigheter</t>
        </is>
      </c>
      <c r="G434" t="n">
        <v>7.9</v>
      </c>
      <c r="H434" t="n">
        <v>0</v>
      </c>
      <c r="I434" t="n">
        <v>0</v>
      </c>
      <c r="J434" t="n">
        <v>0</v>
      </c>
      <c r="K434" t="n">
        <v>0</v>
      </c>
      <c r="L434" t="n">
        <v>0</v>
      </c>
      <c r="M434" t="n">
        <v>0</v>
      </c>
      <c r="N434" t="n">
        <v>0</v>
      </c>
      <c r="O434" t="n">
        <v>0</v>
      </c>
      <c r="P434" t="n">
        <v>0</v>
      </c>
      <c r="Q434" t="n">
        <v>0</v>
      </c>
      <c r="R434" s="2" t="inlineStr"/>
    </row>
    <row r="435" ht="15" customHeight="1">
      <c r="A435" t="inlineStr">
        <is>
          <t>A 51191-2022</t>
        </is>
      </c>
      <c r="B435" s="1" t="n">
        <v>44865</v>
      </c>
      <c r="C435" s="1" t="n">
        <v>46017</v>
      </c>
      <c r="D435" t="inlineStr">
        <is>
          <t>ÖSTERGÖTLANDS LÄN</t>
        </is>
      </c>
      <c r="E435" t="inlineStr">
        <is>
          <t>LINKÖPING</t>
        </is>
      </c>
      <c r="G435" t="n">
        <v>2.2</v>
      </c>
      <c r="H435" t="n">
        <v>0</v>
      </c>
      <c r="I435" t="n">
        <v>0</v>
      </c>
      <c r="J435" t="n">
        <v>0</v>
      </c>
      <c r="K435" t="n">
        <v>0</v>
      </c>
      <c r="L435" t="n">
        <v>0</v>
      </c>
      <c r="M435" t="n">
        <v>0</v>
      </c>
      <c r="N435" t="n">
        <v>0</v>
      </c>
      <c r="O435" t="n">
        <v>0</v>
      </c>
      <c r="P435" t="n">
        <v>0</v>
      </c>
      <c r="Q435" t="n">
        <v>0</v>
      </c>
      <c r="R435" s="2" t="inlineStr"/>
    </row>
    <row r="436" ht="15" customHeight="1">
      <c r="A436" t="inlineStr">
        <is>
          <t>A 55632-2022</t>
        </is>
      </c>
      <c r="B436" s="1" t="n">
        <v>44888</v>
      </c>
      <c r="C436" s="1" t="n">
        <v>46017</v>
      </c>
      <c r="D436" t="inlineStr">
        <is>
          <t>ÖSTERGÖTLANDS LÄN</t>
        </is>
      </c>
      <c r="E436" t="inlineStr">
        <is>
          <t>LINKÖPING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40810-2022</t>
        </is>
      </c>
      <c r="B437" s="1" t="n">
        <v>44824</v>
      </c>
      <c r="C437" s="1" t="n">
        <v>46017</v>
      </c>
      <c r="D437" t="inlineStr">
        <is>
          <t>ÖSTERGÖTLANDS LÄN</t>
        </is>
      </c>
      <c r="E437" t="inlineStr">
        <is>
          <t>LINKÖPING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42624-2025</t>
        </is>
      </c>
      <c r="B438" s="1" t="n">
        <v>45905</v>
      </c>
      <c r="C438" s="1" t="n">
        <v>46017</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42626-2025</t>
        </is>
      </c>
      <c r="B439" s="1" t="n">
        <v>45905</v>
      </c>
      <c r="C439" s="1" t="n">
        <v>46017</v>
      </c>
      <c r="D439" t="inlineStr">
        <is>
          <t>ÖSTERGÖTLANDS LÄN</t>
        </is>
      </c>
      <c r="E439" t="inlineStr">
        <is>
          <t>LINKÖPING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61649-2023</t>
        </is>
      </c>
      <c r="B440" s="1" t="n">
        <v>45265</v>
      </c>
      <c r="C440" s="1" t="n">
        <v>46017</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63669-2023</t>
        </is>
      </c>
      <c r="B441" s="1" t="n">
        <v>45275</v>
      </c>
      <c r="C441" s="1" t="n">
        <v>46017</v>
      </c>
      <c r="D441" t="inlineStr">
        <is>
          <t>ÖSTERGÖTLANDS LÄN</t>
        </is>
      </c>
      <c r="E441" t="inlineStr">
        <is>
          <t>LINKÖPING</t>
        </is>
      </c>
      <c r="F441" t="inlineStr">
        <is>
          <t>Övriga Aktiebolag</t>
        </is>
      </c>
      <c r="G441" t="n">
        <v>3</v>
      </c>
      <c r="H441" t="n">
        <v>0</v>
      </c>
      <c r="I441" t="n">
        <v>0</v>
      </c>
      <c r="J441" t="n">
        <v>0</v>
      </c>
      <c r="K441" t="n">
        <v>0</v>
      </c>
      <c r="L441" t="n">
        <v>0</v>
      </c>
      <c r="M441" t="n">
        <v>0</v>
      </c>
      <c r="N441" t="n">
        <v>0</v>
      </c>
      <c r="O441" t="n">
        <v>0</v>
      </c>
      <c r="P441" t="n">
        <v>0</v>
      </c>
      <c r="Q441" t="n">
        <v>0</v>
      </c>
      <c r="R441" s="2" t="inlineStr"/>
    </row>
    <row r="442" ht="15" customHeight="1">
      <c r="A442" t="inlineStr">
        <is>
          <t>A 20298-2025</t>
        </is>
      </c>
      <c r="B442" s="1" t="n">
        <v>45774.75024305555</v>
      </c>
      <c r="C442" s="1" t="n">
        <v>46017</v>
      </c>
      <c r="D442" t="inlineStr">
        <is>
          <t>ÖSTERGÖTLANDS LÄN</t>
        </is>
      </c>
      <c r="E442" t="inlineStr">
        <is>
          <t>LINKÖPING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12289-2025</t>
        </is>
      </c>
      <c r="B443" s="1" t="n">
        <v>45729</v>
      </c>
      <c r="C443" s="1" t="n">
        <v>46017</v>
      </c>
      <c r="D443" t="inlineStr">
        <is>
          <t>ÖSTERGÖTLANDS LÄN</t>
        </is>
      </c>
      <c r="E443" t="inlineStr">
        <is>
          <t>LINKÖPING</t>
        </is>
      </c>
      <c r="F443" t="inlineStr">
        <is>
          <t>Övriga statliga verk och myndigheter</t>
        </is>
      </c>
      <c r="G443" t="n">
        <v>6.5</v>
      </c>
      <c r="H443" t="n">
        <v>0</v>
      </c>
      <c r="I443" t="n">
        <v>0</v>
      </c>
      <c r="J443" t="n">
        <v>0</v>
      </c>
      <c r="K443" t="n">
        <v>0</v>
      </c>
      <c r="L443" t="n">
        <v>0</v>
      </c>
      <c r="M443" t="n">
        <v>0</v>
      </c>
      <c r="N443" t="n">
        <v>0</v>
      </c>
      <c r="O443" t="n">
        <v>0</v>
      </c>
      <c r="P443" t="n">
        <v>0</v>
      </c>
      <c r="Q443" t="n">
        <v>0</v>
      </c>
      <c r="R443" s="2" t="inlineStr"/>
    </row>
    <row r="444" ht="15" customHeight="1">
      <c r="A444" t="inlineStr">
        <is>
          <t>A 36657-2023</t>
        </is>
      </c>
      <c r="B444" s="1" t="n">
        <v>45153.5702662037</v>
      </c>
      <c r="C444" s="1" t="n">
        <v>46017</v>
      </c>
      <c r="D444" t="inlineStr">
        <is>
          <t>ÖSTERGÖTLANDS LÄN</t>
        </is>
      </c>
      <c r="E444" t="inlineStr">
        <is>
          <t>LINKÖPING</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19169-2023</t>
        </is>
      </c>
      <c r="B445" s="1" t="n">
        <v>45044</v>
      </c>
      <c r="C445" s="1" t="n">
        <v>46017</v>
      </c>
      <c r="D445" t="inlineStr">
        <is>
          <t>ÖSTERGÖTLANDS LÄN</t>
        </is>
      </c>
      <c r="E445" t="inlineStr">
        <is>
          <t>LINKÖPING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1209-2023</t>
        </is>
      </c>
      <c r="B446" s="1" t="n">
        <v>44930</v>
      </c>
      <c r="C446" s="1" t="n">
        <v>46017</v>
      </c>
      <c r="D446" t="inlineStr">
        <is>
          <t>ÖSTERGÖTLANDS LÄN</t>
        </is>
      </c>
      <c r="E446" t="inlineStr">
        <is>
          <t>LINKÖPING</t>
        </is>
      </c>
      <c r="F446" t="inlineStr">
        <is>
          <t>Övriga statliga verk och myndigheter</t>
        </is>
      </c>
      <c r="G446" t="n">
        <v>25.8</v>
      </c>
      <c r="H446" t="n">
        <v>0</v>
      </c>
      <c r="I446" t="n">
        <v>0</v>
      </c>
      <c r="J446" t="n">
        <v>0</v>
      </c>
      <c r="K446" t="n">
        <v>0</v>
      </c>
      <c r="L446" t="n">
        <v>0</v>
      </c>
      <c r="M446" t="n">
        <v>0</v>
      </c>
      <c r="N446" t="n">
        <v>0</v>
      </c>
      <c r="O446" t="n">
        <v>0</v>
      </c>
      <c r="P446" t="n">
        <v>0</v>
      </c>
      <c r="Q446" t="n">
        <v>0</v>
      </c>
      <c r="R446" s="2" t="inlineStr"/>
    </row>
    <row r="447" ht="15" customHeight="1">
      <c r="A447" t="inlineStr">
        <is>
          <t>A 14576-2023</t>
        </is>
      </c>
      <c r="B447" s="1" t="n">
        <v>45013</v>
      </c>
      <c r="C447" s="1" t="n">
        <v>46017</v>
      </c>
      <c r="D447" t="inlineStr">
        <is>
          <t>ÖSTERGÖTLANDS LÄN</t>
        </is>
      </c>
      <c r="E447" t="inlineStr">
        <is>
          <t>LINKÖPING</t>
        </is>
      </c>
      <c r="G447" t="n">
        <v>3.2</v>
      </c>
      <c r="H447" t="n">
        <v>0</v>
      </c>
      <c r="I447" t="n">
        <v>0</v>
      </c>
      <c r="J447" t="n">
        <v>0</v>
      </c>
      <c r="K447" t="n">
        <v>0</v>
      </c>
      <c r="L447" t="n">
        <v>0</v>
      </c>
      <c r="M447" t="n">
        <v>0</v>
      </c>
      <c r="N447" t="n">
        <v>0</v>
      </c>
      <c r="O447" t="n">
        <v>0</v>
      </c>
      <c r="P447" t="n">
        <v>0</v>
      </c>
      <c r="Q447" t="n">
        <v>0</v>
      </c>
      <c r="R447" s="2" t="inlineStr"/>
    </row>
    <row r="448" ht="15" customHeight="1">
      <c r="A448" t="inlineStr">
        <is>
          <t>A 2085-2024</t>
        </is>
      </c>
      <c r="B448" s="1" t="n">
        <v>45309</v>
      </c>
      <c r="C448" s="1" t="n">
        <v>46017</v>
      </c>
      <c r="D448" t="inlineStr">
        <is>
          <t>ÖSTERGÖTLANDS LÄN</t>
        </is>
      </c>
      <c r="E448" t="inlineStr">
        <is>
          <t>LINKÖPING</t>
        </is>
      </c>
      <c r="G448" t="n">
        <v>4.5</v>
      </c>
      <c r="H448" t="n">
        <v>0</v>
      </c>
      <c r="I448" t="n">
        <v>0</v>
      </c>
      <c r="J448" t="n">
        <v>0</v>
      </c>
      <c r="K448" t="n">
        <v>0</v>
      </c>
      <c r="L448" t="n">
        <v>0</v>
      </c>
      <c r="M448" t="n">
        <v>0</v>
      </c>
      <c r="N448" t="n">
        <v>0</v>
      </c>
      <c r="O448" t="n">
        <v>0</v>
      </c>
      <c r="P448" t="n">
        <v>0</v>
      </c>
      <c r="Q448" t="n">
        <v>0</v>
      </c>
      <c r="R448" s="2" t="inlineStr"/>
    </row>
    <row r="449" ht="15" customHeight="1">
      <c r="A449" t="inlineStr">
        <is>
          <t>A 12089-2025</t>
        </is>
      </c>
      <c r="B449" s="1" t="n">
        <v>45729</v>
      </c>
      <c r="C449" s="1" t="n">
        <v>46017</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48-2024</t>
        </is>
      </c>
      <c r="B450" s="1" t="n">
        <v>45293</v>
      </c>
      <c r="C450" s="1" t="n">
        <v>46017</v>
      </c>
      <c r="D450" t="inlineStr">
        <is>
          <t>ÖSTERGÖTLANDS LÄN</t>
        </is>
      </c>
      <c r="E450" t="inlineStr">
        <is>
          <t>LINKÖPING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60985-2023</t>
        </is>
      </c>
      <c r="B451" s="1" t="n">
        <v>45261.48429398148</v>
      </c>
      <c r="C451" s="1" t="n">
        <v>46017</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43755-2025</t>
        </is>
      </c>
      <c r="B452" s="1" t="n">
        <v>45912.47329861111</v>
      </c>
      <c r="C452" s="1" t="n">
        <v>46017</v>
      </c>
      <c r="D452" t="inlineStr">
        <is>
          <t>ÖSTERGÖTLANDS LÄN</t>
        </is>
      </c>
      <c r="E452" t="inlineStr">
        <is>
          <t>LINKÖPING</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56560-2023</t>
        </is>
      </c>
      <c r="B453" s="1" t="n">
        <v>45238</v>
      </c>
      <c r="C453" s="1" t="n">
        <v>46017</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43753-2025</t>
        </is>
      </c>
      <c r="B454" s="1" t="n">
        <v>45912.4715625</v>
      </c>
      <c r="C454" s="1" t="n">
        <v>46017</v>
      </c>
      <c r="D454" t="inlineStr">
        <is>
          <t>ÖSTERGÖTLANDS LÄN</t>
        </is>
      </c>
      <c r="E454" t="inlineStr">
        <is>
          <t>LINKÖPING</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43758-2025</t>
        </is>
      </c>
      <c r="B455" s="1" t="n">
        <v>45912.47711805555</v>
      </c>
      <c r="C455" s="1" t="n">
        <v>46017</v>
      </c>
      <c r="D455" t="inlineStr">
        <is>
          <t>ÖSTERGÖTLANDS LÄN</t>
        </is>
      </c>
      <c r="E455" t="inlineStr">
        <is>
          <t>LINKÖPING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44170-2025</t>
        </is>
      </c>
      <c r="B456" s="1" t="n">
        <v>45915.59864583334</v>
      </c>
      <c r="C456" s="1" t="n">
        <v>46017</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19132-2023</t>
        </is>
      </c>
      <c r="B457" s="1" t="n">
        <v>45048.54754629629</v>
      </c>
      <c r="C457" s="1" t="n">
        <v>46017</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421-2024</t>
        </is>
      </c>
      <c r="B458" s="1" t="n">
        <v>45296.51877314815</v>
      </c>
      <c r="C458" s="1" t="n">
        <v>46017</v>
      </c>
      <c r="D458" t="inlineStr">
        <is>
          <t>ÖSTERGÖTLANDS LÄN</t>
        </is>
      </c>
      <c r="E458" t="inlineStr">
        <is>
          <t>LINKÖPING</t>
        </is>
      </c>
      <c r="G458" t="n">
        <v>3.7</v>
      </c>
      <c r="H458" t="n">
        <v>0</v>
      </c>
      <c r="I458" t="n">
        <v>0</v>
      </c>
      <c r="J458" t="n">
        <v>0</v>
      </c>
      <c r="K458" t="n">
        <v>0</v>
      </c>
      <c r="L458" t="n">
        <v>0</v>
      </c>
      <c r="M458" t="n">
        <v>0</v>
      </c>
      <c r="N458" t="n">
        <v>0</v>
      </c>
      <c r="O458" t="n">
        <v>0</v>
      </c>
      <c r="P458" t="n">
        <v>0</v>
      </c>
      <c r="Q458" t="n">
        <v>0</v>
      </c>
      <c r="R458" s="2" t="inlineStr"/>
    </row>
    <row r="459" ht="15" customHeight="1">
      <c r="A459" t="inlineStr">
        <is>
          <t>A 62321-2022</t>
        </is>
      </c>
      <c r="B459" s="1" t="n">
        <v>44916</v>
      </c>
      <c r="C459" s="1" t="n">
        <v>46017</v>
      </c>
      <c r="D459" t="inlineStr">
        <is>
          <t>ÖSTERGÖTLANDS LÄN</t>
        </is>
      </c>
      <c r="E459" t="inlineStr">
        <is>
          <t>LINKÖPING</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52412-2023</t>
        </is>
      </c>
      <c r="B460" s="1" t="n">
        <v>45225.27888888889</v>
      </c>
      <c r="C460" s="1" t="n">
        <v>46017</v>
      </c>
      <c r="D460" t="inlineStr">
        <is>
          <t>ÖSTERGÖTLANDS LÄN</t>
        </is>
      </c>
      <c r="E460" t="inlineStr">
        <is>
          <t>LINKÖPING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62492-2023</t>
        </is>
      </c>
      <c r="B461" s="1" t="n">
        <v>45268.58987268519</v>
      </c>
      <c r="C461" s="1" t="n">
        <v>46017</v>
      </c>
      <c r="D461" t="inlineStr">
        <is>
          <t>ÖSTERGÖTLANDS LÄN</t>
        </is>
      </c>
      <c r="E461" t="inlineStr">
        <is>
          <t>LINKÖPING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43475-2024</t>
        </is>
      </c>
      <c r="B462" s="1" t="n">
        <v>45568</v>
      </c>
      <c r="C462" s="1" t="n">
        <v>46017</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17103-2025</t>
        </is>
      </c>
      <c r="B463" s="1" t="n">
        <v>45755.66143518518</v>
      </c>
      <c r="C463" s="1" t="n">
        <v>46017</v>
      </c>
      <c r="D463" t="inlineStr">
        <is>
          <t>ÖSTERGÖTLANDS LÄN</t>
        </is>
      </c>
      <c r="E463" t="inlineStr">
        <is>
          <t>LINKÖPING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30551-2023</t>
        </is>
      </c>
      <c r="B464" s="1" t="n">
        <v>45111</v>
      </c>
      <c r="C464" s="1" t="n">
        <v>46017</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50784-2022</t>
        </is>
      </c>
      <c r="B465" s="1" t="n">
        <v>44862</v>
      </c>
      <c r="C465" s="1" t="n">
        <v>46017</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38230-2023</t>
        </is>
      </c>
      <c r="B466" s="1" t="n">
        <v>45161.55373842592</v>
      </c>
      <c r="C466" s="1" t="n">
        <v>46017</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56756-2023</t>
        </is>
      </c>
      <c r="B467" s="1" t="n">
        <v>45244</v>
      </c>
      <c r="C467" s="1" t="n">
        <v>46017</v>
      </c>
      <c r="D467" t="inlineStr">
        <is>
          <t>ÖSTERGÖTLANDS LÄN</t>
        </is>
      </c>
      <c r="E467" t="inlineStr">
        <is>
          <t>LINKÖPING</t>
        </is>
      </c>
      <c r="F467" t="inlineStr">
        <is>
          <t>Övriga Aktiebolag</t>
        </is>
      </c>
      <c r="G467" t="n">
        <v>0.8</v>
      </c>
      <c r="H467" t="n">
        <v>0</v>
      </c>
      <c r="I467" t="n">
        <v>0</v>
      </c>
      <c r="J467" t="n">
        <v>0</v>
      </c>
      <c r="K467" t="n">
        <v>0</v>
      </c>
      <c r="L467" t="n">
        <v>0</v>
      </c>
      <c r="M467" t="n">
        <v>0</v>
      </c>
      <c r="N467" t="n">
        <v>0</v>
      </c>
      <c r="O467" t="n">
        <v>0</v>
      </c>
      <c r="P467" t="n">
        <v>0</v>
      </c>
      <c r="Q467" t="n">
        <v>0</v>
      </c>
      <c r="R467" s="2" t="inlineStr"/>
    </row>
    <row r="468" ht="15" customHeight="1">
      <c r="A468" t="inlineStr">
        <is>
          <t>A 22043-2023</t>
        </is>
      </c>
      <c r="B468" s="1" t="n">
        <v>45069.39050925926</v>
      </c>
      <c r="C468" s="1" t="n">
        <v>46017</v>
      </c>
      <c r="D468" t="inlineStr">
        <is>
          <t>ÖSTERGÖTLANDS LÄN</t>
        </is>
      </c>
      <c r="E468" t="inlineStr">
        <is>
          <t>LINKÖPING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44759-2025</t>
        </is>
      </c>
      <c r="B469" s="1" t="n">
        <v>45917.7152662037</v>
      </c>
      <c r="C469" s="1" t="n">
        <v>46017</v>
      </c>
      <c r="D469" t="inlineStr">
        <is>
          <t>ÖSTERGÖTLANDS LÄN</t>
        </is>
      </c>
      <c r="E469" t="inlineStr">
        <is>
          <t>LINKÖPING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44764-2025</t>
        </is>
      </c>
      <c r="B470" s="1" t="n">
        <v>45917.72821759259</v>
      </c>
      <c r="C470" s="1" t="n">
        <v>46017</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49656-2021</t>
        </is>
      </c>
      <c r="B471" s="1" t="n">
        <v>44454</v>
      </c>
      <c r="C471" s="1" t="n">
        <v>46017</v>
      </c>
      <c r="D471" t="inlineStr">
        <is>
          <t>ÖSTERGÖTLANDS LÄN</t>
        </is>
      </c>
      <c r="E471" t="inlineStr">
        <is>
          <t>LINKÖPING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38886-2024</t>
        </is>
      </c>
      <c r="B472" s="1" t="n">
        <v>45547.66443287037</v>
      </c>
      <c r="C472" s="1" t="n">
        <v>46017</v>
      </c>
      <c r="D472" t="inlineStr">
        <is>
          <t>ÖSTERGÖTLANDS LÄN</t>
        </is>
      </c>
      <c r="E472" t="inlineStr">
        <is>
          <t>LINKÖPING</t>
        </is>
      </c>
      <c r="G472" t="n">
        <v>5.3</v>
      </c>
      <c r="H472" t="n">
        <v>0</v>
      </c>
      <c r="I472" t="n">
        <v>0</v>
      </c>
      <c r="J472" t="n">
        <v>0</v>
      </c>
      <c r="K472" t="n">
        <v>0</v>
      </c>
      <c r="L472" t="n">
        <v>0</v>
      </c>
      <c r="M472" t="n">
        <v>0</v>
      </c>
      <c r="N472" t="n">
        <v>0</v>
      </c>
      <c r="O472" t="n">
        <v>0</v>
      </c>
      <c r="P472" t="n">
        <v>0</v>
      </c>
      <c r="Q472" t="n">
        <v>0</v>
      </c>
      <c r="R472" s="2" t="inlineStr"/>
    </row>
    <row r="473" ht="15" customHeight="1">
      <c r="A473" t="inlineStr">
        <is>
          <t>A 11590-2023</t>
        </is>
      </c>
      <c r="B473" s="1" t="n">
        <v>44994.36689814815</v>
      </c>
      <c r="C473" s="1" t="n">
        <v>46017</v>
      </c>
      <c r="D473" t="inlineStr">
        <is>
          <t>ÖSTERGÖTLANDS LÄN</t>
        </is>
      </c>
      <c r="E473" t="inlineStr">
        <is>
          <t>LINKÖPING</t>
        </is>
      </c>
      <c r="G473" t="n">
        <v>3.1</v>
      </c>
      <c r="H473" t="n">
        <v>0</v>
      </c>
      <c r="I473" t="n">
        <v>0</v>
      </c>
      <c r="J473" t="n">
        <v>0</v>
      </c>
      <c r="K473" t="n">
        <v>0</v>
      </c>
      <c r="L473" t="n">
        <v>0</v>
      </c>
      <c r="M473" t="n">
        <v>0</v>
      </c>
      <c r="N473" t="n">
        <v>0</v>
      </c>
      <c r="O473" t="n">
        <v>0</v>
      </c>
      <c r="P473" t="n">
        <v>0</v>
      </c>
      <c r="Q473" t="n">
        <v>0</v>
      </c>
      <c r="R473" s="2" t="inlineStr"/>
    </row>
    <row r="474" ht="15" customHeight="1">
      <c r="A474" t="inlineStr">
        <is>
          <t>A 30465-2023</t>
        </is>
      </c>
      <c r="B474" s="1" t="n">
        <v>45111</v>
      </c>
      <c r="C474" s="1" t="n">
        <v>46017</v>
      </c>
      <c r="D474" t="inlineStr">
        <is>
          <t>ÖSTERGÖTLANDS LÄN</t>
        </is>
      </c>
      <c r="E474" t="inlineStr">
        <is>
          <t>LINKÖPING</t>
        </is>
      </c>
      <c r="F474" t="inlineStr">
        <is>
          <t>Övriga Aktiebolag</t>
        </is>
      </c>
      <c r="G474" t="n">
        <v>0.7</v>
      </c>
      <c r="H474" t="n">
        <v>0</v>
      </c>
      <c r="I474" t="n">
        <v>0</v>
      </c>
      <c r="J474" t="n">
        <v>0</v>
      </c>
      <c r="K474" t="n">
        <v>0</v>
      </c>
      <c r="L474" t="n">
        <v>0</v>
      </c>
      <c r="M474" t="n">
        <v>0</v>
      </c>
      <c r="N474" t="n">
        <v>0</v>
      </c>
      <c r="O474" t="n">
        <v>0</v>
      </c>
      <c r="P474" t="n">
        <v>0</v>
      </c>
      <c r="Q474" t="n">
        <v>0</v>
      </c>
      <c r="R474" s="2" t="inlineStr"/>
    </row>
    <row r="475" ht="15" customHeight="1">
      <c r="A475" t="inlineStr">
        <is>
          <t>A 10461-2023</t>
        </is>
      </c>
      <c r="B475" s="1" t="n">
        <v>44987.5969212963</v>
      </c>
      <c r="C475" s="1" t="n">
        <v>46017</v>
      </c>
      <c r="D475" t="inlineStr">
        <is>
          <t>ÖSTERGÖTLANDS LÄN</t>
        </is>
      </c>
      <c r="E475" t="inlineStr">
        <is>
          <t>LINKÖPING</t>
        </is>
      </c>
      <c r="G475" t="n">
        <v>7.8</v>
      </c>
      <c r="H475" t="n">
        <v>0</v>
      </c>
      <c r="I475" t="n">
        <v>0</v>
      </c>
      <c r="J475" t="n">
        <v>0</v>
      </c>
      <c r="K475" t="n">
        <v>0</v>
      </c>
      <c r="L475" t="n">
        <v>0</v>
      </c>
      <c r="M475" t="n">
        <v>0</v>
      </c>
      <c r="N475" t="n">
        <v>0</v>
      </c>
      <c r="O475" t="n">
        <v>0</v>
      </c>
      <c r="P475" t="n">
        <v>0</v>
      </c>
      <c r="Q475" t="n">
        <v>0</v>
      </c>
      <c r="R475" s="2" t="inlineStr"/>
    </row>
    <row r="476" ht="15" customHeight="1">
      <c r="A476" t="inlineStr">
        <is>
          <t>A 30521-2024</t>
        </is>
      </c>
      <c r="B476" s="1" t="n">
        <v>45492</v>
      </c>
      <c r="C476" s="1" t="n">
        <v>46017</v>
      </c>
      <c r="D476" t="inlineStr">
        <is>
          <t>ÖSTERGÖTLANDS LÄN</t>
        </is>
      </c>
      <c r="E476" t="inlineStr">
        <is>
          <t>LINKÖPING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41345-2021</t>
        </is>
      </c>
      <c r="B477" s="1" t="n">
        <v>44424.61851851852</v>
      </c>
      <c r="C477" s="1" t="n">
        <v>46017</v>
      </c>
      <c r="D477" t="inlineStr">
        <is>
          <t>ÖSTERGÖTLANDS LÄN</t>
        </is>
      </c>
      <c r="E477" t="inlineStr">
        <is>
          <t>LINKÖPING</t>
        </is>
      </c>
      <c r="F477" t="inlineStr">
        <is>
          <t>Sveaskog</t>
        </is>
      </c>
      <c r="G477" t="n">
        <v>6.3</v>
      </c>
      <c r="H477" t="n">
        <v>0</v>
      </c>
      <c r="I477" t="n">
        <v>0</v>
      </c>
      <c r="J477" t="n">
        <v>0</v>
      </c>
      <c r="K477" t="n">
        <v>0</v>
      </c>
      <c r="L477" t="n">
        <v>0</v>
      </c>
      <c r="M477" t="n">
        <v>0</v>
      </c>
      <c r="N477" t="n">
        <v>0</v>
      </c>
      <c r="O477" t="n">
        <v>0</v>
      </c>
      <c r="P477" t="n">
        <v>0</v>
      </c>
      <c r="Q477" t="n">
        <v>0</v>
      </c>
      <c r="R477" s="2" t="inlineStr"/>
    </row>
    <row r="478" ht="15" customHeight="1">
      <c r="A478" t="inlineStr">
        <is>
          <t>A 45112-2025</t>
        </is>
      </c>
      <c r="B478" s="1" t="n">
        <v>45919</v>
      </c>
      <c r="C478" s="1" t="n">
        <v>46017</v>
      </c>
      <c r="D478" t="inlineStr">
        <is>
          <t>ÖSTERGÖTLANDS LÄN</t>
        </is>
      </c>
      <c r="E478" t="inlineStr">
        <is>
          <t>LINKÖPING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40618-2021</t>
        </is>
      </c>
      <c r="B479" s="1" t="n">
        <v>44420.49575231481</v>
      </c>
      <c r="C479" s="1" t="n">
        <v>46017</v>
      </c>
      <c r="D479" t="inlineStr">
        <is>
          <t>ÖSTERGÖTLANDS LÄN</t>
        </is>
      </c>
      <c r="E479" t="inlineStr">
        <is>
          <t>LINKÖPING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23735-2023</t>
        </is>
      </c>
      <c r="B480" s="1" t="n">
        <v>45077</v>
      </c>
      <c r="C480" s="1" t="n">
        <v>46017</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350-2022</t>
        </is>
      </c>
      <c r="B481" s="1" t="n">
        <v>44565</v>
      </c>
      <c r="C481" s="1" t="n">
        <v>46017</v>
      </c>
      <c r="D481" t="inlineStr">
        <is>
          <t>ÖSTERGÖTLANDS LÄN</t>
        </is>
      </c>
      <c r="E481" t="inlineStr">
        <is>
          <t>LINKÖPING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4256-2022</t>
        </is>
      </c>
      <c r="B482" s="1" t="n">
        <v>44588</v>
      </c>
      <c r="C482" s="1" t="n">
        <v>46017</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25948-2023</t>
        </is>
      </c>
      <c r="B483" s="1" t="n">
        <v>45090</v>
      </c>
      <c r="C483" s="1" t="n">
        <v>46017</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45634-2025</t>
        </is>
      </c>
      <c r="B484" s="1" t="n">
        <v>45922.85089120371</v>
      </c>
      <c r="C484" s="1" t="n">
        <v>46017</v>
      </c>
      <c r="D484" t="inlineStr">
        <is>
          <t>ÖSTERGÖTLANDS LÄN</t>
        </is>
      </c>
      <c r="E484" t="inlineStr">
        <is>
          <t>LINKÖPING</t>
        </is>
      </c>
      <c r="F484" t="inlineStr">
        <is>
          <t>Övriga Aktiebolag</t>
        </is>
      </c>
      <c r="G484" t="n">
        <v>0.3</v>
      </c>
      <c r="H484" t="n">
        <v>0</v>
      </c>
      <c r="I484" t="n">
        <v>0</v>
      </c>
      <c r="J484" t="n">
        <v>0</v>
      </c>
      <c r="K484" t="n">
        <v>0</v>
      </c>
      <c r="L484" t="n">
        <v>0</v>
      </c>
      <c r="M484" t="n">
        <v>0</v>
      </c>
      <c r="N484" t="n">
        <v>0</v>
      </c>
      <c r="O484" t="n">
        <v>0</v>
      </c>
      <c r="P484" t="n">
        <v>0</v>
      </c>
      <c r="Q484" t="n">
        <v>0</v>
      </c>
      <c r="R484" s="2" t="inlineStr"/>
    </row>
    <row r="485" ht="15" customHeight="1">
      <c r="A485" t="inlineStr">
        <is>
          <t>A 51405-2023</t>
        </is>
      </c>
      <c r="B485" s="1" t="n">
        <v>45219</v>
      </c>
      <c r="C485" s="1" t="n">
        <v>46017</v>
      </c>
      <c r="D485" t="inlineStr">
        <is>
          <t>ÖSTERGÖTLANDS LÄN</t>
        </is>
      </c>
      <c r="E485" t="inlineStr">
        <is>
          <t>LINKÖPING</t>
        </is>
      </c>
      <c r="F485" t="inlineStr">
        <is>
          <t>Övriga Aktiebolag</t>
        </is>
      </c>
      <c r="G485" t="n">
        <v>3</v>
      </c>
      <c r="H485" t="n">
        <v>0</v>
      </c>
      <c r="I485" t="n">
        <v>0</v>
      </c>
      <c r="J485" t="n">
        <v>0</v>
      </c>
      <c r="K485" t="n">
        <v>0</v>
      </c>
      <c r="L485" t="n">
        <v>0</v>
      </c>
      <c r="M485" t="n">
        <v>0</v>
      </c>
      <c r="N485" t="n">
        <v>0</v>
      </c>
      <c r="O485" t="n">
        <v>0</v>
      </c>
      <c r="P485" t="n">
        <v>0</v>
      </c>
      <c r="Q485" t="n">
        <v>0</v>
      </c>
      <c r="R485" s="2" t="inlineStr"/>
    </row>
    <row r="486" ht="15" customHeight="1">
      <c r="A486" t="inlineStr">
        <is>
          <t>A 45792-2025</t>
        </is>
      </c>
      <c r="B486" s="1" t="n">
        <v>45923.56998842592</v>
      </c>
      <c r="C486" s="1" t="n">
        <v>46017</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61307-2021</t>
        </is>
      </c>
      <c r="B487" s="1" t="n">
        <v>44498.63928240741</v>
      </c>
      <c r="C487" s="1" t="n">
        <v>46017</v>
      </c>
      <c r="D487" t="inlineStr">
        <is>
          <t>ÖSTERGÖTLANDS LÄN</t>
        </is>
      </c>
      <c r="E487" t="inlineStr">
        <is>
          <t>LINKÖPING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61325-2021</t>
        </is>
      </c>
      <c r="B488" s="1" t="n">
        <v>44498.66814814815</v>
      </c>
      <c r="C488" s="1" t="n">
        <v>46017</v>
      </c>
      <c r="D488" t="inlineStr">
        <is>
          <t>ÖSTERGÖTLANDS LÄN</t>
        </is>
      </c>
      <c r="E488" t="inlineStr">
        <is>
          <t>LINKÖPING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60010-2022</t>
        </is>
      </c>
      <c r="B489" s="1" t="n">
        <v>44909.4740625</v>
      </c>
      <c r="C489" s="1" t="n">
        <v>46017</v>
      </c>
      <c r="D489" t="inlineStr">
        <is>
          <t>ÖSTERGÖTLANDS LÄN</t>
        </is>
      </c>
      <c r="E489" t="inlineStr">
        <is>
          <t>LINKÖPING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45804-2025</t>
        </is>
      </c>
      <c r="B490" s="1" t="n">
        <v>45923.5819675926</v>
      </c>
      <c r="C490" s="1" t="n">
        <v>46017</v>
      </c>
      <c r="D490" t="inlineStr">
        <is>
          <t>ÖSTERGÖTLANDS LÄN</t>
        </is>
      </c>
      <c r="E490" t="inlineStr">
        <is>
          <t>LINKÖPING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53639-2023</t>
        </is>
      </c>
      <c r="B491" s="1" t="n">
        <v>45230.59686342593</v>
      </c>
      <c r="C491" s="1" t="n">
        <v>46017</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33867-2023</t>
        </is>
      </c>
      <c r="B492" s="1" t="n">
        <v>45133.94640046296</v>
      </c>
      <c r="C492" s="1" t="n">
        <v>46017</v>
      </c>
      <c r="D492" t="inlineStr">
        <is>
          <t>ÖSTERGÖTLANDS LÄN</t>
        </is>
      </c>
      <c r="E492" t="inlineStr">
        <is>
          <t>LINKÖPING</t>
        </is>
      </c>
      <c r="G492" t="n">
        <v>2.3</v>
      </c>
      <c r="H492" t="n">
        <v>0</v>
      </c>
      <c r="I492" t="n">
        <v>0</v>
      </c>
      <c r="J492" t="n">
        <v>0</v>
      </c>
      <c r="K492" t="n">
        <v>0</v>
      </c>
      <c r="L492" t="n">
        <v>0</v>
      </c>
      <c r="M492" t="n">
        <v>0</v>
      </c>
      <c r="N492" t="n">
        <v>0</v>
      </c>
      <c r="O492" t="n">
        <v>0</v>
      </c>
      <c r="P492" t="n">
        <v>0</v>
      </c>
      <c r="Q492" t="n">
        <v>0</v>
      </c>
      <c r="R492" s="2" t="inlineStr"/>
    </row>
    <row r="493" ht="15" customHeight="1">
      <c r="A493" t="inlineStr">
        <is>
          <t>A 30518-2024</t>
        </is>
      </c>
      <c r="B493" s="1" t="n">
        <v>45492</v>
      </c>
      <c r="C493" s="1" t="n">
        <v>46017</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24467-2023</t>
        </is>
      </c>
      <c r="B494" s="1" t="n">
        <v>45082</v>
      </c>
      <c r="C494" s="1" t="n">
        <v>46017</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4908-2023</t>
        </is>
      </c>
      <c r="B495" s="1" t="n">
        <v>44958</v>
      </c>
      <c r="C495" s="1" t="n">
        <v>46017</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37715-2022</t>
        </is>
      </c>
      <c r="B496" s="1" t="n">
        <v>44810</v>
      </c>
      <c r="C496" s="1" t="n">
        <v>46017</v>
      </c>
      <c r="D496" t="inlineStr">
        <is>
          <t>ÖSTERGÖTLANDS LÄN</t>
        </is>
      </c>
      <c r="E496" t="inlineStr">
        <is>
          <t>LINKÖPING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46428-2025</t>
        </is>
      </c>
      <c r="B497" s="1" t="n">
        <v>45925.60758101852</v>
      </c>
      <c r="C497" s="1" t="n">
        <v>46017</v>
      </c>
      <c r="D497" t="inlineStr">
        <is>
          <t>ÖSTERGÖTLANDS LÄN</t>
        </is>
      </c>
      <c r="E497" t="inlineStr">
        <is>
          <t>LINKÖPING</t>
        </is>
      </c>
      <c r="G497" t="n">
        <v>3</v>
      </c>
      <c r="H497" t="n">
        <v>0</v>
      </c>
      <c r="I497" t="n">
        <v>0</v>
      </c>
      <c r="J497" t="n">
        <v>0</v>
      </c>
      <c r="K497" t="n">
        <v>0</v>
      </c>
      <c r="L497" t="n">
        <v>0</v>
      </c>
      <c r="M497" t="n">
        <v>0</v>
      </c>
      <c r="N497" t="n">
        <v>0</v>
      </c>
      <c r="O497" t="n">
        <v>0</v>
      </c>
      <c r="P497" t="n">
        <v>0</v>
      </c>
      <c r="Q497" t="n">
        <v>0</v>
      </c>
      <c r="R497" s="2" t="inlineStr"/>
    </row>
    <row r="498" ht="15" customHeight="1">
      <c r="A498" t="inlineStr">
        <is>
          <t>A 46426-2025</t>
        </is>
      </c>
      <c r="B498" s="1" t="n">
        <v>45925.6012962963</v>
      </c>
      <c r="C498" s="1" t="n">
        <v>46017</v>
      </c>
      <c r="D498" t="inlineStr">
        <is>
          <t>ÖSTERGÖTLANDS LÄN</t>
        </is>
      </c>
      <c r="E498" t="inlineStr">
        <is>
          <t>LINKÖPING</t>
        </is>
      </c>
      <c r="G498" t="n">
        <v>4.4</v>
      </c>
      <c r="H498" t="n">
        <v>0</v>
      </c>
      <c r="I498" t="n">
        <v>0</v>
      </c>
      <c r="J498" t="n">
        <v>0</v>
      </c>
      <c r="K498" t="n">
        <v>0</v>
      </c>
      <c r="L498" t="n">
        <v>0</v>
      </c>
      <c r="M498" t="n">
        <v>0</v>
      </c>
      <c r="N498" t="n">
        <v>0</v>
      </c>
      <c r="O498" t="n">
        <v>0</v>
      </c>
      <c r="P498" t="n">
        <v>0</v>
      </c>
      <c r="Q498" t="n">
        <v>0</v>
      </c>
      <c r="R498" s="2" t="inlineStr"/>
    </row>
    <row r="499" ht="15" customHeight="1">
      <c r="A499" t="inlineStr">
        <is>
          <t>A 46377-2025</t>
        </is>
      </c>
      <c r="B499" s="1" t="n">
        <v>45925.51773148148</v>
      </c>
      <c r="C499" s="1" t="n">
        <v>46017</v>
      </c>
      <c r="D499" t="inlineStr">
        <is>
          <t>ÖSTERGÖTLANDS LÄN</t>
        </is>
      </c>
      <c r="E499" t="inlineStr">
        <is>
          <t>LINKÖPING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24462-2023</t>
        </is>
      </c>
      <c r="B500" s="1" t="n">
        <v>45082</v>
      </c>
      <c r="C500" s="1" t="n">
        <v>46017</v>
      </c>
      <c r="D500" t="inlineStr">
        <is>
          <t>ÖSTERGÖTLANDS LÄN</t>
        </is>
      </c>
      <c r="E500" t="inlineStr">
        <is>
          <t>LINKÖPING</t>
        </is>
      </c>
      <c r="G500" t="n">
        <v>3.5</v>
      </c>
      <c r="H500" t="n">
        <v>0</v>
      </c>
      <c r="I500" t="n">
        <v>0</v>
      </c>
      <c r="J500" t="n">
        <v>0</v>
      </c>
      <c r="K500" t="n">
        <v>0</v>
      </c>
      <c r="L500" t="n">
        <v>0</v>
      </c>
      <c r="M500" t="n">
        <v>0</v>
      </c>
      <c r="N500" t="n">
        <v>0</v>
      </c>
      <c r="O500" t="n">
        <v>0</v>
      </c>
      <c r="P500" t="n">
        <v>0</v>
      </c>
      <c r="Q500" t="n">
        <v>0</v>
      </c>
      <c r="R500" s="2" t="inlineStr"/>
    </row>
    <row r="501" ht="15" customHeight="1">
      <c r="A501" t="inlineStr">
        <is>
          <t>A 3742-2021</t>
        </is>
      </c>
      <c r="B501" s="1" t="n">
        <v>44221</v>
      </c>
      <c r="C501" s="1" t="n">
        <v>46017</v>
      </c>
      <c r="D501" t="inlineStr">
        <is>
          <t>ÖSTERGÖTLANDS LÄN</t>
        </is>
      </c>
      <c r="E501" t="inlineStr">
        <is>
          <t>LINKÖPING</t>
        </is>
      </c>
      <c r="G501" t="n">
        <v>5.5</v>
      </c>
      <c r="H501" t="n">
        <v>0</v>
      </c>
      <c r="I501" t="n">
        <v>0</v>
      </c>
      <c r="J501" t="n">
        <v>0</v>
      </c>
      <c r="K501" t="n">
        <v>0</v>
      </c>
      <c r="L501" t="n">
        <v>0</v>
      </c>
      <c r="M501" t="n">
        <v>0</v>
      </c>
      <c r="N501" t="n">
        <v>0</v>
      </c>
      <c r="O501" t="n">
        <v>0</v>
      </c>
      <c r="P501" t="n">
        <v>0</v>
      </c>
      <c r="Q501" t="n">
        <v>0</v>
      </c>
      <c r="R501" s="2" t="inlineStr"/>
    </row>
    <row r="502" ht="15" customHeight="1">
      <c r="A502" t="inlineStr">
        <is>
          <t>A 48829-2023</t>
        </is>
      </c>
      <c r="B502" s="1" t="n">
        <v>45209.38177083333</v>
      </c>
      <c r="C502" s="1" t="n">
        <v>46017</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47304-2025</t>
        </is>
      </c>
      <c r="B503" s="1" t="n">
        <v>45930.52037037037</v>
      </c>
      <c r="C503" s="1" t="n">
        <v>46017</v>
      </c>
      <c r="D503" t="inlineStr">
        <is>
          <t>ÖSTERGÖTLANDS LÄN</t>
        </is>
      </c>
      <c r="E503" t="inlineStr">
        <is>
          <t>LINKÖPING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3011-2023</t>
        </is>
      </c>
      <c r="B504" s="1" t="n">
        <v>44945</v>
      </c>
      <c r="C504" s="1" t="n">
        <v>46017</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47233-2025</t>
        </is>
      </c>
      <c r="B505" s="1" t="n">
        <v>45930.40612268518</v>
      </c>
      <c r="C505" s="1" t="n">
        <v>46017</v>
      </c>
      <c r="D505" t="inlineStr">
        <is>
          <t>ÖSTERGÖTLANDS LÄN</t>
        </is>
      </c>
      <c r="E505" t="inlineStr">
        <is>
          <t>LINKÖPING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45442-2024</t>
        </is>
      </c>
      <c r="B506" s="1" t="n">
        <v>45576.64189814815</v>
      </c>
      <c r="C506" s="1" t="n">
        <v>46017</v>
      </c>
      <c r="D506" t="inlineStr">
        <is>
          <t>ÖSTERGÖTLANDS LÄN</t>
        </is>
      </c>
      <c r="E506" t="inlineStr">
        <is>
          <t>LINKÖPING</t>
        </is>
      </c>
      <c r="G506" t="n">
        <v>1.8</v>
      </c>
      <c r="H506" t="n">
        <v>0</v>
      </c>
      <c r="I506" t="n">
        <v>0</v>
      </c>
      <c r="J506" t="n">
        <v>0</v>
      </c>
      <c r="K506" t="n">
        <v>0</v>
      </c>
      <c r="L506" t="n">
        <v>0</v>
      </c>
      <c r="M506" t="n">
        <v>0</v>
      </c>
      <c r="N506" t="n">
        <v>0</v>
      </c>
      <c r="O506" t="n">
        <v>0</v>
      </c>
      <c r="P506" t="n">
        <v>0</v>
      </c>
      <c r="Q506" t="n">
        <v>0</v>
      </c>
      <c r="R506" s="2" t="inlineStr"/>
    </row>
    <row r="507" ht="15" customHeight="1">
      <c r="A507" t="inlineStr">
        <is>
          <t>A 3432-2023</t>
        </is>
      </c>
      <c r="B507" s="1" t="n">
        <v>44949</v>
      </c>
      <c r="C507" s="1" t="n">
        <v>46017</v>
      </c>
      <c r="D507" t="inlineStr">
        <is>
          <t>ÖSTERGÖTLANDS LÄN</t>
        </is>
      </c>
      <c r="E507" t="inlineStr">
        <is>
          <t>LINKÖPING</t>
        </is>
      </c>
      <c r="G507" t="n">
        <v>1.9</v>
      </c>
      <c r="H507" t="n">
        <v>0</v>
      </c>
      <c r="I507" t="n">
        <v>0</v>
      </c>
      <c r="J507" t="n">
        <v>0</v>
      </c>
      <c r="K507" t="n">
        <v>0</v>
      </c>
      <c r="L507" t="n">
        <v>0</v>
      </c>
      <c r="M507" t="n">
        <v>0</v>
      </c>
      <c r="N507" t="n">
        <v>0</v>
      </c>
      <c r="O507" t="n">
        <v>0</v>
      </c>
      <c r="P507" t="n">
        <v>0</v>
      </c>
      <c r="Q507" t="n">
        <v>0</v>
      </c>
      <c r="R507" s="2" t="inlineStr"/>
    </row>
    <row r="508" ht="15" customHeight="1">
      <c r="A508" t="inlineStr">
        <is>
          <t>A 1440-2021</t>
        </is>
      </c>
      <c r="B508" s="1" t="n">
        <v>44208</v>
      </c>
      <c r="C508" s="1" t="n">
        <v>46017</v>
      </c>
      <c r="D508" t="inlineStr">
        <is>
          <t>ÖSTERGÖTLANDS LÄN</t>
        </is>
      </c>
      <c r="E508" t="inlineStr">
        <is>
          <t>LINKÖPING</t>
        </is>
      </c>
      <c r="G508" t="n">
        <v>8.4</v>
      </c>
      <c r="H508" t="n">
        <v>0</v>
      </c>
      <c r="I508" t="n">
        <v>0</v>
      </c>
      <c r="J508" t="n">
        <v>0</v>
      </c>
      <c r="K508" t="n">
        <v>0</v>
      </c>
      <c r="L508" t="n">
        <v>0</v>
      </c>
      <c r="M508" t="n">
        <v>0</v>
      </c>
      <c r="N508" t="n">
        <v>0</v>
      </c>
      <c r="O508" t="n">
        <v>0</v>
      </c>
      <c r="P508" t="n">
        <v>0</v>
      </c>
      <c r="Q508" t="n">
        <v>0</v>
      </c>
      <c r="R508" s="2" t="inlineStr"/>
    </row>
    <row r="509" ht="15" customHeight="1">
      <c r="A509" t="inlineStr">
        <is>
          <t>A 60472-2022</t>
        </is>
      </c>
      <c r="B509" s="1" t="n">
        <v>44911.41037037037</v>
      </c>
      <c r="C509" s="1" t="n">
        <v>46017</v>
      </c>
      <c r="D509" t="inlineStr">
        <is>
          <t>ÖSTERGÖTLANDS LÄN</t>
        </is>
      </c>
      <c r="E509" t="inlineStr">
        <is>
          <t>LINKÖPING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12720-2022</t>
        </is>
      </c>
      <c r="B510" s="1" t="n">
        <v>44641</v>
      </c>
      <c r="C510" s="1" t="n">
        <v>46017</v>
      </c>
      <c r="D510" t="inlineStr">
        <is>
          <t>ÖSTERGÖTLANDS LÄN</t>
        </is>
      </c>
      <c r="E510" t="inlineStr">
        <is>
          <t>LINKÖPING</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38231-2022</t>
        </is>
      </c>
      <c r="B511" s="1" t="n">
        <v>44812</v>
      </c>
      <c r="C511" s="1" t="n">
        <v>46017</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46847-2025</t>
        </is>
      </c>
      <c r="B512" s="1" t="n">
        <v>45928.69971064815</v>
      </c>
      <c r="C512" s="1" t="n">
        <v>46017</v>
      </c>
      <c r="D512" t="inlineStr">
        <is>
          <t>ÖSTERGÖTLANDS LÄN</t>
        </is>
      </c>
      <c r="E512" t="inlineStr">
        <is>
          <t>LINKÖPING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50799-2022</t>
        </is>
      </c>
      <c r="B513" s="1" t="n">
        <v>44862</v>
      </c>
      <c r="C513" s="1" t="n">
        <v>46017</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48343-2025</t>
        </is>
      </c>
      <c r="B514" s="1" t="n">
        <v>45932</v>
      </c>
      <c r="C514" s="1" t="n">
        <v>46017</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40431-2024</t>
        </is>
      </c>
      <c r="B515" s="1" t="n">
        <v>45555.47070601852</v>
      </c>
      <c r="C515" s="1" t="n">
        <v>46017</v>
      </c>
      <c r="D515" t="inlineStr">
        <is>
          <t>ÖSTERGÖTLANDS LÄN</t>
        </is>
      </c>
      <c r="E515" t="inlineStr">
        <is>
          <t>LINKÖPING</t>
        </is>
      </c>
      <c r="F515" t="inlineStr">
        <is>
          <t>Allmännings- och besparingsskogar</t>
        </is>
      </c>
      <c r="G515" t="n">
        <v>2.9</v>
      </c>
      <c r="H515" t="n">
        <v>0</v>
      </c>
      <c r="I515" t="n">
        <v>0</v>
      </c>
      <c r="J515" t="n">
        <v>0</v>
      </c>
      <c r="K515" t="n">
        <v>0</v>
      </c>
      <c r="L515" t="n">
        <v>0</v>
      </c>
      <c r="M515" t="n">
        <v>0</v>
      </c>
      <c r="N515" t="n">
        <v>0</v>
      </c>
      <c r="O515" t="n">
        <v>0</v>
      </c>
      <c r="P515" t="n">
        <v>0</v>
      </c>
      <c r="Q515" t="n">
        <v>0</v>
      </c>
      <c r="R515" s="2" t="inlineStr"/>
    </row>
    <row r="516" ht="15" customHeight="1">
      <c r="A516" t="inlineStr">
        <is>
          <t>A 47606-2025</t>
        </is>
      </c>
      <c r="B516" s="1" t="n">
        <v>45931.46402777778</v>
      </c>
      <c r="C516" s="1" t="n">
        <v>46017</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267-2023</t>
        </is>
      </c>
      <c r="B517" s="1" t="n">
        <v>44928.80907407407</v>
      </c>
      <c r="C517" s="1" t="n">
        <v>46017</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26618-2023</t>
        </is>
      </c>
      <c r="B518" s="1" t="n">
        <v>45092.70306712963</v>
      </c>
      <c r="C518" s="1" t="n">
        <v>46017</v>
      </c>
      <c r="D518" t="inlineStr">
        <is>
          <t>ÖSTERGÖTLANDS LÄN</t>
        </is>
      </c>
      <c r="E518" t="inlineStr">
        <is>
          <t>LINKÖPING</t>
        </is>
      </c>
      <c r="G518" t="n">
        <v>6.9</v>
      </c>
      <c r="H518" t="n">
        <v>0</v>
      </c>
      <c r="I518" t="n">
        <v>0</v>
      </c>
      <c r="J518" t="n">
        <v>0</v>
      </c>
      <c r="K518" t="n">
        <v>0</v>
      </c>
      <c r="L518" t="n">
        <v>0</v>
      </c>
      <c r="M518" t="n">
        <v>0</v>
      </c>
      <c r="N518" t="n">
        <v>0</v>
      </c>
      <c r="O518" t="n">
        <v>0</v>
      </c>
      <c r="P518" t="n">
        <v>0</v>
      </c>
      <c r="Q518" t="n">
        <v>0</v>
      </c>
      <c r="R518" s="2" t="inlineStr"/>
    </row>
    <row r="519" ht="15" customHeight="1">
      <c r="A519" t="inlineStr">
        <is>
          <t>A 63665-2023</t>
        </is>
      </c>
      <c r="B519" s="1" t="n">
        <v>45275</v>
      </c>
      <c r="C519" s="1" t="n">
        <v>46017</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48254-2025</t>
        </is>
      </c>
      <c r="B520" s="1" t="n">
        <v>45932</v>
      </c>
      <c r="C520" s="1" t="n">
        <v>46017</v>
      </c>
      <c r="D520" t="inlineStr">
        <is>
          <t>ÖSTERGÖTLANDS LÄN</t>
        </is>
      </c>
      <c r="E520" t="inlineStr">
        <is>
          <t>LINKÖPING</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48266-2025</t>
        </is>
      </c>
      <c r="B521" s="1" t="n">
        <v>45932</v>
      </c>
      <c r="C521" s="1" t="n">
        <v>46017</v>
      </c>
      <c r="D521" t="inlineStr">
        <is>
          <t>ÖSTERGÖTLANDS LÄN</t>
        </is>
      </c>
      <c r="E521" t="inlineStr">
        <is>
          <t>LINKÖPING</t>
        </is>
      </c>
      <c r="F521" t="inlineStr">
        <is>
          <t>Övriga Aktiebolag</t>
        </is>
      </c>
      <c r="G521" t="n">
        <v>0.5</v>
      </c>
      <c r="H521" t="n">
        <v>0</v>
      </c>
      <c r="I521" t="n">
        <v>0</v>
      </c>
      <c r="J521" t="n">
        <v>0</v>
      </c>
      <c r="K521" t="n">
        <v>0</v>
      </c>
      <c r="L521" t="n">
        <v>0</v>
      </c>
      <c r="M521" t="n">
        <v>0</v>
      </c>
      <c r="N521" t="n">
        <v>0</v>
      </c>
      <c r="O521" t="n">
        <v>0</v>
      </c>
      <c r="P521" t="n">
        <v>0</v>
      </c>
      <c r="Q521" t="n">
        <v>0</v>
      </c>
      <c r="R521" s="2" t="inlineStr"/>
    </row>
    <row r="522" ht="15" customHeight="1">
      <c r="A522" t="inlineStr">
        <is>
          <t>A 62488-2023</t>
        </is>
      </c>
      <c r="B522" s="1" t="n">
        <v>45268.5847337963</v>
      </c>
      <c r="C522" s="1" t="n">
        <v>46017</v>
      </c>
      <c r="D522" t="inlineStr">
        <is>
          <t>ÖSTERGÖTLANDS LÄN</t>
        </is>
      </c>
      <c r="E522" t="inlineStr">
        <is>
          <t>LINKÖPING</t>
        </is>
      </c>
      <c r="G522" t="n">
        <v>4.1</v>
      </c>
      <c r="H522" t="n">
        <v>0</v>
      </c>
      <c r="I522" t="n">
        <v>0</v>
      </c>
      <c r="J522" t="n">
        <v>0</v>
      </c>
      <c r="K522" t="n">
        <v>0</v>
      </c>
      <c r="L522" t="n">
        <v>0</v>
      </c>
      <c r="M522" t="n">
        <v>0</v>
      </c>
      <c r="N522" t="n">
        <v>0</v>
      </c>
      <c r="O522" t="n">
        <v>0</v>
      </c>
      <c r="P522" t="n">
        <v>0</v>
      </c>
      <c r="Q522" t="n">
        <v>0</v>
      </c>
      <c r="R522" s="2" t="inlineStr"/>
    </row>
    <row r="523" ht="15" customHeight="1">
      <c r="A523" t="inlineStr">
        <is>
          <t>A 45831-2024</t>
        </is>
      </c>
      <c r="B523" s="1" t="n">
        <v>45579.90508101852</v>
      </c>
      <c r="C523" s="1" t="n">
        <v>46017</v>
      </c>
      <c r="D523" t="inlineStr">
        <is>
          <t>ÖSTERGÖTLANDS LÄN</t>
        </is>
      </c>
      <c r="E523" t="inlineStr">
        <is>
          <t>LINKÖPING</t>
        </is>
      </c>
      <c r="G523" t="n">
        <v>1.9</v>
      </c>
      <c r="H523" t="n">
        <v>0</v>
      </c>
      <c r="I523" t="n">
        <v>0</v>
      </c>
      <c r="J523" t="n">
        <v>0</v>
      </c>
      <c r="K523" t="n">
        <v>0</v>
      </c>
      <c r="L523" t="n">
        <v>0</v>
      </c>
      <c r="M523" t="n">
        <v>0</v>
      </c>
      <c r="N523" t="n">
        <v>0</v>
      </c>
      <c r="O523" t="n">
        <v>0</v>
      </c>
      <c r="P523" t="n">
        <v>0</v>
      </c>
      <c r="Q523" t="n">
        <v>0</v>
      </c>
      <c r="R523" s="2" t="inlineStr"/>
    </row>
    <row r="524" ht="15" customHeight="1">
      <c r="A524" t="inlineStr">
        <is>
          <t>A 57396-2021</t>
        </is>
      </c>
      <c r="B524" s="1" t="n">
        <v>44483.56151620371</v>
      </c>
      <c r="C524" s="1" t="n">
        <v>46017</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22842-2023</t>
        </is>
      </c>
      <c r="B525" s="1" t="n">
        <v>45071</v>
      </c>
      <c r="C525" s="1" t="n">
        <v>46017</v>
      </c>
      <c r="D525" t="inlineStr">
        <is>
          <t>ÖSTERGÖTLANDS LÄN</t>
        </is>
      </c>
      <c r="E525" t="inlineStr">
        <is>
          <t>LINKÖPING</t>
        </is>
      </c>
      <c r="F525" t="inlineStr">
        <is>
          <t>Kommuner</t>
        </is>
      </c>
      <c r="G525" t="n">
        <v>1.3</v>
      </c>
      <c r="H525" t="n">
        <v>0</v>
      </c>
      <c r="I525" t="n">
        <v>0</v>
      </c>
      <c r="J525" t="n">
        <v>0</v>
      </c>
      <c r="K525" t="n">
        <v>0</v>
      </c>
      <c r="L525" t="n">
        <v>0</v>
      </c>
      <c r="M525" t="n">
        <v>0</v>
      </c>
      <c r="N525" t="n">
        <v>0</v>
      </c>
      <c r="O525" t="n">
        <v>0</v>
      </c>
      <c r="P525" t="n">
        <v>0</v>
      </c>
      <c r="Q525" t="n">
        <v>0</v>
      </c>
      <c r="R525" s="2" t="inlineStr"/>
    </row>
    <row r="526" ht="15" customHeight="1">
      <c r="A526" t="inlineStr">
        <is>
          <t>A 50386-2021</t>
        </is>
      </c>
      <c r="B526" s="1" t="n">
        <v>44459</v>
      </c>
      <c r="C526" s="1" t="n">
        <v>46017</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35781-2023</t>
        </is>
      </c>
      <c r="B527" s="1" t="n">
        <v>45147</v>
      </c>
      <c r="C527" s="1" t="n">
        <v>46017</v>
      </c>
      <c r="D527" t="inlineStr">
        <is>
          <t>ÖSTERGÖTLANDS LÄN</t>
        </is>
      </c>
      <c r="E527" t="inlineStr">
        <is>
          <t>LINKÖPING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22770-2024</t>
        </is>
      </c>
      <c r="B528" s="1" t="n">
        <v>45448.4634375</v>
      </c>
      <c r="C528" s="1" t="n">
        <v>46017</v>
      </c>
      <c r="D528" t="inlineStr">
        <is>
          <t>ÖSTERGÖTLANDS LÄN</t>
        </is>
      </c>
      <c r="E528" t="inlineStr">
        <is>
          <t>LINKÖPING</t>
        </is>
      </c>
      <c r="F528" t="inlineStr">
        <is>
          <t>Sveaskog</t>
        </is>
      </c>
      <c r="G528" t="n">
        <v>3.4</v>
      </c>
      <c r="H528" t="n">
        <v>0</v>
      </c>
      <c r="I528" t="n">
        <v>0</v>
      </c>
      <c r="J528" t="n">
        <v>0</v>
      </c>
      <c r="K528" t="n">
        <v>0</v>
      </c>
      <c r="L528" t="n">
        <v>0</v>
      </c>
      <c r="M528" t="n">
        <v>0</v>
      </c>
      <c r="N528" t="n">
        <v>0</v>
      </c>
      <c r="O528" t="n">
        <v>0</v>
      </c>
      <c r="P528" t="n">
        <v>0</v>
      </c>
      <c r="Q528" t="n">
        <v>0</v>
      </c>
      <c r="R528" s="2" t="inlineStr"/>
    </row>
    <row r="529" ht="15" customHeight="1">
      <c r="A529" t="inlineStr">
        <is>
          <t>A 11671-2023</t>
        </is>
      </c>
      <c r="B529" s="1" t="n">
        <v>44994.48125</v>
      </c>
      <c r="C529" s="1" t="n">
        <v>46017</v>
      </c>
      <c r="D529" t="inlineStr">
        <is>
          <t>ÖSTERGÖTLANDS LÄN</t>
        </is>
      </c>
      <c r="E529" t="inlineStr">
        <is>
          <t>LINKÖPING</t>
        </is>
      </c>
      <c r="G529" t="n">
        <v>2.6</v>
      </c>
      <c r="H529" t="n">
        <v>0</v>
      </c>
      <c r="I529" t="n">
        <v>0</v>
      </c>
      <c r="J529" t="n">
        <v>0</v>
      </c>
      <c r="K529" t="n">
        <v>0</v>
      </c>
      <c r="L529" t="n">
        <v>0</v>
      </c>
      <c r="M529" t="n">
        <v>0</v>
      </c>
      <c r="N529" t="n">
        <v>0</v>
      </c>
      <c r="O529" t="n">
        <v>0</v>
      </c>
      <c r="P529" t="n">
        <v>0</v>
      </c>
      <c r="Q529" t="n">
        <v>0</v>
      </c>
      <c r="R529" s="2" t="inlineStr"/>
    </row>
    <row r="530" ht="15" customHeight="1">
      <c r="A530" t="inlineStr">
        <is>
          <t>A 30429-2024</t>
        </is>
      </c>
      <c r="B530" s="1" t="n">
        <v>45491.68972222223</v>
      </c>
      <c r="C530" s="1" t="n">
        <v>46017</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56704-2025</t>
        </is>
      </c>
      <c r="B531" s="1" t="n">
        <v>45977.50608796296</v>
      </c>
      <c r="C531" s="1" t="n">
        <v>46017</v>
      </c>
      <c r="D531" t="inlineStr">
        <is>
          <t>ÖSTERGÖTLANDS LÄN</t>
        </is>
      </c>
      <c r="E531" t="inlineStr">
        <is>
          <t>LINKÖPING</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54425-2022</t>
        </is>
      </c>
      <c r="B532" s="1" t="n">
        <v>44882.57453703704</v>
      </c>
      <c r="C532" s="1" t="n">
        <v>46017</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30435-2024</t>
        </is>
      </c>
      <c r="B533" s="1" t="n">
        <v>45491.69962962963</v>
      </c>
      <c r="C533" s="1" t="n">
        <v>46017</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62495-2023</t>
        </is>
      </c>
      <c r="B534" s="1" t="n">
        <v>45268.59717592593</v>
      </c>
      <c r="C534" s="1" t="n">
        <v>46017</v>
      </c>
      <c r="D534" t="inlineStr">
        <is>
          <t>ÖSTERGÖTLANDS LÄN</t>
        </is>
      </c>
      <c r="E534" t="inlineStr">
        <is>
          <t>LINKÖPING</t>
        </is>
      </c>
      <c r="G534" t="n">
        <v>4.1</v>
      </c>
      <c r="H534" t="n">
        <v>0</v>
      </c>
      <c r="I534" t="n">
        <v>0</v>
      </c>
      <c r="J534" t="n">
        <v>0</v>
      </c>
      <c r="K534" t="n">
        <v>0</v>
      </c>
      <c r="L534" t="n">
        <v>0</v>
      </c>
      <c r="M534" t="n">
        <v>0</v>
      </c>
      <c r="N534" t="n">
        <v>0</v>
      </c>
      <c r="O534" t="n">
        <v>0</v>
      </c>
      <c r="P534" t="n">
        <v>0</v>
      </c>
      <c r="Q534" t="n">
        <v>0</v>
      </c>
      <c r="R534" s="2" t="inlineStr"/>
    </row>
    <row r="535" ht="15" customHeight="1">
      <c r="A535" t="inlineStr">
        <is>
          <t>A 53816-2023</t>
        </is>
      </c>
      <c r="B535" s="1" t="n">
        <v>45231.40012731482</v>
      </c>
      <c r="C535" s="1" t="n">
        <v>46017</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36557-2023</t>
        </is>
      </c>
      <c r="B536" s="1" t="n">
        <v>45153</v>
      </c>
      <c r="C536" s="1" t="n">
        <v>46017</v>
      </c>
      <c r="D536" t="inlineStr">
        <is>
          <t>ÖSTERGÖTLANDS LÄN</t>
        </is>
      </c>
      <c r="E536" t="inlineStr">
        <is>
          <t>LINKÖPING</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6599-2023</t>
        </is>
      </c>
      <c r="B537" s="1" t="n">
        <v>44966.52603009259</v>
      </c>
      <c r="C537" s="1" t="n">
        <v>46017</v>
      </c>
      <c r="D537" t="inlineStr">
        <is>
          <t>ÖSTERGÖTLANDS LÄN</t>
        </is>
      </c>
      <c r="E537" t="inlineStr">
        <is>
          <t>LINKÖPING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43473-2024</t>
        </is>
      </c>
      <c r="B538" s="1" t="n">
        <v>45568</v>
      </c>
      <c r="C538" s="1" t="n">
        <v>46017</v>
      </c>
      <c r="D538" t="inlineStr">
        <is>
          <t>ÖSTERGÖTLANDS LÄN</t>
        </is>
      </c>
      <c r="E538" t="inlineStr">
        <is>
          <t>LINKÖPING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4927-2021</t>
        </is>
      </c>
      <c r="B539" s="1" t="n">
        <v>44227.57215277778</v>
      </c>
      <c r="C539" s="1" t="n">
        <v>46017</v>
      </c>
      <c r="D539" t="inlineStr">
        <is>
          <t>ÖSTERGÖTLANDS LÄN</t>
        </is>
      </c>
      <c r="E539" t="inlineStr">
        <is>
          <t>LINKÖPING</t>
        </is>
      </c>
      <c r="G539" t="n">
        <v>0.3</v>
      </c>
      <c r="H539" t="n">
        <v>0</v>
      </c>
      <c r="I539" t="n">
        <v>0</v>
      </c>
      <c r="J539" t="n">
        <v>0</v>
      </c>
      <c r="K539" t="n">
        <v>0</v>
      </c>
      <c r="L539" t="n">
        <v>0</v>
      </c>
      <c r="M539" t="n">
        <v>0</v>
      </c>
      <c r="N539" t="n">
        <v>0</v>
      </c>
      <c r="O539" t="n">
        <v>0</v>
      </c>
      <c r="P539" t="n">
        <v>0</v>
      </c>
      <c r="Q539" t="n">
        <v>0</v>
      </c>
      <c r="R539" s="2" t="inlineStr"/>
    </row>
    <row r="540" ht="15" customHeight="1">
      <c r="A540" t="inlineStr">
        <is>
          <t>A 30547-2023</t>
        </is>
      </c>
      <c r="B540" s="1" t="n">
        <v>45111.75905092592</v>
      </c>
      <c r="C540" s="1" t="n">
        <v>46017</v>
      </c>
      <c r="D540" t="inlineStr">
        <is>
          <t>ÖSTERGÖTLANDS LÄN</t>
        </is>
      </c>
      <c r="E540" t="inlineStr">
        <is>
          <t>LINKÖPING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24904-2024</t>
        </is>
      </c>
      <c r="B541" s="1" t="n">
        <v>45461</v>
      </c>
      <c r="C541" s="1" t="n">
        <v>46017</v>
      </c>
      <c r="D541" t="inlineStr">
        <is>
          <t>ÖSTERGÖTLANDS LÄN</t>
        </is>
      </c>
      <c r="E541" t="inlineStr">
        <is>
          <t>LINKÖPING</t>
        </is>
      </c>
      <c r="G541" t="n">
        <v>3.8</v>
      </c>
      <c r="H541" t="n">
        <v>0</v>
      </c>
      <c r="I541" t="n">
        <v>0</v>
      </c>
      <c r="J541" t="n">
        <v>0</v>
      </c>
      <c r="K541" t="n">
        <v>0</v>
      </c>
      <c r="L541" t="n">
        <v>0</v>
      </c>
      <c r="M541" t="n">
        <v>0</v>
      </c>
      <c r="N541" t="n">
        <v>0</v>
      </c>
      <c r="O541" t="n">
        <v>0</v>
      </c>
      <c r="P541" t="n">
        <v>0</v>
      </c>
      <c r="Q541" t="n">
        <v>0</v>
      </c>
      <c r="R541" s="2" t="inlineStr"/>
    </row>
    <row r="542" ht="15" customHeight="1">
      <c r="A542" t="inlineStr">
        <is>
          <t>A 26788-2022</t>
        </is>
      </c>
      <c r="B542" s="1" t="n">
        <v>44740</v>
      </c>
      <c r="C542" s="1" t="n">
        <v>46017</v>
      </c>
      <c r="D542" t="inlineStr">
        <is>
          <t>ÖSTERGÖTLANDS LÄN</t>
        </is>
      </c>
      <c r="E542" t="inlineStr">
        <is>
          <t>LINKÖPING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15121-2022</t>
        </is>
      </c>
      <c r="B543" s="1" t="n">
        <v>44658</v>
      </c>
      <c r="C543" s="1" t="n">
        <v>46017</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49605-2025</t>
        </is>
      </c>
      <c r="B544" s="1" t="n">
        <v>45938</v>
      </c>
      <c r="C544" s="1" t="n">
        <v>46017</v>
      </c>
      <c r="D544" t="inlineStr">
        <is>
          <t>ÖSTERGÖTLANDS LÄN</t>
        </is>
      </c>
      <c r="E544" t="inlineStr">
        <is>
          <t>LINKÖPING</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51919-2024</t>
        </is>
      </c>
      <c r="B545" s="1" t="n">
        <v>45607.60791666667</v>
      </c>
      <c r="C545" s="1" t="n">
        <v>46017</v>
      </c>
      <c r="D545" t="inlineStr">
        <is>
          <t>ÖSTERGÖTLANDS LÄN</t>
        </is>
      </c>
      <c r="E545" t="inlineStr">
        <is>
          <t>LINKÖPING</t>
        </is>
      </c>
      <c r="G545" t="n">
        <v>2.5</v>
      </c>
      <c r="H545" t="n">
        <v>0</v>
      </c>
      <c r="I545" t="n">
        <v>0</v>
      </c>
      <c r="J545" t="n">
        <v>0</v>
      </c>
      <c r="K545" t="n">
        <v>0</v>
      </c>
      <c r="L545" t="n">
        <v>0</v>
      </c>
      <c r="M545" t="n">
        <v>0</v>
      </c>
      <c r="N545" t="n">
        <v>0</v>
      </c>
      <c r="O545" t="n">
        <v>0</v>
      </c>
      <c r="P545" t="n">
        <v>0</v>
      </c>
      <c r="Q545" t="n">
        <v>0</v>
      </c>
      <c r="R545" s="2" t="inlineStr"/>
    </row>
    <row r="546" ht="15" customHeight="1">
      <c r="A546" t="inlineStr">
        <is>
          <t>A 49647-2025</t>
        </is>
      </c>
      <c r="B546" s="1" t="n">
        <v>45938</v>
      </c>
      <c r="C546" s="1" t="n">
        <v>46017</v>
      </c>
      <c r="D546" t="inlineStr">
        <is>
          <t>ÖSTERGÖTLANDS LÄN</t>
        </is>
      </c>
      <c r="E546" t="inlineStr">
        <is>
          <t>LINKÖPING</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55009-2023</t>
        </is>
      </c>
      <c r="B547" s="1" t="n">
        <v>45237</v>
      </c>
      <c r="C547" s="1" t="n">
        <v>46017</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20291-2025</t>
        </is>
      </c>
      <c r="B548" s="1" t="n">
        <v>45774.74288194445</v>
      </c>
      <c r="C548" s="1" t="n">
        <v>46017</v>
      </c>
      <c r="D548" t="inlineStr">
        <is>
          <t>ÖSTERGÖTLANDS LÄN</t>
        </is>
      </c>
      <c r="E548" t="inlineStr">
        <is>
          <t>LINKÖPING</t>
        </is>
      </c>
      <c r="G548" t="n">
        <v>2.3</v>
      </c>
      <c r="H548" t="n">
        <v>0</v>
      </c>
      <c r="I548" t="n">
        <v>0</v>
      </c>
      <c r="J548" t="n">
        <v>0</v>
      </c>
      <c r="K548" t="n">
        <v>0</v>
      </c>
      <c r="L548" t="n">
        <v>0</v>
      </c>
      <c r="M548" t="n">
        <v>0</v>
      </c>
      <c r="N548" t="n">
        <v>0</v>
      </c>
      <c r="O548" t="n">
        <v>0</v>
      </c>
      <c r="P548" t="n">
        <v>0</v>
      </c>
      <c r="Q548" t="n">
        <v>0</v>
      </c>
      <c r="R548" s="2" t="inlineStr"/>
    </row>
    <row r="549" ht="15" customHeight="1">
      <c r="A549" t="inlineStr">
        <is>
          <t>A 20293-2025</t>
        </is>
      </c>
      <c r="B549" s="1" t="n">
        <v>45774.74611111111</v>
      </c>
      <c r="C549" s="1" t="n">
        <v>46017</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660-2023</t>
        </is>
      </c>
      <c r="B550" s="1" t="n">
        <v>44930</v>
      </c>
      <c r="C550" s="1" t="n">
        <v>46017</v>
      </c>
      <c r="D550" t="inlineStr">
        <is>
          <t>ÖSTERGÖTLANDS LÄN</t>
        </is>
      </c>
      <c r="E550" t="inlineStr">
        <is>
          <t>LINKÖPING</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49633-2025</t>
        </is>
      </c>
      <c r="B551" s="1" t="n">
        <v>45938</v>
      </c>
      <c r="C551" s="1" t="n">
        <v>46017</v>
      </c>
      <c r="D551" t="inlineStr">
        <is>
          <t>ÖSTERGÖTLANDS LÄN</t>
        </is>
      </c>
      <c r="E551" t="inlineStr">
        <is>
          <t>LINKÖPING</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49663-2025</t>
        </is>
      </c>
      <c r="B552" s="1" t="n">
        <v>45938</v>
      </c>
      <c r="C552" s="1" t="n">
        <v>46017</v>
      </c>
      <c r="D552" t="inlineStr">
        <is>
          <t>ÖSTERGÖTLANDS LÄN</t>
        </is>
      </c>
      <c r="E552" t="inlineStr">
        <is>
          <t>LINKÖPING</t>
        </is>
      </c>
      <c r="F552" t="inlineStr">
        <is>
          <t>Övriga Aktiebolag</t>
        </is>
      </c>
      <c r="G552" t="n">
        <v>1.2</v>
      </c>
      <c r="H552" t="n">
        <v>0</v>
      </c>
      <c r="I552" t="n">
        <v>0</v>
      </c>
      <c r="J552" t="n">
        <v>0</v>
      </c>
      <c r="K552" t="n">
        <v>0</v>
      </c>
      <c r="L552" t="n">
        <v>0</v>
      </c>
      <c r="M552" t="n">
        <v>0</v>
      </c>
      <c r="N552" t="n">
        <v>0</v>
      </c>
      <c r="O552" t="n">
        <v>0</v>
      </c>
      <c r="P552" t="n">
        <v>0</v>
      </c>
      <c r="Q552" t="n">
        <v>0</v>
      </c>
      <c r="R552" s="2" t="inlineStr"/>
    </row>
    <row r="553" ht="15" customHeight="1">
      <c r="A553" t="inlineStr">
        <is>
          <t>A 64694-2023</t>
        </is>
      </c>
      <c r="B553" s="1" t="n">
        <v>45281</v>
      </c>
      <c r="C553" s="1" t="n">
        <v>46017</v>
      </c>
      <c r="D553" t="inlineStr">
        <is>
          <t>ÖSTERGÖTLANDS LÄN</t>
        </is>
      </c>
      <c r="E553" t="inlineStr">
        <is>
          <t>LINKÖPING</t>
        </is>
      </c>
      <c r="F553" t="inlineStr">
        <is>
          <t>Övriga statliga verk och myndigheter</t>
        </is>
      </c>
      <c r="G553" t="n">
        <v>4.9</v>
      </c>
      <c r="H553" t="n">
        <v>0</v>
      </c>
      <c r="I553" t="n">
        <v>0</v>
      </c>
      <c r="J553" t="n">
        <v>0</v>
      </c>
      <c r="K553" t="n">
        <v>0</v>
      </c>
      <c r="L553" t="n">
        <v>0</v>
      </c>
      <c r="M553" t="n">
        <v>0</v>
      </c>
      <c r="N553" t="n">
        <v>0</v>
      </c>
      <c r="O553" t="n">
        <v>0</v>
      </c>
      <c r="P553" t="n">
        <v>0</v>
      </c>
      <c r="Q553" t="n">
        <v>0</v>
      </c>
      <c r="R553" s="2" t="inlineStr"/>
    </row>
    <row r="554" ht="15" customHeight="1">
      <c r="A554" t="inlineStr">
        <is>
          <t>A 49455-2025</t>
        </is>
      </c>
      <c r="B554" s="1" t="n">
        <v>45938</v>
      </c>
      <c r="C554" s="1" t="n">
        <v>46017</v>
      </c>
      <c r="D554" t="inlineStr">
        <is>
          <t>ÖSTERGÖTLANDS LÄN</t>
        </is>
      </c>
      <c r="E554" t="inlineStr">
        <is>
          <t>LINKÖPING</t>
        </is>
      </c>
      <c r="F554" t="inlineStr">
        <is>
          <t>Övriga Aktiebolag</t>
        </is>
      </c>
      <c r="G554" t="n">
        <v>5.9</v>
      </c>
      <c r="H554" t="n">
        <v>0</v>
      </c>
      <c r="I554" t="n">
        <v>0</v>
      </c>
      <c r="J554" t="n">
        <v>0</v>
      </c>
      <c r="K554" t="n">
        <v>0</v>
      </c>
      <c r="L554" t="n">
        <v>0</v>
      </c>
      <c r="M554" t="n">
        <v>0</v>
      </c>
      <c r="N554" t="n">
        <v>0</v>
      </c>
      <c r="O554" t="n">
        <v>0</v>
      </c>
      <c r="P554" t="n">
        <v>0</v>
      </c>
      <c r="Q554" t="n">
        <v>0</v>
      </c>
      <c r="R554" s="2" t="inlineStr"/>
    </row>
    <row r="555" ht="15" customHeight="1">
      <c r="A555" t="inlineStr">
        <is>
          <t>A 61532-2021</t>
        </is>
      </c>
      <c r="B555" s="1" t="n">
        <v>44501</v>
      </c>
      <c r="C555" s="1" t="n">
        <v>46017</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3374-2023</t>
        </is>
      </c>
      <c r="B556" s="1" t="n">
        <v>44949</v>
      </c>
      <c r="C556" s="1" t="n">
        <v>46017</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224-2024</t>
        </is>
      </c>
      <c r="B557" s="1" t="n">
        <v>45294</v>
      </c>
      <c r="C557" s="1" t="n">
        <v>46017</v>
      </c>
      <c r="D557" t="inlineStr">
        <is>
          <t>ÖSTERGÖTLANDS LÄN</t>
        </is>
      </c>
      <c r="E557" t="inlineStr">
        <is>
          <t>LINKÖPING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6726-2024</t>
        </is>
      </c>
      <c r="B558" s="1" t="n">
        <v>45341</v>
      </c>
      <c r="C558" s="1" t="n">
        <v>46017</v>
      </c>
      <c r="D558" t="inlineStr">
        <is>
          <t>ÖSTERGÖTLANDS LÄN</t>
        </is>
      </c>
      <c r="E558" t="inlineStr">
        <is>
          <t>LINKÖPING</t>
        </is>
      </c>
      <c r="G558" t="n">
        <v>2.7</v>
      </c>
      <c r="H558" t="n">
        <v>0</v>
      </c>
      <c r="I558" t="n">
        <v>0</v>
      </c>
      <c r="J558" t="n">
        <v>0</v>
      </c>
      <c r="K558" t="n">
        <v>0</v>
      </c>
      <c r="L558" t="n">
        <v>0</v>
      </c>
      <c r="M558" t="n">
        <v>0</v>
      </c>
      <c r="N558" t="n">
        <v>0</v>
      </c>
      <c r="O558" t="n">
        <v>0</v>
      </c>
      <c r="P558" t="n">
        <v>0</v>
      </c>
      <c r="Q558" t="n">
        <v>0</v>
      </c>
      <c r="R558" s="2" t="inlineStr"/>
    </row>
    <row r="559" ht="15" customHeight="1">
      <c r="A559" t="inlineStr">
        <is>
          <t>A 49652-2025</t>
        </is>
      </c>
      <c r="B559" s="1" t="n">
        <v>45938</v>
      </c>
      <c r="C559" s="1" t="n">
        <v>46017</v>
      </c>
      <c r="D559" t="inlineStr">
        <is>
          <t>ÖSTERGÖTLANDS LÄN</t>
        </is>
      </c>
      <c r="E559" t="inlineStr">
        <is>
          <t>LINKÖPING</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49654-2025</t>
        </is>
      </c>
      <c r="B560" s="1" t="n">
        <v>45938</v>
      </c>
      <c r="C560" s="1" t="n">
        <v>46017</v>
      </c>
      <c r="D560" t="inlineStr">
        <is>
          <t>ÖSTERGÖTLANDS LÄN</t>
        </is>
      </c>
      <c r="E560" t="inlineStr">
        <is>
          <t>LINKÖPING</t>
        </is>
      </c>
      <c r="F560" t="inlineStr">
        <is>
          <t>Övriga Aktiebolag</t>
        </is>
      </c>
      <c r="G560" t="n">
        <v>3.1</v>
      </c>
      <c r="H560" t="n">
        <v>0</v>
      </c>
      <c r="I560" t="n">
        <v>0</v>
      </c>
      <c r="J560" t="n">
        <v>0</v>
      </c>
      <c r="K560" t="n">
        <v>0</v>
      </c>
      <c r="L560" t="n">
        <v>0</v>
      </c>
      <c r="M560" t="n">
        <v>0</v>
      </c>
      <c r="N560" t="n">
        <v>0</v>
      </c>
      <c r="O560" t="n">
        <v>0</v>
      </c>
      <c r="P560" t="n">
        <v>0</v>
      </c>
      <c r="Q560" t="n">
        <v>0</v>
      </c>
      <c r="R560" s="2" t="inlineStr"/>
    </row>
    <row r="561" ht="15" customHeight="1">
      <c r="A561" t="inlineStr">
        <is>
          <t>A 49619-2025</t>
        </is>
      </c>
      <c r="B561" s="1" t="n">
        <v>45938</v>
      </c>
      <c r="C561" s="1" t="n">
        <v>46017</v>
      </c>
      <c r="D561" t="inlineStr">
        <is>
          <t>ÖSTERGÖTLANDS LÄN</t>
        </is>
      </c>
      <c r="E561" t="inlineStr">
        <is>
          <t>LINKÖPING</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49629-2025</t>
        </is>
      </c>
      <c r="B562" s="1" t="n">
        <v>45938</v>
      </c>
      <c r="C562" s="1" t="n">
        <v>46017</v>
      </c>
      <c r="D562" t="inlineStr">
        <is>
          <t>ÖSTERGÖTLANDS LÄN</t>
        </is>
      </c>
      <c r="E562" t="inlineStr">
        <is>
          <t>LINKÖPING</t>
        </is>
      </c>
      <c r="F562" t="inlineStr">
        <is>
          <t>Övriga Aktiebolag</t>
        </is>
      </c>
      <c r="G562" t="n">
        <v>4.5</v>
      </c>
      <c r="H562" t="n">
        <v>0</v>
      </c>
      <c r="I562" t="n">
        <v>0</v>
      </c>
      <c r="J562" t="n">
        <v>0</v>
      </c>
      <c r="K562" t="n">
        <v>0</v>
      </c>
      <c r="L562" t="n">
        <v>0</v>
      </c>
      <c r="M562" t="n">
        <v>0</v>
      </c>
      <c r="N562" t="n">
        <v>0</v>
      </c>
      <c r="O562" t="n">
        <v>0</v>
      </c>
      <c r="P562" t="n">
        <v>0</v>
      </c>
      <c r="Q562" t="n">
        <v>0</v>
      </c>
      <c r="R562" s="2" t="inlineStr"/>
    </row>
    <row r="563" ht="15" customHeight="1">
      <c r="A563" t="inlineStr">
        <is>
          <t>A 49650-2025</t>
        </is>
      </c>
      <c r="B563" s="1" t="n">
        <v>45938</v>
      </c>
      <c r="C563" s="1" t="n">
        <v>46017</v>
      </c>
      <c r="D563" t="inlineStr">
        <is>
          <t>ÖSTERGÖTLANDS LÄN</t>
        </is>
      </c>
      <c r="E563" t="inlineStr">
        <is>
          <t>LINKÖPING</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10198-2023</t>
        </is>
      </c>
      <c r="B564" s="1" t="n">
        <v>44986.54665509259</v>
      </c>
      <c r="C564" s="1" t="n">
        <v>46017</v>
      </c>
      <c r="D564" t="inlineStr">
        <is>
          <t>ÖSTERGÖTLANDS LÄN</t>
        </is>
      </c>
      <c r="E564" t="inlineStr">
        <is>
          <t>LINKÖPING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63487-2023</t>
        </is>
      </c>
      <c r="B565" s="1" t="n">
        <v>45274.66712962963</v>
      </c>
      <c r="C565" s="1" t="n">
        <v>46017</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49632-2025</t>
        </is>
      </c>
      <c r="B566" s="1" t="n">
        <v>45938</v>
      </c>
      <c r="C566" s="1" t="n">
        <v>46017</v>
      </c>
      <c r="D566" t="inlineStr">
        <is>
          <t>ÖSTERGÖTLANDS LÄN</t>
        </is>
      </c>
      <c r="E566" t="inlineStr">
        <is>
          <t>LINKÖPING</t>
        </is>
      </c>
      <c r="F566" t="inlineStr">
        <is>
          <t>Övriga Aktiebolag</t>
        </is>
      </c>
      <c r="G566" t="n">
        <v>1.6</v>
      </c>
      <c r="H566" t="n">
        <v>0</v>
      </c>
      <c r="I566" t="n">
        <v>0</v>
      </c>
      <c r="J566" t="n">
        <v>0</v>
      </c>
      <c r="K566" t="n">
        <v>0</v>
      </c>
      <c r="L566" t="n">
        <v>0</v>
      </c>
      <c r="M566" t="n">
        <v>0</v>
      </c>
      <c r="N566" t="n">
        <v>0</v>
      </c>
      <c r="O566" t="n">
        <v>0</v>
      </c>
      <c r="P566" t="n">
        <v>0</v>
      </c>
      <c r="Q566" t="n">
        <v>0</v>
      </c>
      <c r="R566" s="2" t="inlineStr"/>
    </row>
    <row r="567" ht="15" customHeight="1">
      <c r="A567" t="inlineStr">
        <is>
          <t>A 49615-2025</t>
        </is>
      </c>
      <c r="B567" s="1" t="n">
        <v>45938</v>
      </c>
      <c r="C567" s="1" t="n">
        <v>46017</v>
      </c>
      <c r="D567" t="inlineStr">
        <is>
          <t>ÖSTERGÖTLANDS LÄN</t>
        </is>
      </c>
      <c r="E567" t="inlineStr">
        <is>
          <t>LINKÖPING</t>
        </is>
      </c>
      <c r="F567" t="inlineStr">
        <is>
          <t>Övriga Aktiebolag</t>
        </is>
      </c>
      <c r="G567" t="n">
        <v>1.6</v>
      </c>
      <c r="H567" t="n">
        <v>0</v>
      </c>
      <c r="I567" t="n">
        <v>0</v>
      </c>
      <c r="J567" t="n">
        <v>0</v>
      </c>
      <c r="K567" t="n">
        <v>0</v>
      </c>
      <c r="L567" t="n">
        <v>0</v>
      </c>
      <c r="M567" t="n">
        <v>0</v>
      </c>
      <c r="N567" t="n">
        <v>0</v>
      </c>
      <c r="O567" t="n">
        <v>0</v>
      </c>
      <c r="P567" t="n">
        <v>0</v>
      </c>
      <c r="Q567" t="n">
        <v>0</v>
      </c>
      <c r="R567" s="2" t="inlineStr"/>
    </row>
    <row r="568" ht="15" customHeight="1">
      <c r="A568" t="inlineStr">
        <is>
          <t>A 20455-2024</t>
        </is>
      </c>
      <c r="B568" s="1" t="n">
        <v>45435.65314814815</v>
      </c>
      <c r="C568" s="1" t="n">
        <v>46017</v>
      </c>
      <c r="D568" t="inlineStr">
        <is>
          <t>ÖSTERGÖTLANDS LÄN</t>
        </is>
      </c>
      <c r="E568" t="inlineStr">
        <is>
          <t>LINKÖPING</t>
        </is>
      </c>
      <c r="G568" t="n">
        <v>2.6</v>
      </c>
      <c r="H568" t="n">
        <v>0</v>
      </c>
      <c r="I568" t="n">
        <v>0</v>
      </c>
      <c r="J568" t="n">
        <v>0</v>
      </c>
      <c r="K568" t="n">
        <v>0</v>
      </c>
      <c r="L568" t="n">
        <v>0</v>
      </c>
      <c r="M568" t="n">
        <v>0</v>
      </c>
      <c r="N568" t="n">
        <v>0</v>
      </c>
      <c r="O568" t="n">
        <v>0</v>
      </c>
      <c r="P568" t="n">
        <v>0</v>
      </c>
      <c r="Q568" t="n">
        <v>0</v>
      </c>
      <c r="R568" s="2" t="inlineStr"/>
    </row>
    <row r="569" ht="15" customHeight="1">
      <c r="A569" t="inlineStr">
        <is>
          <t>A 30471-2023</t>
        </is>
      </c>
      <c r="B569" s="1" t="n">
        <v>45111.58931712963</v>
      </c>
      <c r="C569" s="1" t="n">
        <v>46017</v>
      </c>
      <c r="D569" t="inlineStr">
        <is>
          <t>ÖSTERGÖTLANDS LÄN</t>
        </is>
      </c>
      <c r="E569" t="inlineStr">
        <is>
          <t>LINKÖPING</t>
        </is>
      </c>
      <c r="G569" t="n">
        <v>2.9</v>
      </c>
      <c r="H569" t="n">
        <v>0</v>
      </c>
      <c r="I569" t="n">
        <v>0</v>
      </c>
      <c r="J569" t="n">
        <v>0</v>
      </c>
      <c r="K569" t="n">
        <v>0</v>
      </c>
      <c r="L569" t="n">
        <v>0</v>
      </c>
      <c r="M569" t="n">
        <v>0</v>
      </c>
      <c r="N569" t="n">
        <v>0</v>
      </c>
      <c r="O569" t="n">
        <v>0</v>
      </c>
      <c r="P569" t="n">
        <v>0</v>
      </c>
      <c r="Q569" t="n">
        <v>0</v>
      </c>
      <c r="R569" s="2" t="inlineStr"/>
    </row>
    <row r="570" ht="15" customHeight="1">
      <c r="A570" t="inlineStr">
        <is>
          <t>A 53814-2023</t>
        </is>
      </c>
      <c r="B570" s="1" t="n">
        <v>45231</v>
      </c>
      <c r="C570" s="1" t="n">
        <v>46017</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14093-2024</t>
        </is>
      </c>
      <c r="B571" s="1" t="n">
        <v>45392.60278935185</v>
      </c>
      <c r="C571" s="1" t="n">
        <v>46017</v>
      </c>
      <c r="D571" t="inlineStr">
        <is>
          <t>ÖSTERGÖTLANDS LÄN</t>
        </is>
      </c>
      <c r="E571" t="inlineStr">
        <is>
          <t>LINKÖPING</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22771-2024</t>
        </is>
      </c>
      <c r="B572" s="1" t="n">
        <v>45448.46574074074</v>
      </c>
      <c r="C572" s="1" t="n">
        <v>46017</v>
      </c>
      <c r="D572" t="inlineStr">
        <is>
          <t>ÖSTERGÖTLANDS LÄN</t>
        </is>
      </c>
      <c r="E572" t="inlineStr">
        <is>
          <t>LINKÖPING</t>
        </is>
      </c>
      <c r="F572" t="inlineStr">
        <is>
          <t>Sveaskog</t>
        </is>
      </c>
      <c r="G572" t="n">
        <v>2.7</v>
      </c>
      <c r="H572" t="n">
        <v>0</v>
      </c>
      <c r="I572" t="n">
        <v>0</v>
      </c>
      <c r="J572" t="n">
        <v>0</v>
      </c>
      <c r="K572" t="n">
        <v>0</v>
      </c>
      <c r="L572" t="n">
        <v>0</v>
      </c>
      <c r="M572" t="n">
        <v>0</v>
      </c>
      <c r="N572" t="n">
        <v>0</v>
      </c>
      <c r="O572" t="n">
        <v>0</v>
      </c>
      <c r="P572" t="n">
        <v>0</v>
      </c>
      <c r="Q572" t="n">
        <v>0</v>
      </c>
      <c r="R572" s="2" t="inlineStr"/>
    </row>
    <row r="573" ht="15" customHeight="1">
      <c r="A573" t="inlineStr">
        <is>
          <t>A 17128-2025</t>
        </is>
      </c>
      <c r="B573" s="1" t="n">
        <v>45755.72622685185</v>
      </c>
      <c r="C573" s="1" t="n">
        <v>46017</v>
      </c>
      <c r="D573" t="inlineStr">
        <is>
          <t>ÖSTERGÖTLANDS LÄN</t>
        </is>
      </c>
      <c r="E573" t="inlineStr">
        <is>
          <t>LINKÖPING</t>
        </is>
      </c>
      <c r="G573" t="n">
        <v>2.9</v>
      </c>
      <c r="H573" t="n">
        <v>0</v>
      </c>
      <c r="I573" t="n">
        <v>0</v>
      </c>
      <c r="J573" t="n">
        <v>0</v>
      </c>
      <c r="K573" t="n">
        <v>0</v>
      </c>
      <c r="L573" t="n">
        <v>0</v>
      </c>
      <c r="M573" t="n">
        <v>0</v>
      </c>
      <c r="N573" t="n">
        <v>0</v>
      </c>
      <c r="O573" t="n">
        <v>0</v>
      </c>
      <c r="P573" t="n">
        <v>0</v>
      </c>
      <c r="Q573" t="n">
        <v>0</v>
      </c>
      <c r="R573" s="2" t="inlineStr"/>
    </row>
    <row r="574" ht="15" customHeight="1">
      <c r="A574" t="inlineStr">
        <is>
          <t>A 63304-2021</t>
        </is>
      </c>
      <c r="B574" s="1" t="n">
        <v>44508.4396412037</v>
      </c>
      <c r="C574" s="1" t="n">
        <v>46017</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60004-2022</t>
        </is>
      </c>
      <c r="B575" s="1" t="n">
        <v>44909.47206018519</v>
      </c>
      <c r="C575" s="1" t="n">
        <v>46017</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19362-2023</t>
        </is>
      </c>
      <c r="B576" s="1" t="n">
        <v>45049</v>
      </c>
      <c r="C576" s="1" t="n">
        <v>46017</v>
      </c>
      <c r="D576" t="inlineStr">
        <is>
          <t>ÖSTERGÖTLANDS LÄN</t>
        </is>
      </c>
      <c r="E576" t="inlineStr">
        <is>
          <t>LINKÖPING</t>
        </is>
      </c>
      <c r="G576" t="n">
        <v>0.1</v>
      </c>
      <c r="H576" t="n">
        <v>0</v>
      </c>
      <c r="I576" t="n">
        <v>0</v>
      </c>
      <c r="J576" t="n">
        <v>0</v>
      </c>
      <c r="K576" t="n">
        <v>0</v>
      </c>
      <c r="L576" t="n">
        <v>0</v>
      </c>
      <c r="M576" t="n">
        <v>0</v>
      </c>
      <c r="N576" t="n">
        <v>0</v>
      </c>
      <c r="O576" t="n">
        <v>0</v>
      </c>
      <c r="P576" t="n">
        <v>0</v>
      </c>
      <c r="Q576" t="n">
        <v>0</v>
      </c>
      <c r="R576" s="2" t="inlineStr"/>
    </row>
    <row r="577" ht="15" customHeight="1">
      <c r="A577" t="inlineStr">
        <is>
          <t>A 52796-2023</t>
        </is>
      </c>
      <c r="B577" s="1" t="n">
        <v>45219</v>
      </c>
      <c r="C577" s="1" t="n">
        <v>46017</v>
      </c>
      <c r="D577" t="inlineStr">
        <is>
          <t>ÖSTERGÖTLANDS LÄN</t>
        </is>
      </c>
      <c r="E577" t="inlineStr">
        <is>
          <t>LINKÖPING</t>
        </is>
      </c>
      <c r="F577" t="inlineStr">
        <is>
          <t>Övriga statliga verk och myndigheter</t>
        </is>
      </c>
      <c r="G577" t="n">
        <v>3.9</v>
      </c>
      <c r="H577" t="n">
        <v>0</v>
      </c>
      <c r="I577" t="n">
        <v>0</v>
      </c>
      <c r="J577" t="n">
        <v>0</v>
      </c>
      <c r="K577" t="n">
        <v>0</v>
      </c>
      <c r="L577" t="n">
        <v>0</v>
      </c>
      <c r="M577" t="n">
        <v>0</v>
      </c>
      <c r="N577" t="n">
        <v>0</v>
      </c>
      <c r="O577" t="n">
        <v>0</v>
      </c>
      <c r="P577" t="n">
        <v>0</v>
      </c>
      <c r="Q577" t="n">
        <v>0</v>
      </c>
      <c r="R577" s="2" t="inlineStr"/>
    </row>
    <row r="578" ht="15" customHeight="1">
      <c r="A578" t="inlineStr">
        <is>
          <t>A 50743-2023</t>
        </is>
      </c>
      <c r="B578" s="1" t="n">
        <v>45217</v>
      </c>
      <c r="C578" s="1" t="n">
        <v>46017</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35463-2023</t>
        </is>
      </c>
      <c r="B579" s="1" t="n">
        <v>45146</v>
      </c>
      <c r="C579" s="1" t="n">
        <v>46017</v>
      </c>
      <c r="D579" t="inlineStr">
        <is>
          <t>ÖSTERGÖTLANDS LÄN</t>
        </is>
      </c>
      <c r="E579" t="inlineStr">
        <is>
          <t>LINKÖPING</t>
        </is>
      </c>
      <c r="F579" t="inlineStr">
        <is>
          <t>Övriga Aktiebolag</t>
        </is>
      </c>
      <c r="G579" t="n">
        <v>1.8</v>
      </c>
      <c r="H579" t="n">
        <v>0</v>
      </c>
      <c r="I579" t="n">
        <v>0</v>
      </c>
      <c r="J579" t="n">
        <v>0</v>
      </c>
      <c r="K579" t="n">
        <v>0</v>
      </c>
      <c r="L579" t="n">
        <v>0</v>
      </c>
      <c r="M579" t="n">
        <v>0</v>
      </c>
      <c r="N579" t="n">
        <v>0</v>
      </c>
      <c r="O579" t="n">
        <v>0</v>
      </c>
      <c r="P579" t="n">
        <v>0</v>
      </c>
      <c r="Q579" t="n">
        <v>0</v>
      </c>
      <c r="R579" s="2" t="inlineStr"/>
    </row>
    <row r="580" ht="15" customHeight="1">
      <c r="A580" t="inlineStr">
        <is>
          <t>A 45771-2023</t>
        </is>
      </c>
      <c r="B580" s="1" t="n">
        <v>45195.4384375</v>
      </c>
      <c r="C580" s="1" t="n">
        <v>46017</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16111-2022</t>
        </is>
      </c>
      <c r="B581" s="1" t="n">
        <v>44665</v>
      </c>
      <c r="C581" s="1" t="n">
        <v>46017</v>
      </c>
      <c r="D581" t="inlineStr">
        <is>
          <t>ÖSTERGÖTLANDS LÄN</t>
        </is>
      </c>
      <c r="E581" t="inlineStr">
        <is>
          <t>LINKÖPING</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40983-2025</t>
        </is>
      </c>
      <c r="B582" s="1" t="n">
        <v>45898</v>
      </c>
      <c r="C582" s="1" t="n">
        <v>46017</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63554-2023</t>
        </is>
      </c>
      <c r="B583" s="1" t="n">
        <v>45275</v>
      </c>
      <c r="C583" s="1" t="n">
        <v>46017</v>
      </c>
      <c r="D583" t="inlineStr">
        <is>
          <t>ÖSTERGÖTLANDS LÄN</t>
        </is>
      </c>
      <c r="E583" t="inlineStr">
        <is>
          <t>LINKÖPING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31635-2023</t>
        </is>
      </c>
      <c r="B584" s="1" t="n">
        <v>45105</v>
      </c>
      <c r="C584" s="1" t="n">
        <v>46017</v>
      </c>
      <c r="D584" t="inlineStr">
        <is>
          <t>ÖSTERGÖTLANDS LÄN</t>
        </is>
      </c>
      <c r="E584" t="inlineStr">
        <is>
          <t>LINKÖPING</t>
        </is>
      </c>
      <c r="F584" t="inlineStr">
        <is>
          <t>Övriga statliga verk och myndigheter</t>
        </is>
      </c>
      <c r="G584" t="n">
        <v>4.6</v>
      </c>
      <c r="H584" t="n">
        <v>0</v>
      </c>
      <c r="I584" t="n">
        <v>0</v>
      </c>
      <c r="J584" t="n">
        <v>0</v>
      </c>
      <c r="K584" t="n">
        <v>0</v>
      </c>
      <c r="L584" t="n">
        <v>0</v>
      </c>
      <c r="M584" t="n">
        <v>0</v>
      </c>
      <c r="N584" t="n">
        <v>0</v>
      </c>
      <c r="O584" t="n">
        <v>0</v>
      </c>
      <c r="P584" t="n">
        <v>0</v>
      </c>
      <c r="Q584" t="n">
        <v>0</v>
      </c>
      <c r="R584" s="2" t="inlineStr"/>
    </row>
    <row r="585" ht="15" customHeight="1">
      <c r="A585" t="inlineStr">
        <is>
          <t>A 49928-2024</t>
        </is>
      </c>
      <c r="B585" s="1" t="n">
        <v>45597.57811342592</v>
      </c>
      <c r="C585" s="1" t="n">
        <v>46017</v>
      </c>
      <c r="D585" t="inlineStr">
        <is>
          <t>ÖSTERGÖTLANDS LÄN</t>
        </is>
      </c>
      <c r="E585" t="inlineStr">
        <is>
          <t>LINKÖPING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30111-2024</t>
        </is>
      </c>
      <c r="B586" s="1" t="n">
        <v>45489.46947916667</v>
      </c>
      <c r="C586" s="1" t="n">
        <v>46017</v>
      </c>
      <c r="D586" t="inlineStr">
        <is>
          <t>ÖSTERGÖTLANDS LÄN</t>
        </is>
      </c>
      <c r="E586" t="inlineStr">
        <is>
          <t>LINKÖPING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30119-2024</t>
        </is>
      </c>
      <c r="B587" s="1" t="n">
        <v>45489</v>
      </c>
      <c r="C587" s="1" t="n">
        <v>46017</v>
      </c>
      <c r="D587" t="inlineStr">
        <is>
          <t>ÖSTERGÖTLANDS LÄN</t>
        </is>
      </c>
      <c r="E587" t="inlineStr">
        <is>
          <t>LINKÖPING</t>
        </is>
      </c>
      <c r="G587" t="n">
        <v>1.7</v>
      </c>
      <c r="H587" t="n">
        <v>0</v>
      </c>
      <c r="I587" t="n">
        <v>0</v>
      </c>
      <c r="J587" t="n">
        <v>0</v>
      </c>
      <c r="K587" t="n">
        <v>0</v>
      </c>
      <c r="L587" t="n">
        <v>0</v>
      </c>
      <c r="M587" t="n">
        <v>0</v>
      </c>
      <c r="N587" t="n">
        <v>0</v>
      </c>
      <c r="O587" t="n">
        <v>0</v>
      </c>
      <c r="P587" t="n">
        <v>0</v>
      </c>
      <c r="Q587" t="n">
        <v>0</v>
      </c>
      <c r="R587" s="2" t="inlineStr"/>
    </row>
    <row r="588" ht="15" customHeight="1">
      <c r="A588" t="inlineStr">
        <is>
          <t>A 6206-2024</t>
        </is>
      </c>
      <c r="B588" s="1" t="n">
        <v>45337.5977662037</v>
      </c>
      <c r="C588" s="1" t="n">
        <v>46017</v>
      </c>
      <c r="D588" t="inlineStr">
        <is>
          <t>ÖSTERGÖTLANDS LÄN</t>
        </is>
      </c>
      <c r="E588" t="inlineStr">
        <is>
          <t>LINKÖPING</t>
        </is>
      </c>
      <c r="G588" t="n">
        <v>2</v>
      </c>
      <c r="H588" t="n">
        <v>0</v>
      </c>
      <c r="I588" t="n">
        <v>0</v>
      </c>
      <c r="J588" t="n">
        <v>0</v>
      </c>
      <c r="K588" t="n">
        <v>0</v>
      </c>
      <c r="L588" t="n">
        <v>0</v>
      </c>
      <c r="M588" t="n">
        <v>0</v>
      </c>
      <c r="N588" t="n">
        <v>0</v>
      </c>
      <c r="O588" t="n">
        <v>0</v>
      </c>
      <c r="P588" t="n">
        <v>0</v>
      </c>
      <c r="Q588" t="n">
        <v>0</v>
      </c>
      <c r="R588" s="2" t="inlineStr"/>
    </row>
    <row r="589" ht="15" customHeight="1">
      <c r="A589" t="inlineStr">
        <is>
          <t>A 62018-2024</t>
        </is>
      </c>
      <c r="B589" s="1" t="n">
        <v>45655.81387731482</v>
      </c>
      <c r="C589" s="1" t="n">
        <v>46017</v>
      </c>
      <c r="D589" t="inlineStr">
        <is>
          <t>ÖSTERGÖTLANDS LÄN</t>
        </is>
      </c>
      <c r="E589" t="inlineStr">
        <is>
          <t>LINKÖPING</t>
        </is>
      </c>
      <c r="G589" t="n">
        <v>1.3</v>
      </c>
      <c r="H589" t="n">
        <v>0</v>
      </c>
      <c r="I589" t="n">
        <v>0</v>
      </c>
      <c r="J589" t="n">
        <v>0</v>
      </c>
      <c r="K589" t="n">
        <v>0</v>
      </c>
      <c r="L589" t="n">
        <v>0</v>
      </c>
      <c r="M589" t="n">
        <v>0</v>
      </c>
      <c r="N589" t="n">
        <v>0</v>
      </c>
      <c r="O589" t="n">
        <v>0</v>
      </c>
      <c r="P589" t="n">
        <v>0</v>
      </c>
      <c r="Q589" t="n">
        <v>0</v>
      </c>
      <c r="R589" s="2" t="inlineStr"/>
    </row>
    <row r="590" ht="15" customHeight="1">
      <c r="A590" t="inlineStr">
        <is>
          <t>A 62073-2023</t>
        </is>
      </c>
      <c r="B590" s="1" t="n">
        <v>45266.73844907407</v>
      </c>
      <c r="C590" s="1" t="n">
        <v>46017</v>
      </c>
      <c r="D590" t="inlineStr">
        <is>
          <t>ÖSTERGÖTLANDS LÄN</t>
        </is>
      </c>
      <c r="E590" t="inlineStr">
        <is>
          <t>LINKÖPING</t>
        </is>
      </c>
      <c r="F590" t="inlineStr">
        <is>
          <t>Allmännings- och besparingsskogar</t>
        </is>
      </c>
      <c r="G590" t="n">
        <v>1.8</v>
      </c>
      <c r="H590" t="n">
        <v>0</v>
      </c>
      <c r="I590" t="n">
        <v>0</v>
      </c>
      <c r="J590" t="n">
        <v>0</v>
      </c>
      <c r="K590" t="n">
        <v>0</v>
      </c>
      <c r="L590" t="n">
        <v>0</v>
      </c>
      <c r="M590" t="n">
        <v>0</v>
      </c>
      <c r="N590" t="n">
        <v>0</v>
      </c>
      <c r="O590" t="n">
        <v>0</v>
      </c>
      <c r="P590" t="n">
        <v>0</v>
      </c>
      <c r="Q590" t="n">
        <v>0</v>
      </c>
      <c r="R590" s="2" t="inlineStr"/>
    </row>
    <row r="591" ht="15" customHeight="1">
      <c r="A591" t="inlineStr">
        <is>
          <t>A 54845-2023</t>
        </is>
      </c>
      <c r="B591" s="1" t="n">
        <v>45236</v>
      </c>
      <c r="C591" s="1" t="n">
        <v>46017</v>
      </c>
      <c r="D591" t="inlineStr">
        <is>
          <t>ÖSTERGÖTLANDS LÄN</t>
        </is>
      </c>
      <c r="E591" t="inlineStr">
        <is>
          <t>LINKÖPING</t>
        </is>
      </c>
      <c r="F591" t="inlineStr">
        <is>
          <t>Övriga Aktiebolag</t>
        </is>
      </c>
      <c r="G591" t="n">
        <v>5.7</v>
      </c>
      <c r="H591" t="n">
        <v>0</v>
      </c>
      <c r="I591" t="n">
        <v>0</v>
      </c>
      <c r="J591" t="n">
        <v>0</v>
      </c>
      <c r="K591" t="n">
        <v>0</v>
      </c>
      <c r="L591" t="n">
        <v>0</v>
      </c>
      <c r="M591" t="n">
        <v>0</v>
      </c>
      <c r="N591" t="n">
        <v>0</v>
      </c>
      <c r="O591" t="n">
        <v>0</v>
      </c>
      <c r="P591" t="n">
        <v>0</v>
      </c>
      <c r="Q591" t="n">
        <v>0</v>
      </c>
      <c r="R591" s="2" t="inlineStr"/>
    </row>
    <row r="592" ht="15" customHeight="1">
      <c r="A592" t="inlineStr">
        <is>
          <t>A 46687-2021</t>
        </is>
      </c>
      <c r="B592" s="1" t="n">
        <v>44445</v>
      </c>
      <c r="C592" s="1" t="n">
        <v>46017</v>
      </c>
      <c r="D592" t="inlineStr">
        <is>
          <t>ÖSTERGÖTLANDS LÄN</t>
        </is>
      </c>
      <c r="E592" t="inlineStr">
        <is>
          <t>LINKÖPING</t>
        </is>
      </c>
      <c r="F592" t="inlineStr">
        <is>
          <t>Övriga statliga verk och myndigheter</t>
        </is>
      </c>
      <c r="G592" t="n">
        <v>2.3</v>
      </c>
      <c r="H592" t="n">
        <v>0</v>
      </c>
      <c r="I592" t="n">
        <v>0</v>
      </c>
      <c r="J592" t="n">
        <v>0</v>
      </c>
      <c r="K592" t="n">
        <v>0</v>
      </c>
      <c r="L592" t="n">
        <v>0</v>
      </c>
      <c r="M592" t="n">
        <v>0</v>
      </c>
      <c r="N592" t="n">
        <v>0</v>
      </c>
      <c r="O592" t="n">
        <v>0</v>
      </c>
      <c r="P592" t="n">
        <v>0</v>
      </c>
      <c r="Q592" t="n">
        <v>0</v>
      </c>
      <c r="R592" s="2" t="inlineStr"/>
    </row>
    <row r="593" ht="15" customHeight="1">
      <c r="A593" t="inlineStr">
        <is>
          <t>A 15714-2024</t>
        </is>
      </c>
      <c r="B593" s="1" t="n">
        <v>45404.48288194444</v>
      </c>
      <c r="C593" s="1" t="n">
        <v>46017</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30855-2022</t>
        </is>
      </c>
      <c r="B594" s="1" t="n">
        <v>44767</v>
      </c>
      <c r="C594" s="1" t="n">
        <v>46017</v>
      </c>
      <c r="D594" t="inlineStr">
        <is>
          <t>ÖSTERGÖTLANDS LÄN</t>
        </is>
      </c>
      <c r="E594" t="inlineStr">
        <is>
          <t>LINKÖPING</t>
        </is>
      </c>
      <c r="G594" t="n">
        <v>2.2</v>
      </c>
      <c r="H594" t="n">
        <v>0</v>
      </c>
      <c r="I594" t="n">
        <v>0</v>
      </c>
      <c r="J594" t="n">
        <v>0</v>
      </c>
      <c r="K594" t="n">
        <v>0</v>
      </c>
      <c r="L594" t="n">
        <v>0</v>
      </c>
      <c r="M594" t="n">
        <v>0</v>
      </c>
      <c r="N594" t="n">
        <v>0</v>
      </c>
      <c r="O594" t="n">
        <v>0</v>
      </c>
      <c r="P594" t="n">
        <v>0</v>
      </c>
      <c r="Q594" t="n">
        <v>0</v>
      </c>
      <c r="R594" s="2" t="inlineStr"/>
    </row>
    <row r="595" ht="15" customHeight="1">
      <c r="A595" t="inlineStr">
        <is>
          <t>A 50056-2025</t>
        </is>
      </c>
      <c r="B595" s="1" t="n">
        <v>45941</v>
      </c>
      <c r="C595" s="1" t="n">
        <v>46017</v>
      </c>
      <c r="D595" t="inlineStr">
        <is>
          <t>ÖSTERGÖTLANDS LÄN</t>
        </is>
      </c>
      <c r="E595" t="inlineStr">
        <is>
          <t>LINKÖPING</t>
        </is>
      </c>
      <c r="G595" t="n">
        <v>0.3</v>
      </c>
      <c r="H595" t="n">
        <v>0</v>
      </c>
      <c r="I595" t="n">
        <v>0</v>
      </c>
      <c r="J595" t="n">
        <v>0</v>
      </c>
      <c r="K595" t="n">
        <v>0</v>
      </c>
      <c r="L595" t="n">
        <v>0</v>
      </c>
      <c r="M595" t="n">
        <v>0</v>
      </c>
      <c r="N595" t="n">
        <v>0</v>
      </c>
      <c r="O595" t="n">
        <v>0</v>
      </c>
      <c r="P595" t="n">
        <v>0</v>
      </c>
      <c r="Q595" t="n">
        <v>0</v>
      </c>
      <c r="R595" s="2" t="inlineStr"/>
    </row>
    <row r="596" ht="15" customHeight="1">
      <c r="A596" t="inlineStr">
        <is>
          <t>A 55004-2025</t>
        </is>
      </c>
      <c r="B596" s="1" t="n">
        <v>45967</v>
      </c>
      <c r="C596" s="1" t="n">
        <v>46017</v>
      </c>
      <c r="D596" t="inlineStr">
        <is>
          <t>ÖSTERGÖTLANDS LÄN</t>
        </is>
      </c>
      <c r="E596" t="inlineStr">
        <is>
          <t>LINKÖPING</t>
        </is>
      </c>
      <c r="G596" t="n">
        <v>2.5</v>
      </c>
      <c r="H596" t="n">
        <v>0</v>
      </c>
      <c r="I596" t="n">
        <v>0</v>
      </c>
      <c r="J596" t="n">
        <v>0</v>
      </c>
      <c r="K596" t="n">
        <v>0</v>
      </c>
      <c r="L596" t="n">
        <v>0</v>
      </c>
      <c r="M596" t="n">
        <v>0</v>
      </c>
      <c r="N596" t="n">
        <v>0</v>
      </c>
      <c r="O596" t="n">
        <v>0</v>
      </c>
      <c r="P596" t="n">
        <v>0</v>
      </c>
      <c r="Q596" t="n">
        <v>0</v>
      </c>
      <c r="R596" s="2" t="inlineStr"/>
    </row>
    <row r="597" ht="15" customHeight="1">
      <c r="A597" t="inlineStr">
        <is>
          <t>A 1355-2023</t>
        </is>
      </c>
      <c r="B597" s="1" t="n">
        <v>44931</v>
      </c>
      <c r="C597" s="1" t="n">
        <v>46017</v>
      </c>
      <c r="D597" t="inlineStr">
        <is>
          <t>ÖSTERGÖTLANDS LÄN</t>
        </is>
      </c>
      <c r="E597" t="inlineStr">
        <is>
          <t>LINKÖPING</t>
        </is>
      </c>
      <c r="G597" t="n">
        <v>4</v>
      </c>
      <c r="H597" t="n">
        <v>0</v>
      </c>
      <c r="I597" t="n">
        <v>0</v>
      </c>
      <c r="J597" t="n">
        <v>0</v>
      </c>
      <c r="K597" t="n">
        <v>0</v>
      </c>
      <c r="L597" t="n">
        <v>0</v>
      </c>
      <c r="M597" t="n">
        <v>0</v>
      </c>
      <c r="N597" t="n">
        <v>0</v>
      </c>
      <c r="O597" t="n">
        <v>0</v>
      </c>
      <c r="P597" t="n">
        <v>0</v>
      </c>
      <c r="Q597" t="n">
        <v>0</v>
      </c>
      <c r="R597" s="2" t="inlineStr"/>
    </row>
    <row r="598" ht="15" customHeight="1">
      <c r="A598" t="inlineStr">
        <is>
          <t>A 30481-2023</t>
        </is>
      </c>
      <c r="B598" s="1" t="n">
        <v>45111</v>
      </c>
      <c r="C598" s="1" t="n">
        <v>46017</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74160-2021</t>
        </is>
      </c>
      <c r="B599" s="1" t="n">
        <v>44558</v>
      </c>
      <c r="C599" s="1" t="n">
        <v>46017</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27844-2024</t>
        </is>
      </c>
      <c r="B600" s="1" t="n">
        <v>45475.63047453704</v>
      </c>
      <c r="C600" s="1" t="n">
        <v>46017</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63559-2023</t>
        </is>
      </c>
      <c r="B601" s="1" t="n">
        <v>45275.35924768518</v>
      </c>
      <c r="C601" s="1" t="n">
        <v>46017</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58802-2025</t>
        </is>
      </c>
      <c r="B602" s="1" t="n">
        <v>45986.8768287037</v>
      </c>
      <c r="C602" s="1" t="n">
        <v>46017</v>
      </c>
      <c r="D602" t="inlineStr">
        <is>
          <t>ÖSTERGÖTLANDS LÄN</t>
        </is>
      </c>
      <c r="E602" t="inlineStr">
        <is>
          <t>LINKÖPING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23491-2024</t>
        </is>
      </c>
      <c r="B603" s="1" t="n">
        <v>45453</v>
      </c>
      <c r="C603" s="1" t="n">
        <v>46017</v>
      </c>
      <c r="D603" t="inlineStr">
        <is>
          <t>ÖSTERGÖTLANDS LÄN</t>
        </is>
      </c>
      <c r="E603" t="inlineStr">
        <is>
          <t>LINKÖPING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672-2024</t>
        </is>
      </c>
      <c r="B604" s="1" t="n">
        <v>45300</v>
      </c>
      <c r="C604" s="1" t="n">
        <v>46017</v>
      </c>
      <c r="D604" t="inlineStr">
        <is>
          <t>ÖSTERGÖTLANDS LÄN</t>
        </is>
      </c>
      <c r="E604" t="inlineStr">
        <is>
          <t>LINKÖPING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10741-2023</t>
        </is>
      </c>
      <c r="B605" s="1" t="n">
        <v>44988.70084490741</v>
      </c>
      <c r="C605" s="1" t="n">
        <v>46017</v>
      </c>
      <c r="D605" t="inlineStr">
        <is>
          <t>ÖSTERGÖTLANDS LÄN</t>
        </is>
      </c>
      <c r="E605" t="inlineStr">
        <is>
          <t>LINKÖPING</t>
        </is>
      </c>
      <c r="F605" t="inlineStr">
        <is>
          <t>Allmännings- och besparingsskogar</t>
        </is>
      </c>
      <c r="G605" t="n">
        <v>11.2</v>
      </c>
      <c r="H605" t="n">
        <v>0</v>
      </c>
      <c r="I605" t="n">
        <v>0</v>
      </c>
      <c r="J605" t="n">
        <v>0</v>
      </c>
      <c r="K605" t="n">
        <v>0</v>
      </c>
      <c r="L605" t="n">
        <v>0</v>
      </c>
      <c r="M605" t="n">
        <v>0</v>
      </c>
      <c r="N605" t="n">
        <v>0</v>
      </c>
      <c r="O605" t="n">
        <v>0</v>
      </c>
      <c r="P605" t="n">
        <v>0</v>
      </c>
      <c r="Q605" t="n">
        <v>0</v>
      </c>
      <c r="R605" s="2" t="inlineStr"/>
    </row>
    <row r="606" ht="15" customHeight="1">
      <c r="A606" t="inlineStr">
        <is>
          <t>A 50667-2025</t>
        </is>
      </c>
      <c r="B606" s="1" t="n">
        <v>45945</v>
      </c>
      <c r="C606" s="1" t="n">
        <v>46017</v>
      </c>
      <c r="D606" t="inlineStr">
        <is>
          <t>ÖSTERGÖTLANDS LÄN</t>
        </is>
      </c>
      <c r="E606" t="inlineStr">
        <is>
          <t>LINKÖPING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50963-2021</t>
        </is>
      </c>
      <c r="B607" s="1" t="n">
        <v>44460</v>
      </c>
      <c r="C607" s="1" t="n">
        <v>46017</v>
      </c>
      <c r="D607" t="inlineStr">
        <is>
          <t>ÖSTERGÖTLANDS LÄN</t>
        </is>
      </c>
      <c r="E607" t="inlineStr">
        <is>
          <t>LINKÖPING</t>
        </is>
      </c>
      <c r="G607" t="n">
        <v>4.4</v>
      </c>
      <c r="H607" t="n">
        <v>0</v>
      </c>
      <c r="I607" t="n">
        <v>0</v>
      </c>
      <c r="J607" t="n">
        <v>0</v>
      </c>
      <c r="K607" t="n">
        <v>0</v>
      </c>
      <c r="L607" t="n">
        <v>0</v>
      </c>
      <c r="M607" t="n">
        <v>0</v>
      </c>
      <c r="N607" t="n">
        <v>0</v>
      </c>
      <c r="O607" t="n">
        <v>0</v>
      </c>
      <c r="P607" t="n">
        <v>0</v>
      </c>
      <c r="Q607" t="n">
        <v>0</v>
      </c>
      <c r="R607" s="2" t="inlineStr"/>
    </row>
    <row r="608" ht="15" customHeight="1">
      <c r="A608" t="inlineStr">
        <is>
          <t>A 45821-2024</t>
        </is>
      </c>
      <c r="B608" s="1" t="n">
        <v>45579.75803240741</v>
      </c>
      <c r="C608" s="1" t="n">
        <v>46017</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61936-2023</t>
        </is>
      </c>
      <c r="B609" s="1" t="n">
        <v>45266.54534722222</v>
      </c>
      <c r="C609" s="1" t="n">
        <v>46017</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1263-2024</t>
        </is>
      </c>
      <c r="B610" s="1" t="n">
        <v>45302</v>
      </c>
      <c r="C610" s="1" t="n">
        <v>46017</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24464-2023</t>
        </is>
      </c>
      <c r="B611" s="1" t="n">
        <v>45082.58068287037</v>
      </c>
      <c r="C611" s="1" t="n">
        <v>46017</v>
      </c>
      <c r="D611" t="inlineStr">
        <is>
          <t>ÖSTERGÖTLANDS LÄN</t>
        </is>
      </c>
      <c r="E611" t="inlineStr">
        <is>
          <t>LINKÖPING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48389-2024</t>
        </is>
      </c>
      <c r="B612" s="1" t="n">
        <v>45590.59991898148</v>
      </c>
      <c r="C612" s="1" t="n">
        <v>46017</v>
      </c>
      <c r="D612" t="inlineStr">
        <is>
          <t>ÖSTERGÖTLANDS LÄN</t>
        </is>
      </c>
      <c r="E612" t="inlineStr">
        <is>
          <t>LINKÖPING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42832-2023</t>
        </is>
      </c>
      <c r="B613" s="1" t="n">
        <v>45182.38091435185</v>
      </c>
      <c r="C613" s="1" t="n">
        <v>46017</v>
      </c>
      <c r="D613" t="inlineStr">
        <is>
          <t>ÖSTERGÖTLANDS LÄN</t>
        </is>
      </c>
      <c r="E613" t="inlineStr">
        <is>
          <t>LINKÖPING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61281-2021</t>
        </is>
      </c>
      <c r="B614" s="1" t="n">
        <v>44498.60736111111</v>
      </c>
      <c r="C614" s="1" t="n">
        <v>46017</v>
      </c>
      <c r="D614" t="inlineStr">
        <is>
          <t>ÖSTERGÖTLANDS LÄN</t>
        </is>
      </c>
      <c r="E614" t="inlineStr">
        <is>
          <t>LINKÖPING</t>
        </is>
      </c>
      <c r="G614" t="n">
        <v>4.5</v>
      </c>
      <c r="H614" t="n">
        <v>0</v>
      </c>
      <c r="I614" t="n">
        <v>0</v>
      </c>
      <c r="J614" t="n">
        <v>0</v>
      </c>
      <c r="K614" t="n">
        <v>0</v>
      </c>
      <c r="L614" t="n">
        <v>0</v>
      </c>
      <c r="M614" t="n">
        <v>0</v>
      </c>
      <c r="N614" t="n">
        <v>0</v>
      </c>
      <c r="O614" t="n">
        <v>0</v>
      </c>
      <c r="P614" t="n">
        <v>0</v>
      </c>
      <c r="Q614" t="n">
        <v>0</v>
      </c>
      <c r="R614" s="2" t="inlineStr"/>
    </row>
    <row r="615" ht="15" customHeight="1">
      <c r="A615" t="inlineStr">
        <is>
          <t>A 6369-2023</t>
        </is>
      </c>
      <c r="B615" s="1" t="n">
        <v>44965.61106481482</v>
      </c>
      <c r="C615" s="1" t="n">
        <v>46017</v>
      </c>
      <c r="D615" t="inlineStr">
        <is>
          <t>ÖSTERGÖTLANDS LÄN</t>
        </is>
      </c>
      <c r="E615" t="inlineStr">
        <is>
          <t>LINKÖPING</t>
        </is>
      </c>
      <c r="G615" t="n">
        <v>4</v>
      </c>
      <c r="H615" t="n">
        <v>0</v>
      </c>
      <c r="I615" t="n">
        <v>0</v>
      </c>
      <c r="J615" t="n">
        <v>0</v>
      </c>
      <c r="K615" t="n">
        <v>0</v>
      </c>
      <c r="L615" t="n">
        <v>0</v>
      </c>
      <c r="M615" t="n">
        <v>0</v>
      </c>
      <c r="N615" t="n">
        <v>0</v>
      </c>
      <c r="O615" t="n">
        <v>0</v>
      </c>
      <c r="P615" t="n">
        <v>0</v>
      </c>
      <c r="Q615" t="n">
        <v>0</v>
      </c>
      <c r="R615" s="2" t="inlineStr"/>
    </row>
    <row r="616" ht="15" customHeight="1">
      <c r="A616" t="inlineStr">
        <is>
          <t>A 59472-2025</t>
        </is>
      </c>
      <c r="B616" s="1" t="n">
        <v>45989.58321759259</v>
      </c>
      <c r="C616" s="1" t="n">
        <v>46017</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51802-2025</t>
        </is>
      </c>
      <c r="B617" s="1" t="n">
        <v>45950</v>
      </c>
      <c r="C617" s="1" t="n">
        <v>46017</v>
      </c>
      <c r="D617" t="inlineStr">
        <is>
          <t>ÖSTERGÖTLANDS LÄN</t>
        </is>
      </c>
      <c r="E617" t="inlineStr">
        <is>
          <t>LINKÖPING</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10094-2024</t>
        </is>
      </c>
      <c r="B618" s="1" t="n">
        <v>45364</v>
      </c>
      <c r="C618" s="1" t="n">
        <v>46017</v>
      </c>
      <c r="D618" t="inlineStr">
        <is>
          <t>ÖSTERGÖTLANDS LÄN</t>
        </is>
      </c>
      <c r="E618" t="inlineStr">
        <is>
          <t>LINKÖPING</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10253-2022</t>
        </is>
      </c>
      <c r="B619" s="1" t="n">
        <v>44622</v>
      </c>
      <c r="C619" s="1" t="n">
        <v>46017</v>
      </c>
      <c r="D619" t="inlineStr">
        <is>
          <t>ÖSTERGÖTLANDS LÄN</t>
        </is>
      </c>
      <c r="E619" t="inlineStr">
        <is>
          <t>LINKÖPING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1207-2023</t>
        </is>
      </c>
      <c r="B620" s="1" t="n">
        <v>44930</v>
      </c>
      <c r="C620" s="1" t="n">
        <v>46017</v>
      </c>
      <c r="D620" t="inlineStr">
        <is>
          <t>ÖSTERGÖTLANDS LÄN</t>
        </is>
      </c>
      <c r="E620" t="inlineStr">
        <is>
          <t>LINKÖPING</t>
        </is>
      </c>
      <c r="F620" t="inlineStr">
        <is>
          <t>Övriga statliga verk och myndigheter</t>
        </is>
      </c>
      <c r="G620" t="n">
        <v>32.8</v>
      </c>
      <c r="H620" t="n">
        <v>0</v>
      </c>
      <c r="I620" t="n">
        <v>0</v>
      </c>
      <c r="J620" t="n">
        <v>0</v>
      </c>
      <c r="K620" t="n">
        <v>0</v>
      </c>
      <c r="L620" t="n">
        <v>0</v>
      </c>
      <c r="M620" t="n">
        <v>0</v>
      </c>
      <c r="N620" t="n">
        <v>0</v>
      </c>
      <c r="O620" t="n">
        <v>0</v>
      </c>
      <c r="P620" t="n">
        <v>0</v>
      </c>
      <c r="Q620" t="n">
        <v>0</v>
      </c>
      <c r="R620" s="2" t="inlineStr"/>
    </row>
    <row r="621" ht="15" customHeight="1">
      <c r="A621" t="inlineStr">
        <is>
          <t>A 62015-2024</t>
        </is>
      </c>
      <c r="B621" s="1" t="n">
        <v>45655.80457175926</v>
      </c>
      <c r="C621" s="1" t="n">
        <v>46017</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62020-2024</t>
        </is>
      </c>
      <c r="B622" s="1" t="n">
        <v>45655.83563657408</v>
      </c>
      <c r="C622" s="1" t="n">
        <v>46017</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62021-2024</t>
        </is>
      </c>
      <c r="B623" s="1" t="n">
        <v>45655.84232638889</v>
      </c>
      <c r="C623" s="1" t="n">
        <v>46017</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5872-2025</t>
        </is>
      </c>
      <c r="B624" s="1" t="n">
        <v>45695.36659722222</v>
      </c>
      <c r="C624" s="1" t="n">
        <v>46017</v>
      </c>
      <c r="D624" t="inlineStr">
        <is>
          <t>ÖSTERGÖTLANDS LÄN</t>
        </is>
      </c>
      <c r="E624" t="inlineStr">
        <is>
          <t>LINKÖPING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59674-2024</t>
        </is>
      </c>
      <c r="B625" s="1" t="n">
        <v>45639</v>
      </c>
      <c r="C625" s="1" t="n">
        <v>46017</v>
      </c>
      <c r="D625" t="inlineStr">
        <is>
          <t>ÖSTERGÖTLANDS LÄN</t>
        </is>
      </c>
      <c r="E625" t="inlineStr">
        <is>
          <t>LINKÖPING</t>
        </is>
      </c>
      <c r="G625" t="n">
        <v>6.3</v>
      </c>
      <c r="H625" t="n">
        <v>0</v>
      </c>
      <c r="I625" t="n">
        <v>0</v>
      </c>
      <c r="J625" t="n">
        <v>0</v>
      </c>
      <c r="K625" t="n">
        <v>0</v>
      </c>
      <c r="L625" t="n">
        <v>0</v>
      </c>
      <c r="M625" t="n">
        <v>0</v>
      </c>
      <c r="N625" t="n">
        <v>0</v>
      </c>
      <c r="O625" t="n">
        <v>0</v>
      </c>
      <c r="P625" t="n">
        <v>0</v>
      </c>
      <c r="Q625" t="n">
        <v>0</v>
      </c>
      <c r="R625" s="2" t="inlineStr"/>
    </row>
    <row r="626" ht="15" customHeight="1">
      <c r="A626" t="inlineStr">
        <is>
          <t>A 27891-2021</t>
        </is>
      </c>
      <c r="B626" s="1" t="n">
        <v>44354.65108796296</v>
      </c>
      <c r="C626" s="1" t="n">
        <v>46017</v>
      </c>
      <c r="D626" t="inlineStr">
        <is>
          <t>ÖSTERGÖTLANDS LÄN</t>
        </is>
      </c>
      <c r="E626" t="inlineStr">
        <is>
          <t>LINKÖPING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59576-2024</t>
        </is>
      </c>
      <c r="B627" s="1" t="n">
        <v>45638.66378472222</v>
      </c>
      <c r="C627" s="1" t="n">
        <v>46017</v>
      </c>
      <c r="D627" t="inlineStr">
        <is>
          <t>ÖSTERGÖTLANDS LÄN</t>
        </is>
      </c>
      <c r="E627" t="inlineStr">
        <is>
          <t>LINKÖPING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57391-2023</t>
        </is>
      </c>
      <c r="B628" s="1" t="n">
        <v>45245</v>
      </c>
      <c r="C628" s="1" t="n">
        <v>46017</v>
      </c>
      <c r="D628" t="inlineStr">
        <is>
          <t>ÖSTERGÖTLANDS LÄN</t>
        </is>
      </c>
      <c r="E628" t="inlineStr">
        <is>
          <t>LINKÖPING</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51583-2024</t>
        </is>
      </c>
      <c r="B629" s="1" t="n">
        <v>45604.6397337963</v>
      </c>
      <c r="C629" s="1" t="n">
        <v>46017</v>
      </c>
      <c r="D629" t="inlineStr">
        <is>
          <t>ÖSTERGÖTLANDS LÄN</t>
        </is>
      </c>
      <c r="E629" t="inlineStr">
        <is>
          <t>LINKÖPING</t>
        </is>
      </c>
      <c r="F629" t="inlineStr">
        <is>
          <t>Övriga Aktiebolag</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62019-2024</t>
        </is>
      </c>
      <c r="B630" s="1" t="n">
        <v>45655.82</v>
      </c>
      <c r="C630" s="1" t="n">
        <v>46017</v>
      </c>
      <c r="D630" t="inlineStr">
        <is>
          <t>ÖSTERGÖTLANDS LÄN</t>
        </is>
      </c>
      <c r="E630" t="inlineStr">
        <is>
          <t>LINKÖPING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38317-2024</t>
        </is>
      </c>
      <c r="B631" s="1" t="n">
        <v>45545.65766203704</v>
      </c>
      <c r="C631" s="1" t="n">
        <v>46017</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20294-2025</t>
        </is>
      </c>
      <c r="B632" s="1" t="n">
        <v>45774.74667824074</v>
      </c>
      <c r="C632" s="1" t="n">
        <v>46017</v>
      </c>
      <c r="D632" t="inlineStr">
        <is>
          <t>ÖSTERGÖTLANDS LÄN</t>
        </is>
      </c>
      <c r="E632" t="inlineStr">
        <is>
          <t>LINKÖPING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60013-2022</t>
        </is>
      </c>
      <c r="B633" s="1" t="n">
        <v>44909.47482638889</v>
      </c>
      <c r="C633" s="1" t="n">
        <v>46017</v>
      </c>
      <c r="D633" t="inlineStr">
        <is>
          <t>ÖSTERGÖTLANDS LÄN</t>
        </is>
      </c>
      <c r="E633" t="inlineStr">
        <is>
          <t>LINKÖPING</t>
        </is>
      </c>
      <c r="G633" t="n">
        <v>0.9</v>
      </c>
      <c r="H633" t="n">
        <v>0</v>
      </c>
      <c r="I633" t="n">
        <v>0</v>
      </c>
      <c r="J633" t="n">
        <v>0</v>
      </c>
      <c r="K633" t="n">
        <v>0</v>
      </c>
      <c r="L633" t="n">
        <v>0</v>
      </c>
      <c r="M633" t="n">
        <v>0</v>
      </c>
      <c r="N633" t="n">
        <v>0</v>
      </c>
      <c r="O633" t="n">
        <v>0</v>
      </c>
      <c r="P633" t="n">
        <v>0</v>
      </c>
      <c r="Q633" t="n">
        <v>0</v>
      </c>
      <c r="R633" s="2" t="inlineStr"/>
    </row>
    <row r="634" ht="15" customHeight="1">
      <c r="A634" t="inlineStr">
        <is>
          <t>A 60087-2025</t>
        </is>
      </c>
      <c r="B634" s="1" t="n">
        <v>45993.71726851852</v>
      </c>
      <c r="C634" s="1" t="n">
        <v>46017</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50182-2023</t>
        </is>
      </c>
      <c r="B635" s="1" t="n">
        <v>45208</v>
      </c>
      <c r="C635" s="1" t="n">
        <v>46017</v>
      </c>
      <c r="D635" t="inlineStr">
        <is>
          <t>ÖSTERGÖTLANDS LÄN</t>
        </is>
      </c>
      <c r="E635" t="inlineStr">
        <is>
          <t>LINKÖPING</t>
        </is>
      </c>
      <c r="G635" t="n">
        <v>2.5</v>
      </c>
      <c r="H635" t="n">
        <v>0</v>
      </c>
      <c r="I635" t="n">
        <v>0</v>
      </c>
      <c r="J635" t="n">
        <v>0</v>
      </c>
      <c r="K635" t="n">
        <v>0</v>
      </c>
      <c r="L635" t="n">
        <v>0</v>
      </c>
      <c r="M635" t="n">
        <v>0</v>
      </c>
      <c r="N635" t="n">
        <v>0</v>
      </c>
      <c r="O635" t="n">
        <v>0</v>
      </c>
      <c r="P635" t="n">
        <v>0</v>
      </c>
      <c r="Q635" t="n">
        <v>0</v>
      </c>
      <c r="R635" s="2" t="inlineStr"/>
    </row>
    <row r="636" ht="15" customHeight="1">
      <c r="A636" t="inlineStr">
        <is>
          <t>A 3007-2025</t>
        </is>
      </c>
      <c r="B636" s="1" t="n">
        <v>45678.56328703704</v>
      </c>
      <c r="C636" s="1" t="n">
        <v>46017</v>
      </c>
      <c r="D636" t="inlineStr">
        <is>
          <t>ÖSTERGÖTLANDS LÄN</t>
        </is>
      </c>
      <c r="E636" t="inlineStr">
        <is>
          <t>LINKÖPING</t>
        </is>
      </c>
      <c r="G636" t="n">
        <v>3.1</v>
      </c>
      <c r="H636" t="n">
        <v>0</v>
      </c>
      <c r="I636" t="n">
        <v>0</v>
      </c>
      <c r="J636" t="n">
        <v>0</v>
      </c>
      <c r="K636" t="n">
        <v>0</v>
      </c>
      <c r="L636" t="n">
        <v>0</v>
      </c>
      <c r="M636" t="n">
        <v>0</v>
      </c>
      <c r="N636" t="n">
        <v>0</v>
      </c>
      <c r="O636" t="n">
        <v>0</v>
      </c>
      <c r="P636" t="n">
        <v>0</v>
      </c>
      <c r="Q636" t="n">
        <v>0</v>
      </c>
      <c r="R636" s="2" t="inlineStr"/>
    </row>
    <row r="637" ht="15" customHeight="1">
      <c r="A637" t="inlineStr">
        <is>
          <t>A 34877-2023</t>
        </is>
      </c>
      <c r="B637" s="1" t="n">
        <v>45140</v>
      </c>
      <c r="C637" s="1" t="n">
        <v>46017</v>
      </c>
      <c r="D637" t="inlineStr">
        <is>
          <t>ÖSTERGÖTLANDS LÄN</t>
        </is>
      </c>
      <c r="E637" t="inlineStr">
        <is>
          <t>LINKÖPING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1924-2024</t>
        </is>
      </c>
      <c r="B638" s="1" t="n">
        <v>45308</v>
      </c>
      <c r="C638" s="1" t="n">
        <v>46017</v>
      </c>
      <c r="D638" t="inlineStr">
        <is>
          <t>ÖSTERGÖTLANDS LÄN</t>
        </is>
      </c>
      <c r="E638" t="inlineStr">
        <is>
          <t>LINKÖPING</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1844-2025</t>
        </is>
      </c>
      <c r="B639" s="1" t="n">
        <v>45671.57730324074</v>
      </c>
      <c r="C639" s="1" t="n">
        <v>46017</v>
      </c>
      <c r="D639" t="inlineStr">
        <is>
          <t>ÖSTERGÖTLANDS LÄN</t>
        </is>
      </c>
      <c r="E639" t="inlineStr">
        <is>
          <t>LINKÖPING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60284-2025</t>
        </is>
      </c>
      <c r="B640" s="1" t="n">
        <v>45994.64373842593</v>
      </c>
      <c r="C640" s="1" t="n">
        <v>46017</v>
      </c>
      <c r="D640" t="inlineStr">
        <is>
          <t>ÖSTERGÖTLANDS LÄN</t>
        </is>
      </c>
      <c r="E640" t="inlineStr">
        <is>
          <t>LINKÖPING</t>
        </is>
      </c>
      <c r="G640" t="n">
        <v>3.5</v>
      </c>
      <c r="H640" t="n">
        <v>0</v>
      </c>
      <c r="I640" t="n">
        <v>0</v>
      </c>
      <c r="J640" t="n">
        <v>0</v>
      </c>
      <c r="K640" t="n">
        <v>0</v>
      </c>
      <c r="L640" t="n">
        <v>0</v>
      </c>
      <c r="M640" t="n">
        <v>0</v>
      </c>
      <c r="N640" t="n">
        <v>0</v>
      </c>
      <c r="O640" t="n">
        <v>0</v>
      </c>
      <c r="P640" t="n">
        <v>0</v>
      </c>
      <c r="Q640" t="n">
        <v>0</v>
      </c>
      <c r="R640" s="2" t="inlineStr"/>
    </row>
    <row r="641" ht="15" customHeight="1">
      <c r="A641" t="inlineStr">
        <is>
          <t>A 60306-2025</t>
        </is>
      </c>
      <c r="B641" s="1" t="n">
        <v>45994.68326388889</v>
      </c>
      <c r="C641" s="1" t="n">
        <v>46017</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52111-2025</t>
        </is>
      </c>
      <c r="B642" s="1" t="n">
        <v>45952.69527777778</v>
      </c>
      <c r="C642" s="1" t="n">
        <v>46017</v>
      </c>
      <c r="D642" t="inlineStr">
        <is>
          <t>ÖSTERGÖTLANDS LÄN</t>
        </is>
      </c>
      <c r="E642" t="inlineStr">
        <is>
          <t>LINKÖPING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34558-2022</t>
        </is>
      </c>
      <c r="B643" s="1" t="n">
        <v>44794.57594907407</v>
      </c>
      <c r="C643" s="1" t="n">
        <v>46017</v>
      </c>
      <c r="D643" t="inlineStr">
        <is>
          <t>ÖSTERGÖTLANDS LÄN</t>
        </is>
      </c>
      <c r="E643" t="inlineStr">
        <is>
          <t>LINKÖPING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21155-2025</t>
        </is>
      </c>
      <c r="B644" s="1" t="n">
        <v>45779.37586805555</v>
      </c>
      <c r="C644" s="1" t="n">
        <v>46017</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168-2024</t>
        </is>
      </c>
      <c r="B645" s="1" t="n">
        <v>45294</v>
      </c>
      <c r="C645" s="1" t="n">
        <v>46017</v>
      </c>
      <c r="D645" t="inlineStr">
        <is>
          <t>ÖSTERGÖTLANDS LÄN</t>
        </is>
      </c>
      <c r="E645" t="inlineStr">
        <is>
          <t>LINKÖPING</t>
        </is>
      </c>
      <c r="F645" t="inlineStr">
        <is>
          <t>Allmännings- och besparingsskogar</t>
        </is>
      </c>
      <c r="G645" t="n">
        <v>8.9</v>
      </c>
      <c r="H645" t="n">
        <v>0</v>
      </c>
      <c r="I645" t="n">
        <v>0</v>
      </c>
      <c r="J645" t="n">
        <v>0</v>
      </c>
      <c r="K645" t="n">
        <v>0</v>
      </c>
      <c r="L645" t="n">
        <v>0</v>
      </c>
      <c r="M645" t="n">
        <v>0</v>
      </c>
      <c r="N645" t="n">
        <v>0</v>
      </c>
      <c r="O645" t="n">
        <v>0</v>
      </c>
      <c r="P645" t="n">
        <v>0</v>
      </c>
      <c r="Q645" t="n">
        <v>0</v>
      </c>
      <c r="R645" s="2" t="inlineStr"/>
    </row>
    <row r="646" ht="15" customHeight="1">
      <c r="A646" t="inlineStr">
        <is>
          <t>A 21165-2025</t>
        </is>
      </c>
      <c r="B646" s="1" t="n">
        <v>45779.39417824074</v>
      </c>
      <c r="C646" s="1" t="n">
        <v>46017</v>
      </c>
      <c r="D646" t="inlineStr">
        <is>
          <t>ÖSTERGÖTLANDS LÄN</t>
        </is>
      </c>
      <c r="E646" t="inlineStr">
        <is>
          <t>LINKÖPING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15658-2023</t>
        </is>
      </c>
      <c r="B647" s="1" t="n">
        <v>45021.41194444444</v>
      </c>
      <c r="C647" s="1" t="n">
        <v>46017</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30433-2024</t>
        </is>
      </c>
      <c r="B648" s="1" t="n">
        <v>45491.69741898148</v>
      </c>
      <c r="C648" s="1" t="n">
        <v>46017</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60703-2025</t>
        </is>
      </c>
      <c r="B649" s="1" t="n">
        <v>45996.6052662037</v>
      </c>
      <c r="C649" s="1" t="n">
        <v>46017</v>
      </c>
      <c r="D649" t="inlineStr">
        <is>
          <t>ÖSTERGÖTLANDS LÄN</t>
        </is>
      </c>
      <c r="E649" t="inlineStr">
        <is>
          <t>LINKÖPING</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52220-2023</t>
        </is>
      </c>
      <c r="B650" s="1" t="n">
        <v>45217</v>
      </c>
      <c r="C650" s="1" t="n">
        <v>46017</v>
      </c>
      <c r="D650" t="inlineStr">
        <is>
          <t>ÖSTERGÖTLANDS LÄN</t>
        </is>
      </c>
      <c r="E650" t="inlineStr">
        <is>
          <t>LINKÖPING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52225-2023</t>
        </is>
      </c>
      <c r="B651" s="1" t="n">
        <v>45217</v>
      </c>
      <c r="C651" s="1" t="n">
        <v>46017</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19464-2024</t>
        </is>
      </c>
      <c r="B652" s="1" t="n">
        <v>45429</v>
      </c>
      <c r="C652" s="1" t="n">
        <v>46017</v>
      </c>
      <c r="D652" t="inlineStr">
        <is>
          <t>ÖSTERGÖTLANDS LÄN</t>
        </is>
      </c>
      <c r="E652" t="inlineStr">
        <is>
          <t>LINKÖPING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42044-2023</t>
        </is>
      </c>
      <c r="B653" s="1" t="n">
        <v>45177</v>
      </c>
      <c r="C653" s="1" t="n">
        <v>46017</v>
      </c>
      <c r="D653" t="inlineStr">
        <is>
          <t>ÖSTERGÖTLANDS LÄN</t>
        </is>
      </c>
      <c r="E653" t="inlineStr">
        <is>
          <t>LINKÖPING</t>
        </is>
      </c>
      <c r="G653" t="n">
        <v>3.9</v>
      </c>
      <c r="H653" t="n">
        <v>0</v>
      </c>
      <c r="I653" t="n">
        <v>0</v>
      </c>
      <c r="J653" t="n">
        <v>0</v>
      </c>
      <c r="K653" t="n">
        <v>0</v>
      </c>
      <c r="L653" t="n">
        <v>0</v>
      </c>
      <c r="M653" t="n">
        <v>0</v>
      </c>
      <c r="N653" t="n">
        <v>0</v>
      </c>
      <c r="O653" t="n">
        <v>0</v>
      </c>
      <c r="P653" t="n">
        <v>0</v>
      </c>
      <c r="Q653" t="n">
        <v>0</v>
      </c>
      <c r="R653" s="2" t="inlineStr"/>
    </row>
    <row r="654" ht="15" customHeight="1">
      <c r="A654" t="inlineStr">
        <is>
          <t>A 630-2024</t>
        </is>
      </c>
      <c r="B654" s="1" t="n">
        <v>45299.67736111111</v>
      </c>
      <c r="C654" s="1" t="n">
        <v>46017</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52800-2025</t>
        </is>
      </c>
      <c r="B655" s="1" t="n">
        <v>45957.44152777778</v>
      </c>
      <c r="C655" s="1" t="n">
        <v>46017</v>
      </c>
      <c r="D655" t="inlineStr">
        <is>
          <t>ÖSTERGÖTLANDS LÄN</t>
        </is>
      </c>
      <c r="E655" t="inlineStr">
        <is>
          <t>LINKÖPING</t>
        </is>
      </c>
      <c r="G655" t="n">
        <v>2.5</v>
      </c>
      <c r="H655" t="n">
        <v>0</v>
      </c>
      <c r="I655" t="n">
        <v>0</v>
      </c>
      <c r="J655" t="n">
        <v>0</v>
      </c>
      <c r="K655" t="n">
        <v>0</v>
      </c>
      <c r="L655" t="n">
        <v>0</v>
      </c>
      <c r="M655" t="n">
        <v>0</v>
      </c>
      <c r="N655" t="n">
        <v>0</v>
      </c>
      <c r="O655" t="n">
        <v>0</v>
      </c>
      <c r="P655" t="n">
        <v>0</v>
      </c>
      <c r="Q655" t="n">
        <v>0</v>
      </c>
      <c r="R655" s="2" t="inlineStr"/>
    </row>
    <row r="656" ht="15" customHeight="1">
      <c r="A656" t="inlineStr">
        <is>
          <t>A 52802-2025</t>
        </is>
      </c>
      <c r="B656" s="1" t="n">
        <v>45957.44295138889</v>
      </c>
      <c r="C656" s="1" t="n">
        <v>46017</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57752-2023</t>
        </is>
      </c>
      <c r="B657" s="1" t="n">
        <v>45246.78474537037</v>
      </c>
      <c r="C657" s="1" t="n">
        <v>46017</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52740-2025</t>
        </is>
      </c>
      <c r="B658" s="1" t="n">
        <v>45957.37747685185</v>
      </c>
      <c r="C658" s="1" t="n">
        <v>46017</v>
      </c>
      <c r="D658" t="inlineStr">
        <is>
          <t>ÖSTERGÖTLANDS LÄN</t>
        </is>
      </c>
      <c r="E658" t="inlineStr">
        <is>
          <t>LINKÖPING</t>
        </is>
      </c>
      <c r="G658" t="n">
        <v>3.7</v>
      </c>
      <c r="H658" t="n">
        <v>0</v>
      </c>
      <c r="I658" t="n">
        <v>0</v>
      </c>
      <c r="J658" t="n">
        <v>0</v>
      </c>
      <c r="K658" t="n">
        <v>0</v>
      </c>
      <c r="L658" t="n">
        <v>0</v>
      </c>
      <c r="M658" t="n">
        <v>0</v>
      </c>
      <c r="N658" t="n">
        <v>0</v>
      </c>
      <c r="O658" t="n">
        <v>0</v>
      </c>
      <c r="P658" t="n">
        <v>0</v>
      </c>
      <c r="Q658" t="n">
        <v>0</v>
      </c>
      <c r="R658" s="2" t="inlineStr"/>
    </row>
    <row r="659" ht="15" customHeight="1">
      <c r="A659" t="inlineStr">
        <is>
          <t>A 52743-2025</t>
        </is>
      </c>
      <c r="B659" s="1" t="n">
        <v>45957.38039351852</v>
      </c>
      <c r="C659" s="1" t="n">
        <v>46017</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52807-2025</t>
        </is>
      </c>
      <c r="B660" s="1" t="n">
        <v>45957.44837962963</v>
      </c>
      <c r="C660" s="1" t="n">
        <v>46017</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9473-2024</t>
        </is>
      </c>
      <c r="B661" s="1" t="n">
        <v>45359.55474537037</v>
      </c>
      <c r="C661" s="1" t="n">
        <v>46017</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10797-2024</t>
        </is>
      </c>
      <c r="B662" s="1" t="n">
        <v>45369.6190162037</v>
      </c>
      <c r="C662" s="1" t="n">
        <v>46017</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22264-2025</t>
        </is>
      </c>
      <c r="B663" s="1" t="n">
        <v>45785</v>
      </c>
      <c r="C663" s="1" t="n">
        <v>46017</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6859-2024</t>
        </is>
      </c>
      <c r="B664" s="1" t="n">
        <v>45342</v>
      </c>
      <c r="C664" s="1" t="n">
        <v>46017</v>
      </c>
      <c r="D664" t="inlineStr">
        <is>
          <t>ÖSTERGÖTLANDS LÄN</t>
        </is>
      </c>
      <c r="E664" t="inlineStr">
        <is>
          <t>LINKÖPING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38580-2024</t>
        </is>
      </c>
      <c r="B665" s="1" t="n">
        <v>45546.64825231482</v>
      </c>
      <c r="C665" s="1" t="n">
        <v>46017</v>
      </c>
      <c r="D665" t="inlineStr">
        <is>
          <t>ÖSTERGÖTLANDS LÄN</t>
        </is>
      </c>
      <c r="E665" t="inlineStr">
        <is>
          <t>LINKÖPING</t>
        </is>
      </c>
      <c r="G665" t="n">
        <v>4.8</v>
      </c>
      <c r="H665" t="n">
        <v>0</v>
      </c>
      <c r="I665" t="n">
        <v>0</v>
      </c>
      <c r="J665" t="n">
        <v>0</v>
      </c>
      <c r="K665" t="n">
        <v>0</v>
      </c>
      <c r="L665" t="n">
        <v>0</v>
      </c>
      <c r="M665" t="n">
        <v>0</v>
      </c>
      <c r="N665" t="n">
        <v>0</v>
      </c>
      <c r="O665" t="n">
        <v>0</v>
      </c>
      <c r="P665" t="n">
        <v>0</v>
      </c>
      <c r="Q665" t="n">
        <v>0</v>
      </c>
      <c r="R665" s="2" t="inlineStr"/>
    </row>
    <row r="666" ht="15" customHeight="1">
      <c r="A666" t="inlineStr">
        <is>
          <t>A 572-2025</t>
        </is>
      </c>
      <c r="B666" s="1" t="n">
        <v>45664.56349537037</v>
      </c>
      <c r="C666" s="1" t="n">
        <v>46017</v>
      </c>
      <c r="D666" t="inlineStr">
        <is>
          <t>ÖSTERGÖTLANDS LÄN</t>
        </is>
      </c>
      <c r="E666" t="inlineStr">
        <is>
          <t>LINKÖPING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22364-2025</t>
        </is>
      </c>
      <c r="B667" s="1" t="n">
        <v>45786.46930555555</v>
      </c>
      <c r="C667" s="1" t="n">
        <v>46017</v>
      </c>
      <c r="D667" t="inlineStr">
        <is>
          <t>ÖSTERGÖTLANDS LÄN</t>
        </is>
      </c>
      <c r="E667" t="inlineStr">
        <is>
          <t>LINKÖPING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61447-2025</t>
        </is>
      </c>
      <c r="B668" s="1" t="n">
        <v>46001.57554398148</v>
      </c>
      <c r="C668" s="1" t="n">
        <v>46017</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61643-2025</t>
        </is>
      </c>
      <c r="B669" s="1" t="n">
        <v>46002.43575231481</v>
      </c>
      <c r="C669" s="1" t="n">
        <v>46017</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61645-2025</t>
        </is>
      </c>
      <c r="B670" s="1" t="n">
        <v>46002.43697916667</v>
      </c>
      <c r="C670" s="1" t="n">
        <v>46017</v>
      </c>
      <c r="D670" t="inlineStr">
        <is>
          <t>ÖSTERGÖTLANDS LÄN</t>
        </is>
      </c>
      <c r="E670" t="inlineStr">
        <is>
          <t>LINKÖPING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44287-2024</t>
        </is>
      </c>
      <c r="B671" s="1" t="n">
        <v>45573.50582175926</v>
      </c>
      <c r="C671" s="1" t="n">
        <v>46017</v>
      </c>
      <c r="D671" t="inlineStr">
        <is>
          <t>ÖSTERGÖTLANDS LÄN</t>
        </is>
      </c>
      <c r="E671" t="inlineStr">
        <is>
          <t>LINKÖPING</t>
        </is>
      </c>
      <c r="G671" t="n">
        <v>12.7</v>
      </c>
      <c r="H671" t="n">
        <v>0</v>
      </c>
      <c r="I671" t="n">
        <v>0</v>
      </c>
      <c r="J671" t="n">
        <v>0</v>
      </c>
      <c r="K671" t="n">
        <v>0</v>
      </c>
      <c r="L671" t="n">
        <v>0</v>
      </c>
      <c r="M671" t="n">
        <v>0</v>
      </c>
      <c r="N671" t="n">
        <v>0</v>
      </c>
      <c r="O671" t="n">
        <v>0</v>
      </c>
      <c r="P671" t="n">
        <v>0</v>
      </c>
      <c r="Q671" t="n">
        <v>0</v>
      </c>
      <c r="R671" s="2" t="inlineStr"/>
    </row>
    <row r="672" ht="15" customHeight="1">
      <c r="A672" t="inlineStr">
        <is>
          <t>A 29312-2024</t>
        </is>
      </c>
      <c r="B672" s="1" t="n">
        <v>45483</v>
      </c>
      <c r="C672" s="1" t="n">
        <v>46017</v>
      </c>
      <c r="D672" t="inlineStr">
        <is>
          <t>ÖSTERGÖTLANDS LÄN</t>
        </is>
      </c>
      <c r="E672" t="inlineStr">
        <is>
          <t>LINKÖPING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61899-2025</t>
        </is>
      </c>
      <c r="B673" s="1" t="n">
        <v>46003.46635416667</v>
      </c>
      <c r="C673" s="1" t="n">
        <v>46017</v>
      </c>
      <c r="D673" t="inlineStr">
        <is>
          <t>ÖSTERGÖTLANDS LÄN</t>
        </is>
      </c>
      <c r="E673" t="inlineStr">
        <is>
          <t>LINKÖPING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61230-2025</t>
        </is>
      </c>
      <c r="B674" s="1" t="n">
        <v>46000.63111111111</v>
      </c>
      <c r="C674" s="1" t="n">
        <v>46017</v>
      </c>
      <c r="D674" t="inlineStr">
        <is>
          <t>ÖSTERGÖTLANDS LÄN</t>
        </is>
      </c>
      <c r="E674" t="inlineStr">
        <is>
          <t>LINKÖPING</t>
        </is>
      </c>
      <c r="F674" t="inlineStr">
        <is>
          <t>Kyrkan</t>
        </is>
      </c>
      <c r="G674" t="n">
        <v>2.1</v>
      </c>
      <c r="H674" t="n">
        <v>0</v>
      </c>
      <c r="I674" t="n">
        <v>0</v>
      </c>
      <c r="J674" t="n">
        <v>0</v>
      </c>
      <c r="K674" t="n">
        <v>0</v>
      </c>
      <c r="L674" t="n">
        <v>0</v>
      </c>
      <c r="M674" t="n">
        <v>0</v>
      </c>
      <c r="N674" t="n">
        <v>0</v>
      </c>
      <c r="O674" t="n">
        <v>0</v>
      </c>
      <c r="P674" t="n">
        <v>0</v>
      </c>
      <c r="Q674" t="n">
        <v>0</v>
      </c>
      <c r="R674" s="2" t="inlineStr"/>
    </row>
    <row r="675" ht="15" customHeight="1">
      <c r="A675" t="inlineStr">
        <is>
          <t>A 23120-2025</t>
        </is>
      </c>
      <c r="B675" s="1" t="n">
        <v>45791.37481481482</v>
      </c>
      <c r="C675" s="1" t="n">
        <v>46017</v>
      </c>
      <c r="D675" t="inlineStr">
        <is>
          <t>ÖSTERGÖTLANDS LÄN</t>
        </is>
      </c>
      <c r="E675" t="inlineStr">
        <is>
          <t>LINKÖPING</t>
        </is>
      </c>
      <c r="G675" t="n">
        <v>2.9</v>
      </c>
      <c r="H675" t="n">
        <v>0</v>
      </c>
      <c r="I675" t="n">
        <v>0</v>
      </c>
      <c r="J675" t="n">
        <v>0</v>
      </c>
      <c r="K675" t="n">
        <v>0</v>
      </c>
      <c r="L675" t="n">
        <v>0</v>
      </c>
      <c r="M675" t="n">
        <v>0</v>
      </c>
      <c r="N675" t="n">
        <v>0</v>
      </c>
      <c r="O675" t="n">
        <v>0</v>
      </c>
      <c r="P675" t="n">
        <v>0</v>
      </c>
      <c r="Q675" t="n">
        <v>0</v>
      </c>
      <c r="R675" s="2" t="inlineStr"/>
    </row>
    <row r="676" ht="15" customHeight="1">
      <c r="A676" t="inlineStr">
        <is>
          <t>A 48699-2024</t>
        </is>
      </c>
      <c r="B676" s="1" t="n">
        <v>45593.52091435185</v>
      </c>
      <c r="C676" s="1" t="n">
        <v>46017</v>
      </c>
      <c r="D676" t="inlineStr">
        <is>
          <t>ÖSTERGÖTLANDS LÄN</t>
        </is>
      </c>
      <c r="E676" t="inlineStr">
        <is>
          <t>LINKÖPING</t>
        </is>
      </c>
      <c r="G676" t="n">
        <v>1.3</v>
      </c>
      <c r="H676" t="n">
        <v>0</v>
      </c>
      <c r="I676" t="n">
        <v>0</v>
      </c>
      <c r="J676" t="n">
        <v>0</v>
      </c>
      <c r="K676" t="n">
        <v>0</v>
      </c>
      <c r="L676" t="n">
        <v>0</v>
      </c>
      <c r="M676" t="n">
        <v>0</v>
      </c>
      <c r="N676" t="n">
        <v>0</v>
      </c>
      <c r="O676" t="n">
        <v>0</v>
      </c>
      <c r="P676" t="n">
        <v>0</v>
      </c>
      <c r="Q676" t="n">
        <v>0</v>
      </c>
      <c r="R676" s="2" t="inlineStr"/>
    </row>
    <row r="677" ht="15" customHeight="1">
      <c r="A677" t="inlineStr">
        <is>
          <t>A 62686-2025</t>
        </is>
      </c>
      <c r="B677" s="1" t="n">
        <v>46008.46769675926</v>
      </c>
      <c r="C677" s="1" t="n">
        <v>46017</v>
      </c>
      <c r="D677" t="inlineStr">
        <is>
          <t>ÖSTERGÖTLANDS LÄN</t>
        </is>
      </c>
      <c r="E677" t="inlineStr">
        <is>
          <t>LINKÖPING</t>
        </is>
      </c>
      <c r="G677" t="n">
        <v>7.6</v>
      </c>
      <c r="H677" t="n">
        <v>0</v>
      </c>
      <c r="I677" t="n">
        <v>0</v>
      </c>
      <c r="J677" t="n">
        <v>0</v>
      </c>
      <c r="K677" t="n">
        <v>0</v>
      </c>
      <c r="L677" t="n">
        <v>0</v>
      </c>
      <c r="M677" t="n">
        <v>0</v>
      </c>
      <c r="N677" t="n">
        <v>0</v>
      </c>
      <c r="O677" t="n">
        <v>0</v>
      </c>
      <c r="P677" t="n">
        <v>0</v>
      </c>
      <c r="Q677" t="n">
        <v>0</v>
      </c>
      <c r="R677" s="2" t="inlineStr"/>
    </row>
    <row r="678" ht="15" customHeight="1">
      <c r="A678" t="inlineStr">
        <is>
          <t>A 54333-2025</t>
        </is>
      </c>
      <c r="B678" s="1" t="n">
        <v>45965.35090277778</v>
      </c>
      <c r="C678" s="1" t="n">
        <v>46017</v>
      </c>
      <c r="D678" t="inlineStr">
        <is>
          <t>ÖSTERGÖTLANDS LÄN</t>
        </is>
      </c>
      <c r="E678" t="inlineStr">
        <is>
          <t>LINKÖPING</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13911-2025</t>
        </is>
      </c>
      <c r="B679" s="1" t="n">
        <v>45737.64784722222</v>
      </c>
      <c r="C679" s="1" t="n">
        <v>46017</v>
      </c>
      <c r="D679" t="inlineStr">
        <is>
          <t>ÖSTERGÖTLANDS LÄN</t>
        </is>
      </c>
      <c r="E679" t="inlineStr">
        <is>
          <t>LINKÖPING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23768-2025</t>
        </is>
      </c>
      <c r="B680" s="1" t="n">
        <v>45793.47493055555</v>
      </c>
      <c r="C680" s="1" t="n">
        <v>46017</v>
      </c>
      <c r="D680" t="inlineStr">
        <is>
          <t>ÖSTERGÖTLANDS LÄN</t>
        </is>
      </c>
      <c r="E680" t="inlineStr">
        <is>
          <t>LINKÖPING</t>
        </is>
      </c>
      <c r="G680" t="n">
        <v>3.4</v>
      </c>
      <c r="H680" t="n">
        <v>0</v>
      </c>
      <c r="I680" t="n">
        <v>0</v>
      </c>
      <c r="J680" t="n">
        <v>0</v>
      </c>
      <c r="K680" t="n">
        <v>0</v>
      </c>
      <c r="L680" t="n">
        <v>0</v>
      </c>
      <c r="M680" t="n">
        <v>0</v>
      </c>
      <c r="N680" t="n">
        <v>0</v>
      </c>
      <c r="O680" t="n">
        <v>0</v>
      </c>
      <c r="P680" t="n">
        <v>0</v>
      </c>
      <c r="Q680" t="n">
        <v>0</v>
      </c>
      <c r="R680" s="2" t="inlineStr"/>
    </row>
    <row r="681" ht="15" customHeight="1">
      <c r="A681" t="inlineStr">
        <is>
          <t>A 54332-2025</t>
        </is>
      </c>
      <c r="B681" s="1" t="n">
        <v>45965.34915509259</v>
      </c>
      <c r="C681" s="1" t="n">
        <v>46017</v>
      </c>
      <c r="D681" t="inlineStr">
        <is>
          <t>ÖSTERGÖTLANDS LÄN</t>
        </is>
      </c>
      <c r="E681" t="inlineStr">
        <is>
          <t>LINKÖPING</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62515-2025</t>
        </is>
      </c>
      <c r="B682" s="1" t="n">
        <v>46007.60548611111</v>
      </c>
      <c r="C682" s="1" t="n">
        <v>46017</v>
      </c>
      <c r="D682" t="inlineStr">
        <is>
          <t>ÖSTERGÖTLANDS LÄN</t>
        </is>
      </c>
      <c r="E682" t="inlineStr">
        <is>
          <t>LINKÖPING</t>
        </is>
      </c>
      <c r="G682" t="n">
        <v>2.2</v>
      </c>
      <c r="H682" t="n">
        <v>0</v>
      </c>
      <c r="I682" t="n">
        <v>0</v>
      </c>
      <c r="J682" t="n">
        <v>0</v>
      </c>
      <c r="K682" t="n">
        <v>0</v>
      </c>
      <c r="L682" t="n">
        <v>0</v>
      </c>
      <c r="M682" t="n">
        <v>0</v>
      </c>
      <c r="N682" t="n">
        <v>0</v>
      </c>
      <c r="O682" t="n">
        <v>0</v>
      </c>
      <c r="P682" t="n">
        <v>0</v>
      </c>
      <c r="Q682" t="n">
        <v>0</v>
      </c>
      <c r="R682" s="2" t="inlineStr"/>
    </row>
    <row r="683" ht="15" customHeight="1">
      <c r="A683" t="inlineStr">
        <is>
          <t>A 62791-2025</t>
        </is>
      </c>
      <c r="B683" s="1" t="n">
        <v>46008.63266203704</v>
      </c>
      <c r="C683" s="1" t="n">
        <v>46017</v>
      </c>
      <c r="D683" t="inlineStr">
        <is>
          <t>ÖSTERGÖTLANDS LÄN</t>
        </is>
      </c>
      <c r="E683" t="inlineStr">
        <is>
          <t>LINKÖPING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54329-2025</t>
        </is>
      </c>
      <c r="B684" s="1" t="n">
        <v>45965.34706018519</v>
      </c>
      <c r="C684" s="1" t="n">
        <v>46017</v>
      </c>
      <c r="D684" t="inlineStr">
        <is>
          <t>ÖSTERGÖTLANDS LÄN</t>
        </is>
      </c>
      <c r="E684" t="inlineStr">
        <is>
          <t>LINKÖPING</t>
        </is>
      </c>
      <c r="F684" t="inlineStr">
        <is>
          <t>Sveaskog</t>
        </is>
      </c>
      <c r="G684" t="n">
        <v>5.1</v>
      </c>
      <c r="H684" t="n">
        <v>0</v>
      </c>
      <c r="I684" t="n">
        <v>0</v>
      </c>
      <c r="J684" t="n">
        <v>0</v>
      </c>
      <c r="K684" t="n">
        <v>0</v>
      </c>
      <c r="L684" t="n">
        <v>0</v>
      </c>
      <c r="M684" t="n">
        <v>0</v>
      </c>
      <c r="N684" t="n">
        <v>0</v>
      </c>
      <c r="O684" t="n">
        <v>0</v>
      </c>
      <c r="P684" t="n">
        <v>0</v>
      </c>
      <c r="Q684" t="n">
        <v>0</v>
      </c>
      <c r="R684" s="2" t="inlineStr"/>
    </row>
    <row r="685" ht="15" customHeight="1">
      <c r="A685" t="inlineStr">
        <is>
          <t>A 59205-2025</t>
        </is>
      </c>
      <c r="B685" s="1" t="n">
        <v>45988.60721064815</v>
      </c>
      <c r="C685" s="1" t="n">
        <v>46017</v>
      </c>
      <c r="D685" t="inlineStr">
        <is>
          <t>ÖSTERGÖTLANDS LÄN</t>
        </is>
      </c>
      <c r="E685" t="inlineStr">
        <is>
          <t>LINKÖPING</t>
        </is>
      </c>
      <c r="F685" t="inlineStr">
        <is>
          <t>Sveaskog</t>
        </is>
      </c>
      <c r="G685" t="n">
        <v>11.3</v>
      </c>
      <c r="H685" t="n">
        <v>0</v>
      </c>
      <c r="I685" t="n">
        <v>0</v>
      </c>
      <c r="J685" t="n">
        <v>0</v>
      </c>
      <c r="K685" t="n">
        <v>0</v>
      </c>
      <c r="L685" t="n">
        <v>0</v>
      </c>
      <c r="M685" t="n">
        <v>0</v>
      </c>
      <c r="N685" t="n">
        <v>0</v>
      </c>
      <c r="O685" t="n">
        <v>0</v>
      </c>
      <c r="P685" t="n">
        <v>0</v>
      </c>
      <c r="Q685" t="n">
        <v>0</v>
      </c>
      <c r="R685" s="2" t="inlineStr"/>
    </row>
    <row r="686" ht="15" customHeight="1">
      <c r="A686" t="inlineStr">
        <is>
          <t>A 60866-2025</t>
        </is>
      </c>
      <c r="B686" s="1" t="n">
        <v>45999</v>
      </c>
      <c r="C686" s="1" t="n">
        <v>46017</v>
      </c>
      <c r="D686" t="inlineStr">
        <is>
          <t>ÖSTERGÖTLANDS LÄN</t>
        </is>
      </c>
      <c r="E686" t="inlineStr">
        <is>
          <t>LINKÖPING</t>
        </is>
      </c>
      <c r="G686" t="n">
        <v>0.9</v>
      </c>
      <c r="H686" t="n">
        <v>0</v>
      </c>
      <c r="I686" t="n">
        <v>0</v>
      </c>
      <c r="J686" t="n">
        <v>0</v>
      </c>
      <c r="K686" t="n">
        <v>0</v>
      </c>
      <c r="L686" t="n">
        <v>0</v>
      </c>
      <c r="M686" t="n">
        <v>0</v>
      </c>
      <c r="N686" t="n">
        <v>0</v>
      </c>
      <c r="O686" t="n">
        <v>0</v>
      </c>
      <c r="P686" t="n">
        <v>0</v>
      </c>
      <c r="Q686" t="n">
        <v>0</v>
      </c>
      <c r="R686" s="2" t="inlineStr"/>
    </row>
    <row r="687" ht="15" customHeight="1">
      <c r="A687" t="inlineStr">
        <is>
          <t>A 44280-2024</t>
        </is>
      </c>
      <c r="B687" s="1" t="n">
        <v>45573.49461805556</v>
      </c>
      <c r="C687" s="1" t="n">
        <v>46017</v>
      </c>
      <c r="D687" t="inlineStr">
        <is>
          <t>ÖSTERGÖTLANDS LÄN</t>
        </is>
      </c>
      <c r="E687" t="inlineStr">
        <is>
          <t>LINKÖPING</t>
        </is>
      </c>
      <c r="G687" t="n">
        <v>5.3</v>
      </c>
      <c r="H687" t="n">
        <v>0</v>
      </c>
      <c r="I687" t="n">
        <v>0</v>
      </c>
      <c r="J687" t="n">
        <v>0</v>
      </c>
      <c r="K687" t="n">
        <v>0</v>
      </c>
      <c r="L687" t="n">
        <v>0</v>
      </c>
      <c r="M687" t="n">
        <v>0</v>
      </c>
      <c r="N687" t="n">
        <v>0</v>
      </c>
      <c r="O687" t="n">
        <v>0</v>
      </c>
      <c r="P687" t="n">
        <v>0</v>
      </c>
      <c r="Q687" t="n">
        <v>0</v>
      </c>
      <c r="R687" s="2" t="inlineStr"/>
    </row>
    <row r="688" ht="15" customHeight="1">
      <c r="A688" t="inlineStr">
        <is>
          <t>A 55109-2025</t>
        </is>
      </c>
      <c r="B688" s="1" t="n">
        <v>45968.37731481482</v>
      </c>
      <c r="C688" s="1" t="n">
        <v>46017</v>
      </c>
      <c r="D688" t="inlineStr">
        <is>
          <t>ÖSTERGÖTLANDS LÄN</t>
        </is>
      </c>
      <c r="E688" t="inlineStr">
        <is>
          <t>LINKÖPING</t>
        </is>
      </c>
      <c r="G688" t="n">
        <v>3.2</v>
      </c>
      <c r="H688" t="n">
        <v>0</v>
      </c>
      <c r="I688" t="n">
        <v>0</v>
      </c>
      <c r="J688" t="n">
        <v>0</v>
      </c>
      <c r="K688" t="n">
        <v>0</v>
      </c>
      <c r="L688" t="n">
        <v>0</v>
      </c>
      <c r="M688" t="n">
        <v>0</v>
      </c>
      <c r="N688" t="n">
        <v>0</v>
      </c>
      <c r="O688" t="n">
        <v>0</v>
      </c>
      <c r="P688" t="n">
        <v>0</v>
      </c>
      <c r="Q688" t="n">
        <v>0</v>
      </c>
      <c r="R688" s="2" t="inlineStr"/>
    </row>
    <row r="689" ht="15" customHeight="1">
      <c r="A689" t="inlineStr">
        <is>
          <t>A 55165-2025</t>
        </is>
      </c>
      <c r="B689" s="1" t="n">
        <v>45968.48194444444</v>
      </c>
      <c r="C689" s="1" t="n">
        <v>46017</v>
      </c>
      <c r="D689" t="inlineStr">
        <is>
          <t>ÖSTERGÖTLANDS LÄN</t>
        </is>
      </c>
      <c r="E689" t="inlineStr">
        <is>
          <t>LINKÖPING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63144-2025</t>
        </is>
      </c>
      <c r="B690" s="1" t="n">
        <v>46010.34716435185</v>
      </c>
      <c r="C690" s="1" t="n">
        <v>46017</v>
      </c>
      <c r="D690" t="inlineStr">
        <is>
          <t>ÖSTERGÖTLANDS LÄN</t>
        </is>
      </c>
      <c r="E690" t="inlineStr">
        <is>
          <t>LINKÖPING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63147-2025</t>
        </is>
      </c>
      <c r="B691" s="1" t="n">
        <v>46010.35003472222</v>
      </c>
      <c r="C691" s="1" t="n">
        <v>46017</v>
      </c>
      <c r="D691" t="inlineStr">
        <is>
          <t>ÖSTERGÖTLANDS LÄN</t>
        </is>
      </c>
      <c r="E691" t="inlineStr">
        <is>
          <t>LINKÖPING</t>
        </is>
      </c>
      <c r="G691" t="n">
        <v>4</v>
      </c>
      <c r="H691" t="n">
        <v>0</v>
      </c>
      <c r="I691" t="n">
        <v>0</v>
      </c>
      <c r="J691" t="n">
        <v>0</v>
      </c>
      <c r="K691" t="n">
        <v>0</v>
      </c>
      <c r="L691" t="n">
        <v>0</v>
      </c>
      <c r="M691" t="n">
        <v>0</v>
      </c>
      <c r="N691" t="n">
        <v>0</v>
      </c>
      <c r="O691" t="n">
        <v>0</v>
      </c>
      <c r="P691" t="n">
        <v>0</v>
      </c>
      <c r="Q691" t="n">
        <v>0</v>
      </c>
      <c r="R691" s="2" t="inlineStr"/>
    </row>
    <row r="692" ht="15" customHeight="1">
      <c r="A692" t="inlineStr">
        <is>
          <t>A 55102-2025</t>
        </is>
      </c>
      <c r="B692" s="1" t="n">
        <v>45968.35410879629</v>
      </c>
      <c r="C692" s="1" t="n">
        <v>46017</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55132-2025</t>
        </is>
      </c>
      <c r="B693" s="1" t="n">
        <v>45968.41912037037</v>
      </c>
      <c r="C693" s="1" t="n">
        <v>46017</v>
      </c>
      <c r="D693" t="inlineStr">
        <is>
          <t>ÖSTERGÖTLANDS LÄN</t>
        </is>
      </c>
      <c r="E693" t="inlineStr">
        <is>
          <t>LINKÖPING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25996-2025</t>
        </is>
      </c>
      <c r="B694" s="1" t="n">
        <v>45804.65851851852</v>
      </c>
      <c r="C694" s="1" t="n">
        <v>46017</v>
      </c>
      <c r="D694" t="inlineStr">
        <is>
          <t>ÖSTERGÖTLANDS LÄN</t>
        </is>
      </c>
      <c r="E694" t="inlineStr">
        <is>
          <t>LINKÖPING</t>
        </is>
      </c>
      <c r="G694" t="n">
        <v>3.2</v>
      </c>
      <c r="H694" t="n">
        <v>0</v>
      </c>
      <c r="I694" t="n">
        <v>0</v>
      </c>
      <c r="J694" t="n">
        <v>0</v>
      </c>
      <c r="K694" t="n">
        <v>0</v>
      </c>
      <c r="L694" t="n">
        <v>0</v>
      </c>
      <c r="M694" t="n">
        <v>0</v>
      </c>
      <c r="N694" t="n">
        <v>0</v>
      </c>
      <c r="O694" t="n">
        <v>0</v>
      </c>
      <c r="P694" t="n">
        <v>0</v>
      </c>
      <c r="Q694" t="n">
        <v>0</v>
      </c>
      <c r="R694" s="2" t="inlineStr"/>
    </row>
    <row r="695" ht="15" customHeight="1">
      <c r="A695" t="inlineStr">
        <is>
          <t>A 26002-2025</t>
        </is>
      </c>
      <c r="B695" s="1" t="n">
        <v>45804.66534722222</v>
      </c>
      <c r="C695" s="1" t="n">
        <v>46017</v>
      </c>
      <c r="D695" t="inlineStr">
        <is>
          <t>ÖSTERGÖTLANDS LÄN</t>
        </is>
      </c>
      <c r="E695" t="inlineStr">
        <is>
          <t>LINKÖPING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56105-2025</t>
        </is>
      </c>
      <c r="B696" s="1" t="n">
        <v>45973.72855324074</v>
      </c>
      <c r="C696" s="1" t="n">
        <v>46017</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56403-2025</t>
        </is>
      </c>
      <c r="B697" s="1" t="n">
        <v>45974</v>
      </c>
      <c r="C697" s="1" t="n">
        <v>46017</v>
      </c>
      <c r="D697" t="inlineStr">
        <is>
          <t>ÖSTERGÖTLANDS LÄN</t>
        </is>
      </c>
      <c r="E697" t="inlineStr">
        <is>
          <t>LINKÖPING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56113-2025</t>
        </is>
      </c>
      <c r="B698" s="1" t="n">
        <v>45973.73924768518</v>
      </c>
      <c r="C698" s="1" t="n">
        <v>46017</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28200-2025</t>
        </is>
      </c>
      <c r="B699" s="1" t="n">
        <v>45818.4428125</v>
      </c>
      <c r="C699" s="1" t="n">
        <v>46017</v>
      </c>
      <c r="D699" t="inlineStr">
        <is>
          <t>ÖSTERGÖTLANDS LÄN</t>
        </is>
      </c>
      <c r="E699" t="inlineStr">
        <is>
          <t>LINKÖPING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27950-2025</t>
        </is>
      </c>
      <c r="B700" s="1" t="n">
        <v>45817.52960648148</v>
      </c>
      <c r="C700" s="1" t="n">
        <v>46017</v>
      </c>
      <c r="D700" t="inlineStr">
        <is>
          <t>ÖSTERGÖTLANDS LÄN</t>
        </is>
      </c>
      <c r="E700" t="inlineStr">
        <is>
          <t>LINKÖPING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27797-2025</t>
        </is>
      </c>
      <c r="B701" s="1" t="n">
        <v>45816.80521990741</v>
      </c>
      <c r="C701" s="1" t="n">
        <v>46017</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27798-2025</t>
        </is>
      </c>
      <c r="B702" s="1" t="n">
        <v>45816.81532407407</v>
      </c>
      <c r="C702" s="1" t="n">
        <v>46017</v>
      </c>
      <c r="D702" t="inlineStr">
        <is>
          <t>ÖSTERGÖTLANDS LÄN</t>
        </is>
      </c>
      <c r="E702" t="inlineStr">
        <is>
          <t>LINKÖPING</t>
        </is>
      </c>
      <c r="G702" t="n">
        <v>1.9</v>
      </c>
      <c r="H702" t="n">
        <v>0</v>
      </c>
      <c r="I702" t="n">
        <v>0</v>
      </c>
      <c r="J702" t="n">
        <v>0</v>
      </c>
      <c r="K702" t="n">
        <v>0</v>
      </c>
      <c r="L702" t="n">
        <v>0</v>
      </c>
      <c r="M702" t="n">
        <v>0</v>
      </c>
      <c r="N702" t="n">
        <v>0</v>
      </c>
      <c r="O702" t="n">
        <v>0</v>
      </c>
      <c r="P702" t="n">
        <v>0</v>
      </c>
      <c r="Q702" t="n">
        <v>0</v>
      </c>
      <c r="R702" s="2" t="inlineStr"/>
    </row>
    <row r="703" ht="15" customHeight="1">
      <c r="A703" t="inlineStr">
        <is>
          <t>A 28209-2025</t>
        </is>
      </c>
      <c r="B703" s="1" t="n">
        <v>45818.45112268518</v>
      </c>
      <c r="C703" s="1" t="n">
        <v>46017</v>
      </c>
      <c r="D703" t="inlineStr">
        <is>
          <t>ÖSTERGÖTLANDS LÄN</t>
        </is>
      </c>
      <c r="E703" t="inlineStr">
        <is>
          <t>LINKÖPING</t>
        </is>
      </c>
      <c r="G703" t="n">
        <v>4.2</v>
      </c>
      <c r="H703" t="n">
        <v>0</v>
      </c>
      <c r="I703" t="n">
        <v>0</v>
      </c>
      <c r="J703" t="n">
        <v>0</v>
      </c>
      <c r="K703" t="n">
        <v>0</v>
      </c>
      <c r="L703" t="n">
        <v>0</v>
      </c>
      <c r="M703" t="n">
        <v>0</v>
      </c>
      <c r="N703" t="n">
        <v>0</v>
      </c>
      <c r="O703" t="n">
        <v>0</v>
      </c>
      <c r="P703" t="n">
        <v>0</v>
      </c>
      <c r="Q703" t="n">
        <v>0</v>
      </c>
      <c r="R703" s="2" t="inlineStr"/>
    </row>
    <row r="704" ht="15" customHeight="1">
      <c r="A704" t="inlineStr">
        <is>
          <t>A 28204-2025</t>
        </is>
      </c>
      <c r="B704" s="1" t="n">
        <v>45818.4477662037</v>
      </c>
      <c r="C704" s="1" t="n">
        <v>46017</v>
      </c>
      <c r="D704" t="inlineStr">
        <is>
          <t>ÖSTERGÖTLANDS LÄN</t>
        </is>
      </c>
      <c r="E704" t="inlineStr">
        <is>
          <t>LINKÖPING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28398-2025</t>
        </is>
      </c>
      <c r="B705" s="1" t="n">
        <v>45819.34208333334</v>
      </c>
      <c r="C705" s="1" t="n">
        <v>46017</v>
      </c>
      <c r="D705" t="inlineStr">
        <is>
          <t>ÖSTERGÖTLANDS LÄN</t>
        </is>
      </c>
      <c r="E705" t="inlineStr">
        <is>
          <t>LINKÖPING</t>
        </is>
      </c>
      <c r="F705" t="inlineStr">
        <is>
          <t>Sveaskog</t>
        </is>
      </c>
      <c r="G705" t="n">
        <v>7.9</v>
      </c>
      <c r="H705" t="n">
        <v>0</v>
      </c>
      <c r="I705" t="n">
        <v>0</v>
      </c>
      <c r="J705" t="n">
        <v>0</v>
      </c>
      <c r="K705" t="n">
        <v>0</v>
      </c>
      <c r="L705" t="n">
        <v>0</v>
      </c>
      <c r="M705" t="n">
        <v>0</v>
      </c>
      <c r="N705" t="n">
        <v>0</v>
      </c>
      <c r="O705" t="n">
        <v>0</v>
      </c>
      <c r="P705" t="n">
        <v>0</v>
      </c>
      <c r="Q705" t="n">
        <v>0</v>
      </c>
      <c r="R705" s="2" t="inlineStr"/>
    </row>
    <row r="706" ht="15" customHeight="1">
      <c r="A706" t="inlineStr">
        <is>
          <t>A 28416-2025</t>
        </is>
      </c>
      <c r="B706" s="1" t="n">
        <v>45819.35346064815</v>
      </c>
      <c r="C706" s="1" t="n">
        <v>46017</v>
      </c>
      <c r="D706" t="inlineStr">
        <is>
          <t>ÖSTERGÖTLANDS LÄN</t>
        </is>
      </c>
      <c r="E706" t="inlineStr">
        <is>
          <t>LINKÖPING</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29027-2025</t>
        </is>
      </c>
      <c r="B707" s="1" t="n">
        <v>45821.4375462963</v>
      </c>
      <c r="C707" s="1" t="n">
        <v>46017</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29393-2025</t>
        </is>
      </c>
      <c r="B708" s="1" t="n">
        <v>45824.6057175926</v>
      </c>
      <c r="C708" s="1" t="n">
        <v>46017</v>
      </c>
      <c r="D708" t="inlineStr">
        <is>
          <t>ÖSTERGÖTLANDS LÄN</t>
        </is>
      </c>
      <c r="E708" t="inlineStr">
        <is>
          <t>LINKÖPING</t>
        </is>
      </c>
      <c r="F708" t="inlineStr">
        <is>
          <t>Sveaskog</t>
        </is>
      </c>
      <c r="G708" t="n">
        <v>24.6</v>
      </c>
      <c r="H708" t="n">
        <v>0</v>
      </c>
      <c r="I708" t="n">
        <v>0</v>
      </c>
      <c r="J708" t="n">
        <v>0</v>
      </c>
      <c r="K708" t="n">
        <v>0</v>
      </c>
      <c r="L708" t="n">
        <v>0</v>
      </c>
      <c r="M708" t="n">
        <v>0</v>
      </c>
      <c r="N708" t="n">
        <v>0</v>
      </c>
      <c r="O708" t="n">
        <v>0</v>
      </c>
      <c r="P708" t="n">
        <v>0</v>
      </c>
      <c r="Q708" t="n">
        <v>0</v>
      </c>
      <c r="R708" s="2" t="inlineStr"/>
    </row>
    <row r="709" ht="15" customHeight="1">
      <c r="A709" t="inlineStr">
        <is>
          <t>A 29411-2025</t>
        </is>
      </c>
      <c r="B709" s="1" t="n">
        <v>45824.6219212963</v>
      </c>
      <c r="C709" s="1" t="n">
        <v>46017</v>
      </c>
      <c r="D709" t="inlineStr">
        <is>
          <t>ÖSTERGÖTLANDS LÄN</t>
        </is>
      </c>
      <c r="E709" t="inlineStr">
        <is>
          <t>LINKÖPING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29599-2025</t>
        </is>
      </c>
      <c r="B710" s="1" t="n">
        <v>45825.41101851852</v>
      </c>
      <c r="C710" s="1" t="n">
        <v>46017</v>
      </c>
      <c r="D710" t="inlineStr">
        <is>
          <t>ÖSTERGÖTLANDS LÄN</t>
        </is>
      </c>
      <c r="E710" t="inlineStr">
        <is>
          <t>LINKÖPING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30355-2025</t>
        </is>
      </c>
      <c r="B711" s="1" t="n">
        <v>45827</v>
      </c>
      <c r="C711" s="1" t="n">
        <v>46017</v>
      </c>
      <c r="D711" t="inlineStr">
        <is>
          <t>ÖSTERGÖTLANDS LÄN</t>
        </is>
      </c>
      <c r="E711" t="inlineStr">
        <is>
          <t>LINKÖPING</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30353-2025</t>
        </is>
      </c>
      <c r="B712" s="1" t="n">
        <v>45827</v>
      </c>
      <c r="C712" s="1" t="n">
        <v>46017</v>
      </c>
      <c r="D712" t="inlineStr">
        <is>
          <t>ÖSTERGÖTLANDS LÄN</t>
        </is>
      </c>
      <c r="E712" t="inlineStr">
        <is>
          <t>LINKÖPING</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31581-2025</t>
        </is>
      </c>
      <c r="B713" s="1" t="n">
        <v>45833.6840162037</v>
      </c>
      <c r="C713" s="1" t="n">
        <v>46017</v>
      </c>
      <c r="D713" t="inlineStr">
        <is>
          <t>ÖSTERGÖTLANDS LÄN</t>
        </is>
      </c>
      <c r="E713" t="inlineStr">
        <is>
          <t>LINKÖPING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31585-2025</t>
        </is>
      </c>
      <c r="B714" s="1" t="n">
        <v>45833.68815972222</v>
      </c>
      <c r="C714" s="1" t="n">
        <v>46017</v>
      </c>
      <c r="D714" t="inlineStr">
        <is>
          <t>ÖSTERGÖTLANDS LÄN</t>
        </is>
      </c>
      <c r="E714" t="inlineStr">
        <is>
          <t>LINKÖPING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32723-2025</t>
        </is>
      </c>
      <c r="B715" s="1" t="n">
        <v>45838</v>
      </c>
      <c r="C715" s="1" t="n">
        <v>46017</v>
      </c>
      <c r="D715" t="inlineStr">
        <is>
          <t>ÖSTERGÖTLANDS LÄN</t>
        </is>
      </c>
      <c r="E715" t="inlineStr">
        <is>
          <t>LINKÖPING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33947-2025</t>
        </is>
      </c>
      <c r="B716" s="1" t="n">
        <v>45842.65444444444</v>
      </c>
      <c r="C716" s="1" t="n">
        <v>46017</v>
      </c>
      <c r="D716" t="inlineStr">
        <is>
          <t>ÖSTERGÖTLANDS LÄN</t>
        </is>
      </c>
      <c r="E716" t="inlineStr">
        <is>
          <t>LINKÖPING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62012-2024</t>
        </is>
      </c>
      <c r="B717" s="1" t="n">
        <v>45655.79679398148</v>
      </c>
      <c r="C717" s="1" t="n">
        <v>46017</v>
      </c>
      <c r="D717" t="inlineStr">
        <is>
          <t>ÖSTERGÖTLANDS LÄN</t>
        </is>
      </c>
      <c r="E717" t="inlineStr">
        <is>
          <t>LINKÖPING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53529-2024</t>
        </is>
      </c>
      <c r="B718" s="1" t="n">
        <v>45614</v>
      </c>
      <c r="C718" s="1" t="n">
        <v>46017</v>
      </c>
      <c r="D718" t="inlineStr">
        <is>
          <t>ÖSTERGÖTLANDS LÄN</t>
        </is>
      </c>
      <c r="E718" t="inlineStr">
        <is>
          <t>LINKÖPING</t>
        </is>
      </c>
      <c r="G718" t="n">
        <v>6.7</v>
      </c>
      <c r="H718" t="n">
        <v>0</v>
      </c>
      <c r="I718" t="n">
        <v>0</v>
      </c>
      <c r="J718" t="n">
        <v>0</v>
      </c>
      <c r="K718" t="n">
        <v>0</v>
      </c>
      <c r="L718" t="n">
        <v>0</v>
      </c>
      <c r="M718" t="n">
        <v>0</v>
      </c>
      <c r="N718" t="n">
        <v>0</v>
      </c>
      <c r="O718" t="n">
        <v>0</v>
      </c>
      <c r="P718" t="n">
        <v>0</v>
      </c>
      <c r="Q718" t="n">
        <v>0</v>
      </c>
      <c r="R718" s="2" t="inlineStr"/>
    </row>
    <row r="719" ht="15" customHeight="1">
      <c r="A719" t="inlineStr">
        <is>
          <t>A 20469-2025</t>
        </is>
      </c>
      <c r="B719" s="1" t="n">
        <v>45775</v>
      </c>
      <c r="C719" s="1" t="n">
        <v>46017</v>
      </c>
      <c r="D719" t="inlineStr">
        <is>
          <t>ÖSTERGÖTLANDS LÄN</t>
        </is>
      </c>
      <c r="E719" t="inlineStr">
        <is>
          <t>LINKÖPING</t>
        </is>
      </c>
      <c r="F719" t="inlineStr">
        <is>
          <t>Kyrkan</t>
        </is>
      </c>
      <c r="G719" t="n">
        <v>6.1</v>
      </c>
      <c r="H719" t="n">
        <v>0</v>
      </c>
      <c r="I719" t="n">
        <v>0</v>
      </c>
      <c r="J719" t="n">
        <v>0</v>
      </c>
      <c r="K719" t="n">
        <v>0</v>
      </c>
      <c r="L719" t="n">
        <v>0</v>
      </c>
      <c r="M719" t="n">
        <v>0</v>
      </c>
      <c r="N719" t="n">
        <v>0</v>
      </c>
      <c r="O719" t="n">
        <v>0</v>
      </c>
      <c r="P719" t="n">
        <v>0</v>
      </c>
      <c r="Q719" t="n">
        <v>0</v>
      </c>
      <c r="R719" s="2" t="inlineStr"/>
    </row>
    <row r="720" ht="15" customHeight="1">
      <c r="A720" t="inlineStr">
        <is>
          <t>A 33800-2023</t>
        </is>
      </c>
      <c r="B720" s="1" t="n">
        <v>45121</v>
      </c>
      <c r="C720" s="1" t="n">
        <v>46017</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47991-2023</t>
        </is>
      </c>
      <c r="B721" s="1" t="n">
        <v>45204.62655092592</v>
      </c>
      <c r="C721" s="1" t="n">
        <v>46017</v>
      </c>
      <c r="D721" t="inlineStr">
        <is>
          <t>ÖSTERGÖTLANDS LÄN</t>
        </is>
      </c>
      <c r="E721" t="inlineStr">
        <is>
          <t>LINKÖPING</t>
        </is>
      </c>
      <c r="F721" t="inlineStr">
        <is>
          <t>Allmännings- och besparingsskogar</t>
        </is>
      </c>
      <c r="G721" t="n">
        <v>7.3</v>
      </c>
      <c r="H721" t="n">
        <v>0</v>
      </c>
      <c r="I721" t="n">
        <v>0</v>
      </c>
      <c r="J721" t="n">
        <v>0</v>
      </c>
      <c r="K721" t="n">
        <v>0</v>
      </c>
      <c r="L721" t="n">
        <v>0</v>
      </c>
      <c r="M721" t="n">
        <v>0</v>
      </c>
      <c r="N721" t="n">
        <v>0</v>
      </c>
      <c r="O721" t="n">
        <v>0</v>
      </c>
      <c r="P721" t="n">
        <v>0</v>
      </c>
      <c r="Q721" t="n">
        <v>0</v>
      </c>
      <c r="R721" s="2" t="inlineStr"/>
    </row>
    <row r="722" ht="15" customHeight="1">
      <c r="A722" t="inlineStr">
        <is>
          <t>A 35178-2025</t>
        </is>
      </c>
      <c r="B722" s="1" t="n">
        <v>45852.91939814815</v>
      </c>
      <c r="C722" s="1" t="n">
        <v>46017</v>
      </c>
      <c r="D722" t="inlineStr">
        <is>
          <t>ÖSTERGÖTLANDS LÄN</t>
        </is>
      </c>
      <c r="E722" t="inlineStr">
        <is>
          <t>LINKÖPING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35174-2025</t>
        </is>
      </c>
      <c r="B723" s="1" t="n">
        <v>45852.90648148148</v>
      </c>
      <c r="C723" s="1" t="n">
        <v>46017</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26007-2025</t>
        </is>
      </c>
      <c r="B724" s="1" t="n">
        <v>45804.67081018518</v>
      </c>
      <c r="C724" s="1" t="n">
        <v>46017</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35179-2025</t>
        </is>
      </c>
      <c r="B725" s="1" t="n">
        <v>45852.93737268518</v>
      </c>
      <c r="C725" s="1" t="n">
        <v>46017</v>
      </c>
      <c r="D725" t="inlineStr">
        <is>
          <t>ÖSTERGÖTLANDS LÄN</t>
        </is>
      </c>
      <c r="E725" t="inlineStr">
        <is>
          <t>LINKÖPING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35180-2025</t>
        </is>
      </c>
      <c r="B726" s="1" t="n">
        <v>45852.9413425926</v>
      </c>
      <c r="C726" s="1" t="n">
        <v>46017</v>
      </c>
      <c r="D726" t="inlineStr">
        <is>
          <t>ÖSTERGÖTLANDS LÄN</t>
        </is>
      </c>
      <c r="E726" t="inlineStr">
        <is>
          <t>LINKÖPING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35747-2025</t>
        </is>
      </c>
      <c r="B727" s="1" t="n">
        <v>45860.56385416666</v>
      </c>
      <c r="C727" s="1" t="n">
        <v>46017</v>
      </c>
      <c r="D727" t="inlineStr">
        <is>
          <t>ÖSTERGÖTLANDS LÄN</t>
        </is>
      </c>
      <c r="E727" t="inlineStr">
        <is>
          <t>LINKÖPING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35745-2025</t>
        </is>
      </c>
      <c r="B728" s="1" t="n">
        <v>45860.54739583333</v>
      </c>
      <c r="C728" s="1" t="n">
        <v>46017</v>
      </c>
      <c r="D728" t="inlineStr">
        <is>
          <t>ÖSTERGÖTLANDS LÄN</t>
        </is>
      </c>
      <c r="E728" t="inlineStr">
        <is>
          <t>LINKÖPING</t>
        </is>
      </c>
      <c r="G728" t="n">
        <v>4.4</v>
      </c>
      <c r="H728" t="n">
        <v>0</v>
      </c>
      <c r="I728" t="n">
        <v>0</v>
      </c>
      <c r="J728" t="n">
        <v>0</v>
      </c>
      <c r="K728" t="n">
        <v>0</v>
      </c>
      <c r="L728" t="n">
        <v>0</v>
      </c>
      <c r="M728" t="n">
        <v>0</v>
      </c>
      <c r="N728" t="n">
        <v>0</v>
      </c>
      <c r="O728" t="n">
        <v>0</v>
      </c>
      <c r="P728" t="n">
        <v>0</v>
      </c>
      <c r="Q728" t="n">
        <v>0</v>
      </c>
      <c r="R728" s="2" t="inlineStr"/>
    </row>
    <row r="729" ht="15" customHeight="1">
      <c r="A729" t="inlineStr">
        <is>
          <t>A 35757-2025</t>
        </is>
      </c>
      <c r="B729" s="1" t="n">
        <v>45860.59876157407</v>
      </c>
      <c r="C729" s="1" t="n">
        <v>46017</v>
      </c>
      <c r="D729" t="inlineStr">
        <is>
          <t>ÖSTERGÖTLANDS LÄN</t>
        </is>
      </c>
      <c r="E729" t="inlineStr">
        <is>
          <t>LINKÖPING</t>
        </is>
      </c>
      <c r="G729" t="n">
        <v>5.7</v>
      </c>
      <c r="H729" t="n">
        <v>0</v>
      </c>
      <c r="I729" t="n">
        <v>0</v>
      </c>
      <c r="J729" t="n">
        <v>0</v>
      </c>
      <c r="K729" t="n">
        <v>0</v>
      </c>
      <c r="L729" t="n">
        <v>0</v>
      </c>
      <c r="M729" t="n">
        <v>0</v>
      </c>
      <c r="N729" t="n">
        <v>0</v>
      </c>
      <c r="O729" t="n">
        <v>0</v>
      </c>
      <c r="P729" t="n">
        <v>0</v>
      </c>
      <c r="Q729" t="n">
        <v>0</v>
      </c>
      <c r="R729" s="2" t="inlineStr"/>
    </row>
    <row r="730" ht="15" customHeight="1">
      <c r="A730" t="inlineStr">
        <is>
          <t>A 35759-2025</t>
        </is>
      </c>
      <c r="B730" s="1" t="n">
        <v>45860</v>
      </c>
      <c r="C730" s="1" t="n">
        <v>46017</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37057-2025</t>
        </is>
      </c>
      <c r="B731" s="1" t="n">
        <v>45875.37489583333</v>
      </c>
      <c r="C731" s="1" t="n">
        <v>46017</v>
      </c>
      <c r="D731" t="inlineStr">
        <is>
          <t>ÖSTERGÖTLANDS LÄN</t>
        </is>
      </c>
      <c r="E731" t="inlineStr">
        <is>
          <t>LINKÖPING</t>
        </is>
      </c>
      <c r="G731" t="n">
        <v>3.3</v>
      </c>
      <c r="H731" t="n">
        <v>0</v>
      </c>
      <c r="I731" t="n">
        <v>0</v>
      </c>
      <c r="J731" t="n">
        <v>0</v>
      </c>
      <c r="K731" t="n">
        <v>0</v>
      </c>
      <c r="L731" t="n">
        <v>0</v>
      </c>
      <c r="M731" t="n">
        <v>0</v>
      </c>
      <c r="N731" t="n">
        <v>0</v>
      </c>
      <c r="O731" t="n">
        <v>0</v>
      </c>
      <c r="P731" t="n">
        <v>0</v>
      </c>
      <c r="Q731" t="n">
        <v>0</v>
      </c>
      <c r="R731" s="2" t="inlineStr"/>
    </row>
    <row r="732">
      <c r="A732" t="inlineStr">
        <is>
          <t>A 25829-2025</t>
        </is>
      </c>
      <c r="B732" s="1" t="n">
        <v>45804.44505787037</v>
      </c>
      <c r="C732" s="1" t="n">
        <v>46017</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2025-12-26T09:31:39Z</dcterms:created>
  <dcterms:modified xmlns:dcterms="http://purl.org/dc/terms/" xmlns:xsi="http://www.w3.org/2001/XMLSchema-instance" xsi:type="dcterms:W3CDTF">2025-12-26T09:31:39Z</dcterms:modified>
</cp:coreProperties>
</file>