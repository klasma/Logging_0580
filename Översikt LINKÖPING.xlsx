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45879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45879</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45879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45879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45879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45879</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45879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45879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45879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45879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45879</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45879</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577-2025</t>
        </is>
      </c>
      <c r="B15" s="1" t="n">
        <v>45664.56525462963</v>
      </c>
      <c r="C15" s="1" t="n">
        <v>45879</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45879</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9192-2025</t>
        </is>
      </c>
      <c r="B17" s="1" t="n">
        <v>45714.45943287037</v>
      </c>
      <c r="C17" s="1" t="n">
        <v>45879</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44668-2020</t>
        </is>
      </c>
      <c r="B18" s="1" t="n">
        <v>44085</v>
      </c>
      <c r="C18" s="1" t="n">
        <v>45879</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45879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45879</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45879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45879</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20292-2025</t>
        </is>
      </c>
      <c r="B23" s="1" t="n">
        <v>45774.7449537037</v>
      </c>
      <c r="C23" s="1" t="n">
        <v>45879</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49188-2024</t>
        </is>
      </c>
      <c r="B24" s="1" t="n">
        <v>45595</v>
      </c>
      <c r="C24" s="1" t="n">
        <v>45879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50404-2023</t>
        </is>
      </c>
      <c r="B25" s="1" t="n">
        <v>45216</v>
      </c>
      <c r="C25" s="1" t="n">
        <v>45879</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58068-2021</t>
        </is>
      </c>
      <c r="B26" s="1" t="n">
        <v>44487</v>
      </c>
      <c r="C26" s="1" t="n">
        <v>45879</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21326-2025</t>
        </is>
      </c>
      <c r="B27" s="1" t="n">
        <v>45782.35407407407</v>
      </c>
      <c r="C27" s="1" t="n">
        <v>45879</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38913-2023</t>
        </is>
      </c>
      <c r="B28" s="1" t="n">
        <v>45163</v>
      </c>
      <c r="C28" s="1" t="n">
        <v>45879</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27981-2022</t>
        </is>
      </c>
      <c r="B29" s="1" t="n">
        <v>44745</v>
      </c>
      <c r="C29" s="1" t="n">
        <v>45879</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45879</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45879</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45879</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27795-2025</t>
        </is>
      </c>
      <c r="B33" s="1" t="n">
        <v>45816.7908912037</v>
      </c>
      <c r="C33" s="1" t="n">
        <v>45879</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41751-2023</t>
        </is>
      </c>
      <c r="B34" s="1" t="n">
        <v>45176</v>
      </c>
      <c r="C34" s="1" t="n">
        <v>45879</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45879</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45879</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45879</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45879</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45879</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45879</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45879</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45879</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45879</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45879</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1716-2023</t>
        </is>
      </c>
      <c r="B45" s="1" t="n">
        <v>44938</v>
      </c>
      <c r="C45" s="1" t="n">
        <v>45879</v>
      </c>
      <c r="D45" t="inlineStr">
        <is>
          <t>ÖSTERGÖTLANDS LÄN</t>
        </is>
      </c>
      <c r="E45" t="inlineStr">
        <is>
          <t>LINKÖPING</t>
        </is>
      </c>
      <c r="G45" t="n">
        <v>3.6</v>
      </c>
      <c r="H45" t="n">
        <v>0</v>
      </c>
      <c r="I45" t="n">
        <v>0</v>
      </c>
      <c r="J45" t="n">
        <v>1</v>
      </c>
      <c r="K45" t="n">
        <v>0</v>
      </c>
      <c r="L45" t="n">
        <v>0</v>
      </c>
      <c r="M45" t="n">
        <v>0</v>
      </c>
      <c r="N45" t="n">
        <v>0</v>
      </c>
      <c r="O45" t="n">
        <v>1</v>
      </c>
      <c r="P45" t="n">
        <v>0</v>
      </c>
      <c r="Q45" t="n">
        <v>1</v>
      </c>
      <c r="R45" s="2" t="inlineStr">
        <is>
          <t>Svinrot</t>
        </is>
      </c>
      <c r="S45">
        <f>HYPERLINK("https://klasma.github.io/Logging_0580/artfynd/A 1716-2023 artfynd.xlsx", "A 1716-2023")</f>
        <v/>
      </c>
      <c r="T45">
        <f>HYPERLINK("https://klasma.github.io/Logging_0580/kartor/A 1716-2023 karta.png", "A 1716-2023")</f>
        <v/>
      </c>
      <c r="V45">
        <f>HYPERLINK("https://klasma.github.io/Logging_0580/klagomål/A 1716-2023 FSC-klagomål.docx", "A 1716-2023")</f>
        <v/>
      </c>
      <c r="W45">
        <f>HYPERLINK("https://klasma.github.io/Logging_0580/klagomålsmail/A 1716-2023 FSC-klagomål mail.docx", "A 1716-2023")</f>
        <v/>
      </c>
      <c r="X45">
        <f>HYPERLINK("https://klasma.github.io/Logging_0580/tillsyn/A 1716-2023 tillsynsbegäran.docx", "A 1716-2023")</f>
        <v/>
      </c>
      <c r="Y45">
        <f>HYPERLINK("https://klasma.github.io/Logging_0580/tillsynsmail/A 1716-2023 tillsynsbegäran mail.docx", "A 1716-2023")</f>
        <v/>
      </c>
    </row>
    <row r="46" ht="15" customHeight="1">
      <c r="A46" t="inlineStr">
        <is>
          <t>A 69211-2021</t>
        </is>
      </c>
      <c r="B46" s="1" t="n">
        <v>44531</v>
      </c>
      <c r="C46" s="1" t="n">
        <v>45879</v>
      </c>
      <c r="D46" t="inlineStr">
        <is>
          <t>ÖSTERGÖTLANDS LÄN</t>
        </is>
      </c>
      <c r="E46" t="inlineStr">
        <is>
          <t>LINKÖPING</t>
        </is>
      </c>
      <c r="F46" t="inlineStr">
        <is>
          <t>Övriga statliga verk och myndigheter</t>
        </is>
      </c>
      <c r="G46" t="n">
        <v>3.8</v>
      </c>
      <c r="H46" t="n">
        <v>0</v>
      </c>
      <c r="I46" t="n">
        <v>1</v>
      </c>
      <c r="J46" t="n">
        <v>0</v>
      </c>
      <c r="K46" t="n">
        <v>0</v>
      </c>
      <c r="L46" t="n">
        <v>0</v>
      </c>
      <c r="M46" t="n">
        <v>0</v>
      </c>
      <c r="N46" t="n">
        <v>0</v>
      </c>
      <c r="O46" t="n">
        <v>0</v>
      </c>
      <c r="P46" t="n">
        <v>0</v>
      </c>
      <c r="Q46" t="n">
        <v>1</v>
      </c>
      <c r="R46" s="2" t="inlineStr">
        <is>
          <t>Bronshjon</t>
        </is>
      </c>
      <c r="S46">
        <f>HYPERLINK("https://klasma.github.io/Logging_0580/artfynd/A 69211-2021 artfynd.xlsx", "A 69211-2021")</f>
        <v/>
      </c>
      <c r="T46">
        <f>HYPERLINK("https://klasma.github.io/Logging_0580/kartor/A 69211-2021 karta.png", "A 69211-2021")</f>
        <v/>
      </c>
      <c r="V46">
        <f>HYPERLINK("https://klasma.github.io/Logging_0580/klagomål/A 69211-2021 FSC-klagomål.docx", "A 69211-2021")</f>
        <v/>
      </c>
      <c r="W46">
        <f>HYPERLINK("https://klasma.github.io/Logging_0580/klagomålsmail/A 69211-2021 FSC-klagomål mail.docx", "A 69211-2021")</f>
        <v/>
      </c>
      <c r="X46">
        <f>HYPERLINK("https://klasma.github.io/Logging_0580/tillsyn/A 69211-2021 tillsynsbegäran.docx", "A 69211-2021")</f>
        <v/>
      </c>
      <c r="Y46">
        <f>HYPERLINK("https://klasma.github.io/Logging_0580/tillsynsmail/A 69211-2021 tillsynsbegäran mail.docx", "A 69211-2021")</f>
        <v/>
      </c>
    </row>
    <row r="47" ht="15" customHeight="1">
      <c r="A47" t="inlineStr">
        <is>
          <t>A 17065-2024</t>
        </is>
      </c>
      <c r="B47" s="1" t="n">
        <v>45411</v>
      </c>
      <c r="C47" s="1" t="n">
        <v>45879</v>
      </c>
      <c r="D47" t="inlineStr">
        <is>
          <t>ÖSTERGÖTLANDS LÄN</t>
        </is>
      </c>
      <c r="E47" t="inlineStr">
        <is>
          <t>LINKÖPING</t>
        </is>
      </c>
      <c r="G47" t="n">
        <v>2.3</v>
      </c>
      <c r="H47" t="n">
        <v>0</v>
      </c>
      <c r="I47" t="n">
        <v>0</v>
      </c>
      <c r="J47" t="n">
        <v>1</v>
      </c>
      <c r="K47" t="n">
        <v>0</v>
      </c>
      <c r="L47" t="n">
        <v>0</v>
      </c>
      <c r="M47" t="n">
        <v>0</v>
      </c>
      <c r="N47" t="n">
        <v>0</v>
      </c>
      <c r="O47" t="n">
        <v>1</v>
      </c>
      <c r="P47" t="n">
        <v>0</v>
      </c>
      <c r="Q47" t="n">
        <v>1</v>
      </c>
      <c r="R47" s="2" t="inlineStr">
        <is>
          <t>Svinrot</t>
        </is>
      </c>
      <c r="S47">
        <f>HYPERLINK("https://klasma.github.io/Logging_0580/artfynd/A 17065-2024 artfynd.xlsx", "A 17065-2024")</f>
        <v/>
      </c>
      <c r="T47">
        <f>HYPERLINK("https://klasma.github.io/Logging_0580/kartor/A 17065-2024 karta.png", "A 17065-2024")</f>
        <v/>
      </c>
      <c r="V47">
        <f>HYPERLINK("https://klasma.github.io/Logging_0580/klagomål/A 17065-2024 FSC-klagomål.docx", "A 17065-2024")</f>
        <v/>
      </c>
      <c r="W47">
        <f>HYPERLINK("https://klasma.github.io/Logging_0580/klagomålsmail/A 17065-2024 FSC-klagomål mail.docx", "A 17065-2024")</f>
        <v/>
      </c>
      <c r="X47">
        <f>HYPERLINK("https://klasma.github.io/Logging_0580/tillsyn/A 17065-2024 tillsynsbegäran.docx", "A 17065-2024")</f>
        <v/>
      </c>
      <c r="Y47">
        <f>HYPERLINK("https://klasma.github.io/Logging_0580/tillsynsmail/A 17065-2024 tillsynsbegäran mail.docx", "A 17065-2024")</f>
        <v/>
      </c>
    </row>
    <row r="48" ht="15" customHeight="1">
      <c r="A48" t="inlineStr">
        <is>
          <t>A 5911-2022</t>
        </is>
      </c>
      <c r="B48" s="1" t="n">
        <v>44597</v>
      </c>
      <c r="C48" s="1" t="n">
        <v>45879</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931-2025</t>
        </is>
      </c>
      <c r="B49" s="1" t="n">
        <v>45665.88498842593</v>
      </c>
      <c r="C49" s="1" t="n">
        <v>45879</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17389-2021</t>
        </is>
      </c>
      <c r="B50" s="1" t="n">
        <v>44298.96792824074</v>
      </c>
      <c r="C50" s="1" t="n">
        <v>45879</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126-2024</t>
        </is>
      </c>
      <c r="B51" s="1" t="n">
        <v>45294</v>
      </c>
      <c r="C51" s="1" t="n">
        <v>45879</v>
      </c>
      <c r="D51" t="inlineStr">
        <is>
          <t>ÖSTERGÖTLANDS LÄN</t>
        </is>
      </c>
      <c r="E51" t="inlineStr">
        <is>
          <t>LINKÖPING</t>
        </is>
      </c>
      <c r="G51" t="n">
        <v>1</v>
      </c>
      <c r="H51" t="n">
        <v>0</v>
      </c>
      <c r="I51" t="n">
        <v>1</v>
      </c>
      <c r="J51" t="n">
        <v>0</v>
      </c>
      <c r="K51" t="n">
        <v>0</v>
      </c>
      <c r="L51" t="n">
        <v>0</v>
      </c>
      <c r="M51" t="n">
        <v>0</v>
      </c>
      <c r="N51" t="n">
        <v>0</v>
      </c>
      <c r="O51" t="n">
        <v>0</v>
      </c>
      <c r="P51" t="n">
        <v>0</v>
      </c>
      <c r="Q51" t="n">
        <v>1</v>
      </c>
      <c r="R51" s="2" t="inlineStr">
        <is>
          <t>Blåmossa</t>
        </is>
      </c>
      <c r="S51">
        <f>HYPERLINK("https://klasma.github.io/Logging_0580/artfynd/A 126-2024 artfynd.xlsx", "A 126-2024")</f>
        <v/>
      </c>
      <c r="T51">
        <f>HYPERLINK("https://klasma.github.io/Logging_0580/kartor/A 126-2024 karta.png", "A 126-2024")</f>
        <v/>
      </c>
      <c r="V51">
        <f>HYPERLINK("https://klasma.github.io/Logging_0580/klagomål/A 126-2024 FSC-klagomål.docx", "A 126-2024")</f>
        <v/>
      </c>
      <c r="W51">
        <f>HYPERLINK("https://klasma.github.io/Logging_0580/klagomålsmail/A 126-2024 FSC-klagomål mail.docx", "A 126-2024")</f>
        <v/>
      </c>
      <c r="X51">
        <f>HYPERLINK("https://klasma.github.io/Logging_0580/tillsyn/A 126-2024 tillsynsbegäran.docx", "A 126-2024")</f>
        <v/>
      </c>
      <c r="Y51">
        <f>HYPERLINK("https://klasma.github.io/Logging_0580/tillsynsmail/A 126-2024 tillsynsbegäran mail.docx", "A 126-2024")</f>
        <v/>
      </c>
    </row>
    <row r="52" ht="15" customHeight="1">
      <c r="A52" t="inlineStr">
        <is>
          <t>A 3395-2023</t>
        </is>
      </c>
      <c r="B52" s="1" t="n">
        <v>44949</v>
      </c>
      <c r="C52" s="1" t="n">
        <v>45879</v>
      </c>
      <c r="D52" t="inlineStr">
        <is>
          <t>ÖSTERGÖTLANDS LÄN</t>
        </is>
      </c>
      <c r="E52" t="inlineStr">
        <is>
          <t>LINKÖPING</t>
        </is>
      </c>
      <c r="G52" t="n">
        <v>2</v>
      </c>
      <c r="H52" t="n">
        <v>0</v>
      </c>
      <c r="I52" t="n">
        <v>0</v>
      </c>
      <c r="J52" t="n">
        <v>1</v>
      </c>
      <c r="K52" t="n">
        <v>0</v>
      </c>
      <c r="L52" t="n">
        <v>0</v>
      </c>
      <c r="M52" t="n">
        <v>0</v>
      </c>
      <c r="N52" t="n">
        <v>0</v>
      </c>
      <c r="O52" t="n">
        <v>1</v>
      </c>
      <c r="P52" t="n">
        <v>0</v>
      </c>
      <c r="Q52" t="n">
        <v>1</v>
      </c>
      <c r="R52" s="2" t="inlineStr">
        <is>
          <t>Sommarfibbla</t>
        </is>
      </c>
      <c r="S52">
        <f>HYPERLINK("https://klasma.github.io/Logging_0580/artfynd/A 3395-2023 artfynd.xlsx", "A 3395-2023")</f>
        <v/>
      </c>
      <c r="T52">
        <f>HYPERLINK("https://klasma.github.io/Logging_0580/kartor/A 3395-2023 karta.png", "A 3395-2023")</f>
        <v/>
      </c>
      <c r="V52">
        <f>HYPERLINK("https://klasma.github.io/Logging_0580/klagomål/A 3395-2023 FSC-klagomål.docx", "A 3395-2023")</f>
        <v/>
      </c>
      <c r="W52">
        <f>HYPERLINK("https://klasma.github.io/Logging_0580/klagomålsmail/A 3395-2023 FSC-klagomål mail.docx", "A 3395-2023")</f>
        <v/>
      </c>
      <c r="X52">
        <f>HYPERLINK("https://klasma.github.io/Logging_0580/tillsyn/A 3395-2023 tillsynsbegäran.docx", "A 3395-2023")</f>
        <v/>
      </c>
      <c r="Y52">
        <f>HYPERLINK("https://klasma.github.io/Logging_0580/tillsynsmail/A 3395-2023 tillsynsbegäran mail.docx", "A 3395-2023")</f>
        <v/>
      </c>
    </row>
    <row r="53" ht="15" customHeight="1">
      <c r="A53" t="inlineStr">
        <is>
          <t>A 3397-2023</t>
        </is>
      </c>
      <c r="B53" s="1" t="n">
        <v>44949</v>
      </c>
      <c r="C53" s="1" t="n">
        <v>45879</v>
      </c>
      <c r="D53" t="inlineStr">
        <is>
          <t>ÖSTERGÖTLANDS LÄN</t>
        </is>
      </c>
      <c r="E53" t="inlineStr">
        <is>
          <t>LINKÖPING</t>
        </is>
      </c>
      <c r="G53" t="n">
        <v>4.1</v>
      </c>
      <c r="H53" t="n">
        <v>0</v>
      </c>
      <c r="I53" t="n">
        <v>0</v>
      </c>
      <c r="J53" t="n">
        <v>1</v>
      </c>
      <c r="K53" t="n">
        <v>0</v>
      </c>
      <c r="L53" t="n">
        <v>0</v>
      </c>
      <c r="M53" t="n">
        <v>0</v>
      </c>
      <c r="N53" t="n">
        <v>0</v>
      </c>
      <c r="O53" t="n">
        <v>1</v>
      </c>
      <c r="P53" t="n">
        <v>0</v>
      </c>
      <c r="Q53" t="n">
        <v>1</v>
      </c>
      <c r="R53" s="2" t="inlineStr">
        <is>
          <t>Svinrot</t>
        </is>
      </c>
      <c r="S53">
        <f>HYPERLINK("https://klasma.github.io/Logging_0580/artfynd/A 3397-2023 artfynd.xlsx", "A 3397-2023")</f>
        <v/>
      </c>
      <c r="T53">
        <f>HYPERLINK("https://klasma.github.io/Logging_0580/kartor/A 3397-2023 karta.png", "A 3397-2023")</f>
        <v/>
      </c>
      <c r="V53">
        <f>HYPERLINK("https://klasma.github.io/Logging_0580/klagomål/A 3397-2023 FSC-klagomål.docx", "A 3397-2023")</f>
        <v/>
      </c>
      <c r="W53">
        <f>HYPERLINK("https://klasma.github.io/Logging_0580/klagomålsmail/A 3397-2023 FSC-klagomål mail.docx", "A 3397-2023")</f>
        <v/>
      </c>
      <c r="X53">
        <f>HYPERLINK("https://klasma.github.io/Logging_0580/tillsyn/A 3397-2023 tillsynsbegäran.docx", "A 3397-2023")</f>
        <v/>
      </c>
      <c r="Y53">
        <f>HYPERLINK("https://klasma.github.io/Logging_0580/tillsynsmail/A 3397-2023 tillsynsbegäran mail.docx", "A 3397-2023")</f>
        <v/>
      </c>
    </row>
    <row r="54" ht="15" customHeight="1">
      <c r="A54" t="inlineStr">
        <is>
          <t>A 36723-2023</t>
        </is>
      </c>
      <c r="B54" s="1" t="n">
        <v>45153</v>
      </c>
      <c r="C54" s="1" t="n">
        <v>45879</v>
      </c>
      <c r="D54" t="inlineStr">
        <is>
          <t>ÖSTERGÖTLANDS LÄN</t>
        </is>
      </c>
      <c r="E54" t="inlineStr">
        <is>
          <t>LINKÖPING</t>
        </is>
      </c>
      <c r="F54" t="inlineStr">
        <is>
          <t>Allmännings- och besparingsskogar</t>
        </is>
      </c>
      <c r="G54" t="n">
        <v>9.9</v>
      </c>
      <c r="H54" t="n">
        <v>0</v>
      </c>
      <c r="I54" t="n">
        <v>0</v>
      </c>
      <c r="J54" t="n">
        <v>0</v>
      </c>
      <c r="K54" t="n">
        <v>1</v>
      </c>
      <c r="L54" t="n">
        <v>0</v>
      </c>
      <c r="M54" t="n">
        <v>0</v>
      </c>
      <c r="N54" t="n">
        <v>0</v>
      </c>
      <c r="O54" t="n">
        <v>1</v>
      </c>
      <c r="P54" t="n">
        <v>1</v>
      </c>
      <c r="Q54" t="n">
        <v>1</v>
      </c>
      <c r="R54" s="2" t="inlineStr">
        <is>
          <t>Bitter taggsvamp</t>
        </is>
      </c>
      <c r="S54">
        <f>HYPERLINK("https://klasma.github.io/Logging_0580/artfynd/A 36723-2023 artfynd.xlsx", "A 36723-2023")</f>
        <v/>
      </c>
      <c r="T54">
        <f>HYPERLINK("https://klasma.github.io/Logging_0580/kartor/A 36723-2023 karta.png", "A 36723-2023")</f>
        <v/>
      </c>
      <c r="V54">
        <f>HYPERLINK("https://klasma.github.io/Logging_0580/klagomål/A 36723-2023 FSC-klagomål.docx", "A 36723-2023")</f>
        <v/>
      </c>
      <c r="W54">
        <f>HYPERLINK("https://klasma.github.io/Logging_0580/klagomålsmail/A 36723-2023 FSC-klagomål mail.docx", "A 36723-2023")</f>
        <v/>
      </c>
      <c r="X54">
        <f>HYPERLINK("https://klasma.github.io/Logging_0580/tillsyn/A 36723-2023 tillsynsbegäran.docx", "A 36723-2023")</f>
        <v/>
      </c>
      <c r="Y54">
        <f>HYPERLINK("https://klasma.github.io/Logging_0580/tillsynsmail/A 36723-2023 tillsynsbegäran mail.docx", "A 36723-2023")</f>
        <v/>
      </c>
    </row>
    <row r="55" ht="15" customHeight="1">
      <c r="A55" t="inlineStr">
        <is>
          <t>A 40315-2024</t>
        </is>
      </c>
      <c r="B55" s="1" t="n">
        <v>45554.7571875</v>
      </c>
      <c r="C55" s="1" t="n">
        <v>45879</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56128-2022</t>
        </is>
      </c>
      <c r="B56" s="1" t="n">
        <v>44889</v>
      </c>
      <c r="C56" s="1" t="n">
        <v>45879</v>
      </c>
      <c r="D56" t="inlineStr">
        <is>
          <t>ÖSTERGÖTLANDS LÄN</t>
        </is>
      </c>
      <c r="E56" t="inlineStr">
        <is>
          <t>LINKÖPING</t>
        </is>
      </c>
      <c r="G56" t="n">
        <v>2</v>
      </c>
      <c r="H56" t="n">
        <v>0</v>
      </c>
      <c r="I56" t="n">
        <v>1</v>
      </c>
      <c r="J56" t="n">
        <v>0</v>
      </c>
      <c r="K56" t="n">
        <v>0</v>
      </c>
      <c r="L56" t="n">
        <v>0</v>
      </c>
      <c r="M56" t="n">
        <v>0</v>
      </c>
      <c r="N56" t="n">
        <v>0</v>
      </c>
      <c r="O56" t="n">
        <v>0</v>
      </c>
      <c r="P56" t="n">
        <v>0</v>
      </c>
      <c r="Q56" t="n">
        <v>1</v>
      </c>
      <c r="R56" s="2" t="inlineStr">
        <is>
          <t>Tibast</t>
        </is>
      </c>
      <c r="S56">
        <f>HYPERLINK("https://klasma.github.io/Logging_0580/artfynd/A 56128-2022 artfynd.xlsx", "A 56128-2022")</f>
        <v/>
      </c>
      <c r="T56">
        <f>HYPERLINK("https://klasma.github.io/Logging_0580/kartor/A 56128-2022 karta.png", "A 56128-2022")</f>
        <v/>
      </c>
      <c r="V56">
        <f>HYPERLINK("https://klasma.github.io/Logging_0580/klagomål/A 56128-2022 FSC-klagomål.docx", "A 56128-2022")</f>
        <v/>
      </c>
      <c r="W56">
        <f>HYPERLINK("https://klasma.github.io/Logging_0580/klagomålsmail/A 56128-2022 FSC-klagomål mail.docx", "A 56128-2022")</f>
        <v/>
      </c>
      <c r="X56">
        <f>HYPERLINK("https://klasma.github.io/Logging_0580/tillsyn/A 56128-2022 tillsynsbegäran.docx", "A 56128-2022")</f>
        <v/>
      </c>
      <c r="Y56">
        <f>HYPERLINK("https://klasma.github.io/Logging_0580/tillsynsmail/A 56128-2022 tillsynsbegäran mail.docx", "A 56128-2022")</f>
        <v/>
      </c>
    </row>
    <row r="57" ht="15" customHeight="1">
      <c r="A57" t="inlineStr">
        <is>
          <t>A 22040-2023</t>
        </is>
      </c>
      <c r="B57" s="1" t="n">
        <v>45068</v>
      </c>
      <c r="C57" s="1" t="n">
        <v>45879</v>
      </c>
      <c r="D57" t="inlineStr">
        <is>
          <t>ÖSTERGÖTLANDS LÄN</t>
        </is>
      </c>
      <c r="E57" t="inlineStr">
        <is>
          <t>LINKÖPING</t>
        </is>
      </c>
      <c r="F57" t="inlineStr">
        <is>
          <t>Kommuner</t>
        </is>
      </c>
      <c r="G57" t="n">
        <v>1</v>
      </c>
      <c r="H57" t="n">
        <v>1</v>
      </c>
      <c r="I57" t="n">
        <v>0</v>
      </c>
      <c r="J57" t="n">
        <v>0</v>
      </c>
      <c r="K57" t="n">
        <v>1</v>
      </c>
      <c r="L57" t="n">
        <v>0</v>
      </c>
      <c r="M57" t="n">
        <v>0</v>
      </c>
      <c r="N57" t="n">
        <v>0</v>
      </c>
      <c r="O57" t="n">
        <v>1</v>
      </c>
      <c r="P57" t="n">
        <v>1</v>
      </c>
      <c r="Q57" t="n">
        <v>1</v>
      </c>
      <c r="R57" s="2" t="inlineStr">
        <is>
          <t>Bombmurkla</t>
        </is>
      </c>
      <c r="S57">
        <f>HYPERLINK("https://klasma.github.io/Logging_0580/artfynd/A 22040-2023 artfynd.xlsx", "A 22040-2023")</f>
        <v/>
      </c>
      <c r="T57">
        <f>HYPERLINK("https://klasma.github.io/Logging_0580/kartor/A 22040-2023 karta.png", "A 22040-2023")</f>
        <v/>
      </c>
      <c r="V57">
        <f>HYPERLINK("https://klasma.github.io/Logging_0580/klagomål/A 22040-2023 FSC-klagomål.docx", "A 22040-2023")</f>
        <v/>
      </c>
      <c r="W57">
        <f>HYPERLINK("https://klasma.github.io/Logging_0580/klagomålsmail/A 22040-2023 FSC-klagomål mail.docx", "A 22040-2023")</f>
        <v/>
      </c>
      <c r="X57">
        <f>HYPERLINK("https://klasma.github.io/Logging_0580/tillsyn/A 22040-2023 tillsynsbegäran.docx", "A 22040-2023")</f>
        <v/>
      </c>
      <c r="Y57">
        <f>HYPERLINK("https://klasma.github.io/Logging_0580/tillsynsmail/A 22040-2023 tillsynsbegäran mail.docx", "A 22040-2023")</f>
        <v/>
      </c>
    </row>
    <row r="58" ht="15" customHeight="1">
      <c r="A58" t="inlineStr">
        <is>
          <t>A 1299-2025</t>
        </is>
      </c>
      <c r="B58" s="1" t="n">
        <v>45667.53913194445</v>
      </c>
      <c r="C58" s="1" t="n">
        <v>45879</v>
      </c>
      <c r="D58" t="inlineStr">
        <is>
          <t>ÖSTERGÖTLANDS LÄN</t>
        </is>
      </c>
      <c r="E58" t="inlineStr">
        <is>
          <t>LINKÖPING</t>
        </is>
      </c>
      <c r="G58" t="n">
        <v>8.9</v>
      </c>
      <c r="H58" t="n">
        <v>0</v>
      </c>
      <c r="I58" t="n">
        <v>0</v>
      </c>
      <c r="J58" t="n">
        <v>1</v>
      </c>
      <c r="K58" t="n">
        <v>0</v>
      </c>
      <c r="L58" t="n">
        <v>0</v>
      </c>
      <c r="M58" t="n">
        <v>0</v>
      </c>
      <c r="N58" t="n">
        <v>0</v>
      </c>
      <c r="O58" t="n">
        <v>1</v>
      </c>
      <c r="P58" t="n">
        <v>0</v>
      </c>
      <c r="Q58" t="n">
        <v>1</v>
      </c>
      <c r="R58" s="2" t="inlineStr">
        <is>
          <t>Storgröe</t>
        </is>
      </c>
      <c r="S58">
        <f>HYPERLINK("https://klasma.github.io/Logging_0580/artfynd/A 1299-2025 artfynd.xlsx", "A 1299-2025")</f>
        <v/>
      </c>
      <c r="T58">
        <f>HYPERLINK("https://klasma.github.io/Logging_0580/kartor/A 1299-2025 karta.png", "A 1299-2025")</f>
        <v/>
      </c>
      <c r="V58">
        <f>HYPERLINK("https://klasma.github.io/Logging_0580/klagomål/A 1299-2025 FSC-klagomål.docx", "A 1299-2025")</f>
        <v/>
      </c>
      <c r="W58">
        <f>HYPERLINK("https://klasma.github.io/Logging_0580/klagomålsmail/A 1299-2025 FSC-klagomål mail.docx", "A 1299-2025")</f>
        <v/>
      </c>
      <c r="X58">
        <f>HYPERLINK("https://klasma.github.io/Logging_0580/tillsyn/A 1299-2025 tillsynsbegäran.docx", "A 1299-2025")</f>
        <v/>
      </c>
      <c r="Y58">
        <f>HYPERLINK("https://klasma.github.io/Logging_0580/tillsynsmail/A 1299-2025 tillsynsbegäran mail.docx", "A 1299-2025")</f>
        <v/>
      </c>
    </row>
    <row r="59" ht="15" customHeight="1">
      <c r="A59" t="inlineStr">
        <is>
          <t>A 1213-2023</t>
        </is>
      </c>
      <c r="B59" s="1" t="n">
        <v>44930</v>
      </c>
      <c r="C59" s="1" t="n">
        <v>45879</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54835-2023</t>
        </is>
      </c>
      <c r="B60" s="1" t="n">
        <v>45236</v>
      </c>
      <c r="C60" s="1" t="n">
        <v>45879</v>
      </c>
      <c r="D60" t="inlineStr">
        <is>
          <t>ÖSTERGÖTLANDS LÄN</t>
        </is>
      </c>
      <c r="E60" t="inlineStr">
        <is>
          <t>LINKÖPING</t>
        </is>
      </c>
      <c r="G60" t="n">
        <v>2</v>
      </c>
      <c r="H60" t="n">
        <v>1</v>
      </c>
      <c r="I60" t="n">
        <v>0</v>
      </c>
      <c r="J60" t="n">
        <v>0</v>
      </c>
      <c r="K60" t="n">
        <v>0</v>
      </c>
      <c r="L60" t="n">
        <v>0</v>
      </c>
      <c r="M60" t="n">
        <v>0</v>
      </c>
      <c r="N60" t="n">
        <v>0</v>
      </c>
      <c r="O60" t="n">
        <v>0</v>
      </c>
      <c r="P60" t="n">
        <v>0</v>
      </c>
      <c r="Q60" t="n">
        <v>1</v>
      </c>
      <c r="R60" s="2" t="inlineStr">
        <is>
          <t>Sparvuggla</t>
        </is>
      </c>
      <c r="S60">
        <f>HYPERLINK("https://klasma.github.io/Logging_0580/artfynd/A 54835-2023 artfynd.xlsx", "A 54835-2023")</f>
        <v/>
      </c>
      <c r="T60">
        <f>HYPERLINK("https://klasma.github.io/Logging_0580/kartor/A 54835-2023 karta.png", "A 54835-2023")</f>
        <v/>
      </c>
      <c r="V60">
        <f>HYPERLINK("https://klasma.github.io/Logging_0580/klagomål/A 54835-2023 FSC-klagomål.docx", "A 54835-2023")</f>
        <v/>
      </c>
      <c r="W60">
        <f>HYPERLINK("https://klasma.github.io/Logging_0580/klagomålsmail/A 54835-2023 FSC-klagomål mail.docx", "A 54835-2023")</f>
        <v/>
      </c>
      <c r="X60">
        <f>HYPERLINK("https://klasma.github.io/Logging_0580/tillsyn/A 54835-2023 tillsynsbegäran.docx", "A 54835-2023")</f>
        <v/>
      </c>
      <c r="Y60">
        <f>HYPERLINK("https://klasma.github.io/Logging_0580/tillsynsmail/A 54835-2023 tillsynsbegäran mail.docx", "A 54835-2023")</f>
        <v/>
      </c>
      <c r="Z60">
        <f>HYPERLINK("https://klasma.github.io/Logging_0580/fåglar/A 54835-2023 prioriterade fågelarter.docx", "A 54835-2023")</f>
        <v/>
      </c>
    </row>
    <row r="61" ht="15" customHeight="1">
      <c r="A61" t="inlineStr">
        <is>
          <t>A 34881-2023</t>
        </is>
      </c>
      <c r="B61" s="1" t="n">
        <v>45140</v>
      </c>
      <c r="C61" s="1" t="n">
        <v>45879</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Tallticka</t>
        </is>
      </c>
      <c r="S61">
        <f>HYPERLINK("https://klasma.github.io/Logging_0580/artfynd/A 34881-2023 artfynd.xlsx", "A 34881-2023")</f>
        <v/>
      </c>
      <c r="T61">
        <f>HYPERLINK("https://klasma.github.io/Logging_0580/kartor/A 34881-2023 karta.png", "A 34881-2023")</f>
        <v/>
      </c>
      <c r="U61">
        <f>HYPERLINK("https://klasma.github.io/Logging_0580/knärot/A 34881-2023 karta knärot.png", "A 34881-2023")</f>
        <v/>
      </c>
      <c r="V61">
        <f>HYPERLINK("https://klasma.github.io/Logging_0580/klagomål/A 34881-2023 FSC-klagomål.docx", "A 34881-2023")</f>
        <v/>
      </c>
      <c r="W61">
        <f>HYPERLINK("https://klasma.github.io/Logging_0580/klagomålsmail/A 34881-2023 FSC-klagomål mail.docx", "A 34881-2023")</f>
        <v/>
      </c>
      <c r="X61">
        <f>HYPERLINK("https://klasma.github.io/Logging_0580/tillsyn/A 34881-2023 tillsynsbegäran.docx", "A 34881-2023")</f>
        <v/>
      </c>
      <c r="Y61">
        <f>HYPERLINK("https://klasma.github.io/Logging_0580/tillsynsmail/A 34881-2023 tillsynsbegäran mail.docx", "A 34881-2023")</f>
        <v/>
      </c>
    </row>
    <row r="62" ht="15" customHeight="1">
      <c r="A62" t="inlineStr">
        <is>
          <t>A 22526-2025</t>
        </is>
      </c>
      <c r="B62" s="1" t="n">
        <v>45786.78096064815</v>
      </c>
      <c r="C62" s="1" t="n">
        <v>45879</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41749-2023</t>
        </is>
      </c>
      <c r="B63" s="1" t="n">
        <v>45176</v>
      </c>
      <c r="C63" s="1" t="n">
        <v>45879</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41749-2023 artfynd.xlsx", "A 41749-2023")</f>
        <v/>
      </c>
      <c r="T63">
        <f>HYPERLINK("https://klasma.github.io/Logging_0580/kartor/A 41749-2023 karta.png", "A 41749-2023")</f>
        <v/>
      </c>
      <c r="V63">
        <f>HYPERLINK("https://klasma.github.io/Logging_0580/klagomål/A 41749-2023 FSC-klagomål.docx", "A 41749-2023")</f>
        <v/>
      </c>
      <c r="W63">
        <f>HYPERLINK("https://klasma.github.io/Logging_0580/klagomålsmail/A 41749-2023 FSC-klagomål mail.docx", "A 41749-2023")</f>
        <v/>
      </c>
      <c r="X63">
        <f>HYPERLINK("https://klasma.github.io/Logging_0580/tillsyn/A 41749-2023 tillsynsbegäran.docx", "A 41749-2023")</f>
        <v/>
      </c>
      <c r="Y63">
        <f>HYPERLINK("https://klasma.github.io/Logging_0580/tillsynsmail/A 41749-2023 tillsynsbegäran mail.docx", "A 41749-2023")</f>
        <v/>
      </c>
    </row>
    <row r="64" ht="15" customHeight="1">
      <c r="A64" t="inlineStr">
        <is>
          <t>A 19103-2021</t>
        </is>
      </c>
      <c r="B64" s="1" t="n">
        <v>44308</v>
      </c>
      <c r="C64" s="1" t="n">
        <v>45879</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45317-2023</t>
        </is>
      </c>
      <c r="B65" s="1" t="n">
        <v>45191.74868055555</v>
      </c>
      <c r="C65" s="1" t="n">
        <v>45879</v>
      </c>
      <c r="D65" t="inlineStr">
        <is>
          <t>ÖSTERGÖTLANDS LÄN</t>
        </is>
      </c>
      <c r="E65" t="inlineStr">
        <is>
          <t>LINKÖPING</t>
        </is>
      </c>
      <c r="F65" t="inlineStr">
        <is>
          <t>Allmännings- och besparingsskogar</t>
        </is>
      </c>
      <c r="G65" t="n">
        <v>29.3</v>
      </c>
      <c r="H65" t="n">
        <v>0</v>
      </c>
      <c r="I65" t="n">
        <v>0</v>
      </c>
      <c r="J65" t="n">
        <v>1</v>
      </c>
      <c r="K65" t="n">
        <v>0</v>
      </c>
      <c r="L65" t="n">
        <v>0</v>
      </c>
      <c r="M65" t="n">
        <v>0</v>
      </c>
      <c r="N65" t="n">
        <v>0</v>
      </c>
      <c r="O65" t="n">
        <v>1</v>
      </c>
      <c r="P65" t="n">
        <v>0</v>
      </c>
      <c r="Q65" t="n">
        <v>1</v>
      </c>
      <c r="R65" s="2" t="inlineStr">
        <is>
          <t>Svinrot</t>
        </is>
      </c>
      <c r="S65">
        <f>HYPERLINK("https://klasma.github.io/Logging_0580/artfynd/A 45317-2023 artfynd.xlsx", "A 45317-2023")</f>
        <v/>
      </c>
      <c r="T65">
        <f>HYPERLINK("https://klasma.github.io/Logging_0580/kartor/A 45317-2023 karta.png", "A 45317-2023")</f>
        <v/>
      </c>
      <c r="V65">
        <f>HYPERLINK("https://klasma.github.io/Logging_0580/klagomål/A 45317-2023 FSC-klagomål.docx", "A 45317-2023")</f>
        <v/>
      </c>
      <c r="W65">
        <f>HYPERLINK("https://klasma.github.io/Logging_0580/klagomålsmail/A 45317-2023 FSC-klagomål mail.docx", "A 45317-2023")</f>
        <v/>
      </c>
      <c r="X65">
        <f>HYPERLINK("https://klasma.github.io/Logging_0580/tillsyn/A 45317-2023 tillsynsbegäran.docx", "A 45317-2023")</f>
        <v/>
      </c>
      <c r="Y65">
        <f>HYPERLINK("https://klasma.github.io/Logging_0580/tillsynsmail/A 45317-2023 tillsynsbegäran mail.docx", "A 45317-2023")</f>
        <v/>
      </c>
    </row>
    <row r="66" ht="15" customHeight="1">
      <c r="A66" t="inlineStr">
        <is>
          <t>A 48984-2020</t>
        </is>
      </c>
      <c r="B66" s="1" t="n">
        <v>44104</v>
      </c>
      <c r="C66" s="1" t="n">
        <v>45879</v>
      </c>
      <c r="D66" t="inlineStr">
        <is>
          <t>ÖSTERGÖTLANDS LÄN</t>
        </is>
      </c>
      <c r="E66" t="inlineStr">
        <is>
          <t>LINKÖPING</t>
        </is>
      </c>
      <c r="G66" t="n">
        <v>2.8</v>
      </c>
      <c r="H66" t="n">
        <v>0</v>
      </c>
      <c r="I66" t="n">
        <v>0</v>
      </c>
      <c r="J66" t="n">
        <v>1</v>
      </c>
      <c r="K66" t="n">
        <v>0</v>
      </c>
      <c r="L66" t="n">
        <v>0</v>
      </c>
      <c r="M66" t="n">
        <v>0</v>
      </c>
      <c r="N66" t="n">
        <v>0</v>
      </c>
      <c r="O66" t="n">
        <v>1</v>
      </c>
      <c r="P66" t="n">
        <v>0</v>
      </c>
      <c r="Q66" t="n">
        <v>1</v>
      </c>
      <c r="R66" s="2" t="inlineStr">
        <is>
          <t>Vårstarr</t>
        </is>
      </c>
      <c r="S66">
        <f>HYPERLINK("https://klasma.github.io/Logging_0580/artfynd/A 48984-2020 artfynd.xlsx", "A 48984-2020")</f>
        <v/>
      </c>
      <c r="T66">
        <f>HYPERLINK("https://klasma.github.io/Logging_0580/kartor/A 48984-2020 karta.png", "A 48984-2020")</f>
        <v/>
      </c>
      <c r="V66">
        <f>HYPERLINK("https://klasma.github.io/Logging_0580/klagomål/A 48984-2020 FSC-klagomål.docx", "A 48984-2020")</f>
        <v/>
      </c>
      <c r="W66">
        <f>HYPERLINK("https://klasma.github.io/Logging_0580/klagomålsmail/A 48984-2020 FSC-klagomål mail.docx", "A 48984-2020")</f>
        <v/>
      </c>
      <c r="X66">
        <f>HYPERLINK("https://klasma.github.io/Logging_0580/tillsyn/A 48984-2020 tillsynsbegäran.docx", "A 48984-2020")</f>
        <v/>
      </c>
      <c r="Y66">
        <f>HYPERLINK("https://klasma.github.io/Logging_0580/tillsynsmail/A 48984-2020 tillsynsbegäran mail.docx", "A 48984-2020")</f>
        <v/>
      </c>
    </row>
    <row r="67" ht="15" customHeight="1">
      <c r="A67" t="inlineStr">
        <is>
          <t>A 20295-2025</t>
        </is>
      </c>
      <c r="B67" s="1" t="n">
        <v>45774.74846064814</v>
      </c>
      <c r="C67" s="1" t="n">
        <v>45879</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35948-2023</t>
        </is>
      </c>
      <c r="B68" s="1" t="n">
        <v>45148</v>
      </c>
      <c r="C68" s="1" t="n">
        <v>45879</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50806-2023</t>
        </is>
      </c>
      <c r="B69" s="1" t="n">
        <v>45217</v>
      </c>
      <c r="C69" s="1" t="n">
        <v>45879</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13694-2025</t>
        </is>
      </c>
      <c r="B70" s="1" t="n">
        <v>45737.32148148148</v>
      </c>
      <c r="C70" s="1" t="n">
        <v>45879</v>
      </c>
      <c r="D70" t="inlineStr">
        <is>
          <t>ÖSTERGÖTLANDS LÄN</t>
        </is>
      </c>
      <c r="E70" t="inlineStr">
        <is>
          <t>LINKÖPING</t>
        </is>
      </c>
      <c r="G70" t="n">
        <v>9.300000000000001</v>
      </c>
      <c r="H70" t="n">
        <v>1</v>
      </c>
      <c r="I70" t="n">
        <v>0</v>
      </c>
      <c r="J70" t="n">
        <v>0</v>
      </c>
      <c r="K70" t="n">
        <v>0</v>
      </c>
      <c r="L70" t="n">
        <v>0</v>
      </c>
      <c r="M70" t="n">
        <v>0</v>
      </c>
      <c r="N70" t="n">
        <v>0</v>
      </c>
      <c r="O70" t="n">
        <v>0</v>
      </c>
      <c r="P70" t="n">
        <v>0</v>
      </c>
      <c r="Q70" t="n">
        <v>1</v>
      </c>
      <c r="R70" s="2" t="inlineStr">
        <is>
          <t>Mattlummer</t>
        </is>
      </c>
      <c r="S70">
        <f>HYPERLINK("https://klasma.github.io/Logging_0580/artfynd/A 13694-2025 artfynd.xlsx", "A 13694-2025")</f>
        <v/>
      </c>
      <c r="T70">
        <f>HYPERLINK("https://klasma.github.io/Logging_0580/kartor/A 13694-2025 karta.png", "A 13694-2025")</f>
        <v/>
      </c>
      <c r="V70">
        <f>HYPERLINK("https://klasma.github.io/Logging_0580/klagomål/A 13694-2025 FSC-klagomål.docx", "A 13694-2025")</f>
        <v/>
      </c>
      <c r="W70">
        <f>HYPERLINK("https://klasma.github.io/Logging_0580/klagomålsmail/A 13694-2025 FSC-klagomål mail.docx", "A 13694-2025")</f>
        <v/>
      </c>
      <c r="X70">
        <f>HYPERLINK("https://klasma.github.io/Logging_0580/tillsyn/A 13694-2025 tillsynsbegäran.docx", "A 13694-2025")</f>
        <v/>
      </c>
      <c r="Y70">
        <f>HYPERLINK("https://klasma.github.io/Logging_0580/tillsynsmail/A 13694-2025 tillsynsbegäran mail.docx", "A 13694-2025")</f>
        <v/>
      </c>
    </row>
    <row r="71" ht="15" customHeight="1">
      <c r="A71" t="inlineStr">
        <is>
          <t>A 60573-2021</t>
        </is>
      </c>
      <c r="B71" s="1" t="n">
        <v>44496</v>
      </c>
      <c r="C71" s="1" t="n">
        <v>45879</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56651-2023</t>
        </is>
      </c>
      <c r="B72" s="1" t="n">
        <v>45243</v>
      </c>
      <c r="C72" s="1" t="n">
        <v>45879</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5984-2025</t>
        </is>
      </c>
      <c r="B73" s="1" t="n">
        <v>45695.55173611111</v>
      </c>
      <c r="C73" s="1" t="n">
        <v>45879</v>
      </c>
      <c r="D73" t="inlineStr">
        <is>
          <t>ÖSTERGÖTLANDS LÄN</t>
        </is>
      </c>
      <c r="E73" t="inlineStr">
        <is>
          <t>LINKÖPING</t>
        </is>
      </c>
      <c r="F73" t="inlineStr">
        <is>
          <t>Allmännings- och besparingsskogar</t>
        </is>
      </c>
      <c r="G73" t="n">
        <v>5.5</v>
      </c>
      <c r="H73" t="n">
        <v>0</v>
      </c>
      <c r="I73" t="n">
        <v>0</v>
      </c>
      <c r="J73" t="n">
        <v>1</v>
      </c>
      <c r="K73" t="n">
        <v>0</v>
      </c>
      <c r="L73" t="n">
        <v>0</v>
      </c>
      <c r="M73" t="n">
        <v>0</v>
      </c>
      <c r="N73" t="n">
        <v>0</v>
      </c>
      <c r="O73" t="n">
        <v>1</v>
      </c>
      <c r="P73" t="n">
        <v>0</v>
      </c>
      <c r="Q73" t="n">
        <v>1</v>
      </c>
      <c r="R73" s="2" t="inlineStr">
        <is>
          <t>Vanlig backsmörblomma</t>
        </is>
      </c>
      <c r="S73">
        <f>HYPERLINK("https://klasma.github.io/Logging_0580/artfynd/A 5984-2025 artfynd.xlsx", "A 5984-2025")</f>
        <v/>
      </c>
      <c r="T73">
        <f>HYPERLINK("https://klasma.github.io/Logging_0580/kartor/A 5984-2025 karta.png", "A 5984-2025")</f>
        <v/>
      </c>
      <c r="V73">
        <f>HYPERLINK("https://klasma.github.io/Logging_0580/klagomål/A 5984-2025 FSC-klagomål.docx", "A 5984-2025")</f>
        <v/>
      </c>
      <c r="W73">
        <f>HYPERLINK("https://klasma.github.io/Logging_0580/klagomålsmail/A 5984-2025 FSC-klagomål mail.docx", "A 5984-2025")</f>
        <v/>
      </c>
      <c r="X73">
        <f>HYPERLINK("https://klasma.github.io/Logging_0580/tillsyn/A 5984-2025 tillsynsbegäran.docx", "A 5984-2025")</f>
        <v/>
      </c>
      <c r="Y73">
        <f>HYPERLINK("https://klasma.github.io/Logging_0580/tillsynsmail/A 5984-2025 tillsynsbegäran mail.docx", "A 5984-2025")</f>
        <v/>
      </c>
    </row>
    <row r="74" ht="15" customHeight="1">
      <c r="A74" t="inlineStr">
        <is>
          <t>A 27403-2025</t>
        </is>
      </c>
      <c r="B74" s="1" t="n">
        <v>45812.72518518518</v>
      </c>
      <c r="C74" s="1" t="n">
        <v>45879</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62071-2023</t>
        </is>
      </c>
      <c r="B75" s="1" t="n">
        <v>45266.73542824074</v>
      </c>
      <c r="C75" s="1" t="n">
        <v>45879</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45879</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44930-2020</t>
        </is>
      </c>
      <c r="B77" s="1" t="n">
        <v>44088</v>
      </c>
      <c r="C77" s="1" t="n">
        <v>45879</v>
      </c>
      <c r="D77" t="inlineStr">
        <is>
          <t>ÖSTERGÖTLANDS LÄN</t>
        </is>
      </c>
      <c r="E77" t="inlineStr">
        <is>
          <t>LINKÖPING</t>
        </is>
      </c>
      <c r="G77" t="n">
        <v>2.6</v>
      </c>
      <c r="H77" t="n">
        <v>1</v>
      </c>
      <c r="I77" t="n">
        <v>0</v>
      </c>
      <c r="J77" t="n">
        <v>0</v>
      </c>
      <c r="K77" t="n">
        <v>1</v>
      </c>
      <c r="L77" t="n">
        <v>0</v>
      </c>
      <c r="M77" t="n">
        <v>0</v>
      </c>
      <c r="N77" t="n">
        <v>0</v>
      </c>
      <c r="O77" t="n">
        <v>1</v>
      </c>
      <c r="P77" t="n">
        <v>1</v>
      </c>
      <c r="Q77" t="n">
        <v>1</v>
      </c>
      <c r="R77" s="2" t="inlineStr">
        <is>
          <t>Knärot</t>
        </is>
      </c>
      <c r="S77">
        <f>HYPERLINK("https://klasma.github.io/Logging_0580/artfynd/A 44930-2020 artfynd.xlsx", "A 44930-2020")</f>
        <v/>
      </c>
      <c r="T77">
        <f>HYPERLINK("https://klasma.github.io/Logging_0580/kartor/A 44930-2020 karta.png", "A 44930-2020")</f>
        <v/>
      </c>
      <c r="U77">
        <f>HYPERLINK("https://klasma.github.io/Logging_0580/knärot/A 44930-2020 karta knärot.png", "A 44930-2020")</f>
        <v/>
      </c>
      <c r="V77">
        <f>HYPERLINK("https://klasma.github.io/Logging_0580/klagomål/A 44930-2020 FSC-klagomål.docx", "A 44930-2020")</f>
        <v/>
      </c>
      <c r="W77">
        <f>HYPERLINK("https://klasma.github.io/Logging_0580/klagomålsmail/A 44930-2020 FSC-klagomål mail.docx", "A 44930-2020")</f>
        <v/>
      </c>
      <c r="X77">
        <f>HYPERLINK("https://klasma.github.io/Logging_0580/tillsyn/A 44930-2020 tillsynsbegäran.docx", "A 44930-2020")</f>
        <v/>
      </c>
      <c r="Y77">
        <f>HYPERLINK("https://klasma.github.io/Logging_0580/tillsynsmail/A 44930-2020 tillsynsbegäran mail.docx", "A 44930-2020")</f>
        <v/>
      </c>
    </row>
    <row r="78" ht="15" customHeight="1">
      <c r="A78" t="inlineStr">
        <is>
          <t>A 17444-2025</t>
        </is>
      </c>
      <c r="B78" s="1" t="n">
        <v>45757.43452546297</v>
      </c>
      <c r="C78" s="1" t="n">
        <v>45879</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40309-2024</t>
        </is>
      </c>
      <c r="B79" s="1" t="n">
        <v>45554.724375</v>
      </c>
      <c r="C79" s="1" t="n">
        <v>45879</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15290-2025</t>
        </is>
      </c>
      <c r="B80" s="1" t="n">
        <v>45745.45288194445</v>
      </c>
      <c r="C80" s="1" t="n">
        <v>45879</v>
      </c>
      <c r="D80" t="inlineStr">
        <is>
          <t>ÖSTERGÖTLANDS LÄN</t>
        </is>
      </c>
      <c r="E80" t="inlineStr">
        <is>
          <t>LINKÖPING</t>
        </is>
      </c>
      <c r="G80" t="n">
        <v>18.4</v>
      </c>
      <c r="H80" t="n">
        <v>1</v>
      </c>
      <c r="I80" t="n">
        <v>0</v>
      </c>
      <c r="J80" t="n">
        <v>1</v>
      </c>
      <c r="K80" t="n">
        <v>0</v>
      </c>
      <c r="L80" t="n">
        <v>0</v>
      </c>
      <c r="M80" t="n">
        <v>0</v>
      </c>
      <c r="N80" t="n">
        <v>0</v>
      </c>
      <c r="O80" t="n">
        <v>1</v>
      </c>
      <c r="P80" t="n">
        <v>0</v>
      </c>
      <c r="Q80" t="n">
        <v>1</v>
      </c>
      <c r="R80" s="2" t="inlineStr">
        <is>
          <t>Havsörn</t>
        </is>
      </c>
      <c r="S80">
        <f>HYPERLINK("https://klasma.github.io/Logging_0580/artfynd/A 15290-2025 artfynd.xlsx", "A 15290-2025")</f>
        <v/>
      </c>
      <c r="T80">
        <f>HYPERLINK("https://klasma.github.io/Logging_0580/kartor/A 15290-2025 karta.png", "A 15290-2025")</f>
        <v/>
      </c>
      <c r="V80">
        <f>HYPERLINK("https://klasma.github.io/Logging_0580/klagomål/A 15290-2025 FSC-klagomål.docx", "A 15290-2025")</f>
        <v/>
      </c>
      <c r="W80">
        <f>HYPERLINK("https://klasma.github.io/Logging_0580/klagomålsmail/A 15290-2025 FSC-klagomål mail.docx", "A 15290-2025")</f>
        <v/>
      </c>
      <c r="X80">
        <f>HYPERLINK("https://klasma.github.io/Logging_0580/tillsyn/A 15290-2025 tillsynsbegäran.docx", "A 15290-2025")</f>
        <v/>
      </c>
      <c r="Y80">
        <f>HYPERLINK("https://klasma.github.io/Logging_0580/tillsynsmail/A 15290-2025 tillsynsbegäran mail.docx", "A 15290-2025")</f>
        <v/>
      </c>
      <c r="Z80">
        <f>HYPERLINK("https://klasma.github.io/Logging_0580/fåglar/A 15290-2025 prioriterade fågelarter.docx", "A 15290-2025")</f>
        <v/>
      </c>
    </row>
    <row r="81" ht="15" customHeight="1">
      <c r="A81" t="inlineStr">
        <is>
          <t>A 43726-2020</t>
        </is>
      </c>
      <c r="B81" s="1" t="n">
        <v>44082</v>
      </c>
      <c r="C81" s="1" t="n">
        <v>45879</v>
      </c>
      <c r="D81" t="inlineStr">
        <is>
          <t>ÖSTERGÖTLANDS LÄN</t>
        </is>
      </c>
      <c r="E81" t="inlineStr">
        <is>
          <t>LINKÖPING</t>
        </is>
      </c>
      <c r="G81" t="n">
        <v>1.4</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45879</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45879</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43339-2020</t>
        </is>
      </c>
      <c r="B84" s="1" t="n">
        <v>44077</v>
      </c>
      <c r="C84" s="1" t="n">
        <v>45879</v>
      </c>
      <c r="D84" t="inlineStr">
        <is>
          <t>ÖSTERGÖTLANDS LÄN</t>
        </is>
      </c>
      <c r="E84" t="inlineStr">
        <is>
          <t>LINKÖPING</t>
        </is>
      </c>
      <c r="G84" t="n">
        <v>4.2</v>
      </c>
      <c r="H84" t="n">
        <v>0</v>
      </c>
      <c r="I84" t="n">
        <v>0</v>
      </c>
      <c r="J84" t="n">
        <v>0</v>
      </c>
      <c r="K84" t="n">
        <v>0</v>
      </c>
      <c r="L84" t="n">
        <v>0</v>
      </c>
      <c r="M84" t="n">
        <v>0</v>
      </c>
      <c r="N84" t="n">
        <v>0</v>
      </c>
      <c r="O84" t="n">
        <v>0</v>
      </c>
      <c r="P84" t="n">
        <v>0</v>
      </c>
      <c r="Q84" t="n">
        <v>0</v>
      </c>
      <c r="R84" s="2" t="inlineStr"/>
    </row>
    <row r="85" ht="15" customHeight="1">
      <c r="A85" t="inlineStr">
        <is>
          <t>A 5008-2021</t>
        </is>
      </c>
      <c r="B85" s="1" t="n">
        <v>44228</v>
      </c>
      <c r="C85" s="1" t="n">
        <v>45879</v>
      </c>
      <c r="D85" t="inlineStr">
        <is>
          <t>ÖSTERGÖTLANDS LÄN</t>
        </is>
      </c>
      <c r="E85" t="inlineStr">
        <is>
          <t>LINKÖPING</t>
        </is>
      </c>
      <c r="F85" t="inlineStr">
        <is>
          <t>Övriga Aktiebolag</t>
        </is>
      </c>
      <c r="G85" t="n">
        <v>0.3</v>
      </c>
      <c r="H85" t="n">
        <v>0</v>
      </c>
      <c r="I85" t="n">
        <v>0</v>
      </c>
      <c r="J85" t="n">
        <v>0</v>
      </c>
      <c r="K85" t="n">
        <v>0</v>
      </c>
      <c r="L85" t="n">
        <v>0</v>
      </c>
      <c r="M85" t="n">
        <v>0</v>
      </c>
      <c r="N85" t="n">
        <v>0</v>
      </c>
      <c r="O85" t="n">
        <v>0</v>
      </c>
      <c r="P85" t="n">
        <v>0</v>
      </c>
      <c r="Q85" t="n">
        <v>0</v>
      </c>
      <c r="R85" s="2" t="inlineStr"/>
    </row>
    <row r="86" ht="15" customHeight="1">
      <c r="A86" t="inlineStr">
        <is>
          <t>A 56239-2021</t>
        </is>
      </c>
      <c r="B86" s="1" t="n">
        <v>44478</v>
      </c>
      <c r="C86" s="1" t="n">
        <v>45879</v>
      </c>
      <c r="D86" t="inlineStr">
        <is>
          <t>ÖSTERGÖTLANDS LÄN</t>
        </is>
      </c>
      <c r="E86" t="inlineStr">
        <is>
          <t>LINKÖPING</t>
        </is>
      </c>
      <c r="F86" t="inlineStr">
        <is>
          <t>Övriga Aktiebolag</t>
        </is>
      </c>
      <c r="G86" t="n">
        <v>3</v>
      </c>
      <c r="H86" t="n">
        <v>0</v>
      </c>
      <c r="I86" t="n">
        <v>0</v>
      </c>
      <c r="J86" t="n">
        <v>0</v>
      </c>
      <c r="K86" t="n">
        <v>0</v>
      </c>
      <c r="L86" t="n">
        <v>0</v>
      </c>
      <c r="M86" t="n">
        <v>0</v>
      </c>
      <c r="N86" t="n">
        <v>0</v>
      </c>
      <c r="O86" t="n">
        <v>0</v>
      </c>
      <c r="P86" t="n">
        <v>0</v>
      </c>
      <c r="Q86" t="n">
        <v>0</v>
      </c>
      <c r="R86" s="2" t="inlineStr"/>
    </row>
    <row r="87" ht="15" customHeight="1">
      <c r="A87" t="inlineStr">
        <is>
          <t>A 7289-2021</t>
        </is>
      </c>
      <c r="B87" s="1" t="n">
        <v>44238</v>
      </c>
      <c r="C87" s="1" t="n">
        <v>45879</v>
      </c>
      <c r="D87" t="inlineStr">
        <is>
          <t>ÖSTERGÖTLANDS LÄN</t>
        </is>
      </c>
      <c r="E87" t="inlineStr">
        <is>
          <t>LINKÖPING</t>
        </is>
      </c>
      <c r="G87" t="n">
        <v>0.7</v>
      </c>
      <c r="H87" t="n">
        <v>0</v>
      </c>
      <c r="I87" t="n">
        <v>0</v>
      </c>
      <c r="J87" t="n">
        <v>0</v>
      </c>
      <c r="K87" t="n">
        <v>0</v>
      </c>
      <c r="L87" t="n">
        <v>0</v>
      </c>
      <c r="M87" t="n">
        <v>0</v>
      </c>
      <c r="N87" t="n">
        <v>0</v>
      </c>
      <c r="O87" t="n">
        <v>0</v>
      </c>
      <c r="P87" t="n">
        <v>0</v>
      </c>
      <c r="Q87" t="n">
        <v>0</v>
      </c>
      <c r="R87" s="2" t="inlineStr"/>
    </row>
    <row r="88" ht="15" customHeight="1">
      <c r="A88" t="inlineStr">
        <is>
          <t>A 6958-2021</t>
        </is>
      </c>
      <c r="B88" s="1" t="n">
        <v>44237</v>
      </c>
      <c r="C88" s="1" t="n">
        <v>45879</v>
      </c>
      <c r="D88" t="inlineStr">
        <is>
          <t>ÖSTERGÖTLANDS LÄN</t>
        </is>
      </c>
      <c r="E88" t="inlineStr">
        <is>
          <t>LINKÖPING</t>
        </is>
      </c>
      <c r="G88" t="n">
        <v>0.6</v>
      </c>
      <c r="H88" t="n">
        <v>0</v>
      </c>
      <c r="I88" t="n">
        <v>0</v>
      </c>
      <c r="J88" t="n">
        <v>0</v>
      </c>
      <c r="K88" t="n">
        <v>0</v>
      </c>
      <c r="L88" t="n">
        <v>0</v>
      </c>
      <c r="M88" t="n">
        <v>0</v>
      </c>
      <c r="N88" t="n">
        <v>0</v>
      </c>
      <c r="O88" t="n">
        <v>0</v>
      </c>
      <c r="P88" t="n">
        <v>0</v>
      </c>
      <c r="Q88" t="n">
        <v>0</v>
      </c>
      <c r="R88" s="2" t="inlineStr"/>
    </row>
    <row r="89" ht="15" customHeight="1">
      <c r="A89" t="inlineStr">
        <is>
          <t>A 398-2021</t>
        </is>
      </c>
      <c r="B89" s="1" t="n">
        <v>44201</v>
      </c>
      <c r="C89" s="1" t="n">
        <v>45879</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67322-2021</t>
        </is>
      </c>
      <c r="B90" s="1" t="n">
        <v>44523</v>
      </c>
      <c r="C90" s="1" t="n">
        <v>45879</v>
      </c>
      <c r="D90" t="inlineStr">
        <is>
          <t>ÖSTERGÖTLANDS LÄN</t>
        </is>
      </c>
      <c r="E90" t="inlineStr">
        <is>
          <t>LINKÖPING</t>
        </is>
      </c>
      <c r="G90" t="n">
        <v>0.8</v>
      </c>
      <c r="H90" t="n">
        <v>0</v>
      </c>
      <c r="I90" t="n">
        <v>0</v>
      </c>
      <c r="J90" t="n">
        <v>0</v>
      </c>
      <c r="K90" t="n">
        <v>0</v>
      </c>
      <c r="L90" t="n">
        <v>0</v>
      </c>
      <c r="M90" t="n">
        <v>0</v>
      </c>
      <c r="N90" t="n">
        <v>0</v>
      </c>
      <c r="O90" t="n">
        <v>0</v>
      </c>
      <c r="P90" t="n">
        <v>0</v>
      </c>
      <c r="Q90" t="n">
        <v>0</v>
      </c>
      <c r="R90" s="2" t="inlineStr"/>
    </row>
    <row r="91" ht="15" customHeight="1">
      <c r="A91" t="inlineStr">
        <is>
          <t>A 42557-2020</t>
        </is>
      </c>
      <c r="B91" s="1" t="n">
        <v>44077</v>
      </c>
      <c r="C91" s="1" t="n">
        <v>45879</v>
      </c>
      <c r="D91" t="inlineStr">
        <is>
          <t>ÖSTERGÖTLANDS LÄN</t>
        </is>
      </c>
      <c r="E91" t="inlineStr">
        <is>
          <t>LINKÖPING</t>
        </is>
      </c>
      <c r="G91" t="n">
        <v>0.2</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45879</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7840-2022</t>
        </is>
      </c>
      <c r="B93" s="1" t="n">
        <v>44608</v>
      </c>
      <c r="C93" s="1" t="n">
        <v>45879</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45879</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45879</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45879</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45879</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45879</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47319-2020</t>
        </is>
      </c>
      <c r="B99" s="1" t="n">
        <v>44095</v>
      </c>
      <c r="C99" s="1" t="n">
        <v>45879</v>
      </c>
      <c r="D99" t="inlineStr">
        <is>
          <t>ÖSTERGÖTLANDS LÄN</t>
        </is>
      </c>
      <c r="E99" t="inlineStr">
        <is>
          <t>LINKÖPING</t>
        </is>
      </c>
      <c r="F99" t="inlineStr">
        <is>
          <t>Kommuner</t>
        </is>
      </c>
      <c r="G99" t="n">
        <v>1.3</v>
      </c>
      <c r="H99" t="n">
        <v>0</v>
      </c>
      <c r="I99" t="n">
        <v>0</v>
      </c>
      <c r="J99" t="n">
        <v>0</v>
      </c>
      <c r="K99" t="n">
        <v>0</v>
      </c>
      <c r="L99" t="n">
        <v>0</v>
      </c>
      <c r="M99" t="n">
        <v>0</v>
      </c>
      <c r="N99" t="n">
        <v>0</v>
      </c>
      <c r="O99" t="n">
        <v>0</v>
      </c>
      <c r="P99" t="n">
        <v>0</v>
      </c>
      <c r="Q99" t="n">
        <v>0</v>
      </c>
      <c r="R99" s="2" t="inlineStr"/>
    </row>
    <row r="100" ht="15" customHeight="1">
      <c r="A100" t="inlineStr">
        <is>
          <t>A 1581-2022</t>
        </is>
      </c>
      <c r="B100" s="1" t="n">
        <v>44573</v>
      </c>
      <c r="C100" s="1" t="n">
        <v>45879</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46234-2022</t>
        </is>
      </c>
      <c r="B101" s="1" t="n">
        <v>44846</v>
      </c>
      <c r="C101" s="1" t="n">
        <v>45879</v>
      </c>
      <c r="D101" t="inlineStr">
        <is>
          <t>ÖSTERGÖTLANDS LÄN</t>
        </is>
      </c>
      <c r="E101" t="inlineStr">
        <is>
          <t>LINKÖPING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45879</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159-2022</t>
        </is>
      </c>
      <c r="B103" s="1" t="n">
        <v>44564</v>
      </c>
      <c r="C103" s="1" t="n">
        <v>45879</v>
      </c>
      <c r="D103" t="inlineStr">
        <is>
          <t>ÖSTERGÖTLANDS LÄN</t>
        </is>
      </c>
      <c r="E103" t="inlineStr">
        <is>
          <t>LINKÖPING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45879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45879</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45879</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32433-2022</t>
        </is>
      </c>
      <c r="B107" s="1" t="n">
        <v>44782.48431712963</v>
      </c>
      <c r="C107" s="1" t="n">
        <v>45879</v>
      </c>
      <c r="D107" t="inlineStr">
        <is>
          <t>ÖSTERGÖTLANDS LÄN</t>
        </is>
      </c>
      <c r="E107" t="inlineStr">
        <is>
          <t>LINKÖPING</t>
        </is>
      </c>
      <c r="G107" t="n">
        <v>11.3</v>
      </c>
      <c r="H107" t="n">
        <v>0</v>
      </c>
      <c r="I107" t="n">
        <v>0</v>
      </c>
      <c r="J107" t="n">
        <v>0</v>
      </c>
      <c r="K107" t="n">
        <v>0</v>
      </c>
      <c r="L107" t="n">
        <v>0</v>
      </c>
      <c r="M107" t="n">
        <v>0</v>
      </c>
      <c r="N107" t="n">
        <v>0</v>
      </c>
      <c r="O107" t="n">
        <v>0</v>
      </c>
      <c r="P107" t="n">
        <v>0</v>
      </c>
      <c r="Q107" t="n">
        <v>0</v>
      </c>
      <c r="R107" s="2" t="inlineStr"/>
    </row>
    <row r="108" ht="15" customHeight="1">
      <c r="A108" t="inlineStr">
        <is>
          <t>A 38143-2021</t>
        </is>
      </c>
      <c r="B108" s="1" t="n">
        <v>44405</v>
      </c>
      <c r="C108" s="1" t="n">
        <v>45879</v>
      </c>
      <c r="D108" t="inlineStr">
        <is>
          <t>ÖSTERGÖTLANDS LÄN</t>
        </is>
      </c>
      <c r="E108" t="inlineStr">
        <is>
          <t>LINKÖPING</t>
        </is>
      </c>
      <c r="G108" t="n">
        <v>4.1</v>
      </c>
      <c r="H108" t="n">
        <v>0</v>
      </c>
      <c r="I108" t="n">
        <v>0</v>
      </c>
      <c r="J108" t="n">
        <v>0</v>
      </c>
      <c r="K108" t="n">
        <v>0</v>
      </c>
      <c r="L108" t="n">
        <v>0</v>
      </c>
      <c r="M108" t="n">
        <v>0</v>
      </c>
      <c r="N108" t="n">
        <v>0</v>
      </c>
      <c r="O108" t="n">
        <v>0</v>
      </c>
      <c r="P108" t="n">
        <v>0</v>
      </c>
      <c r="Q108" t="n">
        <v>0</v>
      </c>
      <c r="R108" s="2" t="inlineStr"/>
    </row>
    <row r="109" ht="15" customHeight="1">
      <c r="A109" t="inlineStr">
        <is>
          <t>A 38254-2021</t>
        </is>
      </c>
      <c r="B109" s="1" t="n">
        <v>44405</v>
      </c>
      <c r="C109" s="1" t="n">
        <v>45879</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261-2021</t>
        </is>
      </c>
      <c r="B110" s="1" t="n">
        <v>44200</v>
      </c>
      <c r="C110" s="1" t="n">
        <v>45879</v>
      </c>
      <c r="D110" t="inlineStr">
        <is>
          <t>ÖSTERGÖTLANDS LÄN</t>
        </is>
      </c>
      <c r="E110" t="inlineStr">
        <is>
          <t>LINKÖPING</t>
        </is>
      </c>
      <c r="G110" t="n">
        <v>3.1</v>
      </c>
      <c r="H110" t="n">
        <v>0</v>
      </c>
      <c r="I110" t="n">
        <v>0</v>
      </c>
      <c r="J110" t="n">
        <v>0</v>
      </c>
      <c r="K110" t="n">
        <v>0</v>
      </c>
      <c r="L110" t="n">
        <v>0</v>
      </c>
      <c r="M110" t="n">
        <v>0</v>
      </c>
      <c r="N110" t="n">
        <v>0</v>
      </c>
      <c r="O110" t="n">
        <v>0</v>
      </c>
      <c r="P110" t="n">
        <v>0</v>
      </c>
      <c r="Q110" t="n">
        <v>0</v>
      </c>
      <c r="R110" s="2" t="inlineStr"/>
    </row>
    <row r="111" ht="15" customHeight="1">
      <c r="A111" t="inlineStr">
        <is>
          <t>A 31703-2022</t>
        </is>
      </c>
      <c r="B111" s="1" t="n">
        <v>44776</v>
      </c>
      <c r="C111" s="1" t="n">
        <v>45879</v>
      </c>
      <c r="D111" t="inlineStr">
        <is>
          <t>ÖSTERGÖTLANDS LÄN</t>
        </is>
      </c>
      <c r="E111" t="inlineStr">
        <is>
          <t>LINKÖPING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67120-2020</t>
        </is>
      </c>
      <c r="B112" s="1" t="n">
        <v>44180</v>
      </c>
      <c r="C112" s="1" t="n">
        <v>45879</v>
      </c>
      <c r="D112" t="inlineStr">
        <is>
          <t>ÖSTERGÖTLANDS LÄN</t>
        </is>
      </c>
      <c r="E112" t="inlineStr">
        <is>
          <t>LINKÖPING</t>
        </is>
      </c>
      <c r="F112" t="inlineStr">
        <is>
          <t>Övriga statliga verk och myndigheter</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45879</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45879</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45879</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45879</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44674-2020</t>
        </is>
      </c>
      <c r="B117" s="1" t="n">
        <v>44085</v>
      </c>
      <c r="C117" s="1" t="n">
        <v>45879</v>
      </c>
      <c r="D117" t="inlineStr">
        <is>
          <t>ÖSTERGÖTLANDS LÄN</t>
        </is>
      </c>
      <c r="E117" t="inlineStr">
        <is>
          <t>LINKÖPING</t>
        </is>
      </c>
      <c r="G117" t="n">
        <v>3.6</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45879</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45879</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45879</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50971-2020</t>
        </is>
      </c>
      <c r="B121" s="1" t="n">
        <v>44111</v>
      </c>
      <c r="C121" s="1" t="n">
        <v>45879</v>
      </c>
      <c r="D121" t="inlineStr">
        <is>
          <t>ÖSTERGÖTLANDS LÄN</t>
        </is>
      </c>
      <c r="E121" t="inlineStr">
        <is>
          <t>LINKÖPING</t>
        </is>
      </c>
      <c r="G121" t="n">
        <v>0.2</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45879</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45879</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45879</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45879</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45879</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45879</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45879</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45879</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45879</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45879</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45879</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45879</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45879</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45879</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45879</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45879</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45879</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45879</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45879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45879</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65399-2021</t>
        </is>
      </c>
      <c r="B142" s="1" t="n">
        <v>44515</v>
      </c>
      <c r="C142" s="1" t="n">
        <v>45879</v>
      </c>
      <c r="D142" t="inlineStr">
        <is>
          <t>ÖSTERGÖTLANDS LÄN</t>
        </is>
      </c>
      <c r="E142" t="inlineStr">
        <is>
          <t>LINKÖPING</t>
        </is>
      </c>
      <c r="F142" t="inlineStr">
        <is>
          <t>Övriga statliga verk och myndigheter</t>
        </is>
      </c>
      <c r="G142" t="n">
        <v>12.8</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45879</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384-2021</t>
        </is>
      </c>
      <c r="B144" s="1" t="n">
        <v>44201.57689814815</v>
      </c>
      <c r="C144" s="1" t="n">
        <v>45879</v>
      </c>
      <c r="D144" t="inlineStr">
        <is>
          <t>ÖSTERGÖTLANDS LÄN</t>
        </is>
      </c>
      <c r="E144" t="inlineStr">
        <is>
          <t>LINKÖPING</t>
        </is>
      </c>
      <c r="G144" t="n">
        <v>0.2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45879</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45879</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45879</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45879</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45879</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45879</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45879</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45879</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45879</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4929-2021</t>
        </is>
      </c>
      <c r="B154" s="1" t="n">
        <v>44227.57533564815</v>
      </c>
      <c r="C154" s="1" t="n">
        <v>45879</v>
      </c>
      <c r="D154" t="inlineStr">
        <is>
          <t>ÖSTERGÖTLANDS LÄN</t>
        </is>
      </c>
      <c r="E154" t="inlineStr">
        <is>
          <t>LINKÖPING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46969-2020</t>
        </is>
      </c>
      <c r="B155" s="1" t="n">
        <v>44090</v>
      </c>
      <c r="C155" s="1" t="n">
        <v>45879</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46975-2020</t>
        </is>
      </c>
      <c r="B156" s="1" t="n">
        <v>44090</v>
      </c>
      <c r="C156" s="1" t="n">
        <v>45879</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45879</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31732-2022</t>
        </is>
      </c>
      <c r="B158" s="1" t="n">
        <v>44776.49267361111</v>
      </c>
      <c r="C158" s="1" t="n">
        <v>45879</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33891-2021</t>
        </is>
      </c>
      <c r="B159" s="1" t="n">
        <v>44378</v>
      </c>
      <c r="C159" s="1" t="n">
        <v>45879</v>
      </c>
      <c r="D159" t="inlineStr">
        <is>
          <t>ÖSTERGÖTLANDS LÄN</t>
        </is>
      </c>
      <c r="E159" t="inlineStr">
        <is>
          <t>LINKÖPING</t>
        </is>
      </c>
      <c r="G159" t="n">
        <v>5.1</v>
      </c>
      <c r="H159" t="n">
        <v>0</v>
      </c>
      <c r="I159" t="n">
        <v>0</v>
      </c>
      <c r="J159" t="n">
        <v>0</v>
      </c>
      <c r="K159" t="n">
        <v>0</v>
      </c>
      <c r="L159" t="n">
        <v>0</v>
      </c>
      <c r="M159" t="n">
        <v>0</v>
      </c>
      <c r="N159" t="n">
        <v>0</v>
      </c>
      <c r="O159" t="n">
        <v>0</v>
      </c>
      <c r="P159" t="n">
        <v>0</v>
      </c>
      <c r="Q159" t="n">
        <v>0</v>
      </c>
      <c r="R159" s="2" t="inlineStr"/>
    </row>
    <row r="160" ht="15" customHeight="1">
      <c r="A160" t="inlineStr">
        <is>
          <t>A 37928-2020</t>
        </is>
      </c>
      <c r="B160" s="1" t="n">
        <v>44057</v>
      </c>
      <c r="C160" s="1" t="n">
        <v>45879</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45879</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45879</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45879</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58266-2021</t>
        </is>
      </c>
      <c r="B164" s="1" t="n">
        <v>44487</v>
      </c>
      <c r="C164" s="1" t="n">
        <v>45879</v>
      </c>
      <c r="D164" t="inlineStr">
        <is>
          <t>ÖSTERGÖTLANDS LÄN</t>
        </is>
      </c>
      <c r="E164" t="inlineStr">
        <is>
          <t>LINKÖPING</t>
        </is>
      </c>
      <c r="F164" t="inlineStr">
        <is>
          <t>Övriga Aktiebolag</t>
        </is>
      </c>
      <c r="G164" t="n">
        <v>3.2</v>
      </c>
      <c r="H164" t="n">
        <v>0</v>
      </c>
      <c r="I164" t="n">
        <v>0</v>
      </c>
      <c r="J164" t="n">
        <v>0</v>
      </c>
      <c r="K164" t="n">
        <v>0</v>
      </c>
      <c r="L164" t="n">
        <v>0</v>
      </c>
      <c r="M164" t="n">
        <v>0</v>
      </c>
      <c r="N164" t="n">
        <v>0</v>
      </c>
      <c r="O164" t="n">
        <v>0</v>
      </c>
      <c r="P164" t="n">
        <v>0</v>
      </c>
      <c r="Q164" t="n">
        <v>0</v>
      </c>
      <c r="R164" s="2" t="inlineStr"/>
    </row>
    <row r="165" ht="15" customHeight="1">
      <c r="A165" t="inlineStr">
        <is>
          <t>A 60129-2020</t>
        </is>
      </c>
      <c r="B165" s="1" t="n">
        <v>44152</v>
      </c>
      <c r="C165" s="1" t="n">
        <v>45879</v>
      </c>
      <c r="D165" t="inlineStr">
        <is>
          <t>ÖSTERGÖTLANDS LÄN</t>
        </is>
      </c>
      <c r="E165" t="inlineStr">
        <is>
          <t>LINKÖPING</t>
        </is>
      </c>
      <c r="F165" t="inlineStr">
        <is>
          <t>Övriga statliga verk och myndigheter</t>
        </is>
      </c>
      <c r="G165" t="n">
        <v>2.5</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45879</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45879</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9935-2021</t>
        </is>
      </c>
      <c r="B168" s="1" t="n">
        <v>44253</v>
      </c>
      <c r="C168" s="1" t="n">
        <v>45879</v>
      </c>
      <c r="D168" t="inlineStr">
        <is>
          <t>ÖSTERGÖTLANDS LÄN</t>
        </is>
      </c>
      <c r="E168" t="inlineStr">
        <is>
          <t>LINKÖPING</t>
        </is>
      </c>
      <c r="G168" t="n">
        <v>4.5</v>
      </c>
      <c r="H168" t="n">
        <v>0</v>
      </c>
      <c r="I168" t="n">
        <v>0</v>
      </c>
      <c r="J168" t="n">
        <v>0</v>
      </c>
      <c r="K168" t="n">
        <v>0</v>
      </c>
      <c r="L168" t="n">
        <v>0</v>
      </c>
      <c r="M168" t="n">
        <v>0</v>
      </c>
      <c r="N168" t="n">
        <v>0</v>
      </c>
      <c r="O168" t="n">
        <v>0</v>
      </c>
      <c r="P168" t="n">
        <v>0</v>
      </c>
      <c r="Q168" t="n">
        <v>0</v>
      </c>
      <c r="R168" s="2" t="inlineStr"/>
    </row>
    <row r="169" ht="15" customHeight="1">
      <c r="A169" t="inlineStr">
        <is>
          <t>A 4377-2021</t>
        </is>
      </c>
      <c r="B169" s="1" t="n">
        <v>44223</v>
      </c>
      <c r="C169" s="1" t="n">
        <v>45879</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45879</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11079-2022</t>
        </is>
      </c>
      <c r="B171" s="1" t="n">
        <v>44628</v>
      </c>
      <c r="C171" s="1" t="n">
        <v>45879</v>
      </c>
      <c r="D171" t="inlineStr">
        <is>
          <t>ÖSTERGÖTLANDS LÄN</t>
        </is>
      </c>
      <c r="E171" t="inlineStr">
        <is>
          <t>LINKÖPING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20901-2021</t>
        </is>
      </c>
      <c r="B172" s="1" t="n">
        <v>44319</v>
      </c>
      <c r="C172" s="1" t="n">
        <v>45879</v>
      </c>
      <c r="D172" t="inlineStr">
        <is>
          <t>ÖSTERGÖTLANDS LÄN</t>
        </is>
      </c>
      <c r="E172" t="inlineStr">
        <is>
          <t>LINKÖPING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19318-2022</t>
        </is>
      </c>
      <c r="B173" s="1" t="n">
        <v>44692.5827662037</v>
      </c>
      <c r="C173" s="1" t="n">
        <v>45879</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45879</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33881-2021</t>
        </is>
      </c>
      <c r="B175" s="1" t="n">
        <v>44378</v>
      </c>
      <c r="C175" s="1" t="n">
        <v>45879</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45879</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45879</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41426-2022</t>
        </is>
      </c>
      <c r="B178" s="1" t="n">
        <v>44826</v>
      </c>
      <c r="C178" s="1" t="n">
        <v>45879</v>
      </c>
      <c r="D178" t="inlineStr">
        <is>
          <t>ÖSTERGÖTLANDS LÄN</t>
        </is>
      </c>
      <c r="E178" t="inlineStr">
        <is>
          <t>LINKÖPING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34162-2022</t>
        </is>
      </c>
      <c r="B179" s="1" t="n">
        <v>44791</v>
      </c>
      <c r="C179" s="1" t="n">
        <v>45879</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65398-2021</t>
        </is>
      </c>
      <c r="B180" s="1" t="n">
        <v>44515</v>
      </c>
      <c r="C180" s="1" t="n">
        <v>45879</v>
      </c>
      <c r="D180" t="inlineStr">
        <is>
          <t>ÖSTERGÖTLANDS LÄN</t>
        </is>
      </c>
      <c r="E180" t="inlineStr">
        <is>
          <t>LINKÖPING</t>
        </is>
      </c>
      <c r="F180" t="inlineStr">
        <is>
          <t>Övriga statliga verk och myndigheter</t>
        </is>
      </c>
      <c r="G180" t="n">
        <v>2.4</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45879</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54467-2022</t>
        </is>
      </c>
      <c r="B182" s="1" t="n">
        <v>44882</v>
      </c>
      <c r="C182" s="1" t="n">
        <v>45879</v>
      </c>
      <c r="D182" t="inlineStr">
        <is>
          <t>ÖSTERGÖTLANDS LÄN</t>
        </is>
      </c>
      <c r="E182" t="inlineStr">
        <is>
          <t>LINKÖPING</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61298-2021</t>
        </is>
      </c>
      <c r="B183" s="1" t="n">
        <v>44498.62533564815</v>
      </c>
      <c r="C183" s="1" t="n">
        <v>45879</v>
      </c>
      <c r="D183" t="inlineStr">
        <is>
          <t>ÖSTERGÖTLANDS LÄN</t>
        </is>
      </c>
      <c r="E183" t="inlineStr">
        <is>
          <t>LINKÖPING</t>
        </is>
      </c>
      <c r="G183" t="n">
        <v>4.3</v>
      </c>
      <c r="H183" t="n">
        <v>0</v>
      </c>
      <c r="I183" t="n">
        <v>0</v>
      </c>
      <c r="J183" t="n">
        <v>0</v>
      </c>
      <c r="K183" t="n">
        <v>0</v>
      </c>
      <c r="L183" t="n">
        <v>0</v>
      </c>
      <c r="M183" t="n">
        <v>0</v>
      </c>
      <c r="N183" t="n">
        <v>0</v>
      </c>
      <c r="O183" t="n">
        <v>0</v>
      </c>
      <c r="P183" t="n">
        <v>0</v>
      </c>
      <c r="Q183" t="n">
        <v>0</v>
      </c>
      <c r="R183" s="2" t="inlineStr"/>
    </row>
    <row r="184" ht="15" customHeight="1">
      <c r="A184" t="inlineStr">
        <is>
          <t>A 61333-2021</t>
        </is>
      </c>
      <c r="B184" s="1" t="n">
        <v>44498.6764699074</v>
      </c>
      <c r="C184" s="1" t="n">
        <v>45879</v>
      </c>
      <c r="D184" t="inlineStr">
        <is>
          <t>ÖSTERGÖTLANDS LÄN</t>
        </is>
      </c>
      <c r="E184" t="inlineStr">
        <is>
          <t>LINKÖPING</t>
        </is>
      </c>
      <c r="G184" t="n">
        <v>7.5</v>
      </c>
      <c r="H184" t="n">
        <v>0</v>
      </c>
      <c r="I184" t="n">
        <v>0</v>
      </c>
      <c r="J184" t="n">
        <v>0</v>
      </c>
      <c r="K184" t="n">
        <v>0</v>
      </c>
      <c r="L184" t="n">
        <v>0</v>
      </c>
      <c r="M184" t="n">
        <v>0</v>
      </c>
      <c r="N184" t="n">
        <v>0</v>
      </c>
      <c r="O184" t="n">
        <v>0</v>
      </c>
      <c r="P184" t="n">
        <v>0</v>
      </c>
      <c r="Q184" t="n">
        <v>0</v>
      </c>
      <c r="R184" s="2" t="inlineStr"/>
    </row>
    <row r="185" ht="15" customHeight="1">
      <c r="A185" t="inlineStr">
        <is>
          <t>A 36341-2022</t>
        </is>
      </c>
      <c r="B185" s="1" t="n">
        <v>44803</v>
      </c>
      <c r="C185" s="1" t="n">
        <v>45879</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12412-2022</t>
        </is>
      </c>
      <c r="B186" s="1" t="n">
        <v>44638</v>
      </c>
      <c r="C186" s="1" t="n">
        <v>45879</v>
      </c>
      <c r="D186" t="inlineStr">
        <is>
          <t>ÖSTERGÖTLANDS LÄN</t>
        </is>
      </c>
      <c r="E186" t="inlineStr">
        <is>
          <t>LINKÖPING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67912-2021</t>
        </is>
      </c>
      <c r="B187" s="1" t="n">
        <v>44525</v>
      </c>
      <c r="C187" s="1" t="n">
        <v>45879</v>
      </c>
      <c r="D187" t="inlineStr">
        <is>
          <t>ÖSTERGÖTLANDS LÄN</t>
        </is>
      </c>
      <c r="E187" t="inlineStr">
        <is>
          <t>LINKÖPING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67940-2021</t>
        </is>
      </c>
      <c r="B188" s="1" t="n">
        <v>44525.62849537037</v>
      </c>
      <c r="C188" s="1" t="n">
        <v>45879</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4240-2022</t>
        </is>
      </c>
      <c r="B189" s="1" t="n">
        <v>44588</v>
      </c>
      <c r="C189" s="1" t="n">
        <v>45879</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41650-2020</t>
        </is>
      </c>
      <c r="B190" s="1" t="n">
        <v>44074</v>
      </c>
      <c r="C190" s="1" t="n">
        <v>45879</v>
      </c>
      <c r="D190" t="inlineStr">
        <is>
          <t>ÖSTERGÖTLANDS LÄN</t>
        </is>
      </c>
      <c r="E190" t="inlineStr">
        <is>
          <t>LINKÖPING</t>
        </is>
      </c>
      <c r="F190" t="inlineStr">
        <is>
          <t>Allmännings- och besparingsskogar</t>
        </is>
      </c>
      <c r="G190" t="n">
        <v>1.6</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45879</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10951-2022</t>
        </is>
      </c>
      <c r="B192" s="1" t="n">
        <v>44627</v>
      </c>
      <c r="C192" s="1" t="n">
        <v>45879</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45879</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33134-2022</t>
        </is>
      </c>
      <c r="B194" s="1" t="n">
        <v>44785</v>
      </c>
      <c r="C194" s="1" t="n">
        <v>45879</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13075-2022</t>
        </is>
      </c>
      <c r="B195" s="1" t="n">
        <v>44643</v>
      </c>
      <c r="C195" s="1" t="n">
        <v>45879</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45879</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19183-2021</t>
        </is>
      </c>
      <c r="B197" s="1" t="n">
        <v>44308.73248842593</v>
      </c>
      <c r="C197" s="1" t="n">
        <v>45879</v>
      </c>
      <c r="D197" t="inlineStr">
        <is>
          <t>ÖSTERGÖTLANDS LÄN</t>
        </is>
      </c>
      <c r="E197" t="inlineStr">
        <is>
          <t>LINKÖPING</t>
        </is>
      </c>
      <c r="F197" t="inlineStr">
        <is>
          <t>Allmännings- och besparingsskogar</t>
        </is>
      </c>
      <c r="G197" t="n">
        <v>4.6</v>
      </c>
      <c r="H197" t="n">
        <v>0</v>
      </c>
      <c r="I197" t="n">
        <v>0</v>
      </c>
      <c r="J197" t="n">
        <v>0</v>
      </c>
      <c r="K197" t="n">
        <v>0</v>
      </c>
      <c r="L197" t="n">
        <v>0</v>
      </c>
      <c r="M197" t="n">
        <v>0</v>
      </c>
      <c r="N197" t="n">
        <v>0</v>
      </c>
      <c r="O197" t="n">
        <v>0</v>
      </c>
      <c r="P197" t="n">
        <v>0</v>
      </c>
      <c r="Q197" t="n">
        <v>0</v>
      </c>
      <c r="R197" s="2" t="inlineStr"/>
    </row>
    <row r="198" ht="15" customHeight="1">
      <c r="A198" t="inlineStr">
        <is>
          <t>A 51912-2020</t>
        </is>
      </c>
      <c r="B198" s="1" t="n">
        <v>44116</v>
      </c>
      <c r="C198" s="1" t="n">
        <v>45879</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59288-2020</t>
        </is>
      </c>
      <c r="B199" s="1" t="n">
        <v>44147</v>
      </c>
      <c r="C199" s="1" t="n">
        <v>45879</v>
      </c>
      <c r="D199" t="inlineStr">
        <is>
          <t>ÖSTERGÖTLANDS LÄN</t>
        </is>
      </c>
      <c r="E199" t="inlineStr">
        <is>
          <t>LINKÖPING</t>
        </is>
      </c>
      <c r="G199" t="n">
        <v>2.8</v>
      </c>
      <c r="H199" t="n">
        <v>0</v>
      </c>
      <c r="I199" t="n">
        <v>0</v>
      </c>
      <c r="J199" t="n">
        <v>0</v>
      </c>
      <c r="K199" t="n">
        <v>0</v>
      </c>
      <c r="L199" t="n">
        <v>0</v>
      </c>
      <c r="M199" t="n">
        <v>0</v>
      </c>
      <c r="N199" t="n">
        <v>0</v>
      </c>
      <c r="O199" t="n">
        <v>0</v>
      </c>
      <c r="P199" t="n">
        <v>0</v>
      </c>
      <c r="Q199" t="n">
        <v>0</v>
      </c>
      <c r="R199" s="2" t="inlineStr"/>
    </row>
    <row r="200" ht="15" customHeight="1">
      <c r="A200" t="inlineStr">
        <is>
          <t>A 44879-2020</t>
        </is>
      </c>
      <c r="B200" s="1" t="n">
        <v>44087</v>
      </c>
      <c r="C200" s="1" t="n">
        <v>45879</v>
      </c>
      <c r="D200" t="inlineStr">
        <is>
          <t>ÖSTERGÖTLANDS LÄN</t>
        </is>
      </c>
      <c r="E200" t="inlineStr">
        <is>
          <t>LINKÖPING</t>
        </is>
      </c>
      <c r="F200" t="inlineStr">
        <is>
          <t>Övriga Aktiebolag</t>
        </is>
      </c>
      <c r="G200" t="n">
        <v>2.9</v>
      </c>
      <c r="H200" t="n">
        <v>0</v>
      </c>
      <c r="I200" t="n">
        <v>0</v>
      </c>
      <c r="J200" t="n">
        <v>0</v>
      </c>
      <c r="K200" t="n">
        <v>0</v>
      </c>
      <c r="L200" t="n">
        <v>0</v>
      </c>
      <c r="M200" t="n">
        <v>0</v>
      </c>
      <c r="N200" t="n">
        <v>0</v>
      </c>
      <c r="O200" t="n">
        <v>0</v>
      </c>
      <c r="P200" t="n">
        <v>0</v>
      </c>
      <c r="Q200" t="n">
        <v>0</v>
      </c>
      <c r="R200" s="2" t="inlineStr"/>
    </row>
    <row r="201" ht="15" customHeight="1">
      <c r="A201" t="inlineStr">
        <is>
          <t>A 50035-2020</t>
        </is>
      </c>
      <c r="B201" s="1" t="n">
        <v>44109</v>
      </c>
      <c r="C201" s="1" t="n">
        <v>45879</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23416-2022</t>
        </is>
      </c>
      <c r="B202" s="1" t="n">
        <v>44720.78243055556</v>
      </c>
      <c r="C202" s="1" t="n">
        <v>45879</v>
      </c>
      <c r="D202" t="inlineStr">
        <is>
          <t>ÖSTERGÖTLANDS LÄN</t>
        </is>
      </c>
      <c r="E202" t="inlineStr">
        <is>
          <t>LINKÖPING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13922-2021</t>
        </is>
      </c>
      <c r="B203" s="1" t="n">
        <v>44277.45946759259</v>
      </c>
      <c r="C203" s="1" t="n">
        <v>45879</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45879</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45879</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34486-2021</t>
        </is>
      </c>
      <c r="B206" s="1" t="n">
        <v>44382.29295138889</v>
      </c>
      <c r="C206" s="1" t="n">
        <v>45879</v>
      </c>
      <c r="D206" t="inlineStr">
        <is>
          <t>ÖSTERGÖTLANDS LÄN</t>
        </is>
      </c>
      <c r="E206" t="inlineStr">
        <is>
          <t>LINKÖPING</t>
        </is>
      </c>
      <c r="G206" t="n">
        <v>4.4</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45879</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1787-2022</t>
        </is>
      </c>
      <c r="B208" s="1" t="n">
        <v>44574</v>
      </c>
      <c r="C208" s="1" t="n">
        <v>45879</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27769-2022</t>
        </is>
      </c>
      <c r="B209" s="1" t="n">
        <v>44743.53200231482</v>
      </c>
      <c r="C209" s="1" t="n">
        <v>45879</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948-2022</t>
        </is>
      </c>
      <c r="B210" s="1" t="n">
        <v>44571</v>
      </c>
      <c r="C210" s="1" t="n">
        <v>45879</v>
      </c>
      <c r="D210" t="inlineStr">
        <is>
          <t>ÖSTERGÖTLANDS LÄN</t>
        </is>
      </c>
      <c r="E210" t="inlineStr">
        <is>
          <t>LINKÖPING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38235-2022</t>
        </is>
      </c>
      <c r="B211" s="1" t="n">
        <v>44812</v>
      </c>
      <c r="C211" s="1" t="n">
        <v>45879</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41514-2020</t>
        </is>
      </c>
      <c r="B212" s="1" t="n">
        <v>44074</v>
      </c>
      <c r="C212" s="1" t="n">
        <v>45879</v>
      </c>
      <c r="D212" t="inlineStr">
        <is>
          <t>ÖSTERGÖTLANDS LÄN</t>
        </is>
      </c>
      <c r="E212" t="inlineStr">
        <is>
          <t>LINKÖPING</t>
        </is>
      </c>
      <c r="F212" t="inlineStr">
        <is>
          <t>Allmännings- och besparingsskogar</t>
        </is>
      </c>
      <c r="G212" t="n">
        <v>5.2</v>
      </c>
      <c r="H212" t="n">
        <v>0</v>
      </c>
      <c r="I212" t="n">
        <v>0</v>
      </c>
      <c r="J212" t="n">
        <v>0</v>
      </c>
      <c r="K212" t="n">
        <v>0</v>
      </c>
      <c r="L212" t="n">
        <v>0</v>
      </c>
      <c r="M212" t="n">
        <v>0</v>
      </c>
      <c r="N212" t="n">
        <v>0</v>
      </c>
      <c r="O212" t="n">
        <v>0</v>
      </c>
      <c r="P212" t="n">
        <v>0</v>
      </c>
      <c r="Q212" t="n">
        <v>0</v>
      </c>
      <c r="R212" s="2" t="inlineStr"/>
    </row>
    <row r="213" ht="15" customHeight="1">
      <c r="A213" t="inlineStr">
        <is>
          <t>A 34880-2022</t>
        </is>
      </c>
      <c r="B213" s="1" t="n">
        <v>44796</v>
      </c>
      <c r="C213" s="1" t="n">
        <v>45879</v>
      </c>
      <c r="D213" t="inlineStr">
        <is>
          <t>ÖSTERGÖTLANDS LÄN</t>
        </is>
      </c>
      <c r="E213" t="inlineStr">
        <is>
          <t>LINKÖPING</t>
        </is>
      </c>
      <c r="F213" t="inlineStr">
        <is>
          <t>Övriga statliga verk och myndigheter</t>
        </is>
      </c>
      <c r="G213" t="n">
        <v>4</v>
      </c>
      <c r="H213" t="n">
        <v>0</v>
      </c>
      <c r="I213" t="n">
        <v>0</v>
      </c>
      <c r="J213" t="n">
        <v>0</v>
      </c>
      <c r="K213" t="n">
        <v>0</v>
      </c>
      <c r="L213" t="n">
        <v>0</v>
      </c>
      <c r="M213" t="n">
        <v>0</v>
      </c>
      <c r="N213" t="n">
        <v>0</v>
      </c>
      <c r="O213" t="n">
        <v>0</v>
      </c>
      <c r="P213" t="n">
        <v>0</v>
      </c>
      <c r="Q213" t="n">
        <v>0</v>
      </c>
      <c r="R213" s="2" t="inlineStr"/>
    </row>
    <row r="214" ht="15" customHeight="1">
      <c r="A214" t="inlineStr">
        <is>
          <t>A 37014-2021</t>
        </is>
      </c>
      <c r="B214" s="1" t="n">
        <v>44393</v>
      </c>
      <c r="C214" s="1" t="n">
        <v>45879</v>
      </c>
      <c r="D214" t="inlineStr">
        <is>
          <t>ÖSTERGÖTLANDS LÄN</t>
        </is>
      </c>
      <c r="E214" t="inlineStr">
        <is>
          <t>LINKÖPING</t>
        </is>
      </c>
      <c r="F214" t="inlineStr">
        <is>
          <t>Allmännings- och besparingsskogar</t>
        </is>
      </c>
      <c r="G214" t="n">
        <v>7.7</v>
      </c>
      <c r="H214" t="n">
        <v>0</v>
      </c>
      <c r="I214" t="n">
        <v>0</v>
      </c>
      <c r="J214" t="n">
        <v>0</v>
      </c>
      <c r="K214" t="n">
        <v>0</v>
      </c>
      <c r="L214" t="n">
        <v>0</v>
      </c>
      <c r="M214" t="n">
        <v>0</v>
      </c>
      <c r="N214" t="n">
        <v>0</v>
      </c>
      <c r="O214" t="n">
        <v>0</v>
      </c>
      <c r="P214" t="n">
        <v>0</v>
      </c>
      <c r="Q214" t="n">
        <v>0</v>
      </c>
      <c r="R214" s="2" t="inlineStr"/>
    </row>
    <row r="215" ht="15" customHeight="1">
      <c r="A215" t="inlineStr">
        <is>
          <t>A 48042-2022</t>
        </is>
      </c>
      <c r="B215" s="1" t="n">
        <v>44855</v>
      </c>
      <c r="C215" s="1" t="n">
        <v>45879</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45821-2024</t>
        </is>
      </c>
      <c r="B216" s="1" t="n">
        <v>45579.75803240741</v>
      </c>
      <c r="C216" s="1" t="n">
        <v>45879</v>
      </c>
      <c r="D216" t="inlineStr">
        <is>
          <t>ÖSTERGÖTLANDS LÄN</t>
        </is>
      </c>
      <c r="E216" t="inlineStr">
        <is>
          <t>LINKÖPING</t>
        </is>
      </c>
      <c r="G216" t="n">
        <v>1.5</v>
      </c>
      <c r="H216" t="n">
        <v>0</v>
      </c>
      <c r="I216" t="n">
        <v>0</v>
      </c>
      <c r="J216" t="n">
        <v>0</v>
      </c>
      <c r="K216" t="n">
        <v>0</v>
      </c>
      <c r="L216" t="n">
        <v>0</v>
      </c>
      <c r="M216" t="n">
        <v>0</v>
      </c>
      <c r="N216" t="n">
        <v>0</v>
      </c>
      <c r="O216" t="n">
        <v>0</v>
      </c>
      <c r="P216" t="n">
        <v>0</v>
      </c>
      <c r="Q216" t="n">
        <v>0</v>
      </c>
      <c r="R216" s="2" t="inlineStr"/>
    </row>
    <row r="217" ht="15" customHeight="1">
      <c r="A217" t="inlineStr">
        <is>
          <t>A 50401-2020</t>
        </is>
      </c>
      <c r="B217" s="1" t="n">
        <v>44110</v>
      </c>
      <c r="C217" s="1" t="n">
        <v>45879</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61936-2023</t>
        </is>
      </c>
      <c r="B218" s="1" t="n">
        <v>45266.54534722222</v>
      </c>
      <c r="C218" s="1" t="n">
        <v>45879</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38134-2021</t>
        </is>
      </c>
      <c r="B219" s="1" t="n">
        <v>44405.3794212963</v>
      </c>
      <c r="C219" s="1" t="n">
        <v>45879</v>
      </c>
      <c r="D219" t="inlineStr">
        <is>
          <t>ÖSTERGÖTLANDS LÄN</t>
        </is>
      </c>
      <c r="E219" t="inlineStr">
        <is>
          <t>LINKÖPING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1263-2024</t>
        </is>
      </c>
      <c r="B220" s="1" t="n">
        <v>45302</v>
      </c>
      <c r="C220" s="1" t="n">
        <v>45879</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24464-2023</t>
        </is>
      </c>
      <c r="B221" s="1" t="n">
        <v>45082.58068287037</v>
      </c>
      <c r="C221" s="1" t="n">
        <v>45879</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15307-2025</t>
        </is>
      </c>
      <c r="B222" s="1" t="n">
        <v>45746.70038194444</v>
      </c>
      <c r="C222" s="1" t="n">
        <v>45879</v>
      </c>
      <c r="D222" t="inlineStr">
        <is>
          <t>ÖSTERGÖTLANDS LÄN</t>
        </is>
      </c>
      <c r="E222" t="inlineStr">
        <is>
          <t>LINKÖPING</t>
        </is>
      </c>
      <c r="G222" t="n">
        <v>3.3</v>
      </c>
      <c r="H222" t="n">
        <v>0</v>
      </c>
      <c r="I222" t="n">
        <v>0</v>
      </c>
      <c r="J222" t="n">
        <v>0</v>
      </c>
      <c r="K222" t="n">
        <v>0</v>
      </c>
      <c r="L222" t="n">
        <v>0</v>
      </c>
      <c r="M222" t="n">
        <v>0</v>
      </c>
      <c r="N222" t="n">
        <v>0</v>
      </c>
      <c r="O222" t="n">
        <v>0</v>
      </c>
      <c r="P222" t="n">
        <v>0</v>
      </c>
      <c r="Q222" t="n">
        <v>0</v>
      </c>
      <c r="R222" s="2" t="inlineStr"/>
    </row>
    <row r="223" ht="15" customHeight="1">
      <c r="A223" t="inlineStr">
        <is>
          <t>A 10407-2025</t>
        </is>
      </c>
      <c r="B223" s="1" t="n">
        <v>45720.62863425926</v>
      </c>
      <c r="C223" s="1" t="n">
        <v>45879</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48389-2024</t>
        </is>
      </c>
      <c r="B224" s="1" t="n">
        <v>45590.59991898148</v>
      </c>
      <c r="C224" s="1" t="n">
        <v>45879</v>
      </c>
      <c r="D224" t="inlineStr">
        <is>
          <t>ÖSTERGÖTLANDS LÄN</t>
        </is>
      </c>
      <c r="E224" t="inlineStr">
        <is>
          <t>LINKÖPING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46980-2020</t>
        </is>
      </c>
      <c r="B225" s="1" t="n">
        <v>44090</v>
      </c>
      <c r="C225" s="1" t="n">
        <v>45879</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59954-2020</t>
        </is>
      </c>
      <c r="B226" s="1" t="n">
        <v>44151</v>
      </c>
      <c r="C226" s="1" t="n">
        <v>45879</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59969-2020</t>
        </is>
      </c>
      <c r="B227" s="1" t="n">
        <v>44151</v>
      </c>
      <c r="C227" s="1" t="n">
        <v>45879</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61281-2021</t>
        </is>
      </c>
      <c r="B228" s="1" t="n">
        <v>44498.60736111111</v>
      </c>
      <c r="C228" s="1" t="n">
        <v>45879</v>
      </c>
      <c r="D228" t="inlineStr">
        <is>
          <t>ÖSTERGÖTLANDS LÄN</t>
        </is>
      </c>
      <c r="E228" t="inlineStr">
        <is>
          <t>LINKÖPING</t>
        </is>
      </c>
      <c r="G228" t="n">
        <v>4.5</v>
      </c>
      <c r="H228" t="n">
        <v>0</v>
      </c>
      <c r="I228" t="n">
        <v>0</v>
      </c>
      <c r="J228" t="n">
        <v>0</v>
      </c>
      <c r="K228" t="n">
        <v>0</v>
      </c>
      <c r="L228" t="n">
        <v>0</v>
      </c>
      <c r="M228" t="n">
        <v>0</v>
      </c>
      <c r="N228" t="n">
        <v>0</v>
      </c>
      <c r="O228" t="n">
        <v>0</v>
      </c>
      <c r="P228" t="n">
        <v>0</v>
      </c>
      <c r="Q228" t="n">
        <v>0</v>
      </c>
      <c r="R228" s="2" t="inlineStr"/>
    </row>
    <row r="229" ht="15" customHeight="1">
      <c r="A229" t="inlineStr">
        <is>
          <t>A 39021-2021</t>
        </is>
      </c>
      <c r="B229" s="1" t="n">
        <v>44412</v>
      </c>
      <c r="C229" s="1" t="n">
        <v>45879</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6369-2023</t>
        </is>
      </c>
      <c r="B230" s="1" t="n">
        <v>44965.61106481482</v>
      </c>
      <c r="C230" s="1" t="n">
        <v>45879</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12035-2025</t>
        </is>
      </c>
      <c r="B231" s="1" t="n">
        <v>45728.64946759259</v>
      </c>
      <c r="C231" s="1" t="n">
        <v>45879</v>
      </c>
      <c r="D231" t="inlineStr">
        <is>
          <t>ÖSTERGÖTLANDS LÄN</t>
        </is>
      </c>
      <c r="E231" t="inlineStr">
        <is>
          <t>LINKÖPING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10094-2024</t>
        </is>
      </c>
      <c r="B232" s="1" t="n">
        <v>45364</v>
      </c>
      <c r="C232" s="1" t="n">
        <v>45879</v>
      </c>
      <c r="D232" t="inlineStr">
        <is>
          <t>ÖSTERGÖTLANDS LÄN</t>
        </is>
      </c>
      <c r="E232" t="inlineStr">
        <is>
          <t>LINKÖPING</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62321-2022</t>
        </is>
      </c>
      <c r="B233" s="1" t="n">
        <v>44916</v>
      </c>
      <c r="C233" s="1" t="n">
        <v>45879</v>
      </c>
      <c r="D233" t="inlineStr">
        <is>
          <t>ÖSTERGÖTLANDS LÄN</t>
        </is>
      </c>
      <c r="E233" t="inlineStr">
        <is>
          <t>LINKÖPING</t>
        </is>
      </c>
      <c r="F233" t="inlineStr">
        <is>
          <t>Kommuner</t>
        </is>
      </c>
      <c r="G233" t="n">
        <v>5.3</v>
      </c>
      <c r="H233" t="n">
        <v>0</v>
      </c>
      <c r="I233" t="n">
        <v>0</v>
      </c>
      <c r="J233" t="n">
        <v>0</v>
      </c>
      <c r="K233" t="n">
        <v>0</v>
      </c>
      <c r="L233" t="n">
        <v>0</v>
      </c>
      <c r="M233" t="n">
        <v>0</v>
      </c>
      <c r="N233" t="n">
        <v>0</v>
      </c>
      <c r="O233" t="n">
        <v>0</v>
      </c>
      <c r="P233" t="n">
        <v>0</v>
      </c>
      <c r="Q233" t="n">
        <v>0</v>
      </c>
      <c r="R233" s="2" t="inlineStr"/>
    </row>
    <row r="234" ht="15" customHeight="1">
      <c r="A234" t="inlineStr">
        <is>
          <t>A 51484-2023</t>
        </is>
      </c>
      <c r="B234" s="1" t="n">
        <v>45222</v>
      </c>
      <c r="C234" s="1" t="n">
        <v>45879</v>
      </c>
      <c r="D234" t="inlineStr">
        <is>
          <t>ÖSTERGÖTLANDS LÄN</t>
        </is>
      </c>
      <c r="E234" t="inlineStr">
        <is>
          <t>LINKÖPING</t>
        </is>
      </c>
      <c r="F234" t="inlineStr">
        <is>
          <t>Övriga Aktiebolag</t>
        </is>
      </c>
      <c r="G234" t="n">
        <v>7.7</v>
      </c>
      <c r="H234" t="n">
        <v>0</v>
      </c>
      <c r="I234" t="n">
        <v>0</v>
      </c>
      <c r="J234" t="n">
        <v>0</v>
      </c>
      <c r="K234" t="n">
        <v>0</v>
      </c>
      <c r="L234" t="n">
        <v>0</v>
      </c>
      <c r="M234" t="n">
        <v>0</v>
      </c>
      <c r="N234" t="n">
        <v>0</v>
      </c>
      <c r="O234" t="n">
        <v>0</v>
      </c>
      <c r="P234" t="n">
        <v>0</v>
      </c>
      <c r="Q234" t="n">
        <v>0</v>
      </c>
      <c r="R234" s="2" t="inlineStr"/>
    </row>
    <row r="235" ht="15" customHeight="1">
      <c r="A235" t="inlineStr">
        <is>
          <t>A 1207-2023</t>
        </is>
      </c>
      <c r="B235" s="1" t="n">
        <v>44930</v>
      </c>
      <c r="C235" s="1" t="n">
        <v>45879</v>
      </c>
      <c r="D235" t="inlineStr">
        <is>
          <t>ÖSTERGÖTLANDS LÄN</t>
        </is>
      </c>
      <c r="E235" t="inlineStr">
        <is>
          <t>LINKÖPING</t>
        </is>
      </c>
      <c r="F235" t="inlineStr">
        <is>
          <t>Övriga statliga verk och myndigheter</t>
        </is>
      </c>
      <c r="G235" t="n">
        <v>32.8</v>
      </c>
      <c r="H235" t="n">
        <v>0</v>
      </c>
      <c r="I235" t="n">
        <v>0</v>
      </c>
      <c r="J235" t="n">
        <v>0</v>
      </c>
      <c r="K235" t="n">
        <v>0</v>
      </c>
      <c r="L235" t="n">
        <v>0</v>
      </c>
      <c r="M235" t="n">
        <v>0</v>
      </c>
      <c r="N235" t="n">
        <v>0</v>
      </c>
      <c r="O235" t="n">
        <v>0</v>
      </c>
      <c r="P235" t="n">
        <v>0</v>
      </c>
      <c r="Q235" t="n">
        <v>0</v>
      </c>
      <c r="R235" s="2" t="inlineStr"/>
    </row>
    <row r="236" ht="15" customHeight="1">
      <c r="A236" t="inlineStr">
        <is>
          <t>A 43475-2024</t>
        </is>
      </c>
      <c r="B236" s="1" t="n">
        <v>45568</v>
      </c>
      <c r="C236" s="1" t="n">
        <v>45879</v>
      </c>
      <c r="D236" t="inlineStr">
        <is>
          <t>ÖSTERGÖTLANDS LÄN</t>
        </is>
      </c>
      <c r="E236" t="inlineStr">
        <is>
          <t>LINKÖPING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62015-2024</t>
        </is>
      </c>
      <c r="B237" s="1" t="n">
        <v>45655.80457175926</v>
      </c>
      <c r="C237" s="1" t="n">
        <v>45879</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62020-2024</t>
        </is>
      </c>
      <c r="B238" s="1" t="n">
        <v>45655.83563657408</v>
      </c>
      <c r="C238" s="1" t="n">
        <v>45879</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62021-2024</t>
        </is>
      </c>
      <c r="B239" s="1" t="n">
        <v>45655.84232638889</v>
      </c>
      <c r="C239" s="1" t="n">
        <v>45879</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17103-2025</t>
        </is>
      </c>
      <c r="B240" s="1" t="n">
        <v>45755.66143518518</v>
      </c>
      <c r="C240" s="1" t="n">
        <v>45879</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33800-2023</t>
        </is>
      </c>
      <c r="B241" s="1" t="n">
        <v>45121</v>
      </c>
      <c r="C241" s="1" t="n">
        <v>45879</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30551-2023</t>
        </is>
      </c>
      <c r="B242" s="1" t="n">
        <v>45111</v>
      </c>
      <c r="C242" s="1" t="n">
        <v>45879</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50784-2022</t>
        </is>
      </c>
      <c r="B243" s="1" t="n">
        <v>44862</v>
      </c>
      <c r="C243" s="1" t="n">
        <v>45879</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27891-2021</t>
        </is>
      </c>
      <c r="B244" s="1" t="n">
        <v>44354.65108796296</v>
      </c>
      <c r="C244" s="1" t="n">
        <v>45879</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22043-2023</t>
        </is>
      </c>
      <c r="B245" s="1" t="n">
        <v>45069.39050925926</v>
      </c>
      <c r="C245" s="1" t="n">
        <v>45879</v>
      </c>
      <c r="D245" t="inlineStr">
        <is>
          <t>ÖSTERGÖTLANDS LÄN</t>
        </is>
      </c>
      <c r="E245" t="inlineStr">
        <is>
          <t>LINKÖPING</t>
        </is>
      </c>
      <c r="G245" t="n">
        <v>5.9</v>
      </c>
      <c r="H245" t="n">
        <v>0</v>
      </c>
      <c r="I245" t="n">
        <v>0</v>
      </c>
      <c r="J245" t="n">
        <v>0</v>
      </c>
      <c r="K245" t="n">
        <v>0</v>
      </c>
      <c r="L245" t="n">
        <v>0</v>
      </c>
      <c r="M245" t="n">
        <v>0</v>
      </c>
      <c r="N245" t="n">
        <v>0</v>
      </c>
      <c r="O245" t="n">
        <v>0</v>
      </c>
      <c r="P245" t="n">
        <v>0</v>
      </c>
      <c r="Q245" t="n">
        <v>0</v>
      </c>
      <c r="R245" s="2" t="inlineStr"/>
    </row>
    <row r="246" ht="15" customHeight="1">
      <c r="A246" t="inlineStr">
        <is>
          <t>A 57391-2023</t>
        </is>
      </c>
      <c r="B246" s="1" t="n">
        <v>45245</v>
      </c>
      <c r="C246" s="1" t="n">
        <v>45879</v>
      </c>
      <c r="D246" t="inlineStr">
        <is>
          <t>ÖSTERGÖTLANDS LÄN</t>
        </is>
      </c>
      <c r="E246" t="inlineStr">
        <is>
          <t>LINKÖPING</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9434-2024</t>
        </is>
      </c>
      <c r="B247" s="1" t="n">
        <v>45359</v>
      </c>
      <c r="C247" s="1" t="n">
        <v>45879</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20294-2025</t>
        </is>
      </c>
      <c r="B248" s="1" t="n">
        <v>45774.74667824074</v>
      </c>
      <c r="C248" s="1" t="n">
        <v>45879</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63678-2023</t>
        </is>
      </c>
      <c r="B249" s="1" t="n">
        <v>45275.64769675926</v>
      </c>
      <c r="C249" s="1" t="n">
        <v>45879</v>
      </c>
      <c r="D249" t="inlineStr">
        <is>
          <t>ÖSTERGÖTLANDS LÄN</t>
        </is>
      </c>
      <c r="E249" t="inlineStr">
        <is>
          <t>LINKÖPING</t>
        </is>
      </c>
      <c r="F249" t="inlineStr">
        <is>
          <t>Övriga Aktiebolag</t>
        </is>
      </c>
      <c r="G249" t="n">
        <v>0.4</v>
      </c>
      <c r="H249" t="n">
        <v>0</v>
      </c>
      <c r="I249" t="n">
        <v>0</v>
      </c>
      <c r="J249" t="n">
        <v>0</v>
      </c>
      <c r="K249" t="n">
        <v>0</v>
      </c>
      <c r="L249" t="n">
        <v>0</v>
      </c>
      <c r="M249" t="n">
        <v>0</v>
      </c>
      <c r="N249" t="n">
        <v>0</v>
      </c>
      <c r="O249" t="n">
        <v>0</v>
      </c>
      <c r="P249" t="n">
        <v>0</v>
      </c>
      <c r="Q249" t="n">
        <v>0</v>
      </c>
      <c r="R249" s="2" t="inlineStr"/>
    </row>
    <row r="250" ht="15" customHeight="1">
      <c r="A250" t="inlineStr">
        <is>
          <t>A 63688-2023</t>
        </is>
      </c>
      <c r="B250" s="1" t="n">
        <v>45275</v>
      </c>
      <c r="C250" s="1" t="n">
        <v>45879</v>
      </c>
      <c r="D250" t="inlineStr">
        <is>
          <t>ÖSTERGÖTLANDS LÄN</t>
        </is>
      </c>
      <c r="E250" t="inlineStr">
        <is>
          <t>LINKÖPING</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63691-2023</t>
        </is>
      </c>
      <c r="B251" s="1" t="n">
        <v>45275</v>
      </c>
      <c r="C251" s="1" t="n">
        <v>45879</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60013-2022</t>
        </is>
      </c>
      <c r="B252" s="1" t="n">
        <v>44909.47482638889</v>
      </c>
      <c r="C252" s="1" t="n">
        <v>45879</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34557-2022</t>
        </is>
      </c>
      <c r="B253" s="1" t="n">
        <v>44794.57074074074</v>
      </c>
      <c r="C253" s="1" t="n">
        <v>45879</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49656-2021</t>
        </is>
      </c>
      <c r="B254" s="1" t="n">
        <v>44454</v>
      </c>
      <c r="C254" s="1" t="n">
        <v>45879</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3007-2025</t>
        </is>
      </c>
      <c r="B255" s="1" t="n">
        <v>45678.56328703704</v>
      </c>
      <c r="C255" s="1" t="n">
        <v>45879</v>
      </c>
      <c r="D255" t="inlineStr">
        <is>
          <t>ÖSTERGÖTLANDS LÄN</t>
        </is>
      </c>
      <c r="E255" t="inlineStr">
        <is>
          <t>LINKÖPING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34877-2023</t>
        </is>
      </c>
      <c r="B256" s="1" t="n">
        <v>45140</v>
      </c>
      <c r="C256" s="1" t="n">
        <v>45879</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1924-2024</t>
        </is>
      </c>
      <c r="B257" s="1" t="n">
        <v>45308</v>
      </c>
      <c r="C257" s="1" t="n">
        <v>45879</v>
      </c>
      <c r="D257" t="inlineStr">
        <is>
          <t>ÖSTERGÖTLANDS LÄN</t>
        </is>
      </c>
      <c r="E257" t="inlineStr">
        <is>
          <t>LINKÖPING</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45879</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30465-2023</t>
        </is>
      </c>
      <c r="B259" s="1" t="n">
        <v>45111</v>
      </c>
      <c r="C259" s="1" t="n">
        <v>45879</v>
      </c>
      <c r="D259" t="inlineStr">
        <is>
          <t>ÖSTERGÖTLANDS LÄN</t>
        </is>
      </c>
      <c r="E259" t="inlineStr">
        <is>
          <t>LINKÖPING</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30521-2024</t>
        </is>
      </c>
      <c r="B260" s="1" t="n">
        <v>45492</v>
      </c>
      <c r="C260" s="1" t="n">
        <v>45879</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13689-2025</t>
        </is>
      </c>
      <c r="B261" s="1" t="n">
        <v>45737.31590277778</v>
      </c>
      <c r="C261" s="1" t="n">
        <v>45879</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13696-2025</t>
        </is>
      </c>
      <c r="B262" s="1" t="n">
        <v>45737.32273148148</v>
      </c>
      <c r="C262" s="1" t="n">
        <v>45879</v>
      </c>
      <c r="D262" t="inlineStr">
        <is>
          <t>ÖSTERGÖTLANDS LÄN</t>
        </is>
      </c>
      <c r="E262" t="inlineStr">
        <is>
          <t>LINKÖPING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40618-2021</t>
        </is>
      </c>
      <c r="B263" s="1" t="n">
        <v>44420.49575231481</v>
      </c>
      <c r="C263" s="1" t="n">
        <v>45879</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12428-2024</t>
        </is>
      </c>
      <c r="B264" s="1" t="n">
        <v>45379</v>
      </c>
      <c r="C264" s="1" t="n">
        <v>45879</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34558-2022</t>
        </is>
      </c>
      <c r="B265" s="1" t="n">
        <v>44794.57594907407</v>
      </c>
      <c r="C265" s="1" t="n">
        <v>45879</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62374-2020</t>
        </is>
      </c>
      <c r="B266" s="1" t="n">
        <v>44159</v>
      </c>
      <c r="C266" s="1" t="n">
        <v>45879</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23735-2023</t>
        </is>
      </c>
      <c r="B267" s="1" t="n">
        <v>45077</v>
      </c>
      <c r="C267" s="1" t="n">
        <v>45879</v>
      </c>
      <c r="D267" t="inlineStr">
        <is>
          <t>ÖSTERGÖTLANDS LÄN</t>
        </is>
      </c>
      <c r="E267" t="inlineStr">
        <is>
          <t>LINKÖPING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168-2024</t>
        </is>
      </c>
      <c r="B268" s="1" t="n">
        <v>45294</v>
      </c>
      <c r="C268" s="1" t="n">
        <v>45879</v>
      </c>
      <c r="D268" t="inlineStr">
        <is>
          <t>ÖSTERGÖTLANDS LÄN</t>
        </is>
      </c>
      <c r="E268" t="inlineStr">
        <is>
          <t>LINKÖPING</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350-2022</t>
        </is>
      </c>
      <c r="B269" s="1" t="n">
        <v>44565</v>
      </c>
      <c r="C269" s="1" t="n">
        <v>45879</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4256-2022</t>
        </is>
      </c>
      <c r="B270" s="1" t="n">
        <v>44588</v>
      </c>
      <c r="C270" s="1" t="n">
        <v>45879</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15658-2023</t>
        </is>
      </c>
      <c r="B271" s="1" t="n">
        <v>45021.41194444444</v>
      </c>
      <c r="C271" s="1" t="n">
        <v>45879</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25948-2023</t>
        </is>
      </c>
      <c r="B272" s="1" t="n">
        <v>45090</v>
      </c>
      <c r="C272" s="1" t="n">
        <v>45879</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30433-2024</t>
        </is>
      </c>
      <c r="B273" s="1" t="n">
        <v>45491.69741898148</v>
      </c>
      <c r="C273" s="1" t="n">
        <v>45879</v>
      </c>
      <c r="D273" t="inlineStr">
        <is>
          <t>ÖSTERGÖTLANDS LÄN</t>
        </is>
      </c>
      <c r="E273" t="inlineStr">
        <is>
          <t>LINKÖPING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46225-2021</t>
        </is>
      </c>
      <c r="B274" s="1" t="n">
        <v>44442</v>
      </c>
      <c r="C274" s="1" t="n">
        <v>45879</v>
      </c>
      <c r="D274" t="inlineStr">
        <is>
          <t>ÖSTERGÖTLANDS LÄN</t>
        </is>
      </c>
      <c r="E274" t="inlineStr">
        <is>
          <t>LINKÖPING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54428-2022</t>
        </is>
      </c>
      <c r="B275" s="1" t="n">
        <v>44882.57643518518</v>
      </c>
      <c r="C275" s="1" t="n">
        <v>45879</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52220-2023</t>
        </is>
      </c>
      <c r="B276" s="1" t="n">
        <v>45217</v>
      </c>
      <c r="C276" s="1" t="n">
        <v>45879</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52225-2023</t>
        </is>
      </c>
      <c r="B277" s="1" t="n">
        <v>45217</v>
      </c>
      <c r="C277" s="1" t="n">
        <v>45879</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19464-2024</t>
        </is>
      </c>
      <c r="B278" s="1" t="n">
        <v>45429</v>
      </c>
      <c r="C278" s="1" t="n">
        <v>45879</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33867-2023</t>
        </is>
      </c>
      <c r="B279" s="1" t="n">
        <v>45133.94640046296</v>
      </c>
      <c r="C279" s="1" t="n">
        <v>45879</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42044-2023</t>
        </is>
      </c>
      <c r="B280" s="1" t="n">
        <v>45177</v>
      </c>
      <c r="C280" s="1" t="n">
        <v>45879</v>
      </c>
      <c r="D280" t="inlineStr">
        <is>
          <t>ÖSTERGÖTLANDS LÄN</t>
        </is>
      </c>
      <c r="E280" t="inlineStr">
        <is>
          <t>LINKÖPING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45879</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630-2024</t>
        </is>
      </c>
      <c r="B282" s="1" t="n">
        <v>45299.67736111111</v>
      </c>
      <c r="C282" s="1" t="n">
        <v>45879</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53616-2020</t>
        </is>
      </c>
      <c r="B283" s="1" t="n">
        <v>44123</v>
      </c>
      <c r="C283" s="1" t="n">
        <v>45879</v>
      </c>
      <c r="D283" t="inlineStr">
        <is>
          <t>ÖSTERGÖTLANDS LÄN</t>
        </is>
      </c>
      <c r="E283" t="inlineStr">
        <is>
          <t>LINKÖPING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48962-2022</t>
        </is>
      </c>
      <c r="B284" s="1" t="n">
        <v>44860.31635416667</v>
      </c>
      <c r="C284" s="1" t="n">
        <v>45879</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53647-2021</t>
        </is>
      </c>
      <c r="B285" s="1" t="n">
        <v>44469</v>
      </c>
      <c r="C285" s="1" t="n">
        <v>45879</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22772-2024</t>
        </is>
      </c>
      <c r="B286" s="1" t="n">
        <v>45448.46712962963</v>
      </c>
      <c r="C286" s="1" t="n">
        <v>45879</v>
      </c>
      <c r="D286" t="inlineStr">
        <is>
          <t>ÖSTERGÖTLANDS LÄN</t>
        </is>
      </c>
      <c r="E286" t="inlineStr">
        <is>
          <t>LINKÖPING</t>
        </is>
      </c>
      <c r="F286" t="inlineStr">
        <is>
          <t>Sveaskog</t>
        </is>
      </c>
      <c r="G286" t="n">
        <v>3</v>
      </c>
      <c r="H286" t="n">
        <v>0</v>
      </c>
      <c r="I286" t="n">
        <v>0</v>
      </c>
      <c r="J286" t="n">
        <v>0</v>
      </c>
      <c r="K286" t="n">
        <v>0</v>
      </c>
      <c r="L286" t="n">
        <v>0</v>
      </c>
      <c r="M286" t="n">
        <v>0</v>
      </c>
      <c r="N286" t="n">
        <v>0</v>
      </c>
      <c r="O286" t="n">
        <v>0</v>
      </c>
      <c r="P286" t="n">
        <v>0</v>
      </c>
      <c r="Q286" t="n">
        <v>0</v>
      </c>
      <c r="R286" s="2" t="inlineStr"/>
    </row>
    <row r="287" ht="15" customHeight="1">
      <c r="A287" t="inlineStr">
        <is>
          <t>A 18916-2024</t>
        </is>
      </c>
      <c r="B287" s="1" t="n">
        <v>45427.39541666667</v>
      </c>
      <c r="C287" s="1" t="n">
        <v>45879</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24462-2023</t>
        </is>
      </c>
      <c r="B288" s="1" t="n">
        <v>45082</v>
      </c>
      <c r="C288" s="1" t="n">
        <v>45879</v>
      </c>
      <c r="D288" t="inlineStr">
        <is>
          <t>ÖSTERGÖTLANDS LÄN</t>
        </is>
      </c>
      <c r="E288" t="inlineStr">
        <is>
          <t>LINKÖPING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24586-2024</t>
        </is>
      </c>
      <c r="B289" s="1" t="n">
        <v>45460.46664351852</v>
      </c>
      <c r="C289" s="1" t="n">
        <v>45879</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48829-2023</t>
        </is>
      </c>
      <c r="B290" s="1" t="n">
        <v>45209.38177083333</v>
      </c>
      <c r="C290" s="1" t="n">
        <v>45879</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17124-2025</t>
        </is>
      </c>
      <c r="B291" s="1" t="n">
        <v>45755.69678240741</v>
      </c>
      <c r="C291" s="1" t="n">
        <v>45879</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17126-2025</t>
        </is>
      </c>
      <c r="B292" s="1" t="n">
        <v>45755.70814814815</v>
      </c>
      <c r="C292" s="1" t="n">
        <v>45879</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17143-2025</t>
        </is>
      </c>
      <c r="B293" s="1" t="n">
        <v>45755.92731481481</v>
      </c>
      <c r="C293" s="1" t="n">
        <v>45879</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62012-2024</t>
        </is>
      </c>
      <c r="B294" s="1" t="n">
        <v>45655.79679398148</v>
      </c>
      <c r="C294" s="1" t="n">
        <v>45879</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21782-2024</t>
        </is>
      </c>
      <c r="B295" s="1" t="n">
        <v>45442.63368055555</v>
      </c>
      <c r="C295" s="1" t="n">
        <v>45879</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38231-2022</t>
        </is>
      </c>
      <c r="B296" s="1" t="n">
        <v>44812</v>
      </c>
      <c r="C296" s="1" t="n">
        <v>45879</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50799-2022</t>
        </is>
      </c>
      <c r="B297" s="1" t="n">
        <v>44862</v>
      </c>
      <c r="C297" s="1" t="n">
        <v>45879</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45879</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40431-2024</t>
        </is>
      </c>
      <c r="B299" s="1" t="n">
        <v>45555.47070601852</v>
      </c>
      <c r="C299" s="1" t="n">
        <v>45879</v>
      </c>
      <c r="D299" t="inlineStr">
        <is>
          <t>ÖSTERGÖTLANDS LÄN</t>
        </is>
      </c>
      <c r="E299" t="inlineStr">
        <is>
          <t>LINKÖPING</t>
        </is>
      </c>
      <c r="F299" t="inlineStr">
        <is>
          <t>Allmännings- och besparingsskogar</t>
        </is>
      </c>
      <c r="G299" t="n">
        <v>2.9</v>
      </c>
      <c r="H299" t="n">
        <v>0</v>
      </c>
      <c r="I299" t="n">
        <v>0</v>
      </c>
      <c r="J299" t="n">
        <v>0</v>
      </c>
      <c r="K299" t="n">
        <v>0</v>
      </c>
      <c r="L299" t="n">
        <v>0</v>
      </c>
      <c r="M299" t="n">
        <v>0</v>
      </c>
      <c r="N299" t="n">
        <v>0</v>
      </c>
      <c r="O299" t="n">
        <v>0</v>
      </c>
      <c r="P299" t="n">
        <v>0</v>
      </c>
      <c r="Q299" t="n">
        <v>0</v>
      </c>
      <c r="R299" s="2" t="inlineStr"/>
    </row>
    <row r="300" ht="15" customHeight="1">
      <c r="A300" t="inlineStr">
        <is>
          <t>A 267-2023</t>
        </is>
      </c>
      <c r="B300" s="1" t="n">
        <v>44928.80907407407</v>
      </c>
      <c r="C300" s="1" t="n">
        <v>45879</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26618-2023</t>
        </is>
      </c>
      <c r="B301" s="1" t="n">
        <v>45092.70306712963</v>
      </c>
      <c r="C301" s="1" t="n">
        <v>45879</v>
      </c>
      <c r="D301" t="inlineStr">
        <is>
          <t>ÖSTERGÖTLANDS LÄN</t>
        </is>
      </c>
      <c r="E301" t="inlineStr">
        <is>
          <t>LINKÖPING</t>
        </is>
      </c>
      <c r="G301" t="n">
        <v>6.9</v>
      </c>
      <c r="H301" t="n">
        <v>0</v>
      </c>
      <c r="I301" t="n">
        <v>0</v>
      </c>
      <c r="J301" t="n">
        <v>0</v>
      </c>
      <c r="K301" t="n">
        <v>0</v>
      </c>
      <c r="L301" t="n">
        <v>0</v>
      </c>
      <c r="M301" t="n">
        <v>0</v>
      </c>
      <c r="N301" t="n">
        <v>0</v>
      </c>
      <c r="O301" t="n">
        <v>0</v>
      </c>
      <c r="P301" t="n">
        <v>0</v>
      </c>
      <c r="Q301" t="n">
        <v>0</v>
      </c>
      <c r="R301" s="2" t="inlineStr"/>
    </row>
    <row r="302" ht="15" customHeight="1">
      <c r="A302" t="inlineStr">
        <is>
          <t>A 16820-2024</t>
        </is>
      </c>
      <c r="B302" s="1" t="n">
        <v>45411.46809027778</v>
      </c>
      <c r="C302" s="1" t="n">
        <v>45879</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63665-2023</t>
        </is>
      </c>
      <c r="B303" s="1" t="n">
        <v>45275</v>
      </c>
      <c r="C303" s="1" t="n">
        <v>45879</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30980-2022</t>
        </is>
      </c>
      <c r="B304" s="1" t="n">
        <v>44768</v>
      </c>
      <c r="C304" s="1" t="n">
        <v>45879</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67123-2020</t>
        </is>
      </c>
      <c r="B305" s="1" t="n">
        <v>44180</v>
      </c>
      <c r="C305" s="1" t="n">
        <v>45879</v>
      </c>
      <c r="D305" t="inlineStr">
        <is>
          <t>ÖSTERGÖTLANDS LÄN</t>
        </is>
      </c>
      <c r="E305" t="inlineStr">
        <is>
          <t>LINKÖPING</t>
        </is>
      </c>
      <c r="F305" t="inlineStr">
        <is>
          <t>Övriga statliga verk och myndigheter</t>
        </is>
      </c>
      <c r="G305" t="n">
        <v>1.3</v>
      </c>
      <c r="H305" t="n">
        <v>0</v>
      </c>
      <c r="I305" t="n">
        <v>0</v>
      </c>
      <c r="J305" t="n">
        <v>0</v>
      </c>
      <c r="K305" t="n">
        <v>0</v>
      </c>
      <c r="L305" t="n">
        <v>0</v>
      </c>
      <c r="M305" t="n">
        <v>0</v>
      </c>
      <c r="N305" t="n">
        <v>0</v>
      </c>
      <c r="O305" t="n">
        <v>0</v>
      </c>
      <c r="P305" t="n">
        <v>0</v>
      </c>
      <c r="Q305" t="n">
        <v>0</v>
      </c>
      <c r="R305" s="2" t="inlineStr"/>
    </row>
    <row r="306" ht="15" customHeight="1">
      <c r="A306" t="inlineStr">
        <is>
          <t>A 57766-2023</t>
        </is>
      </c>
      <c r="B306" s="1" t="n">
        <v>45246</v>
      </c>
      <c r="C306" s="1" t="n">
        <v>45879</v>
      </c>
      <c r="D306" t="inlineStr">
        <is>
          <t>ÖSTERGÖTLANDS LÄN</t>
        </is>
      </c>
      <c r="E306" t="inlineStr">
        <is>
          <t>LINKÖPING</t>
        </is>
      </c>
      <c r="F306" t="inlineStr">
        <is>
          <t>Allmännings- och besparingsskogar</t>
        </is>
      </c>
      <c r="G306" t="n">
        <v>12.8</v>
      </c>
      <c r="H306" t="n">
        <v>0</v>
      </c>
      <c r="I306" t="n">
        <v>0</v>
      </c>
      <c r="J306" t="n">
        <v>0</v>
      </c>
      <c r="K306" t="n">
        <v>0</v>
      </c>
      <c r="L306" t="n">
        <v>0</v>
      </c>
      <c r="M306" t="n">
        <v>0</v>
      </c>
      <c r="N306" t="n">
        <v>0</v>
      </c>
      <c r="O306" t="n">
        <v>0</v>
      </c>
      <c r="P306" t="n">
        <v>0</v>
      </c>
      <c r="Q306" t="n">
        <v>0</v>
      </c>
      <c r="R306" s="2" t="inlineStr"/>
    </row>
    <row r="307" ht="15" customHeight="1">
      <c r="A307" t="inlineStr">
        <is>
          <t>A 30429-2024</t>
        </is>
      </c>
      <c r="B307" s="1" t="n">
        <v>45491.68972222223</v>
      </c>
      <c r="C307" s="1" t="n">
        <v>45879</v>
      </c>
      <c r="D307" t="inlineStr">
        <is>
          <t>ÖSTERGÖTLANDS LÄN</t>
        </is>
      </c>
      <c r="E307" t="inlineStr">
        <is>
          <t>LINKÖPING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27186-2021</t>
        </is>
      </c>
      <c r="B308" s="1" t="n">
        <v>44350.67715277777</v>
      </c>
      <c r="C308" s="1" t="n">
        <v>45879</v>
      </c>
      <c r="D308" t="inlineStr">
        <is>
          <t>ÖSTERGÖTLANDS LÄN</t>
        </is>
      </c>
      <c r="E308" t="inlineStr">
        <is>
          <t>LINKÖPING</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24351-2024</t>
        </is>
      </c>
      <c r="B309" s="1" t="n">
        <v>45457.59011574074</v>
      </c>
      <c r="C309" s="1" t="n">
        <v>45879</v>
      </c>
      <c r="D309" t="inlineStr">
        <is>
          <t>ÖSTERGÖTLANDS LÄN</t>
        </is>
      </c>
      <c r="E309" t="inlineStr">
        <is>
          <t>LINKÖPING</t>
        </is>
      </c>
      <c r="G309" t="n">
        <v>11.9</v>
      </c>
      <c r="H309" t="n">
        <v>0</v>
      </c>
      <c r="I309" t="n">
        <v>0</v>
      </c>
      <c r="J309" t="n">
        <v>0</v>
      </c>
      <c r="K309" t="n">
        <v>0</v>
      </c>
      <c r="L309" t="n">
        <v>0</v>
      </c>
      <c r="M309" t="n">
        <v>0</v>
      </c>
      <c r="N309" t="n">
        <v>0</v>
      </c>
      <c r="O309" t="n">
        <v>0</v>
      </c>
      <c r="P309" t="n">
        <v>0</v>
      </c>
      <c r="Q309" t="n">
        <v>0</v>
      </c>
      <c r="R309" s="2" t="inlineStr"/>
    </row>
    <row r="310" ht="15" customHeight="1">
      <c r="A310" t="inlineStr">
        <is>
          <t>A 38282-2020</t>
        </is>
      </c>
      <c r="B310" s="1" t="n">
        <v>44060</v>
      </c>
      <c r="C310" s="1" t="n">
        <v>45879</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10194-2023</t>
        </is>
      </c>
      <c r="B311" s="1" t="n">
        <v>44986.52277777778</v>
      </c>
      <c r="C311" s="1" t="n">
        <v>45879</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55944-2024</t>
        </is>
      </c>
      <c r="B312" s="1" t="n">
        <v>45623.61640046296</v>
      </c>
      <c r="C312" s="1" t="n">
        <v>45879</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55947-2024</t>
        </is>
      </c>
      <c r="B313" s="1" t="n">
        <v>45623</v>
      </c>
      <c r="C313" s="1" t="n">
        <v>45879</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47703-2023</t>
        </is>
      </c>
      <c r="B314" s="1" t="n">
        <v>45203</v>
      </c>
      <c r="C314" s="1" t="n">
        <v>45879</v>
      </c>
      <c r="D314" t="inlineStr">
        <is>
          <t>ÖSTERGÖTLANDS LÄN</t>
        </is>
      </c>
      <c r="E314" t="inlineStr">
        <is>
          <t>LINKÖPING</t>
        </is>
      </c>
      <c r="G314" t="n">
        <v>4.1</v>
      </c>
      <c r="H314" t="n">
        <v>0</v>
      </c>
      <c r="I314" t="n">
        <v>0</v>
      </c>
      <c r="J314" t="n">
        <v>0</v>
      </c>
      <c r="K314" t="n">
        <v>0</v>
      </c>
      <c r="L314" t="n">
        <v>0</v>
      </c>
      <c r="M314" t="n">
        <v>0</v>
      </c>
      <c r="N314" t="n">
        <v>0</v>
      </c>
      <c r="O314" t="n">
        <v>0</v>
      </c>
      <c r="P314" t="n">
        <v>0</v>
      </c>
      <c r="Q314" t="n">
        <v>0</v>
      </c>
      <c r="R314" s="2" t="inlineStr"/>
    </row>
    <row r="315" ht="15" customHeight="1">
      <c r="A315" t="inlineStr">
        <is>
          <t>A 51559-2024</t>
        </is>
      </c>
      <c r="B315" s="1" t="n">
        <v>45604.61431712963</v>
      </c>
      <c r="C315" s="1" t="n">
        <v>45879</v>
      </c>
      <c r="D315" t="inlineStr">
        <is>
          <t>ÖSTERGÖTLANDS LÄN</t>
        </is>
      </c>
      <c r="E315" t="inlineStr">
        <is>
          <t>LINKÖPING</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62501-2023</t>
        </is>
      </c>
      <c r="B316" s="1" t="n">
        <v>45268</v>
      </c>
      <c r="C316" s="1" t="n">
        <v>45879</v>
      </c>
      <c r="D316" t="inlineStr">
        <is>
          <t>ÖSTERGÖTLANDS LÄN</t>
        </is>
      </c>
      <c r="E316" t="inlineStr">
        <is>
          <t>LINKÖPING</t>
        </is>
      </c>
      <c r="G316" t="n">
        <v>7.4</v>
      </c>
      <c r="H316" t="n">
        <v>0</v>
      </c>
      <c r="I316" t="n">
        <v>0</v>
      </c>
      <c r="J316" t="n">
        <v>0</v>
      </c>
      <c r="K316" t="n">
        <v>0</v>
      </c>
      <c r="L316" t="n">
        <v>0</v>
      </c>
      <c r="M316" t="n">
        <v>0</v>
      </c>
      <c r="N316" t="n">
        <v>0</v>
      </c>
      <c r="O316" t="n">
        <v>0</v>
      </c>
      <c r="P316" t="n">
        <v>0</v>
      </c>
      <c r="Q316" t="n">
        <v>0</v>
      </c>
      <c r="R316" s="2" t="inlineStr"/>
    </row>
    <row r="317" ht="15" customHeight="1">
      <c r="A317" t="inlineStr">
        <is>
          <t>A 58947-2022</t>
        </is>
      </c>
      <c r="B317" s="1" t="n">
        <v>44903.64769675926</v>
      </c>
      <c r="C317" s="1" t="n">
        <v>45879</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30435-2024</t>
        </is>
      </c>
      <c r="B318" s="1" t="n">
        <v>45491.69962962963</v>
      </c>
      <c r="C318" s="1" t="n">
        <v>45879</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49979-2022</t>
        </is>
      </c>
      <c r="B319" s="1" t="n">
        <v>44865</v>
      </c>
      <c r="C319" s="1" t="n">
        <v>45879</v>
      </c>
      <c r="D319" t="inlineStr">
        <is>
          <t>ÖSTERGÖTLANDS LÄN</t>
        </is>
      </c>
      <c r="E319" t="inlineStr">
        <is>
          <t>LINKÖPING</t>
        </is>
      </c>
      <c r="F319" t="inlineStr">
        <is>
          <t>Övriga Aktiebolag</t>
        </is>
      </c>
      <c r="G319" t="n">
        <v>11.4</v>
      </c>
      <c r="H319" t="n">
        <v>0</v>
      </c>
      <c r="I319" t="n">
        <v>0</v>
      </c>
      <c r="J319" t="n">
        <v>0</v>
      </c>
      <c r="K319" t="n">
        <v>0</v>
      </c>
      <c r="L319" t="n">
        <v>0</v>
      </c>
      <c r="M319" t="n">
        <v>0</v>
      </c>
      <c r="N319" t="n">
        <v>0</v>
      </c>
      <c r="O319" t="n">
        <v>0</v>
      </c>
      <c r="P319" t="n">
        <v>0</v>
      </c>
      <c r="Q319" t="n">
        <v>0</v>
      </c>
      <c r="R319" s="2" t="inlineStr"/>
    </row>
    <row r="320" ht="15" customHeight="1">
      <c r="A320" t="inlineStr">
        <is>
          <t>A 53816-2023</t>
        </is>
      </c>
      <c r="B320" s="1" t="n">
        <v>45231.40012731482</v>
      </c>
      <c r="C320" s="1" t="n">
        <v>45879</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36557-2023</t>
        </is>
      </c>
      <c r="B321" s="1" t="n">
        <v>45153</v>
      </c>
      <c r="C321" s="1" t="n">
        <v>45879</v>
      </c>
      <c r="D321" t="inlineStr">
        <is>
          <t>ÖSTERGÖTLANDS LÄN</t>
        </is>
      </c>
      <c r="E321" t="inlineStr">
        <is>
          <t>LINKÖPING</t>
        </is>
      </c>
      <c r="F321" t="inlineStr">
        <is>
          <t>Övriga Aktiebolag</t>
        </is>
      </c>
      <c r="G321" t="n">
        <v>3.1</v>
      </c>
      <c r="H321" t="n">
        <v>0</v>
      </c>
      <c r="I321" t="n">
        <v>0</v>
      </c>
      <c r="J321" t="n">
        <v>0</v>
      </c>
      <c r="K321" t="n">
        <v>0</v>
      </c>
      <c r="L321" t="n">
        <v>0</v>
      </c>
      <c r="M321" t="n">
        <v>0</v>
      </c>
      <c r="N321" t="n">
        <v>0</v>
      </c>
      <c r="O321" t="n">
        <v>0</v>
      </c>
      <c r="P321" t="n">
        <v>0</v>
      </c>
      <c r="Q321" t="n">
        <v>0</v>
      </c>
      <c r="R321" s="2" t="inlineStr"/>
    </row>
    <row r="322" ht="15" customHeight="1">
      <c r="A322" t="inlineStr">
        <is>
          <t>A 6599-2023</t>
        </is>
      </c>
      <c r="B322" s="1" t="n">
        <v>44966.52603009259</v>
      </c>
      <c r="C322" s="1" t="n">
        <v>45879</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53827-2023</t>
        </is>
      </c>
      <c r="B323" s="1" t="n">
        <v>45230</v>
      </c>
      <c r="C323" s="1" t="n">
        <v>45879</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43473-2024</t>
        </is>
      </c>
      <c r="B324" s="1" t="n">
        <v>45568</v>
      </c>
      <c r="C324" s="1" t="n">
        <v>45879</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62353-2022</t>
        </is>
      </c>
      <c r="B325" s="1" t="n">
        <v>44923</v>
      </c>
      <c r="C325" s="1" t="n">
        <v>45879</v>
      </c>
      <c r="D325" t="inlineStr">
        <is>
          <t>ÖSTERGÖTLANDS LÄN</t>
        </is>
      </c>
      <c r="E325" t="inlineStr">
        <is>
          <t>LINKÖPING</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15754-2025</t>
        </is>
      </c>
      <c r="B326" s="1" t="n">
        <v>45748.56105324074</v>
      </c>
      <c r="C326" s="1" t="n">
        <v>45879</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4298-2023</t>
        </is>
      </c>
      <c r="B327" s="1" t="n">
        <v>44953</v>
      </c>
      <c r="C327" s="1" t="n">
        <v>45879</v>
      </c>
      <c r="D327" t="inlineStr">
        <is>
          <t>ÖSTERGÖTLANDS LÄN</t>
        </is>
      </c>
      <c r="E327" t="inlineStr">
        <is>
          <t>LINKÖPING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940-2023</t>
        </is>
      </c>
      <c r="B328" s="1" t="n">
        <v>44933</v>
      </c>
      <c r="C328" s="1" t="n">
        <v>45879</v>
      </c>
      <c r="D328" t="inlineStr">
        <is>
          <t>ÖSTERGÖTLANDS LÄN</t>
        </is>
      </c>
      <c r="E328" t="inlineStr">
        <is>
          <t>LINKÖPING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18145-2021</t>
        </is>
      </c>
      <c r="B329" s="1" t="n">
        <v>44302</v>
      </c>
      <c r="C329" s="1" t="n">
        <v>45879</v>
      </c>
      <c r="D329" t="inlineStr">
        <is>
          <t>ÖSTERGÖTLANDS LÄN</t>
        </is>
      </c>
      <c r="E329" t="inlineStr">
        <is>
          <t>LINKÖPING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7992-2023</t>
        </is>
      </c>
      <c r="B330" s="1" t="n">
        <v>44970</v>
      </c>
      <c r="C330" s="1" t="n">
        <v>45879</v>
      </c>
      <c r="D330" t="inlineStr">
        <is>
          <t>ÖSTERGÖTLANDS LÄN</t>
        </is>
      </c>
      <c r="E330" t="inlineStr">
        <is>
          <t>LINKÖPING</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45819-2024</t>
        </is>
      </c>
      <c r="B331" s="1" t="n">
        <v>45579.7454050926</v>
      </c>
      <c r="C331" s="1" t="n">
        <v>45879</v>
      </c>
      <c r="D331" t="inlineStr">
        <is>
          <t>ÖSTERGÖTLANDS LÄN</t>
        </is>
      </c>
      <c r="E331" t="inlineStr">
        <is>
          <t>LINKÖPING</t>
        </is>
      </c>
      <c r="G331" t="n">
        <v>5</v>
      </c>
      <c r="H331" t="n">
        <v>0</v>
      </c>
      <c r="I331" t="n">
        <v>0</v>
      </c>
      <c r="J331" t="n">
        <v>0</v>
      </c>
      <c r="K331" t="n">
        <v>0</v>
      </c>
      <c r="L331" t="n">
        <v>0</v>
      </c>
      <c r="M331" t="n">
        <v>0</v>
      </c>
      <c r="N331" t="n">
        <v>0</v>
      </c>
      <c r="O331" t="n">
        <v>0</v>
      </c>
      <c r="P331" t="n">
        <v>0</v>
      </c>
      <c r="Q331" t="n">
        <v>0</v>
      </c>
      <c r="R331" s="2" t="inlineStr"/>
    </row>
    <row r="332" ht="15" customHeight="1">
      <c r="A332" t="inlineStr">
        <is>
          <t>A 25568-2024</t>
        </is>
      </c>
      <c r="B332" s="1" t="n">
        <v>45463.58699074074</v>
      </c>
      <c r="C332" s="1" t="n">
        <v>45879</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3041-2024</t>
        </is>
      </c>
      <c r="B333" s="1" t="n">
        <v>45316.34875</v>
      </c>
      <c r="C333" s="1" t="n">
        <v>45879</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3043-2024</t>
        </is>
      </c>
      <c r="B334" s="1" t="n">
        <v>45316</v>
      </c>
      <c r="C334" s="1" t="n">
        <v>45879</v>
      </c>
      <c r="D334" t="inlineStr">
        <is>
          <t>ÖSTERGÖTLANDS LÄN</t>
        </is>
      </c>
      <c r="E334" t="inlineStr">
        <is>
          <t>LINKÖPING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38136-2023</t>
        </is>
      </c>
      <c r="B335" s="1" t="n">
        <v>45161.37310185185</v>
      </c>
      <c r="C335" s="1" t="n">
        <v>45879</v>
      </c>
      <c r="D335" t="inlineStr">
        <is>
          <t>ÖSTERGÖTLANDS LÄN</t>
        </is>
      </c>
      <c r="E335" t="inlineStr">
        <is>
          <t>LINKÖPING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12317-2025</t>
        </is>
      </c>
      <c r="B336" s="1" t="n">
        <v>45729.8487037037</v>
      </c>
      <c r="C336" s="1" t="n">
        <v>45879</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14528-2025</t>
        </is>
      </c>
      <c r="B337" s="1" t="n">
        <v>45741</v>
      </c>
      <c r="C337" s="1" t="n">
        <v>45879</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61649-2023</t>
        </is>
      </c>
      <c r="B338" s="1" t="n">
        <v>45265</v>
      </c>
      <c r="C338" s="1" t="n">
        <v>45879</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60985-2023</t>
        </is>
      </c>
      <c r="B339" s="1" t="n">
        <v>45261.48429398148</v>
      </c>
      <c r="C339" s="1" t="n">
        <v>45879</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421-2024</t>
        </is>
      </c>
      <c r="B340" s="1" t="n">
        <v>45296.51877314815</v>
      </c>
      <c r="C340" s="1" t="n">
        <v>45879</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13691-2025</t>
        </is>
      </c>
      <c r="B341" s="1" t="n">
        <v>45737.31671296297</v>
      </c>
      <c r="C341" s="1" t="n">
        <v>45879</v>
      </c>
      <c r="D341" t="inlineStr">
        <is>
          <t>ÖSTERGÖTLANDS LÄN</t>
        </is>
      </c>
      <c r="E341" t="inlineStr">
        <is>
          <t>LINKÖPING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42413-2020</t>
        </is>
      </c>
      <c r="B342" s="1" t="n">
        <v>44076</v>
      </c>
      <c r="C342" s="1" t="n">
        <v>45879</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51405-2023</t>
        </is>
      </c>
      <c r="B343" s="1" t="n">
        <v>45219</v>
      </c>
      <c r="C343" s="1" t="n">
        <v>45879</v>
      </c>
      <c r="D343" t="inlineStr">
        <is>
          <t>ÖSTERGÖTLANDS LÄN</t>
        </is>
      </c>
      <c r="E343" t="inlineStr">
        <is>
          <t>LINKÖPING</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53639-2023</t>
        </is>
      </c>
      <c r="B344" s="1" t="n">
        <v>45230.59686342593</v>
      </c>
      <c r="C344" s="1" t="n">
        <v>45879</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24467-2023</t>
        </is>
      </c>
      <c r="B345" s="1" t="n">
        <v>45082</v>
      </c>
      <c r="C345" s="1" t="n">
        <v>45879</v>
      </c>
      <c r="D345" t="inlineStr">
        <is>
          <t>ÖSTERGÖTLANDS LÄN</t>
        </is>
      </c>
      <c r="E345" t="inlineStr">
        <is>
          <t>LINKÖPING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3530-2024</t>
        </is>
      </c>
      <c r="B346" s="1" t="n">
        <v>45320.54717592592</v>
      </c>
      <c r="C346" s="1" t="n">
        <v>45879</v>
      </c>
      <c r="D346" t="inlineStr">
        <is>
          <t>ÖSTERGÖTLANDS LÄN</t>
        </is>
      </c>
      <c r="E346" t="inlineStr">
        <is>
          <t>LINKÖPING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62488-2023</t>
        </is>
      </c>
      <c r="B347" s="1" t="n">
        <v>45268.5847337963</v>
      </c>
      <c r="C347" s="1" t="n">
        <v>45879</v>
      </c>
      <c r="D347" t="inlineStr">
        <is>
          <t>ÖSTERGÖTLANDS LÄN</t>
        </is>
      </c>
      <c r="E347" t="inlineStr">
        <is>
          <t>LINKÖPING</t>
        </is>
      </c>
      <c r="G347" t="n">
        <v>4.1</v>
      </c>
      <c r="H347" t="n">
        <v>0</v>
      </c>
      <c r="I347" t="n">
        <v>0</v>
      </c>
      <c r="J347" t="n">
        <v>0</v>
      </c>
      <c r="K347" t="n">
        <v>0</v>
      </c>
      <c r="L347" t="n">
        <v>0</v>
      </c>
      <c r="M347" t="n">
        <v>0</v>
      </c>
      <c r="N347" t="n">
        <v>0</v>
      </c>
      <c r="O347" t="n">
        <v>0</v>
      </c>
      <c r="P347" t="n">
        <v>0</v>
      </c>
      <c r="Q347" t="n">
        <v>0</v>
      </c>
      <c r="R347" s="2" t="inlineStr"/>
    </row>
    <row r="348" ht="15" customHeight="1">
      <c r="A348" t="inlineStr">
        <is>
          <t>A 62495-2023</t>
        </is>
      </c>
      <c r="B348" s="1" t="n">
        <v>45268.59717592593</v>
      </c>
      <c r="C348" s="1" t="n">
        <v>45879</v>
      </c>
      <c r="D348" t="inlineStr">
        <is>
          <t>ÖSTERGÖTLANDS LÄN</t>
        </is>
      </c>
      <c r="E348" t="inlineStr">
        <is>
          <t>LINKÖPING</t>
        </is>
      </c>
      <c r="G348" t="n">
        <v>4.1</v>
      </c>
      <c r="H348" t="n">
        <v>0</v>
      </c>
      <c r="I348" t="n">
        <v>0</v>
      </c>
      <c r="J348" t="n">
        <v>0</v>
      </c>
      <c r="K348" t="n">
        <v>0</v>
      </c>
      <c r="L348" t="n">
        <v>0</v>
      </c>
      <c r="M348" t="n">
        <v>0</v>
      </c>
      <c r="N348" t="n">
        <v>0</v>
      </c>
      <c r="O348" t="n">
        <v>0</v>
      </c>
      <c r="P348" t="n">
        <v>0</v>
      </c>
      <c r="Q348" t="n">
        <v>0</v>
      </c>
      <c r="R348" s="2" t="inlineStr"/>
    </row>
    <row r="349" ht="15" customHeight="1">
      <c r="A349" t="inlineStr">
        <is>
          <t>A 44535-2020</t>
        </is>
      </c>
      <c r="B349" s="1" t="n">
        <v>44085</v>
      </c>
      <c r="C349" s="1" t="n">
        <v>45879</v>
      </c>
      <c r="D349" t="inlineStr">
        <is>
          <t>ÖSTERGÖTLANDS LÄN</t>
        </is>
      </c>
      <c r="E349" t="inlineStr">
        <is>
          <t>LINKÖPING</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10198-2023</t>
        </is>
      </c>
      <c r="B350" s="1" t="n">
        <v>44986.54665509259</v>
      </c>
      <c r="C350" s="1" t="n">
        <v>45879</v>
      </c>
      <c r="D350" t="inlineStr">
        <is>
          <t>ÖSTERGÖTLANDS LÄN</t>
        </is>
      </c>
      <c r="E350" t="inlineStr">
        <is>
          <t>LINKÖPING</t>
        </is>
      </c>
      <c r="G350" t="n">
        <v>4.6</v>
      </c>
      <c r="H350" t="n">
        <v>0</v>
      </c>
      <c r="I350" t="n">
        <v>0</v>
      </c>
      <c r="J350" t="n">
        <v>0</v>
      </c>
      <c r="K350" t="n">
        <v>0</v>
      </c>
      <c r="L350" t="n">
        <v>0</v>
      </c>
      <c r="M350" t="n">
        <v>0</v>
      </c>
      <c r="N350" t="n">
        <v>0</v>
      </c>
      <c r="O350" t="n">
        <v>0</v>
      </c>
      <c r="P350" t="n">
        <v>0</v>
      </c>
      <c r="Q350" t="n">
        <v>0</v>
      </c>
      <c r="R350" s="2" t="inlineStr"/>
    </row>
    <row r="351" ht="15" customHeight="1">
      <c r="A351" t="inlineStr">
        <is>
          <t>A 62686-2023</t>
        </is>
      </c>
      <c r="B351" s="1" t="n">
        <v>45271</v>
      </c>
      <c r="C351" s="1" t="n">
        <v>45879</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22771-2024</t>
        </is>
      </c>
      <c r="B352" s="1" t="n">
        <v>45448.46574074074</v>
      </c>
      <c r="C352" s="1" t="n">
        <v>45879</v>
      </c>
      <c r="D352" t="inlineStr">
        <is>
          <t>ÖSTERGÖTLANDS LÄN</t>
        </is>
      </c>
      <c r="E352" t="inlineStr">
        <is>
          <t>LINKÖPING</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17128-2025</t>
        </is>
      </c>
      <c r="B353" s="1" t="n">
        <v>45755.72622685185</v>
      </c>
      <c r="C353" s="1" t="n">
        <v>45879</v>
      </c>
      <c r="D353" t="inlineStr">
        <is>
          <t>ÖSTERGÖTLANDS LÄN</t>
        </is>
      </c>
      <c r="E353" t="inlineStr">
        <is>
          <t>LINKÖPING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61532-2021</t>
        </is>
      </c>
      <c r="B354" s="1" t="n">
        <v>44501</v>
      </c>
      <c r="C354" s="1" t="n">
        <v>45879</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55345-2021</t>
        </is>
      </c>
      <c r="B355" s="1" t="n">
        <v>44475</v>
      </c>
      <c r="C355" s="1" t="n">
        <v>45879</v>
      </c>
      <c r="D355" t="inlineStr">
        <is>
          <t>ÖSTERGÖTLANDS LÄN</t>
        </is>
      </c>
      <c r="E355" t="inlineStr">
        <is>
          <t>LINKÖPING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3374-2023</t>
        </is>
      </c>
      <c r="B356" s="1" t="n">
        <v>44949</v>
      </c>
      <c r="C356" s="1" t="n">
        <v>45879</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224-2024</t>
        </is>
      </c>
      <c r="B357" s="1" t="n">
        <v>45294</v>
      </c>
      <c r="C357" s="1" t="n">
        <v>45879</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6726-2024</t>
        </is>
      </c>
      <c r="B358" s="1" t="n">
        <v>45341</v>
      </c>
      <c r="C358" s="1" t="n">
        <v>45879</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63489-2023</t>
        </is>
      </c>
      <c r="B359" s="1" t="n">
        <v>45274.66761574074</v>
      </c>
      <c r="C359" s="1" t="n">
        <v>45879</v>
      </c>
      <c r="D359" t="inlineStr">
        <is>
          <t>ÖSTERGÖTLANDS LÄN</t>
        </is>
      </c>
      <c r="E359" t="inlineStr">
        <is>
          <t>LINKÖPING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70-2024</t>
        </is>
      </c>
      <c r="B360" s="1" t="n">
        <v>45293</v>
      </c>
      <c r="C360" s="1" t="n">
        <v>45879</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62018-2024</t>
        </is>
      </c>
      <c r="B361" s="1" t="n">
        <v>45655.81387731482</v>
      </c>
      <c r="C361" s="1" t="n">
        <v>45879</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62073-2023</t>
        </is>
      </c>
      <c r="B362" s="1" t="n">
        <v>45266.73844907407</v>
      </c>
      <c r="C362" s="1" t="n">
        <v>45879</v>
      </c>
      <c r="D362" t="inlineStr">
        <is>
          <t>ÖSTERGÖTLANDS LÄN</t>
        </is>
      </c>
      <c r="E362" t="inlineStr">
        <is>
          <t>LINKÖPING</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6782-2024</t>
        </is>
      </c>
      <c r="B363" s="1" t="n">
        <v>45342</v>
      </c>
      <c r="C363" s="1" t="n">
        <v>45879</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72567-2021</t>
        </is>
      </c>
      <c r="B364" s="1" t="n">
        <v>44546.45023148148</v>
      </c>
      <c r="C364" s="1" t="n">
        <v>45879</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672-2024</t>
        </is>
      </c>
      <c r="B365" s="1" t="n">
        <v>45300</v>
      </c>
      <c r="C365" s="1" t="n">
        <v>45879</v>
      </c>
      <c r="D365" t="inlineStr">
        <is>
          <t>ÖSTERGÖTLANDS LÄN</t>
        </is>
      </c>
      <c r="E365" t="inlineStr">
        <is>
          <t>LINKÖPING</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45299.66028935185</v>
      </c>
      <c r="C366" s="1" t="n">
        <v>45879</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45300.3408912037</v>
      </c>
      <c r="C367" s="1" t="n">
        <v>45879</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45879</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42832-2023</t>
        </is>
      </c>
      <c r="B369" s="1" t="n">
        <v>45182.38091435185</v>
      </c>
      <c r="C369" s="1" t="n">
        <v>45879</v>
      </c>
      <c r="D369" t="inlineStr">
        <is>
          <t>ÖSTERGÖTLANDS LÄN</t>
        </is>
      </c>
      <c r="E369" t="inlineStr">
        <is>
          <t>LINKÖPING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53814-2023</t>
        </is>
      </c>
      <c r="B370" s="1" t="n">
        <v>45231</v>
      </c>
      <c r="C370" s="1" t="n">
        <v>45879</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1084-2023</t>
        </is>
      </c>
      <c r="B371" s="1" t="n">
        <v>44929</v>
      </c>
      <c r="C371" s="1" t="n">
        <v>45879</v>
      </c>
      <c r="D371" t="inlineStr">
        <is>
          <t>ÖSTERGÖTLANDS LÄN</t>
        </is>
      </c>
      <c r="E371" t="inlineStr">
        <is>
          <t>LINKÖPING</t>
        </is>
      </c>
      <c r="G371" t="n">
        <v>10.4</v>
      </c>
      <c r="H371" t="n">
        <v>0</v>
      </c>
      <c r="I371" t="n">
        <v>0</v>
      </c>
      <c r="J371" t="n">
        <v>0</v>
      </c>
      <c r="K371" t="n">
        <v>0</v>
      </c>
      <c r="L371" t="n">
        <v>0</v>
      </c>
      <c r="M371" t="n">
        <v>0</v>
      </c>
      <c r="N371" t="n">
        <v>0</v>
      </c>
      <c r="O371" t="n">
        <v>0</v>
      </c>
      <c r="P371" t="n">
        <v>0</v>
      </c>
      <c r="Q371" t="n">
        <v>0</v>
      </c>
      <c r="R371" s="2" t="inlineStr"/>
    </row>
    <row r="372" ht="15" customHeight="1">
      <c r="A372" t="inlineStr">
        <is>
          <t>A 5872-2025</t>
        </is>
      </c>
      <c r="B372" s="1" t="n">
        <v>45695.36659722222</v>
      </c>
      <c r="C372" s="1" t="n">
        <v>45879</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59674-2024</t>
        </is>
      </c>
      <c r="B373" s="1" t="n">
        <v>45639</v>
      </c>
      <c r="C373" s="1" t="n">
        <v>45879</v>
      </c>
      <c r="D373" t="inlineStr">
        <is>
          <t>ÖSTERGÖTLANDS LÄN</t>
        </is>
      </c>
      <c r="E373" t="inlineStr">
        <is>
          <t>LINKÖPING</t>
        </is>
      </c>
      <c r="G373" t="n">
        <v>6.3</v>
      </c>
      <c r="H373" t="n">
        <v>0</v>
      </c>
      <c r="I373" t="n">
        <v>0</v>
      </c>
      <c r="J373" t="n">
        <v>0</v>
      </c>
      <c r="K373" t="n">
        <v>0</v>
      </c>
      <c r="L373" t="n">
        <v>0</v>
      </c>
      <c r="M373" t="n">
        <v>0</v>
      </c>
      <c r="N373" t="n">
        <v>0</v>
      </c>
      <c r="O373" t="n">
        <v>0</v>
      </c>
      <c r="P373" t="n">
        <v>0</v>
      </c>
      <c r="Q373" t="n">
        <v>0</v>
      </c>
      <c r="R373" s="2" t="inlineStr"/>
    </row>
    <row r="374" ht="15" customHeight="1">
      <c r="A374" t="inlineStr">
        <is>
          <t>A 29859-2024</t>
        </is>
      </c>
      <c r="B374" s="1" t="n">
        <v>45485.6846412037</v>
      </c>
      <c r="C374" s="1" t="n">
        <v>45879</v>
      </c>
      <c r="D374" t="inlineStr">
        <is>
          <t>ÖSTERGÖTLANDS LÄN</t>
        </is>
      </c>
      <c r="E374" t="inlineStr">
        <is>
          <t>LINKÖPING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1705-2025</t>
        </is>
      </c>
      <c r="B375" s="1" t="n">
        <v>45670.86015046296</v>
      </c>
      <c r="C375" s="1" t="n">
        <v>45879</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51571-2024</t>
        </is>
      </c>
      <c r="B376" s="1" t="n">
        <v>45604</v>
      </c>
      <c r="C376" s="1" t="n">
        <v>45879</v>
      </c>
      <c r="D376" t="inlineStr">
        <is>
          <t>ÖSTERGÖTLANDS LÄN</t>
        </is>
      </c>
      <c r="E376" t="inlineStr">
        <is>
          <t>LINKÖPING</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223-2024</t>
        </is>
      </c>
      <c r="B377" s="1" t="n">
        <v>45294.72739583333</v>
      </c>
      <c r="C377" s="1" t="n">
        <v>45879</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227-2024</t>
        </is>
      </c>
      <c r="B378" s="1" t="n">
        <v>45294.73603009259</v>
      </c>
      <c r="C378" s="1" t="n">
        <v>45879</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59576-2024</t>
        </is>
      </c>
      <c r="B379" s="1" t="n">
        <v>45638.66378472222</v>
      </c>
      <c r="C379" s="1" t="n">
        <v>45879</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60004-2022</t>
        </is>
      </c>
      <c r="B380" s="1" t="n">
        <v>44909.47206018519</v>
      </c>
      <c r="C380" s="1" t="n">
        <v>45879</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52796-2023</t>
        </is>
      </c>
      <c r="B381" s="1" t="n">
        <v>45219</v>
      </c>
      <c r="C381" s="1" t="n">
        <v>45879</v>
      </c>
      <c r="D381" t="inlineStr">
        <is>
          <t>ÖSTERGÖTLANDS LÄN</t>
        </is>
      </c>
      <c r="E381" t="inlineStr">
        <is>
          <t>LINKÖPING</t>
        </is>
      </c>
      <c r="F381" t="inlineStr">
        <is>
          <t>Övriga statliga verk och myndigheter</t>
        </is>
      </c>
      <c r="G381" t="n">
        <v>3.9</v>
      </c>
      <c r="H381" t="n">
        <v>0</v>
      </c>
      <c r="I381" t="n">
        <v>0</v>
      </c>
      <c r="J381" t="n">
        <v>0</v>
      </c>
      <c r="K381" t="n">
        <v>0</v>
      </c>
      <c r="L381" t="n">
        <v>0</v>
      </c>
      <c r="M381" t="n">
        <v>0</v>
      </c>
      <c r="N381" t="n">
        <v>0</v>
      </c>
      <c r="O381" t="n">
        <v>0</v>
      </c>
      <c r="P381" t="n">
        <v>0</v>
      </c>
      <c r="Q381" t="n">
        <v>0</v>
      </c>
      <c r="R381" s="2" t="inlineStr"/>
    </row>
    <row r="382" ht="15" customHeight="1">
      <c r="A382" t="inlineStr">
        <is>
          <t>A 50743-2023</t>
        </is>
      </c>
      <c r="B382" s="1" t="n">
        <v>45217</v>
      </c>
      <c r="C382" s="1" t="n">
        <v>45879</v>
      </c>
      <c r="D382" t="inlineStr">
        <is>
          <t>ÖSTERGÖTLANDS LÄN</t>
        </is>
      </c>
      <c r="E382" t="inlineStr">
        <is>
          <t>LINKÖPING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45771-2023</t>
        </is>
      </c>
      <c r="B383" s="1" t="n">
        <v>45195.4384375</v>
      </c>
      <c r="C383" s="1" t="n">
        <v>45879</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56917-2022</t>
        </is>
      </c>
      <c r="B384" s="1" t="n">
        <v>44894</v>
      </c>
      <c r="C384" s="1" t="n">
        <v>45879</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51583-2024</t>
        </is>
      </c>
      <c r="B385" s="1" t="n">
        <v>45604.6397337963</v>
      </c>
      <c r="C385" s="1" t="n">
        <v>45879</v>
      </c>
      <c r="D385" t="inlineStr">
        <is>
          <t>ÖSTERGÖTLANDS LÄN</t>
        </is>
      </c>
      <c r="E385" t="inlineStr">
        <is>
          <t>LINKÖPING</t>
        </is>
      </c>
      <c r="F385" t="inlineStr">
        <is>
          <t>Övriga Aktiebolag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62019-2024</t>
        </is>
      </c>
      <c r="B386" s="1" t="n">
        <v>45655.82</v>
      </c>
      <c r="C386" s="1" t="n">
        <v>45879</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38317-2024</t>
        </is>
      </c>
      <c r="B387" s="1" t="n">
        <v>45545.65766203704</v>
      </c>
      <c r="C387" s="1" t="n">
        <v>45879</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63554-2023</t>
        </is>
      </c>
      <c r="B388" s="1" t="n">
        <v>45275</v>
      </c>
      <c r="C388" s="1" t="n">
        <v>45879</v>
      </c>
      <c r="D388" t="inlineStr">
        <is>
          <t>ÖSTERGÖTLANDS LÄN</t>
        </is>
      </c>
      <c r="E388" t="inlineStr">
        <is>
          <t>LINKÖPING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30111-2024</t>
        </is>
      </c>
      <c r="B389" s="1" t="n">
        <v>45489.46947916667</v>
      </c>
      <c r="C389" s="1" t="n">
        <v>45879</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30119-2024</t>
        </is>
      </c>
      <c r="B390" s="1" t="n">
        <v>45489</v>
      </c>
      <c r="C390" s="1" t="n">
        <v>45879</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6206-2024</t>
        </is>
      </c>
      <c r="B391" s="1" t="n">
        <v>45337.5977662037</v>
      </c>
      <c r="C391" s="1" t="n">
        <v>45879</v>
      </c>
      <c r="D391" t="inlineStr">
        <is>
          <t>ÖSTERGÖTLANDS LÄN</t>
        </is>
      </c>
      <c r="E391" t="inlineStr">
        <is>
          <t>LINKÖPING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45879</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45879</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45879</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45879</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50182-2023</t>
        </is>
      </c>
      <c r="B396" s="1" t="n">
        <v>45208</v>
      </c>
      <c r="C396" s="1" t="n">
        <v>45879</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45879</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45879</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15714-2024</t>
        </is>
      </c>
      <c r="B399" s="1" t="n">
        <v>45404.48288194444</v>
      </c>
      <c r="C399" s="1" t="n">
        <v>45879</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6054-2022</t>
        </is>
      </c>
      <c r="B400" s="1" t="n">
        <v>44599.53623842593</v>
      </c>
      <c r="C400" s="1" t="n">
        <v>45879</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1844-2025</t>
        </is>
      </c>
      <c r="B401" s="1" t="n">
        <v>45671.57730324074</v>
      </c>
      <c r="C401" s="1" t="n">
        <v>45879</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45879</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25119-2023</t>
        </is>
      </c>
      <c r="B403" s="1" t="n">
        <v>45086.42326388889</v>
      </c>
      <c r="C403" s="1" t="n">
        <v>45879</v>
      </c>
      <c r="D403" t="inlineStr">
        <is>
          <t>ÖSTERGÖTLANDS LÄN</t>
        </is>
      </c>
      <c r="E403" t="inlineStr">
        <is>
          <t>LINKÖPING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20469-2025</t>
        </is>
      </c>
      <c r="B404" s="1" t="n">
        <v>45775</v>
      </c>
      <c r="C404" s="1" t="n">
        <v>45879</v>
      </c>
      <c r="D404" t="inlineStr">
        <is>
          <t>ÖSTERGÖTLANDS LÄN</t>
        </is>
      </c>
      <c r="E404" t="inlineStr">
        <is>
          <t>LINKÖPING</t>
        </is>
      </c>
      <c r="F404" t="inlineStr">
        <is>
          <t>Kyrkan</t>
        </is>
      </c>
      <c r="G404" t="n">
        <v>6.1</v>
      </c>
      <c r="H404" t="n">
        <v>0</v>
      </c>
      <c r="I404" t="n">
        <v>0</v>
      </c>
      <c r="J404" t="n">
        <v>0</v>
      </c>
      <c r="K404" t="n">
        <v>0</v>
      </c>
      <c r="L404" t="n">
        <v>0</v>
      </c>
      <c r="M404" t="n">
        <v>0</v>
      </c>
      <c r="N404" t="n">
        <v>0</v>
      </c>
      <c r="O404" t="n">
        <v>0</v>
      </c>
      <c r="P404" t="n">
        <v>0</v>
      </c>
      <c r="Q404" t="n">
        <v>0</v>
      </c>
      <c r="R404" s="2" t="inlineStr"/>
    </row>
    <row r="405" ht="15" customHeight="1">
      <c r="A405" t="inlineStr">
        <is>
          <t>A 55265-2020</t>
        </is>
      </c>
      <c r="B405" s="1" t="n">
        <v>44130</v>
      </c>
      <c r="C405" s="1" t="n">
        <v>45879</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74160-2021</t>
        </is>
      </c>
      <c r="B406" s="1" t="n">
        <v>44558</v>
      </c>
      <c r="C406" s="1" t="n">
        <v>45879</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4456-2024</t>
        </is>
      </c>
      <c r="B407" s="1" t="n">
        <v>45327.52847222222</v>
      </c>
      <c r="C407" s="1" t="n">
        <v>45879</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58114-2021</t>
        </is>
      </c>
      <c r="B408" s="1" t="n">
        <v>44487</v>
      </c>
      <c r="C408" s="1" t="n">
        <v>45879</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21164-2025</t>
        </is>
      </c>
      <c r="B409" s="1" t="n">
        <v>45779.38840277777</v>
      </c>
      <c r="C409" s="1" t="n">
        <v>45879</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21154-2025</t>
        </is>
      </c>
      <c r="B410" s="1" t="n">
        <v>45779.36340277778</v>
      </c>
      <c r="C410" s="1" t="n">
        <v>45879</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21155-2025</t>
        </is>
      </c>
      <c r="B411" s="1" t="n">
        <v>45779.37586805555</v>
      </c>
      <c r="C411" s="1" t="n">
        <v>45879</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63559-2023</t>
        </is>
      </c>
      <c r="B412" s="1" t="n">
        <v>45275.35924768518</v>
      </c>
      <c r="C412" s="1" t="n">
        <v>45879</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52892-2024</t>
        </is>
      </c>
      <c r="B413" s="1" t="n">
        <v>45610</v>
      </c>
      <c r="C413" s="1" t="n">
        <v>45879</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21165-2025</t>
        </is>
      </c>
      <c r="B414" s="1" t="n">
        <v>45779.39417824074</v>
      </c>
      <c r="C414" s="1" t="n">
        <v>45879</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23491-2024</t>
        </is>
      </c>
      <c r="B415" s="1" t="n">
        <v>45453</v>
      </c>
      <c r="C415" s="1" t="n">
        <v>45879</v>
      </c>
      <c r="D415" t="inlineStr">
        <is>
          <t>ÖSTERGÖTLANDS LÄN</t>
        </is>
      </c>
      <c r="E415" t="inlineStr">
        <is>
          <t>LINKÖPING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29309-2024</t>
        </is>
      </c>
      <c r="B416" s="1" t="n">
        <v>45483</v>
      </c>
      <c r="C416" s="1" t="n">
        <v>45879</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3008-2023</t>
        </is>
      </c>
      <c r="B417" s="1" t="n">
        <v>44945.79784722222</v>
      </c>
      <c r="C417" s="1" t="n">
        <v>45879</v>
      </c>
      <c r="D417" t="inlineStr">
        <is>
          <t>ÖSTERGÖTLANDS LÄN</t>
        </is>
      </c>
      <c r="E417" t="inlineStr">
        <is>
          <t>LINKÖPING</t>
        </is>
      </c>
      <c r="G417" t="n">
        <v>19.3</v>
      </c>
      <c r="H417" t="n">
        <v>0</v>
      </c>
      <c r="I417" t="n">
        <v>0</v>
      </c>
      <c r="J417" t="n">
        <v>0</v>
      </c>
      <c r="K417" t="n">
        <v>0</v>
      </c>
      <c r="L417" t="n">
        <v>0</v>
      </c>
      <c r="M417" t="n">
        <v>0</v>
      </c>
      <c r="N417" t="n">
        <v>0</v>
      </c>
      <c r="O417" t="n">
        <v>0</v>
      </c>
      <c r="P417" t="n">
        <v>0</v>
      </c>
      <c r="Q417" t="n">
        <v>0</v>
      </c>
      <c r="R417" s="2" t="inlineStr"/>
    </row>
    <row r="418" ht="15" customHeight="1">
      <c r="A418" t="inlineStr">
        <is>
          <t>A 29411-2023</t>
        </is>
      </c>
      <c r="B418" s="1" t="n">
        <v>45106.46225694445</v>
      </c>
      <c r="C418" s="1" t="n">
        <v>45879</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29412-2023</t>
        </is>
      </c>
      <c r="B419" s="1" t="n">
        <v>45106.46359953703</v>
      </c>
      <c r="C419" s="1" t="n">
        <v>45879</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29413-2023</t>
        </is>
      </c>
      <c r="B420" s="1" t="n">
        <v>45106.46465277778</v>
      </c>
      <c r="C420" s="1" t="n">
        <v>45879</v>
      </c>
      <c r="D420" t="inlineStr">
        <is>
          <t>ÖSTERGÖTLANDS LÄN</t>
        </is>
      </c>
      <c r="E420" t="inlineStr">
        <is>
          <t>LINKÖPING</t>
        </is>
      </c>
      <c r="G420" t="n">
        <v>8</v>
      </c>
      <c r="H420" t="n">
        <v>0</v>
      </c>
      <c r="I420" t="n">
        <v>0</v>
      </c>
      <c r="J420" t="n">
        <v>0</v>
      </c>
      <c r="K420" t="n">
        <v>0</v>
      </c>
      <c r="L420" t="n">
        <v>0</v>
      </c>
      <c r="M420" t="n">
        <v>0</v>
      </c>
      <c r="N420" t="n">
        <v>0</v>
      </c>
      <c r="O420" t="n">
        <v>0</v>
      </c>
      <c r="P420" t="n">
        <v>0</v>
      </c>
      <c r="Q420" t="n">
        <v>0</v>
      </c>
      <c r="R420" s="2" t="inlineStr"/>
    </row>
    <row r="421" ht="15" customHeight="1">
      <c r="A421" t="inlineStr">
        <is>
          <t>A 24151-2024</t>
        </is>
      </c>
      <c r="B421" s="1" t="n">
        <v>45456.67717592593</v>
      </c>
      <c r="C421" s="1" t="n">
        <v>45879</v>
      </c>
      <c r="D421" t="inlineStr">
        <is>
          <t>ÖSTERGÖTLANDS LÄN</t>
        </is>
      </c>
      <c r="E421" t="inlineStr">
        <is>
          <t>LINKÖPING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54491-2020</t>
        </is>
      </c>
      <c r="B422" s="1" t="n">
        <v>44126.64</v>
      </c>
      <c r="C422" s="1" t="n">
        <v>45879</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55736-2022</t>
        </is>
      </c>
      <c r="B423" s="1" t="n">
        <v>44888</v>
      </c>
      <c r="C423" s="1" t="n">
        <v>45879</v>
      </c>
      <c r="D423" t="inlineStr">
        <is>
          <t>ÖSTERGÖTLANDS LÄN</t>
        </is>
      </c>
      <c r="E423" t="inlineStr">
        <is>
          <t>LINKÖPING</t>
        </is>
      </c>
      <c r="G423" t="n">
        <v>5.5</v>
      </c>
      <c r="H423" t="n">
        <v>0</v>
      </c>
      <c r="I423" t="n">
        <v>0</v>
      </c>
      <c r="J423" t="n">
        <v>0</v>
      </c>
      <c r="K423" t="n">
        <v>0</v>
      </c>
      <c r="L423" t="n">
        <v>0</v>
      </c>
      <c r="M423" t="n">
        <v>0</v>
      </c>
      <c r="N423" t="n">
        <v>0</v>
      </c>
      <c r="O423" t="n">
        <v>0</v>
      </c>
      <c r="P423" t="n">
        <v>0</v>
      </c>
      <c r="Q423" t="n">
        <v>0</v>
      </c>
      <c r="R423" s="2" t="inlineStr"/>
    </row>
    <row r="424" ht="15" customHeight="1">
      <c r="A424" t="inlineStr">
        <is>
          <t>A 44389-2020</t>
        </is>
      </c>
      <c r="B424" s="1" t="n">
        <v>44084</v>
      </c>
      <c r="C424" s="1" t="n">
        <v>45879</v>
      </c>
      <c r="D424" t="inlineStr">
        <is>
          <t>ÖSTERGÖTLANDS LÄN</t>
        </is>
      </c>
      <c r="E424" t="inlineStr">
        <is>
          <t>LINKÖPING</t>
        </is>
      </c>
      <c r="G424" t="n">
        <v>4.7</v>
      </c>
      <c r="H424" t="n">
        <v>0</v>
      </c>
      <c r="I424" t="n">
        <v>0</v>
      </c>
      <c r="J424" t="n">
        <v>0</v>
      </c>
      <c r="K424" t="n">
        <v>0</v>
      </c>
      <c r="L424" t="n">
        <v>0</v>
      </c>
      <c r="M424" t="n">
        <v>0</v>
      </c>
      <c r="N424" t="n">
        <v>0</v>
      </c>
      <c r="O424" t="n">
        <v>0</v>
      </c>
      <c r="P424" t="n">
        <v>0</v>
      </c>
      <c r="Q424" t="n">
        <v>0</v>
      </c>
      <c r="R424" s="2" t="inlineStr"/>
    </row>
    <row r="425" ht="15" customHeight="1">
      <c r="A425" t="inlineStr">
        <is>
          <t>A 30434-2024</t>
        </is>
      </c>
      <c r="B425" s="1" t="n">
        <v>45491.69811342593</v>
      </c>
      <c r="C425" s="1" t="n">
        <v>45879</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63845-2021</t>
        </is>
      </c>
      <c r="B426" s="1" t="n">
        <v>44509</v>
      </c>
      <c r="C426" s="1" t="n">
        <v>45879</v>
      </c>
      <c r="D426" t="inlineStr">
        <is>
          <t>ÖSTERGÖTLANDS LÄN</t>
        </is>
      </c>
      <c r="E426" t="inlineStr">
        <is>
          <t>LINKÖPING</t>
        </is>
      </c>
      <c r="G426" t="n">
        <v>5</v>
      </c>
      <c r="H426" t="n">
        <v>0</v>
      </c>
      <c r="I426" t="n">
        <v>0</v>
      </c>
      <c r="J426" t="n">
        <v>0</v>
      </c>
      <c r="K426" t="n">
        <v>0</v>
      </c>
      <c r="L426" t="n">
        <v>0</v>
      </c>
      <c r="M426" t="n">
        <v>0</v>
      </c>
      <c r="N426" t="n">
        <v>0</v>
      </c>
      <c r="O426" t="n">
        <v>0</v>
      </c>
      <c r="P426" t="n">
        <v>0</v>
      </c>
      <c r="Q426" t="n">
        <v>0</v>
      </c>
      <c r="R426" s="2" t="inlineStr"/>
    </row>
    <row r="427" ht="15" customHeight="1">
      <c r="A427" t="inlineStr">
        <is>
          <t>A 57752-2023</t>
        </is>
      </c>
      <c r="B427" s="1" t="n">
        <v>45246.78474537037</v>
      </c>
      <c r="C427" s="1" t="n">
        <v>45879</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17785-2023</t>
        </is>
      </c>
      <c r="B428" s="1" t="n">
        <v>45037.55094907407</v>
      </c>
      <c r="C428" s="1" t="n">
        <v>45879</v>
      </c>
      <c r="D428" t="inlineStr">
        <is>
          <t>ÖSTERGÖTLANDS LÄN</t>
        </is>
      </c>
      <c r="E428" t="inlineStr">
        <is>
          <t>LINKÖPING</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32346-2023</t>
        </is>
      </c>
      <c r="B429" s="1" t="n">
        <v>45120</v>
      </c>
      <c r="C429" s="1" t="n">
        <v>45879</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11084-2022</t>
        </is>
      </c>
      <c r="B430" s="1" t="n">
        <v>44628</v>
      </c>
      <c r="C430" s="1" t="n">
        <v>45879</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1627-2023</t>
        </is>
      </c>
      <c r="B431" s="1" t="n">
        <v>44937</v>
      </c>
      <c r="C431" s="1" t="n">
        <v>45879</v>
      </c>
      <c r="D431" t="inlineStr">
        <is>
          <t>ÖSTERGÖTLANDS LÄN</t>
        </is>
      </c>
      <c r="E431" t="inlineStr">
        <is>
          <t>LINKÖPING</t>
        </is>
      </c>
      <c r="G431" t="n">
        <v>10.8</v>
      </c>
      <c r="H431" t="n">
        <v>0</v>
      </c>
      <c r="I431" t="n">
        <v>0</v>
      </c>
      <c r="J431" t="n">
        <v>0</v>
      </c>
      <c r="K431" t="n">
        <v>0</v>
      </c>
      <c r="L431" t="n">
        <v>0</v>
      </c>
      <c r="M431" t="n">
        <v>0</v>
      </c>
      <c r="N431" t="n">
        <v>0</v>
      </c>
      <c r="O431" t="n">
        <v>0</v>
      </c>
      <c r="P431" t="n">
        <v>0</v>
      </c>
      <c r="Q431" t="n">
        <v>0</v>
      </c>
      <c r="R431" s="2" t="inlineStr"/>
    </row>
    <row r="432" ht="15" customHeight="1">
      <c r="A432" t="inlineStr">
        <is>
          <t>A 57745-2022</t>
        </is>
      </c>
      <c r="B432" s="1" t="n">
        <v>44897.58119212963</v>
      </c>
      <c r="C432" s="1" t="n">
        <v>45879</v>
      </c>
      <c r="D432" t="inlineStr">
        <is>
          <t>ÖSTERGÖTLANDS LÄN</t>
        </is>
      </c>
      <c r="E432" t="inlineStr">
        <is>
          <t>LINKÖPING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14520-2025</t>
        </is>
      </c>
      <c r="B433" s="1" t="n">
        <v>45741</v>
      </c>
      <c r="C433" s="1" t="n">
        <v>45879</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58714-2020</t>
        </is>
      </c>
      <c r="B434" s="1" t="n">
        <v>44146</v>
      </c>
      <c r="C434" s="1" t="n">
        <v>45879</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16665-2023</t>
        </is>
      </c>
      <c r="B435" s="1" t="n">
        <v>45030.5583912037</v>
      </c>
      <c r="C435" s="1" t="n">
        <v>45879</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60860-2024</t>
        </is>
      </c>
      <c r="B436" s="1" t="n">
        <v>45644.6893287037</v>
      </c>
      <c r="C436" s="1" t="n">
        <v>45879</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31640-2023</t>
        </is>
      </c>
      <c r="B437" s="1" t="n">
        <v>45117</v>
      </c>
      <c r="C437" s="1" t="n">
        <v>45879</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9473-2024</t>
        </is>
      </c>
      <c r="B438" s="1" t="n">
        <v>45359.55474537037</v>
      </c>
      <c r="C438" s="1" t="n">
        <v>45879</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56064-2022</t>
        </is>
      </c>
      <c r="B439" s="1" t="n">
        <v>44889.59107638889</v>
      </c>
      <c r="C439" s="1" t="n">
        <v>45879</v>
      </c>
      <c r="D439" t="inlineStr">
        <is>
          <t>ÖSTERGÖTLANDS LÄN</t>
        </is>
      </c>
      <c r="E439" t="inlineStr">
        <is>
          <t>LINKÖPING</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16213-2025</t>
        </is>
      </c>
      <c r="B440" s="1" t="n">
        <v>45750.62740740741</v>
      </c>
      <c r="C440" s="1" t="n">
        <v>45879</v>
      </c>
      <c r="D440" t="inlineStr">
        <is>
          <t>ÖSTERGÖTLANDS LÄN</t>
        </is>
      </c>
      <c r="E440" t="inlineStr">
        <is>
          <t>LINKÖPING</t>
        </is>
      </c>
      <c r="G440" t="n">
        <v>3.4</v>
      </c>
      <c r="H440" t="n">
        <v>0</v>
      </c>
      <c r="I440" t="n">
        <v>0</v>
      </c>
      <c r="J440" t="n">
        <v>0</v>
      </c>
      <c r="K440" t="n">
        <v>0</v>
      </c>
      <c r="L440" t="n">
        <v>0</v>
      </c>
      <c r="M440" t="n">
        <v>0</v>
      </c>
      <c r="N440" t="n">
        <v>0</v>
      </c>
      <c r="O440" t="n">
        <v>0</v>
      </c>
      <c r="P440" t="n">
        <v>0</v>
      </c>
      <c r="Q440" t="n">
        <v>0</v>
      </c>
      <c r="R440" s="2" t="inlineStr"/>
    </row>
    <row r="441" ht="15" customHeight="1">
      <c r="A441" t="inlineStr">
        <is>
          <t>A 10797-2024</t>
        </is>
      </c>
      <c r="B441" s="1" t="n">
        <v>45369.6190162037</v>
      </c>
      <c r="C441" s="1" t="n">
        <v>45879</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22264-2025</t>
        </is>
      </c>
      <c r="B442" s="1" t="n">
        <v>45785</v>
      </c>
      <c r="C442" s="1" t="n">
        <v>45879</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40502-2024</t>
        </is>
      </c>
      <c r="B443" s="1" t="n">
        <v>45555.57263888889</v>
      </c>
      <c r="C443" s="1" t="n">
        <v>45879</v>
      </c>
      <c r="D443" t="inlineStr">
        <is>
          <t>ÖSTERGÖTLANDS LÄN</t>
        </is>
      </c>
      <c r="E443" t="inlineStr">
        <is>
          <t>LINKÖPING</t>
        </is>
      </c>
      <c r="F443" t="inlineStr">
        <is>
          <t>Allmännings- och besparingsskogar</t>
        </is>
      </c>
      <c r="G443" t="n">
        <v>17.5</v>
      </c>
      <c r="H443" t="n">
        <v>0</v>
      </c>
      <c r="I443" t="n">
        <v>0</v>
      </c>
      <c r="J443" t="n">
        <v>0</v>
      </c>
      <c r="K443" t="n">
        <v>0</v>
      </c>
      <c r="L443" t="n">
        <v>0</v>
      </c>
      <c r="M443" t="n">
        <v>0</v>
      </c>
      <c r="N443" t="n">
        <v>0</v>
      </c>
      <c r="O443" t="n">
        <v>0</v>
      </c>
      <c r="P443" t="n">
        <v>0</v>
      </c>
      <c r="Q443" t="n">
        <v>0</v>
      </c>
      <c r="R443" s="2" t="inlineStr"/>
    </row>
    <row r="444" ht="15" customHeight="1">
      <c r="A444" t="inlineStr">
        <is>
          <t>A 34872-2023</t>
        </is>
      </c>
      <c r="B444" s="1" t="n">
        <v>45140</v>
      </c>
      <c r="C444" s="1" t="n">
        <v>45879</v>
      </c>
      <c r="D444" t="inlineStr">
        <is>
          <t>ÖSTERGÖTLANDS LÄN</t>
        </is>
      </c>
      <c r="E444" t="inlineStr">
        <is>
          <t>LINKÖPING</t>
        </is>
      </c>
      <c r="G444" t="n">
        <v>4.8</v>
      </c>
      <c r="H444" t="n">
        <v>0</v>
      </c>
      <c r="I444" t="n">
        <v>0</v>
      </c>
      <c r="J444" t="n">
        <v>0</v>
      </c>
      <c r="K444" t="n">
        <v>0</v>
      </c>
      <c r="L444" t="n">
        <v>0</v>
      </c>
      <c r="M444" t="n">
        <v>0</v>
      </c>
      <c r="N444" t="n">
        <v>0</v>
      </c>
      <c r="O444" t="n">
        <v>0</v>
      </c>
      <c r="P444" t="n">
        <v>0</v>
      </c>
      <c r="Q444" t="n">
        <v>0</v>
      </c>
      <c r="R444" s="2" t="inlineStr"/>
    </row>
    <row r="445" ht="15" customHeight="1">
      <c r="A445" t="inlineStr">
        <is>
          <t>A 33000-2023</t>
        </is>
      </c>
      <c r="B445" s="1" t="n">
        <v>45125</v>
      </c>
      <c r="C445" s="1" t="n">
        <v>45879</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16200-2025</t>
        </is>
      </c>
      <c r="B446" s="1" t="n">
        <v>45750.61050925926</v>
      </c>
      <c r="C446" s="1" t="n">
        <v>45879</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3042-2024</t>
        </is>
      </c>
      <c r="B447" s="1" t="n">
        <v>45316.35028935185</v>
      </c>
      <c r="C447" s="1" t="n">
        <v>45879</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44155-2024</t>
        </is>
      </c>
      <c r="B448" s="1" t="n">
        <v>45572.68226851852</v>
      </c>
      <c r="C448" s="1" t="n">
        <v>45879</v>
      </c>
      <c r="D448" t="inlineStr">
        <is>
          <t>ÖSTERGÖTLANDS LÄN</t>
        </is>
      </c>
      <c r="E448" t="inlineStr">
        <is>
          <t>LINKÖPING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2997-2025</t>
        </is>
      </c>
      <c r="B449" s="1" t="n">
        <v>45678.54631944445</v>
      </c>
      <c r="C449" s="1" t="n">
        <v>45879</v>
      </c>
      <c r="D449" t="inlineStr">
        <is>
          <t>ÖSTERGÖTLANDS LÄN</t>
        </is>
      </c>
      <c r="E449" t="inlineStr">
        <is>
          <t>LINKÖPING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31534-2023</t>
        </is>
      </c>
      <c r="B450" s="1" t="n">
        <v>45116</v>
      </c>
      <c r="C450" s="1" t="n">
        <v>45879</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26803-2024</t>
        </is>
      </c>
      <c r="B451" s="1" t="n">
        <v>45470</v>
      </c>
      <c r="C451" s="1" t="n">
        <v>45879</v>
      </c>
      <c r="D451" t="inlineStr">
        <is>
          <t>ÖSTERGÖTLANDS LÄN</t>
        </is>
      </c>
      <c r="E451" t="inlineStr">
        <is>
          <t>LINKÖPING</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6859-2024</t>
        </is>
      </c>
      <c r="B452" s="1" t="n">
        <v>45342</v>
      </c>
      <c r="C452" s="1" t="n">
        <v>45879</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45806-2024</t>
        </is>
      </c>
      <c r="B453" s="1" t="n">
        <v>45579.69619212963</v>
      </c>
      <c r="C453" s="1" t="n">
        <v>45879</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10253-2022</t>
        </is>
      </c>
      <c r="B454" s="1" t="n">
        <v>44622</v>
      </c>
      <c r="C454" s="1" t="n">
        <v>45879</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45879</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38580-2024</t>
        </is>
      </c>
      <c r="B456" s="1" t="n">
        <v>45546.64825231482</v>
      </c>
      <c r="C456" s="1" t="n">
        <v>45879</v>
      </c>
      <c r="D456" t="inlineStr">
        <is>
          <t>ÖSTERGÖTLANDS LÄN</t>
        </is>
      </c>
      <c r="E456" t="inlineStr">
        <is>
          <t>LINKÖPING</t>
        </is>
      </c>
      <c r="G456" t="n">
        <v>4.8</v>
      </c>
      <c r="H456" t="n">
        <v>0</v>
      </c>
      <c r="I456" t="n">
        <v>0</v>
      </c>
      <c r="J456" t="n">
        <v>0</v>
      </c>
      <c r="K456" t="n">
        <v>0</v>
      </c>
      <c r="L456" t="n">
        <v>0</v>
      </c>
      <c r="M456" t="n">
        <v>0</v>
      </c>
      <c r="N456" t="n">
        <v>0</v>
      </c>
      <c r="O456" t="n">
        <v>0</v>
      </c>
      <c r="P456" t="n">
        <v>0</v>
      </c>
      <c r="Q456" t="n">
        <v>0</v>
      </c>
      <c r="R456" s="2" t="inlineStr"/>
    </row>
    <row r="457" ht="15" customHeight="1">
      <c r="A457" t="inlineStr">
        <is>
          <t>A 37154-2023</t>
        </is>
      </c>
      <c r="B457" s="1" t="n">
        <v>45155</v>
      </c>
      <c r="C457" s="1" t="n">
        <v>45879</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572-2025</t>
        </is>
      </c>
      <c r="B458" s="1" t="n">
        <v>45664.56349537037</v>
      </c>
      <c r="C458" s="1" t="n">
        <v>45879</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22364-2025</t>
        </is>
      </c>
      <c r="B459" s="1" t="n">
        <v>45786.46930555555</v>
      </c>
      <c r="C459" s="1" t="n">
        <v>45879</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11330-2023</t>
        </is>
      </c>
      <c r="B460" s="1" t="n">
        <v>44993.24648148148</v>
      </c>
      <c r="C460" s="1" t="n">
        <v>45879</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42000-2023</t>
        </is>
      </c>
      <c r="B461" s="1" t="n">
        <v>45177</v>
      </c>
      <c r="C461" s="1" t="n">
        <v>45879</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44287-2024</t>
        </is>
      </c>
      <c r="B462" s="1" t="n">
        <v>45573.50582175926</v>
      </c>
      <c r="C462" s="1" t="n">
        <v>45879</v>
      </c>
      <c r="D462" t="inlineStr">
        <is>
          <t>ÖSTERGÖTLANDS LÄN</t>
        </is>
      </c>
      <c r="E462" t="inlineStr">
        <is>
          <t>LINKÖPING</t>
        </is>
      </c>
      <c r="G462" t="n">
        <v>12.7</v>
      </c>
      <c r="H462" t="n">
        <v>0</v>
      </c>
      <c r="I462" t="n">
        <v>0</v>
      </c>
      <c r="J462" t="n">
        <v>0</v>
      </c>
      <c r="K462" t="n">
        <v>0</v>
      </c>
      <c r="L462" t="n">
        <v>0</v>
      </c>
      <c r="M462" t="n">
        <v>0</v>
      </c>
      <c r="N462" t="n">
        <v>0</v>
      </c>
      <c r="O462" t="n">
        <v>0</v>
      </c>
      <c r="P462" t="n">
        <v>0</v>
      </c>
      <c r="Q462" t="n">
        <v>0</v>
      </c>
      <c r="R462" s="2" t="inlineStr"/>
    </row>
    <row r="463" ht="15" customHeight="1">
      <c r="A463" t="inlineStr">
        <is>
          <t>A 32602-2022</t>
        </is>
      </c>
      <c r="B463" s="1" t="n">
        <v>44783.43192129629</v>
      </c>
      <c r="C463" s="1" t="n">
        <v>45879</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29312-2024</t>
        </is>
      </c>
      <c r="B464" s="1" t="n">
        <v>45483</v>
      </c>
      <c r="C464" s="1" t="n">
        <v>45879</v>
      </c>
      <c r="D464" t="inlineStr">
        <is>
          <t>ÖSTERGÖTLANDS LÄN</t>
        </is>
      </c>
      <c r="E464" t="inlineStr">
        <is>
          <t>LINKÖPING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47876-2020</t>
        </is>
      </c>
      <c r="B465" s="1" t="n">
        <v>44099</v>
      </c>
      <c r="C465" s="1" t="n">
        <v>45879</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23120-2025</t>
        </is>
      </c>
      <c r="B466" s="1" t="n">
        <v>45791.37481481482</v>
      </c>
      <c r="C466" s="1" t="n">
        <v>45879</v>
      </c>
      <c r="D466" t="inlineStr">
        <is>
          <t>ÖSTERGÖTLANDS LÄN</t>
        </is>
      </c>
      <c r="E466" t="inlineStr">
        <is>
          <t>LINKÖPING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14028-2024</t>
        </is>
      </c>
      <c r="B467" s="1" t="n">
        <v>45392</v>
      </c>
      <c r="C467" s="1" t="n">
        <v>45879</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13413-2023</t>
        </is>
      </c>
      <c r="B468" s="1" t="n">
        <v>45005.58341435185</v>
      </c>
      <c r="C468" s="1" t="n">
        <v>45879</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48699-2024</t>
        </is>
      </c>
      <c r="B469" s="1" t="n">
        <v>45593.52091435185</v>
      </c>
      <c r="C469" s="1" t="n">
        <v>45879</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63528-2023</t>
        </is>
      </c>
      <c r="B470" s="1" t="n">
        <v>45274.94810185185</v>
      </c>
      <c r="C470" s="1" t="n">
        <v>45879</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63638-2023</t>
        </is>
      </c>
      <c r="B471" s="1" t="n">
        <v>45275</v>
      </c>
      <c r="C471" s="1" t="n">
        <v>45879</v>
      </c>
      <c r="D471" t="inlineStr">
        <is>
          <t>ÖSTERGÖTLANDS LÄN</t>
        </is>
      </c>
      <c r="E471" t="inlineStr">
        <is>
          <t>LINKÖPING</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63658-2023</t>
        </is>
      </c>
      <c r="B472" s="1" t="n">
        <v>45275</v>
      </c>
      <c r="C472" s="1" t="n">
        <v>45879</v>
      </c>
      <c r="D472" t="inlineStr">
        <is>
          <t>ÖSTERGÖTLANDS LÄN</t>
        </is>
      </c>
      <c r="E472" t="inlineStr">
        <is>
          <t>LINKÖPING</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37683-2024</t>
        </is>
      </c>
      <c r="B473" s="1" t="n">
        <v>45541.59120370371</v>
      </c>
      <c r="C473" s="1" t="n">
        <v>45879</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7808-2022</t>
        </is>
      </c>
      <c r="B474" s="1" t="n">
        <v>44608</v>
      </c>
      <c r="C474" s="1" t="n">
        <v>45879</v>
      </c>
      <c r="D474" t="inlineStr">
        <is>
          <t>ÖSTERGÖTLANDS LÄN</t>
        </is>
      </c>
      <c r="E474" t="inlineStr">
        <is>
          <t>LINKÖPING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14667-2024</t>
        </is>
      </c>
      <c r="B475" s="1" t="n">
        <v>45397.42005787037</v>
      </c>
      <c r="C475" s="1" t="n">
        <v>45879</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2697-2023</t>
        </is>
      </c>
      <c r="B476" s="1" t="n">
        <v>44944</v>
      </c>
      <c r="C476" s="1" t="n">
        <v>45879</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36336-2023</t>
        </is>
      </c>
      <c r="B477" s="1" t="n">
        <v>45152.45078703704</v>
      </c>
      <c r="C477" s="1" t="n">
        <v>45879</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56623-2024</t>
        </is>
      </c>
      <c r="B478" s="1" t="n">
        <v>45625</v>
      </c>
      <c r="C478" s="1" t="n">
        <v>45879</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53641-2023</t>
        </is>
      </c>
      <c r="B479" s="1" t="n">
        <v>45230</v>
      </c>
      <c r="C479" s="1" t="n">
        <v>45879</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48707-2023</t>
        </is>
      </c>
      <c r="B480" s="1" t="n">
        <v>45202</v>
      </c>
      <c r="C480" s="1" t="n">
        <v>45879</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53411-2023</t>
        </is>
      </c>
      <c r="B481" s="1" t="n">
        <v>45229.81049768518</v>
      </c>
      <c r="C481" s="1" t="n">
        <v>45879</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56741-2023</t>
        </is>
      </c>
      <c r="B482" s="1" t="n">
        <v>45244</v>
      </c>
      <c r="C482" s="1" t="n">
        <v>45879</v>
      </c>
      <c r="D482" t="inlineStr">
        <is>
          <t>ÖSTERGÖTLANDS LÄN</t>
        </is>
      </c>
      <c r="E482" t="inlineStr">
        <is>
          <t>LINKÖPING</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56792-2023</t>
        </is>
      </c>
      <c r="B483" s="1" t="n">
        <v>45244</v>
      </c>
      <c r="C483" s="1" t="n">
        <v>45879</v>
      </c>
      <c r="D483" t="inlineStr">
        <is>
          <t>ÖSTERGÖTLANDS LÄN</t>
        </is>
      </c>
      <c r="E483" t="inlineStr">
        <is>
          <t>LINKÖPING</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50471-2024</t>
        </is>
      </c>
      <c r="B484" s="1" t="n">
        <v>45601.47166666666</v>
      </c>
      <c r="C484" s="1" t="n">
        <v>45879</v>
      </c>
      <c r="D484" t="inlineStr">
        <is>
          <t>ÖSTERGÖTLANDS LÄN</t>
        </is>
      </c>
      <c r="E484" t="inlineStr">
        <is>
          <t>LINKÖPING</t>
        </is>
      </c>
      <c r="F484" t="inlineStr">
        <is>
          <t>Övriga Aktiebolag</t>
        </is>
      </c>
      <c r="G484" t="n">
        <v>2</v>
      </c>
      <c r="H484" t="n">
        <v>0</v>
      </c>
      <c r="I484" t="n">
        <v>0</v>
      </c>
      <c r="J484" t="n">
        <v>0</v>
      </c>
      <c r="K484" t="n">
        <v>0</v>
      </c>
      <c r="L484" t="n">
        <v>0</v>
      </c>
      <c r="M484" t="n">
        <v>0</v>
      </c>
      <c r="N484" t="n">
        <v>0</v>
      </c>
      <c r="O484" t="n">
        <v>0</v>
      </c>
      <c r="P484" t="n">
        <v>0</v>
      </c>
      <c r="Q484" t="n">
        <v>0</v>
      </c>
      <c r="R484" s="2" t="inlineStr"/>
    </row>
    <row r="485" ht="15" customHeight="1">
      <c r="A485" t="inlineStr">
        <is>
          <t>A 13911-2025</t>
        </is>
      </c>
      <c r="B485" s="1" t="n">
        <v>45737.64784722222</v>
      </c>
      <c r="C485" s="1" t="n">
        <v>45879</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3007-2023</t>
        </is>
      </c>
      <c r="B486" s="1" t="n">
        <v>44945</v>
      </c>
      <c r="C486" s="1" t="n">
        <v>45879</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40338-2024</t>
        </is>
      </c>
      <c r="B487" s="1" t="n">
        <v>45555.32940972222</v>
      </c>
      <c r="C487" s="1" t="n">
        <v>45879</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3013-2023</t>
        </is>
      </c>
      <c r="B488" s="1" t="n">
        <v>44945.8092824074</v>
      </c>
      <c r="C488" s="1" t="n">
        <v>45879</v>
      </c>
      <c r="D488" t="inlineStr">
        <is>
          <t>ÖSTERGÖTLANDS LÄN</t>
        </is>
      </c>
      <c r="E488" t="inlineStr">
        <is>
          <t>LINKÖPING</t>
        </is>
      </c>
      <c r="G488" t="n">
        <v>5.2</v>
      </c>
      <c r="H488" t="n">
        <v>0</v>
      </c>
      <c r="I488" t="n">
        <v>0</v>
      </c>
      <c r="J488" t="n">
        <v>0</v>
      </c>
      <c r="K488" t="n">
        <v>0</v>
      </c>
      <c r="L488" t="n">
        <v>0</v>
      </c>
      <c r="M488" t="n">
        <v>0</v>
      </c>
      <c r="N488" t="n">
        <v>0</v>
      </c>
      <c r="O488" t="n">
        <v>0</v>
      </c>
      <c r="P488" t="n">
        <v>0</v>
      </c>
      <c r="Q488" t="n">
        <v>0</v>
      </c>
      <c r="R488" s="2" t="inlineStr"/>
    </row>
    <row r="489" ht="15" customHeight="1">
      <c r="A489" t="inlineStr">
        <is>
          <t>A 55945-2024</t>
        </is>
      </c>
      <c r="B489" s="1" t="n">
        <v>45623.61754629629</v>
      </c>
      <c r="C489" s="1" t="n">
        <v>45879</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13011-2022</t>
        </is>
      </c>
      <c r="B490" s="1" t="n">
        <v>44643</v>
      </c>
      <c r="C490" s="1" t="n">
        <v>45879</v>
      </c>
      <c r="D490" t="inlineStr">
        <is>
          <t>ÖSTERGÖTLANDS LÄN</t>
        </is>
      </c>
      <c r="E490" t="inlineStr">
        <is>
          <t>LINKÖPING</t>
        </is>
      </c>
      <c r="G490" t="n">
        <v>3.7</v>
      </c>
      <c r="H490" t="n">
        <v>0</v>
      </c>
      <c r="I490" t="n">
        <v>0</v>
      </c>
      <c r="J490" t="n">
        <v>0</v>
      </c>
      <c r="K490" t="n">
        <v>0</v>
      </c>
      <c r="L490" t="n">
        <v>0</v>
      </c>
      <c r="M490" t="n">
        <v>0</v>
      </c>
      <c r="N490" t="n">
        <v>0</v>
      </c>
      <c r="O490" t="n">
        <v>0</v>
      </c>
      <c r="P490" t="n">
        <v>0</v>
      </c>
      <c r="Q490" t="n">
        <v>0</v>
      </c>
      <c r="R490" s="2" t="inlineStr"/>
    </row>
    <row r="491" ht="15" customHeight="1">
      <c r="A491" t="inlineStr">
        <is>
          <t>A 1993-2023</t>
        </is>
      </c>
      <c r="B491" s="1" t="n">
        <v>44939</v>
      </c>
      <c r="C491" s="1" t="n">
        <v>45879</v>
      </c>
      <c r="D491" t="inlineStr">
        <is>
          <t>ÖSTERGÖTLANDS LÄN</t>
        </is>
      </c>
      <c r="E491" t="inlineStr">
        <is>
          <t>LINKÖPING</t>
        </is>
      </c>
      <c r="G491" t="n">
        <v>3.7</v>
      </c>
      <c r="H491" t="n">
        <v>0</v>
      </c>
      <c r="I491" t="n">
        <v>0</v>
      </c>
      <c r="J491" t="n">
        <v>0</v>
      </c>
      <c r="K491" t="n">
        <v>0</v>
      </c>
      <c r="L491" t="n">
        <v>0</v>
      </c>
      <c r="M491" t="n">
        <v>0</v>
      </c>
      <c r="N491" t="n">
        <v>0</v>
      </c>
      <c r="O491" t="n">
        <v>0</v>
      </c>
      <c r="P491" t="n">
        <v>0</v>
      </c>
      <c r="Q491" t="n">
        <v>0</v>
      </c>
      <c r="R491" s="2" t="inlineStr"/>
    </row>
    <row r="492" ht="15" customHeight="1">
      <c r="A492" t="inlineStr">
        <is>
          <t>A 2618-2023</t>
        </is>
      </c>
      <c r="B492" s="1" t="n">
        <v>44944.35847222222</v>
      </c>
      <c r="C492" s="1" t="n">
        <v>45879</v>
      </c>
      <c r="D492" t="inlineStr">
        <is>
          <t>ÖSTERGÖTLANDS LÄN</t>
        </is>
      </c>
      <c r="E492" t="inlineStr">
        <is>
          <t>LINKÖPING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10203-2023</t>
        </is>
      </c>
      <c r="B493" s="1" t="n">
        <v>44986.55711805556</v>
      </c>
      <c r="C493" s="1" t="n">
        <v>45879</v>
      </c>
      <c r="D493" t="inlineStr">
        <is>
          <t>ÖSTERGÖTLANDS LÄN</t>
        </is>
      </c>
      <c r="E493" t="inlineStr">
        <is>
          <t>LINKÖPING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23768-2025</t>
        </is>
      </c>
      <c r="B494" s="1" t="n">
        <v>45793.47493055555</v>
      </c>
      <c r="C494" s="1" t="n">
        <v>45879</v>
      </c>
      <c r="D494" t="inlineStr">
        <is>
          <t>ÖSTERGÖTLANDS LÄN</t>
        </is>
      </c>
      <c r="E494" t="inlineStr">
        <is>
          <t>LINKÖPING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11595-2025</t>
        </is>
      </c>
      <c r="B495" s="1" t="n">
        <v>45727.41893518518</v>
      </c>
      <c r="C495" s="1" t="n">
        <v>45879</v>
      </c>
      <c r="D495" t="inlineStr">
        <is>
          <t>ÖSTERGÖTLANDS LÄN</t>
        </is>
      </c>
      <c r="E495" t="inlineStr">
        <is>
          <t>LINKÖPING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34889-2023</t>
        </is>
      </c>
      <c r="B496" s="1" t="n">
        <v>45140</v>
      </c>
      <c r="C496" s="1" t="n">
        <v>45879</v>
      </c>
      <c r="D496" t="inlineStr">
        <is>
          <t>ÖSTERGÖTLANDS LÄN</t>
        </is>
      </c>
      <c r="E496" t="inlineStr">
        <is>
          <t>LINKÖPING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34928-2023</t>
        </is>
      </c>
      <c r="B497" s="1" t="n">
        <v>45142</v>
      </c>
      <c r="C497" s="1" t="n">
        <v>45879</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50508-2024</t>
        </is>
      </c>
      <c r="B498" s="1" t="n">
        <v>45601.53907407408</v>
      </c>
      <c r="C498" s="1" t="n">
        <v>45879</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1268-2023</t>
        </is>
      </c>
      <c r="B499" s="1" t="n">
        <v>44936</v>
      </c>
      <c r="C499" s="1" t="n">
        <v>45879</v>
      </c>
      <c r="D499" t="inlineStr">
        <is>
          <t>ÖSTERGÖTLANDS LÄN</t>
        </is>
      </c>
      <c r="E499" t="inlineStr">
        <is>
          <t>LINKÖPING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5314-2021</t>
        </is>
      </c>
      <c r="B500" s="1" t="n">
        <v>44229</v>
      </c>
      <c r="C500" s="1" t="n">
        <v>45879</v>
      </c>
      <c r="D500" t="inlineStr">
        <is>
          <t>ÖSTERGÖTLANDS LÄN</t>
        </is>
      </c>
      <c r="E500" t="inlineStr">
        <is>
          <t>LINKÖPING</t>
        </is>
      </c>
      <c r="G500" t="n">
        <v>6.2</v>
      </c>
      <c r="H500" t="n">
        <v>0</v>
      </c>
      <c r="I500" t="n">
        <v>0</v>
      </c>
      <c r="J500" t="n">
        <v>0</v>
      </c>
      <c r="K500" t="n">
        <v>0</v>
      </c>
      <c r="L500" t="n">
        <v>0</v>
      </c>
      <c r="M500" t="n">
        <v>0</v>
      </c>
      <c r="N500" t="n">
        <v>0</v>
      </c>
      <c r="O500" t="n">
        <v>0</v>
      </c>
      <c r="P500" t="n">
        <v>0</v>
      </c>
      <c r="Q500" t="n">
        <v>0</v>
      </c>
      <c r="R500" s="2" t="inlineStr"/>
    </row>
    <row r="501" ht="15" customHeight="1">
      <c r="A501" t="inlineStr">
        <is>
          <t>A 36336-2022</t>
        </is>
      </c>
      <c r="B501" s="1" t="n">
        <v>44803</v>
      </c>
      <c r="C501" s="1" t="n">
        <v>45879</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32723-2025</t>
        </is>
      </c>
      <c r="B502" s="1" t="n">
        <v>45838</v>
      </c>
      <c r="C502" s="1" t="n">
        <v>45879</v>
      </c>
      <c r="D502" t="inlineStr">
        <is>
          <t>ÖSTERGÖTLANDS LÄN</t>
        </is>
      </c>
      <c r="E502" t="inlineStr">
        <is>
          <t>LINKÖPING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48839-2022</t>
        </is>
      </c>
      <c r="B503" s="1" t="n">
        <v>44859</v>
      </c>
      <c r="C503" s="1" t="n">
        <v>45879</v>
      </c>
      <c r="D503" t="inlineStr">
        <is>
          <t>ÖSTERGÖTLANDS LÄN</t>
        </is>
      </c>
      <c r="E503" t="inlineStr">
        <is>
          <t>LINKÖPING</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49747-2024</t>
        </is>
      </c>
      <c r="B504" s="1" t="n">
        <v>45596</v>
      </c>
      <c r="C504" s="1" t="n">
        <v>45879</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47991-2023</t>
        </is>
      </c>
      <c r="B505" s="1" t="n">
        <v>45204.62655092592</v>
      </c>
      <c r="C505" s="1" t="n">
        <v>45879</v>
      </c>
      <c r="D505" t="inlineStr">
        <is>
          <t>ÖSTERGÖTLANDS LÄN</t>
        </is>
      </c>
      <c r="E505" t="inlineStr">
        <is>
          <t>LINKÖPING</t>
        </is>
      </c>
      <c r="F505" t="inlineStr">
        <is>
          <t>Allmännings- och besparingsskogar</t>
        </is>
      </c>
      <c r="G505" t="n">
        <v>7.3</v>
      </c>
      <c r="H505" t="n">
        <v>0</v>
      </c>
      <c r="I505" t="n">
        <v>0</v>
      </c>
      <c r="J505" t="n">
        <v>0</v>
      </c>
      <c r="K505" t="n">
        <v>0</v>
      </c>
      <c r="L505" t="n">
        <v>0</v>
      </c>
      <c r="M505" t="n">
        <v>0</v>
      </c>
      <c r="N505" t="n">
        <v>0</v>
      </c>
      <c r="O505" t="n">
        <v>0</v>
      </c>
      <c r="P505" t="n">
        <v>0</v>
      </c>
      <c r="Q505" t="n">
        <v>0</v>
      </c>
      <c r="R505" s="2" t="inlineStr"/>
    </row>
    <row r="506" ht="15" customHeight="1">
      <c r="A506" t="inlineStr">
        <is>
          <t>A 6387-2022</t>
        </is>
      </c>
      <c r="B506" s="1" t="n">
        <v>44600</v>
      </c>
      <c r="C506" s="1" t="n">
        <v>45879</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31725-2022</t>
        </is>
      </c>
      <c r="B507" s="1" t="n">
        <v>44776.48541666667</v>
      </c>
      <c r="C507" s="1" t="n">
        <v>45879</v>
      </c>
      <c r="D507" t="inlineStr">
        <is>
          <t>ÖSTERGÖTLANDS LÄN</t>
        </is>
      </c>
      <c r="E507" t="inlineStr">
        <is>
          <t>LINKÖPING</t>
        </is>
      </c>
      <c r="G507" t="n">
        <v>2.6</v>
      </c>
      <c r="H507" t="n">
        <v>0</v>
      </c>
      <c r="I507" t="n">
        <v>0</v>
      </c>
      <c r="J507" t="n">
        <v>0</v>
      </c>
      <c r="K507" t="n">
        <v>0</v>
      </c>
      <c r="L507" t="n">
        <v>0</v>
      </c>
      <c r="M507" t="n">
        <v>0</v>
      </c>
      <c r="N507" t="n">
        <v>0</v>
      </c>
      <c r="O507" t="n">
        <v>0</v>
      </c>
      <c r="P507" t="n">
        <v>0</v>
      </c>
      <c r="Q507" t="n">
        <v>0</v>
      </c>
      <c r="R507" s="2" t="inlineStr"/>
    </row>
    <row r="508" ht="15" customHeight="1">
      <c r="A508" t="inlineStr">
        <is>
          <t>A 34641-2022</t>
        </is>
      </c>
      <c r="B508" s="1" t="n">
        <v>44795</v>
      </c>
      <c r="C508" s="1" t="n">
        <v>45879</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13687-2025</t>
        </is>
      </c>
      <c r="B509" s="1" t="n">
        <v>45737.31425925926</v>
      </c>
      <c r="C509" s="1" t="n">
        <v>45879</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13688-2025</t>
        </is>
      </c>
      <c r="B510" s="1" t="n">
        <v>45737.3153125</v>
      </c>
      <c r="C510" s="1" t="n">
        <v>45879</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13695-2025</t>
        </is>
      </c>
      <c r="B511" s="1" t="n">
        <v>45737.32219907407</v>
      </c>
      <c r="C511" s="1" t="n">
        <v>45879</v>
      </c>
      <c r="D511" t="inlineStr">
        <is>
          <t>ÖSTERGÖTLANDS LÄN</t>
        </is>
      </c>
      <c r="E511" t="inlineStr">
        <is>
          <t>LINKÖPING</t>
        </is>
      </c>
      <c r="G511" t="n">
        <v>5.3</v>
      </c>
      <c r="H511" t="n">
        <v>0</v>
      </c>
      <c r="I511" t="n">
        <v>0</v>
      </c>
      <c r="J511" t="n">
        <v>0</v>
      </c>
      <c r="K511" t="n">
        <v>0</v>
      </c>
      <c r="L511" t="n">
        <v>0</v>
      </c>
      <c r="M511" t="n">
        <v>0</v>
      </c>
      <c r="N511" t="n">
        <v>0</v>
      </c>
      <c r="O511" t="n">
        <v>0</v>
      </c>
      <c r="P511" t="n">
        <v>0</v>
      </c>
      <c r="Q511" t="n">
        <v>0</v>
      </c>
      <c r="R511" s="2" t="inlineStr"/>
    </row>
    <row r="512" ht="15" customHeight="1">
      <c r="A512" t="inlineStr">
        <is>
          <t>A 52413-2023</t>
        </is>
      </c>
      <c r="B512" s="1" t="n">
        <v>45225.27950231481</v>
      </c>
      <c r="C512" s="1" t="n">
        <v>45879</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2389-2023</t>
        </is>
      </c>
      <c r="B513" s="1" t="n">
        <v>44942</v>
      </c>
      <c r="C513" s="1" t="n">
        <v>45879</v>
      </c>
      <c r="D513" t="inlineStr">
        <is>
          <t>ÖSTERGÖTLANDS LÄN</t>
        </is>
      </c>
      <c r="E513" t="inlineStr">
        <is>
          <t>LINKÖPING</t>
        </is>
      </c>
      <c r="G513" t="n">
        <v>3.3</v>
      </c>
      <c r="H513" t="n">
        <v>0</v>
      </c>
      <c r="I513" t="n">
        <v>0</v>
      </c>
      <c r="J513" t="n">
        <v>0</v>
      </c>
      <c r="K513" t="n">
        <v>0</v>
      </c>
      <c r="L513" t="n">
        <v>0</v>
      </c>
      <c r="M513" t="n">
        <v>0</v>
      </c>
      <c r="N513" t="n">
        <v>0</v>
      </c>
      <c r="O513" t="n">
        <v>0</v>
      </c>
      <c r="P513" t="n">
        <v>0</v>
      </c>
      <c r="Q513" t="n">
        <v>0</v>
      </c>
      <c r="R513" s="2" t="inlineStr"/>
    </row>
    <row r="514" ht="15" customHeight="1">
      <c r="A514" t="inlineStr">
        <is>
          <t>A 3627-2023</t>
        </is>
      </c>
      <c r="B514" s="1" t="n">
        <v>44950.64782407408</v>
      </c>
      <c r="C514" s="1" t="n">
        <v>45879</v>
      </c>
      <c r="D514" t="inlineStr">
        <is>
          <t>ÖSTERGÖTLANDS LÄN</t>
        </is>
      </c>
      <c r="E514" t="inlineStr">
        <is>
          <t>LINKÖPING</t>
        </is>
      </c>
      <c r="G514" t="n">
        <v>3.1</v>
      </c>
      <c r="H514" t="n">
        <v>0</v>
      </c>
      <c r="I514" t="n">
        <v>0</v>
      </c>
      <c r="J514" t="n">
        <v>0</v>
      </c>
      <c r="K514" t="n">
        <v>0</v>
      </c>
      <c r="L514" t="n">
        <v>0</v>
      </c>
      <c r="M514" t="n">
        <v>0</v>
      </c>
      <c r="N514" t="n">
        <v>0</v>
      </c>
      <c r="O514" t="n">
        <v>0</v>
      </c>
      <c r="P514" t="n">
        <v>0</v>
      </c>
      <c r="Q514" t="n">
        <v>0</v>
      </c>
      <c r="R514" s="2" t="inlineStr"/>
    </row>
    <row r="515" ht="15" customHeight="1">
      <c r="A515" t="inlineStr">
        <is>
          <t>A 42054-2022</t>
        </is>
      </c>
      <c r="B515" s="1" t="n">
        <v>44830</v>
      </c>
      <c r="C515" s="1" t="n">
        <v>45879</v>
      </c>
      <c r="D515" t="inlineStr">
        <is>
          <t>ÖSTERGÖTLANDS LÄN</t>
        </is>
      </c>
      <c r="E515" t="inlineStr">
        <is>
          <t>LINKÖPING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53797-2023</t>
        </is>
      </c>
      <c r="B516" s="1" t="n">
        <v>45230</v>
      </c>
      <c r="C516" s="1" t="n">
        <v>45879</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62687-2023</t>
        </is>
      </c>
      <c r="B517" s="1" t="n">
        <v>45271</v>
      </c>
      <c r="C517" s="1" t="n">
        <v>45879</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33947-2025</t>
        </is>
      </c>
      <c r="B518" s="1" t="n">
        <v>45842.65444444444</v>
      </c>
      <c r="C518" s="1" t="n">
        <v>45879</v>
      </c>
      <c r="D518" t="inlineStr">
        <is>
          <t>ÖSTERGÖTLANDS LÄN</t>
        </is>
      </c>
      <c r="E518" t="inlineStr">
        <is>
          <t>LINKÖPING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18891-2022</t>
        </is>
      </c>
      <c r="B519" s="1" t="n">
        <v>44690</v>
      </c>
      <c r="C519" s="1" t="n">
        <v>45879</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22833-2023</t>
        </is>
      </c>
      <c r="B520" s="1" t="n">
        <v>45071</v>
      </c>
      <c r="C520" s="1" t="n">
        <v>45879</v>
      </c>
      <c r="D520" t="inlineStr">
        <is>
          <t>ÖSTERGÖTLANDS LÄN</t>
        </is>
      </c>
      <c r="E520" t="inlineStr">
        <is>
          <t>LINKÖPING</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44280-2024</t>
        </is>
      </c>
      <c r="B521" s="1" t="n">
        <v>45573.49461805556</v>
      </c>
      <c r="C521" s="1" t="n">
        <v>45879</v>
      </c>
      <c r="D521" t="inlineStr">
        <is>
          <t>ÖSTERGÖTLANDS LÄN</t>
        </is>
      </c>
      <c r="E521" t="inlineStr">
        <is>
          <t>LINKÖPING</t>
        </is>
      </c>
      <c r="G521" t="n">
        <v>5.3</v>
      </c>
      <c r="H521" t="n">
        <v>0</v>
      </c>
      <c r="I521" t="n">
        <v>0</v>
      </c>
      <c r="J521" t="n">
        <v>0</v>
      </c>
      <c r="K521" t="n">
        <v>0</v>
      </c>
      <c r="L521" t="n">
        <v>0</v>
      </c>
      <c r="M521" t="n">
        <v>0</v>
      </c>
      <c r="N521" t="n">
        <v>0</v>
      </c>
      <c r="O521" t="n">
        <v>0</v>
      </c>
      <c r="P521" t="n">
        <v>0</v>
      </c>
      <c r="Q521" t="n">
        <v>0</v>
      </c>
      <c r="R521" s="2" t="inlineStr"/>
    </row>
    <row r="522" ht="15" customHeight="1">
      <c r="A522" t="inlineStr">
        <is>
          <t>A 17898-2022</t>
        </is>
      </c>
      <c r="B522" s="1" t="n">
        <v>44683</v>
      </c>
      <c r="C522" s="1" t="n">
        <v>45879</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26620-2023</t>
        </is>
      </c>
      <c r="B523" s="1" t="n">
        <v>45092.70390046296</v>
      </c>
      <c r="C523" s="1" t="n">
        <v>45879</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62017-2024</t>
        </is>
      </c>
      <c r="B524" s="1" t="n">
        <v>45655.81140046296</v>
      </c>
      <c r="C524" s="1" t="n">
        <v>45879</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12411-2022</t>
        </is>
      </c>
      <c r="B525" s="1" t="n">
        <v>44638.21601851852</v>
      </c>
      <c r="C525" s="1" t="n">
        <v>45879</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10492-2022</t>
        </is>
      </c>
      <c r="B526" s="1" t="n">
        <v>44623.6377199074</v>
      </c>
      <c r="C526" s="1" t="n">
        <v>45879</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45879</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938-2023</t>
        </is>
      </c>
      <c r="B528" s="1" t="n">
        <v>44933</v>
      </c>
      <c r="C528" s="1" t="n">
        <v>45879</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25996-2025</t>
        </is>
      </c>
      <c r="B529" s="1" t="n">
        <v>45804.65851851852</v>
      </c>
      <c r="C529" s="1" t="n">
        <v>45879</v>
      </c>
      <c r="D529" t="inlineStr">
        <is>
          <t>ÖSTERGÖTLANDS LÄN</t>
        </is>
      </c>
      <c r="E529" t="inlineStr">
        <is>
          <t>LINKÖPING</t>
        </is>
      </c>
      <c r="G529" t="n">
        <v>3.2</v>
      </c>
      <c r="H529" t="n">
        <v>0</v>
      </c>
      <c r="I529" t="n">
        <v>0</v>
      </c>
      <c r="J529" t="n">
        <v>0</v>
      </c>
      <c r="K529" t="n">
        <v>0</v>
      </c>
      <c r="L529" t="n">
        <v>0</v>
      </c>
      <c r="M529" t="n">
        <v>0</v>
      </c>
      <c r="N529" t="n">
        <v>0</v>
      </c>
      <c r="O529" t="n">
        <v>0</v>
      </c>
      <c r="P529" t="n">
        <v>0</v>
      </c>
      <c r="Q529" t="n">
        <v>0</v>
      </c>
      <c r="R529" s="2" t="inlineStr"/>
    </row>
    <row r="530" ht="15" customHeight="1">
      <c r="A530" t="inlineStr">
        <is>
          <t>A 25829-2025</t>
        </is>
      </c>
      <c r="B530" s="1" t="n">
        <v>45804.44505787037</v>
      </c>
      <c r="C530" s="1" t="n">
        <v>45879</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25418-2023</t>
        </is>
      </c>
      <c r="B531" s="1" t="n">
        <v>45089</v>
      </c>
      <c r="C531" s="1" t="n">
        <v>45879</v>
      </c>
      <c r="D531" t="inlineStr">
        <is>
          <t>ÖSTERGÖTLANDS LÄN</t>
        </is>
      </c>
      <c r="E531" t="inlineStr">
        <is>
          <t>LINKÖPING</t>
        </is>
      </c>
      <c r="F531" t="inlineStr">
        <is>
          <t>Övriga Aktiebolag</t>
        </is>
      </c>
      <c r="G531" t="n">
        <v>2.4</v>
      </c>
      <c r="H531" t="n">
        <v>0</v>
      </c>
      <c r="I531" t="n">
        <v>0</v>
      </c>
      <c r="J531" t="n">
        <v>0</v>
      </c>
      <c r="K531" t="n">
        <v>0</v>
      </c>
      <c r="L531" t="n">
        <v>0</v>
      </c>
      <c r="M531" t="n">
        <v>0</v>
      </c>
      <c r="N531" t="n">
        <v>0</v>
      </c>
      <c r="O531" t="n">
        <v>0</v>
      </c>
      <c r="P531" t="n">
        <v>0</v>
      </c>
      <c r="Q531" t="n">
        <v>0</v>
      </c>
      <c r="R531" s="2" t="inlineStr"/>
    </row>
    <row r="532" ht="15" customHeight="1">
      <c r="A532" t="inlineStr">
        <is>
          <t>A 60007-2022</t>
        </is>
      </c>
      <c r="B532" s="1" t="n">
        <v>44909.47282407407</v>
      </c>
      <c r="C532" s="1" t="n">
        <v>45879</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7343-2025</t>
        </is>
      </c>
      <c r="B533" s="1" t="n">
        <v>45703.67853009259</v>
      </c>
      <c r="C533" s="1" t="n">
        <v>45879</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25831-2025</t>
        </is>
      </c>
      <c r="B534" s="1" t="n">
        <v>45804.44638888889</v>
      </c>
      <c r="C534" s="1" t="n">
        <v>45879</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8967-2025</t>
        </is>
      </c>
      <c r="B535" s="1" t="n">
        <v>45712</v>
      </c>
      <c r="C535" s="1" t="n">
        <v>45879</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35427-2023</t>
        </is>
      </c>
      <c r="B536" s="1" t="n">
        <v>45146</v>
      </c>
      <c r="C536" s="1" t="n">
        <v>45879</v>
      </c>
      <c r="D536" t="inlineStr">
        <is>
          <t>ÖSTERGÖTLANDS LÄN</t>
        </is>
      </c>
      <c r="E536" t="inlineStr">
        <is>
          <t>LINKÖPING</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11601-2023</t>
        </is>
      </c>
      <c r="B537" s="1" t="n">
        <v>44994</v>
      </c>
      <c r="C537" s="1" t="n">
        <v>45879</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30468-2023</t>
        </is>
      </c>
      <c r="B538" s="1" t="n">
        <v>45111.58732638889</v>
      </c>
      <c r="C538" s="1" t="n">
        <v>45879</v>
      </c>
      <c r="D538" t="inlineStr">
        <is>
          <t>ÖSTERGÖTLANDS LÄN</t>
        </is>
      </c>
      <c r="E538" t="inlineStr">
        <is>
          <t>LINKÖPING</t>
        </is>
      </c>
      <c r="G538" t="n">
        <v>10.1</v>
      </c>
      <c r="H538" t="n">
        <v>0</v>
      </c>
      <c r="I538" t="n">
        <v>0</v>
      </c>
      <c r="J538" t="n">
        <v>0</v>
      </c>
      <c r="K538" t="n">
        <v>0</v>
      </c>
      <c r="L538" t="n">
        <v>0</v>
      </c>
      <c r="M538" t="n">
        <v>0</v>
      </c>
      <c r="N538" t="n">
        <v>0</v>
      </c>
      <c r="O538" t="n">
        <v>0</v>
      </c>
      <c r="P538" t="n">
        <v>0</v>
      </c>
      <c r="Q538" t="n">
        <v>0</v>
      </c>
      <c r="R538" s="2" t="inlineStr"/>
    </row>
    <row r="539" ht="15" customHeight="1">
      <c r="A539" t="inlineStr">
        <is>
          <t>A 26002-2025</t>
        </is>
      </c>
      <c r="B539" s="1" t="n">
        <v>45804.66534722222</v>
      </c>
      <c r="C539" s="1" t="n">
        <v>45879</v>
      </c>
      <c r="D539" t="inlineStr">
        <is>
          <t>ÖSTERGÖTLANDS LÄN</t>
        </is>
      </c>
      <c r="E539" t="inlineStr">
        <is>
          <t>LINKÖPING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26007-2025</t>
        </is>
      </c>
      <c r="B540" s="1" t="n">
        <v>45804.67081018518</v>
      </c>
      <c r="C540" s="1" t="n">
        <v>45879</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20296-2025</t>
        </is>
      </c>
      <c r="B541" s="1" t="n">
        <v>45774.74922453704</v>
      </c>
      <c r="C541" s="1" t="n">
        <v>45879</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53529-2024</t>
        </is>
      </c>
      <c r="B542" s="1" t="n">
        <v>45614</v>
      </c>
      <c r="C542" s="1" t="n">
        <v>45879</v>
      </c>
      <c r="D542" t="inlineStr">
        <is>
          <t>ÖSTERGÖTLANDS LÄN</t>
        </is>
      </c>
      <c r="E542" t="inlineStr">
        <is>
          <t>LINKÖPING</t>
        </is>
      </c>
      <c r="G542" t="n">
        <v>6.7</v>
      </c>
      <c r="H542" t="n">
        <v>0</v>
      </c>
      <c r="I542" t="n">
        <v>0</v>
      </c>
      <c r="J542" t="n">
        <v>0</v>
      </c>
      <c r="K542" t="n">
        <v>0</v>
      </c>
      <c r="L542" t="n">
        <v>0</v>
      </c>
      <c r="M542" t="n">
        <v>0</v>
      </c>
      <c r="N542" t="n">
        <v>0</v>
      </c>
      <c r="O542" t="n">
        <v>0</v>
      </c>
      <c r="P542" t="n">
        <v>0</v>
      </c>
      <c r="Q542" t="n">
        <v>0</v>
      </c>
      <c r="R542" s="2" t="inlineStr"/>
    </row>
    <row r="543" ht="15" customHeight="1">
      <c r="A543" t="inlineStr">
        <is>
          <t>A 56841-2023</t>
        </is>
      </c>
      <c r="B543" s="1" t="n">
        <v>45244</v>
      </c>
      <c r="C543" s="1" t="n">
        <v>45879</v>
      </c>
      <c r="D543" t="inlineStr">
        <is>
          <t>ÖSTERGÖTLANDS LÄN</t>
        </is>
      </c>
      <c r="E543" t="inlineStr">
        <is>
          <t>LINKÖPING</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61227-2024</t>
        </is>
      </c>
      <c r="B544" s="1" t="n">
        <v>45645.66853009259</v>
      </c>
      <c r="C544" s="1" t="n">
        <v>45879</v>
      </c>
      <c r="D544" t="inlineStr">
        <is>
          <t>ÖSTERGÖTLANDS LÄN</t>
        </is>
      </c>
      <c r="E544" t="inlineStr">
        <is>
          <t>LINKÖPING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1260-2023</t>
        </is>
      </c>
      <c r="B545" s="1" t="n">
        <v>44936</v>
      </c>
      <c r="C545" s="1" t="n">
        <v>45879</v>
      </c>
      <c r="D545" t="inlineStr">
        <is>
          <t>ÖSTERGÖTLANDS LÄN</t>
        </is>
      </c>
      <c r="E545" t="inlineStr">
        <is>
          <t>LINKÖPING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7702-2023</t>
        </is>
      </c>
      <c r="B546" s="1" t="n">
        <v>44967</v>
      </c>
      <c r="C546" s="1" t="n">
        <v>45879</v>
      </c>
      <c r="D546" t="inlineStr">
        <is>
          <t>ÖSTERGÖTLANDS LÄN</t>
        </is>
      </c>
      <c r="E546" t="inlineStr">
        <is>
          <t>LINKÖPING</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45879</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45879</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45879</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36725-2023</t>
        </is>
      </c>
      <c r="B550" s="1" t="n">
        <v>45153.68471064815</v>
      </c>
      <c r="C550" s="1" t="n">
        <v>45879</v>
      </c>
      <c r="D550" t="inlineStr">
        <is>
          <t>ÖSTERGÖTLANDS LÄN</t>
        </is>
      </c>
      <c r="E550" t="inlineStr">
        <is>
          <t>LINKÖPING</t>
        </is>
      </c>
      <c r="F550" t="inlineStr">
        <is>
          <t>Allmännings- och besparingsskogar</t>
        </is>
      </c>
      <c r="G550" t="n">
        <v>2.6</v>
      </c>
      <c r="H550" t="n">
        <v>0</v>
      </c>
      <c r="I550" t="n">
        <v>0</v>
      </c>
      <c r="J550" t="n">
        <v>0</v>
      </c>
      <c r="K550" t="n">
        <v>0</v>
      </c>
      <c r="L550" t="n">
        <v>0</v>
      </c>
      <c r="M550" t="n">
        <v>0</v>
      </c>
      <c r="N550" t="n">
        <v>0</v>
      </c>
      <c r="O550" t="n">
        <v>0</v>
      </c>
      <c r="P550" t="n">
        <v>0</v>
      </c>
      <c r="Q550" t="n">
        <v>0</v>
      </c>
      <c r="R550" s="2" t="inlineStr"/>
    </row>
    <row r="551" ht="15" customHeight="1">
      <c r="A551" t="inlineStr">
        <is>
          <t>A 53812-2023</t>
        </is>
      </c>
      <c r="B551" s="1" t="n">
        <v>45231.39583333334</v>
      </c>
      <c r="C551" s="1" t="n">
        <v>45879</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53830-2023</t>
        </is>
      </c>
      <c r="B552" s="1" t="n">
        <v>45230</v>
      </c>
      <c r="C552" s="1" t="n">
        <v>45879</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45879</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38715-2023</t>
        </is>
      </c>
      <c r="B554" s="1" t="n">
        <v>45160</v>
      </c>
      <c r="C554" s="1" t="n">
        <v>45879</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35174-2025</t>
        </is>
      </c>
      <c r="B555" s="1" t="n">
        <v>45852.90648148148</v>
      </c>
      <c r="C555" s="1" t="n">
        <v>45879</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22774-2024</t>
        </is>
      </c>
      <c r="B556" s="1" t="n">
        <v>45448.46924768519</v>
      </c>
      <c r="C556" s="1" t="n">
        <v>45879</v>
      </c>
      <c r="D556" t="inlineStr">
        <is>
          <t>ÖSTERGÖTLANDS LÄN</t>
        </is>
      </c>
      <c r="E556" t="inlineStr">
        <is>
          <t>LINKÖPING</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22778-2024</t>
        </is>
      </c>
      <c r="B557" s="1" t="n">
        <v>45448.47233796296</v>
      </c>
      <c r="C557" s="1" t="n">
        <v>45879</v>
      </c>
      <c r="D557" t="inlineStr">
        <is>
          <t>ÖSTERGÖTLANDS LÄN</t>
        </is>
      </c>
      <c r="E557" t="inlineStr">
        <is>
          <t>LINKÖPING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34864-2023</t>
        </is>
      </c>
      <c r="B558" s="1" t="n">
        <v>45141</v>
      </c>
      <c r="C558" s="1" t="n">
        <v>45879</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52531-2023</t>
        </is>
      </c>
      <c r="B559" s="1" t="n">
        <v>45225</v>
      </c>
      <c r="C559" s="1" t="n">
        <v>45879</v>
      </c>
      <c r="D559" t="inlineStr">
        <is>
          <t>ÖSTERGÖTLANDS LÄN</t>
        </is>
      </c>
      <c r="E559" t="inlineStr">
        <is>
          <t>LINKÖPING</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34930-2023</t>
        </is>
      </c>
      <c r="B560" s="1" t="n">
        <v>45142</v>
      </c>
      <c r="C560" s="1" t="n">
        <v>45879</v>
      </c>
      <c r="D560" t="inlineStr">
        <is>
          <t>ÖSTERGÖTLANDS LÄN</t>
        </is>
      </c>
      <c r="E560" t="inlineStr">
        <is>
          <t>LINKÖPING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30985-2022</t>
        </is>
      </c>
      <c r="B561" s="1" t="n">
        <v>44768</v>
      </c>
      <c r="C561" s="1" t="n">
        <v>45879</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59948-2022</t>
        </is>
      </c>
      <c r="B562" s="1" t="n">
        <v>44909</v>
      </c>
      <c r="C562" s="1" t="n">
        <v>45879</v>
      </c>
      <c r="D562" t="inlineStr">
        <is>
          <t>ÖSTERGÖTLANDS LÄN</t>
        </is>
      </c>
      <c r="E562" t="inlineStr">
        <is>
          <t>LINKÖPING</t>
        </is>
      </c>
      <c r="G562" t="n">
        <v>6.7</v>
      </c>
      <c r="H562" t="n">
        <v>0</v>
      </c>
      <c r="I562" t="n">
        <v>0</v>
      </c>
      <c r="J562" t="n">
        <v>0</v>
      </c>
      <c r="K562" t="n">
        <v>0</v>
      </c>
      <c r="L562" t="n">
        <v>0</v>
      </c>
      <c r="M562" t="n">
        <v>0</v>
      </c>
      <c r="N562" t="n">
        <v>0</v>
      </c>
      <c r="O562" t="n">
        <v>0</v>
      </c>
      <c r="P562" t="n">
        <v>0</v>
      </c>
      <c r="Q562" t="n">
        <v>0</v>
      </c>
      <c r="R562" s="2" t="inlineStr"/>
    </row>
    <row r="563" ht="15" customHeight="1">
      <c r="A563" t="inlineStr">
        <is>
          <t>A 27766-2022</t>
        </is>
      </c>
      <c r="B563" s="1" t="n">
        <v>44743.53112268518</v>
      </c>
      <c r="C563" s="1" t="n">
        <v>45879</v>
      </c>
      <c r="D563" t="inlineStr">
        <is>
          <t>ÖSTERGÖTLANDS LÄN</t>
        </is>
      </c>
      <c r="E563" t="inlineStr">
        <is>
          <t>LINKÖPING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25292-2021</t>
        </is>
      </c>
      <c r="B564" s="1" t="n">
        <v>44342</v>
      </c>
      <c r="C564" s="1" t="n">
        <v>45879</v>
      </c>
      <c r="D564" t="inlineStr">
        <is>
          <t>ÖSTERGÖTLANDS LÄN</t>
        </is>
      </c>
      <c r="E564" t="inlineStr">
        <is>
          <t>LINKÖPING</t>
        </is>
      </c>
      <c r="F564" t="inlineStr">
        <is>
          <t>Övriga Aktiebolag</t>
        </is>
      </c>
      <c r="G564" t="n">
        <v>12.8</v>
      </c>
      <c r="H564" t="n">
        <v>0</v>
      </c>
      <c r="I564" t="n">
        <v>0</v>
      </c>
      <c r="J564" t="n">
        <v>0</v>
      </c>
      <c r="K564" t="n">
        <v>0</v>
      </c>
      <c r="L564" t="n">
        <v>0</v>
      </c>
      <c r="M564" t="n">
        <v>0</v>
      </c>
      <c r="N564" t="n">
        <v>0</v>
      </c>
      <c r="O564" t="n">
        <v>0</v>
      </c>
      <c r="P564" t="n">
        <v>0</v>
      </c>
      <c r="Q564" t="n">
        <v>0</v>
      </c>
      <c r="R564" s="2" t="inlineStr"/>
    </row>
    <row r="565" ht="15" customHeight="1">
      <c r="A565" t="inlineStr">
        <is>
          <t>A 48271-2023</t>
        </is>
      </c>
      <c r="B565" s="1" t="n">
        <v>45205</v>
      </c>
      <c r="C565" s="1" t="n">
        <v>45879</v>
      </c>
      <c r="D565" t="inlineStr">
        <is>
          <t>ÖSTERGÖTLANDS LÄN</t>
        </is>
      </c>
      <c r="E565" t="inlineStr">
        <is>
          <t>LINKÖPING</t>
        </is>
      </c>
      <c r="G565" t="n">
        <v>3</v>
      </c>
      <c r="H565" t="n">
        <v>0</v>
      </c>
      <c r="I565" t="n">
        <v>0</v>
      </c>
      <c r="J565" t="n">
        <v>0</v>
      </c>
      <c r="K565" t="n">
        <v>0</v>
      </c>
      <c r="L565" t="n">
        <v>0</v>
      </c>
      <c r="M565" t="n">
        <v>0</v>
      </c>
      <c r="N565" t="n">
        <v>0</v>
      </c>
      <c r="O565" t="n">
        <v>0</v>
      </c>
      <c r="P565" t="n">
        <v>0</v>
      </c>
      <c r="Q565" t="n">
        <v>0</v>
      </c>
      <c r="R565" s="2" t="inlineStr"/>
    </row>
    <row r="566" ht="15" customHeight="1">
      <c r="A566" t="inlineStr">
        <is>
          <t>A 35178-2025</t>
        </is>
      </c>
      <c r="B566" s="1" t="n">
        <v>45852.91939814815</v>
      </c>
      <c r="C566" s="1" t="n">
        <v>45879</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45879</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49748-2024</t>
        </is>
      </c>
      <c r="B568" s="1" t="n">
        <v>45596</v>
      </c>
      <c r="C568" s="1" t="n">
        <v>45879</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59642-2024</t>
        </is>
      </c>
      <c r="B569" s="1" t="n">
        <v>45639.31511574074</v>
      </c>
      <c r="C569" s="1" t="n">
        <v>45879</v>
      </c>
      <c r="D569" t="inlineStr">
        <is>
          <t>ÖSTERGÖTLANDS LÄN</t>
        </is>
      </c>
      <c r="E569" t="inlineStr">
        <is>
          <t>LINKÖPING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27264-2025</t>
        </is>
      </c>
      <c r="B570" s="1" t="n">
        <v>45812.4794212963</v>
      </c>
      <c r="C570" s="1" t="n">
        <v>45879</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15748-2025</t>
        </is>
      </c>
      <c r="B571" s="1" t="n">
        <v>45748.55282407408</v>
      </c>
      <c r="C571" s="1" t="n">
        <v>45879</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31792-2021</t>
        </is>
      </c>
      <c r="B572" s="1" t="n">
        <v>44369</v>
      </c>
      <c r="C572" s="1" t="n">
        <v>45879</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25097-2023</t>
        </is>
      </c>
      <c r="B573" s="1" t="n">
        <v>45086</v>
      </c>
      <c r="C573" s="1" t="n">
        <v>45879</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35735-2023</t>
        </is>
      </c>
      <c r="B574" s="1" t="n">
        <v>45147</v>
      </c>
      <c r="C574" s="1" t="n">
        <v>45879</v>
      </c>
      <c r="D574" t="inlineStr">
        <is>
          <t>ÖSTERGÖTLANDS LÄN</t>
        </is>
      </c>
      <c r="E574" t="inlineStr">
        <is>
          <t>LINKÖPING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35179-2025</t>
        </is>
      </c>
      <c r="B575" s="1" t="n">
        <v>45852.93737268518</v>
      </c>
      <c r="C575" s="1" t="n">
        <v>45879</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45879</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25776-2021</t>
        </is>
      </c>
      <c r="B577" s="1" t="n">
        <v>44343</v>
      </c>
      <c r="C577" s="1" t="n">
        <v>45879</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30856-2022</t>
        </is>
      </c>
      <c r="B578" s="1" t="n">
        <v>44767</v>
      </c>
      <c r="C578" s="1" t="n">
        <v>45879</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13266-2025</t>
        </is>
      </c>
      <c r="B579" s="1" t="n">
        <v>45735.53318287037</v>
      </c>
      <c r="C579" s="1" t="n">
        <v>45879</v>
      </c>
      <c r="D579" t="inlineStr">
        <is>
          <t>ÖSTERGÖTLANDS LÄN</t>
        </is>
      </c>
      <c r="E579" t="inlineStr">
        <is>
          <t>LINKÖPING</t>
        </is>
      </c>
      <c r="G579" t="n">
        <v>3.1</v>
      </c>
      <c r="H579" t="n">
        <v>0</v>
      </c>
      <c r="I579" t="n">
        <v>0</v>
      </c>
      <c r="J579" t="n">
        <v>0</v>
      </c>
      <c r="K579" t="n">
        <v>0</v>
      </c>
      <c r="L579" t="n">
        <v>0</v>
      </c>
      <c r="M579" t="n">
        <v>0</v>
      </c>
      <c r="N579" t="n">
        <v>0</v>
      </c>
      <c r="O579" t="n">
        <v>0</v>
      </c>
      <c r="P579" t="n">
        <v>0</v>
      </c>
      <c r="Q579" t="n">
        <v>0</v>
      </c>
      <c r="R579" s="2" t="inlineStr"/>
    </row>
    <row r="580" ht="15" customHeight="1">
      <c r="A580" t="inlineStr">
        <is>
          <t>A 19187-2021</t>
        </is>
      </c>
      <c r="B580" s="1" t="n">
        <v>44308</v>
      </c>
      <c r="C580" s="1" t="n">
        <v>45879</v>
      </c>
      <c r="D580" t="inlineStr">
        <is>
          <t>ÖSTERGÖTLANDS LÄN</t>
        </is>
      </c>
      <c r="E580" t="inlineStr">
        <is>
          <t>LINKÖPING</t>
        </is>
      </c>
      <c r="F580" t="inlineStr">
        <is>
          <t>Allmännings- och besparingsskogar</t>
        </is>
      </c>
      <c r="G580" t="n">
        <v>20</v>
      </c>
      <c r="H580" t="n">
        <v>0</v>
      </c>
      <c r="I580" t="n">
        <v>0</v>
      </c>
      <c r="J580" t="n">
        <v>0</v>
      </c>
      <c r="K580" t="n">
        <v>0</v>
      </c>
      <c r="L580" t="n">
        <v>0</v>
      </c>
      <c r="M580" t="n">
        <v>0</v>
      </c>
      <c r="N580" t="n">
        <v>0</v>
      </c>
      <c r="O580" t="n">
        <v>0</v>
      </c>
      <c r="P580" t="n">
        <v>0</v>
      </c>
      <c r="Q580" t="n">
        <v>0</v>
      </c>
      <c r="R580" s="2" t="inlineStr"/>
    </row>
    <row r="581" ht="15" customHeight="1">
      <c r="A581" t="inlineStr">
        <is>
          <t>A 60001-2022</t>
        </is>
      </c>
      <c r="B581" s="1" t="n">
        <v>44909.47087962963</v>
      </c>
      <c r="C581" s="1" t="n">
        <v>45879</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39457-2023</t>
        </is>
      </c>
      <c r="B582" s="1" t="n">
        <v>45166</v>
      </c>
      <c r="C582" s="1" t="n">
        <v>45879</v>
      </c>
      <c r="D582" t="inlineStr">
        <is>
          <t>ÖSTERGÖTLANDS LÄN</t>
        </is>
      </c>
      <c r="E582" t="inlineStr">
        <is>
          <t>LINKÖPING</t>
        </is>
      </c>
      <c r="G582" t="n">
        <v>2.1</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45306.82501157407</v>
      </c>
      <c r="C583" s="1" t="n">
        <v>45879</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28200-2025</t>
        </is>
      </c>
      <c r="B584" s="1" t="n">
        <v>45818.4428125</v>
      </c>
      <c r="C584" s="1" t="n">
        <v>45879</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35757-2025</t>
        </is>
      </c>
      <c r="B585" s="1" t="n">
        <v>45860.59876157407</v>
      </c>
      <c r="C585" s="1" t="n">
        <v>45879</v>
      </c>
      <c r="D585" t="inlineStr">
        <is>
          <t>ÖSTERGÖTLANDS LÄN</t>
        </is>
      </c>
      <c r="E585" t="inlineStr">
        <is>
          <t>LINKÖPING</t>
        </is>
      </c>
      <c r="G585" t="n">
        <v>5.7</v>
      </c>
      <c r="H585" t="n">
        <v>0</v>
      </c>
      <c r="I585" t="n">
        <v>0</v>
      </c>
      <c r="J585" t="n">
        <v>0</v>
      </c>
      <c r="K585" t="n">
        <v>0</v>
      </c>
      <c r="L585" t="n">
        <v>0</v>
      </c>
      <c r="M585" t="n">
        <v>0</v>
      </c>
      <c r="N585" t="n">
        <v>0</v>
      </c>
      <c r="O585" t="n">
        <v>0</v>
      </c>
      <c r="P585" t="n">
        <v>0</v>
      </c>
      <c r="Q585" t="n">
        <v>0</v>
      </c>
      <c r="R585" s="2" t="inlineStr"/>
    </row>
    <row r="586" ht="15" customHeight="1">
      <c r="A586" t="inlineStr">
        <is>
          <t>A 30976-2022</t>
        </is>
      </c>
      <c r="B586" s="1" t="n">
        <v>44768</v>
      </c>
      <c r="C586" s="1" t="n">
        <v>45879</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27950-2025</t>
        </is>
      </c>
      <c r="B587" s="1" t="n">
        <v>45817.52960648148</v>
      </c>
      <c r="C587" s="1" t="n">
        <v>45879</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30860-2022</t>
        </is>
      </c>
      <c r="B588" s="1" t="n">
        <v>44767</v>
      </c>
      <c r="C588" s="1" t="n">
        <v>45879</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19352-2025</t>
        </is>
      </c>
      <c r="B589" s="1" t="n">
        <v>45769</v>
      </c>
      <c r="C589" s="1" t="n">
        <v>45879</v>
      </c>
      <c r="D589" t="inlineStr">
        <is>
          <t>ÖSTERGÖTLANDS LÄN</t>
        </is>
      </c>
      <c r="E589" t="inlineStr">
        <is>
          <t>LINKÖPING</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48186-2022</t>
        </is>
      </c>
      <c r="B590" s="1" t="n">
        <v>44858</v>
      </c>
      <c r="C590" s="1" t="n">
        <v>45879</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39219-2021</t>
        </is>
      </c>
      <c r="B591" s="1" t="n">
        <v>44413</v>
      </c>
      <c r="C591" s="1" t="n">
        <v>45879</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39224-2021</t>
        </is>
      </c>
      <c r="B592" s="1" t="n">
        <v>44413</v>
      </c>
      <c r="C592" s="1" t="n">
        <v>45879</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27797-2025</t>
        </is>
      </c>
      <c r="B593" s="1" t="n">
        <v>45816.80521990741</v>
      </c>
      <c r="C593" s="1" t="n">
        <v>45879</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27798-2025</t>
        </is>
      </c>
      <c r="B594" s="1" t="n">
        <v>45816.81532407407</v>
      </c>
      <c r="C594" s="1" t="n">
        <v>45879</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35747-2025</t>
        </is>
      </c>
      <c r="B595" s="1" t="n">
        <v>45860.56385416666</v>
      </c>
      <c r="C595" s="1" t="n">
        <v>45879</v>
      </c>
      <c r="D595" t="inlineStr">
        <is>
          <t>ÖSTERGÖTLANDS LÄN</t>
        </is>
      </c>
      <c r="E595" t="inlineStr">
        <is>
          <t>LINKÖPING</t>
        </is>
      </c>
      <c r="G595" t="n">
        <v>2.4</v>
      </c>
      <c r="H595" t="n">
        <v>0</v>
      </c>
      <c r="I595" t="n">
        <v>0</v>
      </c>
      <c r="J595" t="n">
        <v>0</v>
      </c>
      <c r="K595" t="n">
        <v>0</v>
      </c>
      <c r="L595" t="n">
        <v>0</v>
      </c>
      <c r="M595" t="n">
        <v>0</v>
      </c>
      <c r="N595" t="n">
        <v>0</v>
      </c>
      <c r="O595" t="n">
        <v>0</v>
      </c>
      <c r="P595" t="n">
        <v>0</v>
      </c>
      <c r="Q595" t="n">
        <v>0</v>
      </c>
      <c r="R595" s="2" t="inlineStr"/>
    </row>
    <row r="596" ht="15" customHeight="1">
      <c r="A596" t="inlineStr">
        <is>
          <t>A 28266-2024</t>
        </is>
      </c>
      <c r="B596" s="1" t="n">
        <v>45477.43600694444</v>
      </c>
      <c r="C596" s="1" t="n">
        <v>45879</v>
      </c>
      <c r="D596" t="inlineStr">
        <is>
          <t>ÖSTERGÖTLANDS LÄN</t>
        </is>
      </c>
      <c r="E596" t="inlineStr">
        <is>
          <t>LINKÖPING</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28209-2025</t>
        </is>
      </c>
      <c r="B597" s="1" t="n">
        <v>45818.45112268518</v>
      </c>
      <c r="C597" s="1" t="n">
        <v>45879</v>
      </c>
      <c r="D597" t="inlineStr">
        <is>
          <t>ÖSTERGÖTLANDS LÄN</t>
        </is>
      </c>
      <c r="E597" t="inlineStr">
        <is>
          <t>LINKÖPING</t>
        </is>
      </c>
      <c r="G597" t="n">
        <v>4.2</v>
      </c>
      <c r="H597" t="n">
        <v>0</v>
      </c>
      <c r="I597" t="n">
        <v>0</v>
      </c>
      <c r="J597" t="n">
        <v>0</v>
      </c>
      <c r="K597" t="n">
        <v>0</v>
      </c>
      <c r="L597" t="n">
        <v>0</v>
      </c>
      <c r="M597" t="n">
        <v>0</v>
      </c>
      <c r="N597" t="n">
        <v>0</v>
      </c>
      <c r="O597" t="n">
        <v>0</v>
      </c>
      <c r="P597" t="n">
        <v>0</v>
      </c>
      <c r="Q597" t="n">
        <v>0</v>
      </c>
      <c r="R597" s="2" t="inlineStr"/>
    </row>
    <row r="598" ht="15" customHeight="1">
      <c r="A598" t="inlineStr">
        <is>
          <t>A 35745-2025</t>
        </is>
      </c>
      <c r="B598" s="1" t="n">
        <v>45860.54739583333</v>
      </c>
      <c r="C598" s="1" t="n">
        <v>45879</v>
      </c>
      <c r="D598" t="inlineStr">
        <is>
          <t>ÖSTERGÖTLANDS LÄN</t>
        </is>
      </c>
      <c r="E598" t="inlineStr">
        <is>
          <t>LINKÖPING</t>
        </is>
      </c>
      <c r="G598" t="n">
        <v>4.4</v>
      </c>
      <c r="H598" t="n">
        <v>0</v>
      </c>
      <c r="I598" t="n">
        <v>0</v>
      </c>
      <c r="J598" t="n">
        <v>0</v>
      </c>
      <c r="K598" t="n">
        <v>0</v>
      </c>
      <c r="L598" t="n">
        <v>0</v>
      </c>
      <c r="M598" t="n">
        <v>0</v>
      </c>
      <c r="N598" t="n">
        <v>0</v>
      </c>
      <c r="O598" t="n">
        <v>0</v>
      </c>
      <c r="P598" t="n">
        <v>0</v>
      </c>
      <c r="Q598" t="n">
        <v>0</v>
      </c>
      <c r="R598" s="2" t="inlineStr"/>
    </row>
    <row r="599" ht="15" customHeight="1">
      <c r="A599" t="inlineStr">
        <is>
          <t>A 28204-2025</t>
        </is>
      </c>
      <c r="B599" s="1" t="n">
        <v>45818.4477662037</v>
      </c>
      <c r="C599" s="1" t="n">
        <v>45879</v>
      </c>
      <c r="D599" t="inlineStr">
        <is>
          <t>ÖSTERGÖTLANDS LÄN</t>
        </is>
      </c>
      <c r="E599" t="inlineStr">
        <is>
          <t>LINKÖPING</t>
        </is>
      </c>
      <c r="G599" t="n">
        <v>2.9</v>
      </c>
      <c r="H599" t="n">
        <v>0</v>
      </c>
      <c r="I599" t="n">
        <v>0</v>
      </c>
      <c r="J599" t="n">
        <v>0</v>
      </c>
      <c r="K599" t="n">
        <v>0</v>
      </c>
      <c r="L599" t="n">
        <v>0</v>
      </c>
      <c r="M599" t="n">
        <v>0</v>
      </c>
      <c r="N599" t="n">
        <v>0</v>
      </c>
      <c r="O599" t="n">
        <v>0</v>
      </c>
      <c r="P599" t="n">
        <v>0</v>
      </c>
      <c r="Q599" t="n">
        <v>0</v>
      </c>
      <c r="R599" s="2" t="inlineStr"/>
    </row>
    <row r="600" ht="15" customHeight="1">
      <c r="A600" t="inlineStr">
        <is>
          <t>A 31548-2022</t>
        </is>
      </c>
      <c r="B600" s="1" t="n">
        <v>44775.39832175926</v>
      </c>
      <c r="C600" s="1" t="n">
        <v>45879</v>
      </c>
      <c r="D600" t="inlineStr">
        <is>
          <t>ÖSTERGÖTLANDS LÄN</t>
        </is>
      </c>
      <c r="E600" t="inlineStr">
        <is>
          <t>LINKÖPING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28398-2025</t>
        </is>
      </c>
      <c r="B601" s="1" t="n">
        <v>45819.34208333334</v>
      </c>
      <c r="C601" s="1" t="n">
        <v>45879</v>
      </c>
      <c r="D601" t="inlineStr">
        <is>
          <t>ÖSTERGÖTLANDS LÄN</t>
        </is>
      </c>
      <c r="E601" t="inlineStr">
        <is>
          <t>LINKÖPING</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45506-2020</t>
        </is>
      </c>
      <c r="B602" s="1" t="n">
        <v>44089</v>
      </c>
      <c r="C602" s="1" t="n">
        <v>45879</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1211-2023</t>
        </is>
      </c>
      <c r="B603" s="1" t="n">
        <v>44930</v>
      </c>
      <c r="C603" s="1" t="n">
        <v>45879</v>
      </c>
      <c r="D603" t="inlineStr">
        <is>
          <t>ÖSTERGÖTLANDS LÄN</t>
        </is>
      </c>
      <c r="E603" t="inlineStr">
        <is>
          <t>LINKÖPING</t>
        </is>
      </c>
      <c r="F603" t="inlineStr">
        <is>
          <t>Övriga statliga verk och myndigheter</t>
        </is>
      </c>
      <c r="G603" t="n">
        <v>7.9</v>
      </c>
      <c r="H603" t="n">
        <v>0</v>
      </c>
      <c r="I603" t="n">
        <v>0</v>
      </c>
      <c r="J603" t="n">
        <v>0</v>
      </c>
      <c r="K603" t="n">
        <v>0</v>
      </c>
      <c r="L603" t="n">
        <v>0</v>
      </c>
      <c r="M603" t="n">
        <v>0</v>
      </c>
      <c r="N603" t="n">
        <v>0</v>
      </c>
      <c r="O603" t="n">
        <v>0</v>
      </c>
      <c r="P603" t="n">
        <v>0</v>
      </c>
      <c r="Q603" t="n">
        <v>0</v>
      </c>
      <c r="R603" s="2" t="inlineStr"/>
    </row>
    <row r="604" ht="15" customHeight="1">
      <c r="A604" t="inlineStr">
        <is>
          <t>A 51191-2022</t>
        </is>
      </c>
      <c r="B604" s="1" t="n">
        <v>44865</v>
      </c>
      <c r="C604" s="1" t="n">
        <v>45879</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43934-2023</t>
        </is>
      </c>
      <c r="B605" s="1" t="n">
        <v>45187</v>
      </c>
      <c r="C605" s="1" t="n">
        <v>45879</v>
      </c>
      <c r="D605" t="inlineStr">
        <is>
          <t>ÖSTERGÖTLANDS LÄN</t>
        </is>
      </c>
      <c r="E605" t="inlineStr">
        <is>
          <t>LINKÖPING</t>
        </is>
      </c>
      <c r="F605" t="inlineStr">
        <is>
          <t>Övriga Aktiebolag</t>
        </is>
      </c>
      <c r="G605" t="n">
        <v>3.8</v>
      </c>
      <c r="H605" t="n">
        <v>0</v>
      </c>
      <c r="I605" t="n">
        <v>0</v>
      </c>
      <c r="J605" t="n">
        <v>0</v>
      </c>
      <c r="K605" t="n">
        <v>0</v>
      </c>
      <c r="L605" t="n">
        <v>0</v>
      </c>
      <c r="M605" t="n">
        <v>0</v>
      </c>
      <c r="N605" t="n">
        <v>0</v>
      </c>
      <c r="O605" t="n">
        <v>0</v>
      </c>
      <c r="P605" t="n">
        <v>0</v>
      </c>
      <c r="Q605" t="n">
        <v>0</v>
      </c>
      <c r="R605" s="2" t="inlineStr"/>
    </row>
    <row r="606" ht="15" customHeight="1">
      <c r="A606" t="inlineStr">
        <is>
          <t>A 28416-2025</t>
        </is>
      </c>
      <c r="B606" s="1" t="n">
        <v>45819.35346064815</v>
      </c>
      <c r="C606" s="1" t="n">
        <v>45879</v>
      </c>
      <c r="D606" t="inlineStr">
        <is>
          <t>ÖSTERGÖTLANDS LÄN</t>
        </is>
      </c>
      <c r="E606" t="inlineStr">
        <is>
          <t>LINKÖPING</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55632-2022</t>
        </is>
      </c>
      <c r="B607" s="1" t="n">
        <v>44888</v>
      </c>
      <c r="C607" s="1" t="n">
        <v>45879</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42697-2020</t>
        </is>
      </c>
      <c r="B608" s="1" t="n">
        <v>44077</v>
      </c>
      <c r="C608" s="1" t="n">
        <v>45879</v>
      </c>
      <c r="D608" t="inlineStr">
        <is>
          <t>ÖSTERGÖTLANDS LÄN</t>
        </is>
      </c>
      <c r="E608" t="inlineStr">
        <is>
          <t>LINKÖPING</t>
        </is>
      </c>
      <c r="G608" t="n">
        <v>1.8</v>
      </c>
      <c r="H608" t="n">
        <v>0</v>
      </c>
      <c r="I608" t="n">
        <v>0</v>
      </c>
      <c r="J608" t="n">
        <v>0</v>
      </c>
      <c r="K608" t="n">
        <v>0</v>
      </c>
      <c r="L608" t="n">
        <v>0</v>
      </c>
      <c r="M608" t="n">
        <v>0</v>
      </c>
      <c r="N608" t="n">
        <v>0</v>
      </c>
      <c r="O608" t="n">
        <v>0</v>
      </c>
      <c r="P608" t="n">
        <v>0</v>
      </c>
      <c r="Q608" t="n">
        <v>0</v>
      </c>
      <c r="R608" s="2" t="inlineStr"/>
    </row>
    <row r="609" ht="15" customHeight="1">
      <c r="A609" t="inlineStr">
        <is>
          <t>A 35759-2025</t>
        </is>
      </c>
      <c r="B609" s="1" t="n">
        <v>45860</v>
      </c>
      <c r="C609" s="1" t="n">
        <v>45879</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45879</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45879</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45879</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12289-2025</t>
        </is>
      </c>
      <c r="B613" s="1" t="n">
        <v>45729</v>
      </c>
      <c r="C613" s="1" t="n">
        <v>45879</v>
      </c>
      <c r="D613" t="inlineStr">
        <is>
          <t>ÖSTERGÖTLANDS LÄN</t>
        </is>
      </c>
      <c r="E613" t="inlineStr">
        <is>
          <t>LINKÖPING</t>
        </is>
      </c>
      <c r="F613" t="inlineStr">
        <is>
          <t>Övriga statliga verk och myndigheter</t>
        </is>
      </c>
      <c r="G613" t="n">
        <v>6.5</v>
      </c>
      <c r="H613" t="n">
        <v>0</v>
      </c>
      <c r="I613" t="n">
        <v>0</v>
      </c>
      <c r="J613" t="n">
        <v>0</v>
      </c>
      <c r="K613" t="n">
        <v>0</v>
      </c>
      <c r="L613" t="n">
        <v>0</v>
      </c>
      <c r="M613" t="n">
        <v>0</v>
      </c>
      <c r="N613" t="n">
        <v>0</v>
      </c>
      <c r="O613" t="n">
        <v>0</v>
      </c>
      <c r="P613" t="n">
        <v>0</v>
      </c>
      <c r="Q613" t="n">
        <v>0</v>
      </c>
      <c r="R613" s="2" t="inlineStr"/>
    </row>
    <row r="614" ht="15" customHeight="1">
      <c r="A614" t="inlineStr">
        <is>
          <t>A 29411-2025</t>
        </is>
      </c>
      <c r="B614" s="1" t="n">
        <v>45824.6219212963</v>
      </c>
      <c r="C614" s="1" t="n">
        <v>45879</v>
      </c>
      <c r="D614" t="inlineStr">
        <is>
          <t>ÖSTERGÖTLANDS LÄN</t>
        </is>
      </c>
      <c r="E614" t="inlineStr">
        <is>
          <t>LINKÖPING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36657-2023</t>
        </is>
      </c>
      <c r="B615" s="1" t="n">
        <v>45153.5702662037</v>
      </c>
      <c r="C615" s="1" t="n">
        <v>45879</v>
      </c>
      <c r="D615" t="inlineStr">
        <is>
          <t>ÖSTERGÖTLANDS LÄN</t>
        </is>
      </c>
      <c r="E615" t="inlineStr">
        <is>
          <t>LINKÖPING</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19169-2023</t>
        </is>
      </c>
      <c r="B616" s="1" t="n">
        <v>45044</v>
      </c>
      <c r="C616" s="1" t="n">
        <v>45879</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1209-2023</t>
        </is>
      </c>
      <c r="B617" s="1" t="n">
        <v>44930</v>
      </c>
      <c r="C617" s="1" t="n">
        <v>45879</v>
      </c>
      <c r="D617" t="inlineStr">
        <is>
          <t>ÖSTERGÖTLANDS LÄN</t>
        </is>
      </c>
      <c r="E617" t="inlineStr">
        <is>
          <t>LINKÖPING</t>
        </is>
      </c>
      <c r="F617" t="inlineStr">
        <is>
          <t>Övriga statliga verk och myndigheter</t>
        </is>
      </c>
      <c r="G617" t="n">
        <v>25.8</v>
      </c>
      <c r="H617" t="n">
        <v>0</v>
      </c>
      <c r="I617" t="n">
        <v>0</v>
      </c>
      <c r="J617" t="n">
        <v>0</v>
      </c>
      <c r="K617" t="n">
        <v>0</v>
      </c>
      <c r="L617" t="n">
        <v>0</v>
      </c>
      <c r="M617" t="n">
        <v>0</v>
      </c>
      <c r="N617" t="n">
        <v>0</v>
      </c>
      <c r="O617" t="n">
        <v>0</v>
      </c>
      <c r="P617" t="n">
        <v>0</v>
      </c>
      <c r="Q617" t="n">
        <v>0</v>
      </c>
      <c r="R617" s="2" t="inlineStr"/>
    </row>
    <row r="618" ht="15" customHeight="1">
      <c r="A618" t="inlineStr">
        <is>
          <t>A 29025-2025</t>
        </is>
      </c>
      <c r="B618" s="1" t="n">
        <v>45821.43289351852</v>
      </c>
      <c r="C618" s="1" t="n">
        <v>45879</v>
      </c>
      <c r="D618" t="inlineStr">
        <is>
          <t>ÖSTERGÖTLANDS LÄN</t>
        </is>
      </c>
      <c r="E618" t="inlineStr">
        <is>
          <t>LINKÖPING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7354-2025</t>
        </is>
      </c>
      <c r="B619" s="1" t="n">
        <v>45704.41174768518</v>
      </c>
      <c r="C619" s="1" t="n">
        <v>45879</v>
      </c>
      <c r="D619" t="inlineStr">
        <is>
          <t>ÖSTERGÖTLANDS LÄN</t>
        </is>
      </c>
      <c r="E619" t="inlineStr">
        <is>
          <t>LINKÖPING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2085-2024</t>
        </is>
      </c>
      <c r="B620" s="1" t="n">
        <v>45309</v>
      </c>
      <c r="C620" s="1" t="n">
        <v>45879</v>
      </c>
      <c r="D620" t="inlineStr">
        <is>
          <t>ÖSTERGÖTLANDS LÄN</t>
        </is>
      </c>
      <c r="E620" t="inlineStr">
        <is>
          <t>LINKÖPING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29293-2025</t>
        </is>
      </c>
      <c r="B621" s="1" t="n">
        <v>45824</v>
      </c>
      <c r="C621" s="1" t="n">
        <v>45879</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29599-2025</t>
        </is>
      </c>
      <c r="B622" s="1" t="n">
        <v>45825.41101851852</v>
      </c>
      <c r="C622" s="1" t="n">
        <v>45879</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63935-2021</t>
        </is>
      </c>
      <c r="B623" s="1" t="n">
        <v>44509</v>
      </c>
      <c r="C623" s="1" t="n">
        <v>45879</v>
      </c>
      <c r="D623" t="inlineStr">
        <is>
          <t>ÖSTERGÖTLANDS LÄN</t>
        </is>
      </c>
      <c r="E623" t="inlineStr">
        <is>
          <t>LINKÖPING</t>
        </is>
      </c>
      <c r="F623" t="inlineStr">
        <is>
          <t>Övriga statliga verk och myndigheter</t>
        </is>
      </c>
      <c r="G623" t="n">
        <v>2.8</v>
      </c>
      <c r="H623" t="n">
        <v>0</v>
      </c>
      <c r="I623" t="n">
        <v>0</v>
      </c>
      <c r="J623" t="n">
        <v>0</v>
      </c>
      <c r="K623" t="n">
        <v>0</v>
      </c>
      <c r="L623" t="n">
        <v>0</v>
      </c>
      <c r="M623" t="n">
        <v>0</v>
      </c>
      <c r="N623" t="n">
        <v>0</v>
      </c>
      <c r="O623" t="n">
        <v>0</v>
      </c>
      <c r="P623" t="n">
        <v>0</v>
      </c>
      <c r="Q623" t="n">
        <v>0</v>
      </c>
      <c r="R623" s="2" t="inlineStr"/>
    </row>
    <row r="624" ht="15" customHeight="1">
      <c r="A624" t="inlineStr">
        <is>
          <t>A 24765-2025</t>
        </is>
      </c>
      <c r="B624" s="1" t="n">
        <v>45799</v>
      </c>
      <c r="C624" s="1" t="n">
        <v>45879</v>
      </c>
      <c r="D624" t="inlineStr">
        <is>
          <t>ÖSTERGÖTLANDS LÄN</t>
        </is>
      </c>
      <c r="E624" t="inlineStr">
        <is>
          <t>LINKÖPING</t>
        </is>
      </c>
      <c r="G624" t="n">
        <v>4.9</v>
      </c>
      <c r="H624" t="n">
        <v>0</v>
      </c>
      <c r="I624" t="n">
        <v>0</v>
      </c>
      <c r="J624" t="n">
        <v>0</v>
      </c>
      <c r="K624" t="n">
        <v>0</v>
      </c>
      <c r="L624" t="n">
        <v>0</v>
      </c>
      <c r="M624" t="n">
        <v>0</v>
      </c>
      <c r="N624" t="n">
        <v>0</v>
      </c>
      <c r="O624" t="n">
        <v>0</v>
      </c>
      <c r="P624" t="n">
        <v>0</v>
      </c>
      <c r="Q624" t="n">
        <v>0</v>
      </c>
      <c r="R624" s="2" t="inlineStr"/>
    </row>
    <row r="625" ht="15" customHeight="1">
      <c r="A625" t="inlineStr">
        <is>
          <t>A 40810-2022</t>
        </is>
      </c>
      <c r="B625" s="1" t="n">
        <v>44824</v>
      </c>
      <c r="C625" s="1" t="n">
        <v>45879</v>
      </c>
      <c r="D625" t="inlineStr">
        <is>
          <t>ÖSTERGÖTLANDS LÄN</t>
        </is>
      </c>
      <c r="E625" t="inlineStr">
        <is>
          <t>LINKÖPING</t>
        </is>
      </c>
      <c r="G625" t="n">
        <v>2.8</v>
      </c>
      <c r="H625" t="n">
        <v>0</v>
      </c>
      <c r="I625" t="n">
        <v>0</v>
      </c>
      <c r="J625" t="n">
        <v>0</v>
      </c>
      <c r="K625" t="n">
        <v>0</v>
      </c>
      <c r="L625" t="n">
        <v>0</v>
      </c>
      <c r="M625" t="n">
        <v>0</v>
      </c>
      <c r="N625" t="n">
        <v>0</v>
      </c>
      <c r="O625" t="n">
        <v>0</v>
      </c>
      <c r="P625" t="n">
        <v>0</v>
      </c>
      <c r="Q625" t="n">
        <v>0</v>
      </c>
      <c r="R625" s="2" t="inlineStr"/>
    </row>
    <row r="626" ht="15" customHeight="1">
      <c r="A626" t="inlineStr">
        <is>
          <t>A 30355-2025</t>
        </is>
      </c>
      <c r="B626" s="1" t="n">
        <v>45827</v>
      </c>
      <c r="C626" s="1" t="n">
        <v>45879</v>
      </c>
      <c r="D626" t="inlineStr">
        <is>
          <t>ÖSTERGÖTLANDS LÄN</t>
        </is>
      </c>
      <c r="E626" t="inlineStr">
        <is>
          <t>LINKÖPING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30353-2025</t>
        </is>
      </c>
      <c r="B627" s="1" t="n">
        <v>45827</v>
      </c>
      <c r="C627" s="1" t="n">
        <v>45879</v>
      </c>
      <c r="D627" t="inlineStr">
        <is>
          <t>ÖSTERGÖTLANDS LÄN</t>
        </is>
      </c>
      <c r="E627" t="inlineStr">
        <is>
          <t>LINKÖPING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20298-2025</t>
        </is>
      </c>
      <c r="B628" s="1" t="n">
        <v>45774.75024305555</v>
      </c>
      <c r="C628" s="1" t="n">
        <v>45879</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48-2024</t>
        </is>
      </c>
      <c r="B629" s="1" t="n">
        <v>45293</v>
      </c>
      <c r="C629" s="1" t="n">
        <v>45879</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14576-2023</t>
        </is>
      </c>
      <c r="B630" s="1" t="n">
        <v>45013</v>
      </c>
      <c r="C630" s="1" t="n">
        <v>45879</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56560-2023</t>
        </is>
      </c>
      <c r="B631" s="1" t="n">
        <v>45238</v>
      </c>
      <c r="C631" s="1" t="n">
        <v>45879</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12089-2025</t>
        </is>
      </c>
      <c r="B632" s="1" t="n">
        <v>45729</v>
      </c>
      <c r="C632" s="1" t="n">
        <v>45879</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19132-2023</t>
        </is>
      </c>
      <c r="B633" s="1" t="n">
        <v>45048.54754629629</v>
      </c>
      <c r="C633" s="1" t="n">
        <v>45879</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52412-2023</t>
        </is>
      </c>
      <c r="B634" s="1" t="n">
        <v>45225.27888888889</v>
      </c>
      <c r="C634" s="1" t="n">
        <v>45879</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62492-2023</t>
        </is>
      </c>
      <c r="B635" s="1" t="n">
        <v>45268.58987268519</v>
      </c>
      <c r="C635" s="1" t="n">
        <v>45879</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37057-2025</t>
        </is>
      </c>
      <c r="B636" s="1" t="n">
        <v>45875.37489583333</v>
      </c>
      <c r="C636" s="1" t="n">
        <v>45879</v>
      </c>
      <c r="D636" t="inlineStr">
        <is>
          <t>ÖSTERGÖTLANDS LÄN</t>
        </is>
      </c>
      <c r="E636" t="inlineStr">
        <is>
          <t>LINKÖPING</t>
        </is>
      </c>
      <c r="G636" t="n">
        <v>3.3</v>
      </c>
      <c r="H636" t="n">
        <v>0</v>
      </c>
      <c r="I636" t="n">
        <v>0</v>
      </c>
      <c r="J636" t="n">
        <v>0</v>
      </c>
      <c r="K636" t="n">
        <v>0</v>
      </c>
      <c r="L636" t="n">
        <v>0</v>
      </c>
      <c r="M636" t="n">
        <v>0</v>
      </c>
      <c r="N636" t="n">
        <v>0</v>
      </c>
      <c r="O636" t="n">
        <v>0</v>
      </c>
      <c r="P636" t="n">
        <v>0</v>
      </c>
      <c r="Q636" t="n">
        <v>0</v>
      </c>
      <c r="R636" s="2" t="inlineStr"/>
    </row>
    <row r="637" ht="15" customHeight="1">
      <c r="A637" t="inlineStr">
        <is>
          <t>A 38230-2023</t>
        </is>
      </c>
      <c r="B637" s="1" t="n">
        <v>45161.55373842592</v>
      </c>
      <c r="C637" s="1" t="n">
        <v>45879</v>
      </c>
      <c r="D637" t="inlineStr">
        <is>
          <t>ÖSTERGÖTLANDS LÄN</t>
        </is>
      </c>
      <c r="E637" t="inlineStr">
        <is>
          <t>LINKÖPING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56756-2023</t>
        </is>
      </c>
      <c r="B638" s="1" t="n">
        <v>45244</v>
      </c>
      <c r="C638" s="1" t="n">
        <v>45879</v>
      </c>
      <c r="D638" t="inlineStr">
        <is>
          <t>ÖSTERGÖTLANDS LÄN</t>
        </is>
      </c>
      <c r="E638" t="inlineStr">
        <is>
          <t>LINKÖPING</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31581-2025</t>
        </is>
      </c>
      <c r="B639" s="1" t="n">
        <v>45833.6840162037</v>
      </c>
      <c r="C639" s="1" t="n">
        <v>45879</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31585-2025</t>
        </is>
      </c>
      <c r="B640" s="1" t="n">
        <v>45833.68815972222</v>
      </c>
      <c r="C640" s="1" t="n">
        <v>45879</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38886-2024</t>
        </is>
      </c>
      <c r="B641" s="1" t="n">
        <v>45547.66443287037</v>
      </c>
      <c r="C641" s="1" t="n">
        <v>45879</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45879</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25825-2025</t>
        </is>
      </c>
      <c r="B643" s="1" t="n">
        <v>45804</v>
      </c>
      <c r="C643" s="1" t="n">
        <v>45879</v>
      </c>
      <c r="D643" t="inlineStr">
        <is>
          <t>ÖSTERGÖTLANDS LÄN</t>
        </is>
      </c>
      <c r="E643" t="inlineStr">
        <is>
          <t>LINKÖPING</t>
        </is>
      </c>
      <c r="G643" t="n">
        <v>1.7</v>
      </c>
      <c r="H643" t="n">
        <v>0</v>
      </c>
      <c r="I643" t="n">
        <v>0</v>
      </c>
      <c r="J643" t="n">
        <v>0</v>
      </c>
      <c r="K643" t="n">
        <v>0</v>
      </c>
      <c r="L643" t="n">
        <v>0</v>
      </c>
      <c r="M643" t="n">
        <v>0</v>
      </c>
      <c r="N643" t="n">
        <v>0</v>
      </c>
      <c r="O643" t="n">
        <v>0</v>
      </c>
      <c r="P643" t="n">
        <v>0</v>
      </c>
      <c r="Q643" t="n">
        <v>0</v>
      </c>
      <c r="R643" s="2" t="inlineStr"/>
    </row>
    <row r="644" ht="15" customHeight="1">
      <c r="A644" t="inlineStr">
        <is>
          <t>A 38355-2020</t>
        </is>
      </c>
      <c r="B644" s="1" t="n">
        <v>44060</v>
      </c>
      <c r="C644" s="1" t="n">
        <v>45879</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10461-2023</t>
        </is>
      </c>
      <c r="B645" s="1" t="n">
        <v>44987.5969212963</v>
      </c>
      <c r="C645" s="1" t="n">
        <v>45879</v>
      </c>
      <c r="D645" t="inlineStr">
        <is>
          <t>ÖSTERGÖTLANDS LÄN</t>
        </is>
      </c>
      <c r="E645" t="inlineStr">
        <is>
          <t>LINKÖPING</t>
        </is>
      </c>
      <c r="G645" t="n">
        <v>7.8</v>
      </c>
      <c r="H645" t="n">
        <v>0</v>
      </c>
      <c r="I645" t="n">
        <v>0</v>
      </c>
      <c r="J645" t="n">
        <v>0</v>
      </c>
      <c r="K645" t="n">
        <v>0</v>
      </c>
      <c r="L645" t="n">
        <v>0</v>
      </c>
      <c r="M645" t="n">
        <v>0</v>
      </c>
      <c r="N645" t="n">
        <v>0</v>
      </c>
      <c r="O645" t="n">
        <v>0</v>
      </c>
      <c r="P645" t="n">
        <v>0</v>
      </c>
      <c r="Q645" t="n">
        <v>0</v>
      </c>
      <c r="R645" s="2" t="inlineStr"/>
    </row>
    <row r="646" ht="15" customHeight="1">
      <c r="A646" t="inlineStr">
        <is>
          <t>A 41345-2021</t>
        </is>
      </c>
      <c r="B646" s="1" t="n">
        <v>44424.61851851852</v>
      </c>
      <c r="C646" s="1" t="n">
        <v>45879</v>
      </c>
      <c r="D646" t="inlineStr">
        <is>
          <t>ÖSTERGÖTLANDS LÄN</t>
        </is>
      </c>
      <c r="E646" t="inlineStr">
        <is>
          <t>LINKÖPING</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67129-2020</t>
        </is>
      </c>
      <c r="B647" s="1" t="n">
        <v>44180</v>
      </c>
      <c r="C647" s="1" t="n">
        <v>45879</v>
      </c>
      <c r="D647" t="inlineStr">
        <is>
          <t>ÖSTERGÖTLANDS LÄN</t>
        </is>
      </c>
      <c r="E647" t="inlineStr">
        <is>
          <t>LINKÖPING</t>
        </is>
      </c>
      <c r="F647" t="inlineStr">
        <is>
          <t>Övriga statliga verk och myndigheter</t>
        </is>
      </c>
      <c r="G647" t="n">
        <v>2.7</v>
      </c>
      <c r="H647" t="n">
        <v>0</v>
      </c>
      <c r="I647" t="n">
        <v>0</v>
      </c>
      <c r="J647" t="n">
        <v>0</v>
      </c>
      <c r="K647" t="n">
        <v>0</v>
      </c>
      <c r="L647" t="n">
        <v>0</v>
      </c>
      <c r="M647" t="n">
        <v>0</v>
      </c>
      <c r="N647" t="n">
        <v>0</v>
      </c>
      <c r="O647" t="n">
        <v>0</v>
      </c>
      <c r="P647" t="n">
        <v>0</v>
      </c>
      <c r="Q647" t="n">
        <v>0</v>
      </c>
      <c r="R647" s="2" t="inlineStr"/>
    </row>
    <row r="648" ht="15" customHeight="1">
      <c r="A648" t="inlineStr">
        <is>
          <t>A 61307-2021</t>
        </is>
      </c>
      <c r="B648" s="1" t="n">
        <v>44498.63928240741</v>
      </c>
      <c r="C648" s="1" t="n">
        <v>45879</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61325-2021</t>
        </is>
      </c>
      <c r="B649" s="1" t="n">
        <v>44498.66814814815</v>
      </c>
      <c r="C649" s="1" t="n">
        <v>45879</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60010-2022</t>
        </is>
      </c>
      <c r="B650" s="1" t="n">
        <v>44909.4740625</v>
      </c>
      <c r="C650" s="1" t="n">
        <v>45879</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55305-2020</t>
        </is>
      </c>
      <c r="B651" s="1" t="n">
        <v>44130</v>
      </c>
      <c r="C651" s="1" t="n">
        <v>45879</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30518-2024</t>
        </is>
      </c>
      <c r="B652" s="1" t="n">
        <v>45492</v>
      </c>
      <c r="C652" s="1" t="n">
        <v>45879</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4908-2023</t>
        </is>
      </c>
      <c r="B653" s="1" t="n">
        <v>44958</v>
      </c>
      <c r="C653" s="1" t="n">
        <v>45879</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37715-2022</t>
        </is>
      </c>
      <c r="B654" s="1" t="n">
        <v>44810</v>
      </c>
      <c r="C654" s="1" t="n">
        <v>45879</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45879</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3011-2023</t>
        </is>
      </c>
      <c r="B656" s="1" t="n">
        <v>44945</v>
      </c>
      <c r="C656" s="1" t="n">
        <v>45879</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45442-2024</t>
        </is>
      </c>
      <c r="B657" s="1" t="n">
        <v>45576.64189814815</v>
      </c>
      <c r="C657" s="1" t="n">
        <v>45879</v>
      </c>
      <c r="D657" t="inlineStr">
        <is>
          <t>ÖSTERGÖTLANDS LÄN</t>
        </is>
      </c>
      <c r="E657" t="inlineStr">
        <is>
          <t>LINKÖPING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3432-2023</t>
        </is>
      </c>
      <c r="B658" s="1" t="n">
        <v>44949</v>
      </c>
      <c r="C658" s="1" t="n">
        <v>45879</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1440-2021</t>
        </is>
      </c>
      <c r="B659" s="1" t="n">
        <v>44208</v>
      </c>
      <c r="C659" s="1" t="n">
        <v>45879</v>
      </c>
      <c r="D659" t="inlineStr">
        <is>
          <t>ÖSTERGÖTLANDS LÄN</t>
        </is>
      </c>
      <c r="E659" t="inlineStr">
        <is>
          <t>LINKÖPING</t>
        </is>
      </c>
      <c r="G659" t="n">
        <v>8.4</v>
      </c>
      <c r="H659" t="n">
        <v>0</v>
      </c>
      <c r="I659" t="n">
        <v>0</v>
      </c>
      <c r="J659" t="n">
        <v>0</v>
      </c>
      <c r="K659" t="n">
        <v>0</v>
      </c>
      <c r="L659" t="n">
        <v>0</v>
      </c>
      <c r="M659" t="n">
        <v>0</v>
      </c>
      <c r="N659" t="n">
        <v>0</v>
      </c>
      <c r="O659" t="n">
        <v>0</v>
      </c>
      <c r="P659" t="n">
        <v>0</v>
      </c>
      <c r="Q659" t="n">
        <v>0</v>
      </c>
      <c r="R659" s="2" t="inlineStr"/>
    </row>
    <row r="660" ht="15" customHeight="1">
      <c r="A660" t="inlineStr">
        <is>
          <t>A 60472-2022</t>
        </is>
      </c>
      <c r="B660" s="1" t="n">
        <v>44911.41037037037</v>
      </c>
      <c r="C660" s="1" t="n">
        <v>45879</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12720-2022</t>
        </is>
      </c>
      <c r="B661" s="1" t="n">
        <v>44641</v>
      </c>
      <c r="C661" s="1" t="n">
        <v>45879</v>
      </c>
      <c r="D661" t="inlineStr">
        <is>
          <t>ÖSTERGÖTLANDS LÄN</t>
        </is>
      </c>
      <c r="E661" t="inlineStr">
        <is>
          <t>LINKÖPING</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44739-2020</t>
        </is>
      </c>
      <c r="B662" s="1" t="n">
        <v>44085</v>
      </c>
      <c r="C662" s="1" t="n">
        <v>45879</v>
      </c>
      <c r="D662" t="inlineStr">
        <is>
          <t>ÖSTERGÖTLANDS LÄN</t>
        </is>
      </c>
      <c r="E662" t="inlineStr">
        <is>
          <t>LINKÖPING</t>
        </is>
      </c>
      <c r="G662" t="n">
        <v>5</v>
      </c>
      <c r="H662" t="n">
        <v>0</v>
      </c>
      <c r="I662" t="n">
        <v>0</v>
      </c>
      <c r="J662" t="n">
        <v>0</v>
      </c>
      <c r="K662" t="n">
        <v>0</v>
      </c>
      <c r="L662" t="n">
        <v>0</v>
      </c>
      <c r="M662" t="n">
        <v>0</v>
      </c>
      <c r="N662" t="n">
        <v>0</v>
      </c>
      <c r="O662" t="n">
        <v>0</v>
      </c>
      <c r="P662" t="n">
        <v>0</v>
      </c>
      <c r="Q662" t="n">
        <v>0</v>
      </c>
      <c r="R662" s="2" t="inlineStr"/>
    </row>
    <row r="663" ht="15" customHeight="1">
      <c r="A663" t="inlineStr">
        <is>
          <t>A 47364-2020</t>
        </is>
      </c>
      <c r="B663" s="1" t="n">
        <v>44097</v>
      </c>
      <c r="C663" s="1" t="n">
        <v>45879</v>
      </c>
      <c r="D663" t="inlineStr">
        <is>
          <t>ÖSTERGÖTLANDS LÄN</t>
        </is>
      </c>
      <c r="E663" t="inlineStr">
        <is>
          <t>LINKÖPING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45831-2024</t>
        </is>
      </c>
      <c r="B664" s="1" t="n">
        <v>45579.90508101852</v>
      </c>
      <c r="C664" s="1" t="n">
        <v>45879</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57396-2021</t>
        </is>
      </c>
      <c r="B665" s="1" t="n">
        <v>44483.56151620371</v>
      </c>
      <c r="C665" s="1" t="n">
        <v>45879</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22842-2023</t>
        </is>
      </c>
      <c r="B666" s="1" t="n">
        <v>45071</v>
      </c>
      <c r="C666" s="1" t="n">
        <v>45879</v>
      </c>
      <c r="D666" t="inlineStr">
        <is>
          <t>ÖSTERGÖTLANDS LÄN</t>
        </is>
      </c>
      <c r="E666" t="inlineStr">
        <is>
          <t>LINKÖPING</t>
        </is>
      </c>
      <c r="F666" t="inlineStr">
        <is>
          <t>Kommuner</t>
        </is>
      </c>
      <c r="G666" t="n">
        <v>1.3</v>
      </c>
      <c r="H666" t="n">
        <v>0</v>
      </c>
      <c r="I666" t="n">
        <v>0</v>
      </c>
      <c r="J666" t="n">
        <v>0</v>
      </c>
      <c r="K666" t="n">
        <v>0</v>
      </c>
      <c r="L666" t="n">
        <v>0</v>
      </c>
      <c r="M666" t="n">
        <v>0</v>
      </c>
      <c r="N666" t="n">
        <v>0</v>
      </c>
      <c r="O666" t="n">
        <v>0</v>
      </c>
      <c r="P666" t="n">
        <v>0</v>
      </c>
      <c r="Q666" t="n">
        <v>0</v>
      </c>
      <c r="R666" s="2" t="inlineStr"/>
    </row>
    <row r="667" ht="15" customHeight="1">
      <c r="A667" t="inlineStr">
        <is>
          <t>A 50386-2021</t>
        </is>
      </c>
      <c r="B667" s="1" t="n">
        <v>44459</v>
      </c>
      <c r="C667" s="1" t="n">
        <v>45879</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35781-2023</t>
        </is>
      </c>
      <c r="B668" s="1" t="n">
        <v>45147</v>
      </c>
      <c r="C668" s="1" t="n">
        <v>45879</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22770-2024</t>
        </is>
      </c>
      <c r="B669" s="1" t="n">
        <v>45448.4634375</v>
      </c>
      <c r="C669" s="1" t="n">
        <v>45879</v>
      </c>
      <c r="D669" t="inlineStr">
        <is>
          <t>ÖSTERGÖTLANDS LÄN</t>
        </is>
      </c>
      <c r="E669" t="inlineStr">
        <is>
          <t>LINKÖPING</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11671-2023</t>
        </is>
      </c>
      <c r="B670" s="1" t="n">
        <v>44994.48125</v>
      </c>
      <c r="C670" s="1" t="n">
        <v>45879</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54425-2022</t>
        </is>
      </c>
      <c r="B671" s="1" t="n">
        <v>44882.57453703704</v>
      </c>
      <c r="C671" s="1" t="n">
        <v>45879</v>
      </c>
      <c r="D671" t="inlineStr">
        <is>
          <t>ÖSTERGÖTLANDS LÄN</t>
        </is>
      </c>
      <c r="E671" t="inlineStr">
        <is>
          <t>LINKÖPING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4927-2021</t>
        </is>
      </c>
      <c r="B672" s="1" t="n">
        <v>44227.57215277778</v>
      </c>
      <c r="C672" s="1" t="n">
        <v>45879</v>
      </c>
      <c r="D672" t="inlineStr">
        <is>
          <t>ÖSTERGÖTLANDS LÄN</t>
        </is>
      </c>
      <c r="E672" t="inlineStr">
        <is>
          <t>LINKÖPING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30547-2023</t>
        </is>
      </c>
      <c r="B673" s="1" t="n">
        <v>45111.75905092592</v>
      </c>
      <c r="C673" s="1" t="n">
        <v>45879</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24904-2024</t>
        </is>
      </c>
      <c r="B674" s="1" t="n">
        <v>45461</v>
      </c>
      <c r="C674" s="1" t="n">
        <v>45879</v>
      </c>
      <c r="D674" t="inlineStr">
        <is>
          <t>ÖSTERGÖTLANDS LÄN</t>
        </is>
      </c>
      <c r="E674" t="inlineStr">
        <is>
          <t>LINKÖPING</t>
        </is>
      </c>
      <c r="G674" t="n">
        <v>3.8</v>
      </c>
      <c r="H674" t="n">
        <v>0</v>
      </c>
      <c r="I674" t="n">
        <v>0</v>
      </c>
      <c r="J674" t="n">
        <v>0</v>
      </c>
      <c r="K674" t="n">
        <v>0</v>
      </c>
      <c r="L674" t="n">
        <v>0</v>
      </c>
      <c r="M674" t="n">
        <v>0</v>
      </c>
      <c r="N674" t="n">
        <v>0</v>
      </c>
      <c r="O674" t="n">
        <v>0</v>
      </c>
      <c r="P674" t="n">
        <v>0</v>
      </c>
      <c r="Q674" t="n">
        <v>0</v>
      </c>
      <c r="R674" s="2" t="inlineStr"/>
    </row>
    <row r="675" ht="15" customHeight="1">
      <c r="A675" t="inlineStr">
        <is>
          <t>A 26788-2022</t>
        </is>
      </c>
      <c r="B675" s="1" t="n">
        <v>44740</v>
      </c>
      <c r="C675" s="1" t="n">
        <v>45879</v>
      </c>
      <c r="D675" t="inlineStr">
        <is>
          <t>ÖSTERGÖTLANDS LÄN</t>
        </is>
      </c>
      <c r="E675" t="inlineStr">
        <is>
          <t>LINKÖPING</t>
        </is>
      </c>
      <c r="G675" t="n">
        <v>3.2</v>
      </c>
      <c r="H675" t="n">
        <v>0</v>
      </c>
      <c r="I675" t="n">
        <v>0</v>
      </c>
      <c r="J675" t="n">
        <v>0</v>
      </c>
      <c r="K675" t="n">
        <v>0</v>
      </c>
      <c r="L675" t="n">
        <v>0</v>
      </c>
      <c r="M675" t="n">
        <v>0</v>
      </c>
      <c r="N675" t="n">
        <v>0</v>
      </c>
      <c r="O675" t="n">
        <v>0</v>
      </c>
      <c r="P675" t="n">
        <v>0</v>
      </c>
      <c r="Q675" t="n">
        <v>0</v>
      </c>
      <c r="R675" s="2" t="inlineStr"/>
    </row>
    <row r="676" ht="15" customHeight="1">
      <c r="A676" t="inlineStr">
        <is>
          <t>A 15121-2022</t>
        </is>
      </c>
      <c r="B676" s="1" t="n">
        <v>44658</v>
      </c>
      <c r="C676" s="1" t="n">
        <v>45879</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51919-2024</t>
        </is>
      </c>
      <c r="B677" s="1" t="n">
        <v>45607.60791666667</v>
      </c>
      <c r="C677" s="1" t="n">
        <v>45879</v>
      </c>
      <c r="D677" t="inlineStr">
        <is>
          <t>ÖSTERGÖTLANDS LÄN</t>
        </is>
      </c>
      <c r="E677" t="inlineStr">
        <is>
          <t>LINKÖPING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55009-2023</t>
        </is>
      </c>
      <c r="B678" s="1" t="n">
        <v>45237</v>
      </c>
      <c r="C678" s="1" t="n">
        <v>45879</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20291-2025</t>
        </is>
      </c>
      <c r="B679" s="1" t="n">
        <v>45774.74288194445</v>
      </c>
      <c r="C679" s="1" t="n">
        <v>45879</v>
      </c>
      <c r="D679" t="inlineStr">
        <is>
          <t>ÖSTERGÖTLANDS LÄN</t>
        </is>
      </c>
      <c r="E679" t="inlineStr">
        <is>
          <t>LINKÖPING</t>
        </is>
      </c>
      <c r="G679" t="n">
        <v>2.3</v>
      </c>
      <c r="H679" t="n">
        <v>0</v>
      </c>
      <c r="I679" t="n">
        <v>0</v>
      </c>
      <c r="J679" t="n">
        <v>0</v>
      </c>
      <c r="K679" t="n">
        <v>0</v>
      </c>
      <c r="L679" t="n">
        <v>0</v>
      </c>
      <c r="M679" t="n">
        <v>0</v>
      </c>
      <c r="N679" t="n">
        <v>0</v>
      </c>
      <c r="O679" t="n">
        <v>0</v>
      </c>
      <c r="P679" t="n">
        <v>0</v>
      </c>
      <c r="Q679" t="n">
        <v>0</v>
      </c>
      <c r="R679" s="2" t="inlineStr"/>
    </row>
    <row r="680" ht="15" customHeight="1">
      <c r="A680" t="inlineStr">
        <is>
          <t>A 20293-2025</t>
        </is>
      </c>
      <c r="B680" s="1" t="n">
        <v>45774.74611111111</v>
      </c>
      <c r="C680" s="1" t="n">
        <v>45879</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660-2023</t>
        </is>
      </c>
      <c r="B681" s="1" t="n">
        <v>44930</v>
      </c>
      <c r="C681" s="1" t="n">
        <v>45879</v>
      </c>
      <c r="D681" t="inlineStr">
        <is>
          <t>ÖSTERGÖTLANDS LÄN</t>
        </is>
      </c>
      <c r="E681" t="inlineStr">
        <is>
          <t>LINKÖPING</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64694-2023</t>
        </is>
      </c>
      <c r="B682" s="1" t="n">
        <v>45281</v>
      </c>
      <c r="C682" s="1" t="n">
        <v>45879</v>
      </c>
      <c r="D682" t="inlineStr">
        <is>
          <t>ÖSTERGÖTLANDS LÄN</t>
        </is>
      </c>
      <c r="E682" t="inlineStr">
        <is>
          <t>LINKÖPING</t>
        </is>
      </c>
      <c r="F682" t="inlineStr">
        <is>
          <t>Övriga statliga verk och myndigheter</t>
        </is>
      </c>
      <c r="G682" t="n">
        <v>4.9</v>
      </c>
      <c r="H682" t="n">
        <v>0</v>
      </c>
      <c r="I682" t="n">
        <v>0</v>
      </c>
      <c r="J682" t="n">
        <v>0</v>
      </c>
      <c r="K682" t="n">
        <v>0</v>
      </c>
      <c r="L682" t="n">
        <v>0</v>
      </c>
      <c r="M682" t="n">
        <v>0</v>
      </c>
      <c r="N682" t="n">
        <v>0</v>
      </c>
      <c r="O682" t="n">
        <v>0</v>
      </c>
      <c r="P682" t="n">
        <v>0</v>
      </c>
      <c r="Q682" t="n">
        <v>0</v>
      </c>
      <c r="R682" s="2" t="inlineStr"/>
    </row>
    <row r="683" ht="15" customHeight="1">
      <c r="A683" t="inlineStr">
        <is>
          <t>A 63487-2023</t>
        </is>
      </c>
      <c r="B683" s="1" t="n">
        <v>45274.66712962963</v>
      </c>
      <c r="C683" s="1" t="n">
        <v>45879</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20455-2024</t>
        </is>
      </c>
      <c r="B684" s="1" t="n">
        <v>45435.65314814815</v>
      </c>
      <c r="C684" s="1" t="n">
        <v>45879</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30471-2023</t>
        </is>
      </c>
      <c r="B685" s="1" t="n">
        <v>45111.58931712963</v>
      </c>
      <c r="C685" s="1" t="n">
        <v>45879</v>
      </c>
      <c r="D685" t="inlineStr">
        <is>
          <t>ÖSTERGÖTLANDS LÄN</t>
        </is>
      </c>
      <c r="E685" t="inlineStr">
        <is>
          <t>LINKÖPING</t>
        </is>
      </c>
      <c r="G685" t="n">
        <v>2.9</v>
      </c>
      <c r="H685" t="n">
        <v>0</v>
      </c>
      <c r="I685" t="n">
        <v>0</v>
      </c>
      <c r="J685" t="n">
        <v>0</v>
      </c>
      <c r="K685" t="n">
        <v>0</v>
      </c>
      <c r="L685" t="n">
        <v>0</v>
      </c>
      <c r="M685" t="n">
        <v>0</v>
      </c>
      <c r="N685" t="n">
        <v>0</v>
      </c>
      <c r="O685" t="n">
        <v>0</v>
      </c>
      <c r="P685" t="n">
        <v>0</v>
      </c>
      <c r="Q685" t="n">
        <v>0</v>
      </c>
      <c r="R685" s="2" t="inlineStr"/>
    </row>
    <row r="686" ht="15" customHeight="1">
      <c r="A686" t="inlineStr">
        <is>
          <t>A 14093-2024</t>
        </is>
      </c>
      <c r="B686" s="1" t="n">
        <v>45392.60278935185</v>
      </c>
      <c r="C686" s="1" t="n">
        <v>45879</v>
      </c>
      <c r="D686" t="inlineStr">
        <is>
          <t>ÖSTERGÖTLANDS LÄN</t>
        </is>
      </c>
      <c r="E686" t="inlineStr">
        <is>
          <t>LINKÖPING</t>
        </is>
      </c>
      <c r="F686" t="inlineStr">
        <is>
          <t>Övriga Aktiebolag</t>
        </is>
      </c>
      <c r="G686" t="n">
        <v>0.6</v>
      </c>
      <c r="H686" t="n">
        <v>0</v>
      </c>
      <c r="I686" t="n">
        <v>0</v>
      </c>
      <c r="J686" t="n">
        <v>0</v>
      </c>
      <c r="K686" t="n">
        <v>0</v>
      </c>
      <c r="L686" t="n">
        <v>0</v>
      </c>
      <c r="M686" t="n">
        <v>0</v>
      </c>
      <c r="N686" t="n">
        <v>0</v>
      </c>
      <c r="O686" t="n">
        <v>0</v>
      </c>
      <c r="P686" t="n">
        <v>0</v>
      </c>
      <c r="Q686" t="n">
        <v>0</v>
      </c>
      <c r="R686" s="2" t="inlineStr"/>
    </row>
    <row r="687" ht="15" customHeight="1">
      <c r="A687" t="inlineStr">
        <is>
          <t>A 49088-2020</t>
        </is>
      </c>
      <c r="B687" s="1" t="n">
        <v>44104</v>
      </c>
      <c r="C687" s="1" t="n">
        <v>45879</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63304-2021</t>
        </is>
      </c>
      <c r="B688" s="1" t="n">
        <v>44508.4396412037</v>
      </c>
      <c r="C688" s="1" t="n">
        <v>45879</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19362-2023</t>
        </is>
      </c>
      <c r="B689" s="1" t="n">
        <v>45049</v>
      </c>
      <c r="C689" s="1" t="n">
        <v>45879</v>
      </c>
      <c r="D689" t="inlineStr">
        <is>
          <t>ÖSTERGÖTLANDS LÄN</t>
        </is>
      </c>
      <c r="E689" t="inlineStr">
        <is>
          <t>LINKÖPING</t>
        </is>
      </c>
      <c r="G689" t="n">
        <v>0.1</v>
      </c>
      <c r="H689" t="n">
        <v>0</v>
      </c>
      <c r="I689" t="n">
        <v>0</v>
      </c>
      <c r="J689" t="n">
        <v>0</v>
      </c>
      <c r="K689" t="n">
        <v>0</v>
      </c>
      <c r="L689" t="n">
        <v>0</v>
      </c>
      <c r="M689" t="n">
        <v>0</v>
      </c>
      <c r="N689" t="n">
        <v>0</v>
      </c>
      <c r="O689" t="n">
        <v>0</v>
      </c>
      <c r="P689" t="n">
        <v>0</v>
      </c>
      <c r="Q689" t="n">
        <v>0</v>
      </c>
      <c r="R689" s="2" t="inlineStr"/>
    </row>
    <row r="690" ht="15" customHeight="1">
      <c r="A690" t="inlineStr">
        <is>
          <t>A 35463-2023</t>
        </is>
      </c>
      <c r="B690" s="1" t="n">
        <v>45146</v>
      </c>
      <c r="C690" s="1" t="n">
        <v>45879</v>
      </c>
      <c r="D690" t="inlineStr">
        <is>
          <t>ÖSTERGÖTLANDS LÄN</t>
        </is>
      </c>
      <c r="E690" t="inlineStr">
        <is>
          <t>LINKÖPING</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16111-2022</t>
        </is>
      </c>
      <c r="B691" s="1" t="n">
        <v>44665</v>
      </c>
      <c r="C691" s="1" t="n">
        <v>45879</v>
      </c>
      <c r="D691" t="inlineStr">
        <is>
          <t>ÖSTERGÖTLANDS LÄN</t>
        </is>
      </c>
      <c r="E691" t="inlineStr">
        <is>
          <t>LINKÖPING</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31635-2023</t>
        </is>
      </c>
      <c r="B692" s="1" t="n">
        <v>45105</v>
      </c>
      <c r="C692" s="1" t="n">
        <v>45879</v>
      </c>
      <c r="D692" t="inlineStr">
        <is>
          <t>ÖSTERGÖTLANDS LÄN</t>
        </is>
      </c>
      <c r="E692" t="inlineStr">
        <is>
          <t>LINKÖPING</t>
        </is>
      </c>
      <c r="F692" t="inlineStr">
        <is>
          <t>Övriga statliga verk och myndigheter</t>
        </is>
      </c>
      <c r="G692" t="n">
        <v>4.6</v>
      </c>
      <c r="H692" t="n">
        <v>0</v>
      </c>
      <c r="I692" t="n">
        <v>0</v>
      </c>
      <c r="J692" t="n">
        <v>0</v>
      </c>
      <c r="K692" t="n">
        <v>0</v>
      </c>
      <c r="L692" t="n">
        <v>0</v>
      </c>
      <c r="M692" t="n">
        <v>0</v>
      </c>
      <c r="N692" t="n">
        <v>0</v>
      </c>
      <c r="O692" t="n">
        <v>0</v>
      </c>
      <c r="P692" t="n">
        <v>0</v>
      </c>
      <c r="Q692" t="n">
        <v>0</v>
      </c>
      <c r="R692" s="2" t="inlineStr"/>
    </row>
    <row r="693" ht="15" customHeight="1">
      <c r="A693" t="inlineStr">
        <is>
          <t>A 49928-2024</t>
        </is>
      </c>
      <c r="B693" s="1" t="n">
        <v>45597.57811342592</v>
      </c>
      <c r="C693" s="1" t="n">
        <v>45879</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54845-2023</t>
        </is>
      </c>
      <c r="B694" s="1" t="n">
        <v>45236</v>
      </c>
      <c r="C694" s="1" t="n">
        <v>45879</v>
      </c>
      <c r="D694" t="inlineStr">
        <is>
          <t>ÖSTERGÖTLANDS LÄN</t>
        </is>
      </c>
      <c r="E694" t="inlineStr">
        <is>
          <t>LINKÖPING</t>
        </is>
      </c>
      <c r="F694" t="inlineStr">
        <is>
          <t>Övriga Aktiebolag</t>
        </is>
      </c>
      <c r="G694" t="n">
        <v>5.7</v>
      </c>
      <c r="H694" t="n">
        <v>0</v>
      </c>
      <c r="I694" t="n">
        <v>0</v>
      </c>
      <c r="J694" t="n">
        <v>0</v>
      </c>
      <c r="K694" t="n">
        <v>0</v>
      </c>
      <c r="L694" t="n">
        <v>0</v>
      </c>
      <c r="M694" t="n">
        <v>0</v>
      </c>
      <c r="N694" t="n">
        <v>0</v>
      </c>
      <c r="O694" t="n">
        <v>0</v>
      </c>
      <c r="P694" t="n">
        <v>0</v>
      </c>
      <c r="Q694" t="n">
        <v>0</v>
      </c>
      <c r="R694" s="2" t="inlineStr"/>
    </row>
    <row r="695" ht="15" customHeight="1">
      <c r="A695" t="inlineStr">
        <is>
          <t>A 46687-2021</t>
        </is>
      </c>
      <c r="B695" s="1" t="n">
        <v>44445</v>
      </c>
      <c r="C695" s="1" t="n">
        <v>45879</v>
      </c>
      <c r="D695" t="inlineStr">
        <is>
          <t>ÖSTERGÖTLANDS LÄN</t>
        </is>
      </c>
      <c r="E695" t="inlineStr">
        <is>
          <t>LINKÖPING</t>
        </is>
      </c>
      <c r="F695" t="inlineStr">
        <is>
          <t>Övriga statliga verk och myndigheter</t>
        </is>
      </c>
      <c r="G695" t="n">
        <v>2.3</v>
      </c>
      <c r="H695" t="n">
        <v>0</v>
      </c>
      <c r="I695" t="n">
        <v>0</v>
      </c>
      <c r="J695" t="n">
        <v>0</v>
      </c>
      <c r="K695" t="n">
        <v>0</v>
      </c>
      <c r="L695" t="n">
        <v>0</v>
      </c>
      <c r="M695" t="n">
        <v>0</v>
      </c>
      <c r="N695" t="n">
        <v>0</v>
      </c>
      <c r="O695" t="n">
        <v>0</v>
      </c>
      <c r="P695" t="n">
        <v>0</v>
      </c>
      <c r="Q695" t="n">
        <v>0</v>
      </c>
      <c r="R695" s="2" t="inlineStr"/>
    </row>
    <row r="696" ht="15" customHeight="1">
      <c r="A696" t="inlineStr">
        <is>
          <t>A 30855-2022</t>
        </is>
      </c>
      <c r="B696" s="1" t="n">
        <v>44767</v>
      </c>
      <c r="C696" s="1" t="n">
        <v>45879</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1355-2023</t>
        </is>
      </c>
      <c r="B697" s="1" t="n">
        <v>44931</v>
      </c>
      <c r="C697" s="1" t="n">
        <v>45879</v>
      </c>
      <c r="D697" t="inlineStr">
        <is>
          <t>ÖSTERGÖTLANDS LÄN</t>
        </is>
      </c>
      <c r="E697" t="inlineStr">
        <is>
          <t>LINKÖPING</t>
        </is>
      </c>
      <c r="G697" t="n">
        <v>4</v>
      </c>
      <c r="H697" t="n">
        <v>0</v>
      </c>
      <c r="I697" t="n">
        <v>0</v>
      </c>
      <c r="J697" t="n">
        <v>0</v>
      </c>
      <c r="K697" t="n">
        <v>0</v>
      </c>
      <c r="L697" t="n">
        <v>0</v>
      </c>
      <c r="M697" t="n">
        <v>0</v>
      </c>
      <c r="N697" t="n">
        <v>0</v>
      </c>
      <c r="O697" t="n">
        <v>0</v>
      </c>
      <c r="P697" t="n">
        <v>0</v>
      </c>
      <c r="Q697" t="n">
        <v>0</v>
      </c>
      <c r="R697" s="2" t="inlineStr"/>
    </row>
    <row r="698" ht="15" customHeight="1">
      <c r="A698" t="inlineStr">
        <is>
          <t>A 27844-2024</t>
        </is>
      </c>
      <c r="B698" s="1" t="n">
        <v>45475.63047453704</v>
      </c>
      <c r="C698" s="1" t="n">
        <v>45879</v>
      </c>
      <c r="D698" t="inlineStr">
        <is>
          <t>ÖSTERGÖTLANDS LÄN</t>
        </is>
      </c>
      <c r="E698" t="inlineStr">
        <is>
          <t>LINKÖPING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10741-2023</t>
        </is>
      </c>
      <c r="B699" s="1" t="n">
        <v>44988.70084490741</v>
      </c>
      <c r="C699" s="1" t="n">
        <v>45879</v>
      </c>
      <c r="D699" t="inlineStr">
        <is>
          <t>ÖSTERGÖTLANDS LÄN</t>
        </is>
      </c>
      <c r="E699" t="inlineStr">
        <is>
          <t>LINKÖPING</t>
        </is>
      </c>
      <c r="F699" t="inlineStr">
        <is>
          <t>Allmännings- och besparingsskogar</t>
        </is>
      </c>
      <c r="G699" t="n">
        <v>11.2</v>
      </c>
      <c r="H699" t="n">
        <v>0</v>
      </c>
      <c r="I699" t="n">
        <v>0</v>
      </c>
      <c r="J699" t="n">
        <v>0</v>
      </c>
      <c r="K699" t="n">
        <v>0</v>
      </c>
      <c r="L699" t="n">
        <v>0</v>
      </c>
      <c r="M699" t="n">
        <v>0</v>
      </c>
      <c r="N699" t="n">
        <v>0</v>
      </c>
      <c r="O699" t="n">
        <v>0</v>
      </c>
      <c r="P699" t="n">
        <v>0</v>
      </c>
      <c r="Q699" t="n">
        <v>0</v>
      </c>
      <c r="R699" s="2" t="inlineStr"/>
    </row>
    <row r="700">
      <c r="A700" t="inlineStr">
        <is>
          <t>A 50963-2021</t>
        </is>
      </c>
      <c r="B700" s="1" t="n">
        <v>44460</v>
      </c>
      <c r="C700" s="1" t="n">
        <v>45879</v>
      </c>
      <c r="D700" t="inlineStr">
        <is>
          <t>ÖSTERGÖTLANDS LÄN</t>
        </is>
      </c>
      <c r="E700" t="inlineStr">
        <is>
          <t>LINKÖPING</t>
        </is>
      </c>
      <c r="G700" t="n">
        <v>4.4</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2025-08-10T08:27:29Z</dcterms:created>
  <dcterms:modified xmlns:dcterms="http://purl.org/dc/terms/" xmlns:xsi="http://www.w3.org/2001/XMLSchema-instance" xsi:type="dcterms:W3CDTF">2025-08-10T08:27:30Z</dcterms:modified>
</cp:coreProperties>
</file>