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45881</v>
      </c>
      <c r="D15" t="inlineStr">
        <is>
          <t>ÖSTERGÖTLANDS LÄN</t>
        </is>
      </c>
      <c r="E15" t="inlineStr">
        <is>
          <t>LINKÖPING</t>
        </is>
      </c>
      <c r="F15" t="inlineStr">
        <is>
          <t>Allmännings- och besparingsskogar</t>
        </is>
      </c>
      <c r="G15" t="n">
        <v>17.4</v>
      </c>
      <c r="H15" t="n">
        <v>2</v>
      </c>
      <c r="I15" t="n">
        <v>2</v>
      </c>
      <c r="J15" t="n">
        <v>0</v>
      </c>
      <c r="K15" t="n">
        <v>0</v>
      </c>
      <c r="L15" t="n">
        <v>0</v>
      </c>
      <c r="M15" t="n">
        <v>0</v>
      </c>
      <c r="N15" t="n">
        <v>0</v>
      </c>
      <c r="O15" t="n">
        <v>0</v>
      </c>
      <c r="P15" t="n">
        <v>0</v>
      </c>
      <c r="Q15" t="n">
        <v>3</v>
      </c>
      <c r="R15" s="2" t="inlineStr">
        <is>
          <t>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44668-2020</t>
        </is>
      </c>
      <c r="B16" s="1" t="n">
        <v>44085</v>
      </c>
      <c r="C16" s="1" t="n">
        <v>45881</v>
      </c>
      <c r="D16" t="inlineStr">
        <is>
          <t>ÖSTERGÖTLANDS LÄN</t>
        </is>
      </c>
      <c r="E16" t="inlineStr">
        <is>
          <t>LINKÖPING</t>
        </is>
      </c>
      <c r="G16" t="n">
        <v>15.2</v>
      </c>
      <c r="H16" t="n">
        <v>0</v>
      </c>
      <c r="I16" t="n">
        <v>0</v>
      </c>
      <c r="J16" t="n">
        <v>2</v>
      </c>
      <c r="K16" t="n">
        <v>0</v>
      </c>
      <c r="L16" t="n">
        <v>0</v>
      </c>
      <c r="M16" t="n">
        <v>1</v>
      </c>
      <c r="N16" t="n">
        <v>0</v>
      </c>
      <c r="O16" t="n">
        <v>3</v>
      </c>
      <c r="P16" t="n">
        <v>1</v>
      </c>
      <c r="Q16" t="n">
        <v>3</v>
      </c>
      <c r="R16" s="2" t="inlineStr">
        <is>
          <t>Skogsalm
Riddarsporre
Sommarfibbla</t>
        </is>
      </c>
      <c r="S16">
        <f>HYPERLINK("https://klasma.github.io/Logging_0580/artfynd/A 44668-2020 artfynd.xlsx", "A 44668-2020")</f>
        <v/>
      </c>
      <c r="T16">
        <f>HYPERLINK("https://klasma.github.io/Logging_0580/kartor/A 44668-2020 karta.png", "A 44668-2020")</f>
        <v/>
      </c>
      <c r="V16">
        <f>HYPERLINK("https://klasma.github.io/Logging_0580/klagomål/A 44668-2020 FSC-klagomål.docx", "A 44668-2020")</f>
        <v/>
      </c>
      <c r="W16">
        <f>HYPERLINK("https://klasma.github.io/Logging_0580/klagomålsmail/A 44668-2020 FSC-klagomål mail.docx", "A 44668-2020")</f>
        <v/>
      </c>
      <c r="X16">
        <f>HYPERLINK("https://klasma.github.io/Logging_0580/tillsyn/A 44668-2020 tillsynsbegäran.docx", "A 44668-2020")</f>
        <v/>
      </c>
      <c r="Y16">
        <f>HYPERLINK("https://klasma.github.io/Logging_0580/tillsynsmail/A 44668-2020 tillsynsbegäran mail.docx", "A 44668-2020")</f>
        <v/>
      </c>
    </row>
    <row r="17" ht="15" customHeight="1">
      <c r="A17" t="inlineStr">
        <is>
          <t>A 55341-2024</t>
        </is>
      </c>
      <c r="B17" s="1" t="n">
        <v>45621.71255787037</v>
      </c>
      <c r="C17" s="1" t="n">
        <v>45881</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45881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45881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38137-2021</t>
        </is>
      </c>
      <c r="B20" s="1" t="n">
        <v>44405.38357638889</v>
      </c>
      <c r="C20" s="1" t="n">
        <v>45881</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45881</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20297-2025</t>
        </is>
      </c>
      <c r="B22" s="1" t="n">
        <v>45774.74971064815</v>
      </c>
      <c r="C22" s="1" t="n">
        <v>45881</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49188-2024</t>
        </is>
      </c>
      <c r="B23" s="1" t="n">
        <v>45595</v>
      </c>
      <c r="C23" s="1" t="n">
        <v>45881</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55344-2024</t>
        </is>
      </c>
      <c r="B24" s="1" t="n">
        <v>45621.7202662037</v>
      </c>
      <c r="C24" s="1" t="n">
        <v>45881</v>
      </c>
      <c r="D24" t="inlineStr">
        <is>
          <t>ÖSTERGÖTLANDS LÄN</t>
        </is>
      </c>
      <c r="E24" t="inlineStr">
        <is>
          <t>LINKÖPING</t>
        </is>
      </c>
      <c r="G24" t="n">
        <v>6.6</v>
      </c>
      <c r="H24" t="n">
        <v>0</v>
      </c>
      <c r="I24" t="n">
        <v>0</v>
      </c>
      <c r="J24" t="n">
        <v>2</v>
      </c>
      <c r="K24" t="n">
        <v>0</v>
      </c>
      <c r="L24" t="n">
        <v>0</v>
      </c>
      <c r="M24" t="n">
        <v>0</v>
      </c>
      <c r="N24" t="n">
        <v>0</v>
      </c>
      <c r="O24" t="n">
        <v>2</v>
      </c>
      <c r="P24" t="n">
        <v>0</v>
      </c>
      <c r="Q24" t="n">
        <v>2</v>
      </c>
      <c r="R24" s="2" t="inlineStr">
        <is>
          <t>Kandelabersvamp
Stjärnnästing</t>
        </is>
      </c>
      <c r="S24">
        <f>HYPERLINK("https://klasma.github.io/Logging_0580/artfynd/A 55344-2024 artfynd.xlsx", "A 55344-2024")</f>
        <v/>
      </c>
      <c r="T24">
        <f>HYPERLINK("https://klasma.github.io/Logging_0580/kartor/A 55344-2024 karta.png", "A 55344-2024")</f>
        <v/>
      </c>
      <c r="V24">
        <f>HYPERLINK("https://klasma.github.io/Logging_0580/klagomål/A 55344-2024 FSC-klagomål.docx", "A 55344-2024")</f>
        <v/>
      </c>
      <c r="W24">
        <f>HYPERLINK("https://klasma.github.io/Logging_0580/klagomålsmail/A 55344-2024 FSC-klagomål mail.docx", "A 55344-2024")</f>
        <v/>
      </c>
      <c r="X24">
        <f>HYPERLINK("https://klasma.github.io/Logging_0580/tillsyn/A 55344-2024 tillsynsbegäran.docx", "A 55344-2024")</f>
        <v/>
      </c>
      <c r="Y24">
        <f>HYPERLINK("https://klasma.github.io/Logging_0580/tillsynsmail/A 55344-2024 tillsynsbegäran mail.docx", "A 55344-2024")</f>
        <v/>
      </c>
    </row>
    <row r="25" ht="15" customHeight="1">
      <c r="A25" t="inlineStr">
        <is>
          <t>A 20292-2025</t>
        </is>
      </c>
      <c r="B25" s="1" t="n">
        <v>45774.7449537037</v>
      </c>
      <c r="C25" s="1" t="n">
        <v>45881</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58068-2021</t>
        </is>
      </c>
      <c r="B26" s="1" t="n">
        <v>44487</v>
      </c>
      <c r="C26" s="1" t="n">
        <v>45881</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27981-2022</t>
        </is>
      </c>
      <c r="B27" s="1" t="n">
        <v>44745</v>
      </c>
      <c r="C27" s="1" t="n">
        <v>45881</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45881</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38913-2023</t>
        </is>
      </c>
      <c r="B29" s="1" t="n">
        <v>45163</v>
      </c>
      <c r="C29" s="1" t="n">
        <v>45881</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21326-2025</t>
        </is>
      </c>
      <c r="B30" s="1" t="n">
        <v>45782.35407407407</v>
      </c>
      <c r="C30" s="1" t="n">
        <v>45881</v>
      </c>
      <c r="D30" t="inlineStr">
        <is>
          <t>ÖSTERGÖTLANDS LÄN</t>
        </is>
      </c>
      <c r="E30" t="inlineStr">
        <is>
          <t>LINKÖPING</t>
        </is>
      </c>
      <c r="G30" t="n">
        <v>4.9</v>
      </c>
      <c r="H30" t="n">
        <v>2</v>
      </c>
      <c r="I30" t="n">
        <v>0</v>
      </c>
      <c r="J30" t="n">
        <v>0</v>
      </c>
      <c r="K30" t="n">
        <v>0</v>
      </c>
      <c r="L30" t="n">
        <v>0</v>
      </c>
      <c r="M30" t="n">
        <v>0</v>
      </c>
      <c r="N30" t="n">
        <v>0</v>
      </c>
      <c r="O30" t="n">
        <v>0</v>
      </c>
      <c r="P30" t="n">
        <v>0</v>
      </c>
      <c r="Q30" t="n">
        <v>2</v>
      </c>
      <c r="R30" s="2" t="inlineStr">
        <is>
          <t>Blåsippa
Revlummer</t>
        </is>
      </c>
      <c r="S30">
        <f>HYPERLINK("https://klasma.github.io/Logging_0580/artfynd/A 21326-2025 artfynd.xlsx", "A 21326-2025")</f>
        <v/>
      </c>
      <c r="T30">
        <f>HYPERLINK("https://klasma.github.io/Logging_0580/kartor/A 21326-2025 karta.png", "A 21326-2025")</f>
        <v/>
      </c>
      <c r="V30">
        <f>HYPERLINK("https://klasma.github.io/Logging_0580/klagomål/A 21326-2025 FSC-klagomål.docx", "A 21326-2025")</f>
        <v/>
      </c>
      <c r="W30">
        <f>HYPERLINK("https://klasma.github.io/Logging_0580/klagomålsmail/A 21326-2025 FSC-klagomål mail.docx", "A 21326-2025")</f>
        <v/>
      </c>
      <c r="X30">
        <f>HYPERLINK("https://klasma.github.io/Logging_0580/tillsyn/A 21326-2025 tillsynsbegäran.docx", "A 21326-2025")</f>
        <v/>
      </c>
      <c r="Y30">
        <f>HYPERLINK("https://klasma.github.io/Logging_0580/tillsynsmail/A 21326-2025 tillsynsbegäran mail.docx", "A 21326-2025")</f>
        <v/>
      </c>
    </row>
    <row r="31" ht="15" customHeight="1">
      <c r="A31" t="inlineStr">
        <is>
          <t>A 25985-2025</t>
        </is>
      </c>
      <c r="B31" s="1" t="n">
        <v>45804.64479166667</v>
      </c>
      <c r="C31" s="1" t="n">
        <v>45881</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42858-2023</t>
        </is>
      </c>
      <c r="B32" s="1" t="n">
        <v>45177</v>
      </c>
      <c r="C32" s="1" t="n">
        <v>45881</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45881</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45881</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27795-2025</t>
        </is>
      </c>
      <c r="B35" s="1" t="n">
        <v>45816.7908912037</v>
      </c>
      <c r="C35" s="1" t="n">
        <v>45881</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8818-2025</t>
        </is>
      </c>
      <c r="B36" s="1" t="n">
        <v>45712</v>
      </c>
      <c r="C36" s="1" t="n">
        <v>45881</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14879-2024</t>
        </is>
      </c>
      <c r="B37" s="1" t="n">
        <v>45398</v>
      </c>
      <c r="C37" s="1" t="n">
        <v>45881</v>
      </c>
      <c r="D37" t="inlineStr">
        <is>
          <t>ÖSTERGÖTLANDS LÄN</t>
        </is>
      </c>
      <c r="E37" t="inlineStr">
        <is>
          <t>LINKÖPING</t>
        </is>
      </c>
      <c r="F37" t="inlineStr">
        <is>
          <t>Övriga Aktiebolag</t>
        </is>
      </c>
      <c r="G37" t="n">
        <v>1.7</v>
      </c>
      <c r="H37" t="n">
        <v>1</v>
      </c>
      <c r="I37" t="n">
        <v>1</v>
      </c>
      <c r="J37" t="n">
        <v>0</v>
      </c>
      <c r="K37" t="n">
        <v>0</v>
      </c>
      <c r="L37" t="n">
        <v>0</v>
      </c>
      <c r="M37" t="n">
        <v>0</v>
      </c>
      <c r="N37" t="n">
        <v>0</v>
      </c>
      <c r="O37" t="n">
        <v>0</v>
      </c>
      <c r="P37" t="n">
        <v>0</v>
      </c>
      <c r="Q37" t="n">
        <v>2</v>
      </c>
      <c r="R37" s="2" t="inlineStr">
        <is>
          <t>Svart trolldruva
Grönvit nattviol</t>
        </is>
      </c>
      <c r="S37">
        <f>HYPERLINK("https://klasma.github.io/Logging_0580/artfynd/A 14879-2024 artfynd.xlsx", "A 14879-2024")</f>
        <v/>
      </c>
      <c r="T37">
        <f>HYPERLINK("https://klasma.github.io/Logging_0580/kartor/A 14879-2024 karta.png", "A 14879-2024")</f>
        <v/>
      </c>
      <c r="V37">
        <f>HYPERLINK("https://klasma.github.io/Logging_0580/klagomål/A 14879-2024 FSC-klagomål.docx", "A 14879-2024")</f>
        <v/>
      </c>
      <c r="W37">
        <f>HYPERLINK("https://klasma.github.io/Logging_0580/klagomålsmail/A 14879-2024 FSC-klagomål mail.docx", "A 14879-2024")</f>
        <v/>
      </c>
      <c r="X37">
        <f>HYPERLINK("https://klasma.github.io/Logging_0580/tillsyn/A 14879-2024 tillsynsbegäran.docx", "A 14879-2024")</f>
        <v/>
      </c>
      <c r="Y37">
        <f>HYPERLINK("https://klasma.github.io/Logging_0580/tillsynsmail/A 14879-2024 tillsynsbegäran mail.docx", "A 14879-2024")</f>
        <v/>
      </c>
    </row>
    <row r="38" ht="15" customHeight="1">
      <c r="A38" t="inlineStr">
        <is>
          <t>A 38129-2021</t>
        </is>
      </c>
      <c r="B38" s="1" t="n">
        <v>44405.37199074074</v>
      </c>
      <c r="C38" s="1" t="n">
        <v>45881</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14096-2021</t>
        </is>
      </c>
      <c r="B39" s="1" t="n">
        <v>44278</v>
      </c>
      <c r="C39" s="1" t="n">
        <v>45881</v>
      </c>
      <c r="D39" t="inlineStr">
        <is>
          <t>ÖSTERGÖTLANDS LÄN</t>
        </is>
      </c>
      <c r="E39" t="inlineStr">
        <is>
          <t>LINKÖPING</t>
        </is>
      </c>
      <c r="G39" t="n">
        <v>1.7</v>
      </c>
      <c r="H39" t="n">
        <v>0</v>
      </c>
      <c r="I39" t="n">
        <v>0</v>
      </c>
      <c r="J39" t="n">
        <v>1</v>
      </c>
      <c r="K39" t="n">
        <v>0</v>
      </c>
      <c r="L39" t="n">
        <v>0</v>
      </c>
      <c r="M39" t="n">
        <v>0</v>
      </c>
      <c r="N39" t="n">
        <v>0</v>
      </c>
      <c r="O39" t="n">
        <v>1</v>
      </c>
      <c r="P39" t="n">
        <v>0</v>
      </c>
      <c r="Q39" t="n">
        <v>1</v>
      </c>
      <c r="R39" s="2" t="inlineStr">
        <is>
          <t>Vedtrappmossa</t>
        </is>
      </c>
      <c r="S39">
        <f>HYPERLINK("https://klasma.github.io/Logging_0580/artfynd/A 14096-2021 artfynd.xlsx", "A 14096-2021")</f>
        <v/>
      </c>
      <c r="T39">
        <f>HYPERLINK("https://klasma.github.io/Logging_0580/kartor/A 14096-2021 karta.png", "A 14096-2021")</f>
        <v/>
      </c>
      <c r="V39">
        <f>HYPERLINK("https://klasma.github.io/Logging_0580/klagomål/A 14096-2021 FSC-klagomål.docx", "A 14096-2021")</f>
        <v/>
      </c>
      <c r="W39">
        <f>HYPERLINK("https://klasma.github.io/Logging_0580/klagomålsmail/A 14096-2021 FSC-klagomål mail.docx", "A 14096-2021")</f>
        <v/>
      </c>
      <c r="X39">
        <f>HYPERLINK("https://klasma.github.io/Logging_0580/tillsyn/A 14096-2021 tillsynsbegäran.docx", "A 14096-2021")</f>
        <v/>
      </c>
      <c r="Y39">
        <f>HYPERLINK("https://klasma.github.io/Logging_0580/tillsynsmail/A 14096-2021 tillsynsbegäran mail.docx", "A 14096-2021")</f>
        <v/>
      </c>
    </row>
    <row r="40" ht="15" customHeight="1">
      <c r="A40" t="inlineStr">
        <is>
          <t>A 17513-2022</t>
        </is>
      </c>
      <c r="B40" s="1" t="n">
        <v>44679</v>
      </c>
      <c r="C40" s="1" t="n">
        <v>45881</v>
      </c>
      <c r="D40" t="inlineStr">
        <is>
          <t>ÖSTERGÖTLANDS LÄN</t>
        </is>
      </c>
      <c r="E40" t="inlineStr">
        <is>
          <t>LINKÖPING</t>
        </is>
      </c>
      <c r="F40" t="inlineStr">
        <is>
          <t>Kommuner</t>
        </is>
      </c>
      <c r="G40" t="n">
        <v>1.6</v>
      </c>
      <c r="H40" t="n">
        <v>0</v>
      </c>
      <c r="I40" t="n">
        <v>0</v>
      </c>
      <c r="J40" t="n">
        <v>1</v>
      </c>
      <c r="K40" t="n">
        <v>0</v>
      </c>
      <c r="L40" t="n">
        <v>0</v>
      </c>
      <c r="M40" t="n">
        <v>0</v>
      </c>
      <c r="N40" t="n">
        <v>0</v>
      </c>
      <c r="O40" t="n">
        <v>1</v>
      </c>
      <c r="P40" t="n">
        <v>0</v>
      </c>
      <c r="Q40" t="n">
        <v>1</v>
      </c>
      <c r="R40" s="2" t="inlineStr">
        <is>
          <t>Sexfläckig bastardsvärmare</t>
        </is>
      </c>
      <c r="S40">
        <f>HYPERLINK("https://klasma.github.io/Logging_0580/artfynd/A 17513-2022 artfynd.xlsx", "A 17513-2022")</f>
        <v/>
      </c>
      <c r="T40">
        <f>HYPERLINK("https://klasma.github.io/Logging_0580/kartor/A 17513-2022 karta.png", "A 17513-2022")</f>
        <v/>
      </c>
      <c r="V40">
        <f>HYPERLINK("https://klasma.github.io/Logging_0580/klagomål/A 17513-2022 FSC-klagomål.docx", "A 17513-2022")</f>
        <v/>
      </c>
      <c r="W40">
        <f>HYPERLINK("https://klasma.github.io/Logging_0580/klagomålsmail/A 17513-2022 FSC-klagomål mail.docx", "A 17513-2022")</f>
        <v/>
      </c>
      <c r="X40">
        <f>HYPERLINK("https://klasma.github.io/Logging_0580/tillsyn/A 17513-2022 tillsynsbegäran.docx", "A 17513-2022")</f>
        <v/>
      </c>
      <c r="Y40">
        <f>HYPERLINK("https://klasma.github.io/Logging_0580/tillsynsmail/A 17513-2022 tillsynsbegäran mail.docx", "A 17513-2022")</f>
        <v/>
      </c>
    </row>
    <row r="41" ht="15" customHeight="1">
      <c r="A41" t="inlineStr">
        <is>
          <t>A 56250-2021</t>
        </is>
      </c>
      <c r="B41" s="1" t="n">
        <v>44479</v>
      </c>
      <c r="C41" s="1" t="n">
        <v>45881</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43017-2021</t>
        </is>
      </c>
      <c r="B42" s="1" t="n">
        <v>44431</v>
      </c>
      <c r="C42" s="1" t="n">
        <v>45881</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46496-2022</t>
        </is>
      </c>
      <c r="B43" s="1" t="n">
        <v>44848</v>
      </c>
      <c r="C43" s="1" t="n">
        <v>45881</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44930-2020</t>
        </is>
      </c>
      <c r="B44" s="1" t="n">
        <v>44088</v>
      </c>
      <c r="C44" s="1" t="n">
        <v>45881</v>
      </c>
      <c r="D44" t="inlineStr">
        <is>
          <t>ÖSTERGÖTLANDS LÄN</t>
        </is>
      </c>
      <c r="E44" t="inlineStr">
        <is>
          <t>LINKÖPING</t>
        </is>
      </c>
      <c r="G44" t="n">
        <v>2.6</v>
      </c>
      <c r="H44" t="n">
        <v>1</v>
      </c>
      <c r="I44" t="n">
        <v>0</v>
      </c>
      <c r="J44" t="n">
        <v>0</v>
      </c>
      <c r="K44" t="n">
        <v>1</v>
      </c>
      <c r="L44" t="n">
        <v>0</v>
      </c>
      <c r="M44" t="n">
        <v>0</v>
      </c>
      <c r="N44" t="n">
        <v>0</v>
      </c>
      <c r="O44" t="n">
        <v>1</v>
      </c>
      <c r="P44" t="n">
        <v>1</v>
      </c>
      <c r="Q44" t="n">
        <v>1</v>
      </c>
      <c r="R44" s="2" t="inlineStr">
        <is>
          <t>Knärot</t>
        </is>
      </c>
      <c r="S44">
        <f>HYPERLINK("https://klasma.github.io/Logging_0580/artfynd/A 44930-2020 artfynd.xlsx", "A 44930-2020")</f>
        <v/>
      </c>
      <c r="T44">
        <f>HYPERLINK("https://klasma.github.io/Logging_0580/kartor/A 44930-2020 karta.png", "A 44930-2020")</f>
        <v/>
      </c>
      <c r="U44">
        <f>HYPERLINK("https://klasma.github.io/Logging_0580/knärot/A 44930-2020 karta knärot.png", "A 44930-2020")</f>
        <v/>
      </c>
      <c r="V44">
        <f>HYPERLINK("https://klasma.github.io/Logging_0580/klagomål/A 44930-2020 FSC-klagomål.docx", "A 44930-2020")</f>
        <v/>
      </c>
      <c r="W44">
        <f>HYPERLINK("https://klasma.github.io/Logging_0580/klagomålsmail/A 44930-2020 FSC-klagomål mail.docx", "A 44930-2020")</f>
        <v/>
      </c>
      <c r="X44">
        <f>HYPERLINK("https://klasma.github.io/Logging_0580/tillsyn/A 44930-2020 tillsynsbegäran.docx", "A 44930-2020")</f>
        <v/>
      </c>
      <c r="Y44">
        <f>HYPERLINK("https://klasma.github.io/Logging_0580/tillsynsmail/A 44930-2020 tillsynsbegäran mail.docx", "A 44930-2020")</f>
        <v/>
      </c>
    </row>
    <row r="45" ht="15" customHeight="1">
      <c r="A45" t="inlineStr">
        <is>
          <t>A 71127-2021</t>
        </is>
      </c>
      <c r="B45" s="1" t="n">
        <v>44537</v>
      </c>
      <c r="C45" s="1" t="n">
        <v>45881</v>
      </c>
      <c r="D45" t="inlineStr">
        <is>
          <t>ÖSTERGÖTLANDS LÄN</t>
        </is>
      </c>
      <c r="E45" t="inlineStr">
        <is>
          <t>LINKÖPING</t>
        </is>
      </c>
      <c r="F45" t="inlineStr">
        <is>
          <t>Kommuner</t>
        </is>
      </c>
      <c r="G45" t="n">
        <v>7.2</v>
      </c>
      <c r="H45" t="n">
        <v>0</v>
      </c>
      <c r="I45" t="n">
        <v>0</v>
      </c>
      <c r="J45" t="n">
        <v>1</v>
      </c>
      <c r="K45" t="n">
        <v>0</v>
      </c>
      <c r="L45" t="n">
        <v>0</v>
      </c>
      <c r="M45" t="n">
        <v>0</v>
      </c>
      <c r="N45" t="n">
        <v>0</v>
      </c>
      <c r="O45" t="n">
        <v>1</v>
      </c>
      <c r="P45" t="n">
        <v>0</v>
      </c>
      <c r="Q45" t="n">
        <v>1</v>
      </c>
      <c r="R45" s="2" t="inlineStr">
        <is>
          <t>Svinrot</t>
        </is>
      </c>
      <c r="S45">
        <f>HYPERLINK("https://klasma.github.io/Logging_0580/artfynd/A 71127-2021 artfynd.xlsx", "A 71127-2021")</f>
        <v/>
      </c>
      <c r="T45">
        <f>HYPERLINK("https://klasma.github.io/Logging_0580/kartor/A 71127-2021 karta.png", "A 71127-2021")</f>
        <v/>
      </c>
      <c r="V45">
        <f>HYPERLINK("https://klasma.github.io/Logging_0580/klagomål/A 71127-2021 FSC-klagomål.docx", "A 71127-2021")</f>
        <v/>
      </c>
      <c r="W45">
        <f>HYPERLINK("https://klasma.github.io/Logging_0580/klagomålsmail/A 71127-2021 FSC-klagomål mail.docx", "A 71127-2021")</f>
        <v/>
      </c>
      <c r="X45">
        <f>HYPERLINK("https://klasma.github.io/Logging_0580/tillsyn/A 71127-2021 tillsynsbegäran.docx", "A 71127-2021")</f>
        <v/>
      </c>
      <c r="Y45">
        <f>HYPERLINK("https://klasma.github.io/Logging_0580/tillsynsmail/A 71127-2021 tillsynsbegäran mail.docx", "A 71127-2021")</f>
        <v/>
      </c>
    </row>
    <row r="46" ht="15" customHeight="1">
      <c r="A46" t="inlineStr">
        <is>
          <t>A 17389-2021</t>
        </is>
      </c>
      <c r="B46" s="1" t="n">
        <v>44298.96792824074</v>
      </c>
      <c r="C46" s="1" t="n">
        <v>45881</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45881</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15290-2025</t>
        </is>
      </c>
      <c r="B48" s="1" t="n">
        <v>45745.45288194445</v>
      </c>
      <c r="C48" s="1" t="n">
        <v>45881</v>
      </c>
      <c r="D48" t="inlineStr">
        <is>
          <t>ÖSTERGÖTLANDS LÄN</t>
        </is>
      </c>
      <c r="E48" t="inlineStr">
        <is>
          <t>LINKÖPING</t>
        </is>
      </c>
      <c r="G48" t="n">
        <v>18.4</v>
      </c>
      <c r="H48" t="n">
        <v>1</v>
      </c>
      <c r="I48" t="n">
        <v>0</v>
      </c>
      <c r="J48" t="n">
        <v>1</v>
      </c>
      <c r="K48" t="n">
        <v>0</v>
      </c>
      <c r="L48" t="n">
        <v>0</v>
      </c>
      <c r="M48" t="n">
        <v>0</v>
      </c>
      <c r="N48" t="n">
        <v>0</v>
      </c>
      <c r="O48" t="n">
        <v>1</v>
      </c>
      <c r="P48" t="n">
        <v>0</v>
      </c>
      <c r="Q48" t="n">
        <v>1</v>
      </c>
      <c r="R48" s="2" t="inlineStr">
        <is>
          <t>Havsörn</t>
        </is>
      </c>
      <c r="S48">
        <f>HYPERLINK("https://klasma.github.io/Logging_0580/artfynd/A 15290-2025 artfynd.xlsx", "A 15290-2025")</f>
        <v/>
      </c>
      <c r="T48">
        <f>HYPERLINK("https://klasma.github.io/Logging_0580/kartor/A 15290-2025 karta.png", "A 15290-2025")</f>
        <v/>
      </c>
      <c r="V48">
        <f>HYPERLINK("https://klasma.github.io/Logging_0580/klagomål/A 15290-2025 FSC-klagomål.docx", "A 15290-2025")</f>
        <v/>
      </c>
      <c r="W48">
        <f>HYPERLINK("https://klasma.github.io/Logging_0580/klagomålsmail/A 15290-2025 FSC-klagomål mail.docx", "A 15290-2025")</f>
        <v/>
      </c>
      <c r="X48">
        <f>HYPERLINK("https://klasma.github.io/Logging_0580/tillsyn/A 15290-2025 tillsynsbegäran.docx", "A 15290-2025")</f>
        <v/>
      </c>
      <c r="Y48">
        <f>HYPERLINK("https://klasma.github.io/Logging_0580/tillsynsmail/A 15290-2025 tillsynsbegäran mail.docx", "A 15290-2025")</f>
        <v/>
      </c>
      <c r="Z48">
        <f>HYPERLINK("https://klasma.github.io/Logging_0580/fåglar/A 15290-2025 prioriterade fågelarter.docx", "A 15290-2025")</f>
        <v/>
      </c>
    </row>
    <row r="49" ht="15" customHeight="1">
      <c r="A49" t="inlineStr">
        <is>
          <t>A 69211-2021</t>
        </is>
      </c>
      <c r="B49" s="1" t="n">
        <v>44531</v>
      </c>
      <c r="C49" s="1" t="n">
        <v>45881</v>
      </c>
      <c r="D49" t="inlineStr">
        <is>
          <t>ÖSTERGÖTLANDS LÄN</t>
        </is>
      </c>
      <c r="E49" t="inlineStr">
        <is>
          <t>LINKÖPING</t>
        </is>
      </c>
      <c r="F49" t="inlineStr">
        <is>
          <t>Övriga statliga verk och myndigheter</t>
        </is>
      </c>
      <c r="G49" t="n">
        <v>3.8</v>
      </c>
      <c r="H49" t="n">
        <v>0</v>
      </c>
      <c r="I49" t="n">
        <v>1</v>
      </c>
      <c r="J49" t="n">
        <v>0</v>
      </c>
      <c r="K49" t="n">
        <v>0</v>
      </c>
      <c r="L49" t="n">
        <v>0</v>
      </c>
      <c r="M49" t="n">
        <v>0</v>
      </c>
      <c r="N49" t="n">
        <v>0</v>
      </c>
      <c r="O49" t="n">
        <v>0</v>
      </c>
      <c r="P49" t="n">
        <v>0</v>
      </c>
      <c r="Q49" t="n">
        <v>1</v>
      </c>
      <c r="R49" s="2" t="inlineStr">
        <is>
          <t>Bronshjon</t>
        </is>
      </c>
      <c r="S49">
        <f>HYPERLINK("https://klasma.github.io/Logging_0580/artfynd/A 69211-2021 artfynd.xlsx", "A 69211-2021")</f>
        <v/>
      </c>
      <c r="T49">
        <f>HYPERLINK("https://klasma.github.io/Logging_0580/kartor/A 69211-2021 karta.png", "A 69211-2021")</f>
        <v/>
      </c>
      <c r="V49">
        <f>HYPERLINK("https://klasma.github.io/Logging_0580/klagomål/A 69211-2021 FSC-klagomål.docx", "A 69211-2021")</f>
        <v/>
      </c>
      <c r="W49">
        <f>HYPERLINK("https://klasma.github.io/Logging_0580/klagomålsmail/A 69211-2021 FSC-klagomål mail.docx", "A 69211-2021")</f>
        <v/>
      </c>
      <c r="X49">
        <f>HYPERLINK("https://klasma.github.io/Logging_0580/tillsyn/A 69211-2021 tillsynsbegäran.docx", "A 69211-2021")</f>
        <v/>
      </c>
      <c r="Y49">
        <f>HYPERLINK("https://klasma.github.io/Logging_0580/tillsynsmail/A 69211-2021 tillsynsbegäran mail.docx", "A 69211-2021")</f>
        <v/>
      </c>
    </row>
    <row r="50" ht="15" customHeight="1">
      <c r="A50" t="inlineStr">
        <is>
          <t>A 5911-2022</t>
        </is>
      </c>
      <c r="B50" s="1" t="n">
        <v>44597</v>
      </c>
      <c r="C50" s="1" t="n">
        <v>45881</v>
      </c>
      <c r="D50" t="inlineStr">
        <is>
          <t>ÖSTERGÖTLANDS LÄN</t>
        </is>
      </c>
      <c r="E50" t="inlineStr">
        <is>
          <t>LINKÖPING</t>
        </is>
      </c>
      <c r="G50" t="n">
        <v>3.5</v>
      </c>
      <c r="H50" t="n">
        <v>0</v>
      </c>
      <c r="I50" t="n">
        <v>0</v>
      </c>
      <c r="J50" t="n">
        <v>1</v>
      </c>
      <c r="K50" t="n">
        <v>0</v>
      </c>
      <c r="L50" t="n">
        <v>0</v>
      </c>
      <c r="M50" t="n">
        <v>0</v>
      </c>
      <c r="N50" t="n">
        <v>0</v>
      </c>
      <c r="O50" t="n">
        <v>1</v>
      </c>
      <c r="P50" t="n">
        <v>0</v>
      </c>
      <c r="Q50" t="n">
        <v>1</v>
      </c>
      <c r="R50" s="2" t="inlineStr">
        <is>
          <t>Spindelört</t>
        </is>
      </c>
      <c r="S50">
        <f>HYPERLINK("https://klasma.github.io/Logging_0580/artfynd/A 5911-2022 artfynd.xlsx", "A 5911-2022")</f>
        <v/>
      </c>
      <c r="T50">
        <f>HYPERLINK("https://klasma.github.io/Logging_0580/kartor/A 5911-2022 karta.png", "A 5911-2022")</f>
        <v/>
      </c>
      <c r="V50">
        <f>HYPERLINK("https://klasma.github.io/Logging_0580/klagomål/A 5911-2022 FSC-klagomål.docx", "A 5911-2022")</f>
        <v/>
      </c>
      <c r="W50">
        <f>HYPERLINK("https://klasma.github.io/Logging_0580/klagomålsmail/A 5911-2022 FSC-klagomål mail.docx", "A 5911-2022")</f>
        <v/>
      </c>
      <c r="X50">
        <f>HYPERLINK("https://klasma.github.io/Logging_0580/tillsyn/A 5911-2022 tillsynsbegäran.docx", "A 5911-2022")</f>
        <v/>
      </c>
      <c r="Y50">
        <f>HYPERLINK("https://klasma.github.io/Logging_0580/tillsynsmail/A 5911-2022 tillsynsbegäran mail.docx", "A 5911-2022")</f>
        <v/>
      </c>
    </row>
    <row r="51" ht="15" customHeight="1">
      <c r="A51" t="inlineStr">
        <is>
          <t>A 1716-2023</t>
        </is>
      </c>
      <c r="B51" s="1" t="n">
        <v>44938</v>
      </c>
      <c r="C51" s="1" t="n">
        <v>45881</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36723-2023</t>
        </is>
      </c>
      <c r="B52" s="1" t="n">
        <v>45153</v>
      </c>
      <c r="C52" s="1" t="n">
        <v>45881</v>
      </c>
      <c r="D52" t="inlineStr">
        <is>
          <t>ÖSTERGÖTLANDS LÄN</t>
        </is>
      </c>
      <c r="E52" t="inlineStr">
        <is>
          <t>LINKÖPING</t>
        </is>
      </c>
      <c r="F52" t="inlineStr">
        <is>
          <t>Allmännings- och besparingsskogar</t>
        </is>
      </c>
      <c r="G52" t="n">
        <v>9.9</v>
      </c>
      <c r="H52" t="n">
        <v>0</v>
      </c>
      <c r="I52" t="n">
        <v>0</v>
      </c>
      <c r="J52" t="n">
        <v>0</v>
      </c>
      <c r="K52" t="n">
        <v>1</v>
      </c>
      <c r="L52" t="n">
        <v>0</v>
      </c>
      <c r="M52" t="n">
        <v>0</v>
      </c>
      <c r="N52" t="n">
        <v>0</v>
      </c>
      <c r="O52" t="n">
        <v>1</v>
      </c>
      <c r="P52" t="n">
        <v>1</v>
      </c>
      <c r="Q52" t="n">
        <v>1</v>
      </c>
      <c r="R52" s="2" t="inlineStr">
        <is>
          <t>Bitter taggsvamp</t>
        </is>
      </c>
      <c r="S52">
        <f>HYPERLINK("https://klasma.github.io/Logging_0580/artfynd/A 36723-2023 artfynd.xlsx", "A 36723-2023")</f>
        <v/>
      </c>
      <c r="T52">
        <f>HYPERLINK("https://klasma.github.io/Logging_0580/kartor/A 36723-2023 karta.png", "A 36723-2023")</f>
        <v/>
      </c>
      <c r="V52">
        <f>HYPERLINK("https://klasma.github.io/Logging_0580/klagomål/A 36723-2023 FSC-klagomål.docx", "A 36723-2023")</f>
        <v/>
      </c>
      <c r="W52">
        <f>HYPERLINK("https://klasma.github.io/Logging_0580/klagomålsmail/A 36723-2023 FSC-klagomål mail.docx", "A 36723-2023")</f>
        <v/>
      </c>
      <c r="X52">
        <f>HYPERLINK("https://klasma.github.io/Logging_0580/tillsyn/A 36723-2023 tillsynsbegäran.docx", "A 36723-2023")</f>
        <v/>
      </c>
      <c r="Y52">
        <f>HYPERLINK("https://klasma.github.io/Logging_0580/tillsynsmail/A 36723-2023 tillsynsbegäran mail.docx", "A 36723-2023")</f>
        <v/>
      </c>
    </row>
    <row r="53" ht="15" customHeight="1">
      <c r="A53" t="inlineStr">
        <is>
          <t>A 56128-2022</t>
        </is>
      </c>
      <c r="B53" s="1" t="n">
        <v>44889</v>
      </c>
      <c r="C53" s="1" t="n">
        <v>45881</v>
      </c>
      <c r="D53" t="inlineStr">
        <is>
          <t>ÖSTERGÖTLANDS LÄN</t>
        </is>
      </c>
      <c r="E53" t="inlineStr">
        <is>
          <t>LINKÖPING</t>
        </is>
      </c>
      <c r="G53" t="n">
        <v>2</v>
      </c>
      <c r="H53" t="n">
        <v>0</v>
      </c>
      <c r="I53" t="n">
        <v>1</v>
      </c>
      <c r="J53" t="n">
        <v>0</v>
      </c>
      <c r="K53" t="n">
        <v>0</v>
      </c>
      <c r="L53" t="n">
        <v>0</v>
      </c>
      <c r="M53" t="n">
        <v>0</v>
      </c>
      <c r="N53" t="n">
        <v>0</v>
      </c>
      <c r="O53" t="n">
        <v>0</v>
      </c>
      <c r="P53" t="n">
        <v>0</v>
      </c>
      <c r="Q53" t="n">
        <v>1</v>
      </c>
      <c r="R53" s="2" t="inlineStr">
        <is>
          <t>Tibast</t>
        </is>
      </c>
      <c r="S53">
        <f>HYPERLINK("https://klasma.github.io/Logging_0580/artfynd/A 56128-2022 artfynd.xlsx", "A 56128-2022")</f>
        <v/>
      </c>
      <c r="T53">
        <f>HYPERLINK("https://klasma.github.io/Logging_0580/kartor/A 56128-2022 karta.png", "A 56128-2022")</f>
        <v/>
      </c>
      <c r="V53">
        <f>HYPERLINK("https://klasma.github.io/Logging_0580/klagomål/A 56128-2022 FSC-klagomål.docx", "A 56128-2022")</f>
        <v/>
      </c>
      <c r="W53">
        <f>HYPERLINK("https://klasma.github.io/Logging_0580/klagomålsmail/A 56128-2022 FSC-klagomål mail.docx", "A 56128-2022")</f>
        <v/>
      </c>
      <c r="X53">
        <f>HYPERLINK("https://klasma.github.io/Logging_0580/tillsyn/A 56128-2022 tillsynsbegäran.docx", "A 56128-2022")</f>
        <v/>
      </c>
      <c r="Y53">
        <f>HYPERLINK("https://klasma.github.io/Logging_0580/tillsynsmail/A 56128-2022 tillsynsbegäran mail.docx", "A 56128-2022")</f>
        <v/>
      </c>
    </row>
    <row r="54" ht="15" customHeight="1">
      <c r="A54" t="inlineStr">
        <is>
          <t>A 931-2025</t>
        </is>
      </c>
      <c r="B54" s="1" t="n">
        <v>45665.88498842593</v>
      </c>
      <c r="C54" s="1" t="n">
        <v>45881</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126-2024</t>
        </is>
      </c>
      <c r="B55" s="1" t="n">
        <v>45294</v>
      </c>
      <c r="C55" s="1" t="n">
        <v>45881</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3395-2023</t>
        </is>
      </c>
      <c r="B56" s="1" t="n">
        <v>44949</v>
      </c>
      <c r="C56" s="1" t="n">
        <v>45881</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3397-2023</t>
        </is>
      </c>
      <c r="B57" s="1" t="n">
        <v>44949</v>
      </c>
      <c r="C57" s="1" t="n">
        <v>45881</v>
      </c>
      <c r="D57" t="inlineStr">
        <is>
          <t>ÖSTERGÖTLANDS LÄN</t>
        </is>
      </c>
      <c r="E57" t="inlineStr">
        <is>
          <t>LINKÖPING</t>
        </is>
      </c>
      <c r="G57" t="n">
        <v>4.1</v>
      </c>
      <c r="H57" t="n">
        <v>0</v>
      </c>
      <c r="I57" t="n">
        <v>0</v>
      </c>
      <c r="J57" t="n">
        <v>1</v>
      </c>
      <c r="K57" t="n">
        <v>0</v>
      </c>
      <c r="L57" t="n">
        <v>0</v>
      </c>
      <c r="M57" t="n">
        <v>0</v>
      </c>
      <c r="N57" t="n">
        <v>0</v>
      </c>
      <c r="O57" t="n">
        <v>1</v>
      </c>
      <c r="P57" t="n">
        <v>0</v>
      </c>
      <c r="Q57" t="n">
        <v>1</v>
      </c>
      <c r="R57" s="2" t="inlineStr">
        <is>
          <t>Svinrot</t>
        </is>
      </c>
      <c r="S57">
        <f>HYPERLINK("https://klasma.github.io/Logging_0580/artfynd/A 3397-2023 artfynd.xlsx", "A 3397-2023")</f>
        <v/>
      </c>
      <c r="T57">
        <f>HYPERLINK("https://klasma.github.io/Logging_0580/kartor/A 3397-2023 karta.png", "A 3397-2023")</f>
        <v/>
      </c>
      <c r="V57">
        <f>HYPERLINK("https://klasma.github.io/Logging_0580/klagomål/A 3397-2023 FSC-klagomål.docx", "A 3397-2023")</f>
        <v/>
      </c>
      <c r="W57">
        <f>HYPERLINK("https://klasma.github.io/Logging_0580/klagomålsmail/A 3397-2023 FSC-klagomål mail.docx", "A 3397-2023")</f>
        <v/>
      </c>
      <c r="X57">
        <f>HYPERLINK("https://klasma.github.io/Logging_0580/tillsyn/A 3397-2023 tillsynsbegäran.docx", "A 3397-2023")</f>
        <v/>
      </c>
      <c r="Y57">
        <f>HYPERLINK("https://klasma.github.io/Logging_0580/tillsynsmail/A 3397-2023 tillsynsbegäran mail.docx", "A 3397-2023")</f>
        <v/>
      </c>
    </row>
    <row r="58" ht="15" customHeight="1">
      <c r="A58" t="inlineStr">
        <is>
          <t>A 1213-2023</t>
        </is>
      </c>
      <c r="B58" s="1" t="n">
        <v>44930</v>
      </c>
      <c r="C58" s="1" t="n">
        <v>45881</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22040-2023</t>
        </is>
      </c>
      <c r="B59" s="1" t="n">
        <v>45068</v>
      </c>
      <c r="C59" s="1" t="n">
        <v>45881</v>
      </c>
      <c r="D59" t="inlineStr">
        <is>
          <t>ÖSTERGÖTLANDS LÄN</t>
        </is>
      </c>
      <c r="E59" t="inlineStr">
        <is>
          <t>LINKÖPING</t>
        </is>
      </c>
      <c r="F59" t="inlineStr">
        <is>
          <t>Kommuner</t>
        </is>
      </c>
      <c r="G59" t="n">
        <v>1</v>
      </c>
      <c r="H59" t="n">
        <v>1</v>
      </c>
      <c r="I59" t="n">
        <v>0</v>
      </c>
      <c r="J59" t="n">
        <v>0</v>
      </c>
      <c r="K59" t="n">
        <v>1</v>
      </c>
      <c r="L59" t="n">
        <v>0</v>
      </c>
      <c r="M59" t="n">
        <v>0</v>
      </c>
      <c r="N59" t="n">
        <v>0</v>
      </c>
      <c r="O59" t="n">
        <v>1</v>
      </c>
      <c r="P59" t="n">
        <v>1</v>
      </c>
      <c r="Q59" t="n">
        <v>1</v>
      </c>
      <c r="R59" s="2" t="inlineStr">
        <is>
          <t>Bombmurkla</t>
        </is>
      </c>
      <c r="S59">
        <f>HYPERLINK("https://klasma.github.io/Logging_0580/artfynd/A 22040-2023 artfynd.xlsx", "A 22040-2023")</f>
        <v/>
      </c>
      <c r="T59">
        <f>HYPERLINK("https://klasma.github.io/Logging_0580/kartor/A 22040-2023 karta.png", "A 22040-2023")</f>
        <v/>
      </c>
      <c r="V59">
        <f>HYPERLINK("https://klasma.github.io/Logging_0580/klagomål/A 22040-2023 FSC-klagomål.docx", "A 22040-2023")</f>
        <v/>
      </c>
      <c r="W59">
        <f>HYPERLINK("https://klasma.github.io/Logging_0580/klagomålsmail/A 22040-2023 FSC-klagomål mail.docx", "A 22040-2023")</f>
        <v/>
      </c>
      <c r="X59">
        <f>HYPERLINK("https://klasma.github.io/Logging_0580/tillsyn/A 22040-2023 tillsynsbegäran.docx", "A 22040-2023")</f>
        <v/>
      </c>
      <c r="Y59">
        <f>HYPERLINK("https://klasma.github.io/Logging_0580/tillsynsmail/A 22040-2023 tillsynsbegäran mail.docx", "A 22040-2023")</f>
        <v/>
      </c>
    </row>
    <row r="60" ht="15" customHeight="1">
      <c r="A60" t="inlineStr">
        <is>
          <t>A 1299-2025</t>
        </is>
      </c>
      <c r="B60" s="1" t="n">
        <v>45667.53913194445</v>
      </c>
      <c r="C60" s="1" t="n">
        <v>45881</v>
      </c>
      <c r="D60" t="inlineStr">
        <is>
          <t>ÖSTERGÖTLANDS LÄN</t>
        </is>
      </c>
      <c r="E60" t="inlineStr">
        <is>
          <t>LINKÖPING</t>
        </is>
      </c>
      <c r="G60" t="n">
        <v>8.9</v>
      </c>
      <c r="H60" t="n">
        <v>0</v>
      </c>
      <c r="I60" t="n">
        <v>0</v>
      </c>
      <c r="J60" t="n">
        <v>1</v>
      </c>
      <c r="K60" t="n">
        <v>0</v>
      </c>
      <c r="L60" t="n">
        <v>0</v>
      </c>
      <c r="M60" t="n">
        <v>0</v>
      </c>
      <c r="N60" t="n">
        <v>0</v>
      </c>
      <c r="O60" t="n">
        <v>1</v>
      </c>
      <c r="P60" t="n">
        <v>0</v>
      </c>
      <c r="Q60" t="n">
        <v>1</v>
      </c>
      <c r="R60" s="2" t="inlineStr">
        <is>
          <t>Storgröe</t>
        </is>
      </c>
      <c r="S60">
        <f>HYPERLINK("https://klasma.github.io/Logging_0580/artfynd/A 1299-2025 artfynd.xlsx", "A 1299-2025")</f>
        <v/>
      </c>
      <c r="T60">
        <f>HYPERLINK("https://klasma.github.io/Logging_0580/kartor/A 1299-2025 karta.png", "A 1299-2025")</f>
        <v/>
      </c>
      <c r="V60">
        <f>HYPERLINK("https://klasma.github.io/Logging_0580/klagomål/A 1299-2025 FSC-klagomål.docx", "A 1299-2025")</f>
        <v/>
      </c>
      <c r="W60">
        <f>HYPERLINK("https://klasma.github.io/Logging_0580/klagomålsmail/A 1299-2025 FSC-klagomål mail.docx", "A 1299-2025")</f>
        <v/>
      </c>
      <c r="X60">
        <f>HYPERLINK("https://klasma.github.io/Logging_0580/tillsyn/A 1299-2025 tillsynsbegäran.docx", "A 1299-2025")</f>
        <v/>
      </c>
      <c r="Y60">
        <f>HYPERLINK("https://klasma.github.io/Logging_0580/tillsynsmail/A 1299-2025 tillsynsbegäran mail.docx", "A 1299-2025")</f>
        <v/>
      </c>
    </row>
    <row r="61" ht="15" customHeight="1">
      <c r="A61" t="inlineStr">
        <is>
          <t>A 48984-2020</t>
        </is>
      </c>
      <c r="B61" s="1" t="n">
        <v>44104</v>
      </c>
      <c r="C61" s="1" t="n">
        <v>45881</v>
      </c>
      <c r="D61" t="inlineStr">
        <is>
          <t>ÖSTERGÖTLANDS LÄN</t>
        </is>
      </c>
      <c r="E61" t="inlineStr">
        <is>
          <t>LINKÖPING</t>
        </is>
      </c>
      <c r="G61" t="n">
        <v>2.8</v>
      </c>
      <c r="H61" t="n">
        <v>0</v>
      </c>
      <c r="I61" t="n">
        <v>0</v>
      </c>
      <c r="J61" t="n">
        <v>1</v>
      </c>
      <c r="K61" t="n">
        <v>0</v>
      </c>
      <c r="L61" t="n">
        <v>0</v>
      </c>
      <c r="M61" t="n">
        <v>0</v>
      </c>
      <c r="N61" t="n">
        <v>0</v>
      </c>
      <c r="O61" t="n">
        <v>1</v>
      </c>
      <c r="P61" t="n">
        <v>0</v>
      </c>
      <c r="Q61" t="n">
        <v>1</v>
      </c>
      <c r="R61" s="2" t="inlineStr">
        <is>
          <t>Vårstarr</t>
        </is>
      </c>
      <c r="S61">
        <f>HYPERLINK("https://klasma.github.io/Logging_0580/artfynd/A 48984-2020 artfynd.xlsx", "A 48984-2020")</f>
        <v/>
      </c>
      <c r="T61">
        <f>HYPERLINK("https://klasma.github.io/Logging_0580/kartor/A 48984-2020 karta.png", "A 48984-2020")</f>
        <v/>
      </c>
      <c r="V61">
        <f>HYPERLINK("https://klasma.github.io/Logging_0580/klagomål/A 48984-2020 FSC-klagomål.docx", "A 48984-2020")</f>
        <v/>
      </c>
      <c r="W61">
        <f>HYPERLINK("https://klasma.github.io/Logging_0580/klagomålsmail/A 48984-2020 FSC-klagomål mail.docx", "A 48984-2020")</f>
        <v/>
      </c>
      <c r="X61">
        <f>HYPERLINK("https://klasma.github.io/Logging_0580/tillsyn/A 48984-2020 tillsynsbegäran.docx", "A 48984-2020")</f>
        <v/>
      </c>
      <c r="Y61">
        <f>HYPERLINK("https://klasma.github.io/Logging_0580/tillsynsmail/A 48984-2020 tillsynsbegäran mail.docx", "A 48984-2020")</f>
        <v/>
      </c>
    </row>
    <row r="62" ht="15" customHeight="1">
      <c r="A62" t="inlineStr">
        <is>
          <t>A 50806-2023</t>
        </is>
      </c>
      <c r="B62" s="1" t="n">
        <v>45217</v>
      </c>
      <c r="C62" s="1" t="n">
        <v>45881</v>
      </c>
      <c r="D62" t="inlineStr">
        <is>
          <t>ÖSTERGÖTLANDS LÄN</t>
        </is>
      </c>
      <c r="E62" t="inlineStr">
        <is>
          <t>LINKÖPING</t>
        </is>
      </c>
      <c r="F62" t="inlineStr">
        <is>
          <t>Övriga Aktiebolag</t>
        </is>
      </c>
      <c r="G62" t="n">
        <v>0.7</v>
      </c>
      <c r="H62" t="n">
        <v>1</v>
      </c>
      <c r="I62" t="n">
        <v>0</v>
      </c>
      <c r="J62" t="n">
        <v>0</v>
      </c>
      <c r="K62" t="n">
        <v>0</v>
      </c>
      <c r="L62" t="n">
        <v>0</v>
      </c>
      <c r="M62" t="n">
        <v>0</v>
      </c>
      <c r="N62" t="n">
        <v>0</v>
      </c>
      <c r="O62" t="n">
        <v>0</v>
      </c>
      <c r="P62" t="n">
        <v>0</v>
      </c>
      <c r="Q62" t="n">
        <v>1</v>
      </c>
      <c r="R62" s="2" t="inlineStr">
        <is>
          <t>Gullviva</t>
        </is>
      </c>
      <c r="S62">
        <f>HYPERLINK("https://klasma.github.io/Logging_0580/artfynd/A 50806-2023 artfynd.xlsx", "A 50806-2023")</f>
        <v/>
      </c>
      <c r="T62">
        <f>HYPERLINK("https://klasma.github.io/Logging_0580/kartor/A 50806-2023 karta.png", "A 50806-2023")</f>
        <v/>
      </c>
      <c r="V62">
        <f>HYPERLINK("https://klasma.github.io/Logging_0580/klagomål/A 50806-2023 FSC-klagomål.docx", "A 50806-2023")</f>
        <v/>
      </c>
      <c r="W62">
        <f>HYPERLINK("https://klasma.github.io/Logging_0580/klagomålsmail/A 50806-2023 FSC-klagomål mail.docx", "A 50806-2023")</f>
        <v/>
      </c>
      <c r="X62">
        <f>HYPERLINK("https://klasma.github.io/Logging_0580/tillsyn/A 50806-2023 tillsynsbegäran.docx", "A 50806-2023")</f>
        <v/>
      </c>
      <c r="Y62">
        <f>HYPERLINK("https://klasma.github.io/Logging_0580/tillsynsmail/A 50806-2023 tillsynsbegäran mail.docx", "A 50806-2023")</f>
        <v/>
      </c>
    </row>
    <row r="63" ht="15" customHeight="1">
      <c r="A63" t="inlineStr">
        <is>
          <t>A 54835-2023</t>
        </is>
      </c>
      <c r="B63" s="1" t="n">
        <v>45236</v>
      </c>
      <c r="C63" s="1" t="n">
        <v>45881</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34881-2023</t>
        </is>
      </c>
      <c r="B64" s="1" t="n">
        <v>45140</v>
      </c>
      <c r="C64" s="1" t="n">
        <v>45881</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Tallticka</t>
        </is>
      </c>
      <c r="S64">
        <f>HYPERLINK("https://klasma.github.io/Logging_0580/artfynd/A 34881-2023 artfynd.xlsx", "A 34881-2023")</f>
        <v/>
      </c>
      <c r="T64">
        <f>HYPERLINK("https://klasma.github.io/Logging_0580/kartor/A 34881-2023 karta.png", "A 34881-2023")</f>
        <v/>
      </c>
      <c r="U64">
        <f>HYPERLINK("https://klasma.github.io/Logging_0580/knärot/A 34881-2023 karta knärot.png", "A 34881-2023")</f>
        <v/>
      </c>
      <c r="V64">
        <f>HYPERLINK("https://klasma.github.io/Logging_0580/klagomål/A 34881-2023 FSC-klagomål.docx", "A 34881-2023")</f>
        <v/>
      </c>
      <c r="W64">
        <f>HYPERLINK("https://klasma.github.io/Logging_0580/klagomålsmail/A 34881-2023 FSC-klagomål mail.docx", "A 34881-2023")</f>
        <v/>
      </c>
      <c r="X64">
        <f>HYPERLINK("https://klasma.github.io/Logging_0580/tillsyn/A 34881-2023 tillsynsbegäran.docx", "A 34881-2023")</f>
        <v/>
      </c>
      <c r="Y64">
        <f>HYPERLINK("https://klasma.github.io/Logging_0580/tillsynsmail/A 34881-2023 tillsynsbegäran mail.docx", "A 34881-2023")</f>
        <v/>
      </c>
    </row>
    <row r="65" ht="15" customHeight="1">
      <c r="A65" t="inlineStr">
        <is>
          <t>A 60573-2021</t>
        </is>
      </c>
      <c r="B65" s="1" t="n">
        <v>44496</v>
      </c>
      <c r="C65" s="1" t="n">
        <v>45881</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19103-2021</t>
        </is>
      </c>
      <c r="B66" s="1" t="n">
        <v>44308</v>
      </c>
      <c r="C66" s="1" t="n">
        <v>45881</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5984-2025</t>
        </is>
      </c>
      <c r="B67" s="1" t="n">
        <v>45695.55173611111</v>
      </c>
      <c r="C67" s="1" t="n">
        <v>45881</v>
      </c>
      <c r="D67" t="inlineStr">
        <is>
          <t>ÖSTERGÖTLANDS LÄN</t>
        </is>
      </c>
      <c r="E67" t="inlineStr">
        <is>
          <t>LINKÖPING</t>
        </is>
      </c>
      <c r="F67" t="inlineStr">
        <is>
          <t>Allmännings- och besparingsskogar</t>
        </is>
      </c>
      <c r="G67" t="n">
        <v>5.5</v>
      </c>
      <c r="H67" t="n">
        <v>0</v>
      </c>
      <c r="I67" t="n">
        <v>0</v>
      </c>
      <c r="J67" t="n">
        <v>1</v>
      </c>
      <c r="K67" t="n">
        <v>0</v>
      </c>
      <c r="L67" t="n">
        <v>0</v>
      </c>
      <c r="M67" t="n">
        <v>0</v>
      </c>
      <c r="N67" t="n">
        <v>0</v>
      </c>
      <c r="O67" t="n">
        <v>1</v>
      </c>
      <c r="P67" t="n">
        <v>0</v>
      </c>
      <c r="Q67" t="n">
        <v>1</v>
      </c>
      <c r="R67" s="2" t="inlineStr">
        <is>
          <t>Vanlig backsmörblomma</t>
        </is>
      </c>
      <c r="S67">
        <f>HYPERLINK("https://klasma.github.io/Logging_0580/artfynd/A 5984-2025 artfynd.xlsx", "A 5984-2025")</f>
        <v/>
      </c>
      <c r="T67">
        <f>HYPERLINK("https://klasma.github.io/Logging_0580/kartor/A 5984-2025 karta.png", "A 5984-2025")</f>
        <v/>
      </c>
      <c r="V67">
        <f>HYPERLINK("https://klasma.github.io/Logging_0580/klagomål/A 5984-2025 FSC-klagomål.docx", "A 5984-2025")</f>
        <v/>
      </c>
      <c r="W67">
        <f>HYPERLINK("https://klasma.github.io/Logging_0580/klagomålsmail/A 5984-2025 FSC-klagomål mail.docx", "A 5984-2025")</f>
        <v/>
      </c>
      <c r="X67">
        <f>HYPERLINK("https://klasma.github.io/Logging_0580/tillsyn/A 5984-2025 tillsynsbegäran.docx", "A 5984-2025")</f>
        <v/>
      </c>
      <c r="Y67">
        <f>HYPERLINK("https://klasma.github.io/Logging_0580/tillsynsmail/A 5984-2025 tillsynsbegäran mail.docx", "A 5984-2025")</f>
        <v/>
      </c>
    </row>
    <row r="68" ht="15" customHeight="1">
      <c r="A68" t="inlineStr">
        <is>
          <t>A 45317-2023</t>
        </is>
      </c>
      <c r="B68" s="1" t="n">
        <v>45191.74868055555</v>
      </c>
      <c r="C68" s="1" t="n">
        <v>45881</v>
      </c>
      <c r="D68" t="inlineStr">
        <is>
          <t>ÖSTERGÖTLANDS LÄN</t>
        </is>
      </c>
      <c r="E68" t="inlineStr">
        <is>
          <t>LINKÖPING</t>
        </is>
      </c>
      <c r="F68" t="inlineStr">
        <is>
          <t>Allmännings- och besparingsskogar</t>
        </is>
      </c>
      <c r="G68" t="n">
        <v>29.3</v>
      </c>
      <c r="H68" t="n">
        <v>0</v>
      </c>
      <c r="I68" t="n">
        <v>0</v>
      </c>
      <c r="J68" t="n">
        <v>1</v>
      </c>
      <c r="K68" t="n">
        <v>0</v>
      </c>
      <c r="L68" t="n">
        <v>0</v>
      </c>
      <c r="M68" t="n">
        <v>0</v>
      </c>
      <c r="N68" t="n">
        <v>0</v>
      </c>
      <c r="O68" t="n">
        <v>1</v>
      </c>
      <c r="P68" t="n">
        <v>0</v>
      </c>
      <c r="Q68" t="n">
        <v>1</v>
      </c>
      <c r="R68" s="2" t="inlineStr">
        <is>
          <t>Svinrot</t>
        </is>
      </c>
      <c r="S68">
        <f>HYPERLINK("https://klasma.github.io/Logging_0580/artfynd/A 45317-2023 artfynd.xlsx", "A 45317-2023")</f>
        <v/>
      </c>
      <c r="T68">
        <f>HYPERLINK("https://klasma.github.io/Logging_0580/kartor/A 45317-2023 karta.png", "A 45317-2023")</f>
        <v/>
      </c>
      <c r="V68">
        <f>HYPERLINK("https://klasma.github.io/Logging_0580/klagomål/A 45317-2023 FSC-klagomål.docx", "A 45317-2023")</f>
        <v/>
      </c>
      <c r="W68">
        <f>HYPERLINK("https://klasma.github.io/Logging_0580/klagomålsmail/A 45317-2023 FSC-klagomål mail.docx", "A 45317-2023")</f>
        <v/>
      </c>
      <c r="X68">
        <f>HYPERLINK("https://klasma.github.io/Logging_0580/tillsyn/A 45317-2023 tillsynsbegäran.docx", "A 45317-2023")</f>
        <v/>
      </c>
      <c r="Y68">
        <f>HYPERLINK("https://klasma.github.io/Logging_0580/tillsynsmail/A 45317-2023 tillsynsbegäran mail.docx", "A 45317-2023")</f>
        <v/>
      </c>
    </row>
    <row r="69" ht="15" customHeight="1">
      <c r="A69" t="inlineStr">
        <is>
          <t>A 20295-2025</t>
        </is>
      </c>
      <c r="B69" s="1" t="n">
        <v>45774.74846064814</v>
      </c>
      <c r="C69" s="1" t="n">
        <v>45881</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35948-2023</t>
        </is>
      </c>
      <c r="B70" s="1" t="n">
        <v>45148</v>
      </c>
      <c r="C70" s="1" t="n">
        <v>45881</v>
      </c>
      <c r="D70" t="inlineStr">
        <is>
          <t>ÖSTERGÖTLANDS LÄN</t>
        </is>
      </c>
      <c r="E70" t="inlineStr">
        <is>
          <t>LINKÖPING</t>
        </is>
      </c>
      <c r="G70" t="n">
        <v>1.9</v>
      </c>
      <c r="H70" t="n">
        <v>0</v>
      </c>
      <c r="I70" t="n">
        <v>1</v>
      </c>
      <c r="J70" t="n">
        <v>0</v>
      </c>
      <c r="K70" t="n">
        <v>0</v>
      </c>
      <c r="L70" t="n">
        <v>0</v>
      </c>
      <c r="M70" t="n">
        <v>0</v>
      </c>
      <c r="N70" t="n">
        <v>0</v>
      </c>
      <c r="O70" t="n">
        <v>0</v>
      </c>
      <c r="P70" t="n">
        <v>0</v>
      </c>
      <c r="Q70" t="n">
        <v>1</v>
      </c>
      <c r="R70" s="2" t="inlineStr">
        <is>
          <t>Brun nållav</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22526-2025</t>
        </is>
      </c>
      <c r="B71" s="1" t="n">
        <v>45786.78096064815</v>
      </c>
      <c r="C71" s="1" t="n">
        <v>45881</v>
      </c>
      <c r="D71" t="inlineStr">
        <is>
          <t>ÖSTERGÖTLANDS LÄN</t>
        </is>
      </c>
      <c r="E71" t="inlineStr">
        <is>
          <t>LINKÖPING</t>
        </is>
      </c>
      <c r="G71" t="n">
        <v>1.8</v>
      </c>
      <c r="H71" t="n">
        <v>1</v>
      </c>
      <c r="I71" t="n">
        <v>0</v>
      </c>
      <c r="J71" t="n">
        <v>1</v>
      </c>
      <c r="K71" t="n">
        <v>0</v>
      </c>
      <c r="L71" t="n">
        <v>0</v>
      </c>
      <c r="M71" t="n">
        <v>0</v>
      </c>
      <c r="N71" t="n">
        <v>0</v>
      </c>
      <c r="O71" t="n">
        <v>1</v>
      </c>
      <c r="P71" t="n">
        <v>0</v>
      </c>
      <c r="Q71" t="n">
        <v>1</v>
      </c>
      <c r="R71" s="2" t="inlineStr">
        <is>
          <t>Röd skogslilja</t>
        </is>
      </c>
      <c r="S71">
        <f>HYPERLINK("https://klasma.github.io/Logging_0580/artfynd/A 22526-2025 artfynd.xlsx", "A 22526-2025")</f>
        <v/>
      </c>
      <c r="T71">
        <f>HYPERLINK("https://klasma.github.io/Logging_0580/kartor/A 22526-2025 karta.png", "A 22526-2025")</f>
        <v/>
      </c>
      <c r="V71">
        <f>HYPERLINK("https://klasma.github.io/Logging_0580/klagomål/A 22526-2025 FSC-klagomål.docx", "A 22526-2025")</f>
        <v/>
      </c>
      <c r="W71">
        <f>HYPERLINK("https://klasma.github.io/Logging_0580/klagomålsmail/A 22526-2025 FSC-klagomål mail.docx", "A 22526-2025")</f>
        <v/>
      </c>
      <c r="X71">
        <f>HYPERLINK("https://klasma.github.io/Logging_0580/tillsyn/A 22526-2025 tillsynsbegäran.docx", "A 22526-2025")</f>
        <v/>
      </c>
      <c r="Y71">
        <f>HYPERLINK("https://klasma.github.io/Logging_0580/tillsynsmail/A 22526-2025 tillsynsbegäran mail.docx", "A 22526-2025")</f>
        <v/>
      </c>
    </row>
    <row r="72" ht="15" customHeight="1">
      <c r="A72" t="inlineStr">
        <is>
          <t>A 41749-2023</t>
        </is>
      </c>
      <c r="B72" s="1" t="n">
        <v>45176</v>
      </c>
      <c r="C72" s="1" t="n">
        <v>45881</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41749-2023 artfynd.xlsx", "A 41749-2023")</f>
        <v/>
      </c>
      <c r="T72">
        <f>HYPERLINK("https://klasma.github.io/Logging_0580/kartor/A 41749-2023 karta.png", "A 41749-2023")</f>
        <v/>
      </c>
      <c r="V72">
        <f>HYPERLINK("https://klasma.github.io/Logging_0580/klagomål/A 41749-2023 FSC-klagomål.docx", "A 41749-2023")</f>
        <v/>
      </c>
      <c r="W72">
        <f>HYPERLINK("https://klasma.github.io/Logging_0580/klagomålsmail/A 41749-2023 FSC-klagomål mail.docx", "A 41749-2023")</f>
        <v/>
      </c>
      <c r="X72">
        <f>HYPERLINK("https://klasma.github.io/Logging_0580/tillsyn/A 41749-2023 tillsynsbegäran.docx", "A 41749-2023")</f>
        <v/>
      </c>
      <c r="Y72">
        <f>HYPERLINK("https://klasma.github.io/Logging_0580/tillsynsmail/A 41749-2023 tillsynsbegäran mail.docx", "A 41749-2023")</f>
        <v/>
      </c>
    </row>
    <row r="73" ht="15" customHeight="1">
      <c r="A73" t="inlineStr">
        <is>
          <t>A 13694-2025</t>
        </is>
      </c>
      <c r="B73" s="1" t="n">
        <v>45737.32148148148</v>
      </c>
      <c r="C73" s="1" t="n">
        <v>45881</v>
      </c>
      <c r="D73" t="inlineStr">
        <is>
          <t>ÖSTERGÖTLANDS LÄN</t>
        </is>
      </c>
      <c r="E73" t="inlineStr">
        <is>
          <t>LINKÖPING</t>
        </is>
      </c>
      <c r="G73" t="n">
        <v>9.300000000000001</v>
      </c>
      <c r="H73" t="n">
        <v>1</v>
      </c>
      <c r="I73" t="n">
        <v>0</v>
      </c>
      <c r="J73" t="n">
        <v>0</v>
      </c>
      <c r="K73" t="n">
        <v>0</v>
      </c>
      <c r="L73" t="n">
        <v>0</v>
      </c>
      <c r="M73" t="n">
        <v>0</v>
      </c>
      <c r="N73" t="n">
        <v>0</v>
      </c>
      <c r="O73" t="n">
        <v>0</v>
      </c>
      <c r="P73" t="n">
        <v>0</v>
      </c>
      <c r="Q73" t="n">
        <v>1</v>
      </c>
      <c r="R73" s="2" t="inlineStr">
        <is>
          <t>Mattlummer</t>
        </is>
      </c>
      <c r="S73">
        <f>HYPERLINK("https://klasma.github.io/Logging_0580/artfynd/A 13694-2025 artfynd.xlsx", "A 13694-2025")</f>
        <v/>
      </c>
      <c r="T73">
        <f>HYPERLINK("https://klasma.github.io/Logging_0580/kartor/A 13694-2025 karta.png", "A 13694-2025")</f>
        <v/>
      </c>
      <c r="V73">
        <f>HYPERLINK("https://klasma.github.io/Logging_0580/klagomål/A 13694-2025 FSC-klagomål.docx", "A 13694-2025")</f>
        <v/>
      </c>
      <c r="W73">
        <f>HYPERLINK("https://klasma.github.io/Logging_0580/klagomålsmail/A 13694-2025 FSC-klagomål mail.docx", "A 13694-2025")</f>
        <v/>
      </c>
      <c r="X73">
        <f>HYPERLINK("https://klasma.github.io/Logging_0580/tillsyn/A 13694-2025 tillsynsbegäran.docx", "A 13694-2025")</f>
        <v/>
      </c>
      <c r="Y73">
        <f>HYPERLINK("https://klasma.github.io/Logging_0580/tillsynsmail/A 13694-2025 tillsynsbegäran mail.docx", "A 13694-2025")</f>
        <v/>
      </c>
    </row>
    <row r="74" ht="15" customHeight="1">
      <c r="A74" t="inlineStr">
        <is>
          <t>A 56651-2023</t>
        </is>
      </c>
      <c r="B74" s="1" t="n">
        <v>45243</v>
      </c>
      <c r="C74" s="1" t="n">
        <v>45881</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27403-2025</t>
        </is>
      </c>
      <c r="B75" s="1" t="n">
        <v>45812.72518518518</v>
      </c>
      <c r="C75" s="1" t="n">
        <v>45881</v>
      </c>
      <c r="D75" t="inlineStr">
        <is>
          <t>ÖSTERGÖTLANDS LÄN</t>
        </is>
      </c>
      <c r="E75" t="inlineStr">
        <is>
          <t>LINKÖPING</t>
        </is>
      </c>
      <c r="G75" t="n">
        <v>1.4</v>
      </c>
      <c r="H75" t="n">
        <v>0</v>
      </c>
      <c r="I75" t="n">
        <v>0</v>
      </c>
      <c r="J75" t="n">
        <v>1</v>
      </c>
      <c r="K75" t="n">
        <v>0</v>
      </c>
      <c r="L75" t="n">
        <v>0</v>
      </c>
      <c r="M75" t="n">
        <v>0</v>
      </c>
      <c r="N75" t="n">
        <v>0</v>
      </c>
      <c r="O75" t="n">
        <v>1</v>
      </c>
      <c r="P75" t="n">
        <v>0</v>
      </c>
      <c r="Q75" t="n">
        <v>1</v>
      </c>
      <c r="R75" s="2" t="inlineStr">
        <is>
          <t>Tallticka</t>
        </is>
      </c>
      <c r="S75">
        <f>HYPERLINK("https://klasma.github.io/Logging_0580/artfynd/A 27403-2025 artfynd.xlsx", "A 27403-2025")</f>
        <v/>
      </c>
      <c r="T75">
        <f>HYPERLINK("https://klasma.github.io/Logging_0580/kartor/A 27403-2025 karta.png", "A 27403-2025")</f>
        <v/>
      </c>
      <c r="V75">
        <f>HYPERLINK("https://klasma.github.io/Logging_0580/klagomål/A 27403-2025 FSC-klagomål.docx", "A 27403-2025")</f>
        <v/>
      </c>
      <c r="W75">
        <f>HYPERLINK("https://klasma.github.io/Logging_0580/klagomålsmail/A 27403-2025 FSC-klagomål mail.docx", "A 27403-2025")</f>
        <v/>
      </c>
      <c r="X75">
        <f>HYPERLINK("https://klasma.github.io/Logging_0580/tillsyn/A 27403-2025 tillsynsbegäran.docx", "A 27403-2025")</f>
        <v/>
      </c>
      <c r="Y75">
        <f>HYPERLINK("https://klasma.github.io/Logging_0580/tillsynsmail/A 27403-2025 tillsynsbegäran mail.docx", "A 27403-2025")</f>
        <v/>
      </c>
    </row>
    <row r="76" ht="15" customHeight="1">
      <c r="A76" t="inlineStr">
        <is>
          <t>A 62071-2023</t>
        </is>
      </c>
      <c r="B76" s="1" t="n">
        <v>45266.73542824074</v>
      </c>
      <c r="C76" s="1" t="n">
        <v>45881</v>
      </c>
      <c r="D76" t="inlineStr">
        <is>
          <t>ÖSTERGÖTLANDS LÄN</t>
        </is>
      </c>
      <c r="E76" t="inlineStr">
        <is>
          <t>LINKÖPING</t>
        </is>
      </c>
      <c r="G76" t="n">
        <v>6.5</v>
      </c>
      <c r="H76" t="n">
        <v>0</v>
      </c>
      <c r="I76" t="n">
        <v>0</v>
      </c>
      <c r="J76" t="n">
        <v>1</v>
      </c>
      <c r="K76" t="n">
        <v>0</v>
      </c>
      <c r="L76" t="n">
        <v>0</v>
      </c>
      <c r="M76" t="n">
        <v>0</v>
      </c>
      <c r="N76" t="n">
        <v>0</v>
      </c>
      <c r="O76" t="n">
        <v>1</v>
      </c>
      <c r="P76" t="n">
        <v>0</v>
      </c>
      <c r="Q76" t="n">
        <v>1</v>
      </c>
      <c r="R76" s="2" t="inlineStr">
        <is>
          <t>Svinrot</t>
        </is>
      </c>
      <c r="S76">
        <f>HYPERLINK("https://klasma.github.io/Logging_0580/artfynd/A 62071-2023 artfynd.xlsx", "A 62071-2023")</f>
        <v/>
      </c>
      <c r="T76">
        <f>HYPERLINK("https://klasma.github.io/Logging_0580/kartor/A 62071-2023 karta.png", "A 62071-2023")</f>
        <v/>
      </c>
      <c r="V76">
        <f>HYPERLINK("https://klasma.github.io/Logging_0580/klagomål/A 62071-2023 FSC-klagomål.docx", "A 62071-2023")</f>
        <v/>
      </c>
      <c r="W76">
        <f>HYPERLINK("https://klasma.github.io/Logging_0580/klagomålsmail/A 62071-2023 FSC-klagomål mail.docx", "A 62071-2023")</f>
        <v/>
      </c>
      <c r="X76">
        <f>HYPERLINK("https://klasma.github.io/Logging_0580/tillsyn/A 62071-2023 tillsynsbegäran.docx", "A 62071-2023")</f>
        <v/>
      </c>
      <c r="Y76">
        <f>HYPERLINK("https://klasma.github.io/Logging_0580/tillsynsmail/A 62071-2023 tillsynsbegäran mail.docx", "A 62071-2023")</f>
        <v/>
      </c>
    </row>
    <row r="77" ht="15" customHeight="1">
      <c r="A77" t="inlineStr">
        <is>
          <t>A 90-2024</t>
        </is>
      </c>
      <c r="B77" s="1" t="n">
        <v>45293</v>
      </c>
      <c r="C77" s="1" t="n">
        <v>45881</v>
      </c>
      <c r="D77" t="inlineStr">
        <is>
          <t>ÖSTERGÖTLANDS LÄN</t>
        </is>
      </c>
      <c r="E77" t="inlineStr">
        <is>
          <t>LINKÖPING</t>
        </is>
      </c>
      <c r="G77" t="n">
        <v>1.8</v>
      </c>
      <c r="H77" t="n">
        <v>0</v>
      </c>
      <c r="I77" t="n">
        <v>1</v>
      </c>
      <c r="J77" t="n">
        <v>0</v>
      </c>
      <c r="K77" t="n">
        <v>0</v>
      </c>
      <c r="L77" t="n">
        <v>0</v>
      </c>
      <c r="M77" t="n">
        <v>0</v>
      </c>
      <c r="N77" t="n">
        <v>0</v>
      </c>
      <c r="O77" t="n">
        <v>0</v>
      </c>
      <c r="P77" t="n">
        <v>0</v>
      </c>
      <c r="Q77" t="n">
        <v>1</v>
      </c>
      <c r="R77" s="2" t="inlineStr">
        <is>
          <t>Grov fjädermossa</t>
        </is>
      </c>
      <c r="S77">
        <f>HYPERLINK("https://klasma.github.io/Logging_0580/artfynd/A 90-2024 artfynd.xlsx", "A 90-2024")</f>
        <v/>
      </c>
      <c r="T77">
        <f>HYPERLINK("https://klasma.github.io/Logging_0580/kartor/A 90-2024 karta.png", "A 90-2024")</f>
        <v/>
      </c>
      <c r="V77">
        <f>HYPERLINK("https://klasma.github.io/Logging_0580/klagomål/A 90-2024 FSC-klagomål.docx", "A 90-2024")</f>
        <v/>
      </c>
      <c r="W77">
        <f>HYPERLINK("https://klasma.github.io/Logging_0580/klagomålsmail/A 90-2024 FSC-klagomål mail.docx", "A 90-2024")</f>
        <v/>
      </c>
      <c r="X77">
        <f>HYPERLINK("https://klasma.github.io/Logging_0580/tillsyn/A 90-2024 tillsynsbegäran.docx", "A 90-2024")</f>
        <v/>
      </c>
      <c r="Y77">
        <f>HYPERLINK("https://klasma.github.io/Logging_0580/tillsynsmail/A 90-2024 tillsynsbegäran mail.docx", "A 90-2024")</f>
        <v/>
      </c>
    </row>
    <row r="78" ht="15" customHeight="1">
      <c r="A78" t="inlineStr">
        <is>
          <t>A 17444-2025</t>
        </is>
      </c>
      <c r="B78" s="1" t="n">
        <v>45757.43452546297</v>
      </c>
      <c r="C78" s="1" t="n">
        <v>45881</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40309-2024</t>
        </is>
      </c>
      <c r="B79" s="1" t="n">
        <v>45554.724375</v>
      </c>
      <c r="C79" s="1" t="n">
        <v>45881</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43726-2020</t>
        </is>
      </c>
      <c r="B80" s="1" t="n">
        <v>44082</v>
      </c>
      <c r="C80" s="1" t="n">
        <v>45881</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43339-2020</t>
        </is>
      </c>
      <c r="B81" s="1" t="n">
        <v>44077</v>
      </c>
      <c r="C81" s="1" t="n">
        <v>45881</v>
      </c>
      <c r="D81" t="inlineStr">
        <is>
          <t>ÖSTERGÖTLANDS LÄN</t>
        </is>
      </c>
      <c r="E81" t="inlineStr">
        <is>
          <t>LINKÖPING</t>
        </is>
      </c>
      <c r="G81" t="n">
        <v>4.2</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45881</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45881</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45881</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45881</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45881</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45881</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45881</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45881</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45881</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45881</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45881</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45881</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45881</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45881</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45881</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45881</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45881</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46234-2022</t>
        </is>
      </c>
      <c r="B99" s="1" t="n">
        <v>44846</v>
      </c>
      <c r="C99" s="1" t="n">
        <v>45881</v>
      </c>
      <c r="D99" t="inlineStr">
        <is>
          <t>ÖSTERGÖTLANDS LÄN</t>
        </is>
      </c>
      <c r="E99" t="inlineStr">
        <is>
          <t>LINKÖPING</t>
        </is>
      </c>
      <c r="G99" t="n">
        <v>3.3</v>
      </c>
      <c r="H99" t="n">
        <v>0</v>
      </c>
      <c r="I99" t="n">
        <v>0</v>
      </c>
      <c r="J99" t="n">
        <v>0</v>
      </c>
      <c r="K99" t="n">
        <v>0</v>
      </c>
      <c r="L99" t="n">
        <v>0</v>
      </c>
      <c r="M99" t="n">
        <v>0</v>
      </c>
      <c r="N99" t="n">
        <v>0</v>
      </c>
      <c r="O99" t="n">
        <v>0</v>
      </c>
      <c r="P99" t="n">
        <v>0</v>
      </c>
      <c r="Q99" t="n">
        <v>0</v>
      </c>
      <c r="R99" s="2" t="inlineStr"/>
    </row>
    <row r="100" ht="15" customHeight="1">
      <c r="A100" t="inlineStr">
        <is>
          <t>A 1581-2022</t>
        </is>
      </c>
      <c r="B100" s="1" t="n">
        <v>44573</v>
      </c>
      <c r="C100" s="1" t="n">
        <v>45881</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45881</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45881</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45881</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45881</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45881</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45881</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45881</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45881</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45881</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45881</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45881</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45881</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45881</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45881</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44674-2020</t>
        </is>
      </c>
      <c r="B116" s="1" t="n">
        <v>44085</v>
      </c>
      <c r="C116" s="1" t="n">
        <v>45881</v>
      </c>
      <c r="D116" t="inlineStr">
        <is>
          <t>ÖSTERGÖTLANDS LÄN</t>
        </is>
      </c>
      <c r="E116" t="inlineStr">
        <is>
          <t>LINKÖPING</t>
        </is>
      </c>
      <c r="G116" t="n">
        <v>3.6</v>
      </c>
      <c r="H116" t="n">
        <v>0</v>
      </c>
      <c r="I116" t="n">
        <v>0</v>
      </c>
      <c r="J116" t="n">
        <v>0</v>
      </c>
      <c r="K116" t="n">
        <v>0</v>
      </c>
      <c r="L116" t="n">
        <v>0</v>
      </c>
      <c r="M116" t="n">
        <v>0</v>
      </c>
      <c r="N116" t="n">
        <v>0</v>
      </c>
      <c r="O116" t="n">
        <v>0</v>
      </c>
      <c r="P116" t="n">
        <v>0</v>
      </c>
      <c r="Q116" t="n">
        <v>0</v>
      </c>
      <c r="R116" s="2" t="inlineStr"/>
    </row>
    <row r="117" ht="15" customHeight="1">
      <c r="A117" t="inlineStr">
        <is>
          <t>A 32000-2022</t>
        </is>
      </c>
      <c r="B117" s="1" t="n">
        <v>44777</v>
      </c>
      <c r="C117" s="1" t="n">
        <v>45881</v>
      </c>
      <c r="D117" t="inlineStr">
        <is>
          <t>ÖSTERGÖTLANDS LÄN</t>
        </is>
      </c>
      <c r="E117" t="inlineStr">
        <is>
          <t>LINKÖPING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45881</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45881</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45881</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45881</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45881</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45881</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45881</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45881</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45881</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45881</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45881</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45881</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45881</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45881</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45881</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45881</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45881</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45881</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45881</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45881</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45881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45881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45881</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45881</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38134-2021</t>
        </is>
      </c>
      <c r="B149" s="1" t="n">
        <v>44405.3794212963</v>
      </c>
      <c r="C149" s="1" t="n">
        <v>45881</v>
      </c>
      <c r="D149" t="inlineStr">
        <is>
          <t>ÖSTERGÖTLANDS LÄN</t>
        </is>
      </c>
      <c r="E149" t="inlineStr">
        <is>
          <t>LINKÖPING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45881</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4929-2021</t>
        </is>
      </c>
      <c r="B151" s="1" t="n">
        <v>44227.57533564815</v>
      </c>
      <c r="C151" s="1" t="n">
        <v>45881</v>
      </c>
      <c r="D151" t="inlineStr">
        <is>
          <t>ÖSTERGÖTLANDS LÄN</t>
        </is>
      </c>
      <c r="E151" t="inlineStr">
        <is>
          <t>LINKÖPING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44849-2022</t>
        </is>
      </c>
      <c r="B152" s="1" t="n">
        <v>44841</v>
      </c>
      <c r="C152" s="1" t="n">
        <v>45881</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70835-2021</t>
        </is>
      </c>
      <c r="B153" s="1" t="n">
        <v>44537</v>
      </c>
      <c r="C153" s="1" t="n">
        <v>45881</v>
      </c>
      <c r="D153" t="inlineStr">
        <is>
          <t>ÖSTERGÖTLANDS LÄN</t>
        </is>
      </c>
      <c r="E153" t="inlineStr">
        <is>
          <t>LINKÖPING</t>
        </is>
      </c>
      <c r="G153" t="n">
        <v>2.3</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45881</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45881</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46969-2020</t>
        </is>
      </c>
      <c r="B156" s="1" t="n">
        <v>44090</v>
      </c>
      <c r="C156" s="1" t="n">
        <v>45881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46975-2020</t>
        </is>
      </c>
      <c r="B157" s="1" t="n">
        <v>44090</v>
      </c>
      <c r="C157" s="1" t="n">
        <v>45881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37928-2020</t>
        </is>
      </c>
      <c r="B158" s="1" t="n">
        <v>44057</v>
      </c>
      <c r="C158" s="1" t="n">
        <v>45881</v>
      </c>
      <c r="D158" t="inlineStr">
        <is>
          <t>ÖSTERGÖTLANDS LÄN</t>
        </is>
      </c>
      <c r="E158" t="inlineStr">
        <is>
          <t>LINKÖPING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54854-2022</t>
        </is>
      </c>
      <c r="B159" s="1" t="n">
        <v>44884</v>
      </c>
      <c r="C159" s="1" t="n">
        <v>45881</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54855-2022</t>
        </is>
      </c>
      <c r="B160" s="1" t="n">
        <v>44884.59502314815</v>
      </c>
      <c r="C160" s="1" t="n">
        <v>45881</v>
      </c>
      <c r="D160" t="inlineStr">
        <is>
          <t>ÖSTERGÖTLANDS LÄN</t>
        </is>
      </c>
      <c r="E160" t="inlineStr">
        <is>
          <t>LINKÖPING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33891-2021</t>
        </is>
      </c>
      <c r="B161" s="1" t="n">
        <v>44378</v>
      </c>
      <c r="C161" s="1" t="n">
        <v>45881</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19254-2021</t>
        </is>
      </c>
      <c r="B162" s="1" t="n">
        <v>44309.38962962963</v>
      </c>
      <c r="C162" s="1" t="n">
        <v>45881</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60129-2020</t>
        </is>
      </c>
      <c r="B163" s="1" t="n">
        <v>44152</v>
      </c>
      <c r="C163" s="1" t="n">
        <v>45881</v>
      </c>
      <c r="D163" t="inlineStr">
        <is>
          <t>ÖSTERGÖTLANDS LÄN</t>
        </is>
      </c>
      <c r="E163" t="inlineStr">
        <is>
          <t>LINKÖPING</t>
        </is>
      </c>
      <c r="F163" t="inlineStr">
        <is>
          <t>Övriga statliga verk och myndigheter</t>
        </is>
      </c>
      <c r="G163" t="n">
        <v>2.5</v>
      </c>
      <c r="H163" t="n">
        <v>0</v>
      </c>
      <c r="I163" t="n">
        <v>0</v>
      </c>
      <c r="J163" t="n">
        <v>0</v>
      </c>
      <c r="K163" t="n">
        <v>0</v>
      </c>
      <c r="L163" t="n">
        <v>0</v>
      </c>
      <c r="M163" t="n">
        <v>0</v>
      </c>
      <c r="N163" t="n">
        <v>0</v>
      </c>
      <c r="O163" t="n">
        <v>0</v>
      </c>
      <c r="P163" t="n">
        <v>0</v>
      </c>
      <c r="Q163" t="n">
        <v>0</v>
      </c>
      <c r="R163" s="2" t="inlineStr"/>
    </row>
    <row r="164" ht="15" customHeight="1">
      <c r="A164" t="inlineStr">
        <is>
          <t>A 11079-2022</t>
        </is>
      </c>
      <c r="B164" s="1" t="n">
        <v>44628</v>
      </c>
      <c r="C164" s="1" t="n">
        <v>45881</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20901-2021</t>
        </is>
      </c>
      <c r="B165" s="1" t="n">
        <v>44319</v>
      </c>
      <c r="C165" s="1" t="n">
        <v>45881</v>
      </c>
      <c r="D165" t="inlineStr">
        <is>
          <t>ÖSTERGÖTLANDS LÄN</t>
        </is>
      </c>
      <c r="E165" t="inlineStr">
        <is>
          <t>LINKÖPING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31732-2022</t>
        </is>
      </c>
      <c r="B166" s="1" t="n">
        <v>44776.49267361111</v>
      </c>
      <c r="C166" s="1" t="n">
        <v>45881</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58266-2021</t>
        </is>
      </c>
      <c r="B167" s="1" t="n">
        <v>44487</v>
      </c>
      <c r="C167" s="1" t="n">
        <v>45881</v>
      </c>
      <c r="D167" t="inlineStr">
        <is>
          <t>ÖSTERGÖTLANDS LÄN</t>
        </is>
      </c>
      <c r="E167" t="inlineStr">
        <is>
          <t>LINKÖPING</t>
        </is>
      </c>
      <c r="F167" t="inlineStr">
        <is>
          <t>Övriga Aktiebolag</t>
        </is>
      </c>
      <c r="G167" t="n">
        <v>3.2</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45881</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28447-2021</t>
        </is>
      </c>
      <c r="B169" s="1" t="n">
        <v>44356</v>
      </c>
      <c r="C169" s="1" t="n">
        <v>45881</v>
      </c>
      <c r="D169" t="inlineStr">
        <is>
          <t>ÖSTERGÖTLANDS LÄN</t>
        </is>
      </c>
      <c r="E169" t="inlineStr">
        <is>
          <t>LINKÖPING</t>
        </is>
      </c>
      <c r="G169" t="n">
        <v>2</v>
      </c>
      <c r="H169" t="n">
        <v>0</v>
      </c>
      <c r="I169" t="n">
        <v>0</v>
      </c>
      <c r="J169" t="n">
        <v>0</v>
      </c>
      <c r="K169" t="n">
        <v>0</v>
      </c>
      <c r="L169" t="n">
        <v>0</v>
      </c>
      <c r="M169" t="n">
        <v>0</v>
      </c>
      <c r="N169" t="n">
        <v>0</v>
      </c>
      <c r="O169" t="n">
        <v>0</v>
      </c>
      <c r="P169" t="n">
        <v>0</v>
      </c>
      <c r="Q169" t="n">
        <v>0</v>
      </c>
      <c r="R169" s="2" t="inlineStr"/>
    </row>
    <row r="170" ht="15" customHeight="1">
      <c r="A170" t="inlineStr">
        <is>
          <t>A 61153-2021</t>
        </is>
      </c>
      <c r="B170" s="1" t="n">
        <v>44497</v>
      </c>
      <c r="C170" s="1" t="n">
        <v>45881</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9935-2021</t>
        </is>
      </c>
      <c r="B171" s="1" t="n">
        <v>44253</v>
      </c>
      <c r="C171" s="1" t="n">
        <v>45881</v>
      </c>
      <c r="D171" t="inlineStr">
        <is>
          <t>ÖSTERGÖTLANDS LÄN</t>
        </is>
      </c>
      <c r="E171" t="inlineStr">
        <is>
          <t>LINKÖPING</t>
        </is>
      </c>
      <c r="G171" t="n">
        <v>4.5</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45881</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65398-2021</t>
        </is>
      </c>
      <c r="B173" s="1" t="n">
        <v>44515</v>
      </c>
      <c r="C173" s="1" t="n">
        <v>45881</v>
      </c>
      <c r="D173" t="inlineStr">
        <is>
          <t>ÖSTERGÖTLANDS LÄN</t>
        </is>
      </c>
      <c r="E173" t="inlineStr">
        <is>
          <t>LINKÖPING</t>
        </is>
      </c>
      <c r="F173" t="inlineStr">
        <is>
          <t>Övriga statliga verk och myndigheter</t>
        </is>
      </c>
      <c r="G173" t="n">
        <v>2.4</v>
      </c>
      <c r="H173" t="n">
        <v>0</v>
      </c>
      <c r="I173" t="n">
        <v>0</v>
      </c>
      <c r="J173" t="n">
        <v>0</v>
      </c>
      <c r="K173" t="n">
        <v>0</v>
      </c>
      <c r="L173" t="n">
        <v>0</v>
      </c>
      <c r="M173" t="n">
        <v>0</v>
      </c>
      <c r="N173" t="n">
        <v>0</v>
      </c>
      <c r="O173" t="n">
        <v>0</v>
      </c>
      <c r="P173" t="n">
        <v>0</v>
      </c>
      <c r="Q173" t="n">
        <v>0</v>
      </c>
      <c r="R173" s="2" t="inlineStr"/>
    </row>
    <row r="174" ht="15" customHeight="1">
      <c r="A174" t="inlineStr">
        <is>
          <t>A 33885-2021</t>
        </is>
      </c>
      <c r="B174" s="1" t="n">
        <v>44378</v>
      </c>
      <c r="C174" s="1" t="n">
        <v>45881</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31705-2022</t>
        </is>
      </c>
      <c r="B175" s="1" t="n">
        <v>44776.43607638889</v>
      </c>
      <c r="C175" s="1" t="n">
        <v>45881</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12413-2022</t>
        </is>
      </c>
      <c r="B176" s="1" t="n">
        <v>44638</v>
      </c>
      <c r="C176" s="1" t="n">
        <v>45881</v>
      </c>
      <c r="D176" t="inlineStr">
        <is>
          <t>ÖSTERGÖTLANDS LÄN</t>
        </is>
      </c>
      <c r="E176" t="inlineStr">
        <is>
          <t>LINKÖPING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45881</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45881</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19318-2022</t>
        </is>
      </c>
      <c r="B179" s="1" t="n">
        <v>44692.5827662037</v>
      </c>
      <c r="C179" s="1" t="n">
        <v>45881</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33881-2021</t>
        </is>
      </c>
      <c r="B180" s="1" t="n">
        <v>44378</v>
      </c>
      <c r="C180" s="1" t="n">
        <v>45881</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41650-2020</t>
        </is>
      </c>
      <c r="B181" s="1" t="n">
        <v>44074</v>
      </c>
      <c r="C181" s="1" t="n">
        <v>45881</v>
      </c>
      <c r="D181" t="inlineStr">
        <is>
          <t>ÖSTERGÖTLANDS LÄN</t>
        </is>
      </c>
      <c r="E181" t="inlineStr">
        <is>
          <t>LINKÖPING</t>
        </is>
      </c>
      <c r="F181" t="inlineStr">
        <is>
          <t>Allmännings- och besparingsskogar</t>
        </is>
      </c>
      <c r="G181" t="n">
        <v>1.6</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45881</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10951-2022</t>
        </is>
      </c>
      <c r="B183" s="1" t="n">
        <v>44627</v>
      </c>
      <c r="C183" s="1" t="n">
        <v>45881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41426-2022</t>
        </is>
      </c>
      <c r="B184" s="1" t="n">
        <v>44826</v>
      </c>
      <c r="C184" s="1" t="n">
        <v>45881</v>
      </c>
      <c r="D184" t="inlineStr">
        <is>
          <t>ÖSTERGÖTLANDS LÄN</t>
        </is>
      </c>
      <c r="E184" t="inlineStr">
        <is>
          <t>LINKÖPING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33134-2022</t>
        </is>
      </c>
      <c r="B185" s="1" t="n">
        <v>44785</v>
      </c>
      <c r="C185" s="1" t="n">
        <v>45881</v>
      </c>
      <c r="D185" t="inlineStr">
        <is>
          <t>ÖSTERGÖTLANDS LÄN</t>
        </is>
      </c>
      <c r="E185" t="inlineStr">
        <is>
          <t>LINKÖPING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34162-2022</t>
        </is>
      </c>
      <c r="B186" s="1" t="n">
        <v>44791</v>
      </c>
      <c r="C186" s="1" t="n">
        <v>45881</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61298-2021</t>
        </is>
      </c>
      <c r="B187" s="1" t="n">
        <v>44498.62533564815</v>
      </c>
      <c r="C187" s="1" t="n">
        <v>45881</v>
      </c>
      <c r="D187" t="inlineStr">
        <is>
          <t>ÖSTERGÖTLANDS LÄN</t>
        </is>
      </c>
      <c r="E187" t="inlineStr">
        <is>
          <t>LINKÖPING</t>
        </is>
      </c>
      <c r="G187" t="n">
        <v>4.3</v>
      </c>
      <c r="H187" t="n">
        <v>0</v>
      </c>
      <c r="I187" t="n">
        <v>0</v>
      </c>
      <c r="J187" t="n">
        <v>0</v>
      </c>
      <c r="K187" t="n">
        <v>0</v>
      </c>
      <c r="L187" t="n">
        <v>0</v>
      </c>
      <c r="M187" t="n">
        <v>0</v>
      </c>
      <c r="N187" t="n">
        <v>0</v>
      </c>
      <c r="O187" t="n">
        <v>0</v>
      </c>
      <c r="P187" t="n">
        <v>0</v>
      </c>
      <c r="Q187" t="n">
        <v>0</v>
      </c>
      <c r="R187" s="2" t="inlineStr"/>
    </row>
    <row r="188" ht="15" customHeight="1">
      <c r="A188" t="inlineStr">
        <is>
          <t>A 61333-2021</t>
        </is>
      </c>
      <c r="B188" s="1" t="n">
        <v>44498.6764699074</v>
      </c>
      <c r="C188" s="1" t="n">
        <v>45881</v>
      </c>
      <c r="D188" t="inlineStr">
        <is>
          <t>ÖSTERGÖTLANDS LÄN</t>
        </is>
      </c>
      <c r="E188" t="inlineStr">
        <is>
          <t>LINKÖPING</t>
        </is>
      </c>
      <c r="G188" t="n">
        <v>7.5</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45881</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45881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13075-2022</t>
        </is>
      </c>
      <c r="B191" s="1" t="n">
        <v>44643</v>
      </c>
      <c r="C191" s="1" t="n">
        <v>45881</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36341-2022</t>
        </is>
      </c>
      <c r="B192" s="1" t="n">
        <v>44803</v>
      </c>
      <c r="C192" s="1" t="n">
        <v>45881</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4240-2022</t>
        </is>
      </c>
      <c r="B193" s="1" t="n">
        <v>44588</v>
      </c>
      <c r="C193" s="1" t="n">
        <v>45881</v>
      </c>
      <c r="D193" t="inlineStr">
        <is>
          <t>ÖSTERGÖTLANDS LÄN</t>
        </is>
      </c>
      <c r="E193" t="inlineStr">
        <is>
          <t>LINKÖPING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23416-2022</t>
        </is>
      </c>
      <c r="B194" s="1" t="n">
        <v>44720.78243055556</v>
      </c>
      <c r="C194" s="1" t="n">
        <v>45881</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46803-2020</t>
        </is>
      </c>
      <c r="B195" s="1" t="n">
        <v>44089</v>
      </c>
      <c r="C195" s="1" t="n">
        <v>45881</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5605-2022</t>
        </is>
      </c>
      <c r="B196" s="1" t="n">
        <v>44595</v>
      </c>
      <c r="C196" s="1" t="n">
        <v>45881</v>
      </c>
      <c r="D196" t="inlineStr">
        <is>
          <t>ÖSTERGÖTLANDS LÄN</t>
        </is>
      </c>
      <c r="E196" t="inlineStr">
        <is>
          <t>LINKÖPING</t>
        </is>
      </c>
      <c r="F196" t="inlineStr">
        <is>
          <t>Övriga statliga verk och myndigheter</t>
        </is>
      </c>
      <c r="G196" t="n">
        <v>3</v>
      </c>
      <c r="H196" t="n">
        <v>0</v>
      </c>
      <c r="I196" t="n">
        <v>0</v>
      </c>
      <c r="J196" t="n">
        <v>0</v>
      </c>
      <c r="K196" t="n">
        <v>0</v>
      </c>
      <c r="L196" t="n">
        <v>0</v>
      </c>
      <c r="M196" t="n">
        <v>0</v>
      </c>
      <c r="N196" t="n">
        <v>0</v>
      </c>
      <c r="O196" t="n">
        <v>0</v>
      </c>
      <c r="P196" t="n">
        <v>0</v>
      </c>
      <c r="Q196" t="n">
        <v>0</v>
      </c>
      <c r="R196" s="2" t="inlineStr"/>
    </row>
    <row r="197" ht="15" customHeight="1">
      <c r="A197" t="inlineStr">
        <is>
          <t>A 46891-2021</t>
        </is>
      </c>
      <c r="B197" s="1" t="n">
        <v>44446.44587962963</v>
      </c>
      <c r="C197" s="1" t="n">
        <v>45881</v>
      </c>
      <c r="D197" t="inlineStr">
        <is>
          <t>ÖSTERGÖTLANDS LÄN</t>
        </is>
      </c>
      <c r="E197" t="inlineStr">
        <is>
          <t>LINKÖPING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51912-2020</t>
        </is>
      </c>
      <c r="B198" s="1" t="n">
        <v>44116</v>
      </c>
      <c r="C198" s="1" t="n">
        <v>45881</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56688-2021</t>
        </is>
      </c>
      <c r="B199" s="1" t="n">
        <v>44481</v>
      </c>
      <c r="C199" s="1" t="n">
        <v>45881</v>
      </c>
      <c r="D199" t="inlineStr">
        <is>
          <t>ÖSTERGÖTLANDS LÄN</t>
        </is>
      </c>
      <c r="E199" t="inlineStr">
        <is>
          <t>LINKÖPING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27769-2022</t>
        </is>
      </c>
      <c r="B200" s="1" t="n">
        <v>44743.53200231482</v>
      </c>
      <c r="C200" s="1" t="n">
        <v>45881</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41514-2020</t>
        </is>
      </c>
      <c r="B201" s="1" t="n">
        <v>44074</v>
      </c>
      <c r="C201" s="1" t="n">
        <v>45881</v>
      </c>
      <c r="D201" t="inlineStr">
        <is>
          <t>ÖSTERGÖTLANDS LÄN</t>
        </is>
      </c>
      <c r="E201" t="inlineStr">
        <is>
          <t>LINKÖPING</t>
        </is>
      </c>
      <c r="F201" t="inlineStr">
        <is>
          <t>Allmännings- och besparingsskogar</t>
        </is>
      </c>
      <c r="G201" t="n">
        <v>5.2</v>
      </c>
      <c r="H201" t="n">
        <v>0</v>
      </c>
      <c r="I201" t="n">
        <v>0</v>
      </c>
      <c r="J201" t="n">
        <v>0</v>
      </c>
      <c r="K201" t="n">
        <v>0</v>
      </c>
      <c r="L201" t="n">
        <v>0</v>
      </c>
      <c r="M201" t="n">
        <v>0</v>
      </c>
      <c r="N201" t="n">
        <v>0</v>
      </c>
      <c r="O201" t="n">
        <v>0</v>
      </c>
      <c r="P201" t="n">
        <v>0</v>
      </c>
      <c r="Q201" t="n">
        <v>0</v>
      </c>
      <c r="R201" s="2" t="inlineStr"/>
    </row>
    <row r="202" ht="15" customHeight="1">
      <c r="A202" t="inlineStr">
        <is>
          <t>A 38235-2022</t>
        </is>
      </c>
      <c r="B202" s="1" t="n">
        <v>44812</v>
      </c>
      <c r="C202" s="1" t="n">
        <v>45881</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27666-2022</t>
        </is>
      </c>
      <c r="B203" s="1" t="n">
        <v>44743.39017361111</v>
      </c>
      <c r="C203" s="1" t="n">
        <v>45881</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19183-2021</t>
        </is>
      </c>
      <c r="B204" s="1" t="n">
        <v>44308.73248842593</v>
      </c>
      <c r="C204" s="1" t="n">
        <v>45881</v>
      </c>
      <c r="D204" t="inlineStr">
        <is>
          <t>ÖSTERGÖTLANDS LÄN</t>
        </is>
      </c>
      <c r="E204" t="inlineStr">
        <is>
          <t>LINKÖPING</t>
        </is>
      </c>
      <c r="F204" t="inlineStr">
        <is>
          <t>Allmännings- och besparingsskogar</t>
        </is>
      </c>
      <c r="G204" t="n">
        <v>4.6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45881</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45881</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34486-2021</t>
        </is>
      </c>
      <c r="B207" s="1" t="n">
        <v>44382.29295138889</v>
      </c>
      <c r="C207" s="1" t="n">
        <v>45881</v>
      </c>
      <c r="D207" t="inlineStr">
        <is>
          <t>ÖSTERGÖTLANDS LÄN</t>
        </is>
      </c>
      <c r="E207" t="inlineStr">
        <is>
          <t>LINKÖPING</t>
        </is>
      </c>
      <c r="G207" t="n">
        <v>4.4</v>
      </c>
      <c r="H207" t="n">
        <v>0</v>
      </c>
      <c r="I207" t="n">
        <v>0</v>
      </c>
      <c r="J207" t="n">
        <v>0</v>
      </c>
      <c r="K207" t="n">
        <v>0</v>
      </c>
      <c r="L207" t="n">
        <v>0</v>
      </c>
      <c r="M207" t="n">
        <v>0</v>
      </c>
      <c r="N207" t="n">
        <v>0</v>
      </c>
      <c r="O207" t="n">
        <v>0</v>
      </c>
      <c r="P207" t="n">
        <v>0</v>
      </c>
      <c r="Q207" t="n">
        <v>0</v>
      </c>
      <c r="R207" s="2" t="inlineStr"/>
    </row>
    <row r="208" ht="15" customHeight="1">
      <c r="A208" t="inlineStr">
        <is>
          <t>A 50401-2020</t>
        </is>
      </c>
      <c r="B208" s="1" t="n">
        <v>44110</v>
      </c>
      <c r="C208" s="1" t="n">
        <v>45881</v>
      </c>
      <c r="D208" t="inlineStr">
        <is>
          <t>ÖSTERGÖTLANDS LÄN</t>
        </is>
      </c>
      <c r="E208" t="inlineStr">
        <is>
          <t>LINKÖPING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10407-2025</t>
        </is>
      </c>
      <c r="B209" s="1" t="n">
        <v>45720.62863425926</v>
      </c>
      <c r="C209" s="1" t="n">
        <v>45881</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46980-2020</t>
        </is>
      </c>
      <c r="B210" s="1" t="n">
        <v>44090</v>
      </c>
      <c r="C210" s="1" t="n">
        <v>45881</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59288-2020</t>
        </is>
      </c>
      <c r="B211" s="1" t="n">
        <v>44147</v>
      </c>
      <c r="C211" s="1" t="n">
        <v>45881</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43934-2023</t>
        </is>
      </c>
      <c r="B212" s="1" t="n">
        <v>45187</v>
      </c>
      <c r="C212" s="1" t="n">
        <v>45881</v>
      </c>
      <c r="D212" t="inlineStr">
        <is>
          <t>ÖSTERGÖTLANDS LÄN</t>
        </is>
      </c>
      <c r="E212" t="inlineStr">
        <is>
          <t>LINKÖPING</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39021-2021</t>
        </is>
      </c>
      <c r="B213" s="1" t="n">
        <v>44412</v>
      </c>
      <c r="C213" s="1" t="n">
        <v>45881</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13922-2021</t>
        </is>
      </c>
      <c r="B214" s="1" t="n">
        <v>44277.45946759259</v>
      </c>
      <c r="C214" s="1" t="n">
        <v>45881</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45881</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44879-2020</t>
        </is>
      </c>
      <c r="B216" s="1" t="n">
        <v>44087</v>
      </c>
      <c r="C216" s="1" t="n">
        <v>45881</v>
      </c>
      <c r="D216" t="inlineStr">
        <is>
          <t>ÖSTERGÖTLANDS LÄN</t>
        </is>
      </c>
      <c r="E216" t="inlineStr">
        <is>
          <t>LINKÖPING</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50035-2020</t>
        </is>
      </c>
      <c r="B217" s="1" t="n">
        <v>44109</v>
      </c>
      <c r="C217" s="1" t="n">
        <v>45881</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1787-2022</t>
        </is>
      </c>
      <c r="B218" s="1" t="n">
        <v>44574</v>
      </c>
      <c r="C218" s="1" t="n">
        <v>45881</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51484-2023</t>
        </is>
      </c>
      <c r="B219" s="1" t="n">
        <v>45222</v>
      </c>
      <c r="C219" s="1" t="n">
        <v>45881</v>
      </c>
      <c r="D219" t="inlineStr">
        <is>
          <t>ÖSTERGÖTLANDS LÄN</t>
        </is>
      </c>
      <c r="E219" t="inlineStr">
        <is>
          <t>LINKÖPING</t>
        </is>
      </c>
      <c r="F219" t="inlineStr">
        <is>
          <t>Övriga Aktiebolag</t>
        </is>
      </c>
      <c r="G219" t="n">
        <v>7.7</v>
      </c>
      <c r="H219" t="n">
        <v>0</v>
      </c>
      <c r="I219" t="n">
        <v>0</v>
      </c>
      <c r="J219" t="n">
        <v>0</v>
      </c>
      <c r="K219" t="n">
        <v>0</v>
      </c>
      <c r="L219" t="n">
        <v>0</v>
      </c>
      <c r="M219" t="n">
        <v>0</v>
      </c>
      <c r="N219" t="n">
        <v>0</v>
      </c>
      <c r="O219" t="n">
        <v>0</v>
      </c>
      <c r="P219" t="n">
        <v>0</v>
      </c>
      <c r="Q219" t="n">
        <v>0</v>
      </c>
      <c r="R219" s="2" t="inlineStr"/>
    </row>
    <row r="220" ht="15" customHeight="1">
      <c r="A220" t="inlineStr">
        <is>
          <t>A 948-2022</t>
        </is>
      </c>
      <c r="B220" s="1" t="n">
        <v>44571</v>
      </c>
      <c r="C220" s="1" t="n">
        <v>45881</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37014-2021</t>
        </is>
      </c>
      <c r="B221" s="1" t="n">
        <v>44393</v>
      </c>
      <c r="C221" s="1" t="n">
        <v>45881</v>
      </c>
      <c r="D221" t="inlineStr">
        <is>
          <t>ÖSTERGÖTLANDS LÄN</t>
        </is>
      </c>
      <c r="E221" t="inlineStr">
        <is>
          <t>LINKÖPING</t>
        </is>
      </c>
      <c r="F221" t="inlineStr">
        <is>
          <t>Allmännings- och besparingsskogar</t>
        </is>
      </c>
      <c r="G221" t="n">
        <v>7.7</v>
      </c>
      <c r="H221" t="n">
        <v>0</v>
      </c>
      <c r="I221" t="n">
        <v>0</v>
      </c>
      <c r="J221" t="n">
        <v>0</v>
      </c>
      <c r="K221" t="n">
        <v>0</v>
      </c>
      <c r="L221" t="n">
        <v>0</v>
      </c>
      <c r="M221" t="n">
        <v>0</v>
      </c>
      <c r="N221" t="n">
        <v>0</v>
      </c>
      <c r="O221" t="n">
        <v>0</v>
      </c>
      <c r="P221" t="n">
        <v>0</v>
      </c>
      <c r="Q221" t="n">
        <v>0</v>
      </c>
      <c r="R221" s="2" t="inlineStr"/>
    </row>
    <row r="222" ht="15" customHeight="1">
      <c r="A222" t="inlineStr">
        <is>
          <t>A 32255-2021</t>
        </is>
      </c>
      <c r="B222" s="1" t="n">
        <v>44371.45949074074</v>
      </c>
      <c r="C222" s="1" t="n">
        <v>45881</v>
      </c>
      <c r="D222" t="inlineStr">
        <is>
          <t>ÖSTERGÖTLANDS LÄN</t>
        </is>
      </c>
      <c r="E222" t="inlineStr">
        <is>
          <t>LINKÖPING</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9434-2024</t>
        </is>
      </c>
      <c r="B223" s="1" t="n">
        <v>45359</v>
      </c>
      <c r="C223" s="1" t="n">
        <v>45881</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63678-2023</t>
        </is>
      </c>
      <c r="B224" s="1" t="n">
        <v>45275.64769675926</v>
      </c>
      <c r="C224" s="1" t="n">
        <v>45881</v>
      </c>
      <c r="D224" t="inlineStr">
        <is>
          <t>ÖSTERGÖTLANDS LÄN</t>
        </is>
      </c>
      <c r="E224" t="inlineStr">
        <is>
          <t>LINKÖPING</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63688-2023</t>
        </is>
      </c>
      <c r="B225" s="1" t="n">
        <v>45275</v>
      </c>
      <c r="C225" s="1" t="n">
        <v>45881</v>
      </c>
      <c r="D225" t="inlineStr">
        <is>
          <t>ÖSTERGÖTLANDS LÄN</t>
        </is>
      </c>
      <c r="E225" t="inlineStr">
        <is>
          <t>LINKÖPING</t>
        </is>
      </c>
      <c r="F225" t="inlineStr">
        <is>
          <t>Övriga Aktiebolag</t>
        </is>
      </c>
      <c r="G225" t="n">
        <v>2.4</v>
      </c>
      <c r="H225" t="n">
        <v>0</v>
      </c>
      <c r="I225" t="n">
        <v>0</v>
      </c>
      <c r="J225" t="n">
        <v>0</v>
      </c>
      <c r="K225" t="n">
        <v>0</v>
      </c>
      <c r="L225" t="n">
        <v>0</v>
      </c>
      <c r="M225" t="n">
        <v>0</v>
      </c>
      <c r="N225" t="n">
        <v>0</v>
      </c>
      <c r="O225" t="n">
        <v>0</v>
      </c>
      <c r="P225" t="n">
        <v>0</v>
      </c>
      <c r="Q225" t="n">
        <v>0</v>
      </c>
      <c r="R225" s="2" t="inlineStr"/>
    </row>
    <row r="226" ht="15" customHeight="1">
      <c r="A226" t="inlineStr">
        <is>
          <t>A 63691-2023</t>
        </is>
      </c>
      <c r="B226" s="1" t="n">
        <v>45275</v>
      </c>
      <c r="C226" s="1" t="n">
        <v>45881</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34557-2022</t>
        </is>
      </c>
      <c r="B227" s="1" t="n">
        <v>44794.57074074074</v>
      </c>
      <c r="C227" s="1" t="n">
        <v>45881</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45881</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63487-2023</t>
        </is>
      </c>
      <c r="B229" s="1" t="n">
        <v>45274.66712962963</v>
      </c>
      <c r="C229" s="1" t="n">
        <v>45881</v>
      </c>
      <c r="D229" t="inlineStr">
        <is>
          <t>ÖSTERGÖTLANDS LÄN</t>
        </is>
      </c>
      <c r="E229" t="inlineStr">
        <is>
          <t>LINKÖPING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63935-2021</t>
        </is>
      </c>
      <c r="B230" s="1" t="n">
        <v>44509</v>
      </c>
      <c r="C230" s="1" t="n">
        <v>45881</v>
      </c>
      <c r="D230" t="inlineStr">
        <is>
          <t>ÖSTERGÖTLANDS LÄN</t>
        </is>
      </c>
      <c r="E230" t="inlineStr">
        <is>
          <t>LINKÖPING</t>
        </is>
      </c>
      <c r="F230" t="inlineStr">
        <is>
          <t>Övriga statliga verk och myndigheter</t>
        </is>
      </c>
      <c r="G230" t="n">
        <v>2.8</v>
      </c>
      <c r="H230" t="n">
        <v>0</v>
      </c>
      <c r="I230" t="n">
        <v>0</v>
      </c>
      <c r="J230" t="n">
        <v>0</v>
      </c>
      <c r="K230" t="n">
        <v>0</v>
      </c>
      <c r="L230" t="n">
        <v>0</v>
      </c>
      <c r="M230" t="n">
        <v>0</v>
      </c>
      <c r="N230" t="n">
        <v>0</v>
      </c>
      <c r="O230" t="n">
        <v>0</v>
      </c>
      <c r="P230" t="n">
        <v>0</v>
      </c>
      <c r="Q230" t="n">
        <v>0</v>
      </c>
      <c r="R230" s="2" t="inlineStr"/>
    </row>
    <row r="231" ht="15" customHeight="1">
      <c r="A231" t="inlineStr">
        <is>
          <t>A 17157-2024</t>
        </is>
      </c>
      <c r="B231" s="1" t="n">
        <v>45412.70567129629</v>
      </c>
      <c r="C231" s="1" t="n">
        <v>45881</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13689-2025</t>
        </is>
      </c>
      <c r="B232" s="1" t="n">
        <v>45737.31590277778</v>
      </c>
      <c r="C232" s="1" t="n">
        <v>45881</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13696-2025</t>
        </is>
      </c>
      <c r="B233" s="1" t="n">
        <v>45737.32273148148</v>
      </c>
      <c r="C233" s="1" t="n">
        <v>45881</v>
      </c>
      <c r="D233" t="inlineStr">
        <is>
          <t>ÖSTERGÖTLANDS LÄN</t>
        </is>
      </c>
      <c r="E233" t="inlineStr">
        <is>
          <t>LINKÖPING</t>
        </is>
      </c>
      <c r="G233" t="n">
        <v>3.5</v>
      </c>
      <c r="H233" t="n">
        <v>0</v>
      </c>
      <c r="I233" t="n">
        <v>0</v>
      </c>
      <c r="J233" t="n">
        <v>0</v>
      </c>
      <c r="K233" t="n">
        <v>0</v>
      </c>
      <c r="L233" t="n">
        <v>0</v>
      </c>
      <c r="M233" t="n">
        <v>0</v>
      </c>
      <c r="N233" t="n">
        <v>0</v>
      </c>
      <c r="O233" t="n">
        <v>0</v>
      </c>
      <c r="P233" t="n">
        <v>0</v>
      </c>
      <c r="Q233" t="n">
        <v>0</v>
      </c>
      <c r="R233" s="2" t="inlineStr"/>
    </row>
    <row r="234" ht="15" customHeight="1">
      <c r="A234" t="inlineStr">
        <is>
          <t>A 12428-2024</t>
        </is>
      </c>
      <c r="B234" s="1" t="n">
        <v>45379</v>
      </c>
      <c r="C234" s="1" t="n">
        <v>45881</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40810-2022</t>
        </is>
      </c>
      <c r="B235" s="1" t="n">
        <v>44824</v>
      </c>
      <c r="C235" s="1" t="n">
        <v>45881</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46225-2021</t>
        </is>
      </c>
      <c r="B236" s="1" t="n">
        <v>44442</v>
      </c>
      <c r="C236" s="1" t="n">
        <v>45881</v>
      </c>
      <c r="D236" t="inlineStr">
        <is>
          <t>ÖSTERGÖTLANDS LÄN</t>
        </is>
      </c>
      <c r="E236" t="inlineStr">
        <is>
          <t>LINKÖPING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54428-2022</t>
        </is>
      </c>
      <c r="B237" s="1" t="n">
        <v>44882.57643518518</v>
      </c>
      <c r="C237" s="1" t="n">
        <v>45881</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20455-2024</t>
        </is>
      </c>
      <c r="B238" s="1" t="n">
        <v>45435.65314814815</v>
      </c>
      <c r="C238" s="1" t="n">
        <v>45881</v>
      </c>
      <c r="D238" t="inlineStr">
        <is>
          <t>ÖSTERGÖTLANDS LÄN</t>
        </is>
      </c>
      <c r="E238" t="inlineStr">
        <is>
          <t>LINKÖPING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30471-2023</t>
        </is>
      </c>
      <c r="B239" s="1" t="n">
        <v>45111.58931712963</v>
      </c>
      <c r="C239" s="1" t="n">
        <v>45881</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20298-2025</t>
        </is>
      </c>
      <c r="B240" s="1" t="n">
        <v>45774.75024305555</v>
      </c>
      <c r="C240" s="1" t="n">
        <v>45881</v>
      </c>
      <c r="D240" t="inlineStr">
        <is>
          <t>ÖSTERGÖTLANDS LÄN</t>
        </is>
      </c>
      <c r="E240" t="inlineStr">
        <is>
          <t>LINKÖPING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14093-2024</t>
        </is>
      </c>
      <c r="B241" s="1" t="n">
        <v>45392.60278935185</v>
      </c>
      <c r="C241" s="1" t="n">
        <v>45881</v>
      </c>
      <c r="D241" t="inlineStr">
        <is>
          <t>ÖSTERGÖTLANDS LÄN</t>
        </is>
      </c>
      <c r="E241" t="inlineStr">
        <is>
          <t>LINKÖPING</t>
        </is>
      </c>
      <c r="F241" t="inlineStr">
        <is>
          <t>Övriga Aktiebolag</t>
        </is>
      </c>
      <c r="G241" t="n">
        <v>0.6</v>
      </c>
      <c r="H241" t="n">
        <v>0</v>
      </c>
      <c r="I241" t="n">
        <v>0</v>
      </c>
      <c r="J241" t="n">
        <v>0</v>
      </c>
      <c r="K241" t="n">
        <v>0</v>
      </c>
      <c r="L241" t="n">
        <v>0</v>
      </c>
      <c r="M241" t="n">
        <v>0</v>
      </c>
      <c r="N241" t="n">
        <v>0</v>
      </c>
      <c r="O241" t="n">
        <v>0</v>
      </c>
      <c r="P241" t="n">
        <v>0</v>
      </c>
      <c r="Q241" t="n">
        <v>0</v>
      </c>
      <c r="R241" s="2" t="inlineStr"/>
    </row>
    <row r="242" ht="15" customHeight="1">
      <c r="A242" t="inlineStr">
        <is>
          <t>A 11790-2024</t>
        </is>
      </c>
      <c r="B242" s="1" t="n">
        <v>45374</v>
      </c>
      <c r="C242" s="1" t="n">
        <v>45881</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14576-2023</t>
        </is>
      </c>
      <c r="B243" s="1" t="n">
        <v>45013</v>
      </c>
      <c r="C243" s="1" t="n">
        <v>45881</v>
      </c>
      <c r="D243" t="inlineStr">
        <is>
          <t>ÖSTERGÖTLANDS LÄN</t>
        </is>
      </c>
      <c r="E243" t="inlineStr">
        <is>
          <t>LINKÖPING</t>
        </is>
      </c>
      <c r="G243" t="n">
        <v>3.2</v>
      </c>
      <c r="H243" t="n">
        <v>0</v>
      </c>
      <c r="I243" t="n">
        <v>0</v>
      </c>
      <c r="J243" t="n">
        <v>0</v>
      </c>
      <c r="K243" t="n">
        <v>0</v>
      </c>
      <c r="L243" t="n">
        <v>0</v>
      </c>
      <c r="M243" t="n">
        <v>0</v>
      </c>
      <c r="N243" t="n">
        <v>0</v>
      </c>
      <c r="O243" t="n">
        <v>0</v>
      </c>
      <c r="P243" t="n">
        <v>0</v>
      </c>
      <c r="Q243" t="n">
        <v>0</v>
      </c>
      <c r="R243" s="2" t="inlineStr"/>
    </row>
    <row r="244" ht="15" customHeight="1">
      <c r="A244" t="inlineStr">
        <is>
          <t>A 48962-2022</t>
        </is>
      </c>
      <c r="B244" s="1" t="n">
        <v>44860.31635416667</v>
      </c>
      <c r="C244" s="1" t="n">
        <v>45881</v>
      </c>
      <c r="D244" t="inlineStr">
        <is>
          <t>ÖSTERGÖTLANDS LÄN</t>
        </is>
      </c>
      <c r="E244" t="inlineStr">
        <is>
          <t>LINKÖPING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12089-2025</t>
        </is>
      </c>
      <c r="B245" s="1" t="n">
        <v>45729</v>
      </c>
      <c r="C245" s="1" t="n">
        <v>45881</v>
      </c>
      <c r="D245" t="inlineStr">
        <is>
          <t>ÖSTERGÖTLANDS LÄN</t>
        </is>
      </c>
      <c r="E245" t="inlineStr">
        <is>
          <t>LINKÖPING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53647-2021</t>
        </is>
      </c>
      <c r="B246" s="1" t="n">
        <v>44469</v>
      </c>
      <c r="C246" s="1" t="n">
        <v>45881</v>
      </c>
      <c r="D246" t="inlineStr">
        <is>
          <t>ÖSTERGÖTLANDS LÄN</t>
        </is>
      </c>
      <c r="E246" t="inlineStr">
        <is>
          <t>LINKÖPING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22772-2024</t>
        </is>
      </c>
      <c r="B247" s="1" t="n">
        <v>45448.46712962963</v>
      </c>
      <c r="C247" s="1" t="n">
        <v>45881</v>
      </c>
      <c r="D247" t="inlineStr">
        <is>
          <t>ÖSTERGÖTLANDS LÄN</t>
        </is>
      </c>
      <c r="E247" t="inlineStr">
        <is>
          <t>LINKÖPING</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18916-2024</t>
        </is>
      </c>
      <c r="B248" s="1" t="n">
        <v>45427.39541666667</v>
      </c>
      <c r="C248" s="1" t="n">
        <v>45881</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49088-2020</t>
        </is>
      </c>
      <c r="B249" s="1" t="n">
        <v>44104</v>
      </c>
      <c r="C249" s="1" t="n">
        <v>45881</v>
      </c>
      <c r="D249" t="inlineStr">
        <is>
          <t>ÖSTERGÖTLANDS LÄN</t>
        </is>
      </c>
      <c r="E249" t="inlineStr">
        <is>
          <t>LINKÖPING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63304-2021</t>
        </is>
      </c>
      <c r="B250" s="1" t="n">
        <v>44508.4396412037</v>
      </c>
      <c r="C250" s="1" t="n">
        <v>45881</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24586-2024</t>
        </is>
      </c>
      <c r="B251" s="1" t="n">
        <v>45460.46664351852</v>
      </c>
      <c r="C251" s="1" t="n">
        <v>45881</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17124-2025</t>
        </is>
      </c>
      <c r="B252" s="1" t="n">
        <v>45755.69678240741</v>
      </c>
      <c r="C252" s="1" t="n">
        <v>45881</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17126-2025</t>
        </is>
      </c>
      <c r="B253" s="1" t="n">
        <v>45755.70814814815</v>
      </c>
      <c r="C253" s="1" t="n">
        <v>45881</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17143-2025</t>
        </is>
      </c>
      <c r="B254" s="1" t="n">
        <v>45755.92731481481</v>
      </c>
      <c r="C254" s="1" t="n">
        <v>45881</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39017-2021</t>
        </is>
      </c>
      <c r="B255" s="1" t="n">
        <v>44412</v>
      </c>
      <c r="C255" s="1" t="n">
        <v>45881</v>
      </c>
      <c r="D255" t="inlineStr">
        <is>
          <t>ÖSTERGÖTLANDS LÄN</t>
        </is>
      </c>
      <c r="E255" t="inlineStr">
        <is>
          <t>LINKÖPING</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19362-2023</t>
        </is>
      </c>
      <c r="B256" s="1" t="n">
        <v>45049</v>
      </c>
      <c r="C256" s="1" t="n">
        <v>45881</v>
      </c>
      <c r="D256" t="inlineStr">
        <is>
          <t>ÖSTERGÖTLANDS LÄN</t>
        </is>
      </c>
      <c r="E256" t="inlineStr">
        <is>
          <t>LINKÖPING</t>
        </is>
      </c>
      <c r="G256" t="n">
        <v>0.1</v>
      </c>
      <c r="H256" t="n">
        <v>0</v>
      </c>
      <c r="I256" t="n">
        <v>0</v>
      </c>
      <c r="J256" t="n">
        <v>0</v>
      </c>
      <c r="K256" t="n">
        <v>0</v>
      </c>
      <c r="L256" t="n">
        <v>0</v>
      </c>
      <c r="M256" t="n">
        <v>0</v>
      </c>
      <c r="N256" t="n">
        <v>0</v>
      </c>
      <c r="O256" t="n">
        <v>0</v>
      </c>
      <c r="P256" t="n">
        <v>0</v>
      </c>
      <c r="Q256" t="n">
        <v>0</v>
      </c>
      <c r="R256" s="2" t="inlineStr"/>
    </row>
    <row r="257" ht="15" customHeight="1">
      <c r="A257" t="inlineStr">
        <is>
          <t>A 15307-2025</t>
        </is>
      </c>
      <c r="B257" s="1" t="n">
        <v>45746.70038194444</v>
      </c>
      <c r="C257" s="1" t="n">
        <v>45881</v>
      </c>
      <c r="D257" t="inlineStr">
        <is>
          <t>ÖSTERGÖTLANDS LÄN</t>
        </is>
      </c>
      <c r="E257" t="inlineStr">
        <is>
          <t>LINKÖPING</t>
        </is>
      </c>
      <c r="G257" t="n">
        <v>3.3</v>
      </c>
      <c r="H257" t="n">
        <v>0</v>
      </c>
      <c r="I257" t="n">
        <v>0</v>
      </c>
      <c r="J257" t="n">
        <v>0</v>
      </c>
      <c r="K257" t="n">
        <v>0</v>
      </c>
      <c r="L257" t="n">
        <v>0</v>
      </c>
      <c r="M257" t="n">
        <v>0</v>
      </c>
      <c r="N257" t="n">
        <v>0</v>
      </c>
      <c r="O257" t="n">
        <v>0</v>
      </c>
      <c r="P257" t="n">
        <v>0</v>
      </c>
      <c r="Q257" t="n">
        <v>0</v>
      </c>
      <c r="R257" s="2" t="inlineStr"/>
    </row>
    <row r="258" ht="15" customHeight="1">
      <c r="A258" t="inlineStr">
        <is>
          <t>A 35463-2023</t>
        </is>
      </c>
      <c r="B258" s="1" t="n">
        <v>45146</v>
      </c>
      <c r="C258" s="1" t="n">
        <v>45881</v>
      </c>
      <c r="D258" t="inlineStr">
        <is>
          <t>ÖSTERGÖTLANDS LÄN</t>
        </is>
      </c>
      <c r="E258" t="inlineStr">
        <is>
          <t>LINKÖPING</t>
        </is>
      </c>
      <c r="F258" t="inlineStr">
        <is>
          <t>Övriga Aktiebolag</t>
        </is>
      </c>
      <c r="G258" t="n">
        <v>1.8</v>
      </c>
      <c r="H258" t="n">
        <v>0</v>
      </c>
      <c r="I258" t="n">
        <v>0</v>
      </c>
      <c r="J258" t="n">
        <v>0</v>
      </c>
      <c r="K258" t="n">
        <v>0</v>
      </c>
      <c r="L258" t="n">
        <v>0</v>
      </c>
      <c r="M258" t="n">
        <v>0</v>
      </c>
      <c r="N258" t="n">
        <v>0</v>
      </c>
      <c r="O258" t="n">
        <v>0</v>
      </c>
      <c r="P258" t="n">
        <v>0</v>
      </c>
      <c r="Q258" t="n">
        <v>0</v>
      </c>
      <c r="R258" s="2" t="inlineStr"/>
    </row>
    <row r="259" ht="15" customHeight="1">
      <c r="A259" t="inlineStr">
        <is>
          <t>A 16820-2024</t>
        </is>
      </c>
      <c r="B259" s="1" t="n">
        <v>45411.46809027778</v>
      </c>
      <c r="C259" s="1" t="n">
        <v>45881</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16111-2022</t>
        </is>
      </c>
      <c r="B260" s="1" t="n">
        <v>44665</v>
      </c>
      <c r="C260" s="1" t="n">
        <v>45881</v>
      </c>
      <c r="D260" t="inlineStr">
        <is>
          <t>ÖSTERGÖTLANDS LÄN</t>
        </is>
      </c>
      <c r="E260" t="inlineStr">
        <is>
          <t>LINKÖPING</t>
        </is>
      </c>
      <c r="F260" t="inlineStr">
        <is>
          <t>Övriga Aktiebolag</t>
        </is>
      </c>
      <c r="G260" t="n">
        <v>2.9</v>
      </c>
      <c r="H260" t="n">
        <v>0</v>
      </c>
      <c r="I260" t="n">
        <v>0</v>
      </c>
      <c r="J260" t="n">
        <v>0</v>
      </c>
      <c r="K260" t="n">
        <v>0</v>
      </c>
      <c r="L260" t="n">
        <v>0</v>
      </c>
      <c r="M260" t="n">
        <v>0</v>
      </c>
      <c r="N260" t="n">
        <v>0</v>
      </c>
      <c r="O260" t="n">
        <v>0</v>
      </c>
      <c r="P260" t="n">
        <v>0</v>
      </c>
      <c r="Q260" t="n">
        <v>0</v>
      </c>
      <c r="R260" s="2" t="inlineStr"/>
    </row>
    <row r="261" ht="15" customHeight="1">
      <c r="A261" t="inlineStr">
        <is>
          <t>A 59954-2020</t>
        </is>
      </c>
      <c r="B261" s="1" t="n">
        <v>44151</v>
      </c>
      <c r="C261" s="1" t="n">
        <v>45881</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59969-2020</t>
        </is>
      </c>
      <c r="B262" s="1" t="n">
        <v>44151</v>
      </c>
      <c r="C262" s="1" t="n">
        <v>45881</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31635-2023</t>
        </is>
      </c>
      <c r="B263" s="1" t="n">
        <v>45105</v>
      </c>
      <c r="C263" s="1" t="n">
        <v>45881</v>
      </c>
      <c r="D263" t="inlineStr">
        <is>
          <t>ÖSTERGÖTLANDS LÄN</t>
        </is>
      </c>
      <c r="E263" t="inlineStr">
        <is>
          <t>LINKÖPING</t>
        </is>
      </c>
      <c r="F263" t="inlineStr">
        <is>
          <t>Övriga statliga verk och myndigheter</t>
        </is>
      </c>
      <c r="G263" t="n">
        <v>4.6</v>
      </c>
      <c r="H263" t="n">
        <v>0</v>
      </c>
      <c r="I263" t="n">
        <v>0</v>
      </c>
      <c r="J263" t="n">
        <v>0</v>
      </c>
      <c r="K263" t="n">
        <v>0</v>
      </c>
      <c r="L263" t="n">
        <v>0</v>
      </c>
      <c r="M263" t="n">
        <v>0</v>
      </c>
      <c r="N263" t="n">
        <v>0</v>
      </c>
      <c r="O263" t="n">
        <v>0</v>
      </c>
      <c r="P263" t="n">
        <v>0</v>
      </c>
      <c r="Q263" t="n">
        <v>0</v>
      </c>
      <c r="R263" s="2" t="inlineStr"/>
    </row>
    <row r="264" ht="15" customHeight="1">
      <c r="A264" t="inlineStr">
        <is>
          <t>A 30980-2022</t>
        </is>
      </c>
      <c r="B264" s="1" t="n">
        <v>44768</v>
      </c>
      <c r="C264" s="1" t="n">
        <v>45881</v>
      </c>
      <c r="D264" t="inlineStr">
        <is>
          <t>ÖSTERGÖTLANDS LÄN</t>
        </is>
      </c>
      <c r="E264" t="inlineStr">
        <is>
          <t>LINKÖPING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49928-2024</t>
        </is>
      </c>
      <c r="B265" s="1" t="n">
        <v>45597.57811342592</v>
      </c>
      <c r="C265" s="1" t="n">
        <v>45881</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54845-2023</t>
        </is>
      </c>
      <c r="B266" s="1" t="n">
        <v>45236</v>
      </c>
      <c r="C266" s="1" t="n">
        <v>45881</v>
      </c>
      <c r="D266" t="inlineStr">
        <is>
          <t>ÖSTERGÖTLANDS LÄN</t>
        </is>
      </c>
      <c r="E266" t="inlineStr">
        <is>
          <t>LINKÖPING</t>
        </is>
      </c>
      <c r="F266" t="inlineStr">
        <is>
          <t>Övriga Aktiebolag</t>
        </is>
      </c>
      <c r="G266" t="n">
        <v>5.7</v>
      </c>
      <c r="H266" t="n">
        <v>0</v>
      </c>
      <c r="I266" t="n">
        <v>0</v>
      </c>
      <c r="J266" t="n">
        <v>0</v>
      </c>
      <c r="K266" t="n">
        <v>0</v>
      </c>
      <c r="L266" t="n">
        <v>0</v>
      </c>
      <c r="M266" t="n">
        <v>0</v>
      </c>
      <c r="N266" t="n">
        <v>0</v>
      </c>
      <c r="O266" t="n">
        <v>0</v>
      </c>
      <c r="P266" t="n">
        <v>0</v>
      </c>
      <c r="Q266" t="n">
        <v>0</v>
      </c>
      <c r="R266" s="2" t="inlineStr"/>
    </row>
    <row r="267" ht="15" customHeight="1">
      <c r="A267" t="inlineStr">
        <is>
          <t>A 24351-2024</t>
        </is>
      </c>
      <c r="B267" s="1" t="n">
        <v>45457.59011574074</v>
      </c>
      <c r="C267" s="1" t="n">
        <v>45881</v>
      </c>
      <c r="D267" t="inlineStr">
        <is>
          <t>ÖSTERGÖTLANDS LÄN</t>
        </is>
      </c>
      <c r="E267" t="inlineStr">
        <is>
          <t>LINKÖPING</t>
        </is>
      </c>
      <c r="G267" t="n">
        <v>11.9</v>
      </c>
      <c r="H267" t="n">
        <v>0</v>
      </c>
      <c r="I267" t="n">
        <v>0</v>
      </c>
      <c r="J267" t="n">
        <v>0</v>
      </c>
      <c r="K267" t="n">
        <v>0</v>
      </c>
      <c r="L267" t="n">
        <v>0</v>
      </c>
      <c r="M267" t="n">
        <v>0</v>
      </c>
      <c r="N267" t="n">
        <v>0</v>
      </c>
      <c r="O267" t="n">
        <v>0</v>
      </c>
      <c r="P267" t="n">
        <v>0</v>
      </c>
      <c r="Q267" t="n">
        <v>0</v>
      </c>
      <c r="R267" s="2" t="inlineStr"/>
    </row>
    <row r="268" ht="15" customHeight="1">
      <c r="A268" t="inlineStr">
        <is>
          <t>A 38282-2020</t>
        </is>
      </c>
      <c r="B268" s="1" t="n">
        <v>44060</v>
      </c>
      <c r="C268" s="1" t="n">
        <v>45881</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46687-2021</t>
        </is>
      </c>
      <c r="B269" s="1" t="n">
        <v>44445</v>
      </c>
      <c r="C269" s="1" t="n">
        <v>45881</v>
      </c>
      <c r="D269" t="inlineStr">
        <is>
          <t>ÖSTERGÖTLANDS LÄN</t>
        </is>
      </c>
      <c r="E269" t="inlineStr">
        <is>
          <t>LINKÖPING</t>
        </is>
      </c>
      <c r="F269" t="inlineStr">
        <is>
          <t>Övriga statliga verk och myndigheter</t>
        </is>
      </c>
      <c r="G269" t="n">
        <v>2.3</v>
      </c>
      <c r="H269" t="n">
        <v>0</v>
      </c>
      <c r="I269" t="n">
        <v>0</v>
      </c>
      <c r="J269" t="n">
        <v>0</v>
      </c>
      <c r="K269" t="n">
        <v>0</v>
      </c>
      <c r="L269" t="n">
        <v>0</v>
      </c>
      <c r="M269" t="n">
        <v>0</v>
      </c>
      <c r="N269" t="n">
        <v>0</v>
      </c>
      <c r="O269" t="n">
        <v>0</v>
      </c>
      <c r="P269" t="n">
        <v>0</v>
      </c>
      <c r="Q269" t="n">
        <v>0</v>
      </c>
      <c r="R269" s="2" t="inlineStr"/>
    </row>
    <row r="270" ht="15" customHeight="1">
      <c r="A270" t="inlineStr">
        <is>
          <t>A 30855-2022</t>
        </is>
      </c>
      <c r="B270" s="1" t="n">
        <v>44767</v>
      </c>
      <c r="C270" s="1" t="n">
        <v>45881</v>
      </c>
      <c r="D270" t="inlineStr">
        <is>
          <t>ÖSTERGÖTLANDS LÄN</t>
        </is>
      </c>
      <c r="E270" t="inlineStr">
        <is>
          <t>LINKÖPING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1355-2023</t>
        </is>
      </c>
      <c r="B271" s="1" t="n">
        <v>44931</v>
      </c>
      <c r="C271" s="1" t="n">
        <v>45881</v>
      </c>
      <c r="D271" t="inlineStr">
        <is>
          <t>ÖSTERGÖTLANDS LÄN</t>
        </is>
      </c>
      <c r="E271" t="inlineStr">
        <is>
          <t>LINKÖPING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62321-2022</t>
        </is>
      </c>
      <c r="B272" s="1" t="n">
        <v>44916</v>
      </c>
      <c r="C272" s="1" t="n">
        <v>45881</v>
      </c>
      <c r="D272" t="inlineStr">
        <is>
          <t>ÖSTERGÖTLANDS LÄN</t>
        </is>
      </c>
      <c r="E272" t="inlineStr">
        <is>
          <t>LINKÖPING</t>
        </is>
      </c>
      <c r="F272" t="inlineStr">
        <is>
          <t>Kommuner</t>
        </is>
      </c>
      <c r="G272" t="n">
        <v>5.3</v>
      </c>
      <c r="H272" t="n">
        <v>0</v>
      </c>
      <c r="I272" t="n">
        <v>0</v>
      </c>
      <c r="J272" t="n">
        <v>0</v>
      </c>
      <c r="K272" t="n">
        <v>0</v>
      </c>
      <c r="L272" t="n">
        <v>0</v>
      </c>
      <c r="M272" t="n">
        <v>0</v>
      </c>
      <c r="N272" t="n">
        <v>0</v>
      </c>
      <c r="O272" t="n">
        <v>0</v>
      </c>
      <c r="P272" t="n">
        <v>0</v>
      </c>
      <c r="Q272" t="n">
        <v>0</v>
      </c>
      <c r="R272" s="2" t="inlineStr"/>
    </row>
    <row r="273" ht="15" customHeight="1">
      <c r="A273" t="inlineStr">
        <is>
          <t>A 62501-2023</t>
        </is>
      </c>
      <c r="B273" s="1" t="n">
        <v>45268</v>
      </c>
      <c r="C273" s="1" t="n">
        <v>45881</v>
      </c>
      <c r="D273" t="inlineStr">
        <is>
          <t>ÖSTERGÖTLANDS LÄN</t>
        </is>
      </c>
      <c r="E273" t="inlineStr">
        <is>
          <t>LINKÖPING</t>
        </is>
      </c>
      <c r="G273" t="n">
        <v>7.4</v>
      </c>
      <c r="H273" t="n">
        <v>0</v>
      </c>
      <c r="I273" t="n">
        <v>0</v>
      </c>
      <c r="J273" t="n">
        <v>0</v>
      </c>
      <c r="K273" t="n">
        <v>0</v>
      </c>
      <c r="L273" t="n">
        <v>0</v>
      </c>
      <c r="M273" t="n">
        <v>0</v>
      </c>
      <c r="N273" t="n">
        <v>0</v>
      </c>
      <c r="O273" t="n">
        <v>0</v>
      </c>
      <c r="P273" t="n">
        <v>0</v>
      </c>
      <c r="Q273" t="n">
        <v>0</v>
      </c>
      <c r="R273" s="2" t="inlineStr"/>
    </row>
    <row r="274" ht="15" customHeight="1">
      <c r="A274" t="inlineStr">
        <is>
          <t>A 58947-2022</t>
        </is>
      </c>
      <c r="B274" s="1" t="n">
        <v>44903.64769675926</v>
      </c>
      <c r="C274" s="1" t="n">
        <v>45881</v>
      </c>
      <c r="D274" t="inlineStr">
        <is>
          <t>ÖSTERGÖTLANDS LÄN</t>
        </is>
      </c>
      <c r="E274" t="inlineStr">
        <is>
          <t>LINKÖPING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49979-2022</t>
        </is>
      </c>
      <c r="B275" s="1" t="n">
        <v>44865</v>
      </c>
      <c r="C275" s="1" t="n">
        <v>45881</v>
      </c>
      <c r="D275" t="inlineStr">
        <is>
          <t>ÖSTERGÖTLANDS LÄN</t>
        </is>
      </c>
      <c r="E275" t="inlineStr">
        <is>
          <t>LINKÖPING</t>
        </is>
      </c>
      <c r="F275" t="inlineStr">
        <is>
          <t>Övriga Aktiebolag</t>
        </is>
      </c>
      <c r="G275" t="n">
        <v>11.4</v>
      </c>
      <c r="H275" t="n">
        <v>0</v>
      </c>
      <c r="I275" t="n">
        <v>0</v>
      </c>
      <c r="J275" t="n">
        <v>0</v>
      </c>
      <c r="K275" t="n">
        <v>0</v>
      </c>
      <c r="L275" t="n">
        <v>0</v>
      </c>
      <c r="M275" t="n">
        <v>0</v>
      </c>
      <c r="N275" t="n">
        <v>0</v>
      </c>
      <c r="O275" t="n">
        <v>0</v>
      </c>
      <c r="P275" t="n">
        <v>0</v>
      </c>
      <c r="Q275" t="n">
        <v>0</v>
      </c>
      <c r="R275" s="2" t="inlineStr"/>
    </row>
    <row r="276" ht="15" customHeight="1">
      <c r="A276" t="inlineStr">
        <is>
          <t>A 27844-2024</t>
        </is>
      </c>
      <c r="B276" s="1" t="n">
        <v>45475.63047453704</v>
      </c>
      <c r="C276" s="1" t="n">
        <v>45881</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53827-2023</t>
        </is>
      </c>
      <c r="B277" s="1" t="n">
        <v>45230</v>
      </c>
      <c r="C277" s="1" t="n">
        <v>45881</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940-2023</t>
        </is>
      </c>
      <c r="B278" s="1" t="n">
        <v>44933</v>
      </c>
      <c r="C278" s="1" t="n">
        <v>45881</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43475-2024</t>
        </is>
      </c>
      <c r="B279" s="1" t="n">
        <v>45568</v>
      </c>
      <c r="C279" s="1" t="n">
        <v>45881</v>
      </c>
      <c r="D279" t="inlineStr">
        <is>
          <t>ÖSTERGÖTLANDS LÄN</t>
        </is>
      </c>
      <c r="E279" t="inlineStr">
        <is>
          <t>LINKÖPING</t>
        </is>
      </c>
      <c r="G279" t="n">
        <v>3.2</v>
      </c>
      <c r="H279" t="n">
        <v>0</v>
      </c>
      <c r="I279" t="n">
        <v>0</v>
      </c>
      <c r="J279" t="n">
        <v>0</v>
      </c>
      <c r="K279" t="n">
        <v>0</v>
      </c>
      <c r="L279" t="n">
        <v>0</v>
      </c>
      <c r="M279" t="n">
        <v>0</v>
      </c>
      <c r="N279" t="n">
        <v>0</v>
      </c>
      <c r="O279" t="n">
        <v>0</v>
      </c>
      <c r="P279" t="n">
        <v>0</v>
      </c>
      <c r="Q279" t="n">
        <v>0</v>
      </c>
      <c r="R279" s="2" t="inlineStr"/>
    </row>
    <row r="280" ht="15" customHeight="1">
      <c r="A280" t="inlineStr">
        <is>
          <t>A 17103-2025</t>
        </is>
      </c>
      <c r="B280" s="1" t="n">
        <v>45755.66143518518</v>
      </c>
      <c r="C280" s="1" t="n">
        <v>45881</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33800-2023</t>
        </is>
      </c>
      <c r="B281" s="1" t="n">
        <v>45121</v>
      </c>
      <c r="C281" s="1" t="n">
        <v>45881</v>
      </c>
      <c r="D281" t="inlineStr">
        <is>
          <t>ÖSTERGÖTLANDS LÄN</t>
        </is>
      </c>
      <c r="E281" t="inlineStr">
        <is>
          <t>LINKÖPING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30551-2023</t>
        </is>
      </c>
      <c r="B282" s="1" t="n">
        <v>45111</v>
      </c>
      <c r="C282" s="1" t="n">
        <v>45881</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50784-2022</t>
        </is>
      </c>
      <c r="B283" s="1" t="n">
        <v>44862</v>
      </c>
      <c r="C283" s="1" t="n">
        <v>45881</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7992-2023</t>
        </is>
      </c>
      <c r="B284" s="1" t="n">
        <v>44970</v>
      </c>
      <c r="C284" s="1" t="n">
        <v>45881</v>
      </c>
      <c r="D284" t="inlineStr">
        <is>
          <t>ÖSTERGÖTLANDS LÄN</t>
        </is>
      </c>
      <c r="E284" t="inlineStr">
        <is>
          <t>LINKÖPING</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45819-2024</t>
        </is>
      </c>
      <c r="B285" s="1" t="n">
        <v>45579.7454050926</v>
      </c>
      <c r="C285" s="1" t="n">
        <v>45881</v>
      </c>
      <c r="D285" t="inlineStr">
        <is>
          <t>ÖSTERGÖTLANDS LÄN</t>
        </is>
      </c>
      <c r="E285" t="inlineStr">
        <is>
          <t>LINKÖPING</t>
        </is>
      </c>
      <c r="G285" t="n">
        <v>5</v>
      </c>
      <c r="H285" t="n">
        <v>0</v>
      </c>
      <c r="I285" t="n">
        <v>0</v>
      </c>
      <c r="J285" t="n">
        <v>0</v>
      </c>
      <c r="K285" t="n">
        <v>0</v>
      </c>
      <c r="L285" t="n">
        <v>0</v>
      </c>
      <c r="M285" t="n">
        <v>0</v>
      </c>
      <c r="N285" t="n">
        <v>0</v>
      </c>
      <c r="O285" t="n">
        <v>0</v>
      </c>
      <c r="P285" t="n">
        <v>0</v>
      </c>
      <c r="Q285" t="n">
        <v>0</v>
      </c>
      <c r="R285" s="2" t="inlineStr"/>
    </row>
    <row r="286" ht="15" customHeight="1">
      <c r="A286" t="inlineStr">
        <is>
          <t>A 3041-2024</t>
        </is>
      </c>
      <c r="B286" s="1" t="n">
        <v>45316.34875</v>
      </c>
      <c r="C286" s="1" t="n">
        <v>45881</v>
      </c>
      <c r="D286" t="inlineStr">
        <is>
          <t>ÖSTERGÖTLANDS LÄN</t>
        </is>
      </c>
      <c r="E286" t="inlineStr">
        <is>
          <t>LINKÖPING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3043-2024</t>
        </is>
      </c>
      <c r="B287" s="1" t="n">
        <v>45316</v>
      </c>
      <c r="C287" s="1" t="n">
        <v>45881</v>
      </c>
      <c r="D287" t="inlineStr">
        <is>
          <t>ÖSTERGÖTLANDS LÄN</t>
        </is>
      </c>
      <c r="E287" t="inlineStr">
        <is>
          <t>LINKÖPING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10741-2023</t>
        </is>
      </c>
      <c r="B288" s="1" t="n">
        <v>44988.70084490741</v>
      </c>
      <c r="C288" s="1" t="n">
        <v>45881</v>
      </c>
      <c r="D288" t="inlineStr">
        <is>
          <t>ÖSTERGÖTLANDS LÄN</t>
        </is>
      </c>
      <c r="E288" t="inlineStr">
        <is>
          <t>LINKÖPING</t>
        </is>
      </c>
      <c r="F288" t="inlineStr">
        <is>
          <t>Allmännings- och besparingsskogar</t>
        </is>
      </c>
      <c r="G288" t="n">
        <v>11.2</v>
      </c>
      <c r="H288" t="n">
        <v>0</v>
      </c>
      <c r="I288" t="n">
        <v>0</v>
      </c>
      <c r="J288" t="n">
        <v>0</v>
      </c>
      <c r="K288" t="n">
        <v>0</v>
      </c>
      <c r="L288" t="n">
        <v>0</v>
      </c>
      <c r="M288" t="n">
        <v>0</v>
      </c>
      <c r="N288" t="n">
        <v>0</v>
      </c>
      <c r="O288" t="n">
        <v>0</v>
      </c>
      <c r="P288" t="n">
        <v>0</v>
      </c>
      <c r="Q288" t="n">
        <v>0</v>
      </c>
      <c r="R288" s="2" t="inlineStr"/>
    </row>
    <row r="289" ht="15" customHeight="1">
      <c r="A289" t="inlineStr">
        <is>
          <t>A 50963-2021</t>
        </is>
      </c>
      <c r="B289" s="1" t="n">
        <v>44460</v>
      </c>
      <c r="C289" s="1" t="n">
        <v>45881</v>
      </c>
      <c r="D289" t="inlineStr">
        <is>
          <t>ÖSTERGÖTLANDS LÄN</t>
        </is>
      </c>
      <c r="E289" t="inlineStr">
        <is>
          <t>LINKÖPING</t>
        </is>
      </c>
      <c r="G289" t="n">
        <v>4.4</v>
      </c>
      <c r="H289" t="n">
        <v>0</v>
      </c>
      <c r="I289" t="n">
        <v>0</v>
      </c>
      <c r="J289" t="n">
        <v>0</v>
      </c>
      <c r="K289" t="n">
        <v>0</v>
      </c>
      <c r="L289" t="n">
        <v>0</v>
      </c>
      <c r="M289" t="n">
        <v>0</v>
      </c>
      <c r="N289" t="n">
        <v>0</v>
      </c>
      <c r="O289" t="n">
        <v>0</v>
      </c>
      <c r="P289" t="n">
        <v>0</v>
      </c>
      <c r="Q289" t="n">
        <v>0</v>
      </c>
      <c r="R289" s="2" t="inlineStr"/>
    </row>
    <row r="290" ht="15" customHeight="1">
      <c r="A290" t="inlineStr">
        <is>
          <t>A 22043-2023</t>
        </is>
      </c>
      <c r="B290" s="1" t="n">
        <v>45069.39050925926</v>
      </c>
      <c r="C290" s="1" t="n">
        <v>45881</v>
      </c>
      <c r="D290" t="inlineStr">
        <is>
          <t>ÖSTERGÖTLANDS LÄN</t>
        </is>
      </c>
      <c r="E290" t="inlineStr">
        <is>
          <t>LINKÖPING</t>
        </is>
      </c>
      <c r="G290" t="n">
        <v>5.9</v>
      </c>
      <c r="H290" t="n">
        <v>0</v>
      </c>
      <c r="I290" t="n">
        <v>0</v>
      </c>
      <c r="J290" t="n">
        <v>0</v>
      </c>
      <c r="K290" t="n">
        <v>0</v>
      </c>
      <c r="L290" t="n">
        <v>0</v>
      </c>
      <c r="M290" t="n">
        <v>0</v>
      </c>
      <c r="N290" t="n">
        <v>0</v>
      </c>
      <c r="O290" t="n">
        <v>0</v>
      </c>
      <c r="P290" t="n">
        <v>0</v>
      </c>
      <c r="Q290" t="n">
        <v>0</v>
      </c>
      <c r="R290" s="2" t="inlineStr"/>
    </row>
    <row r="291" ht="15" customHeight="1">
      <c r="A291" t="inlineStr">
        <is>
          <t>A 42413-2020</t>
        </is>
      </c>
      <c r="B291" s="1" t="n">
        <v>44076</v>
      </c>
      <c r="C291" s="1" t="n">
        <v>45881</v>
      </c>
      <c r="D291" t="inlineStr">
        <is>
          <t>ÖSTERGÖTLANDS LÄN</t>
        </is>
      </c>
      <c r="E291" t="inlineStr">
        <is>
          <t>LINKÖPING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3530-2024</t>
        </is>
      </c>
      <c r="B292" s="1" t="n">
        <v>45320.54717592592</v>
      </c>
      <c r="C292" s="1" t="n">
        <v>45881</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45821-2024</t>
        </is>
      </c>
      <c r="B293" s="1" t="n">
        <v>45579.75803240741</v>
      </c>
      <c r="C293" s="1" t="n">
        <v>45881</v>
      </c>
      <c r="D293" t="inlineStr">
        <is>
          <t>ÖSTERGÖTLANDS LÄN</t>
        </is>
      </c>
      <c r="E293" t="inlineStr">
        <is>
          <t>LINKÖPING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61936-2023</t>
        </is>
      </c>
      <c r="B294" s="1" t="n">
        <v>45266.54534722222</v>
      </c>
      <c r="C294" s="1" t="n">
        <v>45881</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1263-2024</t>
        </is>
      </c>
      <c r="B295" s="1" t="n">
        <v>45302</v>
      </c>
      <c r="C295" s="1" t="n">
        <v>45881</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24464-2023</t>
        </is>
      </c>
      <c r="B296" s="1" t="n">
        <v>45082.58068287037</v>
      </c>
      <c r="C296" s="1" t="n">
        <v>45881</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49656-2021</t>
        </is>
      </c>
      <c r="B297" s="1" t="n">
        <v>44454</v>
      </c>
      <c r="C297" s="1" t="n">
        <v>45881</v>
      </c>
      <c r="D297" t="inlineStr">
        <is>
          <t>ÖSTERGÖTLANDS LÄN</t>
        </is>
      </c>
      <c r="E297" t="inlineStr">
        <is>
          <t>LINKÖPING</t>
        </is>
      </c>
      <c r="G297" t="n">
        <v>2.3</v>
      </c>
      <c r="H297" t="n">
        <v>0</v>
      </c>
      <c r="I297" t="n">
        <v>0</v>
      </c>
      <c r="J297" t="n">
        <v>0</v>
      </c>
      <c r="K297" t="n">
        <v>0</v>
      </c>
      <c r="L297" t="n">
        <v>0</v>
      </c>
      <c r="M297" t="n">
        <v>0</v>
      </c>
      <c r="N297" t="n">
        <v>0</v>
      </c>
      <c r="O297" t="n">
        <v>0</v>
      </c>
      <c r="P297" t="n">
        <v>0</v>
      </c>
      <c r="Q297" t="n">
        <v>0</v>
      </c>
      <c r="R297" s="2" t="inlineStr"/>
    </row>
    <row r="298" ht="15" customHeight="1">
      <c r="A298" t="inlineStr">
        <is>
          <t>A 44535-2020</t>
        </is>
      </c>
      <c r="B298" s="1" t="n">
        <v>44085</v>
      </c>
      <c r="C298" s="1" t="n">
        <v>45881</v>
      </c>
      <c r="D298" t="inlineStr">
        <is>
          <t>ÖSTERGÖTLANDS LÄN</t>
        </is>
      </c>
      <c r="E298" t="inlineStr">
        <is>
          <t>LINKÖPING</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48389-2024</t>
        </is>
      </c>
      <c r="B299" s="1" t="n">
        <v>45590.59991898148</v>
      </c>
      <c r="C299" s="1" t="n">
        <v>45881</v>
      </c>
      <c r="D299" t="inlineStr">
        <is>
          <t>ÖSTERGÖTLANDS LÄN</t>
        </is>
      </c>
      <c r="E299" t="inlineStr">
        <is>
          <t>LINKÖPING</t>
        </is>
      </c>
      <c r="G299" t="n">
        <v>2.6</v>
      </c>
      <c r="H299" t="n">
        <v>0</v>
      </c>
      <c r="I299" t="n">
        <v>0</v>
      </c>
      <c r="J299" t="n">
        <v>0</v>
      </c>
      <c r="K299" t="n">
        <v>0</v>
      </c>
      <c r="L299" t="n">
        <v>0</v>
      </c>
      <c r="M299" t="n">
        <v>0</v>
      </c>
      <c r="N299" t="n">
        <v>0</v>
      </c>
      <c r="O299" t="n">
        <v>0</v>
      </c>
      <c r="P299" t="n">
        <v>0</v>
      </c>
      <c r="Q299" t="n">
        <v>0</v>
      </c>
      <c r="R299" s="2" t="inlineStr"/>
    </row>
    <row r="300" ht="15" customHeight="1">
      <c r="A300" t="inlineStr">
        <is>
          <t>A 61281-2021</t>
        </is>
      </c>
      <c r="B300" s="1" t="n">
        <v>44498.60736111111</v>
      </c>
      <c r="C300" s="1" t="n">
        <v>45881</v>
      </c>
      <c r="D300" t="inlineStr">
        <is>
          <t>ÖSTERGÖTLANDS LÄN</t>
        </is>
      </c>
      <c r="E300" t="inlineStr">
        <is>
          <t>LINKÖPING</t>
        </is>
      </c>
      <c r="G300" t="n">
        <v>4.5</v>
      </c>
      <c r="H300" t="n">
        <v>0</v>
      </c>
      <c r="I300" t="n">
        <v>0</v>
      </c>
      <c r="J300" t="n">
        <v>0</v>
      </c>
      <c r="K300" t="n">
        <v>0</v>
      </c>
      <c r="L300" t="n">
        <v>0</v>
      </c>
      <c r="M300" t="n">
        <v>0</v>
      </c>
      <c r="N300" t="n">
        <v>0</v>
      </c>
      <c r="O300" t="n">
        <v>0</v>
      </c>
      <c r="P300" t="n">
        <v>0</v>
      </c>
      <c r="Q300" t="n">
        <v>0</v>
      </c>
      <c r="R300" s="2" t="inlineStr"/>
    </row>
    <row r="301" ht="15" customHeight="1">
      <c r="A301" t="inlineStr">
        <is>
          <t>A 62686-2023</t>
        </is>
      </c>
      <c r="B301" s="1" t="n">
        <v>45271</v>
      </c>
      <c r="C301" s="1" t="n">
        <v>45881</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55345-2021</t>
        </is>
      </c>
      <c r="B302" s="1" t="n">
        <v>44475</v>
      </c>
      <c r="C302" s="1" t="n">
        <v>45881</v>
      </c>
      <c r="D302" t="inlineStr">
        <is>
          <t>ÖSTERGÖTLANDS LÄN</t>
        </is>
      </c>
      <c r="E302" t="inlineStr">
        <is>
          <t>LINKÖPING</t>
        </is>
      </c>
      <c r="G302" t="n">
        <v>5.7</v>
      </c>
      <c r="H302" t="n">
        <v>0</v>
      </c>
      <c r="I302" t="n">
        <v>0</v>
      </c>
      <c r="J302" t="n">
        <v>0</v>
      </c>
      <c r="K302" t="n">
        <v>0</v>
      </c>
      <c r="L302" t="n">
        <v>0</v>
      </c>
      <c r="M302" t="n">
        <v>0</v>
      </c>
      <c r="N302" t="n">
        <v>0</v>
      </c>
      <c r="O302" t="n">
        <v>0</v>
      </c>
      <c r="P302" t="n">
        <v>0</v>
      </c>
      <c r="Q302" t="n">
        <v>0</v>
      </c>
      <c r="R302" s="2" t="inlineStr"/>
    </row>
    <row r="303" ht="15" customHeight="1">
      <c r="A303" t="inlineStr">
        <is>
          <t>A 63489-2023</t>
        </is>
      </c>
      <c r="B303" s="1" t="n">
        <v>45274.66761574074</v>
      </c>
      <c r="C303" s="1" t="n">
        <v>45881</v>
      </c>
      <c r="D303" t="inlineStr">
        <is>
          <t>ÖSTERGÖTLANDS LÄN</t>
        </is>
      </c>
      <c r="E303" t="inlineStr">
        <is>
          <t>LINKÖPING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30465-2023</t>
        </is>
      </c>
      <c r="B304" s="1" t="n">
        <v>45111</v>
      </c>
      <c r="C304" s="1" t="n">
        <v>45881</v>
      </c>
      <c r="D304" t="inlineStr">
        <is>
          <t>ÖSTERGÖTLANDS LÄN</t>
        </is>
      </c>
      <c r="E304" t="inlineStr">
        <is>
          <t>LINKÖPING</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70-2024</t>
        </is>
      </c>
      <c r="B305" s="1" t="n">
        <v>45293</v>
      </c>
      <c r="C305" s="1" t="n">
        <v>45881</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6369-2023</t>
        </is>
      </c>
      <c r="B306" s="1" t="n">
        <v>44965.61106481482</v>
      </c>
      <c r="C306" s="1" t="n">
        <v>45881</v>
      </c>
      <c r="D306" t="inlineStr">
        <is>
          <t>ÖSTERGÖTLANDS LÄN</t>
        </is>
      </c>
      <c r="E306" t="inlineStr">
        <is>
          <t>LINKÖPING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30521-2024</t>
        </is>
      </c>
      <c r="B307" s="1" t="n">
        <v>45492</v>
      </c>
      <c r="C307" s="1" t="n">
        <v>45881</v>
      </c>
      <c r="D307" t="inlineStr">
        <is>
          <t>ÖSTERGÖTLANDS LÄN</t>
        </is>
      </c>
      <c r="E307" t="inlineStr">
        <is>
          <t>LINKÖPING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6782-2024</t>
        </is>
      </c>
      <c r="B308" s="1" t="n">
        <v>45342</v>
      </c>
      <c r="C308" s="1" t="n">
        <v>45881</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40618-2021</t>
        </is>
      </c>
      <c r="B309" s="1" t="n">
        <v>44420.49575231481</v>
      </c>
      <c r="C309" s="1" t="n">
        <v>45881</v>
      </c>
      <c r="D309" t="inlineStr">
        <is>
          <t>ÖSTERGÖTLANDS LÄN</t>
        </is>
      </c>
      <c r="E309" t="inlineStr">
        <is>
          <t>LINKÖPING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617-2024</t>
        </is>
      </c>
      <c r="B310" s="1" t="n">
        <v>45299.66028935185</v>
      </c>
      <c r="C310" s="1" t="n">
        <v>45881</v>
      </c>
      <c r="D310" t="inlineStr">
        <is>
          <t>ÖSTERGÖTLANDS LÄN</t>
        </is>
      </c>
      <c r="E310" t="inlineStr">
        <is>
          <t>LINKÖPING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670-2024</t>
        </is>
      </c>
      <c r="B311" s="1" t="n">
        <v>45300.3408912037</v>
      </c>
      <c r="C311" s="1" t="n">
        <v>45881</v>
      </c>
      <c r="D311" t="inlineStr">
        <is>
          <t>ÖSTERGÖTLANDS LÄN</t>
        </is>
      </c>
      <c r="E311" t="inlineStr">
        <is>
          <t>LINKÖPING</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52125-2022</t>
        </is>
      </c>
      <c r="B312" s="1" t="n">
        <v>44873</v>
      </c>
      <c r="C312" s="1" t="n">
        <v>45881</v>
      </c>
      <c r="D312" t="inlineStr">
        <is>
          <t>ÖSTERGÖTLANDS LÄN</t>
        </is>
      </c>
      <c r="E312" t="inlineStr">
        <is>
          <t>LINKÖPING</t>
        </is>
      </c>
      <c r="F312" t="inlineStr">
        <is>
          <t>Övriga Aktiebolag</t>
        </is>
      </c>
      <c r="G312" t="n">
        <v>0.7</v>
      </c>
      <c r="H312" t="n">
        <v>0</v>
      </c>
      <c r="I312" t="n">
        <v>0</v>
      </c>
      <c r="J312" t="n">
        <v>0</v>
      </c>
      <c r="K312" t="n">
        <v>0</v>
      </c>
      <c r="L312" t="n">
        <v>0</v>
      </c>
      <c r="M312" t="n">
        <v>0</v>
      </c>
      <c r="N312" t="n">
        <v>0</v>
      </c>
      <c r="O312" t="n">
        <v>0</v>
      </c>
      <c r="P312" t="n">
        <v>0</v>
      </c>
      <c r="Q312" t="n">
        <v>0</v>
      </c>
      <c r="R312" s="2" t="inlineStr"/>
    </row>
    <row r="313" ht="15" customHeight="1">
      <c r="A313" t="inlineStr">
        <is>
          <t>A 62374-2020</t>
        </is>
      </c>
      <c r="B313" s="1" t="n">
        <v>44159</v>
      </c>
      <c r="C313" s="1" t="n">
        <v>45881</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23735-2023</t>
        </is>
      </c>
      <c r="B314" s="1" t="n">
        <v>45077</v>
      </c>
      <c r="C314" s="1" t="n">
        <v>45881</v>
      </c>
      <c r="D314" t="inlineStr">
        <is>
          <t>ÖSTERGÖTLANDS LÄN</t>
        </is>
      </c>
      <c r="E314" t="inlineStr">
        <is>
          <t>LINKÖPING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350-2022</t>
        </is>
      </c>
      <c r="B315" s="1" t="n">
        <v>44565</v>
      </c>
      <c r="C315" s="1" t="n">
        <v>45881</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4256-2022</t>
        </is>
      </c>
      <c r="B316" s="1" t="n">
        <v>44588</v>
      </c>
      <c r="C316" s="1" t="n">
        <v>45881</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1084-2023</t>
        </is>
      </c>
      <c r="B317" s="1" t="n">
        <v>44929</v>
      </c>
      <c r="C317" s="1" t="n">
        <v>45881</v>
      </c>
      <c r="D317" t="inlineStr">
        <is>
          <t>ÖSTERGÖTLANDS LÄN</t>
        </is>
      </c>
      <c r="E317" t="inlineStr">
        <is>
          <t>LINKÖPING</t>
        </is>
      </c>
      <c r="G317" t="n">
        <v>10.4</v>
      </c>
      <c r="H317" t="n">
        <v>0</v>
      </c>
      <c r="I317" t="n">
        <v>0</v>
      </c>
      <c r="J317" t="n">
        <v>0</v>
      </c>
      <c r="K317" t="n">
        <v>0</v>
      </c>
      <c r="L317" t="n">
        <v>0</v>
      </c>
      <c r="M317" t="n">
        <v>0</v>
      </c>
      <c r="N317" t="n">
        <v>0</v>
      </c>
      <c r="O317" t="n">
        <v>0</v>
      </c>
      <c r="P317" t="n">
        <v>0</v>
      </c>
      <c r="Q317" t="n">
        <v>0</v>
      </c>
      <c r="R317" s="2" t="inlineStr"/>
    </row>
    <row r="318" ht="15" customHeight="1">
      <c r="A318" t="inlineStr">
        <is>
          <t>A 10094-2024</t>
        </is>
      </c>
      <c r="B318" s="1" t="n">
        <v>45364</v>
      </c>
      <c r="C318" s="1" t="n">
        <v>45881</v>
      </c>
      <c r="D318" t="inlineStr">
        <is>
          <t>ÖSTERGÖTLANDS LÄN</t>
        </is>
      </c>
      <c r="E318" t="inlineStr">
        <is>
          <t>LINKÖPING</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25948-2023</t>
        </is>
      </c>
      <c r="B319" s="1" t="n">
        <v>45090</v>
      </c>
      <c r="C319" s="1" t="n">
        <v>45881</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1207-2023</t>
        </is>
      </c>
      <c r="B320" s="1" t="n">
        <v>44930</v>
      </c>
      <c r="C320" s="1" t="n">
        <v>45881</v>
      </c>
      <c r="D320" t="inlineStr">
        <is>
          <t>ÖSTERGÖTLANDS LÄN</t>
        </is>
      </c>
      <c r="E320" t="inlineStr">
        <is>
          <t>LINKÖPING</t>
        </is>
      </c>
      <c r="F320" t="inlineStr">
        <is>
          <t>Övriga statliga verk och myndigheter</t>
        </is>
      </c>
      <c r="G320" t="n">
        <v>32.8</v>
      </c>
      <c r="H320" t="n">
        <v>0</v>
      </c>
      <c r="I320" t="n">
        <v>0</v>
      </c>
      <c r="J320" t="n">
        <v>0</v>
      </c>
      <c r="K320" t="n">
        <v>0</v>
      </c>
      <c r="L320" t="n">
        <v>0</v>
      </c>
      <c r="M320" t="n">
        <v>0</v>
      </c>
      <c r="N320" t="n">
        <v>0</v>
      </c>
      <c r="O320" t="n">
        <v>0</v>
      </c>
      <c r="P320" t="n">
        <v>0</v>
      </c>
      <c r="Q320" t="n">
        <v>0</v>
      </c>
      <c r="R320" s="2" t="inlineStr"/>
    </row>
    <row r="321" ht="15" customHeight="1">
      <c r="A321" t="inlineStr">
        <is>
          <t>A 62015-2024</t>
        </is>
      </c>
      <c r="B321" s="1" t="n">
        <v>45655.80457175926</v>
      </c>
      <c r="C321" s="1" t="n">
        <v>45881</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62020-2024</t>
        </is>
      </c>
      <c r="B322" s="1" t="n">
        <v>45655.83563657408</v>
      </c>
      <c r="C322" s="1" t="n">
        <v>45881</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62021-2024</t>
        </is>
      </c>
      <c r="B323" s="1" t="n">
        <v>45655.84232638889</v>
      </c>
      <c r="C323" s="1" t="n">
        <v>45881</v>
      </c>
      <c r="D323" t="inlineStr">
        <is>
          <t>ÖSTERGÖTLANDS LÄN</t>
        </is>
      </c>
      <c r="E323" t="inlineStr">
        <is>
          <t>LINKÖPING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33867-2023</t>
        </is>
      </c>
      <c r="B324" s="1" t="n">
        <v>45133.94640046296</v>
      </c>
      <c r="C324" s="1" t="n">
        <v>45881</v>
      </c>
      <c r="D324" t="inlineStr">
        <is>
          <t>ÖSTERGÖTLANDS LÄN</t>
        </is>
      </c>
      <c r="E324" t="inlineStr">
        <is>
          <t>LINKÖPING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29859-2024</t>
        </is>
      </c>
      <c r="B325" s="1" t="n">
        <v>45485.6846412037</v>
      </c>
      <c r="C325" s="1" t="n">
        <v>45881</v>
      </c>
      <c r="D325" t="inlineStr">
        <is>
          <t>ÖSTERGÖTLANDS LÄN</t>
        </is>
      </c>
      <c r="E325" t="inlineStr">
        <is>
          <t>LINKÖPING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51571-2024</t>
        </is>
      </c>
      <c r="B326" s="1" t="n">
        <v>45604</v>
      </c>
      <c r="C326" s="1" t="n">
        <v>45881</v>
      </c>
      <c r="D326" t="inlineStr">
        <is>
          <t>ÖSTERGÖTLANDS LÄN</t>
        </is>
      </c>
      <c r="E326" t="inlineStr">
        <is>
          <t>LINKÖPING</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27891-2021</t>
        </is>
      </c>
      <c r="B327" s="1" t="n">
        <v>44354.65108796296</v>
      </c>
      <c r="C327" s="1" t="n">
        <v>45881</v>
      </c>
      <c r="D327" t="inlineStr">
        <is>
          <t>ÖSTERGÖTLANDS LÄN</t>
        </is>
      </c>
      <c r="E327" t="inlineStr">
        <is>
          <t>LINKÖPING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223-2024</t>
        </is>
      </c>
      <c r="B328" s="1" t="n">
        <v>45294.72739583333</v>
      </c>
      <c r="C328" s="1" t="n">
        <v>45881</v>
      </c>
      <c r="D328" t="inlineStr">
        <is>
          <t>ÖSTERGÖTLANDS LÄN</t>
        </is>
      </c>
      <c r="E328" t="inlineStr">
        <is>
          <t>LINKÖPING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227-2024</t>
        </is>
      </c>
      <c r="B329" s="1" t="n">
        <v>45294.73603009259</v>
      </c>
      <c r="C329" s="1" t="n">
        <v>45881</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57391-2023</t>
        </is>
      </c>
      <c r="B330" s="1" t="n">
        <v>45245</v>
      </c>
      <c r="C330" s="1" t="n">
        <v>45881</v>
      </c>
      <c r="D330" t="inlineStr">
        <is>
          <t>ÖSTERGÖTLANDS LÄN</t>
        </is>
      </c>
      <c r="E330" t="inlineStr">
        <is>
          <t>LINKÖPING</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20294-2025</t>
        </is>
      </c>
      <c r="B331" s="1" t="n">
        <v>45774.74667824074</v>
      </c>
      <c r="C331" s="1" t="n">
        <v>45881</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53616-2020</t>
        </is>
      </c>
      <c r="B332" s="1" t="n">
        <v>44123</v>
      </c>
      <c r="C332" s="1" t="n">
        <v>45881</v>
      </c>
      <c r="D332" t="inlineStr">
        <is>
          <t>ÖSTERGÖTLANDS LÄN</t>
        </is>
      </c>
      <c r="E332" t="inlineStr">
        <is>
          <t>LINKÖPING</t>
        </is>
      </c>
      <c r="G332" t="n">
        <v>2.7</v>
      </c>
      <c r="H332" t="n">
        <v>0</v>
      </c>
      <c r="I332" t="n">
        <v>0</v>
      </c>
      <c r="J332" t="n">
        <v>0</v>
      </c>
      <c r="K332" t="n">
        <v>0</v>
      </c>
      <c r="L332" t="n">
        <v>0</v>
      </c>
      <c r="M332" t="n">
        <v>0</v>
      </c>
      <c r="N332" t="n">
        <v>0</v>
      </c>
      <c r="O332" t="n">
        <v>0</v>
      </c>
      <c r="P332" t="n">
        <v>0</v>
      </c>
      <c r="Q332" t="n">
        <v>0</v>
      </c>
      <c r="R332" s="2" t="inlineStr"/>
    </row>
    <row r="333" ht="15" customHeight="1">
      <c r="A333" t="inlineStr">
        <is>
          <t>A 60013-2022</t>
        </is>
      </c>
      <c r="B333" s="1" t="n">
        <v>44909.47482638889</v>
      </c>
      <c r="C333" s="1" t="n">
        <v>45881</v>
      </c>
      <c r="D333" t="inlineStr">
        <is>
          <t>ÖSTERGÖTLANDS LÄN</t>
        </is>
      </c>
      <c r="E333" t="inlineStr">
        <is>
          <t>LINKÖPING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24462-2023</t>
        </is>
      </c>
      <c r="B334" s="1" t="n">
        <v>45082</v>
      </c>
      <c r="C334" s="1" t="n">
        <v>45881</v>
      </c>
      <c r="D334" t="inlineStr">
        <is>
          <t>ÖSTERGÖTLANDS LÄN</t>
        </is>
      </c>
      <c r="E334" t="inlineStr">
        <is>
          <t>LINKÖPING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56917-2022</t>
        </is>
      </c>
      <c r="B335" s="1" t="n">
        <v>44894</v>
      </c>
      <c r="C335" s="1" t="n">
        <v>45881</v>
      </c>
      <c r="D335" t="inlineStr">
        <is>
          <t>ÖSTERGÖTLANDS LÄN</t>
        </is>
      </c>
      <c r="E335" t="inlineStr">
        <is>
          <t>LINKÖPING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3007-2025</t>
        </is>
      </c>
      <c r="B336" s="1" t="n">
        <v>45678.56328703704</v>
      </c>
      <c r="C336" s="1" t="n">
        <v>45881</v>
      </c>
      <c r="D336" t="inlineStr">
        <is>
          <t>ÖSTERGÖTLANDS LÄN</t>
        </is>
      </c>
      <c r="E336" t="inlineStr">
        <is>
          <t>LINKÖPING</t>
        </is>
      </c>
      <c r="G336" t="n">
        <v>3.1</v>
      </c>
      <c r="H336" t="n">
        <v>0</v>
      </c>
      <c r="I336" t="n">
        <v>0</v>
      </c>
      <c r="J336" t="n">
        <v>0</v>
      </c>
      <c r="K336" t="n">
        <v>0</v>
      </c>
      <c r="L336" t="n">
        <v>0</v>
      </c>
      <c r="M336" t="n">
        <v>0</v>
      </c>
      <c r="N336" t="n">
        <v>0</v>
      </c>
      <c r="O336" t="n">
        <v>0</v>
      </c>
      <c r="P336" t="n">
        <v>0</v>
      </c>
      <c r="Q336" t="n">
        <v>0</v>
      </c>
      <c r="R336" s="2" t="inlineStr"/>
    </row>
    <row r="337" ht="15" customHeight="1">
      <c r="A337" t="inlineStr">
        <is>
          <t>A 34877-2023</t>
        </is>
      </c>
      <c r="B337" s="1" t="n">
        <v>45140</v>
      </c>
      <c r="C337" s="1" t="n">
        <v>45881</v>
      </c>
      <c r="D337" t="inlineStr">
        <is>
          <t>ÖSTERGÖTLANDS LÄN</t>
        </is>
      </c>
      <c r="E337" t="inlineStr">
        <is>
          <t>LINKÖPING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48829-2023</t>
        </is>
      </c>
      <c r="B338" s="1" t="n">
        <v>45209.38177083333</v>
      </c>
      <c r="C338" s="1" t="n">
        <v>45881</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1924-2024</t>
        </is>
      </c>
      <c r="B339" s="1" t="n">
        <v>45308</v>
      </c>
      <c r="C339" s="1" t="n">
        <v>45881</v>
      </c>
      <c r="D339" t="inlineStr">
        <is>
          <t>ÖSTERGÖTLANDS LÄN</t>
        </is>
      </c>
      <c r="E339" t="inlineStr">
        <is>
          <t>LINKÖPING</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1265-2023</t>
        </is>
      </c>
      <c r="B340" s="1" t="n">
        <v>44936</v>
      </c>
      <c r="C340" s="1" t="n">
        <v>45881</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1362-2023</t>
        </is>
      </c>
      <c r="B341" s="1" t="n">
        <v>44931</v>
      </c>
      <c r="C341" s="1" t="n">
        <v>45881</v>
      </c>
      <c r="D341" t="inlineStr">
        <is>
          <t>ÖSTERGÖTLANDS LÄN</t>
        </is>
      </c>
      <c r="E341" t="inlineStr">
        <is>
          <t>LINKÖPING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42093-2020</t>
        </is>
      </c>
      <c r="B342" s="1" t="n">
        <v>44075</v>
      </c>
      <c r="C342" s="1" t="n">
        <v>45881</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54034-2022</t>
        </is>
      </c>
      <c r="B343" s="1" t="n">
        <v>44881</v>
      </c>
      <c r="C343" s="1" t="n">
        <v>45881</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55493-2021</t>
        </is>
      </c>
      <c r="B344" s="1" t="n">
        <v>44475.61988425926</v>
      </c>
      <c r="C344" s="1" t="n">
        <v>45881</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54846-2024</t>
        </is>
      </c>
      <c r="B345" s="1" t="n">
        <v>45618</v>
      </c>
      <c r="C345" s="1" t="n">
        <v>45881</v>
      </c>
      <c r="D345" t="inlineStr">
        <is>
          <t>ÖSTERGÖTLANDS LÄN</t>
        </is>
      </c>
      <c r="E345" t="inlineStr">
        <is>
          <t>LINKÖPING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6054-2022</t>
        </is>
      </c>
      <c r="B346" s="1" t="n">
        <v>44599.53623842593</v>
      </c>
      <c r="C346" s="1" t="n">
        <v>45881</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25119-2023</t>
        </is>
      </c>
      <c r="B347" s="1" t="n">
        <v>45086.42326388889</v>
      </c>
      <c r="C347" s="1" t="n">
        <v>45881</v>
      </c>
      <c r="D347" t="inlineStr">
        <is>
          <t>ÖSTERGÖTLANDS LÄN</t>
        </is>
      </c>
      <c r="E347" t="inlineStr">
        <is>
          <t>LINKÖPING</t>
        </is>
      </c>
      <c r="G347" t="n">
        <v>3.2</v>
      </c>
      <c r="H347" t="n">
        <v>0</v>
      </c>
      <c r="I347" t="n">
        <v>0</v>
      </c>
      <c r="J347" t="n">
        <v>0</v>
      </c>
      <c r="K347" t="n">
        <v>0</v>
      </c>
      <c r="L347" t="n">
        <v>0</v>
      </c>
      <c r="M347" t="n">
        <v>0</v>
      </c>
      <c r="N347" t="n">
        <v>0</v>
      </c>
      <c r="O347" t="n">
        <v>0</v>
      </c>
      <c r="P347" t="n">
        <v>0</v>
      </c>
      <c r="Q347" t="n">
        <v>0</v>
      </c>
      <c r="R347" s="2" t="inlineStr"/>
    </row>
    <row r="348" ht="15" customHeight="1">
      <c r="A348" t="inlineStr">
        <is>
          <t>A 55265-2020</t>
        </is>
      </c>
      <c r="B348" s="1" t="n">
        <v>44130</v>
      </c>
      <c r="C348" s="1" t="n">
        <v>45881</v>
      </c>
      <c r="D348" t="inlineStr">
        <is>
          <t>ÖSTERGÖTLANDS LÄN</t>
        </is>
      </c>
      <c r="E348" t="inlineStr">
        <is>
          <t>LINKÖPING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4456-2024</t>
        </is>
      </c>
      <c r="B349" s="1" t="n">
        <v>45327.52847222222</v>
      </c>
      <c r="C349" s="1" t="n">
        <v>45881</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38231-2022</t>
        </is>
      </c>
      <c r="B350" s="1" t="n">
        <v>44812</v>
      </c>
      <c r="C350" s="1" t="n">
        <v>45881</v>
      </c>
      <c r="D350" t="inlineStr">
        <is>
          <t>ÖSTERGÖTLANDS LÄN</t>
        </is>
      </c>
      <c r="E350" t="inlineStr">
        <is>
          <t>LINKÖPING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50799-2022</t>
        </is>
      </c>
      <c r="B351" s="1" t="n">
        <v>44862</v>
      </c>
      <c r="C351" s="1" t="n">
        <v>45881</v>
      </c>
      <c r="D351" t="inlineStr">
        <is>
          <t>ÖSTERGÖTLANDS LÄN</t>
        </is>
      </c>
      <c r="E351" t="inlineStr">
        <is>
          <t>LINKÖPING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58114-2021</t>
        </is>
      </c>
      <c r="B352" s="1" t="n">
        <v>44487</v>
      </c>
      <c r="C352" s="1" t="n">
        <v>45881</v>
      </c>
      <c r="D352" t="inlineStr">
        <is>
          <t>ÖSTERGÖTLANDS LÄN</t>
        </is>
      </c>
      <c r="E352" t="inlineStr">
        <is>
          <t>LINKÖPING</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40431-2024</t>
        </is>
      </c>
      <c r="B353" s="1" t="n">
        <v>45555.47070601852</v>
      </c>
      <c r="C353" s="1" t="n">
        <v>45881</v>
      </c>
      <c r="D353" t="inlineStr">
        <is>
          <t>ÖSTERGÖTLANDS LÄN</t>
        </is>
      </c>
      <c r="E353" t="inlineStr">
        <is>
          <t>LINKÖPING</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34558-2022</t>
        </is>
      </c>
      <c r="B354" s="1" t="n">
        <v>44794.57594907407</v>
      </c>
      <c r="C354" s="1" t="n">
        <v>45881</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168-2024</t>
        </is>
      </c>
      <c r="B355" s="1" t="n">
        <v>45294</v>
      </c>
      <c r="C355" s="1" t="n">
        <v>45881</v>
      </c>
      <c r="D355" t="inlineStr">
        <is>
          <t>ÖSTERGÖTLANDS LÄN</t>
        </is>
      </c>
      <c r="E355" t="inlineStr">
        <is>
          <t>LINKÖPING</t>
        </is>
      </c>
      <c r="F355" t="inlineStr">
        <is>
          <t>Allmännings- och besparingsskogar</t>
        </is>
      </c>
      <c r="G355" t="n">
        <v>8.9</v>
      </c>
      <c r="H355" t="n">
        <v>0</v>
      </c>
      <c r="I355" t="n">
        <v>0</v>
      </c>
      <c r="J355" t="n">
        <v>0</v>
      </c>
      <c r="K355" t="n">
        <v>0</v>
      </c>
      <c r="L355" t="n">
        <v>0</v>
      </c>
      <c r="M355" t="n">
        <v>0</v>
      </c>
      <c r="N355" t="n">
        <v>0</v>
      </c>
      <c r="O355" t="n">
        <v>0</v>
      </c>
      <c r="P355" t="n">
        <v>0</v>
      </c>
      <c r="Q355" t="n">
        <v>0</v>
      </c>
      <c r="R355" s="2" t="inlineStr"/>
    </row>
    <row r="356" ht="15" customHeight="1">
      <c r="A356" t="inlineStr">
        <is>
          <t>A 52892-2024</t>
        </is>
      </c>
      <c r="B356" s="1" t="n">
        <v>45610</v>
      </c>
      <c r="C356" s="1" t="n">
        <v>45881</v>
      </c>
      <c r="D356" t="inlineStr">
        <is>
          <t>ÖSTERGÖTLANDS LÄN</t>
        </is>
      </c>
      <c r="E356" t="inlineStr">
        <is>
          <t>LINKÖPING</t>
        </is>
      </c>
      <c r="G356" t="n">
        <v>4.2</v>
      </c>
      <c r="H356" t="n">
        <v>0</v>
      </c>
      <c r="I356" t="n">
        <v>0</v>
      </c>
      <c r="J356" t="n">
        <v>0</v>
      </c>
      <c r="K356" t="n">
        <v>0</v>
      </c>
      <c r="L356" t="n">
        <v>0</v>
      </c>
      <c r="M356" t="n">
        <v>0</v>
      </c>
      <c r="N356" t="n">
        <v>0</v>
      </c>
      <c r="O356" t="n">
        <v>0</v>
      </c>
      <c r="P356" t="n">
        <v>0</v>
      </c>
      <c r="Q356" t="n">
        <v>0</v>
      </c>
      <c r="R356" s="2" t="inlineStr"/>
    </row>
    <row r="357" ht="15" customHeight="1">
      <c r="A357" t="inlineStr">
        <is>
          <t>A 267-2023</t>
        </is>
      </c>
      <c r="B357" s="1" t="n">
        <v>44928.80907407407</v>
      </c>
      <c r="C357" s="1" t="n">
        <v>45881</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26618-2023</t>
        </is>
      </c>
      <c r="B358" s="1" t="n">
        <v>45092.70306712963</v>
      </c>
      <c r="C358" s="1" t="n">
        <v>45881</v>
      </c>
      <c r="D358" t="inlineStr">
        <is>
          <t>ÖSTERGÖTLANDS LÄN</t>
        </is>
      </c>
      <c r="E358" t="inlineStr">
        <is>
          <t>LINKÖPING</t>
        </is>
      </c>
      <c r="G358" t="n">
        <v>6.9</v>
      </c>
      <c r="H358" t="n">
        <v>0</v>
      </c>
      <c r="I358" t="n">
        <v>0</v>
      </c>
      <c r="J358" t="n">
        <v>0</v>
      </c>
      <c r="K358" t="n">
        <v>0</v>
      </c>
      <c r="L358" t="n">
        <v>0</v>
      </c>
      <c r="M358" t="n">
        <v>0</v>
      </c>
      <c r="N358" t="n">
        <v>0</v>
      </c>
      <c r="O358" t="n">
        <v>0</v>
      </c>
      <c r="P358" t="n">
        <v>0</v>
      </c>
      <c r="Q358" t="n">
        <v>0</v>
      </c>
      <c r="R358" s="2" t="inlineStr"/>
    </row>
    <row r="359" ht="15" customHeight="1">
      <c r="A359" t="inlineStr">
        <is>
          <t>A 15658-2023</t>
        </is>
      </c>
      <c r="B359" s="1" t="n">
        <v>45021.41194444444</v>
      </c>
      <c r="C359" s="1" t="n">
        <v>45881</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63665-2023</t>
        </is>
      </c>
      <c r="B360" s="1" t="n">
        <v>45275</v>
      </c>
      <c r="C360" s="1" t="n">
        <v>45881</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30433-2024</t>
        </is>
      </c>
      <c r="B361" s="1" t="n">
        <v>45491.69741898148</v>
      </c>
      <c r="C361" s="1" t="n">
        <v>45881</v>
      </c>
      <c r="D361" t="inlineStr">
        <is>
          <t>ÖSTERGÖTLANDS LÄN</t>
        </is>
      </c>
      <c r="E361" t="inlineStr">
        <is>
          <t>LINKÖPING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3008-2023</t>
        </is>
      </c>
      <c r="B362" s="1" t="n">
        <v>44945.79784722222</v>
      </c>
      <c r="C362" s="1" t="n">
        <v>45881</v>
      </c>
      <c r="D362" t="inlineStr">
        <is>
          <t>ÖSTERGÖTLANDS LÄN</t>
        </is>
      </c>
      <c r="E362" t="inlineStr">
        <is>
          <t>LINKÖPING</t>
        </is>
      </c>
      <c r="G362" t="n">
        <v>19.3</v>
      </c>
      <c r="H362" t="n">
        <v>0</v>
      </c>
      <c r="I362" t="n">
        <v>0</v>
      </c>
      <c r="J362" t="n">
        <v>0</v>
      </c>
      <c r="K362" t="n">
        <v>0</v>
      </c>
      <c r="L362" t="n">
        <v>0</v>
      </c>
      <c r="M362" t="n">
        <v>0</v>
      </c>
      <c r="N362" t="n">
        <v>0</v>
      </c>
      <c r="O362" t="n">
        <v>0</v>
      </c>
      <c r="P362" t="n">
        <v>0</v>
      </c>
      <c r="Q362" t="n">
        <v>0</v>
      </c>
      <c r="R362" s="2" t="inlineStr"/>
    </row>
    <row r="363" ht="15" customHeight="1">
      <c r="A363" t="inlineStr">
        <is>
          <t>A 52220-2023</t>
        </is>
      </c>
      <c r="B363" s="1" t="n">
        <v>45217</v>
      </c>
      <c r="C363" s="1" t="n">
        <v>45881</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52225-2023</t>
        </is>
      </c>
      <c r="B364" s="1" t="n">
        <v>45217</v>
      </c>
      <c r="C364" s="1" t="n">
        <v>45881</v>
      </c>
      <c r="D364" t="inlineStr">
        <is>
          <t>ÖSTERGÖTLANDS LÄN</t>
        </is>
      </c>
      <c r="E364" t="inlineStr">
        <is>
          <t>LINKÖPING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19464-2024</t>
        </is>
      </c>
      <c r="B365" s="1" t="n">
        <v>45429</v>
      </c>
      <c r="C365" s="1" t="n">
        <v>45881</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67123-2020</t>
        </is>
      </c>
      <c r="B366" s="1" t="n">
        <v>44180</v>
      </c>
      <c r="C366" s="1" t="n">
        <v>45881</v>
      </c>
      <c r="D366" t="inlineStr">
        <is>
          <t>ÖSTERGÖTLANDS LÄN</t>
        </is>
      </c>
      <c r="E366" t="inlineStr">
        <is>
          <t>LINKÖPING</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42044-2023</t>
        </is>
      </c>
      <c r="B367" s="1" t="n">
        <v>45177</v>
      </c>
      <c r="C367" s="1" t="n">
        <v>45881</v>
      </c>
      <c r="D367" t="inlineStr">
        <is>
          <t>ÖSTERGÖTLANDS LÄN</t>
        </is>
      </c>
      <c r="E367" t="inlineStr">
        <is>
          <t>LINKÖPING</t>
        </is>
      </c>
      <c r="G367" t="n">
        <v>3.9</v>
      </c>
      <c r="H367" t="n">
        <v>0</v>
      </c>
      <c r="I367" t="n">
        <v>0</v>
      </c>
      <c r="J367" t="n">
        <v>0</v>
      </c>
      <c r="K367" t="n">
        <v>0</v>
      </c>
      <c r="L367" t="n">
        <v>0</v>
      </c>
      <c r="M367" t="n">
        <v>0</v>
      </c>
      <c r="N367" t="n">
        <v>0</v>
      </c>
      <c r="O367" t="n">
        <v>0</v>
      </c>
      <c r="P367" t="n">
        <v>0</v>
      </c>
      <c r="Q367" t="n">
        <v>0</v>
      </c>
      <c r="R367" s="2" t="inlineStr"/>
    </row>
    <row r="368" ht="15" customHeight="1">
      <c r="A368" t="inlineStr">
        <is>
          <t>A 54491-2020</t>
        </is>
      </c>
      <c r="B368" s="1" t="n">
        <v>44126.64</v>
      </c>
      <c r="C368" s="1" t="n">
        <v>45881</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55736-2022</t>
        </is>
      </c>
      <c r="B369" s="1" t="n">
        <v>44888</v>
      </c>
      <c r="C369" s="1" t="n">
        <v>45881</v>
      </c>
      <c r="D369" t="inlineStr">
        <is>
          <t>ÖSTERGÖTLANDS LÄN</t>
        </is>
      </c>
      <c r="E369" t="inlineStr">
        <is>
          <t>LINKÖPING</t>
        </is>
      </c>
      <c r="G369" t="n">
        <v>5.5</v>
      </c>
      <c r="H369" t="n">
        <v>0</v>
      </c>
      <c r="I369" t="n">
        <v>0</v>
      </c>
      <c r="J369" t="n">
        <v>0</v>
      </c>
      <c r="K369" t="n">
        <v>0</v>
      </c>
      <c r="L369" t="n">
        <v>0</v>
      </c>
      <c r="M369" t="n">
        <v>0</v>
      </c>
      <c r="N369" t="n">
        <v>0</v>
      </c>
      <c r="O369" t="n">
        <v>0</v>
      </c>
      <c r="P369" t="n">
        <v>0</v>
      </c>
      <c r="Q369" t="n">
        <v>0</v>
      </c>
      <c r="R369" s="2" t="inlineStr"/>
    </row>
    <row r="370" ht="15" customHeight="1">
      <c r="A370" t="inlineStr">
        <is>
          <t>A 30429-2024</t>
        </is>
      </c>
      <c r="B370" s="1" t="n">
        <v>45491.68972222223</v>
      </c>
      <c r="C370" s="1" t="n">
        <v>45881</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630-2024</t>
        </is>
      </c>
      <c r="B371" s="1" t="n">
        <v>45299.67736111111</v>
      </c>
      <c r="C371" s="1" t="n">
        <v>45881</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44389-2020</t>
        </is>
      </c>
      <c r="B372" s="1" t="n">
        <v>44084</v>
      </c>
      <c r="C372" s="1" t="n">
        <v>45881</v>
      </c>
      <c r="D372" t="inlineStr">
        <is>
          <t>ÖSTERGÖTLANDS LÄN</t>
        </is>
      </c>
      <c r="E372" t="inlineStr">
        <is>
          <t>LINKÖPING</t>
        </is>
      </c>
      <c r="G372" t="n">
        <v>4.7</v>
      </c>
      <c r="H372" t="n">
        <v>0</v>
      </c>
      <c r="I372" t="n">
        <v>0</v>
      </c>
      <c r="J372" t="n">
        <v>0</v>
      </c>
      <c r="K372" t="n">
        <v>0</v>
      </c>
      <c r="L372" t="n">
        <v>0</v>
      </c>
      <c r="M372" t="n">
        <v>0</v>
      </c>
      <c r="N372" t="n">
        <v>0</v>
      </c>
      <c r="O372" t="n">
        <v>0</v>
      </c>
      <c r="P372" t="n">
        <v>0</v>
      </c>
      <c r="Q372" t="n">
        <v>0</v>
      </c>
      <c r="R372" s="2" t="inlineStr"/>
    </row>
    <row r="373" ht="15" customHeight="1">
      <c r="A373" t="inlineStr">
        <is>
          <t>A 30435-2024</t>
        </is>
      </c>
      <c r="B373" s="1" t="n">
        <v>45491.69962962963</v>
      </c>
      <c r="C373" s="1" t="n">
        <v>45881</v>
      </c>
      <c r="D373" t="inlineStr">
        <is>
          <t>ÖSTERGÖTLANDS LÄN</t>
        </is>
      </c>
      <c r="E373" t="inlineStr">
        <is>
          <t>LINKÖPING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62012-2024</t>
        </is>
      </c>
      <c r="B374" s="1" t="n">
        <v>45655.79679398148</v>
      </c>
      <c r="C374" s="1" t="n">
        <v>45881</v>
      </c>
      <c r="D374" t="inlineStr">
        <is>
          <t>ÖSTERGÖTLANDS LÄN</t>
        </is>
      </c>
      <c r="E374" t="inlineStr">
        <is>
          <t>LINKÖPING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53816-2023</t>
        </is>
      </c>
      <c r="B375" s="1" t="n">
        <v>45231.40012731482</v>
      </c>
      <c r="C375" s="1" t="n">
        <v>45881</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36557-2023</t>
        </is>
      </c>
      <c r="B376" s="1" t="n">
        <v>45153</v>
      </c>
      <c r="C376" s="1" t="n">
        <v>45881</v>
      </c>
      <c r="D376" t="inlineStr">
        <is>
          <t>ÖSTERGÖTLANDS LÄN</t>
        </is>
      </c>
      <c r="E376" t="inlineStr">
        <is>
          <t>LINKÖPING</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30434-2024</t>
        </is>
      </c>
      <c r="B377" s="1" t="n">
        <v>45491.69811342593</v>
      </c>
      <c r="C377" s="1" t="n">
        <v>45881</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6599-2023</t>
        </is>
      </c>
      <c r="B378" s="1" t="n">
        <v>44966.52603009259</v>
      </c>
      <c r="C378" s="1" t="n">
        <v>45881</v>
      </c>
      <c r="D378" t="inlineStr">
        <is>
          <t>ÖSTERGÖTLANDS LÄN</t>
        </is>
      </c>
      <c r="E378" t="inlineStr">
        <is>
          <t>LINKÖPING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43473-2024</t>
        </is>
      </c>
      <c r="B379" s="1" t="n">
        <v>45568</v>
      </c>
      <c r="C379" s="1" t="n">
        <v>45881</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21782-2024</t>
        </is>
      </c>
      <c r="B380" s="1" t="n">
        <v>45442.63368055555</v>
      </c>
      <c r="C380" s="1" t="n">
        <v>45881</v>
      </c>
      <c r="D380" t="inlineStr">
        <is>
          <t>ÖSTERGÖTLANDS LÄN</t>
        </is>
      </c>
      <c r="E380" t="inlineStr">
        <is>
          <t>LINKÖPING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11084-2022</t>
        </is>
      </c>
      <c r="B381" s="1" t="n">
        <v>44628</v>
      </c>
      <c r="C381" s="1" t="n">
        <v>45881</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57745-2022</t>
        </is>
      </c>
      <c r="B382" s="1" t="n">
        <v>44897.58119212963</v>
      </c>
      <c r="C382" s="1" t="n">
        <v>45881</v>
      </c>
      <c r="D382" t="inlineStr">
        <is>
          <t>ÖSTERGÖTLANDS LÄN</t>
        </is>
      </c>
      <c r="E382" t="inlineStr">
        <is>
          <t>LINKÖPING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14520-2025</t>
        </is>
      </c>
      <c r="B383" s="1" t="n">
        <v>45741</v>
      </c>
      <c r="C383" s="1" t="n">
        <v>45881</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58714-2020</t>
        </is>
      </c>
      <c r="B384" s="1" t="n">
        <v>44146</v>
      </c>
      <c r="C384" s="1" t="n">
        <v>45881</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56064-2022</t>
        </is>
      </c>
      <c r="B385" s="1" t="n">
        <v>44889.59107638889</v>
      </c>
      <c r="C385" s="1" t="n">
        <v>45881</v>
      </c>
      <c r="D385" t="inlineStr">
        <is>
          <t>ÖSTERGÖTLANDS LÄN</t>
        </is>
      </c>
      <c r="E385" t="inlineStr">
        <is>
          <t>LINKÖPING</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40502-2024</t>
        </is>
      </c>
      <c r="B386" s="1" t="n">
        <v>45555.57263888889</v>
      </c>
      <c r="C386" s="1" t="n">
        <v>45881</v>
      </c>
      <c r="D386" t="inlineStr">
        <is>
          <t>ÖSTERGÖTLANDS LÄN</t>
        </is>
      </c>
      <c r="E386" t="inlineStr">
        <is>
          <t>LINKÖPING</t>
        </is>
      </c>
      <c r="F386" t="inlineStr">
        <is>
          <t>Allmännings- och besparingsskogar</t>
        </is>
      </c>
      <c r="G386" t="n">
        <v>17.5</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45881</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3374-2023</t>
        </is>
      </c>
      <c r="B388" s="1" t="n">
        <v>44949</v>
      </c>
      <c r="C388" s="1" t="n">
        <v>45881</v>
      </c>
      <c r="D388" t="inlineStr">
        <is>
          <t>ÖSTERGÖTLANDS LÄN</t>
        </is>
      </c>
      <c r="E388" t="inlineStr">
        <is>
          <t>LINKÖPING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224-2024</t>
        </is>
      </c>
      <c r="B389" s="1" t="n">
        <v>45294</v>
      </c>
      <c r="C389" s="1" t="n">
        <v>45881</v>
      </c>
      <c r="D389" t="inlineStr">
        <is>
          <t>ÖSTERGÖTLANDS LÄN</t>
        </is>
      </c>
      <c r="E389" t="inlineStr">
        <is>
          <t>LINKÖPING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6726-2024</t>
        </is>
      </c>
      <c r="B390" s="1" t="n">
        <v>45341</v>
      </c>
      <c r="C390" s="1" t="n">
        <v>45881</v>
      </c>
      <c r="D390" t="inlineStr">
        <is>
          <t>ÖSTERGÖTLANDS LÄN</t>
        </is>
      </c>
      <c r="E390" t="inlineStr">
        <is>
          <t>LINKÖPING</t>
        </is>
      </c>
      <c r="G390" t="n">
        <v>2.7</v>
      </c>
      <c r="H390" t="n">
        <v>0</v>
      </c>
      <c r="I390" t="n">
        <v>0</v>
      </c>
      <c r="J390" t="n">
        <v>0</v>
      </c>
      <c r="K390" t="n">
        <v>0</v>
      </c>
      <c r="L390" t="n">
        <v>0</v>
      </c>
      <c r="M390" t="n">
        <v>0</v>
      </c>
      <c r="N390" t="n">
        <v>0</v>
      </c>
      <c r="O390" t="n">
        <v>0</v>
      </c>
      <c r="P390" t="n">
        <v>0</v>
      </c>
      <c r="Q390" t="n">
        <v>0</v>
      </c>
      <c r="R390" s="2" t="inlineStr"/>
    </row>
    <row r="391" ht="15" customHeight="1">
      <c r="A391" t="inlineStr">
        <is>
          <t>A 16200-2025</t>
        </is>
      </c>
      <c r="B391" s="1" t="n">
        <v>45750.61050925926</v>
      </c>
      <c r="C391" s="1" t="n">
        <v>45881</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57766-2023</t>
        </is>
      </c>
      <c r="B392" s="1" t="n">
        <v>45246</v>
      </c>
      <c r="C392" s="1" t="n">
        <v>45881</v>
      </c>
      <c r="D392" t="inlineStr">
        <is>
          <t>ÖSTERGÖTLANDS LÄN</t>
        </is>
      </c>
      <c r="E392" t="inlineStr">
        <is>
          <t>LINKÖPING</t>
        </is>
      </c>
      <c r="F392" t="inlineStr">
        <is>
          <t>Allmännings- och besparingsskogar</t>
        </is>
      </c>
      <c r="G392" t="n">
        <v>12.8</v>
      </c>
      <c r="H392" t="n">
        <v>0</v>
      </c>
      <c r="I392" t="n">
        <v>0</v>
      </c>
      <c r="J392" t="n">
        <v>0</v>
      </c>
      <c r="K392" t="n">
        <v>0</v>
      </c>
      <c r="L392" t="n">
        <v>0</v>
      </c>
      <c r="M392" t="n">
        <v>0</v>
      </c>
      <c r="N392" t="n">
        <v>0</v>
      </c>
      <c r="O392" t="n">
        <v>0</v>
      </c>
      <c r="P392" t="n">
        <v>0</v>
      </c>
      <c r="Q392" t="n">
        <v>0</v>
      </c>
      <c r="R392" s="2" t="inlineStr"/>
    </row>
    <row r="393" ht="15" customHeight="1">
      <c r="A393" t="inlineStr">
        <is>
          <t>A 44155-2024</t>
        </is>
      </c>
      <c r="B393" s="1" t="n">
        <v>45572.68226851852</v>
      </c>
      <c r="C393" s="1" t="n">
        <v>45881</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72567-2021</t>
        </is>
      </c>
      <c r="B394" s="1" t="n">
        <v>44546.45023148148</v>
      </c>
      <c r="C394" s="1" t="n">
        <v>45881</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27186-2021</t>
        </is>
      </c>
      <c r="B395" s="1" t="n">
        <v>44350.67715277777</v>
      </c>
      <c r="C395" s="1" t="n">
        <v>45881</v>
      </c>
      <c r="D395" t="inlineStr">
        <is>
          <t>ÖSTERGÖTLANDS LÄN</t>
        </is>
      </c>
      <c r="E395" t="inlineStr">
        <is>
          <t>LINKÖPING</t>
        </is>
      </c>
      <c r="F395" t="inlineStr">
        <is>
          <t>Allmännings- och besparingsskogar</t>
        </is>
      </c>
      <c r="G395" t="n">
        <v>1.4</v>
      </c>
      <c r="H395" t="n">
        <v>0</v>
      </c>
      <c r="I395" t="n">
        <v>0</v>
      </c>
      <c r="J395" t="n">
        <v>0</v>
      </c>
      <c r="K395" t="n">
        <v>0</v>
      </c>
      <c r="L395" t="n">
        <v>0</v>
      </c>
      <c r="M395" t="n">
        <v>0</v>
      </c>
      <c r="N395" t="n">
        <v>0</v>
      </c>
      <c r="O395" t="n">
        <v>0</v>
      </c>
      <c r="P395" t="n">
        <v>0</v>
      </c>
      <c r="Q395" t="n">
        <v>0</v>
      </c>
      <c r="R395" s="2" t="inlineStr"/>
    </row>
    <row r="396" ht="15" customHeight="1">
      <c r="A396" t="inlineStr">
        <is>
          <t>A 10194-2023</t>
        </is>
      </c>
      <c r="B396" s="1" t="n">
        <v>44986.52277777778</v>
      </c>
      <c r="C396" s="1" t="n">
        <v>45881</v>
      </c>
      <c r="D396" t="inlineStr">
        <is>
          <t>ÖSTERGÖTLANDS LÄN</t>
        </is>
      </c>
      <c r="E396" t="inlineStr">
        <is>
          <t>LINKÖPING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55944-2024</t>
        </is>
      </c>
      <c r="B397" s="1" t="n">
        <v>45623.61640046296</v>
      </c>
      <c r="C397" s="1" t="n">
        <v>45881</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55947-2024</t>
        </is>
      </c>
      <c r="B398" s="1" t="n">
        <v>45623</v>
      </c>
      <c r="C398" s="1" t="n">
        <v>45881</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47703-2023</t>
        </is>
      </c>
      <c r="B399" s="1" t="n">
        <v>45203</v>
      </c>
      <c r="C399" s="1" t="n">
        <v>45881</v>
      </c>
      <c r="D399" t="inlineStr">
        <is>
          <t>ÖSTERGÖTLANDS LÄN</t>
        </is>
      </c>
      <c r="E399" t="inlineStr">
        <is>
          <t>LINKÖPING</t>
        </is>
      </c>
      <c r="G399" t="n">
        <v>4.1</v>
      </c>
      <c r="H399" t="n">
        <v>0</v>
      </c>
      <c r="I399" t="n">
        <v>0</v>
      </c>
      <c r="J399" t="n">
        <v>0</v>
      </c>
      <c r="K399" t="n">
        <v>0</v>
      </c>
      <c r="L399" t="n">
        <v>0</v>
      </c>
      <c r="M399" t="n">
        <v>0</v>
      </c>
      <c r="N399" t="n">
        <v>0</v>
      </c>
      <c r="O399" t="n">
        <v>0</v>
      </c>
      <c r="P399" t="n">
        <v>0</v>
      </c>
      <c r="Q399" t="n">
        <v>0</v>
      </c>
      <c r="R399" s="2" t="inlineStr"/>
    </row>
    <row r="400" ht="15" customHeight="1">
      <c r="A400" t="inlineStr">
        <is>
          <t>A 53814-2023</t>
        </is>
      </c>
      <c r="B400" s="1" t="n">
        <v>45231</v>
      </c>
      <c r="C400" s="1" t="n">
        <v>45881</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51559-2024</t>
        </is>
      </c>
      <c r="B401" s="1" t="n">
        <v>45604.61431712963</v>
      </c>
      <c r="C401" s="1" t="n">
        <v>45881</v>
      </c>
      <c r="D401" t="inlineStr">
        <is>
          <t>ÖSTERGÖTLANDS LÄN</t>
        </is>
      </c>
      <c r="E401" t="inlineStr">
        <is>
          <t>LINKÖPING</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42997-2021</t>
        </is>
      </c>
      <c r="B402" s="1" t="n">
        <v>44431.45556712963</v>
      </c>
      <c r="C402" s="1" t="n">
        <v>45881</v>
      </c>
      <c r="D402" t="inlineStr">
        <is>
          <t>ÖSTERGÖTLANDS LÄN</t>
        </is>
      </c>
      <c r="E402" t="inlineStr">
        <is>
          <t>LINKÖPING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62353-2022</t>
        </is>
      </c>
      <c r="B403" s="1" t="n">
        <v>44923</v>
      </c>
      <c r="C403" s="1" t="n">
        <v>45881</v>
      </c>
      <c r="D403" t="inlineStr">
        <is>
          <t>ÖSTERGÖTLANDS LÄN</t>
        </is>
      </c>
      <c r="E403" t="inlineStr">
        <is>
          <t>LINKÖPING</t>
        </is>
      </c>
      <c r="F403" t="inlineStr">
        <is>
          <t>Allmännings- och besparingsskogar</t>
        </is>
      </c>
      <c r="G403" t="n">
        <v>1.7</v>
      </c>
      <c r="H403" t="n">
        <v>0</v>
      </c>
      <c r="I403" t="n">
        <v>0</v>
      </c>
      <c r="J403" t="n">
        <v>0</v>
      </c>
      <c r="K403" t="n">
        <v>0</v>
      </c>
      <c r="L403" t="n">
        <v>0</v>
      </c>
      <c r="M403" t="n">
        <v>0</v>
      </c>
      <c r="N403" t="n">
        <v>0</v>
      </c>
      <c r="O403" t="n">
        <v>0</v>
      </c>
      <c r="P403" t="n">
        <v>0</v>
      </c>
      <c r="Q403" t="n">
        <v>0</v>
      </c>
      <c r="R403" s="2" t="inlineStr"/>
    </row>
    <row r="404" ht="15" customHeight="1">
      <c r="A404" t="inlineStr">
        <is>
          <t>A 15754-2025</t>
        </is>
      </c>
      <c r="B404" s="1" t="n">
        <v>45748.56105324074</v>
      </c>
      <c r="C404" s="1" t="n">
        <v>45881</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4298-2023</t>
        </is>
      </c>
      <c r="B405" s="1" t="n">
        <v>44953</v>
      </c>
      <c r="C405" s="1" t="n">
        <v>45881</v>
      </c>
      <c r="D405" t="inlineStr">
        <is>
          <t>ÖSTERGÖTLANDS LÄN</t>
        </is>
      </c>
      <c r="E405" t="inlineStr">
        <is>
          <t>LINKÖPING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18145-2021</t>
        </is>
      </c>
      <c r="B406" s="1" t="n">
        <v>44302</v>
      </c>
      <c r="C406" s="1" t="n">
        <v>45881</v>
      </c>
      <c r="D406" t="inlineStr">
        <is>
          <t>ÖSTERGÖTLANDS LÄN</t>
        </is>
      </c>
      <c r="E406" t="inlineStr">
        <is>
          <t>LINKÖPING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60004-2022</t>
        </is>
      </c>
      <c r="B407" s="1" t="n">
        <v>44909.47206018519</v>
      </c>
      <c r="C407" s="1" t="n">
        <v>45881</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25568-2024</t>
        </is>
      </c>
      <c r="B408" s="1" t="n">
        <v>45463.58699074074</v>
      </c>
      <c r="C408" s="1" t="n">
        <v>45881</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38136-2023</t>
        </is>
      </c>
      <c r="B409" s="1" t="n">
        <v>45161.37310185185</v>
      </c>
      <c r="C409" s="1" t="n">
        <v>45881</v>
      </c>
      <c r="D409" t="inlineStr">
        <is>
          <t>ÖSTERGÖTLANDS LÄN</t>
        </is>
      </c>
      <c r="E409" t="inlineStr">
        <is>
          <t>LINKÖPING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12317-2025</t>
        </is>
      </c>
      <c r="B410" s="1" t="n">
        <v>45729.8487037037</v>
      </c>
      <c r="C410" s="1" t="n">
        <v>45881</v>
      </c>
      <c r="D410" t="inlineStr">
        <is>
          <t>ÖSTERGÖTLANDS LÄN</t>
        </is>
      </c>
      <c r="E410" t="inlineStr">
        <is>
          <t>LINKÖPING</t>
        </is>
      </c>
      <c r="G410" t="n">
        <v>8</v>
      </c>
      <c r="H410" t="n">
        <v>0</v>
      </c>
      <c r="I410" t="n">
        <v>0</v>
      </c>
      <c r="J410" t="n">
        <v>0</v>
      </c>
      <c r="K410" t="n">
        <v>0</v>
      </c>
      <c r="L410" t="n">
        <v>0</v>
      </c>
      <c r="M410" t="n">
        <v>0</v>
      </c>
      <c r="N410" t="n">
        <v>0</v>
      </c>
      <c r="O410" t="n">
        <v>0</v>
      </c>
      <c r="P410" t="n">
        <v>0</v>
      </c>
      <c r="Q410" t="n">
        <v>0</v>
      </c>
      <c r="R410" s="2" t="inlineStr"/>
    </row>
    <row r="411" ht="15" customHeight="1">
      <c r="A411" t="inlineStr">
        <is>
          <t>A 14528-2025</t>
        </is>
      </c>
      <c r="B411" s="1" t="n">
        <v>45741</v>
      </c>
      <c r="C411" s="1" t="n">
        <v>45881</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52796-2023</t>
        </is>
      </c>
      <c r="B412" s="1" t="n">
        <v>45219</v>
      </c>
      <c r="C412" s="1" t="n">
        <v>45881</v>
      </c>
      <c r="D412" t="inlineStr">
        <is>
          <t>ÖSTERGÖTLANDS LÄN</t>
        </is>
      </c>
      <c r="E412" t="inlineStr">
        <is>
          <t>LINKÖPING</t>
        </is>
      </c>
      <c r="F412" t="inlineStr">
        <is>
          <t>Övriga statliga verk och myndigheter</t>
        </is>
      </c>
      <c r="G412" t="n">
        <v>3.9</v>
      </c>
      <c r="H412" t="n">
        <v>0</v>
      </c>
      <c r="I412" t="n">
        <v>0</v>
      </c>
      <c r="J412" t="n">
        <v>0</v>
      </c>
      <c r="K412" t="n">
        <v>0</v>
      </c>
      <c r="L412" t="n">
        <v>0</v>
      </c>
      <c r="M412" t="n">
        <v>0</v>
      </c>
      <c r="N412" t="n">
        <v>0</v>
      </c>
      <c r="O412" t="n">
        <v>0</v>
      </c>
      <c r="P412" t="n">
        <v>0</v>
      </c>
      <c r="Q412" t="n">
        <v>0</v>
      </c>
      <c r="R412" s="2" t="inlineStr"/>
    </row>
    <row r="413" ht="15" customHeight="1">
      <c r="A413" t="inlineStr">
        <is>
          <t>A 50743-2023</t>
        </is>
      </c>
      <c r="B413" s="1" t="n">
        <v>45217</v>
      </c>
      <c r="C413" s="1" t="n">
        <v>45881</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45771-2023</t>
        </is>
      </c>
      <c r="B414" s="1" t="n">
        <v>45195.4384375</v>
      </c>
      <c r="C414" s="1" t="n">
        <v>45881</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61649-2023</t>
        </is>
      </c>
      <c r="B415" s="1" t="n">
        <v>45265</v>
      </c>
      <c r="C415" s="1" t="n">
        <v>45881</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60985-2023</t>
        </is>
      </c>
      <c r="B416" s="1" t="n">
        <v>45261.48429398148</v>
      </c>
      <c r="C416" s="1" t="n">
        <v>45881</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63554-2023</t>
        </is>
      </c>
      <c r="B417" s="1" t="n">
        <v>45275</v>
      </c>
      <c r="C417" s="1" t="n">
        <v>45881</v>
      </c>
      <c r="D417" t="inlineStr">
        <is>
          <t>ÖSTERGÖTLANDS LÄN</t>
        </is>
      </c>
      <c r="E417" t="inlineStr">
        <is>
          <t>LINKÖPING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421-2024</t>
        </is>
      </c>
      <c r="B418" s="1" t="n">
        <v>45296.51877314815</v>
      </c>
      <c r="C418" s="1" t="n">
        <v>45881</v>
      </c>
      <c r="D418" t="inlineStr">
        <is>
          <t>ÖSTERGÖTLANDS LÄN</t>
        </is>
      </c>
      <c r="E418" t="inlineStr">
        <is>
          <t>LINKÖPING</t>
        </is>
      </c>
      <c r="G418" t="n">
        <v>3.7</v>
      </c>
      <c r="H418" t="n">
        <v>0</v>
      </c>
      <c r="I418" t="n">
        <v>0</v>
      </c>
      <c r="J418" t="n">
        <v>0</v>
      </c>
      <c r="K418" t="n">
        <v>0</v>
      </c>
      <c r="L418" t="n">
        <v>0</v>
      </c>
      <c r="M418" t="n">
        <v>0</v>
      </c>
      <c r="N418" t="n">
        <v>0</v>
      </c>
      <c r="O418" t="n">
        <v>0</v>
      </c>
      <c r="P418" t="n">
        <v>0</v>
      </c>
      <c r="Q418" t="n">
        <v>0</v>
      </c>
      <c r="R418" s="2" t="inlineStr"/>
    </row>
    <row r="419" ht="15" customHeight="1">
      <c r="A419" t="inlineStr">
        <is>
          <t>A 30111-2024</t>
        </is>
      </c>
      <c r="B419" s="1" t="n">
        <v>45489.46947916667</v>
      </c>
      <c r="C419" s="1" t="n">
        <v>45881</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30119-2024</t>
        </is>
      </c>
      <c r="B420" s="1" t="n">
        <v>45489</v>
      </c>
      <c r="C420" s="1" t="n">
        <v>45881</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6206-2024</t>
        </is>
      </c>
      <c r="B421" s="1" t="n">
        <v>45337.5977662037</v>
      </c>
      <c r="C421" s="1" t="n">
        <v>45881</v>
      </c>
      <c r="D421" t="inlineStr">
        <is>
          <t>ÖSTERGÖTLANDS LÄN</t>
        </is>
      </c>
      <c r="E421" t="inlineStr">
        <is>
          <t>LINKÖPING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14028-2024</t>
        </is>
      </c>
      <c r="B422" s="1" t="n">
        <v>45392</v>
      </c>
      <c r="C422" s="1" t="n">
        <v>45881</v>
      </c>
      <c r="D422" t="inlineStr">
        <is>
          <t>ÖSTERGÖTLANDS LÄN</t>
        </is>
      </c>
      <c r="E422" t="inlineStr">
        <is>
          <t>LINKÖPING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13691-2025</t>
        </is>
      </c>
      <c r="B423" s="1" t="n">
        <v>45737.31671296297</v>
      </c>
      <c r="C423" s="1" t="n">
        <v>45881</v>
      </c>
      <c r="D423" t="inlineStr">
        <is>
          <t>ÖSTERGÖTLANDS LÄN</t>
        </is>
      </c>
      <c r="E423" t="inlineStr">
        <is>
          <t>LINKÖPING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51405-2023</t>
        </is>
      </c>
      <c r="B424" s="1" t="n">
        <v>45219</v>
      </c>
      <c r="C424" s="1" t="n">
        <v>45881</v>
      </c>
      <c r="D424" t="inlineStr">
        <is>
          <t>ÖSTERGÖTLANDS LÄN</t>
        </is>
      </c>
      <c r="E424" t="inlineStr">
        <is>
          <t>LINKÖPING</t>
        </is>
      </c>
      <c r="F424" t="inlineStr">
        <is>
          <t>Övriga Aktiebolag</t>
        </is>
      </c>
      <c r="G424" t="n">
        <v>3</v>
      </c>
      <c r="H424" t="n">
        <v>0</v>
      </c>
      <c r="I424" t="n">
        <v>0</v>
      </c>
      <c r="J424" t="n">
        <v>0</v>
      </c>
      <c r="K424" t="n">
        <v>0</v>
      </c>
      <c r="L424" t="n">
        <v>0</v>
      </c>
      <c r="M424" t="n">
        <v>0</v>
      </c>
      <c r="N424" t="n">
        <v>0</v>
      </c>
      <c r="O424" t="n">
        <v>0</v>
      </c>
      <c r="P424" t="n">
        <v>0</v>
      </c>
      <c r="Q424" t="n">
        <v>0</v>
      </c>
      <c r="R424" s="2" t="inlineStr"/>
    </row>
    <row r="425" ht="15" customHeight="1">
      <c r="A425" t="inlineStr">
        <is>
          <t>A 53639-2023</t>
        </is>
      </c>
      <c r="B425" s="1" t="n">
        <v>45230.59686342593</v>
      </c>
      <c r="C425" s="1" t="n">
        <v>45881</v>
      </c>
      <c r="D425" t="inlineStr">
        <is>
          <t>ÖSTERGÖTLANDS LÄN</t>
        </is>
      </c>
      <c r="E425" t="inlineStr">
        <is>
          <t>LINKÖPING</t>
        </is>
      </c>
      <c r="G425" t="n">
        <v>2.3</v>
      </c>
      <c r="H425" t="n">
        <v>0</v>
      </c>
      <c r="I425" t="n">
        <v>0</v>
      </c>
      <c r="J425" t="n">
        <v>0</v>
      </c>
      <c r="K425" t="n">
        <v>0</v>
      </c>
      <c r="L425" t="n">
        <v>0</v>
      </c>
      <c r="M425" t="n">
        <v>0</v>
      </c>
      <c r="N425" t="n">
        <v>0</v>
      </c>
      <c r="O425" t="n">
        <v>0</v>
      </c>
      <c r="P425" t="n">
        <v>0</v>
      </c>
      <c r="Q425" t="n">
        <v>0</v>
      </c>
      <c r="R425" s="2" t="inlineStr"/>
    </row>
    <row r="426" ht="15" customHeight="1">
      <c r="A426" t="inlineStr">
        <is>
          <t>A 24467-2023</t>
        </is>
      </c>
      <c r="B426" s="1" t="n">
        <v>45082</v>
      </c>
      <c r="C426" s="1" t="n">
        <v>45881</v>
      </c>
      <c r="D426" t="inlineStr">
        <is>
          <t>ÖSTERGÖTLANDS LÄN</t>
        </is>
      </c>
      <c r="E426" t="inlineStr">
        <is>
          <t>LINKÖPING</t>
        </is>
      </c>
      <c r="G426" t="n">
        <v>2.4</v>
      </c>
      <c r="H426" t="n">
        <v>0</v>
      </c>
      <c r="I426" t="n">
        <v>0</v>
      </c>
      <c r="J426" t="n">
        <v>0</v>
      </c>
      <c r="K426" t="n">
        <v>0</v>
      </c>
      <c r="L426" t="n">
        <v>0</v>
      </c>
      <c r="M426" t="n">
        <v>0</v>
      </c>
      <c r="N426" t="n">
        <v>0</v>
      </c>
      <c r="O426" t="n">
        <v>0</v>
      </c>
      <c r="P426" t="n">
        <v>0</v>
      </c>
      <c r="Q426" t="n">
        <v>0</v>
      </c>
      <c r="R426" s="2" t="inlineStr"/>
    </row>
    <row r="427" ht="15" customHeight="1">
      <c r="A427" t="inlineStr">
        <is>
          <t>A 62488-2023</t>
        </is>
      </c>
      <c r="B427" s="1" t="n">
        <v>45268.5847337963</v>
      </c>
      <c r="C427" s="1" t="n">
        <v>45881</v>
      </c>
      <c r="D427" t="inlineStr">
        <is>
          <t>ÖSTERGÖTLANDS LÄN</t>
        </is>
      </c>
      <c r="E427" t="inlineStr">
        <is>
          <t>LINKÖPING</t>
        </is>
      </c>
      <c r="G427" t="n">
        <v>4.1</v>
      </c>
      <c r="H427" t="n">
        <v>0</v>
      </c>
      <c r="I427" t="n">
        <v>0</v>
      </c>
      <c r="J427" t="n">
        <v>0</v>
      </c>
      <c r="K427" t="n">
        <v>0</v>
      </c>
      <c r="L427" t="n">
        <v>0</v>
      </c>
      <c r="M427" t="n">
        <v>0</v>
      </c>
      <c r="N427" t="n">
        <v>0</v>
      </c>
      <c r="O427" t="n">
        <v>0</v>
      </c>
      <c r="P427" t="n">
        <v>0</v>
      </c>
      <c r="Q427" t="n">
        <v>0</v>
      </c>
      <c r="R427" s="2" t="inlineStr"/>
    </row>
    <row r="428" ht="15" customHeight="1">
      <c r="A428" t="inlineStr">
        <is>
          <t>A 62495-2023</t>
        </is>
      </c>
      <c r="B428" s="1" t="n">
        <v>45268.59717592593</v>
      </c>
      <c r="C428" s="1" t="n">
        <v>45881</v>
      </c>
      <c r="D428" t="inlineStr">
        <is>
          <t>ÖSTERGÖTLANDS LÄN</t>
        </is>
      </c>
      <c r="E428" t="inlineStr">
        <is>
          <t>LINKÖPING</t>
        </is>
      </c>
      <c r="G428" t="n">
        <v>4.1</v>
      </c>
      <c r="H428" t="n">
        <v>0</v>
      </c>
      <c r="I428" t="n">
        <v>0</v>
      </c>
      <c r="J428" t="n">
        <v>0</v>
      </c>
      <c r="K428" t="n">
        <v>0</v>
      </c>
      <c r="L428" t="n">
        <v>0</v>
      </c>
      <c r="M428" t="n">
        <v>0</v>
      </c>
      <c r="N428" t="n">
        <v>0</v>
      </c>
      <c r="O428" t="n">
        <v>0</v>
      </c>
      <c r="P428" t="n">
        <v>0</v>
      </c>
      <c r="Q428" t="n">
        <v>0</v>
      </c>
      <c r="R428" s="2" t="inlineStr"/>
    </row>
    <row r="429" ht="15" customHeight="1">
      <c r="A429" t="inlineStr">
        <is>
          <t>A 15714-2024</t>
        </is>
      </c>
      <c r="B429" s="1" t="n">
        <v>45404.48288194444</v>
      </c>
      <c r="C429" s="1" t="n">
        <v>45881</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14667-2024</t>
        </is>
      </c>
      <c r="B430" s="1" t="n">
        <v>45397.42005787037</v>
      </c>
      <c r="C430" s="1" t="n">
        <v>45881</v>
      </c>
      <c r="D430" t="inlineStr">
        <is>
          <t>ÖSTERGÖTLANDS LÄN</t>
        </is>
      </c>
      <c r="E430" t="inlineStr">
        <is>
          <t>LINKÖPING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2697-2023</t>
        </is>
      </c>
      <c r="B431" s="1" t="n">
        <v>44944</v>
      </c>
      <c r="C431" s="1" t="n">
        <v>45881</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53641-2023</t>
        </is>
      </c>
      <c r="B432" s="1" t="n">
        <v>45230</v>
      </c>
      <c r="C432" s="1" t="n">
        <v>45881</v>
      </c>
      <c r="D432" t="inlineStr">
        <is>
          <t>ÖSTERGÖTLANDS LÄN</t>
        </is>
      </c>
      <c r="E432" t="inlineStr">
        <is>
          <t>LINKÖPING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30481-2023</t>
        </is>
      </c>
      <c r="B433" s="1" t="n">
        <v>45111</v>
      </c>
      <c r="C433" s="1" t="n">
        <v>45881</v>
      </c>
      <c r="D433" t="inlineStr">
        <is>
          <t>ÖSTERGÖTLANDS LÄN</t>
        </is>
      </c>
      <c r="E433" t="inlineStr">
        <is>
          <t>LINKÖPING</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48707-2023</t>
        </is>
      </c>
      <c r="B434" s="1" t="n">
        <v>45202</v>
      </c>
      <c r="C434" s="1" t="n">
        <v>45881</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10198-2023</t>
        </is>
      </c>
      <c r="B435" s="1" t="n">
        <v>44986.54665509259</v>
      </c>
      <c r="C435" s="1" t="n">
        <v>45881</v>
      </c>
      <c r="D435" t="inlineStr">
        <is>
          <t>ÖSTERGÖTLANDS LÄN</t>
        </is>
      </c>
      <c r="E435" t="inlineStr">
        <is>
          <t>LINKÖPING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53411-2023</t>
        </is>
      </c>
      <c r="B436" s="1" t="n">
        <v>45229.81049768518</v>
      </c>
      <c r="C436" s="1" t="n">
        <v>45881</v>
      </c>
      <c r="D436" t="inlineStr">
        <is>
          <t>ÖSTERGÖTLANDS LÄN</t>
        </is>
      </c>
      <c r="E436" t="inlineStr">
        <is>
          <t>LINKÖPING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74160-2021</t>
        </is>
      </c>
      <c r="B437" s="1" t="n">
        <v>44558</v>
      </c>
      <c r="C437" s="1" t="n">
        <v>45881</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22771-2024</t>
        </is>
      </c>
      <c r="B438" s="1" t="n">
        <v>45448.46574074074</v>
      </c>
      <c r="C438" s="1" t="n">
        <v>45881</v>
      </c>
      <c r="D438" t="inlineStr">
        <is>
          <t>ÖSTERGÖTLANDS LÄN</t>
        </is>
      </c>
      <c r="E438" t="inlineStr">
        <is>
          <t>LINKÖPING</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17128-2025</t>
        </is>
      </c>
      <c r="B439" s="1" t="n">
        <v>45755.72622685185</v>
      </c>
      <c r="C439" s="1" t="n">
        <v>45881</v>
      </c>
      <c r="D439" t="inlineStr">
        <is>
          <t>ÖSTERGÖTLANDS LÄN</t>
        </is>
      </c>
      <c r="E439" t="inlineStr">
        <is>
          <t>LINKÖPING</t>
        </is>
      </c>
      <c r="G439" t="n">
        <v>2.9</v>
      </c>
      <c r="H439" t="n">
        <v>0</v>
      </c>
      <c r="I439" t="n">
        <v>0</v>
      </c>
      <c r="J439" t="n">
        <v>0</v>
      </c>
      <c r="K439" t="n">
        <v>0</v>
      </c>
      <c r="L439" t="n">
        <v>0</v>
      </c>
      <c r="M439" t="n">
        <v>0</v>
      </c>
      <c r="N439" t="n">
        <v>0</v>
      </c>
      <c r="O439" t="n">
        <v>0</v>
      </c>
      <c r="P439" t="n">
        <v>0</v>
      </c>
      <c r="Q439" t="n">
        <v>0</v>
      </c>
      <c r="R439" s="2" t="inlineStr"/>
    </row>
    <row r="440" ht="15" customHeight="1">
      <c r="A440" t="inlineStr">
        <is>
          <t>A 56741-2023</t>
        </is>
      </c>
      <c r="B440" s="1" t="n">
        <v>45244</v>
      </c>
      <c r="C440" s="1" t="n">
        <v>45881</v>
      </c>
      <c r="D440" t="inlineStr">
        <is>
          <t>ÖSTERGÖTLANDS LÄN</t>
        </is>
      </c>
      <c r="E440" t="inlineStr">
        <is>
          <t>LINKÖPING</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56792-2023</t>
        </is>
      </c>
      <c r="B441" s="1" t="n">
        <v>45244</v>
      </c>
      <c r="C441" s="1" t="n">
        <v>45881</v>
      </c>
      <c r="D441" t="inlineStr">
        <is>
          <t>ÖSTERGÖTLANDS LÄN</t>
        </is>
      </c>
      <c r="E441" t="inlineStr">
        <is>
          <t>LINKÖPING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50471-2024</t>
        </is>
      </c>
      <c r="B442" s="1" t="n">
        <v>45601.47166666666</v>
      </c>
      <c r="C442" s="1" t="n">
        <v>45881</v>
      </c>
      <c r="D442" t="inlineStr">
        <is>
          <t>ÖSTERGÖTLANDS LÄN</t>
        </is>
      </c>
      <c r="E442" t="inlineStr">
        <is>
          <t>LINKÖPING</t>
        </is>
      </c>
      <c r="F442" t="inlineStr">
        <is>
          <t>Övriga Aktiebolag</t>
        </is>
      </c>
      <c r="G442" t="n">
        <v>2</v>
      </c>
      <c r="H442" t="n">
        <v>0</v>
      </c>
      <c r="I442" t="n">
        <v>0</v>
      </c>
      <c r="J442" t="n">
        <v>0</v>
      </c>
      <c r="K442" t="n">
        <v>0</v>
      </c>
      <c r="L442" t="n">
        <v>0</v>
      </c>
      <c r="M442" t="n">
        <v>0</v>
      </c>
      <c r="N442" t="n">
        <v>0</v>
      </c>
      <c r="O442" t="n">
        <v>0</v>
      </c>
      <c r="P442" t="n">
        <v>0</v>
      </c>
      <c r="Q442" t="n">
        <v>0</v>
      </c>
      <c r="R442" s="2" t="inlineStr"/>
    </row>
    <row r="443" ht="15" customHeight="1">
      <c r="A443" t="inlineStr">
        <is>
          <t>A 3007-2023</t>
        </is>
      </c>
      <c r="B443" s="1" t="n">
        <v>44945</v>
      </c>
      <c r="C443" s="1" t="n">
        <v>45881</v>
      </c>
      <c r="D443" t="inlineStr">
        <is>
          <t>ÖSTERGÖTLANDS LÄN</t>
        </is>
      </c>
      <c r="E443" t="inlineStr">
        <is>
          <t>LINKÖPING</t>
        </is>
      </c>
      <c r="G443" t="n">
        <v>2.6</v>
      </c>
      <c r="H443" t="n">
        <v>0</v>
      </c>
      <c r="I443" t="n">
        <v>0</v>
      </c>
      <c r="J443" t="n">
        <v>0</v>
      </c>
      <c r="K443" t="n">
        <v>0</v>
      </c>
      <c r="L443" t="n">
        <v>0</v>
      </c>
      <c r="M443" t="n">
        <v>0</v>
      </c>
      <c r="N443" t="n">
        <v>0</v>
      </c>
      <c r="O443" t="n">
        <v>0</v>
      </c>
      <c r="P443" t="n">
        <v>0</v>
      </c>
      <c r="Q443" t="n">
        <v>0</v>
      </c>
      <c r="R443" s="2" t="inlineStr"/>
    </row>
    <row r="444" ht="15" customHeight="1">
      <c r="A444" t="inlineStr">
        <is>
          <t>A 40338-2024</t>
        </is>
      </c>
      <c r="B444" s="1" t="n">
        <v>45555.32940972222</v>
      </c>
      <c r="C444" s="1" t="n">
        <v>45881</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3013-2023</t>
        </is>
      </c>
      <c r="B445" s="1" t="n">
        <v>44945.8092824074</v>
      </c>
      <c r="C445" s="1" t="n">
        <v>45881</v>
      </c>
      <c r="D445" t="inlineStr">
        <is>
          <t>ÖSTERGÖTLANDS LÄN</t>
        </is>
      </c>
      <c r="E445" t="inlineStr">
        <is>
          <t>LINKÖPING</t>
        </is>
      </c>
      <c r="G445" t="n">
        <v>5.2</v>
      </c>
      <c r="H445" t="n">
        <v>0</v>
      </c>
      <c r="I445" t="n">
        <v>0</v>
      </c>
      <c r="J445" t="n">
        <v>0</v>
      </c>
      <c r="K445" t="n">
        <v>0</v>
      </c>
      <c r="L445" t="n">
        <v>0</v>
      </c>
      <c r="M445" t="n">
        <v>0</v>
      </c>
      <c r="N445" t="n">
        <v>0</v>
      </c>
      <c r="O445" t="n">
        <v>0</v>
      </c>
      <c r="P445" t="n">
        <v>0</v>
      </c>
      <c r="Q445" t="n">
        <v>0</v>
      </c>
      <c r="R445" s="2" t="inlineStr"/>
    </row>
    <row r="446" ht="15" customHeight="1">
      <c r="A446" t="inlineStr">
        <is>
          <t>A 55945-2024</t>
        </is>
      </c>
      <c r="B446" s="1" t="n">
        <v>45623.61754629629</v>
      </c>
      <c r="C446" s="1" t="n">
        <v>45881</v>
      </c>
      <c r="D446" t="inlineStr">
        <is>
          <t>ÖSTERGÖTLANDS LÄN</t>
        </is>
      </c>
      <c r="E446" t="inlineStr">
        <is>
          <t>LINKÖPING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63559-2023</t>
        </is>
      </c>
      <c r="B447" s="1" t="n">
        <v>45275.35924768518</v>
      </c>
      <c r="C447" s="1" t="n">
        <v>45881</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1993-2023</t>
        </is>
      </c>
      <c r="B448" s="1" t="n">
        <v>44939</v>
      </c>
      <c r="C448" s="1" t="n">
        <v>45881</v>
      </c>
      <c r="D448" t="inlineStr">
        <is>
          <t>ÖSTERGÖTLANDS LÄN</t>
        </is>
      </c>
      <c r="E448" t="inlineStr">
        <is>
          <t>LINKÖPING</t>
        </is>
      </c>
      <c r="G448" t="n">
        <v>3.7</v>
      </c>
      <c r="H448" t="n">
        <v>0</v>
      </c>
      <c r="I448" t="n">
        <v>0</v>
      </c>
      <c r="J448" t="n">
        <v>0</v>
      </c>
      <c r="K448" t="n">
        <v>0</v>
      </c>
      <c r="L448" t="n">
        <v>0</v>
      </c>
      <c r="M448" t="n">
        <v>0</v>
      </c>
      <c r="N448" t="n">
        <v>0</v>
      </c>
      <c r="O448" t="n">
        <v>0</v>
      </c>
      <c r="P448" t="n">
        <v>0</v>
      </c>
      <c r="Q448" t="n">
        <v>0</v>
      </c>
      <c r="R448" s="2" t="inlineStr"/>
    </row>
    <row r="449" ht="15" customHeight="1">
      <c r="A449" t="inlineStr">
        <is>
          <t>A 2618-2023</t>
        </is>
      </c>
      <c r="B449" s="1" t="n">
        <v>44944.35847222222</v>
      </c>
      <c r="C449" s="1" t="n">
        <v>45881</v>
      </c>
      <c r="D449" t="inlineStr">
        <is>
          <t>ÖSTERGÖTLANDS LÄN</t>
        </is>
      </c>
      <c r="E449" t="inlineStr">
        <is>
          <t>LINKÖPING</t>
        </is>
      </c>
      <c r="G449" t="n">
        <v>4.3</v>
      </c>
      <c r="H449" t="n">
        <v>0</v>
      </c>
      <c r="I449" t="n">
        <v>0</v>
      </c>
      <c r="J449" t="n">
        <v>0</v>
      </c>
      <c r="K449" t="n">
        <v>0</v>
      </c>
      <c r="L449" t="n">
        <v>0</v>
      </c>
      <c r="M449" t="n">
        <v>0</v>
      </c>
      <c r="N449" t="n">
        <v>0</v>
      </c>
      <c r="O449" t="n">
        <v>0</v>
      </c>
      <c r="P449" t="n">
        <v>0</v>
      </c>
      <c r="Q449" t="n">
        <v>0</v>
      </c>
      <c r="R449" s="2" t="inlineStr"/>
    </row>
    <row r="450" ht="15" customHeight="1">
      <c r="A450" t="inlineStr">
        <is>
          <t>A 10203-2023</t>
        </is>
      </c>
      <c r="B450" s="1" t="n">
        <v>44986.55711805556</v>
      </c>
      <c r="C450" s="1" t="n">
        <v>45881</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34889-2023</t>
        </is>
      </c>
      <c r="B451" s="1" t="n">
        <v>45140</v>
      </c>
      <c r="C451" s="1" t="n">
        <v>45881</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34928-2023</t>
        </is>
      </c>
      <c r="B452" s="1" t="n">
        <v>45142</v>
      </c>
      <c r="C452" s="1" t="n">
        <v>45881</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1268-2023</t>
        </is>
      </c>
      <c r="B453" s="1" t="n">
        <v>44936</v>
      </c>
      <c r="C453" s="1" t="n">
        <v>45881</v>
      </c>
      <c r="D453" t="inlineStr">
        <is>
          <t>ÖSTERGÖTLANDS LÄN</t>
        </is>
      </c>
      <c r="E453" t="inlineStr">
        <is>
          <t>LINKÖPING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5314-2021</t>
        </is>
      </c>
      <c r="B454" s="1" t="n">
        <v>44229</v>
      </c>
      <c r="C454" s="1" t="n">
        <v>45881</v>
      </c>
      <c r="D454" t="inlineStr">
        <is>
          <t>ÖSTERGÖTLANDS LÄN</t>
        </is>
      </c>
      <c r="E454" t="inlineStr">
        <is>
          <t>LINKÖPING</t>
        </is>
      </c>
      <c r="G454" t="n">
        <v>6.2</v>
      </c>
      <c r="H454" t="n">
        <v>0</v>
      </c>
      <c r="I454" t="n">
        <v>0</v>
      </c>
      <c r="J454" t="n">
        <v>0</v>
      </c>
      <c r="K454" t="n">
        <v>0</v>
      </c>
      <c r="L454" t="n">
        <v>0</v>
      </c>
      <c r="M454" t="n">
        <v>0</v>
      </c>
      <c r="N454" t="n">
        <v>0</v>
      </c>
      <c r="O454" t="n">
        <v>0</v>
      </c>
      <c r="P454" t="n">
        <v>0</v>
      </c>
      <c r="Q454" t="n">
        <v>0</v>
      </c>
      <c r="R454" s="2" t="inlineStr"/>
    </row>
    <row r="455" ht="15" customHeight="1">
      <c r="A455" t="inlineStr">
        <is>
          <t>A 23491-2024</t>
        </is>
      </c>
      <c r="B455" s="1" t="n">
        <v>45453</v>
      </c>
      <c r="C455" s="1" t="n">
        <v>45881</v>
      </c>
      <c r="D455" t="inlineStr">
        <is>
          <t>ÖSTERGÖTLANDS LÄN</t>
        </is>
      </c>
      <c r="E455" t="inlineStr">
        <is>
          <t>LINKÖPING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62018-2024</t>
        </is>
      </c>
      <c r="B456" s="1" t="n">
        <v>45655.81387731482</v>
      </c>
      <c r="C456" s="1" t="n">
        <v>45881</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62073-2023</t>
        </is>
      </c>
      <c r="B457" s="1" t="n">
        <v>45266.73844907407</v>
      </c>
      <c r="C457" s="1" t="n">
        <v>45881</v>
      </c>
      <c r="D457" t="inlineStr">
        <is>
          <t>ÖSTERGÖTLANDS LÄN</t>
        </is>
      </c>
      <c r="E457" t="inlineStr">
        <is>
          <t>LINKÖPING</t>
        </is>
      </c>
      <c r="F457" t="inlineStr">
        <is>
          <t>Allmännings- och besparingsskogar</t>
        </is>
      </c>
      <c r="G457" t="n">
        <v>1.8</v>
      </c>
      <c r="H457" t="n">
        <v>0</v>
      </c>
      <c r="I457" t="n">
        <v>0</v>
      </c>
      <c r="J457" t="n">
        <v>0</v>
      </c>
      <c r="K457" t="n">
        <v>0</v>
      </c>
      <c r="L457" t="n">
        <v>0</v>
      </c>
      <c r="M457" t="n">
        <v>0</v>
      </c>
      <c r="N457" t="n">
        <v>0</v>
      </c>
      <c r="O457" t="n">
        <v>0</v>
      </c>
      <c r="P457" t="n">
        <v>0</v>
      </c>
      <c r="Q457" t="n">
        <v>0</v>
      </c>
      <c r="R457" s="2" t="inlineStr"/>
    </row>
    <row r="458" ht="15" customHeight="1">
      <c r="A458" t="inlineStr">
        <is>
          <t>A 29309-2024</t>
        </is>
      </c>
      <c r="B458" s="1" t="n">
        <v>45483</v>
      </c>
      <c r="C458" s="1" t="n">
        <v>45881</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29411-2023</t>
        </is>
      </c>
      <c r="B459" s="1" t="n">
        <v>45106.46225694445</v>
      </c>
      <c r="C459" s="1" t="n">
        <v>45881</v>
      </c>
      <c r="D459" t="inlineStr">
        <is>
          <t>ÖSTERGÖTLANDS LÄN</t>
        </is>
      </c>
      <c r="E459" t="inlineStr">
        <is>
          <t>LINKÖPING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29412-2023</t>
        </is>
      </c>
      <c r="B460" s="1" t="n">
        <v>45106.46359953703</v>
      </c>
      <c r="C460" s="1" t="n">
        <v>45881</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29413-2023</t>
        </is>
      </c>
      <c r="B461" s="1" t="n">
        <v>45106.46465277778</v>
      </c>
      <c r="C461" s="1" t="n">
        <v>45881</v>
      </c>
      <c r="D461" t="inlineStr">
        <is>
          <t>ÖSTERGÖTLANDS LÄN</t>
        </is>
      </c>
      <c r="E461" t="inlineStr">
        <is>
          <t>LINKÖPING</t>
        </is>
      </c>
      <c r="G461" t="n">
        <v>8</v>
      </c>
      <c r="H461" t="n">
        <v>0</v>
      </c>
      <c r="I461" t="n">
        <v>0</v>
      </c>
      <c r="J461" t="n">
        <v>0</v>
      </c>
      <c r="K461" t="n">
        <v>0</v>
      </c>
      <c r="L461" t="n">
        <v>0</v>
      </c>
      <c r="M461" t="n">
        <v>0</v>
      </c>
      <c r="N461" t="n">
        <v>0</v>
      </c>
      <c r="O461" t="n">
        <v>0</v>
      </c>
      <c r="P461" t="n">
        <v>0</v>
      </c>
      <c r="Q461" t="n">
        <v>0</v>
      </c>
      <c r="R461" s="2" t="inlineStr"/>
    </row>
    <row r="462" ht="15" customHeight="1">
      <c r="A462" t="inlineStr">
        <is>
          <t>A 672-2024</t>
        </is>
      </c>
      <c r="B462" s="1" t="n">
        <v>45300</v>
      </c>
      <c r="C462" s="1" t="n">
        <v>45881</v>
      </c>
      <c r="D462" t="inlineStr">
        <is>
          <t>ÖSTERGÖTLANDS LÄN</t>
        </is>
      </c>
      <c r="E462" t="inlineStr">
        <is>
          <t>LINKÖPING</t>
        </is>
      </c>
      <c r="F462" t="inlineStr">
        <is>
          <t>Sveaskog</t>
        </is>
      </c>
      <c r="G462" t="n">
        <v>4.5</v>
      </c>
      <c r="H462" t="n">
        <v>0</v>
      </c>
      <c r="I462" t="n">
        <v>0</v>
      </c>
      <c r="J462" t="n">
        <v>0</v>
      </c>
      <c r="K462" t="n">
        <v>0</v>
      </c>
      <c r="L462" t="n">
        <v>0</v>
      </c>
      <c r="M462" t="n">
        <v>0</v>
      </c>
      <c r="N462" t="n">
        <v>0</v>
      </c>
      <c r="O462" t="n">
        <v>0</v>
      </c>
      <c r="P462" t="n">
        <v>0</v>
      </c>
      <c r="Q462" t="n">
        <v>0</v>
      </c>
      <c r="R462" s="2" t="inlineStr"/>
    </row>
    <row r="463" ht="15" customHeight="1">
      <c r="A463" t="inlineStr">
        <is>
          <t>A 42832-2023</t>
        </is>
      </c>
      <c r="B463" s="1" t="n">
        <v>45182.38091435185</v>
      </c>
      <c r="C463" s="1" t="n">
        <v>45881</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24151-2024</t>
        </is>
      </c>
      <c r="B464" s="1" t="n">
        <v>45456.67717592593</v>
      </c>
      <c r="C464" s="1" t="n">
        <v>45881</v>
      </c>
      <c r="D464" t="inlineStr">
        <is>
          <t>ÖSTERGÖTLANDS LÄN</t>
        </is>
      </c>
      <c r="E464" t="inlineStr">
        <is>
          <t>LINKÖPING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49747-2024</t>
        </is>
      </c>
      <c r="B465" s="1" t="n">
        <v>45596</v>
      </c>
      <c r="C465" s="1" t="n">
        <v>45881</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31725-2022</t>
        </is>
      </c>
      <c r="B466" s="1" t="n">
        <v>44776.48541666667</v>
      </c>
      <c r="C466" s="1" t="n">
        <v>45881</v>
      </c>
      <c r="D466" t="inlineStr">
        <is>
          <t>ÖSTERGÖTLANDS LÄN</t>
        </is>
      </c>
      <c r="E466" t="inlineStr">
        <is>
          <t>LINKÖPING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2389-2023</t>
        </is>
      </c>
      <c r="B467" s="1" t="n">
        <v>44942</v>
      </c>
      <c r="C467" s="1" t="n">
        <v>45881</v>
      </c>
      <c r="D467" t="inlineStr">
        <is>
          <t>ÖSTERGÖTLANDS LÄN</t>
        </is>
      </c>
      <c r="E467" t="inlineStr">
        <is>
          <t>LINKÖPING</t>
        </is>
      </c>
      <c r="G467" t="n">
        <v>3.3</v>
      </c>
      <c r="H467" t="n">
        <v>0</v>
      </c>
      <c r="I467" t="n">
        <v>0</v>
      </c>
      <c r="J467" t="n">
        <v>0</v>
      </c>
      <c r="K467" t="n">
        <v>0</v>
      </c>
      <c r="L467" t="n">
        <v>0</v>
      </c>
      <c r="M467" t="n">
        <v>0</v>
      </c>
      <c r="N467" t="n">
        <v>0</v>
      </c>
      <c r="O467" t="n">
        <v>0</v>
      </c>
      <c r="P467" t="n">
        <v>0</v>
      </c>
      <c r="Q467" t="n">
        <v>0</v>
      </c>
      <c r="R467" s="2" t="inlineStr"/>
    </row>
    <row r="468" ht="15" customHeight="1">
      <c r="A468" t="inlineStr">
        <is>
          <t>A 3627-2023</t>
        </is>
      </c>
      <c r="B468" s="1" t="n">
        <v>44950.64782407408</v>
      </c>
      <c r="C468" s="1" t="n">
        <v>45881</v>
      </c>
      <c r="D468" t="inlineStr">
        <is>
          <t>ÖSTERGÖTLANDS LÄN</t>
        </is>
      </c>
      <c r="E468" t="inlineStr">
        <is>
          <t>LINKÖPING</t>
        </is>
      </c>
      <c r="G468" t="n">
        <v>3.1</v>
      </c>
      <c r="H468" t="n">
        <v>0</v>
      </c>
      <c r="I468" t="n">
        <v>0</v>
      </c>
      <c r="J468" t="n">
        <v>0</v>
      </c>
      <c r="K468" t="n">
        <v>0</v>
      </c>
      <c r="L468" t="n">
        <v>0</v>
      </c>
      <c r="M468" t="n">
        <v>0</v>
      </c>
      <c r="N468" t="n">
        <v>0</v>
      </c>
      <c r="O468" t="n">
        <v>0</v>
      </c>
      <c r="P468" t="n">
        <v>0</v>
      </c>
      <c r="Q468" t="n">
        <v>0</v>
      </c>
      <c r="R468" s="2" t="inlineStr"/>
    </row>
    <row r="469" ht="15" customHeight="1">
      <c r="A469" t="inlineStr">
        <is>
          <t>A 63845-2021</t>
        </is>
      </c>
      <c r="B469" s="1" t="n">
        <v>44509</v>
      </c>
      <c r="C469" s="1" t="n">
        <v>45881</v>
      </c>
      <c r="D469" t="inlineStr">
        <is>
          <t>ÖSTERGÖTLANDS LÄN</t>
        </is>
      </c>
      <c r="E469" t="inlineStr">
        <is>
          <t>LINKÖPING</t>
        </is>
      </c>
      <c r="G469" t="n">
        <v>5</v>
      </c>
      <c r="H469" t="n">
        <v>0</v>
      </c>
      <c r="I469" t="n">
        <v>0</v>
      </c>
      <c r="J469" t="n">
        <v>0</v>
      </c>
      <c r="K469" t="n">
        <v>0</v>
      </c>
      <c r="L469" t="n">
        <v>0</v>
      </c>
      <c r="M469" t="n">
        <v>0</v>
      </c>
      <c r="N469" t="n">
        <v>0</v>
      </c>
      <c r="O469" t="n">
        <v>0</v>
      </c>
      <c r="P469" t="n">
        <v>0</v>
      </c>
      <c r="Q469" t="n">
        <v>0</v>
      </c>
      <c r="R469" s="2" t="inlineStr"/>
    </row>
    <row r="470" ht="15" customHeight="1">
      <c r="A470" t="inlineStr">
        <is>
          <t>A 62687-2023</t>
        </is>
      </c>
      <c r="B470" s="1" t="n">
        <v>45271</v>
      </c>
      <c r="C470" s="1" t="n">
        <v>45881</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17785-2023</t>
        </is>
      </c>
      <c r="B471" s="1" t="n">
        <v>45037.55094907407</v>
      </c>
      <c r="C471" s="1" t="n">
        <v>45881</v>
      </c>
      <c r="D471" t="inlineStr">
        <is>
          <t>ÖSTERGÖTLANDS LÄN</t>
        </is>
      </c>
      <c r="E471" t="inlineStr">
        <is>
          <t>LINKÖPING</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32346-2023</t>
        </is>
      </c>
      <c r="B472" s="1" t="n">
        <v>45120</v>
      </c>
      <c r="C472" s="1" t="n">
        <v>45881</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18891-2022</t>
        </is>
      </c>
      <c r="B473" s="1" t="n">
        <v>44690</v>
      </c>
      <c r="C473" s="1" t="n">
        <v>45881</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5872-2025</t>
        </is>
      </c>
      <c r="B474" s="1" t="n">
        <v>45695.36659722222</v>
      </c>
      <c r="C474" s="1" t="n">
        <v>45881</v>
      </c>
      <c r="D474" t="inlineStr">
        <is>
          <t>ÖSTERGÖTLANDS LÄN</t>
        </is>
      </c>
      <c r="E474" t="inlineStr">
        <is>
          <t>LINKÖPING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59674-2024</t>
        </is>
      </c>
      <c r="B475" s="1" t="n">
        <v>45639</v>
      </c>
      <c r="C475" s="1" t="n">
        <v>45881</v>
      </c>
      <c r="D475" t="inlineStr">
        <is>
          <t>ÖSTERGÖTLANDS LÄN</t>
        </is>
      </c>
      <c r="E475" t="inlineStr">
        <is>
          <t>LINKÖPING</t>
        </is>
      </c>
      <c r="G475" t="n">
        <v>6.3</v>
      </c>
      <c r="H475" t="n">
        <v>0</v>
      </c>
      <c r="I475" t="n">
        <v>0</v>
      </c>
      <c r="J475" t="n">
        <v>0</v>
      </c>
      <c r="K475" t="n">
        <v>0</v>
      </c>
      <c r="L475" t="n">
        <v>0</v>
      </c>
      <c r="M475" t="n">
        <v>0</v>
      </c>
      <c r="N475" t="n">
        <v>0</v>
      </c>
      <c r="O475" t="n">
        <v>0</v>
      </c>
      <c r="P475" t="n">
        <v>0</v>
      </c>
      <c r="Q475" t="n">
        <v>0</v>
      </c>
      <c r="R475" s="2" t="inlineStr"/>
    </row>
    <row r="476" ht="15" customHeight="1">
      <c r="A476" t="inlineStr">
        <is>
          <t>A 1705-2025</t>
        </is>
      </c>
      <c r="B476" s="1" t="n">
        <v>45670.86015046296</v>
      </c>
      <c r="C476" s="1" t="n">
        <v>45881</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59576-2024</t>
        </is>
      </c>
      <c r="B477" s="1" t="n">
        <v>45638.66378472222</v>
      </c>
      <c r="C477" s="1" t="n">
        <v>45881</v>
      </c>
      <c r="D477" t="inlineStr">
        <is>
          <t>ÖSTERGÖTLANDS LÄN</t>
        </is>
      </c>
      <c r="E477" t="inlineStr">
        <is>
          <t>LINKÖPING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1627-2023</t>
        </is>
      </c>
      <c r="B478" s="1" t="n">
        <v>44937</v>
      </c>
      <c r="C478" s="1" t="n">
        <v>45881</v>
      </c>
      <c r="D478" t="inlineStr">
        <is>
          <t>ÖSTERGÖTLANDS LÄN</t>
        </is>
      </c>
      <c r="E478" t="inlineStr">
        <is>
          <t>LINKÖPING</t>
        </is>
      </c>
      <c r="G478" t="n">
        <v>10.8</v>
      </c>
      <c r="H478" t="n">
        <v>0</v>
      </c>
      <c r="I478" t="n">
        <v>0</v>
      </c>
      <c r="J478" t="n">
        <v>0</v>
      </c>
      <c r="K478" t="n">
        <v>0</v>
      </c>
      <c r="L478" t="n">
        <v>0</v>
      </c>
      <c r="M478" t="n">
        <v>0</v>
      </c>
      <c r="N478" t="n">
        <v>0</v>
      </c>
      <c r="O478" t="n">
        <v>0</v>
      </c>
      <c r="P478" t="n">
        <v>0</v>
      </c>
      <c r="Q478" t="n">
        <v>0</v>
      </c>
      <c r="R478" s="2" t="inlineStr"/>
    </row>
    <row r="479" ht="15" customHeight="1">
      <c r="A479" t="inlineStr">
        <is>
          <t>A 26620-2023</t>
        </is>
      </c>
      <c r="B479" s="1" t="n">
        <v>45092.70390046296</v>
      </c>
      <c r="C479" s="1" t="n">
        <v>45881</v>
      </c>
      <c r="D479" t="inlineStr">
        <is>
          <t>ÖSTERGÖTLANDS LÄN</t>
        </is>
      </c>
      <c r="E479" t="inlineStr">
        <is>
          <t>LINKÖPING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16665-2023</t>
        </is>
      </c>
      <c r="B480" s="1" t="n">
        <v>45030.5583912037</v>
      </c>
      <c r="C480" s="1" t="n">
        <v>45881</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60860-2024</t>
        </is>
      </c>
      <c r="B481" s="1" t="n">
        <v>45644.6893287037</v>
      </c>
      <c r="C481" s="1" t="n">
        <v>45881</v>
      </c>
      <c r="D481" t="inlineStr">
        <is>
          <t>ÖSTERGÖTLANDS LÄN</t>
        </is>
      </c>
      <c r="E481" t="inlineStr">
        <is>
          <t>LINKÖPING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31640-2023</t>
        </is>
      </c>
      <c r="B482" s="1" t="n">
        <v>45117</v>
      </c>
      <c r="C482" s="1" t="n">
        <v>45881</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51583-2024</t>
        </is>
      </c>
      <c r="B483" s="1" t="n">
        <v>45604.6397337963</v>
      </c>
      <c r="C483" s="1" t="n">
        <v>45881</v>
      </c>
      <c r="D483" t="inlineStr">
        <is>
          <t>ÖSTERGÖTLANDS LÄN</t>
        </is>
      </c>
      <c r="E483" t="inlineStr">
        <is>
          <t>LINKÖPING</t>
        </is>
      </c>
      <c r="F483" t="inlineStr">
        <is>
          <t>Övriga Aktiebolag</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62019-2024</t>
        </is>
      </c>
      <c r="B484" s="1" t="n">
        <v>45655.82</v>
      </c>
      <c r="C484" s="1" t="n">
        <v>45881</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38317-2024</t>
        </is>
      </c>
      <c r="B485" s="1" t="n">
        <v>45545.65766203704</v>
      </c>
      <c r="C485" s="1" t="n">
        <v>45881</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56180-2024</t>
        </is>
      </c>
      <c r="B486" s="1" t="n">
        <v>45624.56611111111</v>
      </c>
      <c r="C486" s="1" t="n">
        <v>45881</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16213-2025</t>
        </is>
      </c>
      <c r="B487" s="1" t="n">
        <v>45750.62740740741</v>
      </c>
      <c r="C487" s="1" t="n">
        <v>45881</v>
      </c>
      <c r="D487" t="inlineStr">
        <is>
          <t>ÖSTERGÖTLANDS LÄN</t>
        </is>
      </c>
      <c r="E487" t="inlineStr">
        <is>
          <t>LINKÖPING</t>
        </is>
      </c>
      <c r="G487" t="n">
        <v>3.4</v>
      </c>
      <c r="H487" t="n">
        <v>0</v>
      </c>
      <c r="I487" t="n">
        <v>0</v>
      </c>
      <c r="J487" t="n">
        <v>0</v>
      </c>
      <c r="K487" t="n">
        <v>0</v>
      </c>
      <c r="L487" t="n">
        <v>0</v>
      </c>
      <c r="M487" t="n">
        <v>0</v>
      </c>
      <c r="N487" t="n">
        <v>0</v>
      </c>
      <c r="O487" t="n">
        <v>0</v>
      </c>
      <c r="P487" t="n">
        <v>0</v>
      </c>
      <c r="Q487" t="n">
        <v>0</v>
      </c>
      <c r="R487" s="2" t="inlineStr"/>
    </row>
    <row r="488" ht="15" customHeight="1">
      <c r="A488" t="inlineStr">
        <is>
          <t>A 938-2023</t>
        </is>
      </c>
      <c r="B488" s="1" t="n">
        <v>44933</v>
      </c>
      <c r="C488" s="1" t="n">
        <v>45881</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34872-2023</t>
        </is>
      </c>
      <c r="B489" s="1" t="n">
        <v>45140</v>
      </c>
      <c r="C489" s="1" t="n">
        <v>45881</v>
      </c>
      <c r="D489" t="inlineStr">
        <is>
          <t>ÖSTERGÖTLANDS LÄN</t>
        </is>
      </c>
      <c r="E489" t="inlineStr">
        <is>
          <t>LINKÖPING</t>
        </is>
      </c>
      <c r="G489" t="n">
        <v>4.8</v>
      </c>
      <c r="H489" t="n">
        <v>0</v>
      </c>
      <c r="I489" t="n">
        <v>0</v>
      </c>
      <c r="J489" t="n">
        <v>0</v>
      </c>
      <c r="K489" t="n">
        <v>0</v>
      </c>
      <c r="L489" t="n">
        <v>0</v>
      </c>
      <c r="M489" t="n">
        <v>0</v>
      </c>
      <c r="N489" t="n">
        <v>0</v>
      </c>
      <c r="O489" t="n">
        <v>0</v>
      </c>
      <c r="P489" t="n">
        <v>0</v>
      </c>
      <c r="Q489" t="n">
        <v>0</v>
      </c>
      <c r="R489" s="2" t="inlineStr"/>
    </row>
    <row r="490" ht="15" customHeight="1">
      <c r="A490" t="inlineStr">
        <is>
          <t>A 33000-2023</t>
        </is>
      </c>
      <c r="B490" s="1" t="n">
        <v>45125</v>
      </c>
      <c r="C490" s="1" t="n">
        <v>45881</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25418-2023</t>
        </is>
      </c>
      <c r="B491" s="1" t="n">
        <v>45089</v>
      </c>
      <c r="C491" s="1" t="n">
        <v>45881</v>
      </c>
      <c r="D491" t="inlineStr">
        <is>
          <t>ÖSTERGÖTLANDS LÄN</t>
        </is>
      </c>
      <c r="E491" t="inlineStr">
        <is>
          <t>LINKÖPING</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60007-2022</t>
        </is>
      </c>
      <c r="B492" s="1" t="n">
        <v>44909.47282407407</v>
      </c>
      <c r="C492" s="1" t="n">
        <v>45881</v>
      </c>
      <c r="D492" t="inlineStr">
        <is>
          <t>ÖSTERGÖTLANDS LÄN</t>
        </is>
      </c>
      <c r="E492" t="inlineStr">
        <is>
          <t>LINKÖPING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50182-2023</t>
        </is>
      </c>
      <c r="B493" s="1" t="n">
        <v>45208</v>
      </c>
      <c r="C493" s="1" t="n">
        <v>45881</v>
      </c>
      <c r="D493" t="inlineStr">
        <is>
          <t>ÖSTERGÖTLANDS LÄN</t>
        </is>
      </c>
      <c r="E493" t="inlineStr">
        <is>
          <t>LINKÖPING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3042-2024</t>
        </is>
      </c>
      <c r="B494" s="1" t="n">
        <v>45316.35028935185</v>
      </c>
      <c r="C494" s="1" t="n">
        <v>45881</v>
      </c>
      <c r="D494" t="inlineStr">
        <is>
          <t>ÖSTERGÖTLANDS LÄN</t>
        </is>
      </c>
      <c r="E494" t="inlineStr">
        <is>
          <t>LINKÖPING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11601-2023</t>
        </is>
      </c>
      <c r="B495" s="1" t="n">
        <v>44994</v>
      </c>
      <c r="C495" s="1" t="n">
        <v>45881</v>
      </c>
      <c r="D495" t="inlineStr">
        <is>
          <t>ÖSTERGÖTLANDS LÄN</t>
        </is>
      </c>
      <c r="E495" t="inlineStr">
        <is>
          <t>LINKÖPING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1844-2025</t>
        </is>
      </c>
      <c r="B496" s="1" t="n">
        <v>45671.57730324074</v>
      </c>
      <c r="C496" s="1" t="n">
        <v>45881</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2997-2025</t>
        </is>
      </c>
      <c r="B497" s="1" t="n">
        <v>45678.54631944445</v>
      </c>
      <c r="C497" s="1" t="n">
        <v>45881</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31534-2023</t>
        </is>
      </c>
      <c r="B498" s="1" t="n">
        <v>45116</v>
      </c>
      <c r="C498" s="1" t="n">
        <v>45881</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20469-2025</t>
        </is>
      </c>
      <c r="B499" s="1" t="n">
        <v>45775</v>
      </c>
      <c r="C499" s="1" t="n">
        <v>45881</v>
      </c>
      <c r="D499" t="inlineStr">
        <is>
          <t>ÖSTERGÖTLANDS LÄN</t>
        </is>
      </c>
      <c r="E499" t="inlineStr">
        <is>
          <t>LINKÖPING</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61227-2024</t>
        </is>
      </c>
      <c r="B500" s="1" t="n">
        <v>45645.66853009259</v>
      </c>
      <c r="C500" s="1" t="n">
        <v>45881</v>
      </c>
      <c r="D500" t="inlineStr">
        <is>
          <t>ÖSTERGÖTLANDS LÄN</t>
        </is>
      </c>
      <c r="E500" t="inlineStr">
        <is>
          <t>LINKÖPING</t>
        </is>
      </c>
      <c r="G500" t="n">
        <v>6</v>
      </c>
      <c r="H500" t="n">
        <v>0</v>
      </c>
      <c r="I500" t="n">
        <v>0</v>
      </c>
      <c r="J500" t="n">
        <v>0</v>
      </c>
      <c r="K500" t="n">
        <v>0</v>
      </c>
      <c r="L500" t="n">
        <v>0</v>
      </c>
      <c r="M500" t="n">
        <v>0</v>
      </c>
      <c r="N500" t="n">
        <v>0</v>
      </c>
      <c r="O500" t="n">
        <v>0</v>
      </c>
      <c r="P500" t="n">
        <v>0</v>
      </c>
      <c r="Q500" t="n">
        <v>0</v>
      </c>
      <c r="R500" s="2" t="inlineStr"/>
    </row>
    <row r="501" ht="15" customHeight="1">
      <c r="A501" t="inlineStr">
        <is>
          <t>A 1260-2023</t>
        </is>
      </c>
      <c r="B501" s="1" t="n">
        <v>44936</v>
      </c>
      <c r="C501" s="1" t="n">
        <v>45881</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7702-2023</t>
        </is>
      </c>
      <c r="B502" s="1" t="n">
        <v>44967</v>
      </c>
      <c r="C502" s="1" t="n">
        <v>45881</v>
      </c>
      <c r="D502" t="inlineStr">
        <is>
          <t>ÖSTERGÖTLANDS LÄN</t>
        </is>
      </c>
      <c r="E502" t="inlineStr">
        <is>
          <t>LINKÖPING</t>
        </is>
      </c>
      <c r="F502" t="inlineStr">
        <is>
          <t>Övriga statliga verk och myndigheter</t>
        </is>
      </c>
      <c r="G502" t="n">
        <v>8</v>
      </c>
      <c r="H502" t="n">
        <v>0</v>
      </c>
      <c r="I502" t="n">
        <v>0</v>
      </c>
      <c r="J502" t="n">
        <v>0</v>
      </c>
      <c r="K502" t="n">
        <v>0</v>
      </c>
      <c r="L502" t="n">
        <v>0</v>
      </c>
      <c r="M502" t="n">
        <v>0</v>
      </c>
      <c r="N502" t="n">
        <v>0</v>
      </c>
      <c r="O502" t="n">
        <v>0</v>
      </c>
      <c r="P502" t="n">
        <v>0</v>
      </c>
      <c r="Q502" t="n">
        <v>0</v>
      </c>
      <c r="R502" s="2" t="inlineStr"/>
    </row>
    <row r="503" ht="15" customHeight="1">
      <c r="A503" t="inlineStr">
        <is>
          <t>A 26803-2024</t>
        </is>
      </c>
      <c r="B503" s="1" t="n">
        <v>45470</v>
      </c>
      <c r="C503" s="1" t="n">
        <v>45881</v>
      </c>
      <c r="D503" t="inlineStr">
        <is>
          <t>ÖSTERGÖTLANDS LÄN</t>
        </is>
      </c>
      <c r="E503" t="inlineStr">
        <is>
          <t>LINKÖPING</t>
        </is>
      </c>
      <c r="F503" t="inlineStr">
        <is>
          <t>Allmännings- och besparingsskogar</t>
        </is>
      </c>
      <c r="G503" t="n">
        <v>4.5</v>
      </c>
      <c r="H503" t="n">
        <v>0</v>
      </c>
      <c r="I503" t="n">
        <v>0</v>
      </c>
      <c r="J503" t="n">
        <v>0</v>
      </c>
      <c r="K503" t="n">
        <v>0</v>
      </c>
      <c r="L503" t="n">
        <v>0</v>
      </c>
      <c r="M503" t="n">
        <v>0</v>
      </c>
      <c r="N503" t="n">
        <v>0</v>
      </c>
      <c r="O503" t="n">
        <v>0</v>
      </c>
      <c r="P503" t="n">
        <v>0</v>
      </c>
      <c r="Q503" t="n">
        <v>0</v>
      </c>
      <c r="R503" s="2" t="inlineStr"/>
    </row>
    <row r="504" ht="15" customHeight="1">
      <c r="A504" t="inlineStr">
        <is>
          <t>A 674-2024</t>
        </is>
      </c>
      <c r="B504" s="1" t="n">
        <v>45300.34408564815</v>
      </c>
      <c r="C504" s="1" t="n">
        <v>45881</v>
      </c>
      <c r="D504" t="inlineStr">
        <is>
          <t>ÖSTERGÖTLANDS LÄN</t>
        </is>
      </c>
      <c r="E504" t="inlineStr">
        <is>
          <t>LINKÖPING</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63684-2023</t>
        </is>
      </c>
      <c r="B505" s="1" t="n">
        <v>45275</v>
      </c>
      <c r="C505" s="1" t="n">
        <v>45881</v>
      </c>
      <c r="D505" t="inlineStr">
        <is>
          <t>ÖSTERGÖTLANDS LÄN</t>
        </is>
      </c>
      <c r="E505" t="inlineStr">
        <is>
          <t>LINKÖPING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167-2024</t>
        </is>
      </c>
      <c r="B506" s="1" t="n">
        <v>45294</v>
      </c>
      <c r="C506" s="1" t="n">
        <v>45881</v>
      </c>
      <c r="D506" t="inlineStr">
        <is>
          <t>ÖSTERGÖTLANDS LÄN</t>
        </is>
      </c>
      <c r="E506" t="inlineStr">
        <is>
          <t>LINKÖPING</t>
        </is>
      </c>
      <c r="F506" t="inlineStr">
        <is>
          <t>Allmännings- och besparingsskogar</t>
        </is>
      </c>
      <c r="G506" t="n">
        <v>11.6</v>
      </c>
      <c r="H506" t="n">
        <v>0</v>
      </c>
      <c r="I506" t="n">
        <v>0</v>
      </c>
      <c r="J506" t="n">
        <v>0</v>
      </c>
      <c r="K506" t="n">
        <v>0</v>
      </c>
      <c r="L506" t="n">
        <v>0</v>
      </c>
      <c r="M506" t="n">
        <v>0</v>
      </c>
      <c r="N506" t="n">
        <v>0</v>
      </c>
      <c r="O506" t="n">
        <v>0</v>
      </c>
      <c r="P506" t="n">
        <v>0</v>
      </c>
      <c r="Q506" t="n">
        <v>0</v>
      </c>
      <c r="R506" s="2" t="inlineStr"/>
    </row>
    <row r="507" ht="15" customHeight="1">
      <c r="A507" t="inlineStr">
        <is>
          <t>A 21164-2025</t>
        </is>
      </c>
      <c r="B507" s="1" t="n">
        <v>45779.38840277777</v>
      </c>
      <c r="C507" s="1" t="n">
        <v>45881</v>
      </c>
      <c r="D507" t="inlineStr">
        <is>
          <t>ÖSTERGÖTLANDS LÄN</t>
        </is>
      </c>
      <c r="E507" t="inlineStr">
        <is>
          <t>LINKÖPING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21154-2025</t>
        </is>
      </c>
      <c r="B508" s="1" t="n">
        <v>45779.36340277778</v>
      </c>
      <c r="C508" s="1" t="n">
        <v>45881</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36725-2023</t>
        </is>
      </c>
      <c r="B509" s="1" t="n">
        <v>45153.68471064815</v>
      </c>
      <c r="C509" s="1" t="n">
        <v>45881</v>
      </c>
      <c r="D509" t="inlineStr">
        <is>
          <t>ÖSTERGÖTLANDS LÄN</t>
        </is>
      </c>
      <c r="E509" t="inlineStr">
        <is>
          <t>LINKÖPING</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21155-2025</t>
        </is>
      </c>
      <c r="B510" s="1" t="n">
        <v>45779.37586805555</v>
      </c>
      <c r="C510" s="1" t="n">
        <v>45881</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45806-2024</t>
        </is>
      </c>
      <c r="B511" s="1" t="n">
        <v>45579.69619212963</v>
      </c>
      <c r="C511" s="1" t="n">
        <v>45881</v>
      </c>
      <c r="D511" t="inlineStr">
        <is>
          <t>ÖSTERGÖTLANDS LÄN</t>
        </is>
      </c>
      <c r="E511" t="inlineStr">
        <is>
          <t>LINKÖPING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27343-2023</t>
        </is>
      </c>
      <c r="B512" s="1" t="n">
        <v>45096</v>
      </c>
      <c r="C512" s="1" t="n">
        <v>45881</v>
      </c>
      <c r="D512" t="inlineStr">
        <is>
          <t>ÖSTERGÖTLANDS LÄN</t>
        </is>
      </c>
      <c r="E512" t="inlineStr">
        <is>
          <t>LINKÖPING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10253-2022</t>
        </is>
      </c>
      <c r="B513" s="1" t="n">
        <v>44622</v>
      </c>
      <c r="C513" s="1" t="n">
        <v>45881</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37154-2023</t>
        </is>
      </c>
      <c r="B514" s="1" t="n">
        <v>45155</v>
      </c>
      <c r="C514" s="1" t="n">
        <v>45881</v>
      </c>
      <c r="D514" t="inlineStr">
        <is>
          <t>ÖSTERGÖTLANDS LÄN</t>
        </is>
      </c>
      <c r="E514" t="inlineStr">
        <is>
          <t>LINKÖPING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21165-2025</t>
        </is>
      </c>
      <c r="B515" s="1" t="n">
        <v>45779.39417824074</v>
      </c>
      <c r="C515" s="1" t="n">
        <v>45881</v>
      </c>
      <c r="D515" t="inlineStr">
        <is>
          <t>ÖSTERGÖTLANDS LÄN</t>
        </is>
      </c>
      <c r="E515" t="inlineStr">
        <is>
          <t>LINKÖPING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11330-2023</t>
        </is>
      </c>
      <c r="B516" s="1" t="n">
        <v>44993.24648148148</v>
      </c>
      <c r="C516" s="1" t="n">
        <v>45881</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42000-2023</t>
        </is>
      </c>
      <c r="B517" s="1" t="n">
        <v>45177</v>
      </c>
      <c r="C517" s="1" t="n">
        <v>45881</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22774-2024</t>
        </is>
      </c>
      <c r="B518" s="1" t="n">
        <v>45448.46924768519</v>
      </c>
      <c r="C518" s="1" t="n">
        <v>45881</v>
      </c>
      <c r="D518" t="inlineStr">
        <is>
          <t>ÖSTERGÖTLANDS LÄN</t>
        </is>
      </c>
      <c r="E518" t="inlineStr">
        <is>
          <t>LINKÖPING</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22778-2024</t>
        </is>
      </c>
      <c r="B519" s="1" t="n">
        <v>45448.47233796296</v>
      </c>
      <c r="C519" s="1" t="n">
        <v>45881</v>
      </c>
      <c r="D519" t="inlineStr">
        <is>
          <t>ÖSTERGÖTLANDS LÄN</t>
        </is>
      </c>
      <c r="E519" t="inlineStr">
        <is>
          <t>LINKÖPING</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32602-2022</t>
        </is>
      </c>
      <c r="B520" s="1" t="n">
        <v>44783.43192129629</v>
      </c>
      <c r="C520" s="1" t="n">
        <v>45881</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34864-2023</t>
        </is>
      </c>
      <c r="B521" s="1" t="n">
        <v>45141</v>
      </c>
      <c r="C521" s="1" t="n">
        <v>45881</v>
      </c>
      <c r="D521" t="inlineStr">
        <is>
          <t>ÖSTERGÖTLANDS LÄN</t>
        </is>
      </c>
      <c r="E521" t="inlineStr">
        <is>
          <t>LINKÖPING</t>
        </is>
      </c>
      <c r="G521" t="n">
        <v>3.3</v>
      </c>
      <c r="H521" t="n">
        <v>0</v>
      </c>
      <c r="I521" t="n">
        <v>0</v>
      </c>
      <c r="J521" t="n">
        <v>0</v>
      </c>
      <c r="K521" t="n">
        <v>0</v>
      </c>
      <c r="L521" t="n">
        <v>0</v>
      </c>
      <c r="M521" t="n">
        <v>0</v>
      </c>
      <c r="N521" t="n">
        <v>0</v>
      </c>
      <c r="O521" t="n">
        <v>0</v>
      </c>
      <c r="P521" t="n">
        <v>0</v>
      </c>
      <c r="Q521" t="n">
        <v>0</v>
      </c>
      <c r="R521" s="2" t="inlineStr"/>
    </row>
    <row r="522" ht="15" customHeight="1">
      <c r="A522" t="inlineStr">
        <is>
          <t>A 47876-2020</t>
        </is>
      </c>
      <c r="B522" s="1" t="n">
        <v>44099</v>
      </c>
      <c r="C522" s="1" t="n">
        <v>45881</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52531-2023</t>
        </is>
      </c>
      <c r="B523" s="1" t="n">
        <v>45225</v>
      </c>
      <c r="C523" s="1" t="n">
        <v>45881</v>
      </c>
      <c r="D523" t="inlineStr">
        <is>
          <t>ÖSTERGÖTLANDS LÄN</t>
        </is>
      </c>
      <c r="E523" t="inlineStr">
        <is>
          <t>LINKÖPING</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34930-2023</t>
        </is>
      </c>
      <c r="B524" s="1" t="n">
        <v>45142</v>
      </c>
      <c r="C524" s="1" t="n">
        <v>45881</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30985-2022</t>
        </is>
      </c>
      <c r="B525" s="1" t="n">
        <v>44768</v>
      </c>
      <c r="C525" s="1" t="n">
        <v>45881</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25292-2021</t>
        </is>
      </c>
      <c r="B526" s="1" t="n">
        <v>44342</v>
      </c>
      <c r="C526" s="1" t="n">
        <v>45881</v>
      </c>
      <c r="D526" t="inlineStr">
        <is>
          <t>ÖSTERGÖTLANDS LÄN</t>
        </is>
      </c>
      <c r="E526" t="inlineStr">
        <is>
          <t>LINKÖPING</t>
        </is>
      </c>
      <c r="F526" t="inlineStr">
        <is>
          <t>Övriga Aktiebolag</t>
        </is>
      </c>
      <c r="G526" t="n">
        <v>12.8</v>
      </c>
      <c r="H526" t="n">
        <v>0</v>
      </c>
      <c r="I526" t="n">
        <v>0</v>
      </c>
      <c r="J526" t="n">
        <v>0</v>
      </c>
      <c r="K526" t="n">
        <v>0</v>
      </c>
      <c r="L526" t="n">
        <v>0</v>
      </c>
      <c r="M526" t="n">
        <v>0</v>
      </c>
      <c r="N526" t="n">
        <v>0</v>
      </c>
      <c r="O526" t="n">
        <v>0</v>
      </c>
      <c r="P526" t="n">
        <v>0</v>
      </c>
      <c r="Q526" t="n">
        <v>0</v>
      </c>
      <c r="R526" s="2" t="inlineStr"/>
    </row>
    <row r="527" ht="15" customHeight="1">
      <c r="A527" t="inlineStr">
        <is>
          <t>A 13413-2023</t>
        </is>
      </c>
      <c r="B527" s="1" t="n">
        <v>45005.58341435185</v>
      </c>
      <c r="C527" s="1" t="n">
        <v>45881</v>
      </c>
      <c r="D527" t="inlineStr">
        <is>
          <t>ÖSTERGÖTLANDS LÄN</t>
        </is>
      </c>
      <c r="E527" t="inlineStr">
        <is>
          <t>LINKÖPING</t>
        </is>
      </c>
      <c r="G527" t="n">
        <v>2.4</v>
      </c>
      <c r="H527" t="n">
        <v>0</v>
      </c>
      <c r="I527" t="n">
        <v>0</v>
      </c>
      <c r="J527" t="n">
        <v>0</v>
      </c>
      <c r="K527" t="n">
        <v>0</v>
      </c>
      <c r="L527" t="n">
        <v>0</v>
      </c>
      <c r="M527" t="n">
        <v>0</v>
      </c>
      <c r="N527" t="n">
        <v>0</v>
      </c>
      <c r="O527" t="n">
        <v>0</v>
      </c>
      <c r="P527" t="n">
        <v>0</v>
      </c>
      <c r="Q527" t="n">
        <v>0</v>
      </c>
      <c r="R527" s="2" t="inlineStr"/>
    </row>
    <row r="528" ht="15" customHeight="1">
      <c r="A528" t="inlineStr">
        <is>
          <t>A 49748-2024</t>
        </is>
      </c>
      <c r="B528" s="1" t="n">
        <v>45596</v>
      </c>
      <c r="C528" s="1" t="n">
        <v>45881</v>
      </c>
      <c r="D528" t="inlineStr">
        <is>
          <t>ÖSTERGÖTLANDS LÄN</t>
        </is>
      </c>
      <c r="E528" t="inlineStr">
        <is>
          <t>LINKÖPING</t>
        </is>
      </c>
      <c r="G528" t="n">
        <v>0.8</v>
      </c>
      <c r="H528" t="n">
        <v>0</v>
      </c>
      <c r="I528" t="n">
        <v>0</v>
      </c>
      <c r="J528" t="n">
        <v>0</v>
      </c>
      <c r="K528" t="n">
        <v>0</v>
      </c>
      <c r="L528" t="n">
        <v>0</v>
      </c>
      <c r="M528" t="n">
        <v>0</v>
      </c>
      <c r="N528" t="n">
        <v>0</v>
      </c>
      <c r="O528" t="n">
        <v>0</v>
      </c>
      <c r="P528" t="n">
        <v>0</v>
      </c>
      <c r="Q528" t="n">
        <v>0</v>
      </c>
      <c r="R528" s="2" t="inlineStr"/>
    </row>
    <row r="529" ht="15" customHeight="1">
      <c r="A529" t="inlineStr">
        <is>
          <t>A 59642-2024</t>
        </is>
      </c>
      <c r="B529" s="1" t="n">
        <v>45639.31511574074</v>
      </c>
      <c r="C529" s="1" t="n">
        <v>45881</v>
      </c>
      <c r="D529" t="inlineStr">
        <is>
          <t>ÖSTERGÖTLANDS LÄN</t>
        </is>
      </c>
      <c r="E529" t="inlineStr">
        <is>
          <t>LINKÖPING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15748-2025</t>
        </is>
      </c>
      <c r="B530" s="1" t="n">
        <v>45748.55282407408</v>
      </c>
      <c r="C530" s="1" t="n">
        <v>45881</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31792-2021</t>
        </is>
      </c>
      <c r="B531" s="1" t="n">
        <v>44369</v>
      </c>
      <c r="C531" s="1" t="n">
        <v>45881</v>
      </c>
      <c r="D531" t="inlineStr">
        <is>
          <t>ÖSTERGÖTLANDS LÄN</t>
        </is>
      </c>
      <c r="E531" t="inlineStr">
        <is>
          <t>LINKÖPING</t>
        </is>
      </c>
      <c r="G531" t="n">
        <v>1.9</v>
      </c>
      <c r="H531" t="n">
        <v>0</v>
      </c>
      <c r="I531" t="n">
        <v>0</v>
      </c>
      <c r="J531" t="n">
        <v>0</v>
      </c>
      <c r="K531" t="n">
        <v>0</v>
      </c>
      <c r="L531" t="n">
        <v>0</v>
      </c>
      <c r="M531" t="n">
        <v>0</v>
      </c>
      <c r="N531" t="n">
        <v>0</v>
      </c>
      <c r="O531" t="n">
        <v>0</v>
      </c>
      <c r="P531" t="n">
        <v>0</v>
      </c>
      <c r="Q531" t="n">
        <v>0</v>
      </c>
      <c r="R531" s="2" t="inlineStr"/>
    </row>
    <row r="532" ht="15" customHeight="1">
      <c r="A532" t="inlineStr">
        <is>
          <t>A 25097-2023</t>
        </is>
      </c>
      <c r="B532" s="1" t="n">
        <v>45086</v>
      </c>
      <c r="C532" s="1" t="n">
        <v>45881</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63528-2023</t>
        </is>
      </c>
      <c r="B533" s="1" t="n">
        <v>45274.94810185185</v>
      </c>
      <c r="C533" s="1" t="n">
        <v>45881</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35735-2023</t>
        </is>
      </c>
      <c r="B534" s="1" t="n">
        <v>45147</v>
      </c>
      <c r="C534" s="1" t="n">
        <v>45881</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16462-2021</t>
        </is>
      </c>
      <c r="B535" s="1" t="n">
        <v>44293</v>
      </c>
      <c r="C535" s="1" t="n">
        <v>45881</v>
      </c>
      <c r="D535" t="inlineStr">
        <is>
          <t>ÖSTERGÖTLANDS LÄN</t>
        </is>
      </c>
      <c r="E535" t="inlineStr">
        <is>
          <t>LINKÖPING</t>
        </is>
      </c>
      <c r="F535" t="inlineStr">
        <is>
          <t>Allmännings- och besparingsskogar</t>
        </is>
      </c>
      <c r="G535" t="n">
        <v>24.7</v>
      </c>
      <c r="H535" t="n">
        <v>0</v>
      </c>
      <c r="I535" t="n">
        <v>0</v>
      </c>
      <c r="J535" t="n">
        <v>0</v>
      </c>
      <c r="K535" t="n">
        <v>0</v>
      </c>
      <c r="L535" t="n">
        <v>0</v>
      </c>
      <c r="M535" t="n">
        <v>0</v>
      </c>
      <c r="N535" t="n">
        <v>0</v>
      </c>
      <c r="O535" t="n">
        <v>0</v>
      </c>
      <c r="P535" t="n">
        <v>0</v>
      </c>
      <c r="Q535" t="n">
        <v>0</v>
      </c>
      <c r="R535" s="2" t="inlineStr"/>
    </row>
    <row r="536" ht="15" customHeight="1">
      <c r="A536" t="inlineStr">
        <is>
          <t>A 57752-2023</t>
        </is>
      </c>
      <c r="B536" s="1" t="n">
        <v>45246.78474537037</v>
      </c>
      <c r="C536" s="1" t="n">
        <v>45881</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25776-2021</t>
        </is>
      </c>
      <c r="B537" s="1" t="n">
        <v>44343</v>
      </c>
      <c r="C537" s="1" t="n">
        <v>45881</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30856-2022</t>
        </is>
      </c>
      <c r="B538" s="1" t="n">
        <v>44767</v>
      </c>
      <c r="C538" s="1" t="n">
        <v>45881</v>
      </c>
      <c r="D538" t="inlineStr">
        <is>
          <t>ÖSTERGÖTLANDS LÄN</t>
        </is>
      </c>
      <c r="E538" t="inlineStr">
        <is>
          <t>LINKÖPING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63638-2023</t>
        </is>
      </c>
      <c r="B539" s="1" t="n">
        <v>45275</v>
      </c>
      <c r="C539" s="1" t="n">
        <v>45881</v>
      </c>
      <c r="D539" t="inlineStr">
        <is>
          <t>ÖSTERGÖTLANDS LÄN</t>
        </is>
      </c>
      <c r="E539" t="inlineStr">
        <is>
          <t>LINKÖPING</t>
        </is>
      </c>
      <c r="F539" t="inlineStr">
        <is>
          <t>Övriga Aktiebolag</t>
        </is>
      </c>
      <c r="G539" t="n">
        <v>2.4</v>
      </c>
      <c r="H539" t="n">
        <v>0</v>
      </c>
      <c r="I539" t="n">
        <v>0</v>
      </c>
      <c r="J539" t="n">
        <v>0</v>
      </c>
      <c r="K539" t="n">
        <v>0</v>
      </c>
      <c r="L539" t="n">
        <v>0</v>
      </c>
      <c r="M539" t="n">
        <v>0</v>
      </c>
      <c r="N539" t="n">
        <v>0</v>
      </c>
      <c r="O539" t="n">
        <v>0</v>
      </c>
      <c r="P539" t="n">
        <v>0</v>
      </c>
      <c r="Q539" t="n">
        <v>0</v>
      </c>
      <c r="R539" s="2" t="inlineStr"/>
    </row>
    <row r="540" ht="15" customHeight="1">
      <c r="A540" t="inlineStr">
        <is>
          <t>A 63658-2023</t>
        </is>
      </c>
      <c r="B540" s="1" t="n">
        <v>45275</v>
      </c>
      <c r="C540" s="1" t="n">
        <v>45881</v>
      </c>
      <c r="D540" t="inlineStr">
        <is>
          <t>ÖSTERGÖTLANDS LÄN</t>
        </is>
      </c>
      <c r="E540" t="inlineStr">
        <is>
          <t>LINKÖPING</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37683-2024</t>
        </is>
      </c>
      <c r="B541" s="1" t="n">
        <v>45541.59120370371</v>
      </c>
      <c r="C541" s="1" t="n">
        <v>45881</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7808-2022</t>
        </is>
      </c>
      <c r="B542" s="1" t="n">
        <v>44608</v>
      </c>
      <c r="C542" s="1" t="n">
        <v>45881</v>
      </c>
      <c r="D542" t="inlineStr">
        <is>
          <t>ÖSTERGÖTLANDS LÄN</t>
        </is>
      </c>
      <c r="E542" t="inlineStr">
        <is>
          <t>LINKÖPING</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19187-2021</t>
        </is>
      </c>
      <c r="B543" s="1" t="n">
        <v>44308</v>
      </c>
      <c r="C543" s="1" t="n">
        <v>45881</v>
      </c>
      <c r="D543" t="inlineStr">
        <is>
          <t>ÖSTERGÖTLANDS LÄN</t>
        </is>
      </c>
      <c r="E543" t="inlineStr">
        <is>
          <t>LINKÖPING</t>
        </is>
      </c>
      <c r="F543" t="inlineStr">
        <is>
          <t>Allmännings- och besparingsskogar</t>
        </is>
      </c>
      <c r="G543" t="n">
        <v>20</v>
      </c>
      <c r="H543" t="n">
        <v>0</v>
      </c>
      <c r="I543" t="n">
        <v>0</v>
      </c>
      <c r="J543" t="n">
        <v>0</v>
      </c>
      <c r="K543" t="n">
        <v>0</v>
      </c>
      <c r="L543" t="n">
        <v>0</v>
      </c>
      <c r="M543" t="n">
        <v>0</v>
      </c>
      <c r="N543" t="n">
        <v>0</v>
      </c>
      <c r="O543" t="n">
        <v>0</v>
      </c>
      <c r="P543" t="n">
        <v>0</v>
      </c>
      <c r="Q543" t="n">
        <v>0</v>
      </c>
      <c r="R543" s="2" t="inlineStr"/>
    </row>
    <row r="544" ht="15" customHeight="1">
      <c r="A544" t="inlineStr">
        <is>
          <t>A 36336-2023</t>
        </is>
      </c>
      <c r="B544" s="1" t="n">
        <v>45152.45078703704</v>
      </c>
      <c r="C544" s="1" t="n">
        <v>45881</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56623-2024</t>
        </is>
      </c>
      <c r="B545" s="1" t="n">
        <v>45625</v>
      </c>
      <c r="C545" s="1" t="n">
        <v>45881</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39219-2021</t>
        </is>
      </c>
      <c r="B546" s="1" t="n">
        <v>44413</v>
      </c>
      <c r="C546" s="1" t="n">
        <v>45881</v>
      </c>
      <c r="D546" t="inlineStr">
        <is>
          <t>ÖSTERGÖTLANDS LÄN</t>
        </is>
      </c>
      <c r="E546" t="inlineStr">
        <is>
          <t>LINKÖPING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39224-2021</t>
        </is>
      </c>
      <c r="B547" s="1" t="n">
        <v>44413</v>
      </c>
      <c r="C547" s="1" t="n">
        <v>45881</v>
      </c>
      <c r="D547" t="inlineStr">
        <is>
          <t>ÖSTERGÖTLANDS LÄN</t>
        </is>
      </c>
      <c r="E547" t="inlineStr">
        <is>
          <t>LINKÖPING</t>
        </is>
      </c>
      <c r="G547" t="n">
        <v>2.1</v>
      </c>
      <c r="H547" t="n">
        <v>0</v>
      </c>
      <c r="I547" t="n">
        <v>0</v>
      </c>
      <c r="J547" t="n">
        <v>0</v>
      </c>
      <c r="K547" t="n">
        <v>0</v>
      </c>
      <c r="L547" t="n">
        <v>0</v>
      </c>
      <c r="M547" t="n">
        <v>0</v>
      </c>
      <c r="N547" t="n">
        <v>0</v>
      </c>
      <c r="O547" t="n">
        <v>0</v>
      </c>
      <c r="P547" t="n">
        <v>0</v>
      </c>
      <c r="Q547" t="n">
        <v>0</v>
      </c>
      <c r="R547" s="2" t="inlineStr"/>
    </row>
    <row r="548" ht="15" customHeight="1">
      <c r="A548" t="inlineStr">
        <is>
          <t>A 9473-2024</t>
        </is>
      </c>
      <c r="B548" s="1" t="n">
        <v>45359.55474537037</v>
      </c>
      <c r="C548" s="1" t="n">
        <v>45881</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10797-2024</t>
        </is>
      </c>
      <c r="B549" s="1" t="n">
        <v>45369.6190162037</v>
      </c>
      <c r="C549" s="1" t="n">
        <v>45881</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22264-2025</t>
        </is>
      </c>
      <c r="B550" s="1" t="n">
        <v>45785</v>
      </c>
      <c r="C550" s="1" t="n">
        <v>45881</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13011-2022</t>
        </is>
      </c>
      <c r="B551" s="1" t="n">
        <v>44643</v>
      </c>
      <c r="C551" s="1" t="n">
        <v>45881</v>
      </c>
      <c r="D551" t="inlineStr">
        <is>
          <t>ÖSTERGÖTLANDS LÄN</t>
        </is>
      </c>
      <c r="E551" t="inlineStr">
        <is>
          <t>LINKÖPING</t>
        </is>
      </c>
      <c r="G551" t="n">
        <v>3.7</v>
      </c>
      <c r="H551" t="n">
        <v>0</v>
      </c>
      <c r="I551" t="n">
        <v>0</v>
      </c>
      <c r="J551" t="n">
        <v>0</v>
      </c>
      <c r="K551" t="n">
        <v>0</v>
      </c>
      <c r="L551" t="n">
        <v>0</v>
      </c>
      <c r="M551" t="n">
        <v>0</v>
      </c>
      <c r="N551" t="n">
        <v>0</v>
      </c>
      <c r="O551" t="n">
        <v>0</v>
      </c>
      <c r="P551" t="n">
        <v>0</v>
      </c>
      <c r="Q551" t="n">
        <v>0</v>
      </c>
      <c r="R551" s="2" t="inlineStr"/>
    </row>
    <row r="552" ht="15" customHeight="1">
      <c r="A552" t="inlineStr">
        <is>
          <t>A 11595-2025</t>
        </is>
      </c>
      <c r="B552" s="1" t="n">
        <v>45727.41893518518</v>
      </c>
      <c r="C552" s="1" t="n">
        <v>45881</v>
      </c>
      <c r="D552" t="inlineStr">
        <is>
          <t>ÖSTERGÖTLANDS LÄN</t>
        </is>
      </c>
      <c r="E552" t="inlineStr">
        <is>
          <t>LINKÖPING</t>
        </is>
      </c>
      <c r="G552" t="n">
        <v>6.6</v>
      </c>
      <c r="H552" t="n">
        <v>0</v>
      </c>
      <c r="I552" t="n">
        <v>0</v>
      </c>
      <c r="J552" t="n">
        <v>0</v>
      </c>
      <c r="K552" t="n">
        <v>0</v>
      </c>
      <c r="L552" t="n">
        <v>0</v>
      </c>
      <c r="M552" t="n">
        <v>0</v>
      </c>
      <c r="N552" t="n">
        <v>0</v>
      </c>
      <c r="O552" t="n">
        <v>0</v>
      </c>
      <c r="P552" t="n">
        <v>0</v>
      </c>
      <c r="Q552" t="n">
        <v>0</v>
      </c>
      <c r="R552" s="2" t="inlineStr"/>
    </row>
    <row r="553" ht="15" customHeight="1">
      <c r="A553" t="inlineStr">
        <is>
          <t>A 50508-2024</t>
        </is>
      </c>
      <c r="B553" s="1" t="n">
        <v>45601.53907407408</v>
      </c>
      <c r="C553" s="1" t="n">
        <v>45881</v>
      </c>
      <c r="D553" t="inlineStr">
        <is>
          <t>ÖSTERGÖTLANDS LÄN</t>
        </is>
      </c>
      <c r="E553" t="inlineStr">
        <is>
          <t>LINKÖPING</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36336-2022</t>
        </is>
      </c>
      <c r="B554" s="1" t="n">
        <v>44803</v>
      </c>
      <c r="C554" s="1" t="n">
        <v>45881</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48839-2022</t>
        </is>
      </c>
      <c r="B555" s="1" t="n">
        <v>44859</v>
      </c>
      <c r="C555" s="1" t="n">
        <v>45881</v>
      </c>
      <c r="D555" t="inlineStr">
        <is>
          <t>ÖSTERGÖTLANDS LÄN</t>
        </is>
      </c>
      <c r="E555" t="inlineStr">
        <is>
          <t>LINKÖPING</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6859-2024</t>
        </is>
      </c>
      <c r="B556" s="1" t="n">
        <v>45342</v>
      </c>
      <c r="C556" s="1" t="n">
        <v>45881</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38580-2024</t>
        </is>
      </c>
      <c r="B557" s="1" t="n">
        <v>45546.64825231482</v>
      </c>
      <c r="C557" s="1" t="n">
        <v>45881</v>
      </c>
      <c r="D557" t="inlineStr">
        <is>
          <t>ÖSTERGÖTLANDS LÄN</t>
        </is>
      </c>
      <c r="E557" t="inlineStr">
        <is>
          <t>LINKÖPING</t>
        </is>
      </c>
      <c r="G557" t="n">
        <v>4.8</v>
      </c>
      <c r="H557" t="n">
        <v>0</v>
      </c>
      <c r="I557" t="n">
        <v>0</v>
      </c>
      <c r="J557" t="n">
        <v>0</v>
      </c>
      <c r="K557" t="n">
        <v>0</v>
      </c>
      <c r="L557" t="n">
        <v>0</v>
      </c>
      <c r="M557" t="n">
        <v>0</v>
      </c>
      <c r="N557" t="n">
        <v>0</v>
      </c>
      <c r="O557" t="n">
        <v>0</v>
      </c>
      <c r="P557" t="n">
        <v>0</v>
      </c>
      <c r="Q557" t="n">
        <v>0</v>
      </c>
      <c r="R557" s="2" t="inlineStr"/>
    </row>
    <row r="558" ht="15" customHeight="1">
      <c r="A558" t="inlineStr">
        <is>
          <t>A 572-2025</t>
        </is>
      </c>
      <c r="B558" s="1" t="n">
        <v>45664.56349537037</v>
      </c>
      <c r="C558" s="1" t="n">
        <v>45881</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47991-2023</t>
        </is>
      </c>
      <c r="B559" s="1" t="n">
        <v>45204.62655092592</v>
      </c>
      <c r="C559" s="1" t="n">
        <v>45881</v>
      </c>
      <c r="D559" t="inlineStr">
        <is>
          <t>ÖSTERGÖTLANDS LÄN</t>
        </is>
      </c>
      <c r="E559" t="inlineStr">
        <is>
          <t>LINKÖPING</t>
        </is>
      </c>
      <c r="F559" t="inlineStr">
        <is>
          <t>Allmännings- och besparingsskogar</t>
        </is>
      </c>
      <c r="G559" t="n">
        <v>7.3</v>
      </c>
      <c r="H559" t="n">
        <v>0</v>
      </c>
      <c r="I559" t="n">
        <v>0</v>
      </c>
      <c r="J559" t="n">
        <v>0</v>
      </c>
      <c r="K559" t="n">
        <v>0</v>
      </c>
      <c r="L559" t="n">
        <v>0</v>
      </c>
      <c r="M559" t="n">
        <v>0</v>
      </c>
      <c r="N559" t="n">
        <v>0</v>
      </c>
      <c r="O559" t="n">
        <v>0</v>
      </c>
      <c r="P559" t="n">
        <v>0</v>
      </c>
      <c r="Q559" t="n">
        <v>0</v>
      </c>
      <c r="R559" s="2" t="inlineStr"/>
    </row>
    <row r="560" ht="15" customHeight="1">
      <c r="A560" t="inlineStr">
        <is>
          <t>A 22364-2025</t>
        </is>
      </c>
      <c r="B560" s="1" t="n">
        <v>45786.46930555555</v>
      </c>
      <c r="C560" s="1" t="n">
        <v>45881</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6387-2022</t>
        </is>
      </c>
      <c r="B561" s="1" t="n">
        <v>44600</v>
      </c>
      <c r="C561" s="1" t="n">
        <v>45881</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44287-2024</t>
        </is>
      </c>
      <c r="B562" s="1" t="n">
        <v>45573.50582175926</v>
      </c>
      <c r="C562" s="1" t="n">
        <v>45881</v>
      </c>
      <c r="D562" t="inlineStr">
        <is>
          <t>ÖSTERGÖTLANDS LÄN</t>
        </is>
      </c>
      <c r="E562" t="inlineStr">
        <is>
          <t>LINKÖPING</t>
        </is>
      </c>
      <c r="G562" t="n">
        <v>12.7</v>
      </c>
      <c r="H562" t="n">
        <v>0</v>
      </c>
      <c r="I562" t="n">
        <v>0</v>
      </c>
      <c r="J562" t="n">
        <v>0</v>
      </c>
      <c r="K562" t="n">
        <v>0</v>
      </c>
      <c r="L562" t="n">
        <v>0</v>
      </c>
      <c r="M562" t="n">
        <v>0</v>
      </c>
      <c r="N562" t="n">
        <v>0</v>
      </c>
      <c r="O562" t="n">
        <v>0</v>
      </c>
      <c r="P562" t="n">
        <v>0</v>
      </c>
      <c r="Q562" t="n">
        <v>0</v>
      </c>
      <c r="R562" s="2" t="inlineStr"/>
    </row>
    <row r="563" ht="15" customHeight="1">
      <c r="A563" t="inlineStr">
        <is>
          <t>A 34641-2022</t>
        </is>
      </c>
      <c r="B563" s="1" t="n">
        <v>44795</v>
      </c>
      <c r="C563" s="1" t="n">
        <v>45881</v>
      </c>
      <c r="D563" t="inlineStr">
        <is>
          <t>ÖSTERGÖTLANDS LÄN</t>
        </is>
      </c>
      <c r="E563" t="inlineStr">
        <is>
          <t>LINKÖPING</t>
        </is>
      </c>
      <c r="G563" t="n">
        <v>2.4</v>
      </c>
      <c r="H563" t="n">
        <v>0</v>
      </c>
      <c r="I563" t="n">
        <v>0</v>
      </c>
      <c r="J563" t="n">
        <v>0</v>
      </c>
      <c r="K563" t="n">
        <v>0</v>
      </c>
      <c r="L563" t="n">
        <v>0</v>
      </c>
      <c r="M563" t="n">
        <v>0</v>
      </c>
      <c r="N563" t="n">
        <v>0</v>
      </c>
      <c r="O563" t="n">
        <v>0</v>
      </c>
      <c r="P563" t="n">
        <v>0</v>
      </c>
      <c r="Q563" t="n">
        <v>0</v>
      </c>
      <c r="R563" s="2" t="inlineStr"/>
    </row>
    <row r="564" ht="15" customHeight="1">
      <c r="A564" t="inlineStr">
        <is>
          <t>A 13687-2025</t>
        </is>
      </c>
      <c r="B564" s="1" t="n">
        <v>45737.31425925926</v>
      </c>
      <c r="C564" s="1" t="n">
        <v>45881</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13688-2025</t>
        </is>
      </c>
      <c r="B565" s="1" t="n">
        <v>45737.3153125</v>
      </c>
      <c r="C565" s="1" t="n">
        <v>45881</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13695-2025</t>
        </is>
      </c>
      <c r="B566" s="1" t="n">
        <v>45737.32219907407</v>
      </c>
      <c r="C566" s="1" t="n">
        <v>45881</v>
      </c>
      <c r="D566" t="inlineStr">
        <is>
          <t>ÖSTERGÖTLANDS LÄN</t>
        </is>
      </c>
      <c r="E566" t="inlineStr">
        <is>
          <t>LINKÖPING</t>
        </is>
      </c>
      <c r="G566" t="n">
        <v>5.3</v>
      </c>
      <c r="H566" t="n">
        <v>0</v>
      </c>
      <c r="I566" t="n">
        <v>0</v>
      </c>
      <c r="J566" t="n">
        <v>0</v>
      </c>
      <c r="K566" t="n">
        <v>0</v>
      </c>
      <c r="L566" t="n">
        <v>0</v>
      </c>
      <c r="M566" t="n">
        <v>0</v>
      </c>
      <c r="N566" t="n">
        <v>0</v>
      </c>
      <c r="O566" t="n">
        <v>0</v>
      </c>
      <c r="P566" t="n">
        <v>0</v>
      </c>
      <c r="Q566" t="n">
        <v>0</v>
      </c>
      <c r="R566" s="2" t="inlineStr"/>
    </row>
    <row r="567" ht="15" customHeight="1">
      <c r="A567" t="inlineStr">
        <is>
          <t>A 29312-2024</t>
        </is>
      </c>
      <c r="B567" s="1" t="n">
        <v>45483</v>
      </c>
      <c r="C567" s="1" t="n">
        <v>45881</v>
      </c>
      <c r="D567" t="inlineStr">
        <is>
          <t>ÖSTERGÖTLANDS LÄN</t>
        </is>
      </c>
      <c r="E567" t="inlineStr">
        <is>
          <t>LINKÖPING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52413-2023</t>
        </is>
      </c>
      <c r="B568" s="1" t="n">
        <v>45225.27950231481</v>
      </c>
      <c r="C568" s="1" t="n">
        <v>45881</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42054-2022</t>
        </is>
      </c>
      <c r="B569" s="1" t="n">
        <v>44830</v>
      </c>
      <c r="C569" s="1" t="n">
        <v>45881</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53797-2023</t>
        </is>
      </c>
      <c r="B570" s="1" t="n">
        <v>45230</v>
      </c>
      <c r="C570" s="1" t="n">
        <v>45881</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23120-2025</t>
        </is>
      </c>
      <c r="B571" s="1" t="n">
        <v>45791.37481481482</v>
      </c>
      <c r="C571" s="1" t="n">
        <v>45881</v>
      </c>
      <c r="D571" t="inlineStr">
        <is>
          <t>ÖSTERGÖTLANDS LÄN</t>
        </is>
      </c>
      <c r="E571" t="inlineStr">
        <is>
          <t>LINKÖPING</t>
        </is>
      </c>
      <c r="G571" t="n">
        <v>2.9</v>
      </c>
      <c r="H571" t="n">
        <v>0</v>
      </c>
      <c r="I571" t="n">
        <v>0</v>
      </c>
      <c r="J571" t="n">
        <v>0</v>
      </c>
      <c r="K571" t="n">
        <v>0</v>
      </c>
      <c r="L571" t="n">
        <v>0</v>
      </c>
      <c r="M571" t="n">
        <v>0</v>
      </c>
      <c r="N571" t="n">
        <v>0</v>
      </c>
      <c r="O571" t="n">
        <v>0</v>
      </c>
      <c r="P571" t="n">
        <v>0</v>
      </c>
      <c r="Q571" t="n">
        <v>0</v>
      </c>
      <c r="R571" s="2" t="inlineStr"/>
    </row>
    <row r="572" ht="15" customHeight="1">
      <c r="A572" t="inlineStr">
        <is>
          <t>A 22833-2023</t>
        </is>
      </c>
      <c r="B572" s="1" t="n">
        <v>45071</v>
      </c>
      <c r="C572" s="1" t="n">
        <v>45881</v>
      </c>
      <c r="D572" t="inlineStr">
        <is>
          <t>ÖSTERGÖTLANDS LÄN</t>
        </is>
      </c>
      <c r="E572" t="inlineStr">
        <is>
          <t>LINKÖPING</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17898-2022</t>
        </is>
      </c>
      <c r="B573" s="1" t="n">
        <v>44683</v>
      </c>
      <c r="C573" s="1" t="n">
        <v>45881</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62017-2024</t>
        </is>
      </c>
      <c r="B574" s="1" t="n">
        <v>45655.81140046296</v>
      </c>
      <c r="C574" s="1" t="n">
        <v>45881</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48699-2024</t>
        </is>
      </c>
      <c r="B575" s="1" t="n">
        <v>45593.52091435185</v>
      </c>
      <c r="C575" s="1" t="n">
        <v>45881</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12411-2022</t>
        </is>
      </c>
      <c r="B576" s="1" t="n">
        <v>44638.21601851852</v>
      </c>
      <c r="C576" s="1" t="n">
        <v>45881</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10492-2022</t>
        </is>
      </c>
      <c r="B577" s="1" t="n">
        <v>44623.6377199074</v>
      </c>
      <c r="C577" s="1" t="n">
        <v>45881</v>
      </c>
      <c r="D577" t="inlineStr">
        <is>
          <t>ÖSTERGÖTLANDS LÄN</t>
        </is>
      </c>
      <c r="E577" t="inlineStr">
        <is>
          <t>LINKÖPING</t>
        </is>
      </c>
      <c r="G577" t="n">
        <v>2.1</v>
      </c>
      <c r="H577" t="n">
        <v>0</v>
      </c>
      <c r="I577" t="n">
        <v>0</v>
      </c>
      <c r="J577" t="n">
        <v>0</v>
      </c>
      <c r="K577" t="n">
        <v>0</v>
      </c>
      <c r="L577" t="n">
        <v>0</v>
      </c>
      <c r="M577" t="n">
        <v>0</v>
      </c>
      <c r="N577" t="n">
        <v>0</v>
      </c>
      <c r="O577" t="n">
        <v>0</v>
      </c>
      <c r="P577" t="n">
        <v>0</v>
      </c>
      <c r="Q577" t="n">
        <v>0</v>
      </c>
      <c r="R577" s="2" t="inlineStr"/>
    </row>
    <row r="578" ht="15" customHeight="1">
      <c r="A578" t="inlineStr">
        <is>
          <t>A 13911-2025</t>
        </is>
      </c>
      <c r="B578" s="1" t="n">
        <v>45737.64784722222</v>
      </c>
      <c r="C578" s="1" t="n">
        <v>45881</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23768-2025</t>
        </is>
      </c>
      <c r="B579" s="1" t="n">
        <v>45793.47493055555</v>
      </c>
      <c r="C579" s="1" t="n">
        <v>45881</v>
      </c>
      <c r="D579" t="inlineStr">
        <is>
          <t>ÖSTERGÖTLANDS LÄN</t>
        </is>
      </c>
      <c r="E579" t="inlineStr">
        <is>
          <t>LINKÖPING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7343-2025</t>
        </is>
      </c>
      <c r="B580" s="1" t="n">
        <v>45703.67853009259</v>
      </c>
      <c r="C580" s="1" t="n">
        <v>45881</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8967-2025</t>
        </is>
      </c>
      <c r="B581" s="1" t="n">
        <v>45712</v>
      </c>
      <c r="C581" s="1" t="n">
        <v>45881</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35427-2023</t>
        </is>
      </c>
      <c r="B582" s="1" t="n">
        <v>45146</v>
      </c>
      <c r="C582" s="1" t="n">
        <v>45881</v>
      </c>
      <c r="D582" t="inlineStr">
        <is>
          <t>ÖSTERGÖTLANDS LÄN</t>
        </is>
      </c>
      <c r="E582" t="inlineStr">
        <is>
          <t>LINKÖPING</t>
        </is>
      </c>
      <c r="F582" t="inlineStr">
        <is>
          <t>Övriga Aktiebolag</t>
        </is>
      </c>
      <c r="G582" t="n">
        <v>2.5</v>
      </c>
      <c r="H582" t="n">
        <v>0</v>
      </c>
      <c r="I582" t="n">
        <v>0</v>
      </c>
      <c r="J582" t="n">
        <v>0</v>
      </c>
      <c r="K582" t="n">
        <v>0</v>
      </c>
      <c r="L582" t="n">
        <v>0</v>
      </c>
      <c r="M582" t="n">
        <v>0</v>
      </c>
      <c r="N582" t="n">
        <v>0</v>
      </c>
      <c r="O582" t="n">
        <v>0</v>
      </c>
      <c r="P582" t="n">
        <v>0</v>
      </c>
      <c r="Q582" t="n">
        <v>0</v>
      </c>
      <c r="R582" s="2" t="inlineStr"/>
    </row>
    <row r="583" ht="15" customHeight="1">
      <c r="A583" t="inlineStr">
        <is>
          <t>A 30468-2023</t>
        </is>
      </c>
      <c r="B583" s="1" t="n">
        <v>45111.58732638889</v>
      </c>
      <c r="C583" s="1" t="n">
        <v>45881</v>
      </c>
      <c r="D583" t="inlineStr">
        <is>
          <t>ÖSTERGÖTLANDS LÄN</t>
        </is>
      </c>
      <c r="E583" t="inlineStr">
        <is>
          <t>LINKÖPING</t>
        </is>
      </c>
      <c r="G583" t="n">
        <v>10.1</v>
      </c>
      <c r="H583" t="n">
        <v>0</v>
      </c>
      <c r="I583" t="n">
        <v>0</v>
      </c>
      <c r="J583" t="n">
        <v>0</v>
      </c>
      <c r="K583" t="n">
        <v>0</v>
      </c>
      <c r="L583" t="n">
        <v>0</v>
      </c>
      <c r="M583" t="n">
        <v>0</v>
      </c>
      <c r="N583" t="n">
        <v>0</v>
      </c>
      <c r="O583" t="n">
        <v>0</v>
      </c>
      <c r="P583" t="n">
        <v>0</v>
      </c>
      <c r="Q583" t="n">
        <v>0</v>
      </c>
      <c r="R583" s="2" t="inlineStr"/>
    </row>
    <row r="584" ht="15" customHeight="1">
      <c r="A584" t="inlineStr">
        <is>
          <t>A 20296-2025</t>
        </is>
      </c>
      <c r="B584" s="1" t="n">
        <v>45774.74922453704</v>
      </c>
      <c r="C584" s="1" t="n">
        <v>45881</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53529-2024</t>
        </is>
      </c>
      <c r="B585" s="1" t="n">
        <v>45614</v>
      </c>
      <c r="C585" s="1" t="n">
        <v>45881</v>
      </c>
      <c r="D585" t="inlineStr">
        <is>
          <t>ÖSTERGÖTLANDS LÄN</t>
        </is>
      </c>
      <c r="E585" t="inlineStr">
        <is>
          <t>LINKÖPING</t>
        </is>
      </c>
      <c r="G585" t="n">
        <v>6.7</v>
      </c>
      <c r="H585" t="n">
        <v>0</v>
      </c>
      <c r="I585" t="n">
        <v>0</v>
      </c>
      <c r="J585" t="n">
        <v>0</v>
      </c>
      <c r="K585" t="n">
        <v>0</v>
      </c>
      <c r="L585" t="n">
        <v>0</v>
      </c>
      <c r="M585" t="n">
        <v>0</v>
      </c>
      <c r="N585" t="n">
        <v>0</v>
      </c>
      <c r="O585" t="n">
        <v>0</v>
      </c>
      <c r="P585" t="n">
        <v>0</v>
      </c>
      <c r="Q585" t="n">
        <v>0</v>
      </c>
      <c r="R585" s="2" t="inlineStr"/>
    </row>
    <row r="586" ht="15" customHeight="1">
      <c r="A586" t="inlineStr">
        <is>
          <t>A 56841-2023</t>
        </is>
      </c>
      <c r="B586" s="1" t="n">
        <v>45244</v>
      </c>
      <c r="C586" s="1" t="n">
        <v>45881</v>
      </c>
      <c r="D586" t="inlineStr">
        <is>
          <t>ÖSTERGÖTLANDS LÄN</t>
        </is>
      </c>
      <c r="E586" t="inlineStr">
        <is>
          <t>LINKÖPING</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33947-2025</t>
        </is>
      </c>
      <c r="B587" s="1" t="n">
        <v>45842.65444444444</v>
      </c>
      <c r="C587" s="1" t="n">
        <v>45881</v>
      </c>
      <c r="D587" t="inlineStr">
        <is>
          <t>ÖSTERGÖTLANDS LÄN</t>
        </is>
      </c>
      <c r="E587" t="inlineStr">
        <is>
          <t>LINKÖPING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44280-2024</t>
        </is>
      </c>
      <c r="B588" s="1" t="n">
        <v>45573.49461805556</v>
      </c>
      <c r="C588" s="1" t="n">
        <v>45881</v>
      </c>
      <c r="D588" t="inlineStr">
        <is>
          <t>ÖSTERGÖTLANDS LÄN</t>
        </is>
      </c>
      <c r="E588" t="inlineStr">
        <is>
          <t>LINKÖPING</t>
        </is>
      </c>
      <c r="G588" t="n">
        <v>5.3</v>
      </c>
      <c r="H588" t="n">
        <v>0</v>
      </c>
      <c r="I588" t="n">
        <v>0</v>
      </c>
      <c r="J588" t="n">
        <v>0</v>
      </c>
      <c r="K588" t="n">
        <v>0</v>
      </c>
      <c r="L588" t="n">
        <v>0</v>
      </c>
      <c r="M588" t="n">
        <v>0</v>
      </c>
      <c r="N588" t="n">
        <v>0</v>
      </c>
      <c r="O588" t="n">
        <v>0</v>
      </c>
      <c r="P588" t="n">
        <v>0</v>
      </c>
      <c r="Q588" t="n">
        <v>0</v>
      </c>
      <c r="R588" s="2" t="inlineStr"/>
    </row>
    <row r="589" ht="15" customHeight="1">
      <c r="A589" t="inlineStr">
        <is>
          <t>A 53812-2023</t>
        </is>
      </c>
      <c r="B589" s="1" t="n">
        <v>45231.39583333334</v>
      </c>
      <c r="C589" s="1" t="n">
        <v>45881</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53830-2023</t>
        </is>
      </c>
      <c r="B590" s="1" t="n">
        <v>45230</v>
      </c>
      <c r="C590" s="1" t="n">
        <v>45881</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38715-2023</t>
        </is>
      </c>
      <c r="B591" s="1" t="n">
        <v>45160</v>
      </c>
      <c r="C591" s="1" t="n">
        <v>45881</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25996-2025</t>
        </is>
      </c>
      <c r="B592" s="1" t="n">
        <v>45804.65851851852</v>
      </c>
      <c r="C592" s="1" t="n">
        <v>45881</v>
      </c>
      <c r="D592" t="inlineStr">
        <is>
          <t>ÖSTERGÖTLANDS LÄN</t>
        </is>
      </c>
      <c r="E592" t="inlineStr">
        <is>
          <t>LINKÖPING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25829-2025</t>
        </is>
      </c>
      <c r="B593" s="1" t="n">
        <v>45804.44505787037</v>
      </c>
      <c r="C593" s="1" t="n">
        <v>45881</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59948-2022</t>
        </is>
      </c>
      <c r="B594" s="1" t="n">
        <v>44909</v>
      </c>
      <c r="C594" s="1" t="n">
        <v>45881</v>
      </c>
      <c r="D594" t="inlineStr">
        <is>
          <t>ÖSTERGÖTLANDS LÄN</t>
        </is>
      </c>
      <c r="E594" t="inlineStr">
        <is>
          <t>LINKÖPING</t>
        </is>
      </c>
      <c r="G594" t="n">
        <v>6.7</v>
      </c>
      <c r="H594" t="n">
        <v>0</v>
      </c>
      <c r="I594" t="n">
        <v>0</v>
      </c>
      <c r="J594" t="n">
        <v>0</v>
      </c>
      <c r="K594" t="n">
        <v>0</v>
      </c>
      <c r="L594" t="n">
        <v>0</v>
      </c>
      <c r="M594" t="n">
        <v>0</v>
      </c>
      <c r="N594" t="n">
        <v>0</v>
      </c>
      <c r="O594" t="n">
        <v>0</v>
      </c>
      <c r="P594" t="n">
        <v>0</v>
      </c>
      <c r="Q594" t="n">
        <v>0</v>
      </c>
      <c r="R594" s="2" t="inlineStr"/>
    </row>
    <row r="595" ht="15" customHeight="1">
      <c r="A595" t="inlineStr">
        <is>
          <t>A 25831-2025</t>
        </is>
      </c>
      <c r="B595" s="1" t="n">
        <v>45804.44638888889</v>
      </c>
      <c r="C595" s="1" t="n">
        <v>45881</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26002-2025</t>
        </is>
      </c>
      <c r="B596" s="1" t="n">
        <v>45804.66534722222</v>
      </c>
      <c r="C596" s="1" t="n">
        <v>45881</v>
      </c>
      <c r="D596" t="inlineStr">
        <is>
          <t>ÖSTERGÖTLANDS LÄN</t>
        </is>
      </c>
      <c r="E596" t="inlineStr">
        <is>
          <t>LINKÖPING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27766-2022</t>
        </is>
      </c>
      <c r="B597" s="1" t="n">
        <v>44743.53112268518</v>
      </c>
      <c r="C597" s="1" t="n">
        <v>45881</v>
      </c>
      <c r="D597" t="inlineStr">
        <is>
          <t>ÖSTERGÖTLANDS LÄN</t>
        </is>
      </c>
      <c r="E597" t="inlineStr">
        <is>
          <t>LINKÖPING</t>
        </is>
      </c>
      <c r="G597" t="n">
        <v>2</v>
      </c>
      <c r="H597" t="n">
        <v>0</v>
      </c>
      <c r="I597" t="n">
        <v>0</v>
      </c>
      <c r="J597" t="n">
        <v>0</v>
      </c>
      <c r="K597" t="n">
        <v>0</v>
      </c>
      <c r="L597" t="n">
        <v>0</v>
      </c>
      <c r="M597" t="n">
        <v>0</v>
      </c>
      <c r="N597" t="n">
        <v>0</v>
      </c>
      <c r="O597" t="n">
        <v>0</v>
      </c>
      <c r="P597" t="n">
        <v>0</v>
      </c>
      <c r="Q597" t="n">
        <v>0</v>
      </c>
      <c r="R597" s="2" t="inlineStr"/>
    </row>
    <row r="598" ht="15" customHeight="1">
      <c r="A598" t="inlineStr">
        <is>
          <t>A 26007-2025</t>
        </is>
      </c>
      <c r="B598" s="1" t="n">
        <v>45804.67081018518</v>
      </c>
      <c r="C598" s="1" t="n">
        <v>45881</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48271-2023</t>
        </is>
      </c>
      <c r="B599" s="1" t="n">
        <v>45205</v>
      </c>
      <c r="C599" s="1" t="n">
        <v>45881</v>
      </c>
      <c r="D599" t="inlineStr">
        <is>
          <t>ÖSTERGÖTLANDS LÄN</t>
        </is>
      </c>
      <c r="E599" t="inlineStr">
        <is>
          <t>LINKÖPING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13266-2025</t>
        </is>
      </c>
      <c r="B600" s="1" t="n">
        <v>45735.53318287037</v>
      </c>
      <c r="C600" s="1" t="n">
        <v>45881</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35174-2025</t>
        </is>
      </c>
      <c r="B601" s="1" t="n">
        <v>45852.90648148148</v>
      </c>
      <c r="C601" s="1" t="n">
        <v>45881</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60001-2022</t>
        </is>
      </c>
      <c r="B602" s="1" t="n">
        <v>44909.47087962963</v>
      </c>
      <c r="C602" s="1" t="n">
        <v>45881</v>
      </c>
      <c r="D602" t="inlineStr">
        <is>
          <t>ÖSTERGÖTLANDS LÄN</t>
        </is>
      </c>
      <c r="E602" t="inlineStr">
        <is>
          <t>LINKÖPING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39457-2023</t>
        </is>
      </c>
      <c r="B603" s="1" t="n">
        <v>45166</v>
      </c>
      <c r="C603" s="1" t="n">
        <v>45881</v>
      </c>
      <c r="D603" t="inlineStr">
        <is>
          <t>ÖSTERGÖTLANDS LÄN</t>
        </is>
      </c>
      <c r="E603" t="inlineStr">
        <is>
          <t>LINKÖPING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1657-2024</t>
        </is>
      </c>
      <c r="B604" s="1" t="n">
        <v>45306.82501157407</v>
      </c>
      <c r="C604" s="1" t="n">
        <v>45881</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30976-2022</t>
        </is>
      </c>
      <c r="B605" s="1" t="n">
        <v>44768</v>
      </c>
      <c r="C605" s="1" t="n">
        <v>45881</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35178-2025</t>
        </is>
      </c>
      <c r="B606" s="1" t="n">
        <v>45852.91939814815</v>
      </c>
      <c r="C606" s="1" t="n">
        <v>45881</v>
      </c>
      <c r="D606" t="inlineStr">
        <is>
          <t>ÖSTERGÖTLANDS LÄN</t>
        </is>
      </c>
      <c r="E606" t="inlineStr">
        <is>
          <t>LINKÖPING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35180-2025</t>
        </is>
      </c>
      <c r="B607" s="1" t="n">
        <v>45852.9413425926</v>
      </c>
      <c r="C607" s="1" t="n">
        <v>45881</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30860-2022</t>
        </is>
      </c>
      <c r="B608" s="1" t="n">
        <v>44767</v>
      </c>
      <c r="C608" s="1" t="n">
        <v>45881</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19352-2025</t>
        </is>
      </c>
      <c r="B609" s="1" t="n">
        <v>45769</v>
      </c>
      <c r="C609" s="1" t="n">
        <v>45881</v>
      </c>
      <c r="D609" t="inlineStr">
        <is>
          <t>ÖSTERGÖTLANDS LÄN</t>
        </is>
      </c>
      <c r="E609" t="inlineStr">
        <is>
          <t>LINKÖPING</t>
        </is>
      </c>
      <c r="F609" t="inlineStr">
        <is>
          <t>Övriga Aktiebolag</t>
        </is>
      </c>
      <c r="G609" t="n">
        <v>3.3</v>
      </c>
      <c r="H609" t="n">
        <v>0</v>
      </c>
      <c r="I609" t="n">
        <v>0</v>
      </c>
      <c r="J609" t="n">
        <v>0</v>
      </c>
      <c r="K609" t="n">
        <v>0</v>
      </c>
      <c r="L609" t="n">
        <v>0</v>
      </c>
      <c r="M609" t="n">
        <v>0</v>
      </c>
      <c r="N609" t="n">
        <v>0</v>
      </c>
      <c r="O609" t="n">
        <v>0</v>
      </c>
      <c r="P609" t="n">
        <v>0</v>
      </c>
      <c r="Q609" t="n">
        <v>0</v>
      </c>
      <c r="R609" s="2" t="inlineStr"/>
    </row>
    <row r="610" ht="15" customHeight="1">
      <c r="A610" t="inlineStr">
        <is>
          <t>A 27264-2025</t>
        </is>
      </c>
      <c r="B610" s="1" t="n">
        <v>45812.4794212963</v>
      </c>
      <c r="C610" s="1" t="n">
        <v>45881</v>
      </c>
      <c r="D610" t="inlineStr">
        <is>
          <t>ÖSTERGÖTLANDS LÄN</t>
        </is>
      </c>
      <c r="E610" t="inlineStr">
        <is>
          <t>LINKÖPING</t>
        </is>
      </c>
      <c r="G610" t="n">
        <v>2.6</v>
      </c>
      <c r="H610" t="n">
        <v>0</v>
      </c>
      <c r="I610" t="n">
        <v>0</v>
      </c>
      <c r="J610" t="n">
        <v>0</v>
      </c>
      <c r="K610" t="n">
        <v>0</v>
      </c>
      <c r="L610" t="n">
        <v>0</v>
      </c>
      <c r="M610" t="n">
        <v>0</v>
      </c>
      <c r="N610" t="n">
        <v>0</v>
      </c>
      <c r="O610" t="n">
        <v>0</v>
      </c>
      <c r="P610" t="n">
        <v>0</v>
      </c>
      <c r="Q610" t="n">
        <v>0</v>
      </c>
      <c r="R610" s="2" t="inlineStr"/>
    </row>
    <row r="611" ht="15" customHeight="1">
      <c r="A611" t="inlineStr">
        <is>
          <t>A 35179-2025</t>
        </is>
      </c>
      <c r="B611" s="1" t="n">
        <v>45852.93737268518</v>
      </c>
      <c r="C611" s="1" t="n">
        <v>45881</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48186-2022</t>
        </is>
      </c>
      <c r="B612" s="1" t="n">
        <v>44858</v>
      </c>
      <c r="C612" s="1" t="n">
        <v>45881</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28266-2024</t>
        </is>
      </c>
      <c r="B613" s="1" t="n">
        <v>45477.43600694444</v>
      </c>
      <c r="C613" s="1" t="n">
        <v>45881</v>
      </c>
      <c r="D613" t="inlineStr">
        <is>
          <t>ÖSTERGÖTLANDS LÄN</t>
        </is>
      </c>
      <c r="E613" t="inlineStr">
        <is>
          <t>LINKÖPING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31548-2022</t>
        </is>
      </c>
      <c r="B614" s="1" t="n">
        <v>44775.39832175926</v>
      </c>
      <c r="C614" s="1" t="n">
        <v>45881</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45506-2020</t>
        </is>
      </c>
      <c r="B615" s="1" t="n">
        <v>44089</v>
      </c>
      <c r="C615" s="1" t="n">
        <v>45881</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1211-2023</t>
        </is>
      </c>
      <c r="B616" s="1" t="n">
        <v>44930</v>
      </c>
      <c r="C616" s="1" t="n">
        <v>45881</v>
      </c>
      <c r="D616" t="inlineStr">
        <is>
          <t>ÖSTERGÖTLANDS LÄN</t>
        </is>
      </c>
      <c r="E616" t="inlineStr">
        <is>
          <t>LINKÖPING</t>
        </is>
      </c>
      <c r="F616" t="inlineStr">
        <is>
          <t>Övriga statliga verk och myndigheter</t>
        </is>
      </c>
      <c r="G616" t="n">
        <v>7.9</v>
      </c>
      <c r="H616" t="n">
        <v>0</v>
      </c>
      <c r="I616" t="n">
        <v>0</v>
      </c>
      <c r="J616" t="n">
        <v>0</v>
      </c>
      <c r="K616" t="n">
        <v>0</v>
      </c>
      <c r="L616" t="n">
        <v>0</v>
      </c>
      <c r="M616" t="n">
        <v>0</v>
      </c>
      <c r="N616" t="n">
        <v>0</v>
      </c>
      <c r="O616" t="n">
        <v>0</v>
      </c>
      <c r="P616" t="n">
        <v>0</v>
      </c>
      <c r="Q616" t="n">
        <v>0</v>
      </c>
      <c r="R616" s="2" t="inlineStr"/>
    </row>
    <row r="617" ht="15" customHeight="1">
      <c r="A617" t="inlineStr">
        <is>
          <t>A 51191-2022</t>
        </is>
      </c>
      <c r="B617" s="1" t="n">
        <v>44865</v>
      </c>
      <c r="C617" s="1" t="n">
        <v>45881</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55632-2022</t>
        </is>
      </c>
      <c r="B618" s="1" t="n">
        <v>44888</v>
      </c>
      <c r="C618" s="1" t="n">
        <v>45881</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42697-2020</t>
        </is>
      </c>
      <c r="B619" s="1" t="n">
        <v>44077</v>
      </c>
      <c r="C619" s="1" t="n">
        <v>45881</v>
      </c>
      <c r="D619" t="inlineStr">
        <is>
          <t>ÖSTERGÖTLANDS LÄN</t>
        </is>
      </c>
      <c r="E619" t="inlineStr">
        <is>
          <t>LINKÖPING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63669-2023</t>
        </is>
      </c>
      <c r="B620" s="1" t="n">
        <v>45275</v>
      </c>
      <c r="C620" s="1" t="n">
        <v>45881</v>
      </c>
      <c r="D620" t="inlineStr">
        <is>
          <t>ÖSTERGÖTLANDS LÄN</t>
        </is>
      </c>
      <c r="E620" t="inlineStr">
        <is>
          <t>LINKÖPING</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12289-2025</t>
        </is>
      </c>
      <c r="B621" s="1" t="n">
        <v>45729</v>
      </c>
      <c r="C621" s="1" t="n">
        <v>45881</v>
      </c>
      <c r="D621" t="inlineStr">
        <is>
          <t>ÖSTERGÖTLANDS LÄN</t>
        </is>
      </c>
      <c r="E621" t="inlineStr">
        <is>
          <t>LINKÖPING</t>
        </is>
      </c>
      <c r="F621" t="inlineStr">
        <is>
          <t>Övriga statliga verk och myndigheter</t>
        </is>
      </c>
      <c r="G621" t="n">
        <v>6.5</v>
      </c>
      <c r="H621" t="n">
        <v>0</v>
      </c>
      <c r="I621" t="n">
        <v>0</v>
      </c>
      <c r="J621" t="n">
        <v>0</v>
      </c>
      <c r="K621" t="n">
        <v>0</v>
      </c>
      <c r="L621" t="n">
        <v>0</v>
      </c>
      <c r="M621" t="n">
        <v>0</v>
      </c>
      <c r="N621" t="n">
        <v>0</v>
      </c>
      <c r="O621" t="n">
        <v>0</v>
      </c>
      <c r="P621" t="n">
        <v>0</v>
      </c>
      <c r="Q621" t="n">
        <v>0</v>
      </c>
      <c r="R621" s="2" t="inlineStr"/>
    </row>
    <row r="622" ht="15" customHeight="1">
      <c r="A622" t="inlineStr">
        <is>
          <t>A 36657-2023</t>
        </is>
      </c>
      <c r="B622" s="1" t="n">
        <v>45153.5702662037</v>
      </c>
      <c r="C622" s="1" t="n">
        <v>45881</v>
      </c>
      <c r="D622" t="inlineStr">
        <is>
          <t>ÖSTERGÖTLANDS LÄN</t>
        </is>
      </c>
      <c r="E622" t="inlineStr">
        <is>
          <t>LINKÖPING</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19169-2023</t>
        </is>
      </c>
      <c r="B623" s="1" t="n">
        <v>45044</v>
      </c>
      <c r="C623" s="1" t="n">
        <v>45881</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1209-2023</t>
        </is>
      </c>
      <c r="B624" s="1" t="n">
        <v>44930</v>
      </c>
      <c r="C624" s="1" t="n">
        <v>45881</v>
      </c>
      <c r="D624" t="inlineStr">
        <is>
          <t>ÖSTERGÖTLANDS LÄN</t>
        </is>
      </c>
      <c r="E624" t="inlineStr">
        <is>
          <t>LINKÖPING</t>
        </is>
      </c>
      <c r="F624" t="inlineStr">
        <is>
          <t>Övriga statliga verk och myndigheter</t>
        </is>
      </c>
      <c r="G624" t="n">
        <v>25.8</v>
      </c>
      <c r="H624" t="n">
        <v>0</v>
      </c>
      <c r="I624" t="n">
        <v>0</v>
      </c>
      <c r="J624" t="n">
        <v>0</v>
      </c>
      <c r="K624" t="n">
        <v>0</v>
      </c>
      <c r="L624" t="n">
        <v>0</v>
      </c>
      <c r="M624" t="n">
        <v>0</v>
      </c>
      <c r="N624" t="n">
        <v>0</v>
      </c>
      <c r="O624" t="n">
        <v>0</v>
      </c>
      <c r="P624" t="n">
        <v>0</v>
      </c>
      <c r="Q624" t="n">
        <v>0</v>
      </c>
      <c r="R624" s="2" t="inlineStr"/>
    </row>
    <row r="625" ht="15" customHeight="1">
      <c r="A625" t="inlineStr">
        <is>
          <t>A 2085-2024</t>
        </is>
      </c>
      <c r="B625" s="1" t="n">
        <v>45309</v>
      </c>
      <c r="C625" s="1" t="n">
        <v>45881</v>
      </c>
      <c r="D625" t="inlineStr">
        <is>
          <t>ÖSTERGÖTLANDS LÄN</t>
        </is>
      </c>
      <c r="E625" t="inlineStr">
        <is>
          <t>LINKÖPING</t>
        </is>
      </c>
      <c r="G625" t="n">
        <v>4.5</v>
      </c>
      <c r="H625" t="n">
        <v>0</v>
      </c>
      <c r="I625" t="n">
        <v>0</v>
      </c>
      <c r="J625" t="n">
        <v>0</v>
      </c>
      <c r="K625" t="n">
        <v>0</v>
      </c>
      <c r="L625" t="n">
        <v>0</v>
      </c>
      <c r="M625" t="n">
        <v>0</v>
      </c>
      <c r="N625" t="n">
        <v>0</v>
      </c>
      <c r="O625" t="n">
        <v>0</v>
      </c>
      <c r="P625" t="n">
        <v>0</v>
      </c>
      <c r="Q625" t="n">
        <v>0</v>
      </c>
      <c r="R625" s="2" t="inlineStr"/>
    </row>
    <row r="626" ht="15" customHeight="1">
      <c r="A626" t="inlineStr">
        <is>
          <t>A 48-2024</t>
        </is>
      </c>
      <c r="B626" s="1" t="n">
        <v>45293</v>
      </c>
      <c r="C626" s="1" t="n">
        <v>45881</v>
      </c>
      <c r="D626" t="inlineStr">
        <is>
          <t>ÖSTERGÖTLANDS LÄN</t>
        </is>
      </c>
      <c r="E626" t="inlineStr">
        <is>
          <t>LINKÖPING</t>
        </is>
      </c>
      <c r="G626" t="n">
        <v>4.6</v>
      </c>
      <c r="H626" t="n">
        <v>0</v>
      </c>
      <c r="I626" t="n">
        <v>0</v>
      </c>
      <c r="J626" t="n">
        <v>0</v>
      </c>
      <c r="K626" t="n">
        <v>0</v>
      </c>
      <c r="L626" t="n">
        <v>0</v>
      </c>
      <c r="M626" t="n">
        <v>0</v>
      </c>
      <c r="N626" t="n">
        <v>0</v>
      </c>
      <c r="O626" t="n">
        <v>0</v>
      </c>
      <c r="P626" t="n">
        <v>0</v>
      </c>
      <c r="Q626" t="n">
        <v>0</v>
      </c>
      <c r="R626" s="2" t="inlineStr"/>
    </row>
    <row r="627" ht="15" customHeight="1">
      <c r="A627" t="inlineStr">
        <is>
          <t>A 56560-2023</t>
        </is>
      </c>
      <c r="B627" s="1" t="n">
        <v>45238</v>
      </c>
      <c r="C627" s="1" t="n">
        <v>45881</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28200-2025</t>
        </is>
      </c>
      <c r="B628" s="1" t="n">
        <v>45818.4428125</v>
      </c>
      <c r="C628" s="1" t="n">
        <v>45881</v>
      </c>
      <c r="D628" t="inlineStr">
        <is>
          <t>ÖSTERGÖTLANDS LÄN</t>
        </is>
      </c>
      <c r="E628" t="inlineStr">
        <is>
          <t>LINKÖPING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19132-2023</t>
        </is>
      </c>
      <c r="B629" s="1" t="n">
        <v>45048.54754629629</v>
      </c>
      <c r="C629" s="1" t="n">
        <v>45881</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35757-2025</t>
        </is>
      </c>
      <c r="B630" s="1" t="n">
        <v>45860.59876157407</v>
      </c>
      <c r="C630" s="1" t="n">
        <v>45881</v>
      </c>
      <c r="D630" t="inlineStr">
        <is>
          <t>ÖSTERGÖTLANDS LÄN</t>
        </is>
      </c>
      <c r="E630" t="inlineStr">
        <is>
          <t>LINKÖPING</t>
        </is>
      </c>
      <c r="G630" t="n">
        <v>5.7</v>
      </c>
      <c r="H630" t="n">
        <v>0</v>
      </c>
      <c r="I630" t="n">
        <v>0</v>
      </c>
      <c r="J630" t="n">
        <v>0</v>
      </c>
      <c r="K630" t="n">
        <v>0</v>
      </c>
      <c r="L630" t="n">
        <v>0</v>
      </c>
      <c r="M630" t="n">
        <v>0</v>
      </c>
      <c r="N630" t="n">
        <v>0</v>
      </c>
      <c r="O630" t="n">
        <v>0</v>
      </c>
      <c r="P630" t="n">
        <v>0</v>
      </c>
      <c r="Q630" t="n">
        <v>0</v>
      </c>
      <c r="R630" s="2" t="inlineStr"/>
    </row>
    <row r="631" ht="15" customHeight="1">
      <c r="A631" t="inlineStr">
        <is>
          <t>A 52412-2023</t>
        </is>
      </c>
      <c r="B631" s="1" t="n">
        <v>45225.27888888889</v>
      </c>
      <c r="C631" s="1" t="n">
        <v>45881</v>
      </c>
      <c r="D631" t="inlineStr">
        <is>
          <t>ÖSTERGÖTLANDS LÄN</t>
        </is>
      </c>
      <c r="E631" t="inlineStr">
        <is>
          <t>LINKÖPING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27950-2025</t>
        </is>
      </c>
      <c r="B632" s="1" t="n">
        <v>45817.52960648148</v>
      </c>
      <c r="C632" s="1" t="n">
        <v>45881</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62492-2023</t>
        </is>
      </c>
      <c r="B633" s="1" t="n">
        <v>45268.58987268519</v>
      </c>
      <c r="C633" s="1" t="n">
        <v>45881</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27797-2025</t>
        </is>
      </c>
      <c r="B634" s="1" t="n">
        <v>45816.80521990741</v>
      </c>
      <c r="C634" s="1" t="n">
        <v>45881</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27798-2025</t>
        </is>
      </c>
      <c r="B635" s="1" t="n">
        <v>45816.81532407407</v>
      </c>
      <c r="C635" s="1" t="n">
        <v>45881</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35747-2025</t>
        </is>
      </c>
      <c r="B636" s="1" t="n">
        <v>45860.56385416666</v>
      </c>
      <c r="C636" s="1" t="n">
        <v>45881</v>
      </c>
      <c r="D636" t="inlineStr">
        <is>
          <t>ÖSTERGÖTLANDS LÄN</t>
        </is>
      </c>
      <c r="E636" t="inlineStr">
        <is>
          <t>LINKÖPING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28209-2025</t>
        </is>
      </c>
      <c r="B637" s="1" t="n">
        <v>45818.45112268518</v>
      </c>
      <c r="C637" s="1" t="n">
        <v>45881</v>
      </c>
      <c r="D637" t="inlineStr">
        <is>
          <t>ÖSTERGÖTLANDS LÄN</t>
        </is>
      </c>
      <c r="E637" t="inlineStr">
        <is>
          <t>LINKÖPING</t>
        </is>
      </c>
      <c r="G637" t="n">
        <v>4.2</v>
      </c>
      <c r="H637" t="n">
        <v>0</v>
      </c>
      <c r="I637" t="n">
        <v>0</v>
      </c>
      <c r="J637" t="n">
        <v>0</v>
      </c>
      <c r="K637" t="n">
        <v>0</v>
      </c>
      <c r="L637" t="n">
        <v>0</v>
      </c>
      <c r="M637" t="n">
        <v>0</v>
      </c>
      <c r="N637" t="n">
        <v>0</v>
      </c>
      <c r="O637" t="n">
        <v>0</v>
      </c>
      <c r="P637" t="n">
        <v>0</v>
      </c>
      <c r="Q637" t="n">
        <v>0</v>
      </c>
      <c r="R637" s="2" t="inlineStr"/>
    </row>
    <row r="638" ht="15" customHeight="1">
      <c r="A638" t="inlineStr">
        <is>
          <t>A 35745-2025</t>
        </is>
      </c>
      <c r="B638" s="1" t="n">
        <v>45860.54739583333</v>
      </c>
      <c r="C638" s="1" t="n">
        <v>45881</v>
      </c>
      <c r="D638" t="inlineStr">
        <is>
          <t>ÖSTERGÖTLANDS LÄN</t>
        </is>
      </c>
      <c r="E638" t="inlineStr">
        <is>
          <t>LINKÖPING</t>
        </is>
      </c>
      <c r="G638" t="n">
        <v>4.4</v>
      </c>
      <c r="H638" t="n">
        <v>0</v>
      </c>
      <c r="I638" t="n">
        <v>0</v>
      </c>
      <c r="J638" t="n">
        <v>0</v>
      </c>
      <c r="K638" t="n">
        <v>0</v>
      </c>
      <c r="L638" t="n">
        <v>0</v>
      </c>
      <c r="M638" t="n">
        <v>0</v>
      </c>
      <c r="N638" t="n">
        <v>0</v>
      </c>
      <c r="O638" t="n">
        <v>0</v>
      </c>
      <c r="P638" t="n">
        <v>0</v>
      </c>
      <c r="Q638" t="n">
        <v>0</v>
      </c>
      <c r="R638" s="2" t="inlineStr"/>
    </row>
    <row r="639" ht="15" customHeight="1">
      <c r="A639" t="inlineStr">
        <is>
          <t>A 28204-2025</t>
        </is>
      </c>
      <c r="B639" s="1" t="n">
        <v>45818.4477662037</v>
      </c>
      <c r="C639" s="1" t="n">
        <v>45881</v>
      </c>
      <c r="D639" t="inlineStr">
        <is>
          <t>ÖSTERGÖTLANDS LÄN</t>
        </is>
      </c>
      <c r="E639" t="inlineStr">
        <is>
          <t>LINKÖPING</t>
        </is>
      </c>
      <c r="G639" t="n">
        <v>2.9</v>
      </c>
      <c r="H639" t="n">
        <v>0</v>
      </c>
      <c r="I639" t="n">
        <v>0</v>
      </c>
      <c r="J639" t="n">
        <v>0</v>
      </c>
      <c r="K639" t="n">
        <v>0</v>
      </c>
      <c r="L639" t="n">
        <v>0</v>
      </c>
      <c r="M639" t="n">
        <v>0</v>
      </c>
      <c r="N639" t="n">
        <v>0</v>
      </c>
      <c r="O639" t="n">
        <v>0</v>
      </c>
      <c r="P639" t="n">
        <v>0</v>
      </c>
      <c r="Q639" t="n">
        <v>0</v>
      </c>
      <c r="R639" s="2" t="inlineStr"/>
    </row>
    <row r="640" ht="15" customHeight="1">
      <c r="A640" t="inlineStr">
        <is>
          <t>A 28398-2025</t>
        </is>
      </c>
      <c r="B640" s="1" t="n">
        <v>45819.34208333334</v>
      </c>
      <c r="C640" s="1" t="n">
        <v>45881</v>
      </c>
      <c r="D640" t="inlineStr">
        <is>
          <t>ÖSTERGÖTLANDS LÄN</t>
        </is>
      </c>
      <c r="E640" t="inlineStr">
        <is>
          <t>LINKÖPING</t>
        </is>
      </c>
      <c r="F640" t="inlineStr">
        <is>
          <t>Sveaskog</t>
        </is>
      </c>
      <c r="G640" t="n">
        <v>7.9</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45881</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28416-2025</t>
        </is>
      </c>
      <c r="B642" s="1" t="n">
        <v>45819.35346064815</v>
      </c>
      <c r="C642" s="1" t="n">
        <v>45881</v>
      </c>
      <c r="D642" t="inlineStr">
        <is>
          <t>ÖSTERGÖTLANDS LÄN</t>
        </is>
      </c>
      <c r="E642" t="inlineStr">
        <is>
          <t>LINKÖPING</t>
        </is>
      </c>
      <c r="F642" t="inlineStr">
        <is>
          <t>Sveaskog</t>
        </is>
      </c>
      <c r="G642" t="n">
        <v>3.7</v>
      </c>
      <c r="H642" t="n">
        <v>0</v>
      </c>
      <c r="I642" t="n">
        <v>0</v>
      </c>
      <c r="J642" t="n">
        <v>0</v>
      </c>
      <c r="K642" t="n">
        <v>0</v>
      </c>
      <c r="L642" t="n">
        <v>0</v>
      </c>
      <c r="M642" t="n">
        <v>0</v>
      </c>
      <c r="N642" t="n">
        <v>0</v>
      </c>
      <c r="O642" t="n">
        <v>0</v>
      </c>
      <c r="P642" t="n">
        <v>0</v>
      </c>
      <c r="Q642" t="n">
        <v>0</v>
      </c>
      <c r="R642" s="2" t="inlineStr"/>
    </row>
    <row r="643" ht="15" customHeight="1">
      <c r="A643" t="inlineStr">
        <is>
          <t>A 56756-2023</t>
        </is>
      </c>
      <c r="B643" s="1" t="n">
        <v>45244</v>
      </c>
      <c r="C643" s="1" t="n">
        <v>45881</v>
      </c>
      <c r="D643" t="inlineStr">
        <is>
          <t>ÖSTERGÖTLANDS LÄN</t>
        </is>
      </c>
      <c r="E643" t="inlineStr">
        <is>
          <t>LINKÖPING</t>
        </is>
      </c>
      <c r="F643" t="inlineStr">
        <is>
          <t>Övriga Aktiebolag</t>
        </is>
      </c>
      <c r="G643" t="n">
        <v>0.8</v>
      </c>
      <c r="H643" t="n">
        <v>0</v>
      </c>
      <c r="I643" t="n">
        <v>0</v>
      </c>
      <c r="J643" t="n">
        <v>0</v>
      </c>
      <c r="K643" t="n">
        <v>0</v>
      </c>
      <c r="L643" t="n">
        <v>0</v>
      </c>
      <c r="M643" t="n">
        <v>0</v>
      </c>
      <c r="N643" t="n">
        <v>0</v>
      </c>
      <c r="O643" t="n">
        <v>0</v>
      </c>
      <c r="P643" t="n">
        <v>0</v>
      </c>
      <c r="Q643" t="n">
        <v>0</v>
      </c>
      <c r="R643" s="2" t="inlineStr"/>
    </row>
    <row r="644" ht="15" customHeight="1">
      <c r="A644" t="inlineStr">
        <is>
          <t>A 35759-2025</t>
        </is>
      </c>
      <c r="B644" s="1" t="n">
        <v>45860</v>
      </c>
      <c r="C644" s="1" t="n">
        <v>45881</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29027-2025</t>
        </is>
      </c>
      <c r="B645" s="1" t="n">
        <v>45821.4375462963</v>
      </c>
      <c r="C645" s="1" t="n">
        <v>45881</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29393-2025</t>
        </is>
      </c>
      <c r="B646" s="1" t="n">
        <v>45824.6057175926</v>
      </c>
      <c r="C646" s="1" t="n">
        <v>45881</v>
      </c>
      <c r="D646" t="inlineStr">
        <is>
          <t>ÖSTERGÖTLANDS LÄN</t>
        </is>
      </c>
      <c r="E646" t="inlineStr">
        <is>
          <t>LINKÖPING</t>
        </is>
      </c>
      <c r="F646" t="inlineStr">
        <is>
          <t>Sveaskog</t>
        </is>
      </c>
      <c r="G646" t="n">
        <v>24.6</v>
      </c>
      <c r="H646" t="n">
        <v>0</v>
      </c>
      <c r="I646" t="n">
        <v>0</v>
      </c>
      <c r="J646" t="n">
        <v>0</v>
      </c>
      <c r="K646" t="n">
        <v>0</v>
      </c>
      <c r="L646" t="n">
        <v>0</v>
      </c>
      <c r="M646" t="n">
        <v>0</v>
      </c>
      <c r="N646" t="n">
        <v>0</v>
      </c>
      <c r="O646" t="n">
        <v>0</v>
      </c>
      <c r="P646" t="n">
        <v>0</v>
      </c>
      <c r="Q646" t="n">
        <v>0</v>
      </c>
      <c r="R646" s="2" t="inlineStr"/>
    </row>
    <row r="647" ht="15" customHeight="1">
      <c r="A647" t="inlineStr">
        <is>
          <t>A 38886-2024</t>
        </is>
      </c>
      <c r="B647" s="1" t="n">
        <v>45547.66443287037</v>
      </c>
      <c r="C647" s="1" t="n">
        <v>45881</v>
      </c>
      <c r="D647" t="inlineStr">
        <is>
          <t>ÖSTERGÖTLANDS LÄN</t>
        </is>
      </c>
      <c r="E647" t="inlineStr">
        <is>
          <t>LINKÖPING</t>
        </is>
      </c>
      <c r="G647" t="n">
        <v>5.3</v>
      </c>
      <c r="H647" t="n">
        <v>0</v>
      </c>
      <c r="I647" t="n">
        <v>0</v>
      </c>
      <c r="J647" t="n">
        <v>0</v>
      </c>
      <c r="K647" t="n">
        <v>0</v>
      </c>
      <c r="L647" t="n">
        <v>0</v>
      </c>
      <c r="M647" t="n">
        <v>0</v>
      </c>
      <c r="N647" t="n">
        <v>0</v>
      </c>
      <c r="O647" t="n">
        <v>0</v>
      </c>
      <c r="P647" t="n">
        <v>0</v>
      </c>
      <c r="Q647" t="n">
        <v>0</v>
      </c>
      <c r="R647" s="2" t="inlineStr"/>
    </row>
    <row r="648" ht="15" customHeight="1">
      <c r="A648" t="inlineStr">
        <is>
          <t>A 11590-2023</t>
        </is>
      </c>
      <c r="B648" s="1" t="n">
        <v>44994.36689814815</v>
      </c>
      <c r="C648" s="1" t="n">
        <v>45881</v>
      </c>
      <c r="D648" t="inlineStr">
        <is>
          <t>ÖSTERGÖTLANDS LÄN</t>
        </is>
      </c>
      <c r="E648" t="inlineStr">
        <is>
          <t>LINKÖPING</t>
        </is>
      </c>
      <c r="G648" t="n">
        <v>3.1</v>
      </c>
      <c r="H648" t="n">
        <v>0</v>
      </c>
      <c r="I648" t="n">
        <v>0</v>
      </c>
      <c r="J648" t="n">
        <v>0</v>
      </c>
      <c r="K648" t="n">
        <v>0</v>
      </c>
      <c r="L648" t="n">
        <v>0</v>
      </c>
      <c r="M648" t="n">
        <v>0</v>
      </c>
      <c r="N648" t="n">
        <v>0</v>
      </c>
      <c r="O648" t="n">
        <v>0</v>
      </c>
      <c r="P648" t="n">
        <v>0</v>
      </c>
      <c r="Q648" t="n">
        <v>0</v>
      </c>
      <c r="R648" s="2" t="inlineStr"/>
    </row>
    <row r="649" ht="15" customHeight="1">
      <c r="A649" t="inlineStr">
        <is>
          <t>A 29411-2025</t>
        </is>
      </c>
      <c r="B649" s="1" t="n">
        <v>45824.6219212963</v>
      </c>
      <c r="C649" s="1" t="n">
        <v>45881</v>
      </c>
      <c r="D649" t="inlineStr">
        <is>
          <t>ÖSTERGÖTLANDS LÄN</t>
        </is>
      </c>
      <c r="E649" t="inlineStr">
        <is>
          <t>LINKÖPING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38355-2020</t>
        </is>
      </c>
      <c r="B650" s="1" t="n">
        <v>44060</v>
      </c>
      <c r="C650" s="1" t="n">
        <v>45881</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29025-2025</t>
        </is>
      </c>
      <c r="B651" s="1" t="n">
        <v>45821.43289351852</v>
      </c>
      <c r="C651" s="1" t="n">
        <v>45881</v>
      </c>
      <c r="D651" t="inlineStr">
        <is>
          <t>ÖSTERGÖTLANDS LÄN</t>
        </is>
      </c>
      <c r="E651" t="inlineStr">
        <is>
          <t>LINKÖPING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29293-2025</t>
        </is>
      </c>
      <c r="B652" s="1" t="n">
        <v>45824</v>
      </c>
      <c r="C652" s="1" t="n">
        <v>45881</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29599-2025</t>
        </is>
      </c>
      <c r="B653" s="1" t="n">
        <v>45825.41101851852</v>
      </c>
      <c r="C653" s="1" t="n">
        <v>45881</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24765-2025</t>
        </is>
      </c>
      <c r="B654" s="1" t="n">
        <v>45799</v>
      </c>
      <c r="C654" s="1" t="n">
        <v>45881</v>
      </c>
      <c r="D654" t="inlineStr">
        <is>
          <t>ÖSTERGÖTLANDS LÄN</t>
        </is>
      </c>
      <c r="E654" t="inlineStr">
        <is>
          <t>LINKÖPING</t>
        </is>
      </c>
      <c r="G654" t="n">
        <v>4.9</v>
      </c>
      <c r="H654" t="n">
        <v>0</v>
      </c>
      <c r="I654" t="n">
        <v>0</v>
      </c>
      <c r="J654" t="n">
        <v>0</v>
      </c>
      <c r="K654" t="n">
        <v>0</v>
      </c>
      <c r="L654" t="n">
        <v>0</v>
      </c>
      <c r="M654" t="n">
        <v>0</v>
      </c>
      <c r="N654" t="n">
        <v>0</v>
      </c>
      <c r="O654" t="n">
        <v>0</v>
      </c>
      <c r="P654" t="n">
        <v>0</v>
      </c>
      <c r="Q654" t="n">
        <v>0</v>
      </c>
      <c r="R654" s="2" t="inlineStr"/>
    </row>
    <row r="655" ht="15" customHeight="1">
      <c r="A655" t="inlineStr">
        <is>
          <t>A 10461-2023</t>
        </is>
      </c>
      <c r="B655" s="1" t="n">
        <v>44987.5969212963</v>
      </c>
      <c r="C655" s="1" t="n">
        <v>45881</v>
      </c>
      <c r="D655" t="inlineStr">
        <is>
          <t>ÖSTERGÖTLANDS LÄN</t>
        </is>
      </c>
      <c r="E655" t="inlineStr">
        <is>
          <t>LINKÖPING</t>
        </is>
      </c>
      <c r="G655" t="n">
        <v>7.8</v>
      </c>
      <c r="H655" t="n">
        <v>0</v>
      </c>
      <c r="I655" t="n">
        <v>0</v>
      </c>
      <c r="J655" t="n">
        <v>0</v>
      </c>
      <c r="K655" t="n">
        <v>0</v>
      </c>
      <c r="L655" t="n">
        <v>0</v>
      </c>
      <c r="M655" t="n">
        <v>0</v>
      </c>
      <c r="N655" t="n">
        <v>0</v>
      </c>
      <c r="O655" t="n">
        <v>0</v>
      </c>
      <c r="P655" t="n">
        <v>0</v>
      </c>
      <c r="Q655" t="n">
        <v>0</v>
      </c>
      <c r="R655" s="2" t="inlineStr"/>
    </row>
    <row r="656" ht="15" customHeight="1">
      <c r="A656" t="inlineStr">
        <is>
          <t>A 41345-2021</t>
        </is>
      </c>
      <c r="B656" s="1" t="n">
        <v>44424.61851851852</v>
      </c>
      <c r="C656" s="1" t="n">
        <v>45881</v>
      </c>
      <c r="D656" t="inlineStr">
        <is>
          <t>ÖSTERGÖTLANDS LÄN</t>
        </is>
      </c>
      <c r="E656" t="inlineStr">
        <is>
          <t>LINKÖPING</t>
        </is>
      </c>
      <c r="F656" t="inlineStr">
        <is>
          <t>Sveaskog</t>
        </is>
      </c>
      <c r="G656" t="n">
        <v>6.3</v>
      </c>
      <c r="H656" t="n">
        <v>0</v>
      </c>
      <c r="I656" t="n">
        <v>0</v>
      </c>
      <c r="J656" t="n">
        <v>0</v>
      </c>
      <c r="K656" t="n">
        <v>0</v>
      </c>
      <c r="L656" t="n">
        <v>0</v>
      </c>
      <c r="M656" t="n">
        <v>0</v>
      </c>
      <c r="N656" t="n">
        <v>0</v>
      </c>
      <c r="O656" t="n">
        <v>0</v>
      </c>
      <c r="P656" t="n">
        <v>0</v>
      </c>
      <c r="Q656" t="n">
        <v>0</v>
      </c>
      <c r="R656" s="2" t="inlineStr"/>
    </row>
    <row r="657" ht="15" customHeight="1">
      <c r="A657" t="inlineStr">
        <is>
          <t>A 30355-2025</t>
        </is>
      </c>
      <c r="B657" s="1" t="n">
        <v>45827</v>
      </c>
      <c r="C657" s="1" t="n">
        <v>45881</v>
      </c>
      <c r="D657" t="inlineStr">
        <is>
          <t>ÖSTERGÖTLANDS LÄN</t>
        </is>
      </c>
      <c r="E657" t="inlineStr">
        <is>
          <t>LINKÖPING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67129-2020</t>
        </is>
      </c>
      <c r="B658" s="1" t="n">
        <v>44180</v>
      </c>
      <c r="C658" s="1" t="n">
        <v>45881</v>
      </c>
      <c r="D658" t="inlineStr">
        <is>
          <t>ÖSTERGÖTLANDS LÄN</t>
        </is>
      </c>
      <c r="E658" t="inlineStr">
        <is>
          <t>LINKÖPING</t>
        </is>
      </c>
      <c r="F658" t="inlineStr">
        <is>
          <t>Övriga statliga verk och myndigheter</t>
        </is>
      </c>
      <c r="G658" t="n">
        <v>2.7</v>
      </c>
      <c r="H658" t="n">
        <v>0</v>
      </c>
      <c r="I658" t="n">
        <v>0</v>
      </c>
      <c r="J658" t="n">
        <v>0</v>
      </c>
      <c r="K658" t="n">
        <v>0</v>
      </c>
      <c r="L658" t="n">
        <v>0</v>
      </c>
      <c r="M658" t="n">
        <v>0</v>
      </c>
      <c r="N658" t="n">
        <v>0</v>
      </c>
      <c r="O658" t="n">
        <v>0</v>
      </c>
      <c r="P658" t="n">
        <v>0</v>
      </c>
      <c r="Q658" t="n">
        <v>0</v>
      </c>
      <c r="R658" s="2" t="inlineStr"/>
    </row>
    <row r="659" ht="15" customHeight="1">
      <c r="A659" t="inlineStr">
        <is>
          <t>A 30353-2025</t>
        </is>
      </c>
      <c r="B659" s="1" t="n">
        <v>45827</v>
      </c>
      <c r="C659" s="1" t="n">
        <v>45881</v>
      </c>
      <c r="D659" t="inlineStr">
        <is>
          <t>ÖSTERGÖTLANDS LÄN</t>
        </is>
      </c>
      <c r="E659" t="inlineStr">
        <is>
          <t>LINKÖPING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61307-2021</t>
        </is>
      </c>
      <c r="B660" s="1" t="n">
        <v>44498.63928240741</v>
      </c>
      <c r="C660" s="1" t="n">
        <v>45881</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61325-2021</t>
        </is>
      </c>
      <c r="B661" s="1" t="n">
        <v>44498.66814814815</v>
      </c>
      <c r="C661" s="1" t="n">
        <v>45881</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60010-2022</t>
        </is>
      </c>
      <c r="B662" s="1" t="n">
        <v>44909.4740625</v>
      </c>
      <c r="C662" s="1" t="n">
        <v>45881</v>
      </c>
      <c r="D662" t="inlineStr">
        <is>
          <t>ÖSTERGÖTLANDS LÄN</t>
        </is>
      </c>
      <c r="E662" t="inlineStr">
        <is>
          <t>LINKÖPING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55305-2020</t>
        </is>
      </c>
      <c r="B663" s="1" t="n">
        <v>44130</v>
      </c>
      <c r="C663" s="1" t="n">
        <v>45881</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30518-2024</t>
        </is>
      </c>
      <c r="B664" s="1" t="n">
        <v>45492</v>
      </c>
      <c r="C664" s="1" t="n">
        <v>45881</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4908-2023</t>
        </is>
      </c>
      <c r="B665" s="1" t="n">
        <v>44958</v>
      </c>
      <c r="C665" s="1" t="n">
        <v>45881</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37715-2022</t>
        </is>
      </c>
      <c r="B666" s="1" t="n">
        <v>44810</v>
      </c>
      <c r="C666" s="1" t="n">
        <v>45881</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37057-2025</t>
        </is>
      </c>
      <c r="B667" s="1" t="n">
        <v>45875.37489583333</v>
      </c>
      <c r="C667" s="1" t="n">
        <v>45881</v>
      </c>
      <c r="D667" t="inlineStr">
        <is>
          <t>ÖSTERGÖTLANDS LÄN</t>
        </is>
      </c>
      <c r="E667" t="inlineStr">
        <is>
          <t>LINKÖPING</t>
        </is>
      </c>
      <c r="G667" t="n">
        <v>3.3</v>
      </c>
      <c r="H667" t="n">
        <v>0</v>
      </c>
      <c r="I667" t="n">
        <v>0</v>
      </c>
      <c r="J667" t="n">
        <v>0</v>
      </c>
      <c r="K667" t="n">
        <v>0</v>
      </c>
      <c r="L667" t="n">
        <v>0</v>
      </c>
      <c r="M667" t="n">
        <v>0</v>
      </c>
      <c r="N667" t="n">
        <v>0</v>
      </c>
      <c r="O667" t="n">
        <v>0</v>
      </c>
      <c r="P667" t="n">
        <v>0</v>
      </c>
      <c r="Q667" t="n">
        <v>0</v>
      </c>
      <c r="R667" s="2" t="inlineStr"/>
    </row>
    <row r="668" ht="15" customHeight="1">
      <c r="A668" t="inlineStr">
        <is>
          <t>A 3742-2021</t>
        </is>
      </c>
      <c r="B668" s="1" t="n">
        <v>44221</v>
      </c>
      <c r="C668" s="1" t="n">
        <v>45881</v>
      </c>
      <c r="D668" t="inlineStr">
        <is>
          <t>ÖSTERGÖTLANDS LÄN</t>
        </is>
      </c>
      <c r="E668" t="inlineStr">
        <is>
          <t>LINKÖPING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3011-2023</t>
        </is>
      </c>
      <c r="B669" s="1" t="n">
        <v>44945</v>
      </c>
      <c r="C669" s="1" t="n">
        <v>45881</v>
      </c>
      <c r="D669" t="inlineStr">
        <is>
          <t>ÖSTERGÖTLANDS LÄN</t>
        </is>
      </c>
      <c r="E669" t="inlineStr">
        <is>
          <t>LINKÖPING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31581-2025</t>
        </is>
      </c>
      <c r="B670" s="1" t="n">
        <v>45833.6840162037</v>
      </c>
      <c r="C670" s="1" t="n">
        <v>45881</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31585-2025</t>
        </is>
      </c>
      <c r="B671" s="1" t="n">
        <v>45833.68815972222</v>
      </c>
      <c r="C671" s="1" t="n">
        <v>45881</v>
      </c>
      <c r="D671" t="inlineStr">
        <is>
          <t>ÖSTERGÖTLANDS LÄN</t>
        </is>
      </c>
      <c r="E671" t="inlineStr">
        <is>
          <t>LINKÖPING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45442-2024</t>
        </is>
      </c>
      <c r="B672" s="1" t="n">
        <v>45576.64189814815</v>
      </c>
      <c r="C672" s="1" t="n">
        <v>45881</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3432-2023</t>
        </is>
      </c>
      <c r="B673" s="1" t="n">
        <v>44949</v>
      </c>
      <c r="C673" s="1" t="n">
        <v>45881</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1440-2021</t>
        </is>
      </c>
      <c r="B674" s="1" t="n">
        <v>44208</v>
      </c>
      <c r="C674" s="1" t="n">
        <v>45881</v>
      </c>
      <c r="D674" t="inlineStr">
        <is>
          <t>ÖSTERGÖTLANDS LÄN</t>
        </is>
      </c>
      <c r="E674" t="inlineStr">
        <is>
          <t>LINKÖPING</t>
        </is>
      </c>
      <c r="G674" t="n">
        <v>8.4</v>
      </c>
      <c r="H674" t="n">
        <v>0</v>
      </c>
      <c r="I674" t="n">
        <v>0</v>
      </c>
      <c r="J674" t="n">
        <v>0</v>
      </c>
      <c r="K674" t="n">
        <v>0</v>
      </c>
      <c r="L674" t="n">
        <v>0</v>
      </c>
      <c r="M674" t="n">
        <v>0</v>
      </c>
      <c r="N674" t="n">
        <v>0</v>
      </c>
      <c r="O674" t="n">
        <v>0</v>
      </c>
      <c r="P674" t="n">
        <v>0</v>
      </c>
      <c r="Q674" t="n">
        <v>0</v>
      </c>
      <c r="R674" s="2" t="inlineStr"/>
    </row>
    <row r="675" ht="15" customHeight="1">
      <c r="A675" t="inlineStr">
        <is>
          <t>A 25825-2025</t>
        </is>
      </c>
      <c r="B675" s="1" t="n">
        <v>45804</v>
      </c>
      <c r="C675" s="1" t="n">
        <v>45881</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60472-2022</t>
        </is>
      </c>
      <c r="B676" s="1" t="n">
        <v>44911.41037037037</v>
      </c>
      <c r="C676" s="1" t="n">
        <v>45881</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12720-2022</t>
        </is>
      </c>
      <c r="B677" s="1" t="n">
        <v>44641</v>
      </c>
      <c r="C677" s="1" t="n">
        <v>45881</v>
      </c>
      <c r="D677" t="inlineStr">
        <is>
          <t>ÖSTERGÖTLANDS LÄN</t>
        </is>
      </c>
      <c r="E677" t="inlineStr">
        <is>
          <t>LINKÖPING</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32723-2025</t>
        </is>
      </c>
      <c r="B678" s="1" t="n">
        <v>45838</v>
      </c>
      <c r="C678" s="1" t="n">
        <v>45881</v>
      </c>
      <c r="D678" t="inlineStr">
        <is>
          <t>ÖSTERGÖTLANDS LÄN</t>
        </is>
      </c>
      <c r="E678" t="inlineStr">
        <is>
          <t>LINKÖPING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44739-2020</t>
        </is>
      </c>
      <c r="B679" s="1" t="n">
        <v>44085</v>
      </c>
      <c r="C679" s="1" t="n">
        <v>45881</v>
      </c>
      <c r="D679" t="inlineStr">
        <is>
          <t>ÖSTERGÖTLANDS LÄN</t>
        </is>
      </c>
      <c r="E679" t="inlineStr">
        <is>
          <t>LINKÖPING</t>
        </is>
      </c>
      <c r="G679" t="n">
        <v>5</v>
      </c>
      <c r="H679" t="n">
        <v>0</v>
      </c>
      <c r="I679" t="n">
        <v>0</v>
      </c>
      <c r="J679" t="n">
        <v>0</v>
      </c>
      <c r="K679" t="n">
        <v>0</v>
      </c>
      <c r="L679" t="n">
        <v>0</v>
      </c>
      <c r="M679" t="n">
        <v>0</v>
      </c>
      <c r="N679" t="n">
        <v>0</v>
      </c>
      <c r="O679" t="n">
        <v>0</v>
      </c>
      <c r="P679" t="n">
        <v>0</v>
      </c>
      <c r="Q679" t="n">
        <v>0</v>
      </c>
      <c r="R679" s="2" t="inlineStr"/>
    </row>
    <row r="680" ht="15" customHeight="1">
      <c r="A680" t="inlineStr">
        <is>
          <t>A 47364-2020</t>
        </is>
      </c>
      <c r="B680" s="1" t="n">
        <v>44097</v>
      </c>
      <c r="C680" s="1" t="n">
        <v>45881</v>
      </c>
      <c r="D680" t="inlineStr">
        <is>
          <t>ÖSTERGÖTLANDS LÄN</t>
        </is>
      </c>
      <c r="E680" t="inlineStr">
        <is>
          <t>LINKÖPING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45831-2024</t>
        </is>
      </c>
      <c r="B681" s="1" t="n">
        <v>45579.90508101852</v>
      </c>
      <c r="C681" s="1" t="n">
        <v>45881</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57396-2021</t>
        </is>
      </c>
      <c r="B682" s="1" t="n">
        <v>44483.56151620371</v>
      </c>
      <c r="C682" s="1" t="n">
        <v>45881</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22842-2023</t>
        </is>
      </c>
      <c r="B683" s="1" t="n">
        <v>45071</v>
      </c>
      <c r="C683" s="1" t="n">
        <v>45881</v>
      </c>
      <c r="D683" t="inlineStr">
        <is>
          <t>ÖSTERGÖTLANDS LÄN</t>
        </is>
      </c>
      <c r="E683" t="inlineStr">
        <is>
          <t>LINKÖPING</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50386-2021</t>
        </is>
      </c>
      <c r="B684" s="1" t="n">
        <v>44459</v>
      </c>
      <c r="C684" s="1" t="n">
        <v>45881</v>
      </c>
      <c r="D684" t="inlineStr">
        <is>
          <t>ÖSTERGÖTLANDS LÄN</t>
        </is>
      </c>
      <c r="E684" t="inlineStr">
        <is>
          <t>LINKÖPING</t>
        </is>
      </c>
      <c r="G684" t="n">
        <v>2.3</v>
      </c>
      <c r="H684" t="n">
        <v>0</v>
      </c>
      <c r="I684" t="n">
        <v>0</v>
      </c>
      <c r="J684" t="n">
        <v>0</v>
      </c>
      <c r="K684" t="n">
        <v>0</v>
      </c>
      <c r="L684" t="n">
        <v>0</v>
      </c>
      <c r="M684" t="n">
        <v>0</v>
      </c>
      <c r="N684" t="n">
        <v>0</v>
      </c>
      <c r="O684" t="n">
        <v>0</v>
      </c>
      <c r="P684" t="n">
        <v>0</v>
      </c>
      <c r="Q684" t="n">
        <v>0</v>
      </c>
      <c r="R684" s="2" t="inlineStr"/>
    </row>
    <row r="685" ht="15" customHeight="1">
      <c r="A685" t="inlineStr">
        <is>
          <t>A 35781-2023</t>
        </is>
      </c>
      <c r="B685" s="1" t="n">
        <v>45147</v>
      </c>
      <c r="C685" s="1" t="n">
        <v>45881</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22770-2024</t>
        </is>
      </c>
      <c r="B686" s="1" t="n">
        <v>45448.4634375</v>
      </c>
      <c r="C686" s="1" t="n">
        <v>45881</v>
      </c>
      <c r="D686" t="inlineStr">
        <is>
          <t>ÖSTERGÖTLANDS LÄN</t>
        </is>
      </c>
      <c r="E686" t="inlineStr">
        <is>
          <t>LINKÖPING</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11671-2023</t>
        </is>
      </c>
      <c r="B687" s="1" t="n">
        <v>44994.48125</v>
      </c>
      <c r="C687" s="1" t="n">
        <v>45881</v>
      </c>
      <c r="D687" t="inlineStr">
        <is>
          <t>ÖSTERGÖTLANDS LÄN</t>
        </is>
      </c>
      <c r="E687" t="inlineStr">
        <is>
          <t>LINKÖPING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54425-2022</t>
        </is>
      </c>
      <c r="B688" s="1" t="n">
        <v>44882.57453703704</v>
      </c>
      <c r="C688" s="1" t="n">
        <v>45881</v>
      </c>
      <c r="D688" t="inlineStr">
        <is>
          <t>ÖSTERGÖTLANDS LÄN</t>
        </is>
      </c>
      <c r="E688" t="inlineStr">
        <is>
          <t>LINKÖPING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4927-2021</t>
        </is>
      </c>
      <c r="B689" s="1" t="n">
        <v>44227.57215277778</v>
      </c>
      <c r="C689" s="1" t="n">
        <v>45881</v>
      </c>
      <c r="D689" t="inlineStr">
        <is>
          <t>ÖSTERGÖTLANDS LÄN</t>
        </is>
      </c>
      <c r="E689" t="inlineStr">
        <is>
          <t>LINKÖPING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30547-2023</t>
        </is>
      </c>
      <c r="B690" s="1" t="n">
        <v>45111.75905092592</v>
      </c>
      <c r="C690" s="1" t="n">
        <v>45881</v>
      </c>
      <c r="D690" t="inlineStr">
        <is>
          <t>ÖSTERGÖTLANDS LÄN</t>
        </is>
      </c>
      <c r="E690" t="inlineStr">
        <is>
          <t>LINKÖPING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24904-2024</t>
        </is>
      </c>
      <c r="B691" s="1" t="n">
        <v>45461</v>
      </c>
      <c r="C691" s="1" t="n">
        <v>45881</v>
      </c>
      <c r="D691" t="inlineStr">
        <is>
          <t>ÖSTERGÖTLANDS LÄN</t>
        </is>
      </c>
      <c r="E691" t="inlineStr">
        <is>
          <t>LINKÖPING</t>
        </is>
      </c>
      <c r="G691" t="n">
        <v>3.8</v>
      </c>
      <c r="H691" t="n">
        <v>0</v>
      </c>
      <c r="I691" t="n">
        <v>0</v>
      </c>
      <c r="J691" t="n">
        <v>0</v>
      </c>
      <c r="K691" t="n">
        <v>0</v>
      </c>
      <c r="L691" t="n">
        <v>0</v>
      </c>
      <c r="M691" t="n">
        <v>0</v>
      </c>
      <c r="N691" t="n">
        <v>0</v>
      </c>
      <c r="O691" t="n">
        <v>0</v>
      </c>
      <c r="P691" t="n">
        <v>0</v>
      </c>
      <c r="Q691" t="n">
        <v>0</v>
      </c>
      <c r="R691" s="2" t="inlineStr"/>
    </row>
    <row r="692" ht="15" customHeight="1">
      <c r="A692" t="inlineStr">
        <is>
          <t>A 26788-2022</t>
        </is>
      </c>
      <c r="B692" s="1" t="n">
        <v>44740</v>
      </c>
      <c r="C692" s="1" t="n">
        <v>45881</v>
      </c>
      <c r="D692" t="inlineStr">
        <is>
          <t>ÖSTERGÖTLANDS LÄN</t>
        </is>
      </c>
      <c r="E692" t="inlineStr">
        <is>
          <t>LINKÖPING</t>
        </is>
      </c>
      <c r="G692" t="n">
        <v>3.2</v>
      </c>
      <c r="H692" t="n">
        <v>0</v>
      </c>
      <c r="I692" t="n">
        <v>0</v>
      </c>
      <c r="J692" t="n">
        <v>0</v>
      </c>
      <c r="K692" t="n">
        <v>0</v>
      </c>
      <c r="L692" t="n">
        <v>0</v>
      </c>
      <c r="M692" t="n">
        <v>0</v>
      </c>
      <c r="N692" t="n">
        <v>0</v>
      </c>
      <c r="O692" t="n">
        <v>0</v>
      </c>
      <c r="P692" t="n">
        <v>0</v>
      </c>
      <c r="Q692" t="n">
        <v>0</v>
      </c>
      <c r="R692" s="2" t="inlineStr"/>
    </row>
    <row r="693" ht="15" customHeight="1">
      <c r="A693" t="inlineStr">
        <is>
          <t>A 15121-2022</t>
        </is>
      </c>
      <c r="B693" s="1" t="n">
        <v>44658</v>
      </c>
      <c r="C693" s="1" t="n">
        <v>45881</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51919-2024</t>
        </is>
      </c>
      <c r="B694" s="1" t="n">
        <v>45607.60791666667</v>
      </c>
      <c r="C694" s="1" t="n">
        <v>45881</v>
      </c>
      <c r="D694" t="inlineStr">
        <is>
          <t>ÖSTERGÖTLANDS LÄN</t>
        </is>
      </c>
      <c r="E694" t="inlineStr">
        <is>
          <t>LINKÖPING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55009-2023</t>
        </is>
      </c>
      <c r="B695" s="1" t="n">
        <v>45237</v>
      </c>
      <c r="C695" s="1" t="n">
        <v>45881</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20291-2025</t>
        </is>
      </c>
      <c r="B696" s="1" t="n">
        <v>45774.74288194445</v>
      </c>
      <c r="C696" s="1" t="n">
        <v>45881</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20293-2025</t>
        </is>
      </c>
      <c r="B697" s="1" t="n">
        <v>45774.74611111111</v>
      </c>
      <c r="C697" s="1" t="n">
        <v>45881</v>
      </c>
      <c r="D697" t="inlineStr">
        <is>
          <t>ÖSTERGÖTLANDS LÄN</t>
        </is>
      </c>
      <c r="E697" t="inlineStr">
        <is>
          <t>LINKÖPING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660-2023</t>
        </is>
      </c>
      <c r="B698" s="1" t="n">
        <v>44930</v>
      </c>
      <c r="C698" s="1" t="n">
        <v>45881</v>
      </c>
      <c r="D698" t="inlineStr">
        <is>
          <t>ÖSTERGÖTLANDS LÄN</t>
        </is>
      </c>
      <c r="E698" t="inlineStr">
        <is>
          <t>LINKÖPING</t>
        </is>
      </c>
      <c r="F698" t="inlineStr">
        <is>
          <t>Kyrkan</t>
        </is>
      </c>
      <c r="G698" t="n">
        <v>1.6</v>
      </c>
      <c r="H698" t="n">
        <v>0</v>
      </c>
      <c r="I698" t="n">
        <v>0</v>
      </c>
      <c r="J698" t="n">
        <v>0</v>
      </c>
      <c r="K698" t="n">
        <v>0</v>
      </c>
      <c r="L698" t="n">
        <v>0</v>
      </c>
      <c r="M698" t="n">
        <v>0</v>
      </c>
      <c r="N698" t="n">
        <v>0</v>
      </c>
      <c r="O698" t="n">
        <v>0</v>
      </c>
      <c r="P698" t="n">
        <v>0</v>
      </c>
      <c r="Q698" t="n">
        <v>0</v>
      </c>
      <c r="R698" s="2" t="inlineStr"/>
    </row>
    <row r="699">
      <c r="A699" t="inlineStr">
        <is>
          <t>A 64694-2023</t>
        </is>
      </c>
      <c r="B699" s="1" t="n">
        <v>45281</v>
      </c>
      <c r="C699" s="1" t="n">
        <v>45881</v>
      </c>
      <c r="D699" t="inlineStr">
        <is>
          <t>ÖSTERGÖTLANDS LÄN</t>
        </is>
      </c>
      <c r="E699" t="inlineStr">
        <is>
          <t>LINKÖPING</t>
        </is>
      </c>
      <c r="F699" t="inlineStr">
        <is>
          <t>Övriga statliga verk och myndigheter</t>
        </is>
      </c>
      <c r="G699" t="n">
        <v>4.9</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2025-08-12T08:24:45Z</dcterms:created>
  <dcterms:modified xmlns:dcterms="http://purl.org/dc/terms/" xmlns:xsi="http://www.w3.org/2001/XMLSchema-instance" xsi:type="dcterms:W3CDTF">2025-08-12T08:24:46Z</dcterms:modified>
</cp:coreProperties>
</file>