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46115</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46115</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46115</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46115</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46115</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46115</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48329-2025</t>
        </is>
      </c>
      <c r="B14" s="1" t="n">
        <v>45932</v>
      </c>
      <c r="C14" s="1" t="n">
        <v>46115</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46115</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46115</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46115</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46115</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46115</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11097-2026</t>
        </is>
      </c>
      <c r="B20" s="1" t="n">
        <v>46079.64511574074</v>
      </c>
      <c r="C20" s="1" t="n">
        <v>46115</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11048-2026</t>
        </is>
      </c>
      <c r="B21" s="1" t="n">
        <v>46079.58841435185</v>
      </c>
      <c r="C21" s="1" t="n">
        <v>46115</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38913-2023</t>
        </is>
      </c>
      <c r="B22" s="1" t="n">
        <v>45163</v>
      </c>
      <c r="C22" s="1" t="n">
        <v>46115</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6353-2026</t>
        </is>
      </c>
      <c r="B23" s="1" t="n">
        <v>46055.61385416667</v>
      </c>
      <c r="C23" s="1" t="n">
        <v>46115</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55341-2024</t>
        </is>
      </c>
      <c r="B24" s="1" t="n">
        <v>45621.71255787037</v>
      </c>
      <c r="C24" s="1" t="n">
        <v>46115</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38137-2021</t>
        </is>
      </c>
      <c r="B25" s="1" t="n">
        <v>44405.38357638889</v>
      </c>
      <c r="C25" s="1" t="n">
        <v>46115</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46115</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46115</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58068-2021</t>
        </is>
      </c>
      <c r="B28" s="1" t="n">
        <v>44487</v>
      </c>
      <c r="C28" s="1" t="n">
        <v>46115</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21326-2025</t>
        </is>
      </c>
      <c r="B29" s="1" t="n">
        <v>45782.35407407407</v>
      </c>
      <c r="C29" s="1" t="n">
        <v>46115</v>
      </c>
      <c r="D29" t="inlineStr">
        <is>
          <t>ÖSTERGÖTLANDS LÄN</t>
        </is>
      </c>
      <c r="E29" t="inlineStr">
        <is>
          <t>LINKÖPING</t>
        </is>
      </c>
      <c r="G29" t="n">
        <v>4.9</v>
      </c>
      <c r="H29" t="n">
        <v>2</v>
      </c>
      <c r="I29" t="n">
        <v>0</v>
      </c>
      <c r="J29" t="n">
        <v>0</v>
      </c>
      <c r="K29" t="n">
        <v>0</v>
      </c>
      <c r="L29" t="n">
        <v>0</v>
      </c>
      <c r="M29" t="n">
        <v>0</v>
      </c>
      <c r="N29" t="n">
        <v>0</v>
      </c>
      <c r="O29" t="n">
        <v>0</v>
      </c>
      <c r="P29" t="n">
        <v>0</v>
      </c>
      <c r="Q29" t="n">
        <v>2</v>
      </c>
      <c r="R29" s="2" t="inlineStr">
        <is>
          <t>Blåsippa
Revlummer</t>
        </is>
      </c>
      <c r="S29">
        <f>HYPERLINK("https://klasma.github.io/Logging_0580/artfynd/A 21326-2025 artfynd.xlsx", "A 21326-2025")</f>
        <v/>
      </c>
      <c r="T29">
        <f>HYPERLINK("https://klasma.github.io/Logging_0580/kartor/A 21326-2025 karta.png", "A 21326-2025")</f>
        <v/>
      </c>
      <c r="V29">
        <f>HYPERLINK("https://klasma.github.io/Logging_0580/klagomål/A 21326-2025 FSC-klagomål.docx", "A 21326-2025")</f>
        <v/>
      </c>
      <c r="W29">
        <f>HYPERLINK("https://klasma.github.io/Logging_0580/klagomålsmail/A 21326-2025 FSC-klagomål mail.docx", "A 21326-2025")</f>
        <v/>
      </c>
      <c r="X29">
        <f>HYPERLINK("https://klasma.github.io/Logging_0580/tillsyn/A 21326-2025 tillsynsbegäran.docx", "A 21326-2025")</f>
        <v/>
      </c>
      <c r="Y29">
        <f>HYPERLINK("https://klasma.github.io/Logging_0580/tillsynsmail/A 21326-2025 tillsynsbegäran mail.docx", "A 21326-2025")</f>
        <v/>
      </c>
    </row>
    <row r="30" ht="15" customHeight="1">
      <c r="A30" t="inlineStr">
        <is>
          <t>A 49188-2024</t>
        </is>
      </c>
      <c r="B30" s="1" t="n">
        <v>45595</v>
      </c>
      <c r="C30" s="1" t="n">
        <v>46115</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58068-2021</t>
        </is>
      </c>
      <c r="B31" s="1" t="n">
        <v>44487</v>
      </c>
      <c r="C31" s="1" t="n">
        <v>46115</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27795-2025</t>
        </is>
      </c>
      <c r="B32" s="1" t="n">
        <v>45816.7908912037</v>
      </c>
      <c r="C32" s="1" t="n">
        <v>46115</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27981-2022</t>
        </is>
      </c>
      <c r="B33" s="1" t="n">
        <v>44745</v>
      </c>
      <c r="C33" s="1" t="n">
        <v>46115</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50048-2025</t>
        </is>
      </c>
      <c r="B34" s="1" t="n">
        <v>45941</v>
      </c>
      <c r="C34" s="1" t="n">
        <v>46115</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25985-2025</t>
        </is>
      </c>
      <c r="B35" s="1" t="n">
        <v>45804.64479166667</v>
      </c>
      <c r="C35" s="1" t="n">
        <v>46115</v>
      </c>
      <c r="D35" t="inlineStr">
        <is>
          <t>ÖSTERGÖTLANDS LÄN</t>
        </is>
      </c>
      <c r="E35" t="inlineStr">
        <is>
          <t>LINKÖPING</t>
        </is>
      </c>
      <c r="G35" t="n">
        <v>4.5</v>
      </c>
      <c r="H35" t="n">
        <v>2</v>
      </c>
      <c r="I35" t="n">
        <v>0</v>
      </c>
      <c r="J35" t="n">
        <v>1</v>
      </c>
      <c r="K35" t="n">
        <v>0</v>
      </c>
      <c r="L35" t="n">
        <v>0</v>
      </c>
      <c r="M35" t="n">
        <v>0</v>
      </c>
      <c r="N35" t="n">
        <v>0</v>
      </c>
      <c r="O35" t="n">
        <v>1</v>
      </c>
      <c r="P35" t="n">
        <v>0</v>
      </c>
      <c r="Q35" t="n">
        <v>2</v>
      </c>
      <c r="R35" s="2" t="inlineStr">
        <is>
          <t>Spillkråka
Revlummer</t>
        </is>
      </c>
      <c r="S35">
        <f>HYPERLINK("https://klasma.github.io/Logging_0580/artfynd/A 25985-2025 artfynd.xlsx", "A 25985-2025")</f>
        <v/>
      </c>
      <c r="T35">
        <f>HYPERLINK("https://klasma.github.io/Logging_0580/kartor/A 25985-2025 karta.png", "A 25985-2025")</f>
        <v/>
      </c>
      <c r="V35">
        <f>HYPERLINK("https://klasma.github.io/Logging_0580/klagomål/A 25985-2025 FSC-klagomål.docx", "A 25985-2025")</f>
        <v/>
      </c>
      <c r="W35">
        <f>HYPERLINK("https://klasma.github.io/Logging_0580/klagomålsmail/A 25985-2025 FSC-klagomål mail.docx", "A 25985-2025")</f>
        <v/>
      </c>
      <c r="X35">
        <f>HYPERLINK("https://klasma.github.io/Logging_0580/tillsyn/A 25985-2025 tillsynsbegäran.docx", "A 25985-2025")</f>
        <v/>
      </c>
      <c r="Y35">
        <f>HYPERLINK("https://klasma.github.io/Logging_0580/tillsynsmail/A 25985-2025 tillsynsbegäran mail.docx", "A 25985-2025")</f>
        <v/>
      </c>
      <c r="Z35">
        <f>HYPERLINK("https://klasma.github.io/Logging_0580/fåglar/A 25985-2025 prioriterade fågelarter.docx", "A 25985-2025")</f>
        <v/>
      </c>
    </row>
    <row r="36" ht="15" customHeight="1">
      <c r="A36" t="inlineStr">
        <is>
          <t>A 3912-2026</t>
        </is>
      </c>
      <c r="B36" s="1" t="n">
        <v>46043.71958333333</v>
      </c>
      <c r="C36" s="1" t="n">
        <v>46115</v>
      </c>
      <c r="D36" t="inlineStr">
        <is>
          <t>ÖSTERGÖTLANDS LÄN</t>
        </is>
      </c>
      <c r="E36" t="inlineStr">
        <is>
          <t>LINKÖPING</t>
        </is>
      </c>
      <c r="F36" t="inlineStr">
        <is>
          <t>Kyrkan</t>
        </is>
      </c>
      <c r="G36" t="n">
        <v>6.8</v>
      </c>
      <c r="H36" t="n">
        <v>1</v>
      </c>
      <c r="I36" t="n">
        <v>1</v>
      </c>
      <c r="J36" t="n">
        <v>0</v>
      </c>
      <c r="K36" t="n">
        <v>1</v>
      </c>
      <c r="L36" t="n">
        <v>0</v>
      </c>
      <c r="M36" t="n">
        <v>0</v>
      </c>
      <c r="N36" t="n">
        <v>0</v>
      </c>
      <c r="O36" t="n">
        <v>1</v>
      </c>
      <c r="P36" t="n">
        <v>1</v>
      </c>
      <c r="Q36" t="n">
        <v>2</v>
      </c>
      <c r="R36" s="2" t="inlineStr">
        <is>
          <t>Knärot
Grönpyrola</t>
        </is>
      </c>
      <c r="S36">
        <f>HYPERLINK("https://klasma.github.io/Logging_0580/artfynd/A 3912-2026 artfynd.xlsx", "A 3912-2026")</f>
        <v/>
      </c>
      <c r="T36">
        <f>HYPERLINK("https://klasma.github.io/Logging_0580/kartor/A 3912-2026 karta.png", "A 3912-2026")</f>
        <v/>
      </c>
      <c r="U36">
        <f>HYPERLINK("https://klasma.github.io/Logging_0580/knärot/A 3912-2026 karta knärot.png", "A 3912-2026")</f>
        <v/>
      </c>
      <c r="V36">
        <f>HYPERLINK("https://klasma.github.io/Logging_0580/klagomål/A 3912-2026 FSC-klagomål.docx", "A 3912-2026")</f>
        <v/>
      </c>
      <c r="W36">
        <f>HYPERLINK("https://klasma.github.io/Logging_0580/klagomålsmail/A 3912-2026 FSC-klagomål mail.docx", "A 3912-2026")</f>
        <v/>
      </c>
      <c r="X36">
        <f>HYPERLINK("https://klasma.github.io/Logging_0580/tillsyn/A 3912-2026 tillsynsbegäran.docx", "A 3912-2026")</f>
        <v/>
      </c>
      <c r="Y36">
        <f>HYPERLINK("https://klasma.github.io/Logging_0580/tillsynsmail/A 3912-2026 tillsynsbegäran mail.docx", "A 3912-2026")</f>
        <v/>
      </c>
    </row>
    <row r="37" ht="15" customHeight="1">
      <c r="A37" t="inlineStr">
        <is>
          <t>A 12494-2026</t>
        </is>
      </c>
      <c r="B37" s="1" t="n">
        <v>46090.56896990741</v>
      </c>
      <c r="C37" s="1" t="n">
        <v>46115</v>
      </c>
      <c r="D37" t="inlineStr">
        <is>
          <t>ÖSTERGÖTLANDS LÄN</t>
        </is>
      </c>
      <c r="E37" t="inlineStr">
        <is>
          <t>LINKÖPING</t>
        </is>
      </c>
      <c r="G37" t="n">
        <v>3.4</v>
      </c>
      <c r="H37" t="n">
        <v>0</v>
      </c>
      <c r="I37" t="n">
        <v>0</v>
      </c>
      <c r="J37" t="n">
        <v>1</v>
      </c>
      <c r="K37" t="n">
        <v>1</v>
      </c>
      <c r="L37" t="n">
        <v>0</v>
      </c>
      <c r="M37" t="n">
        <v>0</v>
      </c>
      <c r="N37" t="n">
        <v>0</v>
      </c>
      <c r="O37" t="n">
        <v>2</v>
      </c>
      <c r="P37" t="n">
        <v>1</v>
      </c>
      <c r="Q37" t="n">
        <v>2</v>
      </c>
      <c r="R37" s="2" t="inlineStr">
        <is>
          <t>Slåttergubbe
Svinrot</t>
        </is>
      </c>
      <c r="S37">
        <f>HYPERLINK("https://klasma.github.io/Logging_0580/artfynd/A 12494-2026 artfynd.xlsx", "A 12494-2026")</f>
        <v/>
      </c>
      <c r="T37">
        <f>HYPERLINK("https://klasma.github.io/Logging_0580/kartor/A 12494-2026 karta.png", "A 12494-2026")</f>
        <v/>
      </c>
      <c r="V37">
        <f>HYPERLINK("https://klasma.github.io/Logging_0580/klagomål/A 12494-2026 FSC-klagomål.docx", "A 12494-2026")</f>
        <v/>
      </c>
      <c r="W37">
        <f>HYPERLINK("https://klasma.github.io/Logging_0580/klagomålsmail/A 12494-2026 FSC-klagomål mail.docx", "A 12494-2026")</f>
        <v/>
      </c>
      <c r="X37">
        <f>HYPERLINK("https://klasma.github.io/Logging_0580/tillsyn/A 12494-2026 tillsynsbegäran.docx", "A 12494-2026")</f>
        <v/>
      </c>
      <c r="Y37">
        <f>HYPERLINK("https://klasma.github.io/Logging_0580/tillsynsmail/A 12494-2026 tillsynsbegäran mail.docx", "A 12494-2026")</f>
        <v/>
      </c>
    </row>
    <row r="38" ht="15" customHeight="1">
      <c r="A38" t="inlineStr">
        <is>
          <t>A 42858-2023</t>
        </is>
      </c>
      <c r="B38" s="1" t="n">
        <v>45177</v>
      </c>
      <c r="C38" s="1" t="n">
        <v>46115</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15844-2026</t>
        </is>
      </c>
      <c r="B39" s="1" t="n">
        <v>46107.56542824074</v>
      </c>
      <c r="C39" s="1" t="n">
        <v>46115</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15856-2026</t>
        </is>
      </c>
      <c r="B40" s="1" t="n">
        <v>46107.57620370371</v>
      </c>
      <c r="C40" s="1" t="n">
        <v>46115</v>
      </c>
      <c r="D40" t="inlineStr">
        <is>
          <t>ÖSTERGÖTLANDS LÄN</t>
        </is>
      </c>
      <c r="E40" t="inlineStr">
        <is>
          <t>LINKÖPING</t>
        </is>
      </c>
      <c r="F40" t="inlineStr">
        <is>
          <t>Sveaskog</t>
        </is>
      </c>
      <c r="G40" t="n">
        <v>16.2</v>
      </c>
      <c r="H40" t="n">
        <v>0</v>
      </c>
      <c r="I40" t="n">
        <v>1</v>
      </c>
      <c r="J40" t="n">
        <v>1</v>
      </c>
      <c r="K40" t="n">
        <v>0</v>
      </c>
      <c r="L40" t="n">
        <v>0</v>
      </c>
      <c r="M40" t="n">
        <v>0</v>
      </c>
      <c r="N40" t="n">
        <v>0</v>
      </c>
      <c r="O40" t="n">
        <v>1</v>
      </c>
      <c r="P40" t="n">
        <v>0</v>
      </c>
      <c r="Q40" t="n">
        <v>2</v>
      </c>
      <c r="R40" s="2" t="inlineStr">
        <is>
          <t>Svinrot
Granbräken</t>
        </is>
      </c>
      <c r="S40">
        <f>HYPERLINK("https://klasma.github.io/Logging_0580/artfynd/A 15856-2026 artfynd.xlsx", "A 15856-2026")</f>
        <v/>
      </c>
      <c r="T40">
        <f>HYPERLINK("https://klasma.github.io/Logging_0580/kartor/A 15856-2026 karta.png", "A 15856-2026")</f>
        <v/>
      </c>
      <c r="V40">
        <f>HYPERLINK("https://klasma.github.io/Logging_0580/klagomål/A 15856-2026 FSC-klagomål.docx", "A 15856-2026")</f>
        <v/>
      </c>
      <c r="W40">
        <f>HYPERLINK("https://klasma.github.io/Logging_0580/klagomålsmail/A 15856-2026 FSC-klagomål mail.docx", "A 15856-2026")</f>
        <v/>
      </c>
      <c r="X40">
        <f>HYPERLINK("https://klasma.github.io/Logging_0580/tillsyn/A 15856-2026 tillsynsbegäran.docx", "A 15856-2026")</f>
        <v/>
      </c>
      <c r="Y40">
        <f>HYPERLINK("https://klasma.github.io/Logging_0580/tillsynsmail/A 15856-2026 tillsynsbegäran mail.docx", "A 15856-2026")</f>
        <v/>
      </c>
    </row>
    <row r="41" ht="15" customHeight="1">
      <c r="A41" t="inlineStr">
        <is>
          <t>A 11613-2025</t>
        </is>
      </c>
      <c r="B41" s="1" t="n">
        <v>45727.44623842592</v>
      </c>
      <c r="C41" s="1" t="n">
        <v>46115</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41751-2023</t>
        </is>
      </c>
      <c r="B42" s="1" t="n">
        <v>45176</v>
      </c>
      <c r="C42" s="1" t="n">
        <v>46115</v>
      </c>
      <c r="D42" t="inlineStr">
        <is>
          <t>ÖSTERGÖTLANDS LÄN</t>
        </is>
      </c>
      <c r="E42" t="inlineStr">
        <is>
          <t>LINKÖPING</t>
        </is>
      </c>
      <c r="G42" t="n">
        <v>1.5</v>
      </c>
      <c r="H42" t="n">
        <v>1</v>
      </c>
      <c r="I42" t="n">
        <v>0</v>
      </c>
      <c r="J42" t="n">
        <v>1</v>
      </c>
      <c r="K42" t="n">
        <v>0</v>
      </c>
      <c r="L42" t="n">
        <v>0</v>
      </c>
      <c r="M42" t="n">
        <v>0</v>
      </c>
      <c r="N42" t="n">
        <v>0</v>
      </c>
      <c r="O42" t="n">
        <v>1</v>
      </c>
      <c r="P42" t="n">
        <v>0</v>
      </c>
      <c r="Q42" t="n">
        <v>2</v>
      </c>
      <c r="R42" s="2" t="inlineStr">
        <is>
          <t>Svinrot
Grönvit nattviol</t>
        </is>
      </c>
      <c r="S42">
        <f>HYPERLINK("https://klasma.github.io/Logging_0580/artfynd/A 41751-2023 artfynd.xlsx", "A 41751-2023")</f>
        <v/>
      </c>
      <c r="T42">
        <f>HYPERLINK("https://klasma.github.io/Logging_0580/kartor/A 41751-2023 karta.png", "A 41751-2023")</f>
        <v/>
      </c>
      <c r="V42">
        <f>HYPERLINK("https://klasma.github.io/Logging_0580/klagomål/A 41751-2023 FSC-klagomål.docx", "A 41751-2023")</f>
        <v/>
      </c>
      <c r="W42">
        <f>HYPERLINK("https://klasma.github.io/Logging_0580/klagomålsmail/A 41751-2023 FSC-klagomål mail.docx", "A 41751-2023")</f>
        <v/>
      </c>
      <c r="X42">
        <f>HYPERLINK("https://klasma.github.io/Logging_0580/tillsyn/A 41751-2023 tillsynsbegäran.docx", "A 41751-2023")</f>
        <v/>
      </c>
      <c r="Y42">
        <f>HYPERLINK("https://klasma.github.io/Logging_0580/tillsynsmail/A 41751-2023 tillsynsbegäran mail.docx", "A 41751-2023")</f>
        <v/>
      </c>
    </row>
    <row r="43" ht="15" customHeight="1">
      <c r="A43" t="inlineStr">
        <is>
          <t>A 8818-2025</t>
        </is>
      </c>
      <c r="B43" s="1" t="n">
        <v>45712</v>
      </c>
      <c r="C43" s="1" t="n">
        <v>46115</v>
      </c>
      <c r="D43" t="inlineStr">
        <is>
          <t>ÖSTERGÖTLANDS LÄN</t>
        </is>
      </c>
      <c r="E43" t="inlineStr">
        <is>
          <t>LINKÖPING</t>
        </is>
      </c>
      <c r="F43" t="inlineStr">
        <is>
          <t>Kommuner</t>
        </is>
      </c>
      <c r="G43" t="n">
        <v>0.6</v>
      </c>
      <c r="H43" t="n">
        <v>0</v>
      </c>
      <c r="I43" t="n">
        <v>0</v>
      </c>
      <c r="J43" t="n">
        <v>1</v>
      </c>
      <c r="K43" t="n">
        <v>1</v>
      </c>
      <c r="L43" t="n">
        <v>0</v>
      </c>
      <c r="M43" t="n">
        <v>0</v>
      </c>
      <c r="N43" t="n">
        <v>0</v>
      </c>
      <c r="O43" t="n">
        <v>2</v>
      </c>
      <c r="P43" t="n">
        <v>1</v>
      </c>
      <c r="Q43" t="n">
        <v>2</v>
      </c>
      <c r="R43" s="2" t="inlineStr">
        <is>
          <t>Luddvicker
Klubbsprötad bastardsvärmare</t>
        </is>
      </c>
      <c r="S43">
        <f>HYPERLINK("https://klasma.github.io/Logging_0580/artfynd/A 8818-2025 artfynd.xlsx", "A 8818-2025")</f>
        <v/>
      </c>
      <c r="T43">
        <f>HYPERLINK("https://klasma.github.io/Logging_0580/kartor/A 8818-2025 karta.png", "A 8818-2025")</f>
        <v/>
      </c>
      <c r="V43">
        <f>HYPERLINK("https://klasma.github.io/Logging_0580/klagomål/A 8818-2025 FSC-klagomål.docx", "A 8818-2025")</f>
        <v/>
      </c>
      <c r="W43">
        <f>HYPERLINK("https://klasma.github.io/Logging_0580/klagomålsmail/A 8818-2025 FSC-klagomål mail.docx", "A 8818-2025")</f>
        <v/>
      </c>
      <c r="X43">
        <f>HYPERLINK("https://klasma.github.io/Logging_0580/tillsyn/A 8818-2025 tillsynsbegäran.docx", "A 8818-2025")</f>
        <v/>
      </c>
      <c r="Y43">
        <f>HYPERLINK("https://klasma.github.io/Logging_0580/tillsynsmail/A 8818-2025 tillsynsbegäran mail.docx", "A 8818-2025")</f>
        <v/>
      </c>
    </row>
    <row r="44" ht="15" customHeight="1">
      <c r="A44" t="inlineStr">
        <is>
          <t>A 14879-2024</t>
        </is>
      </c>
      <c r="B44" s="1" t="n">
        <v>45398</v>
      </c>
      <c r="C44" s="1" t="n">
        <v>46115</v>
      </c>
      <c r="D44" t="inlineStr">
        <is>
          <t>ÖSTERGÖTLANDS LÄN</t>
        </is>
      </c>
      <c r="E44" t="inlineStr">
        <is>
          <t>LINKÖPING</t>
        </is>
      </c>
      <c r="F44" t="inlineStr">
        <is>
          <t>Övriga Aktiebolag</t>
        </is>
      </c>
      <c r="G44" t="n">
        <v>1.7</v>
      </c>
      <c r="H44" t="n">
        <v>1</v>
      </c>
      <c r="I44" t="n">
        <v>1</v>
      </c>
      <c r="J44" t="n">
        <v>0</v>
      </c>
      <c r="K44" t="n">
        <v>0</v>
      </c>
      <c r="L44" t="n">
        <v>0</v>
      </c>
      <c r="M44" t="n">
        <v>0</v>
      </c>
      <c r="N44" t="n">
        <v>0</v>
      </c>
      <c r="O44" t="n">
        <v>0</v>
      </c>
      <c r="P44" t="n">
        <v>0</v>
      </c>
      <c r="Q44" t="n">
        <v>2</v>
      </c>
      <c r="R44" s="2" t="inlineStr">
        <is>
          <t>Svart trolldruva
Grönvit nattviol</t>
        </is>
      </c>
      <c r="S44">
        <f>HYPERLINK("https://klasma.github.io/Logging_0580/artfynd/A 14879-2024 artfynd.xlsx", "A 14879-2024")</f>
        <v/>
      </c>
      <c r="T44">
        <f>HYPERLINK("https://klasma.github.io/Logging_0580/kartor/A 14879-2024 karta.png", "A 14879-2024")</f>
        <v/>
      </c>
      <c r="V44">
        <f>HYPERLINK("https://klasma.github.io/Logging_0580/klagomål/A 14879-2024 FSC-klagomål.docx", "A 14879-2024")</f>
        <v/>
      </c>
      <c r="W44">
        <f>HYPERLINK("https://klasma.github.io/Logging_0580/klagomålsmail/A 14879-2024 FSC-klagomål mail.docx", "A 14879-2024")</f>
        <v/>
      </c>
      <c r="X44">
        <f>HYPERLINK("https://klasma.github.io/Logging_0580/tillsyn/A 14879-2024 tillsynsbegäran.docx", "A 14879-2024")</f>
        <v/>
      </c>
      <c r="Y44">
        <f>HYPERLINK("https://klasma.github.io/Logging_0580/tillsynsmail/A 14879-2024 tillsynsbegäran mail.docx", "A 14879-2024")</f>
        <v/>
      </c>
    </row>
    <row r="45" ht="15" customHeight="1">
      <c r="A45" t="inlineStr">
        <is>
          <t>A 55344-2024</t>
        </is>
      </c>
      <c r="B45" s="1" t="n">
        <v>45621.7202662037</v>
      </c>
      <c r="C45" s="1" t="n">
        <v>46115</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20292-2025</t>
        </is>
      </c>
      <c r="B46" s="1" t="n">
        <v>45774.7449537037</v>
      </c>
      <c r="C46" s="1" t="n">
        <v>46115</v>
      </c>
      <c r="D46" t="inlineStr">
        <is>
          <t>ÖSTERGÖTLANDS LÄN</t>
        </is>
      </c>
      <c r="E46" t="inlineStr">
        <is>
          <t>LINKÖPING</t>
        </is>
      </c>
      <c r="G46" t="n">
        <v>8.4</v>
      </c>
      <c r="H46" t="n">
        <v>1</v>
      </c>
      <c r="I46" t="n">
        <v>1</v>
      </c>
      <c r="J46" t="n">
        <v>0</v>
      </c>
      <c r="K46" t="n">
        <v>0</v>
      </c>
      <c r="L46" t="n">
        <v>0</v>
      </c>
      <c r="M46" t="n">
        <v>0</v>
      </c>
      <c r="N46" t="n">
        <v>0</v>
      </c>
      <c r="O46" t="n">
        <v>0</v>
      </c>
      <c r="P46" t="n">
        <v>0</v>
      </c>
      <c r="Q46" t="n">
        <v>2</v>
      </c>
      <c r="R46" s="2" t="inlineStr">
        <is>
          <t>Blåmossa
Blåsippa</t>
        </is>
      </c>
      <c r="S46">
        <f>HYPERLINK("https://klasma.github.io/Logging_0580/artfynd/A 20292-2025 artfynd.xlsx", "A 20292-2025")</f>
        <v/>
      </c>
      <c r="T46">
        <f>HYPERLINK("https://klasma.github.io/Logging_0580/kartor/A 20292-2025 karta.png", "A 20292-2025")</f>
        <v/>
      </c>
      <c r="V46">
        <f>HYPERLINK("https://klasma.github.io/Logging_0580/klagomål/A 20292-2025 FSC-klagomål.docx", "A 20292-2025")</f>
        <v/>
      </c>
      <c r="W46">
        <f>HYPERLINK("https://klasma.github.io/Logging_0580/klagomålsmail/A 20292-2025 FSC-klagomål mail.docx", "A 20292-2025")</f>
        <v/>
      </c>
      <c r="X46">
        <f>HYPERLINK("https://klasma.github.io/Logging_0580/tillsyn/A 20292-2025 tillsynsbegäran.docx", "A 20292-2025")</f>
        <v/>
      </c>
      <c r="Y46">
        <f>HYPERLINK("https://klasma.github.io/Logging_0580/tillsynsmail/A 20292-2025 tillsynsbegäran mail.docx", "A 20292-2025")</f>
        <v/>
      </c>
    </row>
    <row r="47" ht="15" customHeight="1">
      <c r="A47" t="inlineStr">
        <is>
          <t>A 22040-2023</t>
        </is>
      </c>
      <c r="B47" s="1" t="n">
        <v>45068</v>
      </c>
      <c r="C47" s="1" t="n">
        <v>46115</v>
      </c>
      <c r="D47" t="inlineStr">
        <is>
          <t>ÖSTERGÖTLANDS LÄN</t>
        </is>
      </c>
      <c r="E47" t="inlineStr">
        <is>
          <t>LINKÖPING</t>
        </is>
      </c>
      <c r="F47" t="inlineStr">
        <is>
          <t>Kommuner</t>
        </is>
      </c>
      <c r="G47" t="n">
        <v>1</v>
      </c>
      <c r="H47" t="n">
        <v>1</v>
      </c>
      <c r="I47" t="n">
        <v>1</v>
      </c>
      <c r="J47" t="n">
        <v>0</v>
      </c>
      <c r="K47" t="n">
        <v>1</v>
      </c>
      <c r="L47" t="n">
        <v>0</v>
      </c>
      <c r="M47" t="n">
        <v>0</v>
      </c>
      <c r="N47" t="n">
        <v>0</v>
      </c>
      <c r="O47" t="n">
        <v>1</v>
      </c>
      <c r="P47" t="n">
        <v>1</v>
      </c>
      <c r="Q47" t="n">
        <v>2</v>
      </c>
      <c r="R47" s="2" t="inlineStr">
        <is>
          <t>Bombmurkla
Skarp dropptaggsvamp</t>
        </is>
      </c>
      <c r="S47">
        <f>HYPERLINK("https://klasma.github.io/Logging_0580/artfynd/A 22040-2023 artfynd.xlsx", "A 22040-2023")</f>
        <v/>
      </c>
      <c r="T47">
        <f>HYPERLINK("https://klasma.github.io/Logging_0580/kartor/A 22040-2023 karta.png", "A 22040-2023")</f>
        <v/>
      </c>
      <c r="V47">
        <f>HYPERLINK("https://klasma.github.io/Logging_0580/klagomål/A 22040-2023 FSC-klagomål.docx", "A 22040-2023")</f>
        <v/>
      </c>
      <c r="W47">
        <f>HYPERLINK("https://klasma.github.io/Logging_0580/klagomålsmail/A 22040-2023 FSC-klagomål mail.docx", "A 22040-2023")</f>
        <v/>
      </c>
      <c r="X47">
        <f>HYPERLINK("https://klasma.github.io/Logging_0580/tillsyn/A 22040-2023 tillsynsbegäran.docx", "A 22040-2023")</f>
        <v/>
      </c>
      <c r="Y47">
        <f>HYPERLINK("https://klasma.github.io/Logging_0580/tillsynsmail/A 22040-2023 tillsynsbegäran mail.docx", "A 22040-2023")</f>
        <v/>
      </c>
    </row>
    <row r="48" ht="15" customHeight="1">
      <c r="A48" t="inlineStr">
        <is>
          <t>A 50404-2023</t>
        </is>
      </c>
      <c r="B48" s="1" t="n">
        <v>45216</v>
      </c>
      <c r="C48" s="1" t="n">
        <v>46115</v>
      </c>
      <c r="D48" t="inlineStr">
        <is>
          <t>ÖSTERGÖTLANDS LÄN</t>
        </is>
      </c>
      <c r="E48" t="inlineStr">
        <is>
          <t>LINKÖPING</t>
        </is>
      </c>
      <c r="G48" t="n">
        <v>1.2</v>
      </c>
      <c r="H48" t="n">
        <v>1</v>
      </c>
      <c r="I48" t="n">
        <v>1</v>
      </c>
      <c r="J48" t="n">
        <v>0</v>
      </c>
      <c r="K48" t="n">
        <v>0</v>
      </c>
      <c r="L48" t="n">
        <v>0</v>
      </c>
      <c r="M48" t="n">
        <v>0</v>
      </c>
      <c r="N48" t="n">
        <v>0</v>
      </c>
      <c r="O48" t="n">
        <v>0</v>
      </c>
      <c r="P48" t="n">
        <v>0</v>
      </c>
      <c r="Q48" t="n">
        <v>2</v>
      </c>
      <c r="R48" s="2" t="inlineStr">
        <is>
          <t>Hasselticka
Gullviva</t>
        </is>
      </c>
      <c r="S48">
        <f>HYPERLINK("https://klasma.github.io/Logging_0580/artfynd/A 50404-2023 artfynd.xlsx", "A 50404-2023")</f>
        <v/>
      </c>
      <c r="T48">
        <f>HYPERLINK("https://klasma.github.io/Logging_0580/kartor/A 50404-2023 karta.png", "A 50404-2023")</f>
        <v/>
      </c>
      <c r="V48">
        <f>HYPERLINK("https://klasma.github.io/Logging_0580/klagomål/A 50404-2023 FSC-klagomål.docx", "A 50404-2023")</f>
        <v/>
      </c>
      <c r="W48">
        <f>HYPERLINK("https://klasma.github.io/Logging_0580/klagomålsmail/A 50404-2023 FSC-klagomål mail.docx", "A 50404-2023")</f>
        <v/>
      </c>
      <c r="X48">
        <f>HYPERLINK("https://klasma.github.io/Logging_0580/tillsyn/A 50404-2023 tillsynsbegäran.docx", "A 50404-2023")</f>
        <v/>
      </c>
      <c r="Y48">
        <f>HYPERLINK("https://klasma.github.io/Logging_0580/tillsynsmail/A 50404-2023 tillsynsbegäran mail.docx", "A 50404-2023")</f>
        <v/>
      </c>
    </row>
    <row r="49" ht="15" customHeight="1">
      <c r="A49" t="inlineStr">
        <is>
          <t>A 38129-2021</t>
        </is>
      </c>
      <c r="B49" s="1" t="n">
        <v>44405.37199074074</v>
      </c>
      <c r="C49" s="1" t="n">
        <v>46115</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46115</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46115</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46115</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46115</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46115</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17389-2021</t>
        </is>
      </c>
      <c r="B55" s="1" t="n">
        <v>44298.96792824074</v>
      </c>
      <c r="C55" s="1" t="n">
        <v>46115</v>
      </c>
      <c r="D55" t="inlineStr">
        <is>
          <t>ÖSTERGÖTLANDS LÄN</t>
        </is>
      </c>
      <c r="E55" t="inlineStr">
        <is>
          <t>LINKÖPING</t>
        </is>
      </c>
      <c r="G55" t="n">
        <v>5.1</v>
      </c>
      <c r="H55" t="n">
        <v>0</v>
      </c>
      <c r="I55" t="n">
        <v>1</v>
      </c>
      <c r="J55" t="n">
        <v>0</v>
      </c>
      <c r="K55" t="n">
        <v>0</v>
      </c>
      <c r="L55" t="n">
        <v>0</v>
      </c>
      <c r="M55" t="n">
        <v>0</v>
      </c>
      <c r="N55" t="n">
        <v>0</v>
      </c>
      <c r="O55" t="n">
        <v>0</v>
      </c>
      <c r="P55" t="n">
        <v>0</v>
      </c>
      <c r="Q55" t="n">
        <v>1</v>
      </c>
      <c r="R55" s="2" t="inlineStr">
        <is>
          <t>Blomkålssvamp</t>
        </is>
      </c>
      <c r="S55">
        <f>HYPERLINK("https://klasma.github.io/Logging_0580/artfynd/A 17389-2021 artfynd.xlsx", "A 17389-2021")</f>
        <v/>
      </c>
      <c r="T55">
        <f>HYPERLINK("https://klasma.github.io/Logging_0580/kartor/A 17389-2021 karta.png", "A 17389-2021")</f>
        <v/>
      </c>
      <c r="V55">
        <f>HYPERLINK("https://klasma.github.io/Logging_0580/klagomål/A 17389-2021 FSC-klagomål.docx", "A 17389-2021")</f>
        <v/>
      </c>
      <c r="W55">
        <f>HYPERLINK("https://klasma.github.io/Logging_0580/klagomålsmail/A 17389-2021 FSC-klagomål mail.docx", "A 17389-2021")</f>
        <v/>
      </c>
      <c r="X55">
        <f>HYPERLINK("https://klasma.github.io/Logging_0580/tillsyn/A 17389-2021 tillsynsbegäran.docx", "A 17389-2021")</f>
        <v/>
      </c>
      <c r="Y55">
        <f>HYPERLINK("https://klasma.github.io/Logging_0580/tillsynsmail/A 17389-2021 tillsynsbegäran mail.docx", "A 17389-2021")</f>
        <v/>
      </c>
    </row>
    <row r="56" ht="15" customHeight="1">
      <c r="A56" t="inlineStr">
        <is>
          <t>A 40315-2024</t>
        </is>
      </c>
      <c r="B56" s="1" t="n">
        <v>45554.7571875</v>
      </c>
      <c r="C56" s="1" t="n">
        <v>46115</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41749-2023</t>
        </is>
      </c>
      <c r="B57" s="1" t="n">
        <v>45176</v>
      </c>
      <c r="C57" s="1" t="n">
        <v>46115</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22526-2025</t>
        </is>
      </c>
      <c r="B58" s="1" t="n">
        <v>45786.78096064815</v>
      </c>
      <c r="C58" s="1" t="n">
        <v>46115</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27403-2025</t>
        </is>
      </c>
      <c r="B59" s="1" t="n">
        <v>45812.72518518518</v>
      </c>
      <c r="C59" s="1" t="n">
        <v>46115</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1213-2023</t>
        </is>
      </c>
      <c r="B60" s="1" t="n">
        <v>44930</v>
      </c>
      <c r="C60" s="1" t="n">
        <v>46115</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43989-2025</t>
        </is>
      </c>
      <c r="B61" s="1" t="n">
        <v>45915.44128472222</v>
      </c>
      <c r="C61" s="1" t="n">
        <v>46115</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44760-2025</t>
        </is>
      </c>
      <c r="B62" s="1" t="n">
        <v>45917.71873842592</v>
      </c>
      <c r="C62" s="1" t="n">
        <v>46115</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29393-2025</t>
        </is>
      </c>
      <c r="B63" s="1" t="n">
        <v>45824.6057175926</v>
      </c>
      <c r="C63" s="1" t="n">
        <v>46115</v>
      </c>
      <c r="D63" t="inlineStr">
        <is>
          <t>ÖSTERGÖTLANDS LÄN</t>
        </is>
      </c>
      <c r="E63" t="inlineStr">
        <is>
          <t>LINKÖPING</t>
        </is>
      </c>
      <c r="F63" t="inlineStr">
        <is>
          <t>Sveaskog</t>
        </is>
      </c>
      <c r="G63" t="n">
        <v>24.6</v>
      </c>
      <c r="H63" t="n">
        <v>1</v>
      </c>
      <c r="I63" t="n">
        <v>0</v>
      </c>
      <c r="J63" t="n">
        <v>0</v>
      </c>
      <c r="K63" t="n">
        <v>1</v>
      </c>
      <c r="L63" t="n">
        <v>0</v>
      </c>
      <c r="M63" t="n">
        <v>0</v>
      </c>
      <c r="N63" t="n">
        <v>0</v>
      </c>
      <c r="O63" t="n">
        <v>1</v>
      </c>
      <c r="P63" t="n">
        <v>1</v>
      </c>
      <c r="Q63" t="n">
        <v>1</v>
      </c>
      <c r="R63" s="2" t="inlineStr">
        <is>
          <t>Skogsgås</t>
        </is>
      </c>
      <c r="S63">
        <f>HYPERLINK("https://klasma.github.io/Logging_0580/artfynd/A 29393-2025 artfynd.xlsx", "A 29393-2025")</f>
        <v/>
      </c>
      <c r="T63">
        <f>HYPERLINK("https://klasma.github.io/Logging_0580/kartor/A 29393-2025 karta.png", "A 29393-2025")</f>
        <v/>
      </c>
      <c r="V63">
        <f>HYPERLINK("https://klasma.github.io/Logging_0580/klagomål/A 29393-2025 FSC-klagomål.docx", "A 29393-2025")</f>
        <v/>
      </c>
      <c r="W63">
        <f>HYPERLINK("https://klasma.github.io/Logging_0580/klagomålsmail/A 29393-2025 FSC-klagomål mail.docx", "A 29393-2025")</f>
        <v/>
      </c>
      <c r="X63">
        <f>HYPERLINK("https://klasma.github.io/Logging_0580/tillsyn/A 29393-2025 tillsynsbegäran.docx", "A 29393-2025")</f>
        <v/>
      </c>
      <c r="Y63">
        <f>HYPERLINK("https://klasma.github.io/Logging_0580/tillsynsmail/A 29393-2025 tillsynsbegäran mail.docx", "A 29393-2025")</f>
        <v/>
      </c>
      <c r="Z63">
        <f>HYPERLINK("https://klasma.github.io/Logging_0580/fåglar/A 29393-2025 prioriterade fågelarter.docx", "A 29393-2025")</f>
        <v/>
      </c>
    </row>
    <row r="64" ht="15" customHeight="1">
      <c r="A64" t="inlineStr">
        <is>
          <t>A 50471-2024</t>
        </is>
      </c>
      <c r="B64" s="1" t="n">
        <v>45601.47166666666</v>
      </c>
      <c r="C64" s="1" t="n">
        <v>46115</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50806-2023</t>
        </is>
      </c>
      <c r="B65" s="1" t="n">
        <v>45217</v>
      </c>
      <c r="C65" s="1" t="n">
        <v>46115</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48273-2025</t>
        </is>
      </c>
      <c r="B66" s="1" t="n">
        <v>45932</v>
      </c>
      <c r="C66" s="1" t="n">
        <v>46115</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46115</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46115</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56112-2025</t>
        </is>
      </c>
      <c r="B69" s="1" t="n">
        <v>45973.73625</v>
      </c>
      <c r="C69" s="1" t="n">
        <v>46115</v>
      </c>
      <c r="D69" t="inlineStr">
        <is>
          <t>ÖSTERGÖTLANDS LÄN</t>
        </is>
      </c>
      <c r="E69" t="inlineStr">
        <is>
          <t>LINKÖPING</t>
        </is>
      </c>
      <c r="G69" t="n">
        <v>0.6</v>
      </c>
      <c r="H69" t="n">
        <v>0</v>
      </c>
      <c r="I69" t="n">
        <v>0</v>
      </c>
      <c r="J69" t="n">
        <v>1</v>
      </c>
      <c r="K69" t="n">
        <v>0</v>
      </c>
      <c r="L69" t="n">
        <v>0</v>
      </c>
      <c r="M69" t="n">
        <v>0</v>
      </c>
      <c r="N69" t="n">
        <v>0</v>
      </c>
      <c r="O69" t="n">
        <v>1</v>
      </c>
      <c r="P69" t="n">
        <v>0</v>
      </c>
      <c r="Q69" t="n">
        <v>1</v>
      </c>
      <c r="R69" s="2" t="inlineStr">
        <is>
          <t>Solvända</t>
        </is>
      </c>
      <c r="S69">
        <f>HYPERLINK("https://klasma.github.io/Logging_0580/artfynd/A 56112-2025 artfynd.xlsx", "A 56112-2025")</f>
        <v/>
      </c>
      <c r="T69">
        <f>HYPERLINK("https://klasma.github.io/Logging_0580/kartor/A 56112-2025 karta.png", "A 56112-2025")</f>
        <v/>
      </c>
      <c r="V69">
        <f>HYPERLINK("https://klasma.github.io/Logging_0580/klagomål/A 56112-2025 FSC-klagomål.docx", "A 56112-2025")</f>
        <v/>
      </c>
      <c r="W69">
        <f>HYPERLINK("https://klasma.github.io/Logging_0580/klagomålsmail/A 56112-2025 FSC-klagomål mail.docx", "A 56112-2025")</f>
        <v/>
      </c>
      <c r="X69">
        <f>HYPERLINK("https://klasma.github.io/Logging_0580/tillsyn/A 56112-2025 tillsynsbegäran.docx", "A 56112-2025")</f>
        <v/>
      </c>
      <c r="Y69">
        <f>HYPERLINK("https://klasma.github.io/Logging_0580/tillsynsmail/A 56112-2025 tillsynsbegäran mail.docx", "A 56112-2025")</f>
        <v/>
      </c>
    </row>
    <row r="70" ht="15" customHeight="1">
      <c r="A70" t="inlineStr">
        <is>
          <t>A 48347-2025</t>
        </is>
      </c>
      <c r="B70" s="1" t="n">
        <v>45932</v>
      </c>
      <c r="C70" s="1" t="n">
        <v>46115</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36723-2023</t>
        </is>
      </c>
      <c r="B71" s="1" t="n">
        <v>45153</v>
      </c>
      <c r="C71" s="1" t="n">
        <v>46115</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60573-2021</t>
        </is>
      </c>
      <c r="B72" s="1" t="n">
        <v>44496</v>
      </c>
      <c r="C72" s="1" t="n">
        <v>46115</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50034-2025</t>
        </is>
      </c>
      <c r="B73" s="1" t="n">
        <v>45941</v>
      </c>
      <c r="C73" s="1" t="n">
        <v>46115</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59474-2025</t>
        </is>
      </c>
      <c r="B74" s="1" t="n">
        <v>45989.58512731481</v>
      </c>
      <c r="C74" s="1" t="n">
        <v>46115</v>
      </c>
      <c r="D74" t="inlineStr">
        <is>
          <t>ÖSTERGÖTLANDS LÄN</t>
        </is>
      </c>
      <c r="E74" t="inlineStr">
        <is>
          <t>LINKÖPING</t>
        </is>
      </c>
      <c r="G74" t="n">
        <v>8</v>
      </c>
      <c r="H74" t="n">
        <v>0</v>
      </c>
      <c r="I74" t="n">
        <v>1</v>
      </c>
      <c r="J74" t="n">
        <v>0</v>
      </c>
      <c r="K74" t="n">
        <v>0</v>
      </c>
      <c r="L74" t="n">
        <v>0</v>
      </c>
      <c r="M74" t="n">
        <v>0</v>
      </c>
      <c r="N74" t="n">
        <v>0</v>
      </c>
      <c r="O74" t="n">
        <v>0</v>
      </c>
      <c r="P74" t="n">
        <v>0</v>
      </c>
      <c r="Q74" t="n">
        <v>1</v>
      </c>
      <c r="R74" s="2" t="inlineStr">
        <is>
          <t>Fällmossa</t>
        </is>
      </c>
      <c r="S74">
        <f>HYPERLINK("https://klasma.github.io/Logging_0580/artfynd/A 59474-2025 artfynd.xlsx", "A 59474-2025")</f>
        <v/>
      </c>
      <c r="T74">
        <f>HYPERLINK("https://klasma.github.io/Logging_0580/kartor/A 59474-2025 karta.png", "A 59474-2025")</f>
        <v/>
      </c>
      <c r="V74">
        <f>HYPERLINK("https://klasma.github.io/Logging_0580/klagomål/A 59474-2025 FSC-klagomål.docx", "A 59474-2025")</f>
        <v/>
      </c>
      <c r="W74">
        <f>HYPERLINK("https://klasma.github.io/Logging_0580/klagomålsmail/A 59474-2025 FSC-klagomål mail.docx", "A 59474-2025")</f>
        <v/>
      </c>
      <c r="X74">
        <f>HYPERLINK("https://klasma.github.io/Logging_0580/tillsyn/A 59474-2025 tillsynsbegäran.docx", "A 59474-2025")</f>
        <v/>
      </c>
      <c r="Y74">
        <f>HYPERLINK("https://klasma.github.io/Logging_0580/tillsynsmail/A 59474-2025 tillsynsbegäran mail.docx", "A 59474-2025")</f>
        <v/>
      </c>
    </row>
    <row r="75" ht="15" customHeight="1">
      <c r="A75" t="inlineStr">
        <is>
          <t>A 60311-2025</t>
        </is>
      </c>
      <c r="B75" s="1" t="n">
        <v>45994</v>
      </c>
      <c r="C75" s="1" t="n">
        <v>46115</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Gammelekslav</t>
        </is>
      </c>
      <c r="S75">
        <f>HYPERLINK("https://klasma.github.io/Logging_0580/artfynd/A 60311-2025 artfynd.xlsx", "A 60311-2025")</f>
        <v/>
      </c>
      <c r="T75">
        <f>HYPERLINK("https://klasma.github.io/Logging_0580/kartor/A 60311-2025 karta.png", "A 60311-2025")</f>
        <v/>
      </c>
      <c r="V75">
        <f>HYPERLINK("https://klasma.github.io/Logging_0580/klagomål/A 60311-2025 FSC-klagomål.docx", "A 60311-2025")</f>
        <v/>
      </c>
      <c r="W75">
        <f>HYPERLINK("https://klasma.github.io/Logging_0580/klagomålsmail/A 60311-2025 FSC-klagomål mail.docx", "A 60311-2025")</f>
        <v/>
      </c>
      <c r="X75">
        <f>HYPERLINK("https://klasma.github.io/Logging_0580/tillsyn/A 60311-2025 tillsynsbegäran.docx", "A 60311-2025")</f>
        <v/>
      </c>
      <c r="Y75">
        <f>HYPERLINK("https://klasma.github.io/Logging_0580/tillsynsmail/A 60311-2025 tillsynsbegäran mail.docx", "A 60311-2025")</f>
        <v/>
      </c>
    </row>
    <row r="76" ht="15" customHeight="1">
      <c r="A76" t="inlineStr">
        <is>
          <t>A 5911-2022</t>
        </is>
      </c>
      <c r="B76" s="1" t="n">
        <v>44597</v>
      </c>
      <c r="C76" s="1" t="n">
        <v>46115</v>
      </c>
      <c r="D76" t="inlineStr">
        <is>
          <t>ÖSTERGÖTLANDS LÄN</t>
        </is>
      </c>
      <c r="E76" t="inlineStr">
        <is>
          <t>LINKÖPING</t>
        </is>
      </c>
      <c r="G76" t="n">
        <v>3.5</v>
      </c>
      <c r="H76" t="n">
        <v>0</v>
      </c>
      <c r="I76" t="n">
        <v>0</v>
      </c>
      <c r="J76" t="n">
        <v>1</v>
      </c>
      <c r="K76" t="n">
        <v>0</v>
      </c>
      <c r="L76" t="n">
        <v>0</v>
      </c>
      <c r="M76" t="n">
        <v>0</v>
      </c>
      <c r="N76" t="n">
        <v>0</v>
      </c>
      <c r="O76" t="n">
        <v>1</v>
      </c>
      <c r="P76" t="n">
        <v>0</v>
      </c>
      <c r="Q76" t="n">
        <v>1</v>
      </c>
      <c r="R76" s="2" t="inlineStr">
        <is>
          <t>Spindelört</t>
        </is>
      </c>
      <c r="S76">
        <f>HYPERLINK("https://klasma.github.io/Logging_0580/artfynd/A 5911-2022 artfynd.xlsx", "A 5911-2022")</f>
        <v/>
      </c>
      <c r="T76">
        <f>HYPERLINK("https://klasma.github.io/Logging_0580/kartor/A 5911-2022 karta.png", "A 5911-2022")</f>
        <v/>
      </c>
      <c r="V76">
        <f>HYPERLINK("https://klasma.github.io/Logging_0580/klagomål/A 5911-2022 FSC-klagomål.docx", "A 5911-2022")</f>
        <v/>
      </c>
      <c r="W76">
        <f>HYPERLINK("https://klasma.github.io/Logging_0580/klagomålsmail/A 5911-2022 FSC-klagomål mail.docx", "A 5911-2022")</f>
        <v/>
      </c>
      <c r="X76">
        <f>HYPERLINK("https://klasma.github.io/Logging_0580/tillsyn/A 5911-2022 tillsynsbegäran.docx", "A 5911-2022")</f>
        <v/>
      </c>
      <c r="Y76">
        <f>HYPERLINK("https://klasma.github.io/Logging_0580/tillsynsmail/A 5911-2022 tillsynsbegäran mail.docx", "A 5911-2022")</f>
        <v/>
      </c>
    </row>
    <row r="77" ht="15" customHeight="1">
      <c r="A77" t="inlineStr">
        <is>
          <t>A 56128-2022</t>
        </is>
      </c>
      <c r="B77" s="1" t="n">
        <v>44889</v>
      </c>
      <c r="C77" s="1" t="n">
        <v>46115</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54835-2023</t>
        </is>
      </c>
      <c r="B78" s="1" t="n">
        <v>45236</v>
      </c>
      <c r="C78" s="1" t="n">
        <v>46115</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46115</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19103-2021</t>
        </is>
      </c>
      <c r="B80" s="1" t="n">
        <v>44308</v>
      </c>
      <c r="C80" s="1" t="n">
        <v>46115</v>
      </c>
      <c r="D80" t="inlineStr">
        <is>
          <t>ÖSTERGÖTLANDS LÄN</t>
        </is>
      </c>
      <c r="E80" t="inlineStr">
        <is>
          <t>LINKÖPING</t>
        </is>
      </c>
      <c r="G80" t="n">
        <v>4.7</v>
      </c>
      <c r="H80" t="n">
        <v>0</v>
      </c>
      <c r="I80" t="n">
        <v>0</v>
      </c>
      <c r="J80" t="n">
        <v>1</v>
      </c>
      <c r="K80" t="n">
        <v>0</v>
      </c>
      <c r="L80" t="n">
        <v>0</v>
      </c>
      <c r="M80" t="n">
        <v>0</v>
      </c>
      <c r="N80" t="n">
        <v>0</v>
      </c>
      <c r="O80" t="n">
        <v>1</v>
      </c>
      <c r="P80" t="n">
        <v>0</v>
      </c>
      <c r="Q80" t="n">
        <v>1</v>
      </c>
      <c r="R80" s="2" t="inlineStr">
        <is>
          <t>Tallticka</t>
        </is>
      </c>
      <c r="S80">
        <f>HYPERLINK("https://klasma.github.io/Logging_0580/artfynd/A 19103-2021 artfynd.xlsx", "A 19103-2021")</f>
        <v/>
      </c>
      <c r="T80">
        <f>HYPERLINK("https://klasma.github.io/Logging_0580/kartor/A 19103-2021 karta.png", "A 19103-2021")</f>
        <v/>
      </c>
      <c r="V80">
        <f>HYPERLINK("https://klasma.github.io/Logging_0580/klagomål/A 19103-2021 FSC-klagomål.docx", "A 19103-2021")</f>
        <v/>
      </c>
      <c r="W80">
        <f>HYPERLINK("https://klasma.github.io/Logging_0580/klagomålsmail/A 19103-2021 FSC-klagomål mail.docx", "A 19103-2021")</f>
        <v/>
      </c>
      <c r="X80">
        <f>HYPERLINK("https://klasma.github.io/Logging_0580/tillsyn/A 19103-2021 tillsynsbegäran.docx", "A 19103-2021")</f>
        <v/>
      </c>
      <c r="Y80">
        <f>HYPERLINK("https://klasma.github.io/Logging_0580/tillsynsmail/A 19103-2021 tillsynsbegäran mail.docx", "A 19103-2021")</f>
        <v/>
      </c>
    </row>
    <row r="81" ht="15" customHeight="1">
      <c r="A81" t="inlineStr">
        <is>
          <t>A 45317-2023</t>
        </is>
      </c>
      <c r="B81" s="1" t="n">
        <v>45191.74868055555</v>
      </c>
      <c r="C81" s="1" t="n">
        <v>46115</v>
      </c>
      <c r="D81" t="inlineStr">
        <is>
          <t>ÖSTERGÖTLANDS LÄN</t>
        </is>
      </c>
      <c r="E81" t="inlineStr">
        <is>
          <t>LINKÖPING</t>
        </is>
      </c>
      <c r="F81" t="inlineStr">
        <is>
          <t>Allmännings- och besparingsskogar</t>
        </is>
      </c>
      <c r="G81" t="n">
        <v>29.3</v>
      </c>
      <c r="H81" t="n">
        <v>0</v>
      </c>
      <c r="I81" t="n">
        <v>0</v>
      </c>
      <c r="J81" t="n">
        <v>1</v>
      </c>
      <c r="K81" t="n">
        <v>0</v>
      </c>
      <c r="L81" t="n">
        <v>0</v>
      </c>
      <c r="M81" t="n">
        <v>0</v>
      </c>
      <c r="N81" t="n">
        <v>0</v>
      </c>
      <c r="O81" t="n">
        <v>1</v>
      </c>
      <c r="P81" t="n">
        <v>0</v>
      </c>
      <c r="Q81" t="n">
        <v>1</v>
      </c>
      <c r="R81" s="2" t="inlineStr">
        <is>
          <t>Svinrot</t>
        </is>
      </c>
      <c r="S81">
        <f>HYPERLINK("https://klasma.github.io/Logging_0580/artfynd/A 45317-2023 artfynd.xlsx", "A 45317-2023")</f>
        <v/>
      </c>
      <c r="T81">
        <f>HYPERLINK("https://klasma.github.io/Logging_0580/kartor/A 45317-2023 karta.png", "A 45317-2023")</f>
        <v/>
      </c>
      <c r="V81">
        <f>HYPERLINK("https://klasma.github.io/Logging_0580/klagomål/A 45317-2023 FSC-klagomål.docx", "A 45317-2023")</f>
        <v/>
      </c>
      <c r="W81">
        <f>HYPERLINK("https://klasma.github.io/Logging_0580/klagomålsmail/A 45317-2023 FSC-klagomål mail.docx", "A 45317-2023")</f>
        <v/>
      </c>
      <c r="X81">
        <f>HYPERLINK("https://klasma.github.io/Logging_0580/tillsyn/A 45317-2023 tillsynsbegäran.docx", "A 45317-2023")</f>
        <v/>
      </c>
      <c r="Y81">
        <f>HYPERLINK("https://klasma.github.io/Logging_0580/tillsynsmail/A 45317-2023 tillsynsbegäran mail.docx", "A 45317-2023")</f>
        <v/>
      </c>
    </row>
    <row r="82" ht="15" customHeight="1">
      <c r="A82" t="inlineStr">
        <is>
          <t>A 20295-2025</t>
        </is>
      </c>
      <c r="B82" s="1" t="n">
        <v>45774.74846064814</v>
      </c>
      <c r="C82" s="1" t="n">
        <v>46115</v>
      </c>
      <c r="D82" t="inlineStr">
        <is>
          <t>ÖSTERGÖTLANDS LÄN</t>
        </is>
      </c>
      <c r="E82" t="inlineStr">
        <is>
          <t>LINKÖPING</t>
        </is>
      </c>
      <c r="G82" t="n">
        <v>3</v>
      </c>
      <c r="H82" t="n">
        <v>0</v>
      </c>
      <c r="I82" t="n">
        <v>0</v>
      </c>
      <c r="J82" t="n">
        <v>1</v>
      </c>
      <c r="K82" t="n">
        <v>0</v>
      </c>
      <c r="L82" t="n">
        <v>0</v>
      </c>
      <c r="M82" t="n">
        <v>0</v>
      </c>
      <c r="N82" t="n">
        <v>0</v>
      </c>
      <c r="O82" t="n">
        <v>1</v>
      </c>
      <c r="P82" t="n">
        <v>0</v>
      </c>
      <c r="Q82" t="n">
        <v>1</v>
      </c>
      <c r="R82" s="2" t="inlineStr">
        <is>
          <t>Tallticka</t>
        </is>
      </c>
      <c r="S82">
        <f>HYPERLINK("https://klasma.github.io/Logging_0580/artfynd/A 20295-2025 artfynd.xlsx", "A 20295-2025")</f>
        <v/>
      </c>
      <c r="T82">
        <f>HYPERLINK("https://klasma.github.io/Logging_0580/kartor/A 20295-2025 karta.png", "A 20295-2025")</f>
        <v/>
      </c>
      <c r="V82">
        <f>HYPERLINK("https://klasma.github.io/Logging_0580/klagomål/A 20295-2025 FSC-klagomål.docx", "A 20295-2025")</f>
        <v/>
      </c>
      <c r="W82">
        <f>HYPERLINK("https://klasma.github.io/Logging_0580/klagomålsmail/A 20295-2025 FSC-klagomål mail.docx", "A 20295-2025")</f>
        <v/>
      </c>
      <c r="X82">
        <f>HYPERLINK("https://klasma.github.io/Logging_0580/tillsyn/A 20295-2025 tillsynsbegäran.docx", "A 20295-2025")</f>
        <v/>
      </c>
      <c r="Y82">
        <f>HYPERLINK("https://klasma.github.io/Logging_0580/tillsynsmail/A 20295-2025 tillsynsbegäran mail.docx", "A 20295-2025")</f>
        <v/>
      </c>
    </row>
    <row r="83" ht="15" customHeight="1">
      <c r="A83" t="inlineStr">
        <is>
          <t>A 37683-2024</t>
        </is>
      </c>
      <c r="B83" s="1" t="n">
        <v>45541.59120370371</v>
      </c>
      <c r="C83" s="1" t="n">
        <v>46115</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35948-2023</t>
        </is>
      </c>
      <c r="B84" s="1" t="n">
        <v>45148</v>
      </c>
      <c r="C84" s="1" t="n">
        <v>46115</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56651-2023</t>
        </is>
      </c>
      <c r="B85" s="1" t="n">
        <v>45243</v>
      </c>
      <c r="C85" s="1" t="n">
        <v>46115</v>
      </c>
      <c r="D85" t="inlineStr">
        <is>
          <t>ÖSTERGÖTLANDS LÄN</t>
        </is>
      </c>
      <c r="E85" t="inlineStr">
        <is>
          <t>LINKÖPING</t>
        </is>
      </c>
      <c r="F85" t="inlineStr">
        <is>
          <t>Övriga Aktiebolag</t>
        </is>
      </c>
      <c r="G85" t="n">
        <v>2.3</v>
      </c>
      <c r="H85" t="n">
        <v>0</v>
      </c>
      <c r="I85" t="n">
        <v>0</v>
      </c>
      <c r="J85" t="n">
        <v>1</v>
      </c>
      <c r="K85" t="n">
        <v>0</v>
      </c>
      <c r="L85" t="n">
        <v>0</v>
      </c>
      <c r="M85" t="n">
        <v>0</v>
      </c>
      <c r="N85" t="n">
        <v>0</v>
      </c>
      <c r="O85" t="n">
        <v>1</v>
      </c>
      <c r="P85" t="n">
        <v>0</v>
      </c>
      <c r="Q85" t="n">
        <v>1</v>
      </c>
      <c r="R85" s="2" t="inlineStr">
        <is>
          <t>Gul dropplav</t>
        </is>
      </c>
      <c r="S85">
        <f>HYPERLINK("https://klasma.github.io/Logging_0580/artfynd/A 56651-2023 artfynd.xlsx", "A 56651-2023")</f>
        <v/>
      </c>
      <c r="T85">
        <f>HYPERLINK("https://klasma.github.io/Logging_0580/kartor/A 56651-2023 karta.png", "A 56651-2023")</f>
        <v/>
      </c>
      <c r="V85">
        <f>HYPERLINK("https://klasma.github.io/Logging_0580/klagomål/A 56651-2023 FSC-klagomål.docx", "A 56651-2023")</f>
        <v/>
      </c>
      <c r="W85">
        <f>HYPERLINK("https://klasma.github.io/Logging_0580/klagomålsmail/A 56651-2023 FSC-klagomål mail.docx", "A 56651-2023")</f>
        <v/>
      </c>
      <c r="X85">
        <f>HYPERLINK("https://klasma.github.io/Logging_0580/tillsyn/A 56651-2023 tillsynsbegäran.docx", "A 56651-2023")</f>
        <v/>
      </c>
      <c r="Y85">
        <f>HYPERLINK("https://klasma.github.io/Logging_0580/tillsynsmail/A 56651-2023 tillsynsbegäran mail.docx", "A 56651-2023")</f>
        <v/>
      </c>
    </row>
    <row r="86" ht="15" customHeight="1">
      <c r="A86" t="inlineStr">
        <is>
          <t>A 59948-2022</t>
        </is>
      </c>
      <c r="B86" s="1" t="n">
        <v>44909</v>
      </c>
      <c r="C86" s="1" t="n">
        <v>46115</v>
      </c>
      <c r="D86" t="inlineStr">
        <is>
          <t>ÖSTERGÖTLANDS LÄN</t>
        </is>
      </c>
      <c r="E86" t="inlineStr">
        <is>
          <t>LINKÖPING</t>
        </is>
      </c>
      <c r="G86" t="n">
        <v>6.7</v>
      </c>
      <c r="H86" t="n">
        <v>0</v>
      </c>
      <c r="I86" t="n">
        <v>0</v>
      </c>
      <c r="J86" t="n">
        <v>0</v>
      </c>
      <c r="K86" t="n">
        <v>0</v>
      </c>
      <c r="L86" t="n">
        <v>0</v>
      </c>
      <c r="M86" t="n">
        <v>1</v>
      </c>
      <c r="N86" t="n">
        <v>0</v>
      </c>
      <c r="O86" t="n">
        <v>1</v>
      </c>
      <c r="P86" t="n">
        <v>1</v>
      </c>
      <c r="Q86" t="n">
        <v>1</v>
      </c>
      <c r="R86" s="2" t="inlineStr">
        <is>
          <t>Skogsalm</t>
        </is>
      </c>
      <c r="S86">
        <f>HYPERLINK("https://klasma.github.io/Logging_0580/artfynd/A 59948-2022 artfynd.xlsx", "A 59948-2022")</f>
        <v/>
      </c>
      <c r="T86">
        <f>HYPERLINK("https://klasma.github.io/Logging_0580/kartor/A 59948-2022 karta.png", "A 59948-2022")</f>
        <v/>
      </c>
      <c r="V86">
        <f>HYPERLINK("https://klasma.github.io/Logging_0580/klagomål/A 59948-2022 FSC-klagomål.docx", "A 59948-2022")</f>
        <v/>
      </c>
      <c r="W86">
        <f>HYPERLINK("https://klasma.github.io/Logging_0580/klagomålsmail/A 59948-2022 FSC-klagomål mail.docx", "A 59948-2022")</f>
        <v/>
      </c>
      <c r="X86">
        <f>HYPERLINK("https://klasma.github.io/Logging_0580/tillsyn/A 59948-2022 tillsynsbegäran.docx", "A 59948-2022")</f>
        <v/>
      </c>
      <c r="Y86">
        <f>HYPERLINK("https://klasma.github.io/Logging_0580/tillsynsmail/A 59948-2022 tillsynsbegäran mail.docx", "A 59948-2022")</f>
        <v/>
      </c>
    </row>
    <row r="87" ht="15" customHeight="1">
      <c r="A87" t="inlineStr">
        <is>
          <t>A 39457-2023</t>
        </is>
      </c>
      <c r="B87" s="1" t="n">
        <v>45166</v>
      </c>
      <c r="C87" s="1" t="n">
        <v>46115</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62071-2023</t>
        </is>
      </c>
      <c r="B88" s="1" t="n">
        <v>45266.73542824074</v>
      </c>
      <c r="C88" s="1" t="n">
        <v>46115</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90-2024</t>
        </is>
      </c>
      <c r="B89" s="1" t="n">
        <v>45293</v>
      </c>
      <c r="C89" s="1" t="n">
        <v>46115</v>
      </c>
      <c r="D89" t="inlineStr">
        <is>
          <t>ÖSTERGÖTLANDS LÄN</t>
        </is>
      </c>
      <c r="E89" t="inlineStr">
        <is>
          <t>LINKÖPING</t>
        </is>
      </c>
      <c r="G89" t="n">
        <v>1.8</v>
      </c>
      <c r="H89" t="n">
        <v>0</v>
      </c>
      <c r="I89" t="n">
        <v>1</v>
      </c>
      <c r="J89" t="n">
        <v>0</v>
      </c>
      <c r="K89" t="n">
        <v>0</v>
      </c>
      <c r="L89" t="n">
        <v>0</v>
      </c>
      <c r="M89" t="n">
        <v>0</v>
      </c>
      <c r="N89" t="n">
        <v>0</v>
      </c>
      <c r="O89" t="n">
        <v>0</v>
      </c>
      <c r="P89" t="n">
        <v>0</v>
      </c>
      <c r="Q89" t="n">
        <v>1</v>
      </c>
      <c r="R89" s="2" t="inlineStr">
        <is>
          <t>Grov fjädermossa</t>
        </is>
      </c>
      <c r="S89">
        <f>HYPERLINK("https://klasma.github.io/Logging_0580/artfynd/A 90-2024 artfynd.xlsx", "A 90-2024")</f>
        <v/>
      </c>
      <c r="T89">
        <f>HYPERLINK("https://klasma.github.io/Logging_0580/kartor/A 90-2024 karta.png", "A 90-2024")</f>
        <v/>
      </c>
      <c r="V89">
        <f>HYPERLINK("https://klasma.github.io/Logging_0580/klagomål/A 90-2024 FSC-klagomål.docx", "A 90-2024")</f>
        <v/>
      </c>
      <c r="W89">
        <f>HYPERLINK("https://klasma.github.io/Logging_0580/klagomålsmail/A 90-2024 FSC-klagomål mail.docx", "A 90-2024")</f>
        <v/>
      </c>
      <c r="X89">
        <f>HYPERLINK("https://klasma.github.io/Logging_0580/tillsyn/A 90-2024 tillsynsbegäran.docx", "A 90-2024")</f>
        <v/>
      </c>
      <c r="Y89">
        <f>HYPERLINK("https://klasma.github.io/Logging_0580/tillsynsmail/A 90-2024 tillsynsbegäran mail.docx", "A 90-2024")</f>
        <v/>
      </c>
    </row>
    <row r="90" ht="15" customHeight="1">
      <c r="A90" t="inlineStr">
        <is>
          <t>A 17444-2025</t>
        </is>
      </c>
      <c r="B90" s="1" t="n">
        <v>45757.43452546297</v>
      </c>
      <c r="C90" s="1" t="n">
        <v>46115</v>
      </c>
      <c r="D90" t="inlineStr">
        <is>
          <t>ÖSTERGÖTLANDS LÄN</t>
        </is>
      </c>
      <c r="E90" t="inlineStr">
        <is>
          <t>LINKÖPING</t>
        </is>
      </c>
      <c r="G90" t="n">
        <v>1.3</v>
      </c>
      <c r="H90" t="n">
        <v>1</v>
      </c>
      <c r="I90" t="n">
        <v>0</v>
      </c>
      <c r="J90" t="n">
        <v>1</v>
      </c>
      <c r="K90" t="n">
        <v>0</v>
      </c>
      <c r="L90" t="n">
        <v>0</v>
      </c>
      <c r="M90" t="n">
        <v>0</v>
      </c>
      <c r="N90" t="n">
        <v>0</v>
      </c>
      <c r="O90" t="n">
        <v>1</v>
      </c>
      <c r="P90" t="n">
        <v>0</v>
      </c>
      <c r="Q90" t="n">
        <v>1</v>
      </c>
      <c r="R90" s="2" t="inlineStr">
        <is>
          <t>Dårgräsfjäril</t>
        </is>
      </c>
      <c r="S90">
        <f>HYPERLINK("https://klasma.github.io/Logging_0580/artfynd/A 17444-2025 artfynd.xlsx", "A 17444-2025")</f>
        <v/>
      </c>
      <c r="T90">
        <f>HYPERLINK("https://klasma.github.io/Logging_0580/kartor/A 17444-2025 karta.png", "A 17444-2025")</f>
        <v/>
      </c>
      <c r="V90">
        <f>HYPERLINK("https://klasma.github.io/Logging_0580/klagomål/A 17444-2025 FSC-klagomål.docx", "A 17444-2025")</f>
        <v/>
      </c>
      <c r="W90">
        <f>HYPERLINK("https://klasma.github.io/Logging_0580/klagomålsmail/A 17444-2025 FSC-klagomål mail.docx", "A 17444-2025")</f>
        <v/>
      </c>
      <c r="X90">
        <f>HYPERLINK("https://klasma.github.io/Logging_0580/tillsyn/A 17444-2025 tillsynsbegäran.docx", "A 17444-2025")</f>
        <v/>
      </c>
      <c r="Y90">
        <f>HYPERLINK("https://klasma.github.io/Logging_0580/tillsynsmail/A 17444-2025 tillsynsbegäran mail.docx", "A 17444-2025")</f>
        <v/>
      </c>
    </row>
    <row r="91" ht="15" customHeight="1">
      <c r="A91" t="inlineStr">
        <is>
          <t>A 40309-2024</t>
        </is>
      </c>
      <c r="B91" s="1" t="n">
        <v>45554.724375</v>
      </c>
      <c r="C91" s="1" t="n">
        <v>46115</v>
      </c>
      <c r="D91" t="inlineStr">
        <is>
          <t>ÖSTERGÖTLANDS LÄN</t>
        </is>
      </c>
      <c r="E91" t="inlineStr">
        <is>
          <t>LINKÖPING</t>
        </is>
      </c>
      <c r="F91" t="inlineStr">
        <is>
          <t>Allmännings- och besparingsskogar</t>
        </is>
      </c>
      <c r="G91" t="n">
        <v>6</v>
      </c>
      <c r="H91" t="n">
        <v>0</v>
      </c>
      <c r="I91" t="n">
        <v>0</v>
      </c>
      <c r="J91" t="n">
        <v>1</v>
      </c>
      <c r="K91" t="n">
        <v>0</v>
      </c>
      <c r="L91" t="n">
        <v>0</v>
      </c>
      <c r="M91" t="n">
        <v>0</v>
      </c>
      <c r="N91" t="n">
        <v>0</v>
      </c>
      <c r="O91" t="n">
        <v>1</v>
      </c>
      <c r="P91" t="n">
        <v>0</v>
      </c>
      <c r="Q91" t="n">
        <v>1</v>
      </c>
      <c r="R91" s="2" t="inlineStr">
        <is>
          <t>Garnlav</t>
        </is>
      </c>
      <c r="S91">
        <f>HYPERLINK("https://klasma.github.io/Logging_0580/artfynd/A 40309-2024 artfynd.xlsx", "A 40309-2024")</f>
        <v/>
      </c>
      <c r="T91">
        <f>HYPERLINK("https://klasma.github.io/Logging_0580/kartor/A 40309-2024 karta.png", "A 40309-2024")</f>
        <v/>
      </c>
      <c r="V91">
        <f>HYPERLINK("https://klasma.github.io/Logging_0580/klagomål/A 40309-2024 FSC-klagomål.docx", "A 40309-2024")</f>
        <v/>
      </c>
      <c r="W91">
        <f>HYPERLINK("https://klasma.github.io/Logging_0580/klagomålsmail/A 40309-2024 FSC-klagomål mail.docx", "A 40309-2024")</f>
        <v/>
      </c>
      <c r="X91">
        <f>HYPERLINK("https://klasma.github.io/Logging_0580/tillsyn/A 40309-2024 tillsynsbegäran.docx", "A 40309-2024")</f>
        <v/>
      </c>
      <c r="Y91">
        <f>HYPERLINK("https://klasma.github.io/Logging_0580/tillsynsmail/A 40309-2024 tillsynsbegäran mail.docx", "A 40309-2024")</f>
        <v/>
      </c>
    </row>
    <row r="92" ht="15" customHeight="1">
      <c r="A92" t="inlineStr">
        <is>
          <t>A 15290-2025</t>
        </is>
      </c>
      <c r="B92" s="1" t="n">
        <v>45745.45288194445</v>
      </c>
      <c r="C92" s="1" t="n">
        <v>46115</v>
      </c>
      <c r="D92" t="inlineStr">
        <is>
          <t>ÖSTERGÖTLANDS LÄN</t>
        </is>
      </c>
      <c r="E92" t="inlineStr">
        <is>
          <t>LINKÖPING</t>
        </is>
      </c>
      <c r="G92" t="n">
        <v>18.4</v>
      </c>
      <c r="H92" t="n">
        <v>1</v>
      </c>
      <c r="I92" t="n">
        <v>0</v>
      </c>
      <c r="J92" t="n">
        <v>1</v>
      </c>
      <c r="K92" t="n">
        <v>0</v>
      </c>
      <c r="L92" t="n">
        <v>0</v>
      </c>
      <c r="M92" t="n">
        <v>0</v>
      </c>
      <c r="N92" t="n">
        <v>0</v>
      </c>
      <c r="O92" t="n">
        <v>1</v>
      </c>
      <c r="P92" t="n">
        <v>0</v>
      </c>
      <c r="Q92" t="n">
        <v>1</v>
      </c>
      <c r="R92" s="2" t="inlineStr">
        <is>
          <t>Havsörn</t>
        </is>
      </c>
      <c r="S92">
        <f>HYPERLINK("https://klasma.github.io/Logging_0580/artfynd/A 15290-2025 artfynd.xlsx", "A 15290-2025")</f>
        <v/>
      </c>
      <c r="T92">
        <f>HYPERLINK("https://klasma.github.io/Logging_0580/kartor/A 15290-2025 karta.png", "A 15290-2025")</f>
        <v/>
      </c>
      <c r="V92">
        <f>HYPERLINK("https://klasma.github.io/Logging_0580/klagomål/A 15290-2025 FSC-klagomål.docx", "A 15290-2025")</f>
        <v/>
      </c>
      <c r="W92">
        <f>HYPERLINK("https://klasma.github.io/Logging_0580/klagomålsmail/A 15290-2025 FSC-klagomål mail.docx", "A 15290-2025")</f>
        <v/>
      </c>
      <c r="X92">
        <f>HYPERLINK("https://klasma.github.io/Logging_0580/tillsyn/A 15290-2025 tillsynsbegäran.docx", "A 15290-2025")</f>
        <v/>
      </c>
      <c r="Y92">
        <f>HYPERLINK("https://klasma.github.io/Logging_0580/tillsynsmail/A 15290-2025 tillsynsbegäran mail.docx", "A 15290-2025")</f>
        <v/>
      </c>
      <c r="Z92">
        <f>HYPERLINK("https://klasma.github.io/Logging_0580/fåglar/A 15290-2025 prioriterade fågelarter.docx", "A 15290-2025")</f>
        <v/>
      </c>
    </row>
    <row r="93" ht="15" customHeight="1">
      <c r="A93" t="inlineStr">
        <is>
          <t>A 1716-2023</t>
        </is>
      </c>
      <c r="B93" s="1" t="n">
        <v>44938</v>
      </c>
      <c r="C93" s="1" t="n">
        <v>46115</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1716-2023 artfynd.xlsx", "A 1716-2023")</f>
        <v/>
      </c>
      <c r="T93">
        <f>HYPERLINK("https://klasma.github.io/Logging_0580/kartor/A 1716-2023 karta.png", "A 1716-2023")</f>
        <v/>
      </c>
      <c r="V93">
        <f>HYPERLINK("https://klasma.github.io/Logging_0580/klagomål/A 1716-2023 FSC-klagomål.docx", "A 1716-2023")</f>
        <v/>
      </c>
      <c r="W93">
        <f>HYPERLINK("https://klasma.github.io/Logging_0580/klagomålsmail/A 1716-2023 FSC-klagomål mail.docx", "A 1716-2023")</f>
        <v/>
      </c>
      <c r="X93">
        <f>HYPERLINK("https://klasma.github.io/Logging_0580/tillsyn/A 1716-2023 tillsynsbegäran.docx", "A 1716-2023")</f>
        <v/>
      </c>
      <c r="Y93">
        <f>HYPERLINK("https://klasma.github.io/Logging_0580/tillsynsmail/A 1716-2023 tillsynsbegäran mail.docx", "A 1716-2023")</f>
        <v/>
      </c>
    </row>
    <row r="94" ht="15" customHeight="1">
      <c r="A94" t="inlineStr">
        <is>
          <t>A 931-2025</t>
        </is>
      </c>
      <c r="B94" s="1" t="n">
        <v>45665.88498842593</v>
      </c>
      <c r="C94" s="1" t="n">
        <v>46115</v>
      </c>
      <c r="D94" t="inlineStr">
        <is>
          <t>ÖSTERGÖTLANDS LÄN</t>
        </is>
      </c>
      <c r="E94" t="inlineStr">
        <is>
          <t>LINKÖPING</t>
        </is>
      </c>
      <c r="F94" t="inlineStr">
        <is>
          <t>Övriga Aktiebolag</t>
        </is>
      </c>
      <c r="G94" t="n">
        <v>0.8</v>
      </c>
      <c r="H94" t="n">
        <v>0</v>
      </c>
      <c r="I94" t="n">
        <v>0</v>
      </c>
      <c r="J94" t="n">
        <v>1</v>
      </c>
      <c r="K94" t="n">
        <v>0</v>
      </c>
      <c r="L94" t="n">
        <v>0</v>
      </c>
      <c r="M94" t="n">
        <v>0</v>
      </c>
      <c r="N94" t="n">
        <v>0</v>
      </c>
      <c r="O94" t="n">
        <v>1</v>
      </c>
      <c r="P94" t="n">
        <v>0</v>
      </c>
      <c r="Q94" t="n">
        <v>1</v>
      </c>
      <c r="R94" s="2" t="inlineStr">
        <is>
          <t>Tallticka</t>
        </is>
      </c>
      <c r="S94">
        <f>HYPERLINK("https://klasma.github.io/Logging_0580/artfynd/A 931-2025 artfynd.xlsx", "A 931-2025")</f>
        <v/>
      </c>
      <c r="T94">
        <f>HYPERLINK("https://klasma.github.io/Logging_0580/kartor/A 931-2025 karta.png", "A 931-2025")</f>
        <v/>
      </c>
      <c r="V94">
        <f>HYPERLINK("https://klasma.github.io/Logging_0580/klagomål/A 931-2025 FSC-klagomål.docx", "A 931-2025")</f>
        <v/>
      </c>
      <c r="W94">
        <f>HYPERLINK("https://klasma.github.io/Logging_0580/klagomålsmail/A 931-2025 FSC-klagomål mail.docx", "A 931-2025")</f>
        <v/>
      </c>
      <c r="X94">
        <f>HYPERLINK("https://klasma.github.io/Logging_0580/tillsyn/A 931-2025 tillsynsbegäran.docx", "A 931-2025")</f>
        <v/>
      </c>
      <c r="Y94">
        <f>HYPERLINK("https://klasma.github.io/Logging_0580/tillsynsmail/A 931-2025 tillsynsbegäran mail.docx", "A 931-2025")</f>
        <v/>
      </c>
    </row>
    <row r="95" ht="15" customHeight="1">
      <c r="A95" t="inlineStr">
        <is>
          <t>A 126-2024</t>
        </is>
      </c>
      <c r="B95" s="1" t="n">
        <v>45294</v>
      </c>
      <c r="C95" s="1" t="n">
        <v>46115</v>
      </c>
      <c r="D95" t="inlineStr">
        <is>
          <t>ÖSTERGÖTLANDS LÄN</t>
        </is>
      </c>
      <c r="E95" t="inlineStr">
        <is>
          <t>LINKÖPING</t>
        </is>
      </c>
      <c r="G95" t="n">
        <v>1</v>
      </c>
      <c r="H95" t="n">
        <v>0</v>
      </c>
      <c r="I95" t="n">
        <v>1</v>
      </c>
      <c r="J95" t="n">
        <v>0</v>
      </c>
      <c r="K95" t="n">
        <v>0</v>
      </c>
      <c r="L95" t="n">
        <v>0</v>
      </c>
      <c r="M95" t="n">
        <v>0</v>
      </c>
      <c r="N95" t="n">
        <v>0</v>
      </c>
      <c r="O95" t="n">
        <v>0</v>
      </c>
      <c r="P95" t="n">
        <v>0</v>
      </c>
      <c r="Q95" t="n">
        <v>1</v>
      </c>
      <c r="R95" s="2" t="inlineStr">
        <is>
          <t>Blåmossa</t>
        </is>
      </c>
      <c r="S95">
        <f>HYPERLINK("https://klasma.github.io/Logging_0580/artfynd/A 126-2024 artfynd.xlsx", "A 126-2024")</f>
        <v/>
      </c>
      <c r="T95">
        <f>HYPERLINK("https://klasma.github.io/Logging_0580/kartor/A 126-2024 karta.png", "A 126-2024")</f>
        <v/>
      </c>
      <c r="V95">
        <f>HYPERLINK("https://klasma.github.io/Logging_0580/klagomål/A 126-2024 FSC-klagomål.docx", "A 126-2024")</f>
        <v/>
      </c>
      <c r="W95">
        <f>HYPERLINK("https://klasma.github.io/Logging_0580/klagomålsmail/A 126-2024 FSC-klagomål mail.docx", "A 126-2024")</f>
        <v/>
      </c>
      <c r="X95">
        <f>HYPERLINK("https://klasma.github.io/Logging_0580/tillsyn/A 126-2024 tillsynsbegäran.docx", "A 126-2024")</f>
        <v/>
      </c>
      <c r="Y95">
        <f>HYPERLINK("https://klasma.github.io/Logging_0580/tillsynsmail/A 126-2024 tillsynsbegäran mail.docx", "A 126-2024")</f>
        <v/>
      </c>
    </row>
    <row r="96" ht="15" customHeight="1">
      <c r="A96" t="inlineStr">
        <is>
          <t>A 3395-2023</t>
        </is>
      </c>
      <c r="B96" s="1" t="n">
        <v>44949</v>
      </c>
      <c r="C96" s="1" t="n">
        <v>46115</v>
      </c>
      <c r="D96" t="inlineStr">
        <is>
          <t>ÖSTERGÖTLANDS LÄN</t>
        </is>
      </c>
      <c r="E96" t="inlineStr">
        <is>
          <t>LINKÖPING</t>
        </is>
      </c>
      <c r="G96" t="n">
        <v>2</v>
      </c>
      <c r="H96" t="n">
        <v>0</v>
      </c>
      <c r="I96" t="n">
        <v>0</v>
      </c>
      <c r="J96" t="n">
        <v>1</v>
      </c>
      <c r="K96" t="n">
        <v>0</v>
      </c>
      <c r="L96" t="n">
        <v>0</v>
      </c>
      <c r="M96" t="n">
        <v>0</v>
      </c>
      <c r="N96" t="n">
        <v>0</v>
      </c>
      <c r="O96" t="n">
        <v>1</v>
      </c>
      <c r="P96" t="n">
        <v>0</v>
      </c>
      <c r="Q96" t="n">
        <v>1</v>
      </c>
      <c r="R96" s="2" t="inlineStr">
        <is>
          <t>Sommarfibbla</t>
        </is>
      </c>
      <c r="S96">
        <f>HYPERLINK("https://klasma.github.io/Logging_0580/artfynd/A 3395-2023 artfynd.xlsx", "A 3395-2023")</f>
        <v/>
      </c>
      <c r="T96">
        <f>HYPERLINK("https://klasma.github.io/Logging_0580/kartor/A 3395-2023 karta.png", "A 3395-2023")</f>
        <v/>
      </c>
      <c r="V96">
        <f>HYPERLINK("https://klasma.github.io/Logging_0580/klagomål/A 3395-2023 FSC-klagomål.docx", "A 3395-2023")</f>
        <v/>
      </c>
      <c r="W96">
        <f>HYPERLINK("https://klasma.github.io/Logging_0580/klagomålsmail/A 3395-2023 FSC-klagomål mail.docx", "A 3395-2023")</f>
        <v/>
      </c>
      <c r="X96">
        <f>HYPERLINK("https://klasma.github.io/Logging_0580/tillsyn/A 3395-2023 tillsynsbegäran.docx", "A 3395-2023")</f>
        <v/>
      </c>
      <c r="Y96">
        <f>HYPERLINK("https://klasma.github.io/Logging_0580/tillsynsmail/A 3395-2023 tillsynsbegäran mail.docx", "A 3395-2023")</f>
        <v/>
      </c>
    </row>
    <row r="97" ht="15" customHeight="1">
      <c r="A97" t="inlineStr">
        <is>
          <t>A 3397-2023</t>
        </is>
      </c>
      <c r="B97" s="1" t="n">
        <v>44949</v>
      </c>
      <c r="C97" s="1" t="n">
        <v>46115</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38881-2021</t>
        </is>
      </c>
      <c r="B98" s="1" t="n">
        <v>44411.46893518518</v>
      </c>
      <c r="C98" s="1" t="n">
        <v>46115</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46115</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46115</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46115</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46115</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46115</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46115</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46115</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46115</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46115</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46115</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46115</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46115</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46115</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46115</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46115</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46115</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46115</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46115</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46115</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46115</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46115</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46115</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46115</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46115</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46115</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46115</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46115</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46115</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46115</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46115</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46115</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46115</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46115</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46115</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46115</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46115</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46115</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46115</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46115</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46115</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46115</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46115</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46115</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46115</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46115</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46115</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46115</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46115</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46115</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46115</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46115</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46115</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46115</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46115</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46115</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46115</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46115</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46115</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46115</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46115</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46115</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46115</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46115</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46115</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46115</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46115</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46115</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46115</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46115</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46115</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46115</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46115</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46115</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46115</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46115</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46115</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46115</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46115</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46115</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46115</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46115</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46115</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46115</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46115</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46115</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46115</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46115</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46115</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46115</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46115</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46115</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46115</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46115</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46115</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46115</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46115</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46115</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46115</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46115</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46115</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39021-2021</t>
        </is>
      </c>
      <c r="B199" s="1" t="n">
        <v>44412</v>
      </c>
      <c r="C199" s="1" t="n">
        <v>46115</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46115</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10407-2025</t>
        </is>
      </c>
      <c r="B201" s="1" t="n">
        <v>45720.62863425926</v>
      </c>
      <c r="C201" s="1" t="n">
        <v>46115</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51484-2023</t>
        </is>
      </c>
      <c r="B202" s="1" t="n">
        <v>45222</v>
      </c>
      <c r="C202" s="1" t="n">
        <v>46115</v>
      </c>
      <c r="D202" t="inlineStr">
        <is>
          <t>ÖSTERGÖTLANDS LÄN</t>
        </is>
      </c>
      <c r="E202" t="inlineStr">
        <is>
          <t>LINKÖPING</t>
        </is>
      </c>
      <c r="F202" t="inlineStr">
        <is>
          <t>Övriga Aktiebolag</t>
        </is>
      </c>
      <c r="G202" t="n">
        <v>7.7</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46115</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46115</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46115</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46115</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17157-2024</t>
        </is>
      </c>
      <c r="B207" s="1" t="n">
        <v>45412.70567129629</v>
      </c>
      <c r="C207" s="1" t="n">
        <v>46115</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9434-2024</t>
        </is>
      </c>
      <c r="B208" s="1" t="n">
        <v>45359</v>
      </c>
      <c r="C208" s="1" t="n">
        <v>46115</v>
      </c>
      <c r="D208" t="inlineStr">
        <is>
          <t>ÖSTERGÖTLANDS LÄN</t>
        </is>
      </c>
      <c r="E208" t="inlineStr">
        <is>
          <t>LINKÖPING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13689-2025</t>
        </is>
      </c>
      <c r="B209" s="1" t="n">
        <v>45737.31590277778</v>
      </c>
      <c r="C209" s="1" t="n">
        <v>46115</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13696-2025</t>
        </is>
      </c>
      <c r="B210" s="1" t="n">
        <v>45737.32273148148</v>
      </c>
      <c r="C210" s="1" t="n">
        <v>46115</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12428-2024</t>
        </is>
      </c>
      <c r="B211" s="1" t="n">
        <v>45379</v>
      </c>
      <c r="C211" s="1" t="n">
        <v>46115</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21155-2025</t>
        </is>
      </c>
      <c r="B212" s="1" t="n">
        <v>45779.37586805555</v>
      </c>
      <c r="C212" s="1" t="n">
        <v>46115</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46115</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54428-2022</t>
        </is>
      </c>
      <c r="B214" s="1" t="n">
        <v>44882.57643518518</v>
      </c>
      <c r="C214" s="1" t="n">
        <v>46115</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21165-2025</t>
        </is>
      </c>
      <c r="B215" s="1" t="n">
        <v>45779.39417824074</v>
      </c>
      <c r="C215" s="1" t="n">
        <v>46115</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51802-2025</t>
        </is>
      </c>
      <c r="B216" s="1" t="n">
        <v>45950</v>
      </c>
      <c r="C216" s="1" t="n">
        <v>46115</v>
      </c>
      <c r="D216" t="inlineStr">
        <is>
          <t>ÖSTERGÖTLANDS LÄN</t>
        </is>
      </c>
      <c r="E216" t="inlineStr">
        <is>
          <t>LINKÖPING</t>
        </is>
      </c>
      <c r="F216" t="inlineStr">
        <is>
          <t>Övriga Aktiebolag</t>
        </is>
      </c>
      <c r="G216" t="n">
        <v>2</v>
      </c>
      <c r="H216" t="n">
        <v>0</v>
      </c>
      <c r="I216" t="n">
        <v>0</v>
      </c>
      <c r="J216" t="n">
        <v>0</v>
      </c>
      <c r="K216" t="n">
        <v>0</v>
      </c>
      <c r="L216" t="n">
        <v>0</v>
      </c>
      <c r="M216" t="n">
        <v>0</v>
      </c>
      <c r="N216" t="n">
        <v>0</v>
      </c>
      <c r="O216" t="n">
        <v>0</v>
      </c>
      <c r="P216" t="n">
        <v>0</v>
      </c>
      <c r="Q216" t="n">
        <v>0</v>
      </c>
      <c r="R216" s="2" t="inlineStr"/>
    </row>
    <row r="217" ht="15" customHeight="1">
      <c r="A217" t="inlineStr">
        <is>
          <t>A 3008-2023</t>
        </is>
      </c>
      <c r="B217" s="1" t="n">
        <v>44945.79784722222</v>
      </c>
      <c r="C217" s="1" t="n">
        <v>46115</v>
      </c>
      <c r="D217" t="inlineStr">
        <is>
          <t>ÖSTERGÖTLANDS LÄN</t>
        </is>
      </c>
      <c r="E217" t="inlineStr">
        <is>
          <t>LINKÖPING</t>
        </is>
      </c>
      <c r="G217" t="n">
        <v>19.3</v>
      </c>
      <c r="H217" t="n">
        <v>0</v>
      </c>
      <c r="I217" t="n">
        <v>0</v>
      </c>
      <c r="J217" t="n">
        <v>0</v>
      </c>
      <c r="K217" t="n">
        <v>0</v>
      </c>
      <c r="L217" t="n">
        <v>0</v>
      </c>
      <c r="M217" t="n">
        <v>0</v>
      </c>
      <c r="N217" t="n">
        <v>0</v>
      </c>
      <c r="O217" t="n">
        <v>0</v>
      </c>
      <c r="P217" t="n">
        <v>0</v>
      </c>
      <c r="Q217" t="n">
        <v>0</v>
      </c>
      <c r="R217" s="2" t="inlineStr"/>
    </row>
    <row r="218" ht="15" customHeight="1">
      <c r="A218" t="inlineStr">
        <is>
          <t>A 11790-2024</t>
        </is>
      </c>
      <c r="B218" s="1" t="n">
        <v>45374</v>
      </c>
      <c r="C218" s="1" t="n">
        <v>46115</v>
      </c>
      <c r="D218" t="inlineStr">
        <is>
          <t>ÖSTERGÖTLANDS LÄN</t>
        </is>
      </c>
      <c r="E218" t="inlineStr">
        <is>
          <t>LINKÖPING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55345-2021</t>
        </is>
      </c>
      <c r="B219" s="1" t="n">
        <v>44475</v>
      </c>
      <c r="C219" s="1" t="n">
        <v>46115</v>
      </c>
      <c r="D219" t="inlineStr">
        <is>
          <t>ÖSTERGÖTLANDS LÄN</t>
        </is>
      </c>
      <c r="E219" t="inlineStr">
        <is>
          <t>LINKÖPING</t>
        </is>
      </c>
      <c r="G219" t="n">
        <v>5.7</v>
      </c>
      <c r="H219" t="n">
        <v>0</v>
      </c>
      <c r="I219" t="n">
        <v>0</v>
      </c>
      <c r="J219" t="n">
        <v>0</v>
      </c>
      <c r="K219" t="n">
        <v>0</v>
      </c>
      <c r="L219" t="n">
        <v>0</v>
      </c>
      <c r="M219" t="n">
        <v>0</v>
      </c>
      <c r="N219" t="n">
        <v>0</v>
      </c>
      <c r="O219" t="n">
        <v>0</v>
      </c>
      <c r="P219" t="n">
        <v>0</v>
      </c>
      <c r="Q219" t="n">
        <v>0</v>
      </c>
      <c r="R219" s="2" t="inlineStr"/>
    </row>
    <row r="220" ht="15" customHeight="1">
      <c r="A220" t="inlineStr">
        <is>
          <t>A 48962-2022</t>
        </is>
      </c>
      <c r="B220" s="1" t="n">
        <v>44860.31635416667</v>
      </c>
      <c r="C220" s="1" t="n">
        <v>46115</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53647-2021</t>
        </is>
      </c>
      <c r="B221" s="1" t="n">
        <v>44469</v>
      </c>
      <c r="C221" s="1" t="n">
        <v>46115</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22772-2024</t>
        </is>
      </c>
      <c r="B222" s="1" t="n">
        <v>45448.46712962963</v>
      </c>
      <c r="C222" s="1" t="n">
        <v>46115</v>
      </c>
      <c r="D222" t="inlineStr">
        <is>
          <t>ÖSTERGÖTLANDS LÄN</t>
        </is>
      </c>
      <c r="E222" t="inlineStr">
        <is>
          <t>LINKÖPING</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18916-2024</t>
        </is>
      </c>
      <c r="B223" s="1" t="n">
        <v>45427.39541666667</v>
      </c>
      <c r="C223" s="1" t="n">
        <v>46115</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24586-2024</t>
        </is>
      </c>
      <c r="B224" s="1" t="n">
        <v>45460.46664351852</v>
      </c>
      <c r="C224" s="1" t="n">
        <v>46115</v>
      </c>
      <c r="D224" t="inlineStr">
        <is>
          <t>ÖSTERGÖTLANDS LÄN</t>
        </is>
      </c>
      <c r="E224" t="inlineStr">
        <is>
          <t>LINKÖPING</t>
        </is>
      </c>
      <c r="G224" t="n">
        <v>4</v>
      </c>
      <c r="H224" t="n">
        <v>0</v>
      </c>
      <c r="I224" t="n">
        <v>0</v>
      </c>
      <c r="J224" t="n">
        <v>0</v>
      </c>
      <c r="K224" t="n">
        <v>0</v>
      </c>
      <c r="L224" t="n">
        <v>0</v>
      </c>
      <c r="M224" t="n">
        <v>0</v>
      </c>
      <c r="N224" t="n">
        <v>0</v>
      </c>
      <c r="O224" t="n">
        <v>0</v>
      </c>
      <c r="P224" t="n">
        <v>0</v>
      </c>
      <c r="Q224" t="n">
        <v>0</v>
      </c>
      <c r="R224" s="2" t="inlineStr"/>
    </row>
    <row r="225" ht="15" customHeight="1">
      <c r="A225" t="inlineStr">
        <is>
          <t>A 17124-2025</t>
        </is>
      </c>
      <c r="B225" s="1" t="n">
        <v>45755.69678240741</v>
      </c>
      <c r="C225" s="1" t="n">
        <v>46115</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17126-2025</t>
        </is>
      </c>
      <c r="B226" s="1" t="n">
        <v>45755.70814814815</v>
      </c>
      <c r="C226" s="1" t="n">
        <v>46115</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17143-2025</t>
        </is>
      </c>
      <c r="B227" s="1" t="n">
        <v>45755.92731481481</v>
      </c>
      <c r="C227" s="1" t="n">
        <v>46115</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61281-2021</t>
        </is>
      </c>
      <c r="B228" s="1" t="n">
        <v>44498.60736111111</v>
      </c>
      <c r="C228" s="1" t="n">
        <v>46115</v>
      </c>
      <c r="D228" t="inlineStr">
        <is>
          <t>ÖSTERGÖTLANDS LÄN</t>
        </is>
      </c>
      <c r="E228" t="inlineStr">
        <is>
          <t>LINKÖPING</t>
        </is>
      </c>
      <c r="G228" t="n">
        <v>4.5</v>
      </c>
      <c r="H228" t="n">
        <v>0</v>
      </c>
      <c r="I228" t="n">
        <v>0</v>
      </c>
      <c r="J228" t="n">
        <v>0</v>
      </c>
      <c r="K228" t="n">
        <v>0</v>
      </c>
      <c r="L228" t="n">
        <v>0</v>
      </c>
      <c r="M228" t="n">
        <v>0</v>
      </c>
      <c r="N228" t="n">
        <v>0</v>
      </c>
      <c r="O228" t="n">
        <v>0</v>
      </c>
      <c r="P228" t="n">
        <v>0</v>
      </c>
      <c r="Q228" t="n">
        <v>0</v>
      </c>
      <c r="R228" s="2" t="inlineStr"/>
    </row>
    <row r="229" ht="15" customHeight="1">
      <c r="A229" t="inlineStr">
        <is>
          <t>A 63935-2021</t>
        </is>
      </c>
      <c r="B229" s="1" t="n">
        <v>44509</v>
      </c>
      <c r="C229" s="1" t="n">
        <v>46115</v>
      </c>
      <c r="D229" t="inlineStr">
        <is>
          <t>ÖSTERGÖTLANDS LÄN</t>
        </is>
      </c>
      <c r="E229" t="inlineStr">
        <is>
          <t>LINKÖPING</t>
        </is>
      </c>
      <c r="F229" t="inlineStr">
        <is>
          <t>Övriga statliga verk och myndigheter</t>
        </is>
      </c>
      <c r="G229" t="n">
        <v>2.8</v>
      </c>
      <c r="H229" t="n">
        <v>0</v>
      </c>
      <c r="I229" t="n">
        <v>0</v>
      </c>
      <c r="J229" t="n">
        <v>0</v>
      </c>
      <c r="K229" t="n">
        <v>0</v>
      </c>
      <c r="L229" t="n">
        <v>0</v>
      </c>
      <c r="M229" t="n">
        <v>0</v>
      </c>
      <c r="N229" t="n">
        <v>0</v>
      </c>
      <c r="O229" t="n">
        <v>0</v>
      </c>
      <c r="P229" t="n">
        <v>0</v>
      </c>
      <c r="Q229" t="n">
        <v>0</v>
      </c>
      <c r="R229" s="2" t="inlineStr"/>
    </row>
    <row r="230" ht="15" customHeight="1">
      <c r="A230" t="inlineStr">
        <is>
          <t>A 39017-2021</t>
        </is>
      </c>
      <c r="B230" s="1" t="n">
        <v>44412</v>
      </c>
      <c r="C230" s="1" t="n">
        <v>46115</v>
      </c>
      <c r="D230" t="inlineStr">
        <is>
          <t>ÖSTERGÖTLANDS LÄN</t>
        </is>
      </c>
      <c r="E230" t="inlineStr">
        <is>
          <t>LINKÖPING</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57752-2023</t>
        </is>
      </c>
      <c r="B231" s="1" t="n">
        <v>45246.78474537037</v>
      </c>
      <c r="C231" s="1" t="n">
        <v>46115</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25292-2021</t>
        </is>
      </c>
      <c r="B232" s="1" t="n">
        <v>44342</v>
      </c>
      <c r="C232" s="1" t="n">
        <v>46115</v>
      </c>
      <c r="D232" t="inlineStr">
        <is>
          <t>ÖSTERGÖTLANDS LÄN</t>
        </is>
      </c>
      <c r="E232" t="inlineStr">
        <is>
          <t>LINKÖPING</t>
        </is>
      </c>
      <c r="F232" t="inlineStr">
        <is>
          <t>Övriga Aktiebolag</t>
        </is>
      </c>
      <c r="G232" t="n">
        <v>12.8</v>
      </c>
      <c r="H232" t="n">
        <v>0</v>
      </c>
      <c r="I232" t="n">
        <v>0</v>
      </c>
      <c r="J232" t="n">
        <v>0</v>
      </c>
      <c r="K232" t="n">
        <v>0</v>
      </c>
      <c r="L232" t="n">
        <v>0</v>
      </c>
      <c r="M232" t="n">
        <v>0</v>
      </c>
      <c r="N232" t="n">
        <v>0</v>
      </c>
      <c r="O232" t="n">
        <v>0</v>
      </c>
      <c r="P232" t="n">
        <v>0</v>
      </c>
      <c r="Q232" t="n">
        <v>0</v>
      </c>
      <c r="R232" s="2" t="inlineStr"/>
    </row>
    <row r="233" ht="15" customHeight="1">
      <c r="A233" t="inlineStr">
        <is>
          <t>A 52111-2025</t>
        </is>
      </c>
      <c r="B233" s="1" t="n">
        <v>45952.69527777778</v>
      </c>
      <c r="C233" s="1" t="n">
        <v>46115</v>
      </c>
      <c r="D233" t="inlineStr">
        <is>
          <t>ÖSTERGÖTLANDS LÄN</t>
        </is>
      </c>
      <c r="E233" t="inlineStr">
        <is>
          <t>LINKÖPING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16820-2024</t>
        </is>
      </c>
      <c r="B234" s="1" t="n">
        <v>45411.46809027778</v>
      </c>
      <c r="C234" s="1" t="n">
        <v>46115</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9473-2024</t>
        </is>
      </c>
      <c r="B235" s="1" t="n">
        <v>45359.55474537037</v>
      </c>
      <c r="C235" s="1" t="n">
        <v>46115</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30980-2022</t>
        </is>
      </c>
      <c r="B236" s="1" t="n">
        <v>44768</v>
      </c>
      <c r="C236" s="1" t="n">
        <v>46115</v>
      </c>
      <c r="D236" t="inlineStr">
        <is>
          <t>ÖSTERGÖTLANDS LÄN</t>
        </is>
      </c>
      <c r="E236" t="inlineStr">
        <is>
          <t>LINKÖPING</t>
        </is>
      </c>
      <c r="G236" t="n">
        <v>0.9</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46115</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22264-2025</t>
        </is>
      </c>
      <c r="B238" s="1" t="n">
        <v>45785</v>
      </c>
      <c r="C238" s="1" t="n">
        <v>46115</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24351-2024</t>
        </is>
      </c>
      <c r="B239" s="1" t="n">
        <v>45457.59011574074</v>
      </c>
      <c r="C239" s="1" t="n">
        <v>46115</v>
      </c>
      <c r="D239" t="inlineStr">
        <is>
          <t>ÖSTERGÖTLANDS LÄN</t>
        </is>
      </c>
      <c r="E239" t="inlineStr">
        <is>
          <t>LINKÖPING</t>
        </is>
      </c>
      <c r="G239" t="n">
        <v>11.9</v>
      </c>
      <c r="H239" t="n">
        <v>0</v>
      </c>
      <c r="I239" t="n">
        <v>0</v>
      </c>
      <c r="J239" t="n">
        <v>0</v>
      </c>
      <c r="K239" t="n">
        <v>0</v>
      </c>
      <c r="L239" t="n">
        <v>0</v>
      </c>
      <c r="M239" t="n">
        <v>0</v>
      </c>
      <c r="N239" t="n">
        <v>0</v>
      </c>
      <c r="O239" t="n">
        <v>0</v>
      </c>
      <c r="P239" t="n">
        <v>0</v>
      </c>
      <c r="Q239" t="n">
        <v>0</v>
      </c>
      <c r="R239" s="2" t="inlineStr"/>
    </row>
    <row r="240" ht="15" customHeight="1">
      <c r="A240" t="inlineStr">
        <is>
          <t>A 39074-2025</t>
        </is>
      </c>
      <c r="B240" s="1" t="n">
        <v>45888</v>
      </c>
      <c r="C240" s="1" t="n">
        <v>46115</v>
      </c>
      <c r="D240" t="inlineStr">
        <is>
          <t>ÖSTERGÖTLANDS LÄN</t>
        </is>
      </c>
      <c r="E240" t="inlineStr">
        <is>
          <t>LINKÖPING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62501-2023</t>
        </is>
      </c>
      <c r="B241" s="1" t="n">
        <v>45268</v>
      </c>
      <c r="C241" s="1" t="n">
        <v>46115</v>
      </c>
      <c r="D241" t="inlineStr">
        <is>
          <t>ÖSTERGÖTLANDS LÄN</t>
        </is>
      </c>
      <c r="E241" t="inlineStr">
        <is>
          <t>LINKÖPING</t>
        </is>
      </c>
      <c r="G241" t="n">
        <v>7.4</v>
      </c>
      <c r="H241" t="n">
        <v>0</v>
      </c>
      <c r="I241" t="n">
        <v>0</v>
      </c>
      <c r="J241" t="n">
        <v>0</v>
      </c>
      <c r="K241" t="n">
        <v>0</v>
      </c>
      <c r="L241" t="n">
        <v>0</v>
      </c>
      <c r="M241" t="n">
        <v>0</v>
      </c>
      <c r="N241" t="n">
        <v>0</v>
      </c>
      <c r="O241" t="n">
        <v>0</v>
      </c>
      <c r="P241" t="n">
        <v>0</v>
      </c>
      <c r="Q241" t="n">
        <v>0</v>
      </c>
      <c r="R241" s="2" t="inlineStr"/>
    </row>
    <row r="242" ht="15" customHeight="1">
      <c r="A242" t="inlineStr">
        <is>
          <t>A 58947-2022</t>
        </is>
      </c>
      <c r="B242" s="1" t="n">
        <v>44903.64769675926</v>
      </c>
      <c r="C242" s="1" t="n">
        <v>46115</v>
      </c>
      <c r="D242" t="inlineStr">
        <is>
          <t>ÖSTERGÖTLANDS LÄN</t>
        </is>
      </c>
      <c r="E242" t="inlineStr">
        <is>
          <t>LINKÖPING</t>
        </is>
      </c>
      <c r="G242" t="n">
        <v>4</v>
      </c>
      <c r="H242" t="n">
        <v>0</v>
      </c>
      <c r="I242" t="n">
        <v>0</v>
      </c>
      <c r="J242" t="n">
        <v>0</v>
      </c>
      <c r="K242" t="n">
        <v>0</v>
      </c>
      <c r="L242" t="n">
        <v>0</v>
      </c>
      <c r="M242" t="n">
        <v>0</v>
      </c>
      <c r="N242" t="n">
        <v>0</v>
      </c>
      <c r="O242" t="n">
        <v>0</v>
      </c>
      <c r="P242" t="n">
        <v>0</v>
      </c>
      <c r="Q242" t="n">
        <v>0</v>
      </c>
      <c r="R242" s="2" t="inlineStr"/>
    </row>
    <row r="243" ht="15" customHeight="1">
      <c r="A243" t="inlineStr">
        <is>
          <t>A 6859-2024</t>
        </is>
      </c>
      <c r="B243" s="1" t="n">
        <v>45342</v>
      </c>
      <c r="C243" s="1" t="n">
        <v>46115</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49979-2022</t>
        </is>
      </c>
      <c r="B244" s="1" t="n">
        <v>44865</v>
      </c>
      <c r="C244" s="1" t="n">
        <v>46115</v>
      </c>
      <c r="D244" t="inlineStr">
        <is>
          <t>ÖSTERGÖTLANDS LÄN</t>
        </is>
      </c>
      <c r="E244" t="inlineStr">
        <is>
          <t>LINKÖPING</t>
        </is>
      </c>
      <c r="F244" t="inlineStr">
        <is>
          <t>Övriga Aktiebolag</t>
        </is>
      </c>
      <c r="G244" t="n">
        <v>11.4</v>
      </c>
      <c r="H244" t="n">
        <v>0</v>
      </c>
      <c r="I244" t="n">
        <v>0</v>
      </c>
      <c r="J244" t="n">
        <v>0</v>
      </c>
      <c r="K244" t="n">
        <v>0</v>
      </c>
      <c r="L244" t="n">
        <v>0</v>
      </c>
      <c r="M244" t="n">
        <v>0</v>
      </c>
      <c r="N244" t="n">
        <v>0</v>
      </c>
      <c r="O244" t="n">
        <v>0</v>
      </c>
      <c r="P244" t="n">
        <v>0</v>
      </c>
      <c r="Q244" t="n">
        <v>0</v>
      </c>
      <c r="R244" s="2" t="inlineStr"/>
    </row>
    <row r="245" ht="15" customHeight="1">
      <c r="A245" t="inlineStr">
        <is>
          <t>A 38580-2024</t>
        </is>
      </c>
      <c r="B245" s="1" t="n">
        <v>45546.64825231482</v>
      </c>
      <c r="C245" s="1" t="n">
        <v>46115</v>
      </c>
      <c r="D245" t="inlineStr">
        <is>
          <t>ÖSTERGÖTLANDS LÄN</t>
        </is>
      </c>
      <c r="E245" t="inlineStr">
        <is>
          <t>LINKÖPING</t>
        </is>
      </c>
      <c r="G245" t="n">
        <v>4.8</v>
      </c>
      <c r="H245" t="n">
        <v>0</v>
      </c>
      <c r="I245" t="n">
        <v>0</v>
      </c>
      <c r="J245" t="n">
        <v>0</v>
      </c>
      <c r="K245" t="n">
        <v>0</v>
      </c>
      <c r="L245" t="n">
        <v>0</v>
      </c>
      <c r="M245" t="n">
        <v>0</v>
      </c>
      <c r="N245" t="n">
        <v>0</v>
      </c>
      <c r="O245" t="n">
        <v>0</v>
      </c>
      <c r="P245" t="n">
        <v>0</v>
      </c>
      <c r="Q245" t="n">
        <v>0</v>
      </c>
      <c r="R245" s="2" t="inlineStr"/>
    </row>
    <row r="246" ht="15" customHeight="1">
      <c r="A246" t="inlineStr">
        <is>
          <t>A 53827-2023</t>
        </is>
      </c>
      <c r="B246" s="1" t="n">
        <v>45230</v>
      </c>
      <c r="C246" s="1" t="n">
        <v>46115</v>
      </c>
      <c r="D246" t="inlineStr">
        <is>
          <t>ÖSTERGÖTLANDS LÄN</t>
        </is>
      </c>
      <c r="E246" t="inlineStr">
        <is>
          <t>LINKÖPING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572-2025</t>
        </is>
      </c>
      <c r="B247" s="1" t="n">
        <v>45664.56349537037</v>
      </c>
      <c r="C247" s="1" t="n">
        <v>46115</v>
      </c>
      <c r="D247" t="inlineStr">
        <is>
          <t>ÖSTERGÖTLANDS LÄN</t>
        </is>
      </c>
      <c r="E247" t="inlineStr">
        <is>
          <t>LINKÖPING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22364-2025</t>
        </is>
      </c>
      <c r="B248" s="1" t="n">
        <v>45786.46930555555</v>
      </c>
      <c r="C248" s="1" t="n">
        <v>46115</v>
      </c>
      <c r="D248" t="inlineStr">
        <is>
          <t>ÖSTERGÖTLANDS LÄN</t>
        </is>
      </c>
      <c r="E248" t="inlineStr">
        <is>
          <t>LINKÖPING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44287-2024</t>
        </is>
      </c>
      <c r="B249" s="1" t="n">
        <v>45573.50582175926</v>
      </c>
      <c r="C249" s="1" t="n">
        <v>46115</v>
      </c>
      <c r="D249" t="inlineStr">
        <is>
          <t>ÖSTERGÖTLANDS LÄN</t>
        </is>
      </c>
      <c r="E249" t="inlineStr">
        <is>
          <t>LINKÖPING</t>
        </is>
      </c>
      <c r="G249" t="n">
        <v>12.7</v>
      </c>
      <c r="H249" t="n">
        <v>0</v>
      </c>
      <c r="I249" t="n">
        <v>0</v>
      </c>
      <c r="J249" t="n">
        <v>0</v>
      </c>
      <c r="K249" t="n">
        <v>0</v>
      </c>
      <c r="L249" t="n">
        <v>0</v>
      </c>
      <c r="M249" t="n">
        <v>0</v>
      </c>
      <c r="N249" t="n">
        <v>0</v>
      </c>
      <c r="O249" t="n">
        <v>0</v>
      </c>
      <c r="P249" t="n">
        <v>0</v>
      </c>
      <c r="Q249" t="n">
        <v>0</v>
      </c>
      <c r="R249" s="2" t="inlineStr"/>
    </row>
    <row r="250" ht="15" customHeight="1">
      <c r="A250" t="inlineStr">
        <is>
          <t>A 940-2023</t>
        </is>
      </c>
      <c r="B250" s="1" t="n">
        <v>44933</v>
      </c>
      <c r="C250" s="1" t="n">
        <v>46115</v>
      </c>
      <c r="D250" t="inlineStr">
        <is>
          <t>ÖSTERGÖTLANDS LÄN</t>
        </is>
      </c>
      <c r="E250" t="inlineStr">
        <is>
          <t>LINKÖPING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38971-2025</t>
        </is>
      </c>
      <c r="B251" s="1" t="n">
        <v>45887.71827546296</v>
      </c>
      <c r="C251" s="1" t="n">
        <v>46115</v>
      </c>
      <c r="D251" t="inlineStr">
        <is>
          <t>ÖSTERGÖTLANDS LÄN</t>
        </is>
      </c>
      <c r="E251" t="inlineStr">
        <is>
          <t>LINKÖPING</t>
        </is>
      </c>
      <c r="G251" t="n">
        <v>3.9</v>
      </c>
      <c r="H251" t="n">
        <v>0</v>
      </c>
      <c r="I251" t="n">
        <v>0</v>
      </c>
      <c r="J251" t="n">
        <v>0</v>
      </c>
      <c r="K251" t="n">
        <v>0</v>
      </c>
      <c r="L251" t="n">
        <v>0</v>
      </c>
      <c r="M251" t="n">
        <v>0</v>
      </c>
      <c r="N251" t="n">
        <v>0</v>
      </c>
      <c r="O251" t="n">
        <v>0</v>
      </c>
      <c r="P251" t="n">
        <v>0</v>
      </c>
      <c r="Q251" t="n">
        <v>0</v>
      </c>
      <c r="R251" s="2" t="inlineStr"/>
    </row>
    <row r="252" ht="15" customHeight="1">
      <c r="A252" t="inlineStr">
        <is>
          <t>A 72567-2021</t>
        </is>
      </c>
      <c r="B252" s="1" t="n">
        <v>44546.45023148148</v>
      </c>
      <c r="C252" s="1" t="n">
        <v>46115</v>
      </c>
      <c r="D252" t="inlineStr">
        <is>
          <t>ÖSTERGÖTLANDS LÄN</t>
        </is>
      </c>
      <c r="E252" t="inlineStr">
        <is>
          <t>LINKÖPING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7992-2023</t>
        </is>
      </c>
      <c r="B253" s="1" t="n">
        <v>44970</v>
      </c>
      <c r="C253" s="1" t="n">
        <v>46115</v>
      </c>
      <c r="D253" t="inlineStr">
        <is>
          <t>ÖSTERGÖTLANDS LÄN</t>
        </is>
      </c>
      <c r="E253" t="inlineStr">
        <is>
          <t>LINKÖPING</t>
        </is>
      </c>
      <c r="F253" t="inlineStr">
        <is>
          <t>Kommuner</t>
        </is>
      </c>
      <c r="G253" t="n">
        <v>1</v>
      </c>
      <c r="H253" t="n">
        <v>0</v>
      </c>
      <c r="I253" t="n">
        <v>0</v>
      </c>
      <c r="J253" t="n">
        <v>0</v>
      </c>
      <c r="K253" t="n">
        <v>0</v>
      </c>
      <c r="L253" t="n">
        <v>0</v>
      </c>
      <c r="M253" t="n">
        <v>0</v>
      </c>
      <c r="N253" t="n">
        <v>0</v>
      </c>
      <c r="O253" t="n">
        <v>0</v>
      </c>
      <c r="P253" t="n">
        <v>0</v>
      </c>
      <c r="Q253" t="n">
        <v>0</v>
      </c>
      <c r="R253" s="2" t="inlineStr"/>
    </row>
    <row r="254" ht="15" customHeight="1">
      <c r="A254" t="inlineStr">
        <is>
          <t>A 29312-2024</t>
        </is>
      </c>
      <c r="B254" s="1" t="n">
        <v>45483</v>
      </c>
      <c r="C254" s="1" t="n">
        <v>46115</v>
      </c>
      <c r="D254" t="inlineStr">
        <is>
          <t>ÖSTERGÖTLANDS LÄN</t>
        </is>
      </c>
      <c r="E254" t="inlineStr">
        <is>
          <t>LINKÖPING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45819-2024</t>
        </is>
      </c>
      <c r="B255" s="1" t="n">
        <v>45579.7454050926</v>
      </c>
      <c r="C255" s="1" t="n">
        <v>46115</v>
      </c>
      <c r="D255" t="inlineStr">
        <is>
          <t>ÖSTERGÖTLANDS LÄN</t>
        </is>
      </c>
      <c r="E255" t="inlineStr">
        <is>
          <t>LINKÖPING</t>
        </is>
      </c>
      <c r="G255" t="n">
        <v>5</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46115</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27264-2025</t>
        </is>
      </c>
      <c r="B257" s="1" t="n">
        <v>45812.4794212963</v>
      </c>
      <c r="C257" s="1" t="n">
        <v>46115</v>
      </c>
      <c r="D257" t="inlineStr">
        <is>
          <t>ÖSTERGÖTLANDS LÄN</t>
        </is>
      </c>
      <c r="E257" t="inlineStr">
        <is>
          <t>LINKÖPING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3530-2024</t>
        </is>
      </c>
      <c r="B258" s="1" t="n">
        <v>45320.54717592592</v>
      </c>
      <c r="C258" s="1" t="n">
        <v>46115</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39438-2025</t>
        </is>
      </c>
      <c r="B259" s="1" t="n">
        <v>45889.68641203704</v>
      </c>
      <c r="C259" s="1" t="n">
        <v>46115</v>
      </c>
      <c r="D259" t="inlineStr">
        <is>
          <t>ÖSTERGÖTLANDS LÄN</t>
        </is>
      </c>
      <c r="E259" t="inlineStr">
        <is>
          <t>LINKÖPING</t>
        </is>
      </c>
      <c r="G259" t="n">
        <v>2.4</v>
      </c>
      <c r="H259" t="n">
        <v>0</v>
      </c>
      <c r="I259" t="n">
        <v>0</v>
      </c>
      <c r="J259" t="n">
        <v>0</v>
      </c>
      <c r="K259" t="n">
        <v>0</v>
      </c>
      <c r="L259" t="n">
        <v>0</v>
      </c>
      <c r="M259" t="n">
        <v>0</v>
      </c>
      <c r="N259" t="n">
        <v>0</v>
      </c>
      <c r="O259" t="n">
        <v>0</v>
      </c>
      <c r="P259" t="n">
        <v>0</v>
      </c>
      <c r="Q259" t="n">
        <v>0</v>
      </c>
      <c r="R259" s="2" t="inlineStr"/>
    </row>
    <row r="260" ht="15" customHeight="1">
      <c r="A260" t="inlineStr">
        <is>
          <t>A 23120-2025</t>
        </is>
      </c>
      <c r="B260" s="1" t="n">
        <v>45791.37481481482</v>
      </c>
      <c r="C260" s="1" t="n">
        <v>46115</v>
      </c>
      <c r="D260" t="inlineStr">
        <is>
          <t>ÖSTERGÖTLANDS LÄN</t>
        </is>
      </c>
      <c r="E260" t="inlineStr">
        <is>
          <t>LINKÖPING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62686-2023</t>
        </is>
      </c>
      <c r="B261" s="1" t="n">
        <v>45271</v>
      </c>
      <c r="C261" s="1" t="n">
        <v>46115</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55345-2021</t>
        </is>
      </c>
      <c r="B262" s="1" t="n">
        <v>44475</v>
      </c>
      <c r="C262" s="1" t="n">
        <v>46115</v>
      </c>
      <c r="D262" t="inlineStr">
        <is>
          <t>ÖSTERGÖTLANDS LÄN</t>
        </is>
      </c>
      <c r="E262" t="inlineStr">
        <is>
          <t>LINKÖPING</t>
        </is>
      </c>
      <c r="G262" t="n">
        <v>5.7</v>
      </c>
      <c r="H262" t="n">
        <v>0</v>
      </c>
      <c r="I262" t="n">
        <v>0</v>
      </c>
      <c r="J262" t="n">
        <v>0</v>
      </c>
      <c r="K262" t="n">
        <v>0</v>
      </c>
      <c r="L262" t="n">
        <v>0</v>
      </c>
      <c r="M262" t="n">
        <v>0</v>
      </c>
      <c r="N262" t="n">
        <v>0</v>
      </c>
      <c r="O262" t="n">
        <v>0</v>
      </c>
      <c r="P262" t="n">
        <v>0</v>
      </c>
      <c r="Q262" t="n">
        <v>0</v>
      </c>
      <c r="R262" s="2" t="inlineStr"/>
    </row>
    <row r="263" ht="15" customHeight="1">
      <c r="A263" t="inlineStr">
        <is>
          <t>A 63489-2023</t>
        </is>
      </c>
      <c r="B263" s="1" t="n">
        <v>45274.66761574074</v>
      </c>
      <c r="C263" s="1" t="n">
        <v>46115</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48699-2024</t>
        </is>
      </c>
      <c r="B264" s="1" t="n">
        <v>45593.52091435185</v>
      </c>
      <c r="C264" s="1" t="n">
        <v>46115</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70-2024</t>
        </is>
      </c>
      <c r="B265" s="1" t="n">
        <v>45293</v>
      </c>
      <c r="C265" s="1" t="n">
        <v>46115</v>
      </c>
      <c r="D265" t="inlineStr">
        <is>
          <t>ÖSTERGÖTLANDS LÄN</t>
        </is>
      </c>
      <c r="E265" t="inlineStr">
        <is>
          <t>LINKÖPING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40169-2025</t>
        </is>
      </c>
      <c r="B266" s="1" t="n">
        <v>45894.62824074074</v>
      </c>
      <c r="C266" s="1" t="n">
        <v>46115</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6782-2024</t>
        </is>
      </c>
      <c r="B267" s="1" t="n">
        <v>45342</v>
      </c>
      <c r="C267" s="1" t="n">
        <v>46115</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617-2024</t>
        </is>
      </c>
      <c r="B268" s="1" t="n">
        <v>45299.66028935185</v>
      </c>
      <c r="C268" s="1" t="n">
        <v>46115</v>
      </c>
      <c r="D268" t="inlineStr">
        <is>
          <t>ÖSTERGÖTLANDS LÄN</t>
        </is>
      </c>
      <c r="E268" t="inlineStr">
        <is>
          <t>LINKÖPING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670-2024</t>
        </is>
      </c>
      <c r="B269" s="1" t="n">
        <v>45300.3408912037</v>
      </c>
      <c r="C269" s="1" t="n">
        <v>46115</v>
      </c>
      <c r="D269" t="inlineStr">
        <is>
          <t>ÖSTERGÖTLANDS LÄN</t>
        </is>
      </c>
      <c r="E269" t="inlineStr">
        <is>
          <t>LINKÖPING</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52125-2022</t>
        </is>
      </c>
      <c r="B270" s="1" t="n">
        <v>44873</v>
      </c>
      <c r="C270" s="1" t="n">
        <v>46115</v>
      </c>
      <c r="D270" t="inlineStr">
        <is>
          <t>ÖSTERGÖTLANDS LÄN</t>
        </is>
      </c>
      <c r="E270" t="inlineStr">
        <is>
          <t>LINKÖPING</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13911-2025</t>
        </is>
      </c>
      <c r="B271" s="1" t="n">
        <v>45737.64784722222</v>
      </c>
      <c r="C271" s="1" t="n">
        <v>46115</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23768-2025</t>
        </is>
      </c>
      <c r="B272" s="1" t="n">
        <v>45793.47493055555</v>
      </c>
      <c r="C272" s="1" t="n">
        <v>46115</v>
      </c>
      <c r="D272" t="inlineStr">
        <is>
          <t>ÖSTERGÖTLANDS LÄN</t>
        </is>
      </c>
      <c r="E272" t="inlineStr">
        <is>
          <t>LINKÖPING</t>
        </is>
      </c>
      <c r="G272" t="n">
        <v>3.4</v>
      </c>
      <c r="H272" t="n">
        <v>0</v>
      </c>
      <c r="I272" t="n">
        <v>0</v>
      </c>
      <c r="J272" t="n">
        <v>0</v>
      </c>
      <c r="K272" t="n">
        <v>0</v>
      </c>
      <c r="L272" t="n">
        <v>0</v>
      </c>
      <c r="M272" t="n">
        <v>0</v>
      </c>
      <c r="N272" t="n">
        <v>0</v>
      </c>
      <c r="O272" t="n">
        <v>0</v>
      </c>
      <c r="P272" t="n">
        <v>0</v>
      </c>
      <c r="Q272" t="n">
        <v>0</v>
      </c>
      <c r="R272" s="2" t="inlineStr"/>
    </row>
    <row r="273" ht="15" customHeight="1">
      <c r="A273" t="inlineStr">
        <is>
          <t>A 1084-2023</t>
        </is>
      </c>
      <c r="B273" s="1" t="n">
        <v>44929</v>
      </c>
      <c r="C273" s="1" t="n">
        <v>46115</v>
      </c>
      <c r="D273" t="inlineStr">
        <is>
          <t>ÖSTERGÖTLANDS LÄN</t>
        </is>
      </c>
      <c r="E273" t="inlineStr">
        <is>
          <t>LINKÖPING</t>
        </is>
      </c>
      <c r="G273" t="n">
        <v>10.4</v>
      </c>
      <c r="H273" t="n">
        <v>0</v>
      </c>
      <c r="I273" t="n">
        <v>0</v>
      </c>
      <c r="J273" t="n">
        <v>0</v>
      </c>
      <c r="K273" t="n">
        <v>0</v>
      </c>
      <c r="L273" t="n">
        <v>0</v>
      </c>
      <c r="M273" t="n">
        <v>0</v>
      </c>
      <c r="N273" t="n">
        <v>0</v>
      </c>
      <c r="O273" t="n">
        <v>0</v>
      </c>
      <c r="P273" t="n">
        <v>0</v>
      </c>
      <c r="Q273" t="n">
        <v>0</v>
      </c>
      <c r="R273" s="2" t="inlineStr"/>
    </row>
    <row r="274" ht="15" customHeight="1">
      <c r="A274" t="inlineStr">
        <is>
          <t>A 29859-2024</t>
        </is>
      </c>
      <c r="B274" s="1" t="n">
        <v>45485.6846412037</v>
      </c>
      <c r="C274" s="1" t="n">
        <v>46115</v>
      </c>
      <c r="D274" t="inlineStr">
        <is>
          <t>ÖSTERGÖTLANDS LÄN</t>
        </is>
      </c>
      <c r="E274" t="inlineStr">
        <is>
          <t>LINKÖPING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51571-2024</t>
        </is>
      </c>
      <c r="B275" s="1" t="n">
        <v>45604</v>
      </c>
      <c r="C275" s="1" t="n">
        <v>46115</v>
      </c>
      <c r="D275" t="inlineStr">
        <is>
          <t>ÖSTERGÖTLANDS LÄN</t>
        </is>
      </c>
      <c r="E275" t="inlineStr">
        <is>
          <t>LINKÖPING</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223-2024</t>
        </is>
      </c>
      <c r="B276" s="1" t="n">
        <v>45294.72739583333</v>
      </c>
      <c r="C276" s="1" t="n">
        <v>46115</v>
      </c>
      <c r="D276" t="inlineStr">
        <is>
          <t>ÖSTERGÖTLANDS LÄN</t>
        </is>
      </c>
      <c r="E276" t="inlineStr">
        <is>
          <t>LINKÖPING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227-2024</t>
        </is>
      </c>
      <c r="B277" s="1" t="n">
        <v>45294.73603009259</v>
      </c>
      <c r="C277" s="1" t="n">
        <v>46115</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52800-2025</t>
        </is>
      </c>
      <c r="B278" s="1" t="n">
        <v>45957.44152777778</v>
      </c>
      <c r="C278" s="1" t="n">
        <v>46115</v>
      </c>
      <c r="D278" t="inlineStr">
        <is>
          <t>ÖSTERGÖTLANDS LÄN</t>
        </is>
      </c>
      <c r="E278" t="inlineStr">
        <is>
          <t>LINKÖPING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52802-2025</t>
        </is>
      </c>
      <c r="B279" s="1" t="n">
        <v>45957.44295138889</v>
      </c>
      <c r="C279" s="1" t="n">
        <v>46115</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56917-2022</t>
        </is>
      </c>
      <c r="B280" s="1" t="n">
        <v>44894</v>
      </c>
      <c r="C280" s="1" t="n">
        <v>46115</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1265-2023</t>
        </is>
      </c>
      <c r="B281" s="1" t="n">
        <v>44936</v>
      </c>
      <c r="C281" s="1" t="n">
        <v>46115</v>
      </c>
      <c r="D281" t="inlineStr">
        <is>
          <t>ÖSTERGÖTLANDS LÄN</t>
        </is>
      </c>
      <c r="E281" t="inlineStr">
        <is>
          <t>LINKÖPING</t>
        </is>
      </c>
      <c r="G281" t="n">
        <v>2.3</v>
      </c>
      <c r="H281" t="n">
        <v>0</v>
      </c>
      <c r="I281" t="n">
        <v>0</v>
      </c>
      <c r="J281" t="n">
        <v>0</v>
      </c>
      <c r="K281" t="n">
        <v>0</v>
      </c>
      <c r="L281" t="n">
        <v>0</v>
      </c>
      <c r="M281" t="n">
        <v>0</v>
      </c>
      <c r="N281" t="n">
        <v>0</v>
      </c>
      <c r="O281" t="n">
        <v>0</v>
      </c>
      <c r="P281" t="n">
        <v>0</v>
      </c>
      <c r="Q281" t="n">
        <v>0</v>
      </c>
      <c r="R281" s="2" t="inlineStr"/>
    </row>
    <row r="282" ht="15" customHeight="1">
      <c r="A282" t="inlineStr">
        <is>
          <t>A 1362-2023</t>
        </is>
      </c>
      <c r="B282" s="1" t="n">
        <v>44931</v>
      </c>
      <c r="C282" s="1" t="n">
        <v>46115</v>
      </c>
      <c r="D282" t="inlineStr">
        <is>
          <t>ÖSTERGÖTLANDS LÄN</t>
        </is>
      </c>
      <c r="E282" t="inlineStr">
        <is>
          <t>LINKÖPING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54034-2022</t>
        </is>
      </c>
      <c r="B283" s="1" t="n">
        <v>44881</v>
      </c>
      <c r="C283" s="1" t="n">
        <v>46115</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44280-2024</t>
        </is>
      </c>
      <c r="B284" s="1" t="n">
        <v>45573.49461805556</v>
      </c>
      <c r="C284" s="1" t="n">
        <v>46115</v>
      </c>
      <c r="D284" t="inlineStr">
        <is>
          <t>ÖSTERGÖTLANDS LÄN</t>
        </is>
      </c>
      <c r="E284" t="inlineStr">
        <is>
          <t>LINKÖPING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55493-2021</t>
        </is>
      </c>
      <c r="B285" s="1" t="n">
        <v>44475.61988425926</v>
      </c>
      <c r="C285" s="1" t="n">
        <v>46115</v>
      </c>
      <c r="D285" t="inlineStr">
        <is>
          <t>ÖSTERGÖTLANDS LÄN</t>
        </is>
      </c>
      <c r="E285" t="inlineStr">
        <is>
          <t>LINKÖPING</t>
        </is>
      </c>
      <c r="G285" t="n">
        <v>1.5</v>
      </c>
      <c r="H285" t="n">
        <v>0</v>
      </c>
      <c r="I285" t="n">
        <v>0</v>
      </c>
      <c r="J285" t="n">
        <v>0</v>
      </c>
      <c r="K285" t="n">
        <v>0</v>
      </c>
      <c r="L285" t="n">
        <v>0</v>
      </c>
      <c r="M285" t="n">
        <v>0</v>
      </c>
      <c r="N285" t="n">
        <v>0</v>
      </c>
      <c r="O285" t="n">
        <v>0</v>
      </c>
      <c r="P285" t="n">
        <v>0</v>
      </c>
      <c r="Q285" t="n">
        <v>0</v>
      </c>
      <c r="R285" s="2" t="inlineStr"/>
    </row>
    <row r="286" ht="15" customHeight="1">
      <c r="A286" t="inlineStr">
        <is>
          <t>A 41706-2025</t>
        </is>
      </c>
      <c r="B286" s="1" t="n">
        <v>45902.42209490741</v>
      </c>
      <c r="C286" s="1" t="n">
        <v>46115</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6054-2022</t>
        </is>
      </c>
      <c r="B287" s="1" t="n">
        <v>44599.53623842593</v>
      </c>
      <c r="C287" s="1" t="n">
        <v>46115</v>
      </c>
      <c r="D287" t="inlineStr">
        <is>
          <t>ÖSTERGÖTLANDS LÄN</t>
        </is>
      </c>
      <c r="E287" t="inlineStr">
        <is>
          <t>LINKÖPING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25119-2023</t>
        </is>
      </c>
      <c r="B288" s="1" t="n">
        <v>45086.42326388889</v>
      </c>
      <c r="C288" s="1" t="n">
        <v>46115</v>
      </c>
      <c r="D288" t="inlineStr">
        <is>
          <t>ÖSTERGÖTLANDS LÄN</t>
        </is>
      </c>
      <c r="E288" t="inlineStr">
        <is>
          <t>LINKÖPING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4456-2024</t>
        </is>
      </c>
      <c r="B289" s="1" t="n">
        <v>45327.52847222222</v>
      </c>
      <c r="C289" s="1" t="n">
        <v>46115</v>
      </c>
      <c r="D289" t="inlineStr">
        <is>
          <t>ÖSTERGÖTLANDS LÄN</t>
        </is>
      </c>
      <c r="E289" t="inlineStr">
        <is>
          <t>LINKÖPING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25996-2025</t>
        </is>
      </c>
      <c r="B290" s="1" t="n">
        <v>45804.65851851852</v>
      </c>
      <c r="C290" s="1" t="n">
        <v>46115</v>
      </c>
      <c r="D290" t="inlineStr">
        <is>
          <t>ÖSTERGÖTLANDS LÄN</t>
        </is>
      </c>
      <c r="E290" t="inlineStr">
        <is>
          <t>LINKÖPING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46115</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58114-2021</t>
        </is>
      </c>
      <c r="B292" s="1" t="n">
        <v>44487</v>
      </c>
      <c r="C292" s="1" t="n">
        <v>46115</v>
      </c>
      <c r="D292" t="inlineStr">
        <is>
          <t>ÖSTERGÖTLANDS LÄN</t>
        </is>
      </c>
      <c r="E292" t="inlineStr">
        <is>
          <t>LINKÖPING</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3042-2024</t>
        </is>
      </c>
      <c r="B293" s="1" t="n">
        <v>45316.35028935185</v>
      </c>
      <c r="C293" s="1" t="n">
        <v>46115</v>
      </c>
      <c r="D293" t="inlineStr">
        <is>
          <t>ÖSTERGÖTLANDS LÄN</t>
        </is>
      </c>
      <c r="E293" t="inlineStr">
        <is>
          <t>LINKÖPING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52892-2024</t>
        </is>
      </c>
      <c r="B294" s="1" t="n">
        <v>45610</v>
      </c>
      <c r="C294" s="1" t="n">
        <v>46115</v>
      </c>
      <c r="D294" t="inlineStr">
        <is>
          <t>ÖSTERGÖTLANDS LÄN</t>
        </is>
      </c>
      <c r="E294" t="inlineStr">
        <is>
          <t>LINKÖPING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29293-2025</t>
        </is>
      </c>
      <c r="B295" s="1" t="n">
        <v>45824</v>
      </c>
      <c r="C295" s="1" t="n">
        <v>46115</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26002-2025</t>
        </is>
      </c>
      <c r="B296" s="1" t="n">
        <v>45804.66534722222</v>
      </c>
      <c r="C296" s="1" t="n">
        <v>46115</v>
      </c>
      <c r="D296" t="inlineStr">
        <is>
          <t>ÖSTERGÖTLANDS LÄN</t>
        </is>
      </c>
      <c r="E296" t="inlineStr">
        <is>
          <t>LINKÖPING</t>
        </is>
      </c>
      <c r="G296" t="n">
        <v>2.5</v>
      </c>
      <c r="H296" t="n">
        <v>0</v>
      </c>
      <c r="I296" t="n">
        <v>0</v>
      </c>
      <c r="J296" t="n">
        <v>0</v>
      </c>
      <c r="K296" t="n">
        <v>0</v>
      </c>
      <c r="L296" t="n">
        <v>0</v>
      </c>
      <c r="M296" t="n">
        <v>0</v>
      </c>
      <c r="N296" t="n">
        <v>0</v>
      </c>
      <c r="O296" t="n">
        <v>0</v>
      </c>
      <c r="P296" t="n">
        <v>0</v>
      </c>
      <c r="Q296" t="n">
        <v>0</v>
      </c>
      <c r="R296" s="2" t="inlineStr"/>
    </row>
    <row r="297" ht="15" customHeight="1">
      <c r="A297" t="inlineStr">
        <is>
          <t>A 52740-2025</t>
        </is>
      </c>
      <c r="B297" s="1" t="n">
        <v>45957.37747685185</v>
      </c>
      <c r="C297" s="1" t="n">
        <v>46115</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3008-2023</t>
        </is>
      </c>
      <c r="B298" s="1" t="n">
        <v>44945.79784722222</v>
      </c>
      <c r="C298" s="1" t="n">
        <v>46115</v>
      </c>
      <c r="D298" t="inlineStr">
        <is>
          <t>ÖSTERGÖTLANDS LÄN</t>
        </is>
      </c>
      <c r="E298" t="inlineStr">
        <is>
          <t>LINKÖPING</t>
        </is>
      </c>
      <c r="G298" t="n">
        <v>19.3</v>
      </c>
      <c r="H298" t="n">
        <v>0</v>
      </c>
      <c r="I298" t="n">
        <v>0</v>
      </c>
      <c r="J298" t="n">
        <v>0</v>
      </c>
      <c r="K298" t="n">
        <v>0</v>
      </c>
      <c r="L298" t="n">
        <v>0</v>
      </c>
      <c r="M298" t="n">
        <v>0</v>
      </c>
      <c r="N298" t="n">
        <v>0</v>
      </c>
      <c r="O298" t="n">
        <v>0</v>
      </c>
      <c r="P298" t="n">
        <v>0</v>
      </c>
      <c r="Q298" t="n">
        <v>0</v>
      </c>
      <c r="R298" s="2" t="inlineStr"/>
    </row>
    <row r="299" ht="15" customHeight="1">
      <c r="A299" t="inlineStr">
        <is>
          <t>A 52743-2025</t>
        </is>
      </c>
      <c r="B299" s="1" t="n">
        <v>45957.38039351852</v>
      </c>
      <c r="C299" s="1" t="n">
        <v>46115</v>
      </c>
      <c r="D299" t="inlineStr">
        <is>
          <t>ÖSTERGÖTLANDS LÄN</t>
        </is>
      </c>
      <c r="E299" t="inlineStr">
        <is>
          <t>LINKÖPING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52807-2025</t>
        </is>
      </c>
      <c r="B300" s="1" t="n">
        <v>45957.44837962963</v>
      </c>
      <c r="C300" s="1" t="n">
        <v>46115</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42623-2025</t>
        </is>
      </c>
      <c r="B301" s="1" t="n">
        <v>45905</v>
      </c>
      <c r="C301" s="1" t="n">
        <v>46115</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55736-2022</t>
        </is>
      </c>
      <c r="B302" s="1" t="n">
        <v>44888</v>
      </c>
      <c r="C302" s="1" t="n">
        <v>46115</v>
      </c>
      <c r="D302" t="inlineStr">
        <is>
          <t>ÖSTERGÖTLANDS LÄN</t>
        </is>
      </c>
      <c r="E302" t="inlineStr">
        <is>
          <t>LINKÖPING</t>
        </is>
      </c>
      <c r="G302" t="n">
        <v>5.5</v>
      </c>
      <c r="H302" t="n">
        <v>0</v>
      </c>
      <c r="I302" t="n">
        <v>0</v>
      </c>
      <c r="J302" t="n">
        <v>0</v>
      </c>
      <c r="K302" t="n">
        <v>0</v>
      </c>
      <c r="L302" t="n">
        <v>0</v>
      </c>
      <c r="M302" t="n">
        <v>0</v>
      </c>
      <c r="N302" t="n">
        <v>0</v>
      </c>
      <c r="O302" t="n">
        <v>0</v>
      </c>
      <c r="P302" t="n">
        <v>0</v>
      </c>
      <c r="Q302" t="n">
        <v>0</v>
      </c>
      <c r="R302" s="2" t="inlineStr"/>
    </row>
    <row r="303" ht="15" customHeight="1">
      <c r="A303" t="inlineStr">
        <is>
          <t>A 42624-2025</t>
        </is>
      </c>
      <c r="B303" s="1" t="n">
        <v>45905</v>
      </c>
      <c r="C303" s="1" t="n">
        <v>46115</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42626-2025</t>
        </is>
      </c>
      <c r="B304" s="1" t="n">
        <v>45905</v>
      </c>
      <c r="C304" s="1" t="n">
        <v>46115</v>
      </c>
      <c r="D304" t="inlineStr">
        <is>
          <t>ÖSTERGÖTLANDS LÄN</t>
        </is>
      </c>
      <c r="E304" t="inlineStr">
        <is>
          <t>LINKÖPING</t>
        </is>
      </c>
      <c r="G304" t="n">
        <v>3.6</v>
      </c>
      <c r="H304" t="n">
        <v>0</v>
      </c>
      <c r="I304" t="n">
        <v>0</v>
      </c>
      <c r="J304" t="n">
        <v>0</v>
      </c>
      <c r="K304" t="n">
        <v>0</v>
      </c>
      <c r="L304" t="n">
        <v>0</v>
      </c>
      <c r="M304" t="n">
        <v>0</v>
      </c>
      <c r="N304" t="n">
        <v>0</v>
      </c>
      <c r="O304" t="n">
        <v>0</v>
      </c>
      <c r="P304" t="n">
        <v>0</v>
      </c>
      <c r="Q304" t="n">
        <v>0</v>
      </c>
      <c r="R304" s="2" t="inlineStr"/>
    </row>
    <row r="305" ht="15" customHeight="1">
      <c r="A305" t="inlineStr">
        <is>
          <t>A 30434-2024</t>
        </is>
      </c>
      <c r="B305" s="1" t="n">
        <v>45491.69811342593</v>
      </c>
      <c r="C305" s="1" t="n">
        <v>46115</v>
      </c>
      <c r="D305" t="inlineStr">
        <is>
          <t>ÖSTERGÖTLANDS LÄN</t>
        </is>
      </c>
      <c r="E305" t="inlineStr">
        <is>
          <t>LINKÖPING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11084-2022</t>
        </is>
      </c>
      <c r="B306" s="1" t="n">
        <v>44628</v>
      </c>
      <c r="C306" s="1" t="n">
        <v>46115</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57745-2022</t>
        </is>
      </c>
      <c r="B307" s="1" t="n">
        <v>44897.58119212963</v>
      </c>
      <c r="C307" s="1" t="n">
        <v>46115</v>
      </c>
      <c r="D307" t="inlineStr">
        <is>
          <t>ÖSTERGÖTLANDS LÄN</t>
        </is>
      </c>
      <c r="E307" t="inlineStr">
        <is>
          <t>LINKÖPING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14520-2025</t>
        </is>
      </c>
      <c r="B308" s="1" t="n">
        <v>45741</v>
      </c>
      <c r="C308" s="1" t="n">
        <v>46115</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28200-2025</t>
        </is>
      </c>
      <c r="B309" s="1" t="n">
        <v>45818.4428125</v>
      </c>
      <c r="C309" s="1" t="n">
        <v>46115</v>
      </c>
      <c r="D309" t="inlineStr">
        <is>
          <t>ÖSTERGÖTLANDS LÄN</t>
        </is>
      </c>
      <c r="E309" t="inlineStr">
        <is>
          <t>LINKÖPING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43755-2025</t>
        </is>
      </c>
      <c r="B310" s="1" t="n">
        <v>45912.47329861111</v>
      </c>
      <c r="C310" s="1" t="n">
        <v>46115</v>
      </c>
      <c r="D310" t="inlineStr">
        <is>
          <t>ÖSTERGÖTLANDS LÄN</t>
        </is>
      </c>
      <c r="E310" t="inlineStr">
        <is>
          <t>LINKÖPING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56064-2022</t>
        </is>
      </c>
      <c r="B311" s="1" t="n">
        <v>44889.59107638889</v>
      </c>
      <c r="C311" s="1" t="n">
        <v>46115</v>
      </c>
      <c r="D311" t="inlineStr">
        <is>
          <t>ÖSTERGÖTLANDS LÄN</t>
        </is>
      </c>
      <c r="E311" t="inlineStr">
        <is>
          <t>LINKÖPING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40502-2024</t>
        </is>
      </c>
      <c r="B312" s="1" t="n">
        <v>45555.57263888889</v>
      </c>
      <c r="C312" s="1" t="n">
        <v>46115</v>
      </c>
      <c r="D312" t="inlineStr">
        <is>
          <t>ÖSTERGÖTLANDS LÄN</t>
        </is>
      </c>
      <c r="E312" t="inlineStr">
        <is>
          <t>LINKÖPING</t>
        </is>
      </c>
      <c r="F312" t="inlineStr">
        <is>
          <t>Allmännings- och besparingsskogar</t>
        </is>
      </c>
      <c r="G312" t="n">
        <v>17.5</v>
      </c>
      <c r="H312" t="n">
        <v>0</v>
      </c>
      <c r="I312" t="n">
        <v>0</v>
      </c>
      <c r="J312" t="n">
        <v>0</v>
      </c>
      <c r="K312" t="n">
        <v>0</v>
      </c>
      <c r="L312" t="n">
        <v>0</v>
      </c>
      <c r="M312" t="n">
        <v>0</v>
      </c>
      <c r="N312" t="n">
        <v>0</v>
      </c>
      <c r="O312" t="n">
        <v>0</v>
      </c>
      <c r="P312" t="n">
        <v>0</v>
      </c>
      <c r="Q312" t="n">
        <v>0</v>
      </c>
      <c r="R312" s="2" t="inlineStr"/>
    </row>
    <row r="313" ht="15" customHeight="1">
      <c r="A313" t="inlineStr">
        <is>
          <t>A 27950-2025</t>
        </is>
      </c>
      <c r="B313" s="1" t="n">
        <v>45817.52960648148</v>
      </c>
      <c r="C313" s="1" t="n">
        <v>46115</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43753-2025</t>
        </is>
      </c>
      <c r="B314" s="1" t="n">
        <v>45912.4715625</v>
      </c>
      <c r="C314" s="1" t="n">
        <v>46115</v>
      </c>
      <c r="D314" t="inlineStr">
        <is>
          <t>ÖSTERGÖTLANDS LÄN</t>
        </is>
      </c>
      <c r="E314" t="inlineStr">
        <is>
          <t>LINKÖPING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43758-2025</t>
        </is>
      </c>
      <c r="B315" s="1" t="n">
        <v>45912.47711805555</v>
      </c>
      <c r="C315" s="1" t="n">
        <v>46115</v>
      </c>
      <c r="D315" t="inlineStr">
        <is>
          <t>ÖSTERGÖTLANDS LÄN</t>
        </is>
      </c>
      <c r="E315" t="inlineStr">
        <is>
          <t>LINKÖPING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44170-2025</t>
        </is>
      </c>
      <c r="B316" s="1" t="n">
        <v>45915.59864583334</v>
      </c>
      <c r="C316" s="1" t="n">
        <v>46115</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27797-2025</t>
        </is>
      </c>
      <c r="B317" s="1" t="n">
        <v>45816.80521990741</v>
      </c>
      <c r="C317" s="1" t="n">
        <v>46115</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27798-2025</t>
        </is>
      </c>
      <c r="B318" s="1" t="n">
        <v>45816.81532407407</v>
      </c>
      <c r="C318" s="1" t="n">
        <v>46115</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54333-2025</t>
        </is>
      </c>
      <c r="B319" s="1" t="n">
        <v>45965.35090277778</v>
      </c>
      <c r="C319" s="1" t="n">
        <v>46115</v>
      </c>
      <c r="D319" t="inlineStr">
        <is>
          <t>ÖSTERGÖTLANDS LÄN</t>
        </is>
      </c>
      <c r="E319" t="inlineStr">
        <is>
          <t>LINKÖPING</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28209-2025</t>
        </is>
      </c>
      <c r="B320" s="1" t="n">
        <v>45818.45112268518</v>
      </c>
      <c r="C320" s="1" t="n">
        <v>46115</v>
      </c>
      <c r="D320" t="inlineStr">
        <is>
          <t>ÖSTERGÖTLANDS LÄN</t>
        </is>
      </c>
      <c r="E320" t="inlineStr">
        <is>
          <t>LINKÖPING</t>
        </is>
      </c>
      <c r="G320" t="n">
        <v>4.2</v>
      </c>
      <c r="H320" t="n">
        <v>0</v>
      </c>
      <c r="I320" t="n">
        <v>0</v>
      </c>
      <c r="J320" t="n">
        <v>0</v>
      </c>
      <c r="K320" t="n">
        <v>0</v>
      </c>
      <c r="L320" t="n">
        <v>0</v>
      </c>
      <c r="M320" t="n">
        <v>0</v>
      </c>
      <c r="N320" t="n">
        <v>0</v>
      </c>
      <c r="O320" t="n">
        <v>0</v>
      </c>
      <c r="P320" t="n">
        <v>0</v>
      </c>
      <c r="Q320" t="n">
        <v>0</v>
      </c>
      <c r="R320" s="2" t="inlineStr"/>
    </row>
    <row r="321" ht="15" customHeight="1">
      <c r="A321" t="inlineStr">
        <is>
          <t>A 28204-2025</t>
        </is>
      </c>
      <c r="B321" s="1" t="n">
        <v>45818.4477662037</v>
      </c>
      <c r="C321" s="1" t="n">
        <v>46115</v>
      </c>
      <c r="D321" t="inlineStr">
        <is>
          <t>ÖSTERGÖTLANDS LÄN</t>
        </is>
      </c>
      <c r="E321" t="inlineStr">
        <is>
          <t>LINKÖPING</t>
        </is>
      </c>
      <c r="G321" t="n">
        <v>2.9</v>
      </c>
      <c r="H321" t="n">
        <v>0</v>
      </c>
      <c r="I321" t="n">
        <v>0</v>
      </c>
      <c r="J321" t="n">
        <v>0</v>
      </c>
      <c r="K321" t="n">
        <v>0</v>
      </c>
      <c r="L321" t="n">
        <v>0</v>
      </c>
      <c r="M321" t="n">
        <v>0</v>
      </c>
      <c r="N321" t="n">
        <v>0</v>
      </c>
      <c r="O321" t="n">
        <v>0</v>
      </c>
      <c r="P321" t="n">
        <v>0</v>
      </c>
      <c r="Q321" t="n">
        <v>0</v>
      </c>
      <c r="R321" s="2" t="inlineStr"/>
    </row>
    <row r="322" ht="15" customHeight="1">
      <c r="A322" t="inlineStr">
        <is>
          <t>A 44155-2024</t>
        </is>
      </c>
      <c r="B322" s="1" t="n">
        <v>45572.68226851852</v>
      </c>
      <c r="C322" s="1" t="n">
        <v>46115</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28398-2025</t>
        </is>
      </c>
      <c r="B323" s="1" t="n">
        <v>45819.34208333334</v>
      </c>
      <c r="C323" s="1" t="n">
        <v>46115</v>
      </c>
      <c r="D323" t="inlineStr">
        <is>
          <t>ÖSTERGÖTLANDS LÄN</t>
        </is>
      </c>
      <c r="E323" t="inlineStr">
        <is>
          <t>LINKÖPING</t>
        </is>
      </c>
      <c r="F323" t="inlineStr">
        <is>
          <t>Sveaskog</t>
        </is>
      </c>
      <c r="G323" t="n">
        <v>7.9</v>
      </c>
      <c r="H323" t="n">
        <v>0</v>
      </c>
      <c r="I323" t="n">
        <v>0</v>
      </c>
      <c r="J323" t="n">
        <v>0</v>
      </c>
      <c r="K323" t="n">
        <v>0</v>
      </c>
      <c r="L323" t="n">
        <v>0</v>
      </c>
      <c r="M323" t="n">
        <v>0</v>
      </c>
      <c r="N323" t="n">
        <v>0</v>
      </c>
      <c r="O323" t="n">
        <v>0</v>
      </c>
      <c r="P323" t="n">
        <v>0</v>
      </c>
      <c r="Q323" t="n">
        <v>0</v>
      </c>
      <c r="R323" s="2" t="inlineStr"/>
    </row>
    <row r="324" ht="15" customHeight="1">
      <c r="A324" t="inlineStr">
        <is>
          <t>A 42997-2021</t>
        </is>
      </c>
      <c r="B324" s="1" t="n">
        <v>44431.45556712963</v>
      </c>
      <c r="C324" s="1" t="n">
        <v>46115</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28416-2025</t>
        </is>
      </c>
      <c r="B325" s="1" t="n">
        <v>45819.35346064815</v>
      </c>
      <c r="C325" s="1" t="n">
        <v>46115</v>
      </c>
      <c r="D325" t="inlineStr">
        <is>
          <t>ÖSTERGÖTLANDS LÄN</t>
        </is>
      </c>
      <c r="E325" t="inlineStr">
        <is>
          <t>LINKÖPING</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44759-2025</t>
        </is>
      </c>
      <c r="B326" s="1" t="n">
        <v>45917.7152662037</v>
      </c>
      <c r="C326" s="1" t="n">
        <v>46115</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44764-2025</t>
        </is>
      </c>
      <c r="B327" s="1" t="n">
        <v>45917.72821759259</v>
      </c>
      <c r="C327" s="1" t="n">
        <v>46115</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29027-2025</t>
        </is>
      </c>
      <c r="B328" s="1" t="n">
        <v>45821.4375462963</v>
      </c>
      <c r="C328" s="1" t="n">
        <v>46115</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54332-2025</t>
        </is>
      </c>
      <c r="B329" s="1" t="n">
        <v>45965.34915509259</v>
      </c>
      <c r="C329" s="1" t="n">
        <v>46115</v>
      </c>
      <c r="D329" t="inlineStr">
        <is>
          <t>ÖSTERGÖTLANDS LÄN</t>
        </is>
      </c>
      <c r="E329" t="inlineStr">
        <is>
          <t>LINKÖPING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29411-2025</t>
        </is>
      </c>
      <c r="B330" s="1" t="n">
        <v>45824.6219212963</v>
      </c>
      <c r="C330" s="1" t="n">
        <v>46115</v>
      </c>
      <c r="D330" t="inlineStr">
        <is>
          <t>ÖSTERGÖTLANDS LÄN</t>
        </is>
      </c>
      <c r="E330" t="inlineStr">
        <is>
          <t>LINKÖPING</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54329-2025</t>
        </is>
      </c>
      <c r="B331" s="1" t="n">
        <v>45965.34706018519</v>
      </c>
      <c r="C331" s="1" t="n">
        <v>46115</v>
      </c>
      <c r="D331" t="inlineStr">
        <is>
          <t>ÖSTERGÖTLANDS LÄN</t>
        </is>
      </c>
      <c r="E331" t="inlineStr">
        <is>
          <t>LINKÖPING</t>
        </is>
      </c>
      <c r="F331" t="inlineStr">
        <is>
          <t>Sveaskog</t>
        </is>
      </c>
      <c r="G331" t="n">
        <v>5.1</v>
      </c>
      <c r="H331" t="n">
        <v>0</v>
      </c>
      <c r="I331" t="n">
        <v>0</v>
      </c>
      <c r="J331" t="n">
        <v>0</v>
      </c>
      <c r="K331" t="n">
        <v>0</v>
      </c>
      <c r="L331" t="n">
        <v>0</v>
      </c>
      <c r="M331" t="n">
        <v>0</v>
      </c>
      <c r="N331" t="n">
        <v>0</v>
      </c>
      <c r="O331" t="n">
        <v>0</v>
      </c>
      <c r="P331" t="n">
        <v>0</v>
      </c>
      <c r="Q331" t="n">
        <v>0</v>
      </c>
      <c r="R331" s="2" t="inlineStr"/>
    </row>
    <row r="332" ht="15" customHeight="1">
      <c r="A332" t="inlineStr">
        <is>
          <t>A 29599-2025</t>
        </is>
      </c>
      <c r="B332" s="1" t="n">
        <v>45825.41101851852</v>
      </c>
      <c r="C332" s="1" t="n">
        <v>46115</v>
      </c>
      <c r="D332" t="inlineStr">
        <is>
          <t>ÖSTERGÖTLANDS LÄN</t>
        </is>
      </c>
      <c r="E332" t="inlineStr">
        <is>
          <t>LINKÖPING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45112-2025</t>
        </is>
      </c>
      <c r="B333" s="1" t="n">
        <v>45919</v>
      </c>
      <c r="C333" s="1" t="n">
        <v>46115</v>
      </c>
      <c r="D333" t="inlineStr">
        <is>
          <t>ÖSTERGÖTLANDS LÄN</t>
        </is>
      </c>
      <c r="E333" t="inlineStr">
        <is>
          <t>LINKÖPING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14028-2024</t>
        </is>
      </c>
      <c r="B334" s="1" t="n">
        <v>45392</v>
      </c>
      <c r="C334" s="1" t="n">
        <v>46115</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14667-2024</t>
        </is>
      </c>
      <c r="B335" s="1" t="n">
        <v>45397.42005787037</v>
      </c>
      <c r="C335" s="1" t="n">
        <v>46115</v>
      </c>
      <c r="D335" t="inlineStr">
        <is>
          <t>ÖSTERGÖTLANDS LÄN</t>
        </is>
      </c>
      <c r="E335" t="inlineStr">
        <is>
          <t>LINKÖPING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2697-2023</t>
        </is>
      </c>
      <c r="B336" s="1" t="n">
        <v>44944</v>
      </c>
      <c r="C336" s="1" t="n">
        <v>46115</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30355-2025</t>
        </is>
      </c>
      <c r="B337" s="1" t="n">
        <v>45827</v>
      </c>
      <c r="C337" s="1" t="n">
        <v>46115</v>
      </c>
      <c r="D337" t="inlineStr">
        <is>
          <t>ÖSTERGÖTLANDS LÄN</t>
        </is>
      </c>
      <c r="E337" t="inlineStr">
        <is>
          <t>LINKÖPING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30353-2025</t>
        </is>
      </c>
      <c r="B338" s="1" t="n">
        <v>45827</v>
      </c>
      <c r="C338" s="1" t="n">
        <v>46115</v>
      </c>
      <c r="D338" t="inlineStr">
        <is>
          <t>ÖSTERGÖTLANDS LÄN</t>
        </is>
      </c>
      <c r="E338" t="inlineStr">
        <is>
          <t>LINKÖPING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53641-2023</t>
        </is>
      </c>
      <c r="B339" s="1" t="n">
        <v>45230</v>
      </c>
      <c r="C339" s="1" t="n">
        <v>46115</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48707-2023</t>
        </is>
      </c>
      <c r="B340" s="1" t="n">
        <v>45202</v>
      </c>
      <c r="C340" s="1" t="n">
        <v>46115</v>
      </c>
      <c r="D340" t="inlineStr">
        <is>
          <t>ÖSTERGÖTLANDS LÄN</t>
        </is>
      </c>
      <c r="E340" t="inlineStr">
        <is>
          <t>LINKÖPING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53411-2023</t>
        </is>
      </c>
      <c r="B341" s="1" t="n">
        <v>45229.81049768518</v>
      </c>
      <c r="C341" s="1" t="n">
        <v>46115</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45634-2025</t>
        </is>
      </c>
      <c r="B342" s="1" t="n">
        <v>45922.85089120371</v>
      </c>
      <c r="C342" s="1" t="n">
        <v>46115</v>
      </c>
      <c r="D342" t="inlineStr">
        <is>
          <t>ÖSTERGÖTLANDS LÄN</t>
        </is>
      </c>
      <c r="E342" t="inlineStr">
        <is>
          <t>LINKÖPING</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56741-2023</t>
        </is>
      </c>
      <c r="B343" s="1" t="n">
        <v>45244</v>
      </c>
      <c r="C343" s="1" t="n">
        <v>46115</v>
      </c>
      <c r="D343" t="inlineStr">
        <is>
          <t>ÖSTERGÖTLANDS LÄN</t>
        </is>
      </c>
      <c r="E343" t="inlineStr">
        <is>
          <t>LINKÖPING</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56792-2023</t>
        </is>
      </c>
      <c r="B344" s="1" t="n">
        <v>45244</v>
      </c>
      <c r="C344" s="1" t="n">
        <v>46115</v>
      </c>
      <c r="D344" t="inlineStr">
        <is>
          <t>ÖSTERGÖTLANDS LÄN</t>
        </is>
      </c>
      <c r="E344" t="inlineStr">
        <is>
          <t>LINKÖPING</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46115</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3007-2023</t>
        </is>
      </c>
      <c r="B346" s="1" t="n">
        <v>44945</v>
      </c>
      <c r="C346" s="1" t="n">
        <v>46115</v>
      </c>
      <c r="D346" t="inlineStr">
        <is>
          <t>ÖSTERGÖTLANDS LÄN</t>
        </is>
      </c>
      <c r="E346" t="inlineStr">
        <is>
          <t>LINKÖPING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40338-2024</t>
        </is>
      </c>
      <c r="B347" s="1" t="n">
        <v>45555.32940972222</v>
      </c>
      <c r="C347" s="1" t="n">
        <v>46115</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3013-2023</t>
        </is>
      </c>
      <c r="B348" s="1" t="n">
        <v>44945.8092824074</v>
      </c>
      <c r="C348" s="1" t="n">
        <v>46115</v>
      </c>
      <c r="D348" t="inlineStr">
        <is>
          <t>ÖSTERGÖTLANDS LÄN</t>
        </is>
      </c>
      <c r="E348" t="inlineStr">
        <is>
          <t>LINKÖPING</t>
        </is>
      </c>
      <c r="G348" t="n">
        <v>5.2</v>
      </c>
      <c r="H348" t="n">
        <v>0</v>
      </c>
      <c r="I348" t="n">
        <v>0</v>
      </c>
      <c r="J348" t="n">
        <v>0</v>
      </c>
      <c r="K348" t="n">
        <v>0</v>
      </c>
      <c r="L348" t="n">
        <v>0</v>
      </c>
      <c r="M348" t="n">
        <v>0</v>
      </c>
      <c r="N348" t="n">
        <v>0</v>
      </c>
      <c r="O348" t="n">
        <v>0</v>
      </c>
      <c r="P348" t="n">
        <v>0</v>
      </c>
      <c r="Q348" t="n">
        <v>0</v>
      </c>
      <c r="R348" s="2" t="inlineStr"/>
    </row>
    <row r="349" ht="15" customHeight="1">
      <c r="A349" t="inlineStr">
        <is>
          <t>A 45804-2025</t>
        </is>
      </c>
      <c r="B349" s="1" t="n">
        <v>45923.5819675926</v>
      </c>
      <c r="C349" s="1" t="n">
        <v>46115</v>
      </c>
      <c r="D349" t="inlineStr">
        <is>
          <t>ÖSTERGÖTLANDS LÄN</t>
        </is>
      </c>
      <c r="E349" t="inlineStr">
        <is>
          <t>LINKÖPING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55945-2024</t>
        </is>
      </c>
      <c r="B350" s="1" t="n">
        <v>45623.61754629629</v>
      </c>
      <c r="C350" s="1" t="n">
        <v>46115</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1993-2023</t>
        </is>
      </c>
      <c r="B351" s="1" t="n">
        <v>44939</v>
      </c>
      <c r="C351" s="1" t="n">
        <v>46115</v>
      </c>
      <c r="D351" t="inlineStr">
        <is>
          <t>ÖSTERGÖTLANDS LÄN</t>
        </is>
      </c>
      <c r="E351" t="inlineStr">
        <is>
          <t>LINKÖPING</t>
        </is>
      </c>
      <c r="G351" t="n">
        <v>3.7</v>
      </c>
      <c r="H351" t="n">
        <v>0</v>
      </c>
      <c r="I351" t="n">
        <v>0</v>
      </c>
      <c r="J351" t="n">
        <v>0</v>
      </c>
      <c r="K351" t="n">
        <v>0</v>
      </c>
      <c r="L351" t="n">
        <v>0</v>
      </c>
      <c r="M351" t="n">
        <v>0</v>
      </c>
      <c r="N351" t="n">
        <v>0</v>
      </c>
      <c r="O351" t="n">
        <v>0</v>
      </c>
      <c r="P351" t="n">
        <v>0</v>
      </c>
      <c r="Q351" t="n">
        <v>0</v>
      </c>
      <c r="R351" s="2" t="inlineStr"/>
    </row>
    <row r="352" ht="15" customHeight="1">
      <c r="A352" t="inlineStr">
        <is>
          <t>A 2618-2023</t>
        </is>
      </c>
      <c r="B352" s="1" t="n">
        <v>44944.35847222222</v>
      </c>
      <c r="C352" s="1" t="n">
        <v>46115</v>
      </c>
      <c r="D352" t="inlineStr">
        <is>
          <t>ÖSTERGÖTLANDS LÄN</t>
        </is>
      </c>
      <c r="E352" t="inlineStr">
        <is>
          <t>LINKÖPING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10203-2023</t>
        </is>
      </c>
      <c r="B353" s="1" t="n">
        <v>44986.55711805556</v>
      </c>
      <c r="C353" s="1" t="n">
        <v>46115</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34889-2023</t>
        </is>
      </c>
      <c r="B354" s="1" t="n">
        <v>45140</v>
      </c>
      <c r="C354" s="1" t="n">
        <v>46115</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34928-2023</t>
        </is>
      </c>
      <c r="B355" s="1" t="n">
        <v>45142</v>
      </c>
      <c r="C355" s="1" t="n">
        <v>46115</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55109-2025</t>
        </is>
      </c>
      <c r="B356" s="1" t="n">
        <v>45968.37731481482</v>
      </c>
      <c r="C356" s="1" t="n">
        <v>46115</v>
      </c>
      <c r="D356" t="inlineStr">
        <is>
          <t>ÖSTERGÖTLANDS LÄN</t>
        </is>
      </c>
      <c r="E356" t="inlineStr">
        <is>
          <t>LINKÖPING</t>
        </is>
      </c>
      <c r="G356" t="n">
        <v>3.2</v>
      </c>
      <c r="H356" t="n">
        <v>0</v>
      </c>
      <c r="I356" t="n">
        <v>0</v>
      </c>
      <c r="J356" t="n">
        <v>0</v>
      </c>
      <c r="K356" t="n">
        <v>0</v>
      </c>
      <c r="L356" t="n">
        <v>0</v>
      </c>
      <c r="M356" t="n">
        <v>0</v>
      </c>
      <c r="N356" t="n">
        <v>0</v>
      </c>
      <c r="O356" t="n">
        <v>0</v>
      </c>
      <c r="P356" t="n">
        <v>0</v>
      </c>
      <c r="Q356" t="n">
        <v>0</v>
      </c>
      <c r="R356" s="2" t="inlineStr"/>
    </row>
    <row r="357" ht="15" customHeight="1">
      <c r="A357" t="inlineStr">
        <is>
          <t>A 46428-2025</t>
        </is>
      </c>
      <c r="B357" s="1" t="n">
        <v>45925.60758101852</v>
      </c>
      <c r="C357" s="1" t="n">
        <v>46115</v>
      </c>
      <c r="D357" t="inlineStr">
        <is>
          <t>ÖSTERGÖTLANDS LÄN</t>
        </is>
      </c>
      <c r="E357" t="inlineStr">
        <is>
          <t>LINKÖPING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46426-2025</t>
        </is>
      </c>
      <c r="B358" s="1" t="n">
        <v>45925.6012962963</v>
      </c>
      <c r="C358" s="1" t="n">
        <v>46115</v>
      </c>
      <c r="D358" t="inlineStr">
        <is>
          <t>ÖSTERGÖTLANDS LÄN</t>
        </is>
      </c>
      <c r="E358" t="inlineStr">
        <is>
          <t>LINKÖPING</t>
        </is>
      </c>
      <c r="G358" t="n">
        <v>4.4</v>
      </c>
      <c r="H358" t="n">
        <v>0</v>
      </c>
      <c r="I358" t="n">
        <v>0</v>
      </c>
      <c r="J358" t="n">
        <v>0</v>
      </c>
      <c r="K358" t="n">
        <v>0</v>
      </c>
      <c r="L358" t="n">
        <v>0</v>
      </c>
      <c r="M358" t="n">
        <v>0</v>
      </c>
      <c r="N358" t="n">
        <v>0</v>
      </c>
      <c r="O358" t="n">
        <v>0</v>
      </c>
      <c r="P358" t="n">
        <v>0</v>
      </c>
      <c r="Q358" t="n">
        <v>0</v>
      </c>
      <c r="R358" s="2" t="inlineStr"/>
    </row>
    <row r="359" ht="15" customHeight="1">
      <c r="A359" t="inlineStr">
        <is>
          <t>A 31581-2025</t>
        </is>
      </c>
      <c r="B359" s="1" t="n">
        <v>45833.6840162037</v>
      </c>
      <c r="C359" s="1" t="n">
        <v>46115</v>
      </c>
      <c r="D359" t="inlineStr">
        <is>
          <t>ÖSTERGÖTLANDS LÄN</t>
        </is>
      </c>
      <c r="E359" t="inlineStr">
        <is>
          <t>LINKÖPING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31585-2025</t>
        </is>
      </c>
      <c r="B360" s="1" t="n">
        <v>45833.68815972222</v>
      </c>
      <c r="C360" s="1" t="n">
        <v>46115</v>
      </c>
      <c r="D360" t="inlineStr">
        <is>
          <t>ÖSTERGÖTLANDS LÄN</t>
        </is>
      </c>
      <c r="E360" t="inlineStr">
        <is>
          <t>LINKÖPING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55165-2025</t>
        </is>
      </c>
      <c r="B361" s="1" t="n">
        <v>45968.48194444444</v>
      </c>
      <c r="C361" s="1" t="n">
        <v>46115</v>
      </c>
      <c r="D361" t="inlineStr">
        <is>
          <t>ÖSTERGÖTLANDS LÄN</t>
        </is>
      </c>
      <c r="E361" t="inlineStr">
        <is>
          <t>LINKÖPING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55102-2025</t>
        </is>
      </c>
      <c r="B362" s="1" t="n">
        <v>45968.35410879629</v>
      </c>
      <c r="C362" s="1" t="n">
        <v>46115</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55132-2025</t>
        </is>
      </c>
      <c r="B363" s="1" t="n">
        <v>45968.41912037037</v>
      </c>
      <c r="C363" s="1" t="n">
        <v>46115</v>
      </c>
      <c r="D363" t="inlineStr">
        <is>
          <t>ÖSTERGÖTLANDS LÄN</t>
        </is>
      </c>
      <c r="E363" t="inlineStr">
        <is>
          <t>LINKÖPING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1268-2023</t>
        </is>
      </c>
      <c r="B364" s="1" t="n">
        <v>44936</v>
      </c>
      <c r="C364" s="1" t="n">
        <v>46115</v>
      </c>
      <c r="D364" t="inlineStr">
        <is>
          <t>ÖSTERGÖTLANDS LÄN</t>
        </is>
      </c>
      <c r="E364" t="inlineStr">
        <is>
          <t>LINKÖPING</t>
        </is>
      </c>
      <c r="G364" t="n">
        <v>4.6</v>
      </c>
      <c r="H364" t="n">
        <v>0</v>
      </c>
      <c r="I364" t="n">
        <v>0</v>
      </c>
      <c r="J364" t="n">
        <v>0</v>
      </c>
      <c r="K364" t="n">
        <v>0</v>
      </c>
      <c r="L364" t="n">
        <v>0</v>
      </c>
      <c r="M364" t="n">
        <v>0</v>
      </c>
      <c r="N364" t="n">
        <v>0</v>
      </c>
      <c r="O364" t="n">
        <v>0</v>
      </c>
      <c r="P364" t="n">
        <v>0</v>
      </c>
      <c r="Q364" t="n">
        <v>0</v>
      </c>
      <c r="R364" s="2" t="inlineStr"/>
    </row>
    <row r="365" ht="15" customHeight="1">
      <c r="A365" t="inlineStr">
        <is>
          <t>A 46377-2025</t>
        </is>
      </c>
      <c r="B365" s="1" t="n">
        <v>45925.51773148148</v>
      </c>
      <c r="C365" s="1" t="n">
        <v>46115</v>
      </c>
      <c r="D365" t="inlineStr">
        <is>
          <t>ÖSTERGÖTLANDS LÄN</t>
        </is>
      </c>
      <c r="E365" t="inlineStr">
        <is>
          <t>LINKÖPING</t>
        </is>
      </c>
      <c r="G365" t="n">
        <v>3.1</v>
      </c>
      <c r="H365" t="n">
        <v>0</v>
      </c>
      <c r="I365" t="n">
        <v>0</v>
      </c>
      <c r="J365" t="n">
        <v>0</v>
      </c>
      <c r="K365" t="n">
        <v>0</v>
      </c>
      <c r="L365" t="n">
        <v>0</v>
      </c>
      <c r="M365" t="n">
        <v>0</v>
      </c>
      <c r="N365" t="n">
        <v>0</v>
      </c>
      <c r="O365" t="n">
        <v>0</v>
      </c>
      <c r="P365" t="n">
        <v>0</v>
      </c>
      <c r="Q365" t="n">
        <v>0</v>
      </c>
      <c r="R365" s="2" t="inlineStr"/>
    </row>
    <row r="366" ht="15" customHeight="1">
      <c r="A366" t="inlineStr">
        <is>
          <t>A 32723-2025</t>
        </is>
      </c>
      <c r="B366" s="1" t="n">
        <v>45838</v>
      </c>
      <c r="C366" s="1" t="n">
        <v>46115</v>
      </c>
      <c r="D366" t="inlineStr">
        <is>
          <t>ÖSTERGÖTLANDS LÄN</t>
        </is>
      </c>
      <c r="E366" t="inlineStr">
        <is>
          <t>LINKÖPING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47304-2025</t>
        </is>
      </c>
      <c r="B367" s="1" t="n">
        <v>45930.52037037037</v>
      </c>
      <c r="C367" s="1" t="n">
        <v>46115</v>
      </c>
      <c r="D367" t="inlineStr">
        <is>
          <t>ÖSTERGÖTLANDS LÄN</t>
        </is>
      </c>
      <c r="E367" t="inlineStr">
        <is>
          <t>LINKÖPING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47233-2025</t>
        </is>
      </c>
      <c r="B368" s="1" t="n">
        <v>45930.40612268518</v>
      </c>
      <c r="C368" s="1" t="n">
        <v>46115</v>
      </c>
      <c r="D368" t="inlineStr">
        <is>
          <t>ÖSTERGÖTLANDS LÄN</t>
        </is>
      </c>
      <c r="E368" t="inlineStr">
        <is>
          <t>LINKÖPING</t>
        </is>
      </c>
      <c r="G368" t="n">
        <v>4.3</v>
      </c>
      <c r="H368" t="n">
        <v>0</v>
      </c>
      <c r="I368" t="n">
        <v>0</v>
      </c>
      <c r="J368" t="n">
        <v>0</v>
      </c>
      <c r="K368" t="n">
        <v>0</v>
      </c>
      <c r="L368" t="n">
        <v>0</v>
      </c>
      <c r="M368" t="n">
        <v>0</v>
      </c>
      <c r="N368" t="n">
        <v>0</v>
      </c>
      <c r="O368" t="n">
        <v>0</v>
      </c>
      <c r="P368" t="n">
        <v>0</v>
      </c>
      <c r="Q368" t="n">
        <v>0</v>
      </c>
      <c r="R368" s="2" t="inlineStr"/>
    </row>
    <row r="369" ht="15" customHeight="1">
      <c r="A369" t="inlineStr">
        <is>
          <t>A 49747-2024</t>
        </is>
      </c>
      <c r="B369" s="1" t="n">
        <v>45596</v>
      </c>
      <c r="C369" s="1" t="n">
        <v>46115</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56105-2025</t>
        </is>
      </c>
      <c r="B370" s="1" t="n">
        <v>45973.72855324074</v>
      </c>
      <c r="C370" s="1" t="n">
        <v>46115</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31725-2022</t>
        </is>
      </c>
      <c r="B371" s="1" t="n">
        <v>44776.48541666667</v>
      </c>
      <c r="C371" s="1" t="n">
        <v>46115</v>
      </c>
      <c r="D371" t="inlineStr">
        <is>
          <t>ÖSTERGÖTLANDS LÄN</t>
        </is>
      </c>
      <c r="E371" t="inlineStr">
        <is>
          <t>LINKÖPING</t>
        </is>
      </c>
      <c r="G371" t="n">
        <v>2.6</v>
      </c>
      <c r="H371" t="n">
        <v>0</v>
      </c>
      <c r="I371" t="n">
        <v>0</v>
      </c>
      <c r="J371" t="n">
        <v>0</v>
      </c>
      <c r="K371" t="n">
        <v>0</v>
      </c>
      <c r="L371" t="n">
        <v>0</v>
      </c>
      <c r="M371" t="n">
        <v>0</v>
      </c>
      <c r="N371" t="n">
        <v>0</v>
      </c>
      <c r="O371" t="n">
        <v>0</v>
      </c>
      <c r="P371" t="n">
        <v>0</v>
      </c>
      <c r="Q371" t="n">
        <v>0</v>
      </c>
      <c r="R371" s="2" t="inlineStr"/>
    </row>
    <row r="372" ht="15" customHeight="1">
      <c r="A372" t="inlineStr">
        <is>
          <t>A 46847-2025</t>
        </is>
      </c>
      <c r="B372" s="1" t="n">
        <v>45928.69971064815</v>
      </c>
      <c r="C372" s="1" t="n">
        <v>46115</v>
      </c>
      <c r="D372" t="inlineStr">
        <is>
          <t>ÖSTERGÖTLANDS LÄN</t>
        </is>
      </c>
      <c r="E372" t="inlineStr">
        <is>
          <t>LINKÖPING</t>
        </is>
      </c>
      <c r="G372" t="n">
        <v>4.6</v>
      </c>
      <c r="H372" t="n">
        <v>0</v>
      </c>
      <c r="I372" t="n">
        <v>0</v>
      </c>
      <c r="J372" t="n">
        <v>0</v>
      </c>
      <c r="K372" t="n">
        <v>0</v>
      </c>
      <c r="L372" t="n">
        <v>0</v>
      </c>
      <c r="M372" t="n">
        <v>0</v>
      </c>
      <c r="N372" t="n">
        <v>0</v>
      </c>
      <c r="O372" t="n">
        <v>0</v>
      </c>
      <c r="P372" t="n">
        <v>0</v>
      </c>
      <c r="Q372" t="n">
        <v>0</v>
      </c>
      <c r="R372" s="2" t="inlineStr"/>
    </row>
    <row r="373" ht="15" customHeight="1">
      <c r="A373" t="inlineStr">
        <is>
          <t>A 56403-2025</t>
        </is>
      </c>
      <c r="B373" s="1" t="n">
        <v>45974</v>
      </c>
      <c r="C373" s="1" t="n">
        <v>46115</v>
      </c>
      <c r="D373" t="inlineStr">
        <is>
          <t>ÖSTERGÖTLANDS LÄN</t>
        </is>
      </c>
      <c r="E373" t="inlineStr">
        <is>
          <t>LINKÖPING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48343-2025</t>
        </is>
      </c>
      <c r="B374" s="1" t="n">
        <v>45932</v>
      </c>
      <c r="C374" s="1" t="n">
        <v>46115</v>
      </c>
      <c r="D374" t="inlineStr">
        <is>
          <t>ÖSTERGÖTLANDS LÄN</t>
        </is>
      </c>
      <c r="E374" t="inlineStr">
        <is>
          <t>LINKÖPING</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56113-2025</t>
        </is>
      </c>
      <c r="B375" s="1" t="n">
        <v>45973.73924768518</v>
      </c>
      <c r="C375" s="1" t="n">
        <v>46115</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47606-2025</t>
        </is>
      </c>
      <c r="B376" s="1" t="n">
        <v>45931.46402777778</v>
      </c>
      <c r="C376" s="1" t="n">
        <v>46115</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2389-2023</t>
        </is>
      </c>
      <c r="B377" s="1" t="n">
        <v>44942</v>
      </c>
      <c r="C377" s="1" t="n">
        <v>46115</v>
      </c>
      <c r="D377" t="inlineStr">
        <is>
          <t>ÖSTERGÖTLANDS LÄN</t>
        </is>
      </c>
      <c r="E377" t="inlineStr">
        <is>
          <t>LINKÖPING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3627-2023</t>
        </is>
      </c>
      <c r="B378" s="1" t="n">
        <v>44950.64782407408</v>
      </c>
      <c r="C378" s="1" t="n">
        <v>46115</v>
      </c>
      <c r="D378" t="inlineStr">
        <is>
          <t>ÖSTERGÖTLANDS LÄN</t>
        </is>
      </c>
      <c r="E378" t="inlineStr">
        <is>
          <t>LINKÖPING</t>
        </is>
      </c>
      <c r="G378" t="n">
        <v>3.1</v>
      </c>
      <c r="H378" t="n">
        <v>0</v>
      </c>
      <c r="I378" t="n">
        <v>0</v>
      </c>
      <c r="J378" t="n">
        <v>0</v>
      </c>
      <c r="K378" t="n">
        <v>0</v>
      </c>
      <c r="L378" t="n">
        <v>0</v>
      </c>
      <c r="M378" t="n">
        <v>0</v>
      </c>
      <c r="N378" t="n">
        <v>0</v>
      </c>
      <c r="O378" t="n">
        <v>0</v>
      </c>
      <c r="P378" t="n">
        <v>0</v>
      </c>
      <c r="Q378" t="n">
        <v>0</v>
      </c>
      <c r="R378" s="2" t="inlineStr"/>
    </row>
    <row r="379" ht="15" customHeight="1">
      <c r="A379" t="inlineStr">
        <is>
          <t>A 62687-2023</t>
        </is>
      </c>
      <c r="B379" s="1" t="n">
        <v>45271</v>
      </c>
      <c r="C379" s="1" t="n">
        <v>46115</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48254-2025</t>
        </is>
      </c>
      <c r="B380" s="1" t="n">
        <v>45932</v>
      </c>
      <c r="C380" s="1" t="n">
        <v>46115</v>
      </c>
      <c r="D380" t="inlineStr">
        <is>
          <t>ÖSTERGÖTLANDS LÄN</t>
        </is>
      </c>
      <c r="E380" t="inlineStr">
        <is>
          <t>LINKÖPING</t>
        </is>
      </c>
      <c r="F380" t="inlineStr">
        <is>
          <t>Övriga Aktiebolag</t>
        </is>
      </c>
      <c r="G380" t="n">
        <v>0.8</v>
      </c>
      <c r="H380" t="n">
        <v>0</v>
      </c>
      <c r="I380" t="n">
        <v>0</v>
      </c>
      <c r="J380" t="n">
        <v>0</v>
      </c>
      <c r="K380" t="n">
        <v>0</v>
      </c>
      <c r="L380" t="n">
        <v>0</v>
      </c>
      <c r="M380" t="n">
        <v>0</v>
      </c>
      <c r="N380" t="n">
        <v>0</v>
      </c>
      <c r="O380" t="n">
        <v>0</v>
      </c>
      <c r="P380" t="n">
        <v>0</v>
      </c>
      <c r="Q380" t="n">
        <v>0</v>
      </c>
      <c r="R380" s="2" t="inlineStr"/>
    </row>
    <row r="381" ht="15" customHeight="1">
      <c r="A381" t="inlineStr">
        <is>
          <t>A 48266-2025</t>
        </is>
      </c>
      <c r="B381" s="1" t="n">
        <v>45932</v>
      </c>
      <c r="C381" s="1" t="n">
        <v>46115</v>
      </c>
      <c r="D381" t="inlineStr">
        <is>
          <t>ÖSTERGÖTLANDS LÄN</t>
        </is>
      </c>
      <c r="E381" t="inlineStr">
        <is>
          <t>LINKÖPING</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33947-2025</t>
        </is>
      </c>
      <c r="B382" s="1" t="n">
        <v>45842.65444444444</v>
      </c>
      <c r="C382" s="1" t="n">
        <v>46115</v>
      </c>
      <c r="D382" t="inlineStr">
        <is>
          <t>ÖSTERGÖTLANDS LÄN</t>
        </is>
      </c>
      <c r="E382" t="inlineStr">
        <is>
          <t>LINKÖPING</t>
        </is>
      </c>
      <c r="F382" t="inlineStr">
        <is>
          <t>Sveaskog</t>
        </is>
      </c>
      <c r="G382" t="n">
        <v>0.6</v>
      </c>
      <c r="H382" t="n">
        <v>0</v>
      </c>
      <c r="I382" t="n">
        <v>0</v>
      </c>
      <c r="J382" t="n">
        <v>0</v>
      </c>
      <c r="K382" t="n">
        <v>0</v>
      </c>
      <c r="L382" t="n">
        <v>0</v>
      </c>
      <c r="M382" t="n">
        <v>0</v>
      </c>
      <c r="N382" t="n">
        <v>0</v>
      </c>
      <c r="O382" t="n">
        <v>0</v>
      </c>
      <c r="P382" t="n">
        <v>0</v>
      </c>
      <c r="Q382" t="n">
        <v>0</v>
      </c>
      <c r="R382" s="2" t="inlineStr"/>
    </row>
    <row r="383" ht="15" customHeight="1">
      <c r="A383" t="inlineStr">
        <is>
          <t>A 56704-2025</t>
        </is>
      </c>
      <c r="B383" s="1" t="n">
        <v>45977.50608796296</v>
      </c>
      <c r="C383" s="1" t="n">
        <v>46115</v>
      </c>
      <c r="D383" t="inlineStr">
        <is>
          <t>ÖSTERGÖTLANDS LÄN</t>
        </is>
      </c>
      <c r="E383" t="inlineStr">
        <is>
          <t>LINKÖPING</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18891-2022</t>
        </is>
      </c>
      <c r="B384" s="1" t="n">
        <v>44690</v>
      </c>
      <c r="C384" s="1" t="n">
        <v>46115</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26620-2023</t>
        </is>
      </c>
      <c r="B385" s="1" t="n">
        <v>45092.70390046296</v>
      </c>
      <c r="C385" s="1" t="n">
        <v>46115</v>
      </c>
      <c r="D385" t="inlineStr">
        <is>
          <t>ÖSTERGÖTLANDS LÄN</t>
        </is>
      </c>
      <c r="E385" t="inlineStr">
        <is>
          <t>LINKÖPING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62012-2024</t>
        </is>
      </c>
      <c r="B386" s="1" t="n">
        <v>45655.79679398148</v>
      </c>
      <c r="C386" s="1" t="n">
        <v>46115</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56180-2024</t>
        </is>
      </c>
      <c r="B387" s="1" t="n">
        <v>45624.56611111111</v>
      </c>
      <c r="C387" s="1" t="n">
        <v>46115</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53529-2024</t>
        </is>
      </c>
      <c r="B388" s="1" t="n">
        <v>45614</v>
      </c>
      <c r="C388" s="1" t="n">
        <v>46115</v>
      </c>
      <c r="D388" t="inlineStr">
        <is>
          <t>ÖSTERGÖTLANDS LÄN</t>
        </is>
      </c>
      <c r="E388" t="inlineStr">
        <is>
          <t>LINKÖPING</t>
        </is>
      </c>
      <c r="G388" t="n">
        <v>6.7</v>
      </c>
      <c r="H388" t="n">
        <v>0</v>
      </c>
      <c r="I388" t="n">
        <v>0</v>
      </c>
      <c r="J388" t="n">
        <v>0</v>
      </c>
      <c r="K388" t="n">
        <v>0</v>
      </c>
      <c r="L388" t="n">
        <v>0</v>
      </c>
      <c r="M388" t="n">
        <v>0</v>
      </c>
      <c r="N388" t="n">
        <v>0</v>
      </c>
      <c r="O388" t="n">
        <v>0</v>
      </c>
      <c r="P388" t="n">
        <v>0</v>
      </c>
      <c r="Q388" t="n">
        <v>0</v>
      </c>
      <c r="R388" s="2" t="inlineStr"/>
    </row>
    <row r="389" ht="15" customHeight="1">
      <c r="A389" t="inlineStr">
        <is>
          <t>A 938-2023</t>
        </is>
      </c>
      <c r="B389" s="1" t="n">
        <v>44933</v>
      </c>
      <c r="C389" s="1" t="n">
        <v>46115</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25418-2023</t>
        </is>
      </c>
      <c r="B390" s="1" t="n">
        <v>45089</v>
      </c>
      <c r="C390" s="1" t="n">
        <v>46115</v>
      </c>
      <c r="D390" t="inlineStr">
        <is>
          <t>ÖSTERGÖTLANDS LÄN</t>
        </is>
      </c>
      <c r="E390" t="inlineStr">
        <is>
          <t>LINKÖPING</t>
        </is>
      </c>
      <c r="F390" t="inlineStr">
        <is>
          <t>Övriga Aktiebolag</t>
        </is>
      </c>
      <c r="G390" t="n">
        <v>2.4</v>
      </c>
      <c r="H390" t="n">
        <v>0</v>
      </c>
      <c r="I390" t="n">
        <v>0</v>
      </c>
      <c r="J390" t="n">
        <v>0</v>
      </c>
      <c r="K390" t="n">
        <v>0</v>
      </c>
      <c r="L390" t="n">
        <v>0</v>
      </c>
      <c r="M390" t="n">
        <v>0</v>
      </c>
      <c r="N390" t="n">
        <v>0</v>
      </c>
      <c r="O390" t="n">
        <v>0</v>
      </c>
      <c r="P390" t="n">
        <v>0</v>
      </c>
      <c r="Q390" t="n">
        <v>0</v>
      </c>
      <c r="R390" s="2" t="inlineStr"/>
    </row>
    <row r="391" ht="15" customHeight="1">
      <c r="A391" t="inlineStr">
        <is>
          <t>A 60007-2022</t>
        </is>
      </c>
      <c r="B391" s="1" t="n">
        <v>44909.47282407407</v>
      </c>
      <c r="C391" s="1" t="n">
        <v>46115</v>
      </c>
      <c r="D391" t="inlineStr">
        <is>
          <t>ÖSTERGÖTLANDS LÄN</t>
        </is>
      </c>
      <c r="E391" t="inlineStr">
        <is>
          <t>LINKÖPING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49605-2025</t>
        </is>
      </c>
      <c r="B392" s="1" t="n">
        <v>45938</v>
      </c>
      <c r="C392" s="1" t="n">
        <v>46115</v>
      </c>
      <c r="D392" t="inlineStr">
        <is>
          <t>ÖSTERGÖTLANDS LÄN</t>
        </is>
      </c>
      <c r="E392" t="inlineStr">
        <is>
          <t>LINKÖPING</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49647-2025</t>
        </is>
      </c>
      <c r="B393" s="1" t="n">
        <v>45938</v>
      </c>
      <c r="C393" s="1" t="n">
        <v>46115</v>
      </c>
      <c r="D393" t="inlineStr">
        <is>
          <t>ÖSTERGÖTLANDS LÄN</t>
        </is>
      </c>
      <c r="E393" t="inlineStr">
        <is>
          <t>LINKÖPING</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20469-2025</t>
        </is>
      </c>
      <c r="B394" s="1" t="n">
        <v>45775</v>
      </c>
      <c r="C394" s="1" t="n">
        <v>46115</v>
      </c>
      <c r="D394" t="inlineStr">
        <is>
          <t>ÖSTERGÖTLANDS LÄN</t>
        </is>
      </c>
      <c r="E394" t="inlineStr">
        <is>
          <t>LINKÖPING</t>
        </is>
      </c>
      <c r="F394" t="inlineStr">
        <is>
          <t>Kyrkan</t>
        </is>
      </c>
      <c r="G394" t="n">
        <v>6.1</v>
      </c>
      <c r="H394" t="n">
        <v>0</v>
      </c>
      <c r="I394" t="n">
        <v>0</v>
      </c>
      <c r="J394" t="n">
        <v>0</v>
      </c>
      <c r="K394" t="n">
        <v>0</v>
      </c>
      <c r="L394" t="n">
        <v>0</v>
      </c>
      <c r="M394" t="n">
        <v>0</v>
      </c>
      <c r="N394" t="n">
        <v>0</v>
      </c>
      <c r="O394" t="n">
        <v>0</v>
      </c>
      <c r="P394" t="n">
        <v>0</v>
      </c>
      <c r="Q394" t="n">
        <v>0</v>
      </c>
      <c r="R394" s="2" t="inlineStr"/>
    </row>
    <row r="395" ht="15" customHeight="1">
      <c r="A395" t="inlineStr">
        <is>
          <t>A 49633-2025</t>
        </is>
      </c>
      <c r="B395" s="1" t="n">
        <v>45938</v>
      </c>
      <c r="C395" s="1" t="n">
        <v>46115</v>
      </c>
      <c r="D395" t="inlineStr">
        <is>
          <t>ÖSTERGÖTLANDS LÄN</t>
        </is>
      </c>
      <c r="E395" t="inlineStr">
        <is>
          <t>LINKÖPING</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49663-2025</t>
        </is>
      </c>
      <c r="B396" s="1" t="n">
        <v>45938</v>
      </c>
      <c r="C396" s="1" t="n">
        <v>46115</v>
      </c>
      <c r="D396" t="inlineStr">
        <is>
          <t>ÖSTERGÖTLANDS LÄN</t>
        </is>
      </c>
      <c r="E396" t="inlineStr">
        <is>
          <t>LINKÖPING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11601-2023</t>
        </is>
      </c>
      <c r="B397" s="1" t="n">
        <v>44994</v>
      </c>
      <c r="C397" s="1" t="n">
        <v>46115</v>
      </c>
      <c r="D397" t="inlineStr">
        <is>
          <t>ÖSTERGÖTLANDS LÄN</t>
        </is>
      </c>
      <c r="E397" t="inlineStr">
        <is>
          <t>LINKÖPING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49455-2025</t>
        </is>
      </c>
      <c r="B398" s="1" t="n">
        <v>45938</v>
      </c>
      <c r="C398" s="1" t="n">
        <v>46115</v>
      </c>
      <c r="D398" t="inlineStr">
        <is>
          <t>ÖSTERGÖTLANDS LÄN</t>
        </is>
      </c>
      <c r="E398" t="inlineStr">
        <is>
          <t>LINKÖPING</t>
        </is>
      </c>
      <c r="F398" t="inlineStr">
        <is>
          <t>Övriga Aktiebolag</t>
        </is>
      </c>
      <c r="G398" t="n">
        <v>5.9</v>
      </c>
      <c r="H398" t="n">
        <v>0</v>
      </c>
      <c r="I398" t="n">
        <v>0</v>
      </c>
      <c r="J398" t="n">
        <v>0</v>
      </c>
      <c r="K398" t="n">
        <v>0</v>
      </c>
      <c r="L398" t="n">
        <v>0</v>
      </c>
      <c r="M398" t="n">
        <v>0</v>
      </c>
      <c r="N398" t="n">
        <v>0</v>
      </c>
      <c r="O398" t="n">
        <v>0</v>
      </c>
      <c r="P398" t="n">
        <v>0</v>
      </c>
      <c r="Q398" t="n">
        <v>0</v>
      </c>
      <c r="R398" s="2" t="inlineStr"/>
    </row>
    <row r="399" ht="15" customHeight="1">
      <c r="A399" t="inlineStr">
        <is>
          <t>A 33800-2023</t>
        </is>
      </c>
      <c r="B399" s="1" t="n">
        <v>45121</v>
      </c>
      <c r="C399" s="1" t="n">
        <v>46115</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47991-2023</t>
        </is>
      </c>
      <c r="B400" s="1" t="n">
        <v>45204.62655092592</v>
      </c>
      <c r="C400" s="1" t="n">
        <v>46115</v>
      </c>
      <c r="D400" t="inlineStr">
        <is>
          <t>ÖSTERGÖTLANDS LÄN</t>
        </is>
      </c>
      <c r="E400" t="inlineStr">
        <is>
          <t>LINKÖPING</t>
        </is>
      </c>
      <c r="F400" t="inlineStr">
        <is>
          <t>Allmännings- och besparingsskogar</t>
        </is>
      </c>
      <c r="G400" t="n">
        <v>7.3</v>
      </c>
      <c r="H400" t="n">
        <v>0</v>
      </c>
      <c r="I400" t="n">
        <v>0</v>
      </c>
      <c r="J400" t="n">
        <v>0</v>
      </c>
      <c r="K400" t="n">
        <v>0</v>
      </c>
      <c r="L400" t="n">
        <v>0</v>
      </c>
      <c r="M400" t="n">
        <v>0</v>
      </c>
      <c r="N400" t="n">
        <v>0</v>
      </c>
      <c r="O400" t="n">
        <v>0</v>
      </c>
      <c r="P400" t="n">
        <v>0</v>
      </c>
      <c r="Q400" t="n">
        <v>0</v>
      </c>
      <c r="R400" s="2" t="inlineStr"/>
    </row>
    <row r="401" ht="15" customHeight="1">
      <c r="A401" t="inlineStr">
        <is>
          <t>A 49652-2025</t>
        </is>
      </c>
      <c r="B401" s="1" t="n">
        <v>45938</v>
      </c>
      <c r="C401" s="1" t="n">
        <v>46115</v>
      </c>
      <c r="D401" t="inlineStr">
        <is>
          <t>ÖSTERGÖTLANDS LÄN</t>
        </is>
      </c>
      <c r="E401" t="inlineStr">
        <is>
          <t>LINKÖPING</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49654-2025</t>
        </is>
      </c>
      <c r="B402" s="1" t="n">
        <v>45938</v>
      </c>
      <c r="C402" s="1" t="n">
        <v>46115</v>
      </c>
      <c r="D402" t="inlineStr">
        <is>
          <t>ÖSTERGÖTLANDS LÄN</t>
        </is>
      </c>
      <c r="E402" t="inlineStr">
        <is>
          <t>LINKÖPING</t>
        </is>
      </c>
      <c r="F402" t="inlineStr">
        <is>
          <t>Övriga Aktiebolag</t>
        </is>
      </c>
      <c r="G402" t="n">
        <v>3.1</v>
      </c>
      <c r="H402" t="n">
        <v>0</v>
      </c>
      <c r="I402" t="n">
        <v>0</v>
      </c>
      <c r="J402" t="n">
        <v>0</v>
      </c>
      <c r="K402" t="n">
        <v>0</v>
      </c>
      <c r="L402" t="n">
        <v>0</v>
      </c>
      <c r="M402" t="n">
        <v>0</v>
      </c>
      <c r="N402" t="n">
        <v>0</v>
      </c>
      <c r="O402" t="n">
        <v>0</v>
      </c>
      <c r="P402" t="n">
        <v>0</v>
      </c>
      <c r="Q402" t="n">
        <v>0</v>
      </c>
      <c r="R402" s="2" t="inlineStr"/>
    </row>
    <row r="403" ht="15" customHeight="1">
      <c r="A403" t="inlineStr">
        <is>
          <t>A 49619-2025</t>
        </is>
      </c>
      <c r="B403" s="1" t="n">
        <v>45938</v>
      </c>
      <c r="C403" s="1" t="n">
        <v>46115</v>
      </c>
      <c r="D403" t="inlineStr">
        <is>
          <t>ÖSTERGÖTLANDS LÄN</t>
        </is>
      </c>
      <c r="E403" t="inlineStr">
        <is>
          <t>LINKÖPING</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49629-2025</t>
        </is>
      </c>
      <c r="B404" s="1" t="n">
        <v>45938</v>
      </c>
      <c r="C404" s="1" t="n">
        <v>46115</v>
      </c>
      <c r="D404" t="inlineStr">
        <is>
          <t>ÖSTERGÖTLANDS LÄN</t>
        </is>
      </c>
      <c r="E404" t="inlineStr">
        <is>
          <t>LINKÖPING</t>
        </is>
      </c>
      <c r="F404" t="inlineStr">
        <is>
          <t>Övriga Aktiebolag</t>
        </is>
      </c>
      <c r="G404" t="n">
        <v>4.5</v>
      </c>
      <c r="H404" t="n">
        <v>0</v>
      </c>
      <c r="I404" t="n">
        <v>0</v>
      </c>
      <c r="J404" t="n">
        <v>0</v>
      </c>
      <c r="K404" t="n">
        <v>0</v>
      </c>
      <c r="L404" t="n">
        <v>0</v>
      </c>
      <c r="M404" t="n">
        <v>0</v>
      </c>
      <c r="N404" t="n">
        <v>0</v>
      </c>
      <c r="O404" t="n">
        <v>0</v>
      </c>
      <c r="P404" t="n">
        <v>0</v>
      </c>
      <c r="Q404" t="n">
        <v>0</v>
      </c>
      <c r="R404" s="2" t="inlineStr"/>
    </row>
    <row r="405" ht="15" customHeight="1">
      <c r="A405" t="inlineStr">
        <is>
          <t>A 49650-2025</t>
        </is>
      </c>
      <c r="B405" s="1" t="n">
        <v>45938</v>
      </c>
      <c r="C405" s="1" t="n">
        <v>46115</v>
      </c>
      <c r="D405" t="inlineStr">
        <is>
          <t>ÖSTERGÖTLANDS LÄN</t>
        </is>
      </c>
      <c r="E405" t="inlineStr">
        <is>
          <t>LINKÖPING</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49632-2025</t>
        </is>
      </c>
      <c r="B406" s="1" t="n">
        <v>45938</v>
      </c>
      <c r="C406" s="1" t="n">
        <v>46115</v>
      </c>
      <c r="D406" t="inlineStr">
        <is>
          <t>ÖSTERGÖTLANDS LÄN</t>
        </is>
      </c>
      <c r="E406" t="inlineStr">
        <is>
          <t>LINKÖPING</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49615-2025</t>
        </is>
      </c>
      <c r="B407" s="1" t="n">
        <v>45938</v>
      </c>
      <c r="C407" s="1" t="n">
        <v>46115</v>
      </c>
      <c r="D407" t="inlineStr">
        <is>
          <t>ÖSTERGÖTLANDS LÄN</t>
        </is>
      </c>
      <c r="E407" t="inlineStr">
        <is>
          <t>LINKÖPING</t>
        </is>
      </c>
      <c r="F407" t="inlineStr">
        <is>
          <t>Övriga Aktiebolag</t>
        </is>
      </c>
      <c r="G407" t="n">
        <v>1.6</v>
      </c>
      <c r="H407" t="n">
        <v>0</v>
      </c>
      <c r="I407" t="n">
        <v>0</v>
      </c>
      <c r="J407" t="n">
        <v>0</v>
      </c>
      <c r="K407" t="n">
        <v>0</v>
      </c>
      <c r="L407" t="n">
        <v>0</v>
      </c>
      <c r="M407" t="n">
        <v>0</v>
      </c>
      <c r="N407" t="n">
        <v>0</v>
      </c>
      <c r="O407" t="n">
        <v>0</v>
      </c>
      <c r="P407" t="n">
        <v>0</v>
      </c>
      <c r="Q407" t="n">
        <v>0</v>
      </c>
      <c r="R407" s="2" t="inlineStr"/>
    </row>
    <row r="408" ht="15" customHeight="1">
      <c r="A408" t="inlineStr">
        <is>
          <t>A 35178-2025</t>
        </is>
      </c>
      <c r="B408" s="1" t="n">
        <v>45852.91939814815</v>
      </c>
      <c r="C408" s="1" t="n">
        <v>46115</v>
      </c>
      <c r="D408" t="inlineStr">
        <is>
          <t>ÖSTERGÖTLANDS LÄN</t>
        </is>
      </c>
      <c r="E408" t="inlineStr">
        <is>
          <t>LINKÖPING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35174-2025</t>
        </is>
      </c>
      <c r="B409" s="1" t="n">
        <v>45852.90648148148</v>
      </c>
      <c r="C409" s="1" t="n">
        <v>46115</v>
      </c>
      <c r="D409" t="inlineStr">
        <is>
          <t>ÖSTERGÖTLANDS LÄN</t>
        </is>
      </c>
      <c r="E409" t="inlineStr">
        <is>
          <t>LINKÖPING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1260-2023</t>
        </is>
      </c>
      <c r="B410" s="1" t="n">
        <v>44936</v>
      </c>
      <c r="C410" s="1" t="n">
        <v>46115</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26007-2025</t>
        </is>
      </c>
      <c r="B411" s="1" t="n">
        <v>45804.67081018518</v>
      </c>
      <c r="C411" s="1" t="n">
        <v>46115</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7702-2023</t>
        </is>
      </c>
      <c r="B412" s="1" t="n">
        <v>44967</v>
      </c>
      <c r="C412" s="1" t="n">
        <v>46115</v>
      </c>
      <c r="D412" t="inlineStr">
        <is>
          <t>ÖSTERGÖTLANDS LÄN</t>
        </is>
      </c>
      <c r="E412" t="inlineStr">
        <is>
          <t>LINKÖPING</t>
        </is>
      </c>
      <c r="F412" t="inlineStr">
        <is>
          <t>Övriga statliga verk och myndigheter</t>
        </is>
      </c>
      <c r="G412" t="n">
        <v>8</v>
      </c>
      <c r="H412" t="n">
        <v>0</v>
      </c>
      <c r="I412" t="n">
        <v>0</v>
      </c>
      <c r="J412" t="n">
        <v>0</v>
      </c>
      <c r="K412" t="n">
        <v>0</v>
      </c>
      <c r="L412" t="n">
        <v>0</v>
      </c>
      <c r="M412" t="n">
        <v>0</v>
      </c>
      <c r="N412" t="n">
        <v>0</v>
      </c>
      <c r="O412" t="n">
        <v>0</v>
      </c>
      <c r="P412" t="n">
        <v>0</v>
      </c>
      <c r="Q412" t="n">
        <v>0</v>
      </c>
      <c r="R412" s="2" t="inlineStr"/>
    </row>
    <row r="413" ht="15" customHeight="1">
      <c r="A413" t="inlineStr">
        <is>
          <t>A 35179-2025</t>
        </is>
      </c>
      <c r="B413" s="1" t="n">
        <v>45852.93737268518</v>
      </c>
      <c r="C413" s="1" t="n">
        <v>46115</v>
      </c>
      <c r="D413" t="inlineStr">
        <is>
          <t>ÖSTERGÖTLANDS LÄN</t>
        </is>
      </c>
      <c r="E413" t="inlineStr">
        <is>
          <t>LINKÖPING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35180-2025</t>
        </is>
      </c>
      <c r="B414" s="1" t="n">
        <v>45852.9413425926</v>
      </c>
      <c r="C414" s="1" t="n">
        <v>46115</v>
      </c>
      <c r="D414" t="inlineStr">
        <is>
          <t>ÖSTERGÖTLANDS LÄN</t>
        </is>
      </c>
      <c r="E414" t="inlineStr">
        <is>
          <t>LINKÖPING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674-2024</t>
        </is>
      </c>
      <c r="B415" s="1" t="n">
        <v>45300.34408564815</v>
      </c>
      <c r="C415" s="1" t="n">
        <v>46115</v>
      </c>
      <c r="D415" t="inlineStr">
        <is>
          <t>ÖSTERGÖTLANDS LÄN</t>
        </is>
      </c>
      <c r="E415" t="inlineStr">
        <is>
          <t>LINKÖPING</t>
        </is>
      </c>
      <c r="F415" t="inlineStr">
        <is>
          <t>Sveaskog</t>
        </is>
      </c>
      <c r="G415" t="n">
        <v>2.9</v>
      </c>
      <c r="H415" t="n">
        <v>0</v>
      </c>
      <c r="I415" t="n">
        <v>0</v>
      </c>
      <c r="J415" t="n">
        <v>0</v>
      </c>
      <c r="K415" t="n">
        <v>0</v>
      </c>
      <c r="L415" t="n">
        <v>0</v>
      </c>
      <c r="M415" t="n">
        <v>0</v>
      </c>
      <c r="N415" t="n">
        <v>0</v>
      </c>
      <c r="O415" t="n">
        <v>0</v>
      </c>
      <c r="P415" t="n">
        <v>0</v>
      </c>
      <c r="Q415" t="n">
        <v>0</v>
      </c>
      <c r="R415" s="2" t="inlineStr"/>
    </row>
    <row r="416" ht="15" customHeight="1">
      <c r="A416" t="inlineStr">
        <is>
          <t>A 63684-2023</t>
        </is>
      </c>
      <c r="B416" s="1" t="n">
        <v>45275</v>
      </c>
      <c r="C416" s="1" t="n">
        <v>46115</v>
      </c>
      <c r="D416" t="inlineStr">
        <is>
          <t>ÖSTERGÖTLANDS LÄN</t>
        </is>
      </c>
      <c r="E416" t="inlineStr">
        <is>
          <t>LINKÖPING</t>
        </is>
      </c>
      <c r="G416" t="n">
        <v>0.4</v>
      </c>
      <c r="H416" t="n">
        <v>0</v>
      </c>
      <c r="I416" t="n">
        <v>0</v>
      </c>
      <c r="J416" t="n">
        <v>0</v>
      </c>
      <c r="K416" t="n">
        <v>0</v>
      </c>
      <c r="L416" t="n">
        <v>0</v>
      </c>
      <c r="M416" t="n">
        <v>0</v>
      </c>
      <c r="N416" t="n">
        <v>0</v>
      </c>
      <c r="O416" t="n">
        <v>0</v>
      </c>
      <c r="P416" t="n">
        <v>0</v>
      </c>
      <c r="Q416" t="n">
        <v>0</v>
      </c>
      <c r="R416" s="2" t="inlineStr"/>
    </row>
    <row r="417" ht="15" customHeight="1">
      <c r="A417" t="inlineStr">
        <is>
          <t>A 167-2024</t>
        </is>
      </c>
      <c r="B417" s="1" t="n">
        <v>45294</v>
      </c>
      <c r="C417" s="1" t="n">
        <v>46115</v>
      </c>
      <c r="D417" t="inlineStr">
        <is>
          <t>ÖSTERGÖTLANDS LÄN</t>
        </is>
      </c>
      <c r="E417" t="inlineStr">
        <is>
          <t>LINKÖPING</t>
        </is>
      </c>
      <c r="F417" t="inlineStr">
        <is>
          <t>Allmännings- och besparingsskogar</t>
        </is>
      </c>
      <c r="G417" t="n">
        <v>11.6</v>
      </c>
      <c r="H417" t="n">
        <v>0</v>
      </c>
      <c r="I417" t="n">
        <v>0</v>
      </c>
      <c r="J417" t="n">
        <v>0</v>
      </c>
      <c r="K417" t="n">
        <v>0</v>
      </c>
      <c r="L417" t="n">
        <v>0</v>
      </c>
      <c r="M417" t="n">
        <v>0</v>
      </c>
      <c r="N417" t="n">
        <v>0</v>
      </c>
      <c r="O417" t="n">
        <v>0</v>
      </c>
      <c r="P417" t="n">
        <v>0</v>
      </c>
      <c r="Q417" t="n">
        <v>0</v>
      </c>
      <c r="R417" s="2" t="inlineStr"/>
    </row>
    <row r="418" ht="15" customHeight="1">
      <c r="A418" t="inlineStr">
        <is>
          <t>A 36725-2023</t>
        </is>
      </c>
      <c r="B418" s="1" t="n">
        <v>45153.68471064815</v>
      </c>
      <c r="C418" s="1" t="n">
        <v>46115</v>
      </c>
      <c r="D418" t="inlineStr">
        <is>
          <t>ÖSTERGÖTLANDS LÄN</t>
        </is>
      </c>
      <c r="E418" t="inlineStr">
        <is>
          <t>LINKÖPING</t>
        </is>
      </c>
      <c r="F418" t="inlineStr">
        <is>
          <t>Allmännings- och besparingsskogar</t>
        </is>
      </c>
      <c r="G418" t="n">
        <v>2.6</v>
      </c>
      <c r="H418" t="n">
        <v>0</v>
      </c>
      <c r="I418" t="n">
        <v>0</v>
      </c>
      <c r="J418" t="n">
        <v>0</v>
      </c>
      <c r="K418" t="n">
        <v>0</v>
      </c>
      <c r="L418" t="n">
        <v>0</v>
      </c>
      <c r="M418" t="n">
        <v>0</v>
      </c>
      <c r="N418" t="n">
        <v>0</v>
      </c>
      <c r="O418" t="n">
        <v>0</v>
      </c>
      <c r="P418" t="n">
        <v>0</v>
      </c>
      <c r="Q418" t="n">
        <v>0</v>
      </c>
      <c r="R418" s="2" t="inlineStr"/>
    </row>
    <row r="419" ht="15" customHeight="1">
      <c r="A419" t="inlineStr">
        <is>
          <t>A 35747-2025</t>
        </is>
      </c>
      <c r="B419" s="1" t="n">
        <v>45860.56385416666</v>
      </c>
      <c r="C419" s="1" t="n">
        <v>46115</v>
      </c>
      <c r="D419" t="inlineStr">
        <is>
          <t>ÖSTERGÖTLANDS LÄN</t>
        </is>
      </c>
      <c r="E419" t="inlineStr">
        <is>
          <t>LINKÖPING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27343-2023</t>
        </is>
      </c>
      <c r="B420" s="1" t="n">
        <v>45096</v>
      </c>
      <c r="C420" s="1" t="n">
        <v>46115</v>
      </c>
      <c r="D420" t="inlineStr">
        <is>
          <t>ÖSTERGÖTLANDS LÄN</t>
        </is>
      </c>
      <c r="E420" t="inlineStr">
        <is>
          <t>LINKÖPING</t>
        </is>
      </c>
      <c r="F420" t="inlineStr">
        <is>
          <t>Allmännings- och besparingsskogar</t>
        </is>
      </c>
      <c r="G420" t="n">
        <v>6.9</v>
      </c>
      <c r="H420" t="n">
        <v>0</v>
      </c>
      <c r="I420" t="n">
        <v>0</v>
      </c>
      <c r="J420" t="n">
        <v>0</v>
      </c>
      <c r="K420" t="n">
        <v>0</v>
      </c>
      <c r="L420" t="n">
        <v>0</v>
      </c>
      <c r="M420" t="n">
        <v>0</v>
      </c>
      <c r="N420" t="n">
        <v>0</v>
      </c>
      <c r="O420" t="n">
        <v>0</v>
      </c>
      <c r="P420" t="n">
        <v>0</v>
      </c>
      <c r="Q420" t="n">
        <v>0</v>
      </c>
      <c r="R420" s="2" t="inlineStr"/>
    </row>
    <row r="421" ht="15" customHeight="1">
      <c r="A421" t="inlineStr">
        <is>
          <t>A 35745-2025</t>
        </is>
      </c>
      <c r="B421" s="1" t="n">
        <v>45860.54739583333</v>
      </c>
      <c r="C421" s="1" t="n">
        <v>46115</v>
      </c>
      <c r="D421" t="inlineStr">
        <is>
          <t>ÖSTERGÖTLANDS LÄN</t>
        </is>
      </c>
      <c r="E421" t="inlineStr">
        <is>
          <t>LINKÖPING</t>
        </is>
      </c>
      <c r="G421" t="n">
        <v>4.4</v>
      </c>
      <c r="H421" t="n">
        <v>0</v>
      </c>
      <c r="I421" t="n">
        <v>0</v>
      </c>
      <c r="J421" t="n">
        <v>0</v>
      </c>
      <c r="K421" t="n">
        <v>0</v>
      </c>
      <c r="L421" t="n">
        <v>0</v>
      </c>
      <c r="M421" t="n">
        <v>0</v>
      </c>
      <c r="N421" t="n">
        <v>0</v>
      </c>
      <c r="O421" t="n">
        <v>0</v>
      </c>
      <c r="P421" t="n">
        <v>0</v>
      </c>
      <c r="Q421" t="n">
        <v>0</v>
      </c>
      <c r="R421" s="2" t="inlineStr"/>
    </row>
    <row r="422" ht="15" customHeight="1">
      <c r="A422" t="inlineStr">
        <is>
          <t>A 35757-2025</t>
        </is>
      </c>
      <c r="B422" s="1" t="n">
        <v>45860.59876157407</v>
      </c>
      <c r="C422" s="1" t="n">
        <v>46115</v>
      </c>
      <c r="D422" t="inlineStr">
        <is>
          <t>ÖSTERGÖTLANDS LÄN</t>
        </is>
      </c>
      <c r="E422" t="inlineStr">
        <is>
          <t>LINKÖPING</t>
        </is>
      </c>
      <c r="G422" t="n">
        <v>5.7</v>
      </c>
      <c r="H422" t="n">
        <v>0</v>
      </c>
      <c r="I422" t="n">
        <v>0</v>
      </c>
      <c r="J422" t="n">
        <v>0</v>
      </c>
      <c r="K422" t="n">
        <v>0</v>
      </c>
      <c r="L422" t="n">
        <v>0</v>
      </c>
      <c r="M422" t="n">
        <v>0</v>
      </c>
      <c r="N422" t="n">
        <v>0</v>
      </c>
      <c r="O422" t="n">
        <v>0</v>
      </c>
      <c r="P422" t="n">
        <v>0</v>
      </c>
      <c r="Q422" t="n">
        <v>0</v>
      </c>
      <c r="R422" s="2" t="inlineStr"/>
    </row>
    <row r="423" ht="15" customHeight="1">
      <c r="A423" t="inlineStr">
        <is>
          <t>A 35759-2025</t>
        </is>
      </c>
      <c r="B423" s="1" t="n">
        <v>45860</v>
      </c>
      <c r="C423" s="1" t="n">
        <v>46115</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46115</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22774-2024</t>
        </is>
      </c>
      <c r="B425" s="1" t="n">
        <v>45448.46924768519</v>
      </c>
      <c r="C425" s="1" t="n">
        <v>46115</v>
      </c>
      <c r="D425" t="inlineStr">
        <is>
          <t>ÖSTERGÖTLANDS LÄN</t>
        </is>
      </c>
      <c r="E425" t="inlineStr">
        <is>
          <t>LINKÖPING</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22778-2024</t>
        </is>
      </c>
      <c r="B426" s="1" t="n">
        <v>45448.47233796296</v>
      </c>
      <c r="C426" s="1" t="n">
        <v>46115</v>
      </c>
      <c r="D426" t="inlineStr">
        <is>
          <t>ÖSTERGÖTLANDS LÄN</t>
        </is>
      </c>
      <c r="E426" t="inlineStr">
        <is>
          <t>LINKÖPING</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34864-2023</t>
        </is>
      </c>
      <c r="B427" s="1" t="n">
        <v>45141</v>
      </c>
      <c r="C427" s="1" t="n">
        <v>46115</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52531-2023</t>
        </is>
      </c>
      <c r="B428" s="1" t="n">
        <v>45225</v>
      </c>
      <c r="C428" s="1" t="n">
        <v>46115</v>
      </c>
      <c r="D428" t="inlineStr">
        <is>
          <t>ÖSTERGÖTLANDS LÄN</t>
        </is>
      </c>
      <c r="E428" t="inlineStr">
        <is>
          <t>LINKÖPING</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50056-2025</t>
        </is>
      </c>
      <c r="B429" s="1" t="n">
        <v>45941</v>
      </c>
      <c r="C429" s="1" t="n">
        <v>46115</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34930-2023</t>
        </is>
      </c>
      <c r="B430" s="1" t="n">
        <v>45142</v>
      </c>
      <c r="C430" s="1" t="n">
        <v>46115</v>
      </c>
      <c r="D430" t="inlineStr">
        <is>
          <t>ÖSTERGÖTLANDS LÄN</t>
        </is>
      </c>
      <c r="E430" t="inlineStr">
        <is>
          <t>LINKÖPING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30985-2022</t>
        </is>
      </c>
      <c r="B431" s="1" t="n">
        <v>44768</v>
      </c>
      <c r="C431" s="1" t="n">
        <v>46115</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46115</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59642-2024</t>
        </is>
      </c>
      <c r="B433" s="1" t="n">
        <v>45639.31511574074</v>
      </c>
      <c r="C433" s="1" t="n">
        <v>46115</v>
      </c>
      <c r="D433" t="inlineStr">
        <is>
          <t>ÖSTERGÖTLANDS LÄN</t>
        </is>
      </c>
      <c r="E433" t="inlineStr">
        <is>
          <t>LINKÖPING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15748-2025</t>
        </is>
      </c>
      <c r="B434" s="1" t="n">
        <v>45748.55282407408</v>
      </c>
      <c r="C434" s="1" t="n">
        <v>46115</v>
      </c>
      <c r="D434" t="inlineStr">
        <is>
          <t>ÖSTERGÖTLANDS LÄN</t>
        </is>
      </c>
      <c r="E434" t="inlineStr">
        <is>
          <t>LINKÖPING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31792-2021</t>
        </is>
      </c>
      <c r="B435" s="1" t="n">
        <v>44369</v>
      </c>
      <c r="C435" s="1" t="n">
        <v>46115</v>
      </c>
      <c r="D435" t="inlineStr">
        <is>
          <t>ÖSTERGÖTLANDS LÄN</t>
        </is>
      </c>
      <c r="E435" t="inlineStr">
        <is>
          <t>LINKÖPING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25097-2023</t>
        </is>
      </c>
      <c r="B436" s="1" t="n">
        <v>45086</v>
      </c>
      <c r="C436" s="1" t="n">
        <v>46115</v>
      </c>
      <c r="D436" t="inlineStr">
        <is>
          <t>ÖSTERGÖTLANDS LÄN</t>
        </is>
      </c>
      <c r="E436" t="inlineStr">
        <is>
          <t>LINKÖPING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35735-2023</t>
        </is>
      </c>
      <c r="B437" s="1" t="n">
        <v>45147</v>
      </c>
      <c r="C437" s="1" t="n">
        <v>46115</v>
      </c>
      <c r="D437" t="inlineStr">
        <is>
          <t>ÖSTERGÖTLANDS LÄN</t>
        </is>
      </c>
      <c r="E437" t="inlineStr">
        <is>
          <t>LINKÖPING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16462-2021</t>
        </is>
      </c>
      <c r="B438" s="1" t="n">
        <v>44293</v>
      </c>
      <c r="C438" s="1" t="n">
        <v>46115</v>
      </c>
      <c r="D438" t="inlineStr">
        <is>
          <t>ÖSTERGÖTLANDS LÄN</t>
        </is>
      </c>
      <c r="E438" t="inlineStr">
        <is>
          <t>LINKÖPING</t>
        </is>
      </c>
      <c r="F438" t="inlineStr">
        <is>
          <t>Allmännings- och besparingsskogar</t>
        </is>
      </c>
      <c r="G438" t="n">
        <v>24.7</v>
      </c>
      <c r="H438" t="n">
        <v>0</v>
      </c>
      <c r="I438" t="n">
        <v>0</v>
      </c>
      <c r="J438" t="n">
        <v>0</v>
      </c>
      <c r="K438" t="n">
        <v>0</v>
      </c>
      <c r="L438" t="n">
        <v>0</v>
      </c>
      <c r="M438" t="n">
        <v>0</v>
      </c>
      <c r="N438" t="n">
        <v>0</v>
      </c>
      <c r="O438" t="n">
        <v>0</v>
      </c>
      <c r="P438" t="n">
        <v>0</v>
      </c>
      <c r="Q438" t="n">
        <v>0</v>
      </c>
      <c r="R438" s="2" t="inlineStr"/>
    </row>
    <row r="439" ht="15" customHeight="1">
      <c r="A439" t="inlineStr">
        <is>
          <t>A 25776-2021</t>
        </is>
      </c>
      <c r="B439" s="1" t="n">
        <v>44343</v>
      </c>
      <c r="C439" s="1" t="n">
        <v>46115</v>
      </c>
      <c r="D439" t="inlineStr">
        <is>
          <t>ÖSTERGÖTLANDS LÄN</t>
        </is>
      </c>
      <c r="E439" t="inlineStr">
        <is>
          <t>LINKÖPING</t>
        </is>
      </c>
      <c r="G439" t="n">
        <v>2.6</v>
      </c>
      <c r="H439" t="n">
        <v>0</v>
      </c>
      <c r="I439" t="n">
        <v>0</v>
      </c>
      <c r="J439" t="n">
        <v>0</v>
      </c>
      <c r="K439" t="n">
        <v>0</v>
      </c>
      <c r="L439" t="n">
        <v>0</v>
      </c>
      <c r="M439" t="n">
        <v>0</v>
      </c>
      <c r="N439" t="n">
        <v>0</v>
      </c>
      <c r="O439" t="n">
        <v>0</v>
      </c>
      <c r="P439" t="n">
        <v>0</v>
      </c>
      <c r="Q439" t="n">
        <v>0</v>
      </c>
      <c r="R439" s="2" t="inlineStr"/>
    </row>
    <row r="440" ht="15" customHeight="1">
      <c r="A440" t="inlineStr">
        <is>
          <t>A 30856-2022</t>
        </is>
      </c>
      <c r="B440" s="1" t="n">
        <v>44767</v>
      </c>
      <c r="C440" s="1" t="n">
        <v>46115</v>
      </c>
      <c r="D440" t="inlineStr">
        <is>
          <t>ÖSTERGÖTLANDS LÄN</t>
        </is>
      </c>
      <c r="E440" t="inlineStr">
        <is>
          <t>LINKÖPING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37057-2025</t>
        </is>
      </c>
      <c r="B441" s="1" t="n">
        <v>45875.37489583333</v>
      </c>
      <c r="C441" s="1" t="n">
        <v>46115</v>
      </c>
      <c r="D441" t="inlineStr">
        <is>
          <t>ÖSTERGÖTLANDS LÄN</t>
        </is>
      </c>
      <c r="E441" t="inlineStr">
        <is>
          <t>LINKÖPING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19187-2021</t>
        </is>
      </c>
      <c r="B442" s="1" t="n">
        <v>44308</v>
      </c>
      <c r="C442" s="1" t="n">
        <v>46115</v>
      </c>
      <c r="D442" t="inlineStr">
        <is>
          <t>ÖSTERGÖTLANDS LÄN</t>
        </is>
      </c>
      <c r="E442" t="inlineStr">
        <is>
          <t>LINKÖPING</t>
        </is>
      </c>
      <c r="F442" t="inlineStr">
        <is>
          <t>Allmännings- och besparingsskogar</t>
        </is>
      </c>
      <c r="G442" t="n">
        <v>20</v>
      </c>
      <c r="H442" t="n">
        <v>0</v>
      </c>
      <c r="I442" t="n">
        <v>0</v>
      </c>
      <c r="J442" t="n">
        <v>0</v>
      </c>
      <c r="K442" t="n">
        <v>0</v>
      </c>
      <c r="L442" t="n">
        <v>0</v>
      </c>
      <c r="M442" t="n">
        <v>0</v>
      </c>
      <c r="N442" t="n">
        <v>0</v>
      </c>
      <c r="O442" t="n">
        <v>0</v>
      </c>
      <c r="P442" t="n">
        <v>0</v>
      </c>
      <c r="Q442" t="n">
        <v>0</v>
      </c>
      <c r="R442" s="2" t="inlineStr"/>
    </row>
    <row r="443" ht="15" customHeight="1">
      <c r="A443" t="inlineStr">
        <is>
          <t>A 39219-2021</t>
        </is>
      </c>
      <c r="B443" s="1" t="n">
        <v>44413</v>
      </c>
      <c r="C443" s="1" t="n">
        <v>46115</v>
      </c>
      <c r="D443" t="inlineStr">
        <is>
          <t>ÖSTERGÖTLANDS LÄN</t>
        </is>
      </c>
      <c r="E443" t="inlineStr">
        <is>
          <t>LINKÖPING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39224-2021</t>
        </is>
      </c>
      <c r="B444" s="1" t="n">
        <v>44413</v>
      </c>
      <c r="C444" s="1" t="n">
        <v>46115</v>
      </c>
      <c r="D444" t="inlineStr">
        <is>
          <t>ÖSTERGÖTLANDS LÄN</t>
        </is>
      </c>
      <c r="E444" t="inlineStr">
        <is>
          <t>LINKÖPING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25829-2025</t>
        </is>
      </c>
      <c r="B445" s="1" t="n">
        <v>45804.44505787037</v>
      </c>
      <c r="C445" s="1" t="n">
        <v>46115</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43934-2023</t>
        </is>
      </c>
      <c r="B446" s="1" t="n">
        <v>45187</v>
      </c>
      <c r="C446" s="1" t="n">
        <v>46115</v>
      </c>
      <c r="D446" t="inlineStr">
        <is>
          <t>ÖSTERGÖTLANDS LÄN</t>
        </is>
      </c>
      <c r="E446" t="inlineStr">
        <is>
          <t>LINKÖPING</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55004-2025</t>
        </is>
      </c>
      <c r="B447" s="1" t="n">
        <v>45967</v>
      </c>
      <c r="C447" s="1" t="n">
        <v>46115</v>
      </c>
      <c r="D447" t="inlineStr">
        <is>
          <t>ÖSTERGÖTLANDS LÄN</t>
        </is>
      </c>
      <c r="E447" t="inlineStr">
        <is>
          <t>LINKÖPING</t>
        </is>
      </c>
      <c r="G447" t="n">
        <v>2.5</v>
      </c>
      <c r="H447" t="n">
        <v>0</v>
      </c>
      <c r="I447" t="n">
        <v>0</v>
      </c>
      <c r="J447" t="n">
        <v>0</v>
      </c>
      <c r="K447" t="n">
        <v>0</v>
      </c>
      <c r="L447" t="n">
        <v>0</v>
      </c>
      <c r="M447" t="n">
        <v>0</v>
      </c>
      <c r="N447" t="n">
        <v>0</v>
      </c>
      <c r="O447" t="n">
        <v>0</v>
      </c>
      <c r="P447" t="n">
        <v>0</v>
      </c>
      <c r="Q447" t="n">
        <v>0</v>
      </c>
      <c r="R447" s="2" t="inlineStr"/>
    </row>
    <row r="448" ht="15" customHeight="1">
      <c r="A448" t="inlineStr">
        <is>
          <t>A 7354-2025</t>
        </is>
      </c>
      <c r="B448" s="1" t="n">
        <v>45704.41174768518</v>
      </c>
      <c r="C448" s="1" t="n">
        <v>46115</v>
      </c>
      <c r="D448" t="inlineStr">
        <is>
          <t>ÖSTERGÖTLANDS LÄN</t>
        </is>
      </c>
      <c r="E448" t="inlineStr">
        <is>
          <t>LINKÖPING</t>
        </is>
      </c>
      <c r="G448" t="n">
        <v>4.8</v>
      </c>
      <c r="H448" t="n">
        <v>0</v>
      </c>
      <c r="I448" t="n">
        <v>0</v>
      </c>
      <c r="J448" t="n">
        <v>0</v>
      </c>
      <c r="K448" t="n">
        <v>0</v>
      </c>
      <c r="L448" t="n">
        <v>0</v>
      </c>
      <c r="M448" t="n">
        <v>0</v>
      </c>
      <c r="N448" t="n">
        <v>0</v>
      </c>
      <c r="O448" t="n">
        <v>0</v>
      </c>
      <c r="P448" t="n">
        <v>0</v>
      </c>
      <c r="Q448" t="n">
        <v>0</v>
      </c>
      <c r="R448" s="2" t="inlineStr"/>
    </row>
    <row r="449" ht="15" customHeight="1">
      <c r="A449" t="inlineStr">
        <is>
          <t>A 63935-2021</t>
        </is>
      </c>
      <c r="B449" s="1" t="n">
        <v>44509</v>
      </c>
      <c r="C449" s="1" t="n">
        <v>46115</v>
      </c>
      <c r="D449" t="inlineStr">
        <is>
          <t>ÖSTERGÖTLANDS LÄN</t>
        </is>
      </c>
      <c r="E449" t="inlineStr">
        <is>
          <t>LINKÖPING</t>
        </is>
      </c>
      <c r="F449" t="inlineStr">
        <is>
          <t>Övriga statliga verk och myndigheter</t>
        </is>
      </c>
      <c r="G449" t="n">
        <v>2.8</v>
      </c>
      <c r="H449" t="n">
        <v>0</v>
      </c>
      <c r="I449" t="n">
        <v>0</v>
      </c>
      <c r="J449" t="n">
        <v>0</v>
      </c>
      <c r="K449" t="n">
        <v>0</v>
      </c>
      <c r="L449" t="n">
        <v>0</v>
      </c>
      <c r="M449" t="n">
        <v>0</v>
      </c>
      <c r="N449" t="n">
        <v>0</v>
      </c>
      <c r="O449" t="n">
        <v>0</v>
      </c>
      <c r="P449" t="n">
        <v>0</v>
      </c>
      <c r="Q449" t="n">
        <v>0</v>
      </c>
      <c r="R449" s="2" t="inlineStr"/>
    </row>
    <row r="450" ht="15" customHeight="1">
      <c r="A450" t="inlineStr">
        <is>
          <t>A 59205-2025</t>
        </is>
      </c>
      <c r="B450" s="1" t="n">
        <v>45988.60721064815</v>
      </c>
      <c r="C450" s="1" t="n">
        <v>46115</v>
      </c>
      <c r="D450" t="inlineStr">
        <is>
          <t>ÖSTERGÖTLANDS LÄN</t>
        </is>
      </c>
      <c r="E450" t="inlineStr">
        <is>
          <t>LINKÖPING</t>
        </is>
      </c>
      <c r="F450" t="inlineStr">
        <is>
          <t>Sveaskog</t>
        </is>
      </c>
      <c r="G450" t="n">
        <v>11.3</v>
      </c>
      <c r="H450" t="n">
        <v>0</v>
      </c>
      <c r="I450" t="n">
        <v>0</v>
      </c>
      <c r="J450" t="n">
        <v>0</v>
      </c>
      <c r="K450" t="n">
        <v>0</v>
      </c>
      <c r="L450" t="n">
        <v>0</v>
      </c>
      <c r="M450" t="n">
        <v>0</v>
      </c>
      <c r="N450" t="n">
        <v>0</v>
      </c>
      <c r="O450" t="n">
        <v>0</v>
      </c>
      <c r="P450" t="n">
        <v>0</v>
      </c>
      <c r="Q450" t="n">
        <v>0</v>
      </c>
      <c r="R450" s="2" t="inlineStr"/>
    </row>
    <row r="451" ht="15" customHeight="1">
      <c r="A451" t="inlineStr">
        <is>
          <t>A 40810-2022</t>
        </is>
      </c>
      <c r="B451" s="1" t="n">
        <v>44824</v>
      </c>
      <c r="C451" s="1" t="n">
        <v>46115</v>
      </c>
      <c r="D451" t="inlineStr">
        <is>
          <t>ÖSTERGÖTLANDS LÄN</t>
        </is>
      </c>
      <c r="E451" t="inlineStr">
        <is>
          <t>LINKÖPING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58802-2025</t>
        </is>
      </c>
      <c r="B452" s="1" t="n">
        <v>45986.8768287037</v>
      </c>
      <c r="C452" s="1" t="n">
        <v>46115</v>
      </c>
      <c r="D452" t="inlineStr">
        <is>
          <t>ÖSTERGÖTLANDS LÄN</t>
        </is>
      </c>
      <c r="E452" t="inlineStr">
        <is>
          <t>LINKÖPING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38046-2025</t>
        </is>
      </c>
      <c r="B453" s="1" t="n">
        <v>45882.39939814815</v>
      </c>
      <c r="C453" s="1" t="n">
        <v>46115</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59472-2025</t>
        </is>
      </c>
      <c r="B454" s="1" t="n">
        <v>45989.58321759259</v>
      </c>
      <c r="C454" s="1" t="n">
        <v>46115</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20298-2025</t>
        </is>
      </c>
      <c r="B455" s="1" t="n">
        <v>45774.75024305555</v>
      </c>
      <c r="C455" s="1" t="n">
        <v>46115</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14576-2023</t>
        </is>
      </c>
      <c r="B456" s="1" t="n">
        <v>45013</v>
      </c>
      <c r="C456" s="1" t="n">
        <v>46115</v>
      </c>
      <c r="D456" t="inlineStr">
        <is>
          <t>ÖSTERGÖTLANDS LÄN</t>
        </is>
      </c>
      <c r="E456" t="inlineStr">
        <is>
          <t>LINKÖPING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12089-2025</t>
        </is>
      </c>
      <c r="B457" s="1" t="n">
        <v>45729</v>
      </c>
      <c r="C457" s="1" t="n">
        <v>46115</v>
      </c>
      <c r="D457" t="inlineStr">
        <is>
          <t>ÖSTERGÖTLANDS LÄN</t>
        </is>
      </c>
      <c r="E457" t="inlineStr">
        <is>
          <t>LINKÖPING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60087-2025</t>
        </is>
      </c>
      <c r="B458" s="1" t="n">
        <v>45993.71726851852</v>
      </c>
      <c r="C458" s="1" t="n">
        <v>46115</v>
      </c>
      <c r="D458" t="inlineStr">
        <is>
          <t>ÖSTERGÖTLANDS LÄN</t>
        </is>
      </c>
      <c r="E458" t="inlineStr">
        <is>
          <t>LINKÖPING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60284-2025</t>
        </is>
      </c>
      <c r="B459" s="1" t="n">
        <v>45994.64373842593</v>
      </c>
      <c r="C459" s="1" t="n">
        <v>46115</v>
      </c>
      <c r="D459" t="inlineStr">
        <is>
          <t>ÖSTERGÖTLANDS LÄN</t>
        </is>
      </c>
      <c r="E459" t="inlineStr">
        <is>
          <t>LINKÖPING</t>
        </is>
      </c>
      <c r="G459" t="n">
        <v>3.5</v>
      </c>
      <c r="H459" t="n">
        <v>0</v>
      </c>
      <c r="I459" t="n">
        <v>0</v>
      </c>
      <c r="J459" t="n">
        <v>0</v>
      </c>
      <c r="K459" t="n">
        <v>0</v>
      </c>
      <c r="L459" t="n">
        <v>0</v>
      </c>
      <c r="M459" t="n">
        <v>0</v>
      </c>
      <c r="N459" t="n">
        <v>0</v>
      </c>
      <c r="O459" t="n">
        <v>0</v>
      </c>
      <c r="P459" t="n">
        <v>0</v>
      </c>
      <c r="Q459" t="n">
        <v>0</v>
      </c>
      <c r="R459" s="2" t="inlineStr"/>
    </row>
    <row r="460" ht="15" customHeight="1">
      <c r="A460" t="inlineStr">
        <is>
          <t>A 60306-2025</t>
        </is>
      </c>
      <c r="B460" s="1" t="n">
        <v>45994.68326388889</v>
      </c>
      <c r="C460" s="1" t="n">
        <v>46115</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60703-2025</t>
        </is>
      </c>
      <c r="B461" s="1" t="n">
        <v>45996.6052662037</v>
      </c>
      <c r="C461" s="1" t="n">
        <v>46115</v>
      </c>
      <c r="D461" t="inlineStr">
        <is>
          <t>ÖSTERGÖTLANDS LÄN</t>
        </is>
      </c>
      <c r="E461" t="inlineStr">
        <is>
          <t>LINKÖPING</t>
        </is>
      </c>
      <c r="F461" t="inlineStr">
        <is>
          <t>Övriga Aktiebolag</t>
        </is>
      </c>
      <c r="G461" t="n">
        <v>1.3</v>
      </c>
      <c r="H461" t="n">
        <v>0</v>
      </c>
      <c r="I461" t="n">
        <v>0</v>
      </c>
      <c r="J461" t="n">
        <v>0</v>
      </c>
      <c r="K461" t="n">
        <v>0</v>
      </c>
      <c r="L461" t="n">
        <v>0</v>
      </c>
      <c r="M461" t="n">
        <v>0</v>
      </c>
      <c r="N461" t="n">
        <v>0</v>
      </c>
      <c r="O461" t="n">
        <v>0</v>
      </c>
      <c r="P461" t="n">
        <v>0</v>
      </c>
      <c r="Q461" t="n">
        <v>0</v>
      </c>
      <c r="R461" s="2" t="inlineStr"/>
    </row>
    <row r="462" ht="15" customHeight="1">
      <c r="A462" t="inlineStr">
        <is>
          <t>A 62321-2022</t>
        </is>
      </c>
      <c r="B462" s="1" t="n">
        <v>44916</v>
      </c>
      <c r="C462" s="1" t="n">
        <v>46115</v>
      </c>
      <c r="D462" t="inlineStr">
        <is>
          <t>ÖSTERGÖTLANDS LÄN</t>
        </is>
      </c>
      <c r="E462" t="inlineStr">
        <is>
          <t>LINKÖPING</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43475-2024</t>
        </is>
      </c>
      <c r="B463" s="1" t="n">
        <v>45568</v>
      </c>
      <c r="C463" s="1" t="n">
        <v>46115</v>
      </c>
      <c r="D463" t="inlineStr">
        <is>
          <t>ÖSTERGÖTLANDS LÄN</t>
        </is>
      </c>
      <c r="E463" t="inlineStr">
        <is>
          <t>LINKÖPING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17103-2025</t>
        </is>
      </c>
      <c r="B464" s="1" t="n">
        <v>45755.66143518518</v>
      </c>
      <c r="C464" s="1" t="n">
        <v>46115</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30551-2023</t>
        </is>
      </c>
      <c r="B465" s="1" t="n">
        <v>45111</v>
      </c>
      <c r="C465" s="1" t="n">
        <v>46115</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50784-2022</t>
        </is>
      </c>
      <c r="B466" s="1" t="n">
        <v>44862</v>
      </c>
      <c r="C466" s="1" t="n">
        <v>46115</v>
      </c>
      <c r="D466" t="inlineStr">
        <is>
          <t>ÖSTERGÖTLANDS LÄN</t>
        </is>
      </c>
      <c r="E466" t="inlineStr">
        <is>
          <t>LINKÖPING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61230-2025</t>
        </is>
      </c>
      <c r="B467" s="1" t="n">
        <v>46000.63111111111</v>
      </c>
      <c r="C467" s="1" t="n">
        <v>46115</v>
      </c>
      <c r="D467" t="inlineStr">
        <is>
          <t>ÖSTERGÖTLANDS LÄN</t>
        </is>
      </c>
      <c r="E467" t="inlineStr">
        <is>
          <t>LINKÖPING</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46115</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60866-2025</t>
        </is>
      </c>
      <c r="B469" s="1" t="n">
        <v>45999</v>
      </c>
      <c r="C469" s="1" t="n">
        <v>46115</v>
      </c>
      <c r="D469" t="inlineStr">
        <is>
          <t>ÖSTERGÖTLANDS LÄN</t>
        </is>
      </c>
      <c r="E469" t="inlineStr">
        <is>
          <t>LINKÖPING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49656-2021</t>
        </is>
      </c>
      <c r="B470" s="1" t="n">
        <v>44454</v>
      </c>
      <c r="C470" s="1" t="n">
        <v>46115</v>
      </c>
      <c r="D470" t="inlineStr">
        <is>
          <t>ÖSTERGÖTLANDS LÄN</t>
        </is>
      </c>
      <c r="E470" t="inlineStr">
        <is>
          <t>LINKÖPING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61643-2025</t>
        </is>
      </c>
      <c r="B471" s="1" t="n">
        <v>46002.43575231481</v>
      </c>
      <c r="C471" s="1" t="n">
        <v>46115</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30465-2023</t>
        </is>
      </c>
      <c r="B472" s="1" t="n">
        <v>45111</v>
      </c>
      <c r="C472" s="1" t="n">
        <v>46115</v>
      </c>
      <c r="D472" t="inlineStr">
        <is>
          <t>ÖSTERGÖTLANDS LÄN</t>
        </is>
      </c>
      <c r="E472" t="inlineStr">
        <is>
          <t>LINKÖPING</t>
        </is>
      </c>
      <c r="F472" t="inlineStr">
        <is>
          <t>Övriga Aktiebolag</t>
        </is>
      </c>
      <c r="G472" t="n">
        <v>0.7</v>
      </c>
      <c r="H472" t="n">
        <v>0</v>
      </c>
      <c r="I472" t="n">
        <v>0</v>
      </c>
      <c r="J472" t="n">
        <v>0</v>
      </c>
      <c r="K472" t="n">
        <v>0</v>
      </c>
      <c r="L472" t="n">
        <v>0</v>
      </c>
      <c r="M472" t="n">
        <v>0</v>
      </c>
      <c r="N472" t="n">
        <v>0</v>
      </c>
      <c r="O472" t="n">
        <v>0</v>
      </c>
      <c r="P472" t="n">
        <v>0</v>
      </c>
      <c r="Q472" t="n">
        <v>0</v>
      </c>
      <c r="R472" s="2" t="inlineStr"/>
    </row>
    <row r="473" ht="15" customHeight="1">
      <c r="A473" t="inlineStr">
        <is>
          <t>A 30521-2024</t>
        </is>
      </c>
      <c r="B473" s="1" t="n">
        <v>45492</v>
      </c>
      <c r="C473" s="1" t="n">
        <v>46115</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40618-2021</t>
        </is>
      </c>
      <c r="B474" s="1" t="n">
        <v>44420.49575231481</v>
      </c>
      <c r="C474" s="1" t="n">
        <v>46115</v>
      </c>
      <c r="D474" t="inlineStr">
        <is>
          <t>ÖSTERGÖTLANDS LÄN</t>
        </is>
      </c>
      <c r="E474" t="inlineStr">
        <is>
          <t>LINKÖPING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61447-2025</t>
        </is>
      </c>
      <c r="B475" s="1" t="n">
        <v>46001.57554398148</v>
      </c>
      <c r="C475" s="1" t="n">
        <v>46115</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61645-2025</t>
        </is>
      </c>
      <c r="B476" s="1" t="n">
        <v>46002.43697916667</v>
      </c>
      <c r="C476" s="1" t="n">
        <v>46115</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23735-2023</t>
        </is>
      </c>
      <c r="B477" s="1" t="n">
        <v>45077</v>
      </c>
      <c r="C477" s="1" t="n">
        <v>46115</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350-2022</t>
        </is>
      </c>
      <c r="B478" s="1" t="n">
        <v>44565</v>
      </c>
      <c r="C478" s="1" t="n">
        <v>46115</v>
      </c>
      <c r="D478" t="inlineStr">
        <is>
          <t>ÖSTERGÖTLANDS LÄN</t>
        </is>
      </c>
      <c r="E478" t="inlineStr">
        <is>
          <t>LINKÖPING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4256-2022</t>
        </is>
      </c>
      <c r="B479" s="1" t="n">
        <v>44588</v>
      </c>
      <c r="C479" s="1" t="n">
        <v>46115</v>
      </c>
      <c r="D479" t="inlineStr">
        <is>
          <t>ÖSTERGÖTLANDS LÄN</t>
        </is>
      </c>
      <c r="E479" t="inlineStr">
        <is>
          <t>LINKÖPING</t>
        </is>
      </c>
      <c r="G479" t="n">
        <v>1.4</v>
      </c>
      <c r="H479" t="n">
        <v>0</v>
      </c>
      <c r="I479" t="n">
        <v>0</v>
      </c>
      <c r="J479" t="n">
        <v>0</v>
      </c>
      <c r="K479" t="n">
        <v>0</v>
      </c>
      <c r="L479" t="n">
        <v>0</v>
      </c>
      <c r="M479" t="n">
        <v>0</v>
      </c>
      <c r="N479" t="n">
        <v>0</v>
      </c>
      <c r="O479" t="n">
        <v>0</v>
      </c>
      <c r="P479" t="n">
        <v>0</v>
      </c>
      <c r="Q479" t="n">
        <v>0</v>
      </c>
      <c r="R479" s="2" t="inlineStr"/>
    </row>
    <row r="480" ht="15" customHeight="1">
      <c r="A480" t="inlineStr">
        <is>
          <t>A 25948-2023</t>
        </is>
      </c>
      <c r="B480" s="1" t="n">
        <v>45090</v>
      </c>
      <c r="C480" s="1" t="n">
        <v>46115</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61899-2025</t>
        </is>
      </c>
      <c r="B481" s="1" t="n">
        <v>46003.46635416667</v>
      </c>
      <c r="C481" s="1" t="n">
        <v>46115</v>
      </c>
      <c r="D481" t="inlineStr">
        <is>
          <t>ÖSTERGÖTLANDS LÄN</t>
        </is>
      </c>
      <c r="E481" t="inlineStr">
        <is>
          <t>LINKÖPING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62791-2025</t>
        </is>
      </c>
      <c r="B482" s="1" t="n">
        <v>46008.63266203704</v>
      </c>
      <c r="C482" s="1" t="n">
        <v>46115</v>
      </c>
      <c r="D482" t="inlineStr">
        <is>
          <t>ÖSTERGÖTLANDS LÄN</t>
        </is>
      </c>
      <c r="E482" t="inlineStr">
        <is>
          <t>LINKÖPING</t>
        </is>
      </c>
      <c r="G482" t="n">
        <v>2.4</v>
      </c>
      <c r="H482" t="n">
        <v>0</v>
      </c>
      <c r="I482" t="n">
        <v>0</v>
      </c>
      <c r="J482" t="n">
        <v>0</v>
      </c>
      <c r="K482" t="n">
        <v>0</v>
      </c>
      <c r="L482" t="n">
        <v>0</v>
      </c>
      <c r="M482" t="n">
        <v>0</v>
      </c>
      <c r="N482" t="n">
        <v>0</v>
      </c>
      <c r="O482" t="n">
        <v>0</v>
      </c>
      <c r="P482" t="n">
        <v>0</v>
      </c>
      <c r="Q482" t="n">
        <v>0</v>
      </c>
      <c r="R482" s="2" t="inlineStr"/>
    </row>
    <row r="483" ht="15" customHeight="1">
      <c r="A483" t="inlineStr">
        <is>
          <t>A 33867-2023</t>
        </is>
      </c>
      <c r="B483" s="1" t="n">
        <v>45133.94640046296</v>
      </c>
      <c r="C483" s="1" t="n">
        <v>46115</v>
      </c>
      <c r="D483" t="inlineStr">
        <is>
          <t>ÖSTERGÖTLANDS LÄN</t>
        </is>
      </c>
      <c r="E483" t="inlineStr">
        <is>
          <t>LINKÖPING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62686-2025</t>
        </is>
      </c>
      <c r="B484" s="1" t="n">
        <v>46008.46769675926</v>
      </c>
      <c r="C484" s="1" t="n">
        <v>46115</v>
      </c>
      <c r="D484" t="inlineStr">
        <is>
          <t>ÖSTERGÖTLANDS LÄN</t>
        </is>
      </c>
      <c r="E484" t="inlineStr">
        <is>
          <t>LINKÖPING</t>
        </is>
      </c>
      <c r="G484" t="n">
        <v>7.6</v>
      </c>
      <c r="H484" t="n">
        <v>0</v>
      </c>
      <c r="I484" t="n">
        <v>0</v>
      </c>
      <c r="J484" t="n">
        <v>0</v>
      </c>
      <c r="K484" t="n">
        <v>0</v>
      </c>
      <c r="L484" t="n">
        <v>0</v>
      </c>
      <c r="M484" t="n">
        <v>0</v>
      </c>
      <c r="N484" t="n">
        <v>0</v>
      </c>
      <c r="O484" t="n">
        <v>0</v>
      </c>
      <c r="P484" t="n">
        <v>0</v>
      </c>
      <c r="Q484" t="n">
        <v>0</v>
      </c>
      <c r="R484" s="2" t="inlineStr"/>
    </row>
    <row r="485" ht="15" customHeight="1">
      <c r="A485" t="inlineStr">
        <is>
          <t>A 24462-2023</t>
        </is>
      </c>
      <c r="B485" s="1" t="n">
        <v>45082</v>
      </c>
      <c r="C485" s="1" t="n">
        <v>46115</v>
      </c>
      <c r="D485" t="inlineStr">
        <is>
          <t>ÖSTERGÖTLANDS LÄN</t>
        </is>
      </c>
      <c r="E485" t="inlineStr">
        <is>
          <t>LINKÖPING</t>
        </is>
      </c>
      <c r="G485" t="n">
        <v>3.5</v>
      </c>
      <c r="H485" t="n">
        <v>0</v>
      </c>
      <c r="I485" t="n">
        <v>0</v>
      </c>
      <c r="J485" t="n">
        <v>0</v>
      </c>
      <c r="K485" t="n">
        <v>0</v>
      </c>
      <c r="L485" t="n">
        <v>0</v>
      </c>
      <c r="M485" t="n">
        <v>0</v>
      </c>
      <c r="N485" t="n">
        <v>0</v>
      </c>
      <c r="O485" t="n">
        <v>0</v>
      </c>
      <c r="P485" t="n">
        <v>0</v>
      </c>
      <c r="Q485" t="n">
        <v>0</v>
      </c>
      <c r="R485" s="2" t="inlineStr"/>
    </row>
    <row r="486" ht="15" customHeight="1">
      <c r="A486" t="inlineStr">
        <is>
          <t>A 62515-2025</t>
        </is>
      </c>
      <c r="B486" s="1" t="n">
        <v>46007.60548611111</v>
      </c>
      <c r="C486" s="1" t="n">
        <v>46115</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63147-2025</t>
        </is>
      </c>
      <c r="B487" s="1" t="n">
        <v>46010.35003472222</v>
      </c>
      <c r="C487" s="1" t="n">
        <v>46115</v>
      </c>
      <c r="D487" t="inlineStr">
        <is>
          <t>ÖSTERGÖTLANDS LÄN</t>
        </is>
      </c>
      <c r="E487" t="inlineStr">
        <is>
          <t>LINKÖPING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48829-2023</t>
        </is>
      </c>
      <c r="B488" s="1" t="n">
        <v>45209.38177083333</v>
      </c>
      <c r="C488" s="1" t="n">
        <v>46115</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63144-2025</t>
        </is>
      </c>
      <c r="B489" s="1" t="n">
        <v>46010.34716435185</v>
      </c>
      <c r="C489" s="1" t="n">
        <v>46115</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38231-2022</t>
        </is>
      </c>
      <c r="B490" s="1" t="n">
        <v>44812</v>
      </c>
      <c r="C490" s="1" t="n">
        <v>46115</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50799-2022</t>
        </is>
      </c>
      <c r="B491" s="1" t="n">
        <v>44862</v>
      </c>
      <c r="C491" s="1" t="n">
        <v>46115</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40431-2024</t>
        </is>
      </c>
      <c r="B492" s="1" t="n">
        <v>45555.47070601852</v>
      </c>
      <c r="C492" s="1" t="n">
        <v>46115</v>
      </c>
      <c r="D492" t="inlineStr">
        <is>
          <t>ÖSTERGÖTLANDS LÄN</t>
        </is>
      </c>
      <c r="E492" t="inlineStr">
        <is>
          <t>LINKÖPING</t>
        </is>
      </c>
      <c r="F492" t="inlineStr">
        <is>
          <t>Allmännings- och besparingsskogar</t>
        </is>
      </c>
      <c r="G492" t="n">
        <v>2.9</v>
      </c>
      <c r="H492" t="n">
        <v>0</v>
      </c>
      <c r="I492" t="n">
        <v>0</v>
      </c>
      <c r="J492" t="n">
        <v>0</v>
      </c>
      <c r="K492" t="n">
        <v>0</v>
      </c>
      <c r="L492" t="n">
        <v>0</v>
      </c>
      <c r="M492" t="n">
        <v>0</v>
      </c>
      <c r="N492" t="n">
        <v>0</v>
      </c>
      <c r="O492" t="n">
        <v>0</v>
      </c>
      <c r="P492" t="n">
        <v>0</v>
      </c>
      <c r="Q492" t="n">
        <v>0</v>
      </c>
      <c r="R492" s="2" t="inlineStr"/>
    </row>
    <row r="493" ht="15" customHeight="1">
      <c r="A493" t="inlineStr">
        <is>
          <t>A 267-2023</t>
        </is>
      </c>
      <c r="B493" s="1" t="n">
        <v>44928.80907407407</v>
      </c>
      <c r="C493" s="1" t="n">
        <v>46115</v>
      </c>
      <c r="D493" t="inlineStr">
        <is>
          <t>ÖSTERGÖTLANDS LÄN</t>
        </is>
      </c>
      <c r="E493" t="inlineStr">
        <is>
          <t>LINKÖPING</t>
        </is>
      </c>
      <c r="G493" t="n">
        <v>2.7</v>
      </c>
      <c r="H493" t="n">
        <v>0</v>
      </c>
      <c r="I493" t="n">
        <v>0</v>
      </c>
      <c r="J493" t="n">
        <v>0</v>
      </c>
      <c r="K493" t="n">
        <v>0</v>
      </c>
      <c r="L493" t="n">
        <v>0</v>
      </c>
      <c r="M493" t="n">
        <v>0</v>
      </c>
      <c r="N493" t="n">
        <v>0</v>
      </c>
      <c r="O493" t="n">
        <v>0</v>
      </c>
      <c r="P493" t="n">
        <v>0</v>
      </c>
      <c r="Q493" t="n">
        <v>0</v>
      </c>
      <c r="R493" s="2" t="inlineStr"/>
    </row>
    <row r="494" ht="15" customHeight="1">
      <c r="A494" t="inlineStr">
        <is>
          <t>A 26618-2023</t>
        </is>
      </c>
      <c r="B494" s="1" t="n">
        <v>45092.70306712963</v>
      </c>
      <c r="C494" s="1" t="n">
        <v>46115</v>
      </c>
      <c r="D494" t="inlineStr">
        <is>
          <t>ÖSTERGÖTLANDS LÄN</t>
        </is>
      </c>
      <c r="E494" t="inlineStr">
        <is>
          <t>LINKÖPING</t>
        </is>
      </c>
      <c r="G494" t="n">
        <v>6.9</v>
      </c>
      <c r="H494" t="n">
        <v>0</v>
      </c>
      <c r="I494" t="n">
        <v>0</v>
      </c>
      <c r="J494" t="n">
        <v>0</v>
      </c>
      <c r="K494" t="n">
        <v>0</v>
      </c>
      <c r="L494" t="n">
        <v>0</v>
      </c>
      <c r="M494" t="n">
        <v>0</v>
      </c>
      <c r="N494" t="n">
        <v>0</v>
      </c>
      <c r="O494" t="n">
        <v>0</v>
      </c>
      <c r="P494" t="n">
        <v>0</v>
      </c>
      <c r="Q494" t="n">
        <v>0</v>
      </c>
      <c r="R494" s="2" t="inlineStr"/>
    </row>
    <row r="495" ht="15" customHeight="1">
      <c r="A495" t="inlineStr">
        <is>
          <t>A 63665-2023</t>
        </is>
      </c>
      <c r="B495" s="1" t="n">
        <v>45275</v>
      </c>
      <c r="C495" s="1" t="n">
        <v>46115</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30429-2024</t>
        </is>
      </c>
      <c r="B496" s="1" t="n">
        <v>45491.68972222223</v>
      </c>
      <c r="C496" s="1" t="n">
        <v>46115</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30435-2024</t>
        </is>
      </c>
      <c r="B497" s="1" t="n">
        <v>45491.69962962963</v>
      </c>
      <c r="C497" s="1" t="n">
        <v>46115</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53816-2023</t>
        </is>
      </c>
      <c r="B498" s="1" t="n">
        <v>45231.40012731482</v>
      </c>
      <c r="C498" s="1" t="n">
        <v>46115</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36557-2023</t>
        </is>
      </c>
      <c r="B499" s="1" t="n">
        <v>45153</v>
      </c>
      <c r="C499" s="1" t="n">
        <v>46115</v>
      </c>
      <c r="D499" t="inlineStr">
        <is>
          <t>ÖSTERGÖTLANDS LÄN</t>
        </is>
      </c>
      <c r="E499" t="inlineStr">
        <is>
          <t>LINKÖPING</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6599-2023</t>
        </is>
      </c>
      <c r="B500" s="1" t="n">
        <v>44966.52603009259</v>
      </c>
      <c r="C500" s="1" t="n">
        <v>46115</v>
      </c>
      <c r="D500" t="inlineStr">
        <is>
          <t>ÖSTERGÖTLANDS LÄN</t>
        </is>
      </c>
      <c r="E500" t="inlineStr">
        <is>
          <t>LINKÖPING</t>
        </is>
      </c>
      <c r="G500" t="n">
        <v>1.9</v>
      </c>
      <c r="H500" t="n">
        <v>0</v>
      </c>
      <c r="I500" t="n">
        <v>0</v>
      </c>
      <c r="J500" t="n">
        <v>0</v>
      </c>
      <c r="K500" t="n">
        <v>0</v>
      </c>
      <c r="L500" t="n">
        <v>0</v>
      </c>
      <c r="M500" t="n">
        <v>0</v>
      </c>
      <c r="N500" t="n">
        <v>0</v>
      </c>
      <c r="O500" t="n">
        <v>0</v>
      </c>
      <c r="P500" t="n">
        <v>0</v>
      </c>
      <c r="Q500" t="n">
        <v>0</v>
      </c>
      <c r="R500" s="2" t="inlineStr"/>
    </row>
    <row r="501" ht="15" customHeight="1">
      <c r="A501" t="inlineStr">
        <is>
          <t>A 43473-2024</t>
        </is>
      </c>
      <c r="B501" s="1" t="n">
        <v>45568</v>
      </c>
      <c r="C501" s="1" t="n">
        <v>46115</v>
      </c>
      <c r="D501" t="inlineStr">
        <is>
          <t>ÖSTERGÖTLANDS LÄN</t>
        </is>
      </c>
      <c r="E501" t="inlineStr">
        <is>
          <t>LINKÖPING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61532-2021</t>
        </is>
      </c>
      <c r="B502" s="1" t="n">
        <v>44501</v>
      </c>
      <c r="C502" s="1" t="n">
        <v>46115</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3374-2023</t>
        </is>
      </c>
      <c r="B503" s="1" t="n">
        <v>44949</v>
      </c>
      <c r="C503" s="1" t="n">
        <v>46115</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224-2024</t>
        </is>
      </c>
      <c r="B504" s="1" t="n">
        <v>45294</v>
      </c>
      <c r="C504" s="1" t="n">
        <v>46115</v>
      </c>
      <c r="D504" t="inlineStr">
        <is>
          <t>ÖSTERGÖTLANDS LÄN</t>
        </is>
      </c>
      <c r="E504" t="inlineStr">
        <is>
          <t>LINKÖPING</t>
        </is>
      </c>
      <c r="G504" t="n">
        <v>2.8</v>
      </c>
      <c r="H504" t="n">
        <v>0</v>
      </c>
      <c r="I504" t="n">
        <v>0</v>
      </c>
      <c r="J504" t="n">
        <v>0</v>
      </c>
      <c r="K504" t="n">
        <v>0</v>
      </c>
      <c r="L504" t="n">
        <v>0</v>
      </c>
      <c r="M504" t="n">
        <v>0</v>
      </c>
      <c r="N504" t="n">
        <v>0</v>
      </c>
      <c r="O504" t="n">
        <v>0</v>
      </c>
      <c r="P504" t="n">
        <v>0</v>
      </c>
      <c r="Q504" t="n">
        <v>0</v>
      </c>
      <c r="R504" s="2" t="inlineStr"/>
    </row>
    <row r="505" ht="15" customHeight="1">
      <c r="A505" t="inlineStr">
        <is>
          <t>A 6726-2024</t>
        </is>
      </c>
      <c r="B505" s="1" t="n">
        <v>45341</v>
      </c>
      <c r="C505" s="1" t="n">
        <v>46115</v>
      </c>
      <c r="D505" t="inlineStr">
        <is>
          <t>ÖSTERGÖTLANDS LÄN</t>
        </is>
      </c>
      <c r="E505" t="inlineStr">
        <is>
          <t>LINKÖPING</t>
        </is>
      </c>
      <c r="G505" t="n">
        <v>2.7</v>
      </c>
      <c r="H505" t="n">
        <v>0</v>
      </c>
      <c r="I505" t="n">
        <v>0</v>
      </c>
      <c r="J505" t="n">
        <v>0</v>
      </c>
      <c r="K505" t="n">
        <v>0</v>
      </c>
      <c r="L505" t="n">
        <v>0</v>
      </c>
      <c r="M505" t="n">
        <v>0</v>
      </c>
      <c r="N505" t="n">
        <v>0</v>
      </c>
      <c r="O505" t="n">
        <v>0</v>
      </c>
      <c r="P505" t="n">
        <v>0</v>
      </c>
      <c r="Q505" t="n">
        <v>0</v>
      </c>
      <c r="R505" s="2" t="inlineStr"/>
    </row>
    <row r="506" ht="15" customHeight="1">
      <c r="A506" t="inlineStr">
        <is>
          <t>A 927-2026</t>
        </is>
      </c>
      <c r="B506" s="1" t="n">
        <v>46030.50560185185</v>
      </c>
      <c r="C506" s="1" t="n">
        <v>46115</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856-2026</t>
        </is>
      </c>
      <c r="B507" s="1" t="n">
        <v>46030.40644675926</v>
      </c>
      <c r="C507" s="1" t="n">
        <v>46115</v>
      </c>
      <c r="D507" t="inlineStr">
        <is>
          <t>ÖSTERGÖTLANDS LÄN</t>
        </is>
      </c>
      <c r="E507" t="inlineStr">
        <is>
          <t>LINKÖPING</t>
        </is>
      </c>
      <c r="G507" t="n">
        <v>6.4</v>
      </c>
      <c r="H507" t="n">
        <v>0</v>
      </c>
      <c r="I507" t="n">
        <v>0</v>
      </c>
      <c r="J507" t="n">
        <v>0</v>
      </c>
      <c r="K507" t="n">
        <v>0</v>
      </c>
      <c r="L507" t="n">
        <v>0</v>
      </c>
      <c r="M507" t="n">
        <v>0</v>
      </c>
      <c r="N507" t="n">
        <v>0</v>
      </c>
      <c r="O507" t="n">
        <v>0</v>
      </c>
      <c r="P507" t="n">
        <v>0</v>
      </c>
      <c r="Q507" t="n">
        <v>0</v>
      </c>
      <c r="R507" s="2" t="inlineStr"/>
    </row>
    <row r="508" ht="15" customHeight="1">
      <c r="A508" t="inlineStr">
        <is>
          <t>A 860-2026</t>
        </is>
      </c>
      <c r="B508" s="1" t="n">
        <v>46030.41974537037</v>
      </c>
      <c r="C508" s="1" t="n">
        <v>46115</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873-2026</t>
        </is>
      </c>
      <c r="B509" s="1" t="n">
        <v>46030.43818287037</v>
      </c>
      <c r="C509" s="1" t="n">
        <v>46115</v>
      </c>
      <c r="D509" t="inlineStr">
        <is>
          <t>ÖSTERGÖTLANDS LÄN</t>
        </is>
      </c>
      <c r="E509" t="inlineStr">
        <is>
          <t>LINKÖPING</t>
        </is>
      </c>
      <c r="G509" t="n">
        <v>4.1</v>
      </c>
      <c r="H509" t="n">
        <v>0</v>
      </c>
      <c r="I509" t="n">
        <v>0</v>
      </c>
      <c r="J509" t="n">
        <v>0</v>
      </c>
      <c r="K509" t="n">
        <v>0</v>
      </c>
      <c r="L509" t="n">
        <v>0</v>
      </c>
      <c r="M509" t="n">
        <v>0</v>
      </c>
      <c r="N509" t="n">
        <v>0</v>
      </c>
      <c r="O509" t="n">
        <v>0</v>
      </c>
      <c r="P509" t="n">
        <v>0</v>
      </c>
      <c r="Q509" t="n">
        <v>0</v>
      </c>
      <c r="R509" s="2" t="inlineStr"/>
    </row>
    <row r="510" ht="15" customHeight="1">
      <c r="A510" t="inlineStr">
        <is>
          <t>A 53814-2023</t>
        </is>
      </c>
      <c r="B510" s="1" t="n">
        <v>45231</v>
      </c>
      <c r="C510" s="1" t="n">
        <v>46115</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858-2026</t>
        </is>
      </c>
      <c r="B511" s="1" t="n">
        <v>46030.41200231481</v>
      </c>
      <c r="C511" s="1" t="n">
        <v>46115</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940-2026</t>
        </is>
      </c>
      <c r="B512" s="1" t="n">
        <v>46030.53052083333</v>
      </c>
      <c r="C512" s="1" t="n">
        <v>46115</v>
      </c>
      <c r="D512" t="inlineStr">
        <is>
          <t>ÖSTERGÖTLANDS LÄN</t>
        </is>
      </c>
      <c r="E512" t="inlineStr">
        <is>
          <t>LINKÖPING</t>
        </is>
      </c>
      <c r="F512" t="inlineStr">
        <is>
          <t>Allmännings- och besparingsskogar</t>
        </is>
      </c>
      <c r="G512" t="n">
        <v>2.9</v>
      </c>
      <c r="H512" t="n">
        <v>0</v>
      </c>
      <c r="I512" t="n">
        <v>0</v>
      </c>
      <c r="J512" t="n">
        <v>0</v>
      </c>
      <c r="K512" t="n">
        <v>0</v>
      </c>
      <c r="L512" t="n">
        <v>0</v>
      </c>
      <c r="M512" t="n">
        <v>0</v>
      </c>
      <c r="N512" t="n">
        <v>0</v>
      </c>
      <c r="O512" t="n">
        <v>0</v>
      </c>
      <c r="P512" t="n">
        <v>0</v>
      </c>
      <c r="Q512" t="n">
        <v>0</v>
      </c>
      <c r="R512" s="2" t="inlineStr"/>
    </row>
    <row r="513" ht="15" customHeight="1">
      <c r="A513" t="inlineStr">
        <is>
          <t>A 944-2026</t>
        </is>
      </c>
      <c r="B513" s="1" t="n">
        <v>46030.53461805556</v>
      </c>
      <c r="C513" s="1" t="n">
        <v>46115</v>
      </c>
      <c r="D513" t="inlineStr">
        <is>
          <t>ÖSTERGÖTLANDS LÄN</t>
        </is>
      </c>
      <c r="E513" t="inlineStr">
        <is>
          <t>LINKÖPING</t>
        </is>
      </c>
      <c r="F513" t="inlineStr">
        <is>
          <t>Allmännings- och besparingsskogar</t>
        </is>
      </c>
      <c r="G513" t="n">
        <v>0.9</v>
      </c>
      <c r="H513" t="n">
        <v>0</v>
      </c>
      <c r="I513" t="n">
        <v>0</v>
      </c>
      <c r="J513" t="n">
        <v>0</v>
      </c>
      <c r="K513" t="n">
        <v>0</v>
      </c>
      <c r="L513" t="n">
        <v>0</v>
      </c>
      <c r="M513" t="n">
        <v>0</v>
      </c>
      <c r="N513" t="n">
        <v>0</v>
      </c>
      <c r="O513" t="n">
        <v>0</v>
      </c>
      <c r="P513" t="n">
        <v>0</v>
      </c>
      <c r="Q513" t="n">
        <v>0</v>
      </c>
      <c r="R513" s="2" t="inlineStr"/>
    </row>
    <row r="514" ht="15" customHeight="1">
      <c r="A514" t="inlineStr">
        <is>
          <t>A 859-2026</t>
        </is>
      </c>
      <c r="B514" s="1" t="n">
        <v>46030.41450231482</v>
      </c>
      <c r="C514" s="1" t="n">
        <v>46115</v>
      </c>
      <c r="D514" t="inlineStr">
        <is>
          <t>ÖSTERGÖTLANDS LÄN</t>
        </is>
      </c>
      <c r="E514" t="inlineStr">
        <is>
          <t>LINKÖPING</t>
        </is>
      </c>
      <c r="G514" t="n">
        <v>0.2</v>
      </c>
      <c r="H514" t="n">
        <v>0</v>
      </c>
      <c r="I514" t="n">
        <v>0</v>
      </c>
      <c r="J514" t="n">
        <v>0</v>
      </c>
      <c r="K514" t="n">
        <v>0</v>
      </c>
      <c r="L514" t="n">
        <v>0</v>
      </c>
      <c r="M514" t="n">
        <v>0</v>
      </c>
      <c r="N514" t="n">
        <v>0</v>
      </c>
      <c r="O514" t="n">
        <v>0</v>
      </c>
      <c r="P514" t="n">
        <v>0</v>
      </c>
      <c r="Q514" t="n">
        <v>0</v>
      </c>
      <c r="R514" s="2" t="inlineStr"/>
    </row>
    <row r="515" ht="15" customHeight="1">
      <c r="A515" t="inlineStr">
        <is>
          <t>A 1223-2026</t>
        </is>
      </c>
      <c r="B515" s="1" t="n">
        <v>46031.40233796297</v>
      </c>
      <c r="C515" s="1" t="n">
        <v>46115</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60004-2022</t>
        </is>
      </c>
      <c r="B516" s="1" t="n">
        <v>44909.47206018519</v>
      </c>
      <c r="C516" s="1" t="n">
        <v>46115</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52796-2023</t>
        </is>
      </c>
      <c r="B517" s="1" t="n">
        <v>45219</v>
      </c>
      <c r="C517" s="1" t="n">
        <v>46115</v>
      </c>
      <c r="D517" t="inlineStr">
        <is>
          <t>ÖSTERGÖTLANDS LÄN</t>
        </is>
      </c>
      <c r="E517" t="inlineStr">
        <is>
          <t>LINKÖPING</t>
        </is>
      </c>
      <c r="F517" t="inlineStr">
        <is>
          <t>Övriga statliga verk och myndigheter</t>
        </is>
      </c>
      <c r="G517" t="n">
        <v>3.9</v>
      </c>
      <c r="H517" t="n">
        <v>0</v>
      </c>
      <c r="I517" t="n">
        <v>0</v>
      </c>
      <c r="J517" t="n">
        <v>0</v>
      </c>
      <c r="K517" t="n">
        <v>0</v>
      </c>
      <c r="L517" t="n">
        <v>0</v>
      </c>
      <c r="M517" t="n">
        <v>0</v>
      </c>
      <c r="N517" t="n">
        <v>0</v>
      </c>
      <c r="O517" t="n">
        <v>0</v>
      </c>
      <c r="P517" t="n">
        <v>0</v>
      </c>
      <c r="Q517" t="n">
        <v>0</v>
      </c>
      <c r="R517" s="2" t="inlineStr"/>
    </row>
    <row r="518" ht="15" customHeight="1">
      <c r="A518" t="inlineStr">
        <is>
          <t>A 50743-2023</t>
        </is>
      </c>
      <c r="B518" s="1" t="n">
        <v>45217</v>
      </c>
      <c r="C518" s="1" t="n">
        <v>46115</v>
      </c>
      <c r="D518" t="inlineStr">
        <is>
          <t>ÖSTERGÖTLANDS LÄN</t>
        </is>
      </c>
      <c r="E518" t="inlineStr">
        <is>
          <t>LINKÖPING</t>
        </is>
      </c>
      <c r="G518" t="n">
        <v>2.7</v>
      </c>
      <c r="H518" t="n">
        <v>0</v>
      </c>
      <c r="I518" t="n">
        <v>0</v>
      </c>
      <c r="J518" t="n">
        <v>0</v>
      </c>
      <c r="K518" t="n">
        <v>0</v>
      </c>
      <c r="L518" t="n">
        <v>0</v>
      </c>
      <c r="M518" t="n">
        <v>0</v>
      </c>
      <c r="N518" t="n">
        <v>0</v>
      </c>
      <c r="O518" t="n">
        <v>0</v>
      </c>
      <c r="P518" t="n">
        <v>0</v>
      </c>
      <c r="Q518" t="n">
        <v>0</v>
      </c>
      <c r="R518" s="2" t="inlineStr"/>
    </row>
    <row r="519" ht="15" customHeight="1">
      <c r="A519" t="inlineStr">
        <is>
          <t>A 45771-2023</t>
        </is>
      </c>
      <c r="B519" s="1" t="n">
        <v>45195.4384375</v>
      </c>
      <c r="C519" s="1" t="n">
        <v>46115</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63554-2023</t>
        </is>
      </c>
      <c r="B520" s="1" t="n">
        <v>45275</v>
      </c>
      <c r="C520" s="1" t="n">
        <v>46115</v>
      </c>
      <c r="D520" t="inlineStr">
        <is>
          <t>ÖSTERGÖTLANDS LÄN</t>
        </is>
      </c>
      <c r="E520" t="inlineStr">
        <is>
          <t>LINKÖPING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30111-2024</t>
        </is>
      </c>
      <c r="B521" s="1" t="n">
        <v>45489.46947916667</v>
      </c>
      <c r="C521" s="1" t="n">
        <v>46115</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30119-2024</t>
        </is>
      </c>
      <c r="B522" s="1" t="n">
        <v>45489</v>
      </c>
      <c r="C522" s="1" t="n">
        <v>46115</v>
      </c>
      <c r="D522" t="inlineStr">
        <is>
          <t>ÖSTERGÖTLANDS LÄN</t>
        </is>
      </c>
      <c r="E522" t="inlineStr">
        <is>
          <t>LINKÖPING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6206-2024</t>
        </is>
      </c>
      <c r="B523" s="1" t="n">
        <v>45337.5977662037</v>
      </c>
      <c r="C523" s="1" t="n">
        <v>46115</v>
      </c>
      <c r="D523" t="inlineStr">
        <is>
          <t>ÖSTERGÖTLANDS LÄN</t>
        </is>
      </c>
      <c r="E523" t="inlineStr">
        <is>
          <t>LINKÖPING</t>
        </is>
      </c>
      <c r="G523" t="n">
        <v>2</v>
      </c>
      <c r="H523" t="n">
        <v>0</v>
      </c>
      <c r="I523" t="n">
        <v>0</v>
      </c>
      <c r="J523" t="n">
        <v>0</v>
      </c>
      <c r="K523" t="n">
        <v>0</v>
      </c>
      <c r="L523" t="n">
        <v>0</v>
      </c>
      <c r="M523" t="n">
        <v>0</v>
      </c>
      <c r="N523" t="n">
        <v>0</v>
      </c>
      <c r="O523" t="n">
        <v>0</v>
      </c>
      <c r="P523" t="n">
        <v>0</v>
      </c>
      <c r="Q523" t="n">
        <v>0</v>
      </c>
      <c r="R523" s="2" t="inlineStr"/>
    </row>
    <row r="524" ht="15" customHeight="1">
      <c r="A524" t="inlineStr">
        <is>
          <t>A 15714-2024</t>
        </is>
      </c>
      <c r="B524" s="1" t="n">
        <v>45404.48288194444</v>
      </c>
      <c r="C524" s="1" t="n">
        <v>46115</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30481-2023</t>
        </is>
      </c>
      <c r="B525" s="1" t="n">
        <v>45111</v>
      </c>
      <c r="C525" s="1" t="n">
        <v>46115</v>
      </c>
      <c r="D525" t="inlineStr">
        <is>
          <t>ÖSTERGÖTLANDS LÄN</t>
        </is>
      </c>
      <c r="E525" t="inlineStr">
        <is>
          <t>LINKÖPING</t>
        </is>
      </c>
      <c r="F525" t="inlineStr">
        <is>
          <t>Övriga Aktiebolag</t>
        </is>
      </c>
      <c r="G525" t="n">
        <v>2</v>
      </c>
      <c r="H525" t="n">
        <v>0</v>
      </c>
      <c r="I525" t="n">
        <v>0</v>
      </c>
      <c r="J525" t="n">
        <v>0</v>
      </c>
      <c r="K525" t="n">
        <v>0</v>
      </c>
      <c r="L525" t="n">
        <v>0</v>
      </c>
      <c r="M525" t="n">
        <v>0</v>
      </c>
      <c r="N525" t="n">
        <v>0</v>
      </c>
      <c r="O525" t="n">
        <v>0</v>
      </c>
      <c r="P525" t="n">
        <v>0</v>
      </c>
      <c r="Q525" t="n">
        <v>0</v>
      </c>
      <c r="R525" s="2" t="inlineStr"/>
    </row>
    <row r="526" ht="15" customHeight="1">
      <c r="A526" t="inlineStr">
        <is>
          <t>A 74160-2021</t>
        </is>
      </c>
      <c r="B526" s="1" t="n">
        <v>44558</v>
      </c>
      <c r="C526" s="1" t="n">
        <v>46115</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63559-2023</t>
        </is>
      </c>
      <c r="B527" s="1" t="n">
        <v>45275.35924768518</v>
      </c>
      <c r="C527" s="1" t="n">
        <v>46115</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10756-2026</t>
        </is>
      </c>
      <c r="B528" s="1" t="n">
        <v>46078.55412037037</v>
      </c>
      <c r="C528" s="1" t="n">
        <v>46115</v>
      </c>
      <c r="D528" t="inlineStr">
        <is>
          <t>ÖSTERGÖTLANDS LÄN</t>
        </is>
      </c>
      <c r="E528" t="inlineStr">
        <is>
          <t>LINKÖPING</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2030-2026</t>
        </is>
      </c>
      <c r="B529" s="1" t="n">
        <v>46035.73590277778</v>
      </c>
      <c r="C529" s="1" t="n">
        <v>46115</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23491-2024</t>
        </is>
      </c>
      <c r="B530" s="1" t="n">
        <v>45453</v>
      </c>
      <c r="C530" s="1" t="n">
        <v>46115</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2031-2026</t>
        </is>
      </c>
      <c r="B531" s="1" t="n">
        <v>46035.74182870371</v>
      </c>
      <c r="C531" s="1" t="n">
        <v>46115</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29309-2024</t>
        </is>
      </c>
      <c r="B532" s="1" t="n">
        <v>45483</v>
      </c>
      <c r="C532" s="1" t="n">
        <v>46115</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29411-2023</t>
        </is>
      </c>
      <c r="B533" s="1" t="n">
        <v>45106.46225694445</v>
      </c>
      <c r="C533" s="1" t="n">
        <v>46115</v>
      </c>
      <c r="D533" t="inlineStr">
        <is>
          <t>ÖSTERGÖTLANDS LÄN</t>
        </is>
      </c>
      <c r="E533" t="inlineStr">
        <is>
          <t>LINKÖPING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29412-2023</t>
        </is>
      </c>
      <c r="B534" s="1" t="n">
        <v>45106.46359953703</v>
      </c>
      <c r="C534" s="1" t="n">
        <v>46115</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29413-2023</t>
        </is>
      </c>
      <c r="B535" s="1" t="n">
        <v>45106.46465277778</v>
      </c>
      <c r="C535" s="1" t="n">
        <v>46115</v>
      </c>
      <c r="D535" t="inlineStr">
        <is>
          <t>ÖSTERGÖTLANDS LÄN</t>
        </is>
      </c>
      <c r="E535" t="inlineStr">
        <is>
          <t>LINKÖPING</t>
        </is>
      </c>
      <c r="G535" t="n">
        <v>8</v>
      </c>
      <c r="H535" t="n">
        <v>0</v>
      </c>
      <c r="I535" t="n">
        <v>0</v>
      </c>
      <c r="J535" t="n">
        <v>0</v>
      </c>
      <c r="K535" t="n">
        <v>0</v>
      </c>
      <c r="L535" t="n">
        <v>0</v>
      </c>
      <c r="M535" t="n">
        <v>0</v>
      </c>
      <c r="N535" t="n">
        <v>0</v>
      </c>
      <c r="O535" t="n">
        <v>0</v>
      </c>
      <c r="P535" t="n">
        <v>0</v>
      </c>
      <c r="Q535" t="n">
        <v>0</v>
      </c>
      <c r="R535" s="2" t="inlineStr"/>
    </row>
    <row r="536" ht="15" customHeight="1">
      <c r="A536" t="inlineStr">
        <is>
          <t>A 24151-2024</t>
        </is>
      </c>
      <c r="B536" s="1" t="n">
        <v>45456.67717592593</v>
      </c>
      <c r="C536" s="1" t="n">
        <v>46115</v>
      </c>
      <c r="D536" t="inlineStr">
        <is>
          <t>ÖSTERGÖTLANDS LÄN</t>
        </is>
      </c>
      <c r="E536" t="inlineStr">
        <is>
          <t>LINKÖPING</t>
        </is>
      </c>
      <c r="G536" t="n">
        <v>2.1</v>
      </c>
      <c r="H536" t="n">
        <v>0</v>
      </c>
      <c r="I536" t="n">
        <v>0</v>
      </c>
      <c r="J536" t="n">
        <v>0</v>
      </c>
      <c r="K536" t="n">
        <v>0</v>
      </c>
      <c r="L536" t="n">
        <v>0</v>
      </c>
      <c r="M536" t="n">
        <v>0</v>
      </c>
      <c r="N536" t="n">
        <v>0</v>
      </c>
      <c r="O536" t="n">
        <v>0</v>
      </c>
      <c r="P536" t="n">
        <v>0</v>
      </c>
      <c r="Q536" t="n">
        <v>0</v>
      </c>
      <c r="R536" s="2" t="inlineStr"/>
    </row>
    <row r="537" ht="15" customHeight="1">
      <c r="A537" t="inlineStr">
        <is>
          <t>A 10479-2026</t>
        </is>
      </c>
      <c r="B537" s="1" t="n">
        <v>46077.49231481482</v>
      </c>
      <c r="C537" s="1" t="n">
        <v>46115</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63845-2021</t>
        </is>
      </c>
      <c r="B538" s="1" t="n">
        <v>44509</v>
      </c>
      <c r="C538" s="1" t="n">
        <v>46115</v>
      </c>
      <c r="D538" t="inlineStr">
        <is>
          <t>ÖSTERGÖTLANDS LÄN</t>
        </is>
      </c>
      <c r="E538" t="inlineStr">
        <is>
          <t>LINKÖPING</t>
        </is>
      </c>
      <c r="G538" t="n">
        <v>5</v>
      </c>
      <c r="H538" t="n">
        <v>0</v>
      </c>
      <c r="I538" t="n">
        <v>0</v>
      </c>
      <c r="J538" t="n">
        <v>0</v>
      </c>
      <c r="K538" t="n">
        <v>0</v>
      </c>
      <c r="L538" t="n">
        <v>0</v>
      </c>
      <c r="M538" t="n">
        <v>0</v>
      </c>
      <c r="N538" t="n">
        <v>0</v>
      </c>
      <c r="O538" t="n">
        <v>0</v>
      </c>
      <c r="P538" t="n">
        <v>0</v>
      </c>
      <c r="Q538" t="n">
        <v>0</v>
      </c>
      <c r="R538" s="2" t="inlineStr"/>
    </row>
    <row r="539" ht="15" customHeight="1">
      <c r="A539" t="inlineStr">
        <is>
          <t>A 11033-2026</t>
        </is>
      </c>
      <c r="B539" s="1" t="n">
        <v>46079.57361111111</v>
      </c>
      <c r="C539" s="1" t="n">
        <v>46115</v>
      </c>
      <c r="D539" t="inlineStr">
        <is>
          <t>ÖSTERGÖTLANDS LÄN</t>
        </is>
      </c>
      <c r="E539" t="inlineStr">
        <is>
          <t>LINKÖPING</t>
        </is>
      </c>
      <c r="G539" t="n">
        <v>7.9</v>
      </c>
      <c r="H539" t="n">
        <v>0</v>
      </c>
      <c r="I539" t="n">
        <v>0</v>
      </c>
      <c r="J539" t="n">
        <v>0</v>
      </c>
      <c r="K539" t="n">
        <v>0</v>
      </c>
      <c r="L539" t="n">
        <v>0</v>
      </c>
      <c r="M539" t="n">
        <v>0</v>
      </c>
      <c r="N539" t="n">
        <v>0</v>
      </c>
      <c r="O539" t="n">
        <v>0</v>
      </c>
      <c r="P539" t="n">
        <v>0</v>
      </c>
      <c r="Q539" t="n">
        <v>0</v>
      </c>
      <c r="R539" s="2" t="inlineStr"/>
    </row>
    <row r="540" ht="15" customHeight="1">
      <c r="A540" t="inlineStr">
        <is>
          <t>A 17785-2023</t>
        </is>
      </c>
      <c r="B540" s="1" t="n">
        <v>45037.55094907407</v>
      </c>
      <c r="C540" s="1" t="n">
        <v>46115</v>
      </c>
      <c r="D540" t="inlineStr">
        <is>
          <t>ÖSTERGÖTLANDS LÄN</t>
        </is>
      </c>
      <c r="E540" t="inlineStr">
        <is>
          <t>LINKÖPING</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32346-2023</t>
        </is>
      </c>
      <c r="B541" s="1" t="n">
        <v>45120</v>
      </c>
      <c r="C541" s="1" t="n">
        <v>46115</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11036-2026</t>
        </is>
      </c>
      <c r="B542" s="1" t="n">
        <v>46079.57836805555</v>
      </c>
      <c r="C542" s="1" t="n">
        <v>46115</v>
      </c>
      <c r="D542" t="inlineStr">
        <is>
          <t>ÖSTERGÖTLANDS LÄN</t>
        </is>
      </c>
      <c r="E542" t="inlineStr">
        <is>
          <t>LINKÖPING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3045-2026</t>
        </is>
      </c>
      <c r="B543" s="1" t="n">
        <v>46038.74047453704</v>
      </c>
      <c r="C543" s="1" t="n">
        <v>46115</v>
      </c>
      <c r="D543" t="inlineStr">
        <is>
          <t>ÖSTERGÖTLANDS LÄN</t>
        </is>
      </c>
      <c r="E543" t="inlineStr">
        <is>
          <t>LINKÖPING</t>
        </is>
      </c>
      <c r="G543" t="n">
        <v>2</v>
      </c>
      <c r="H543" t="n">
        <v>0</v>
      </c>
      <c r="I543" t="n">
        <v>0</v>
      </c>
      <c r="J543" t="n">
        <v>0</v>
      </c>
      <c r="K543" t="n">
        <v>0</v>
      </c>
      <c r="L543" t="n">
        <v>0</v>
      </c>
      <c r="M543" t="n">
        <v>0</v>
      </c>
      <c r="N543" t="n">
        <v>0</v>
      </c>
      <c r="O543" t="n">
        <v>0</v>
      </c>
      <c r="P543" t="n">
        <v>0</v>
      </c>
      <c r="Q543" t="n">
        <v>0</v>
      </c>
      <c r="R543" s="2" t="inlineStr"/>
    </row>
    <row r="544" ht="15" customHeight="1">
      <c r="A544" t="inlineStr">
        <is>
          <t>A 11057-2026</t>
        </is>
      </c>
      <c r="B544" s="1" t="n">
        <v>46079.59515046296</v>
      </c>
      <c r="C544" s="1" t="n">
        <v>46115</v>
      </c>
      <c r="D544" t="inlineStr">
        <is>
          <t>ÖSTERGÖTLANDS LÄN</t>
        </is>
      </c>
      <c r="E544" t="inlineStr">
        <is>
          <t>LINKÖPING</t>
        </is>
      </c>
      <c r="G544" t="n">
        <v>2.9</v>
      </c>
      <c r="H544" t="n">
        <v>0</v>
      </c>
      <c r="I544" t="n">
        <v>0</v>
      </c>
      <c r="J544" t="n">
        <v>0</v>
      </c>
      <c r="K544" t="n">
        <v>0</v>
      </c>
      <c r="L544" t="n">
        <v>0</v>
      </c>
      <c r="M544" t="n">
        <v>0</v>
      </c>
      <c r="N544" t="n">
        <v>0</v>
      </c>
      <c r="O544" t="n">
        <v>0</v>
      </c>
      <c r="P544" t="n">
        <v>0</v>
      </c>
      <c r="Q544" t="n">
        <v>0</v>
      </c>
      <c r="R544" s="2" t="inlineStr"/>
    </row>
    <row r="545" ht="15" customHeight="1">
      <c r="A545" t="inlineStr">
        <is>
          <t>A 1627-2023</t>
        </is>
      </c>
      <c r="B545" s="1" t="n">
        <v>44937</v>
      </c>
      <c r="C545" s="1" t="n">
        <v>46115</v>
      </c>
      <c r="D545" t="inlineStr">
        <is>
          <t>ÖSTERGÖTLANDS LÄN</t>
        </is>
      </c>
      <c r="E545" t="inlineStr">
        <is>
          <t>LINKÖPING</t>
        </is>
      </c>
      <c r="G545" t="n">
        <v>10.8</v>
      </c>
      <c r="H545" t="n">
        <v>0</v>
      </c>
      <c r="I545" t="n">
        <v>0</v>
      </c>
      <c r="J545" t="n">
        <v>0</v>
      </c>
      <c r="K545" t="n">
        <v>0</v>
      </c>
      <c r="L545" t="n">
        <v>0</v>
      </c>
      <c r="M545" t="n">
        <v>0</v>
      </c>
      <c r="N545" t="n">
        <v>0</v>
      </c>
      <c r="O545" t="n">
        <v>0</v>
      </c>
      <c r="P545" t="n">
        <v>0</v>
      </c>
      <c r="Q545" t="n">
        <v>0</v>
      </c>
      <c r="R545" s="2" t="inlineStr"/>
    </row>
    <row r="546" ht="15" customHeight="1">
      <c r="A546" t="inlineStr">
        <is>
          <t>A 3044-2026</t>
        </is>
      </c>
      <c r="B546" s="1" t="n">
        <v>46038.73855324074</v>
      </c>
      <c r="C546" s="1" t="n">
        <v>46115</v>
      </c>
      <c r="D546" t="inlineStr">
        <is>
          <t>ÖSTERGÖTLANDS LÄN</t>
        </is>
      </c>
      <c r="E546" t="inlineStr">
        <is>
          <t>LINKÖPING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16665-2023</t>
        </is>
      </c>
      <c r="B547" s="1" t="n">
        <v>45030.5583912037</v>
      </c>
      <c r="C547" s="1" t="n">
        <v>46115</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11169-2026</t>
        </is>
      </c>
      <c r="B548" s="1" t="n">
        <v>46080.37020833333</v>
      </c>
      <c r="C548" s="1" t="n">
        <v>46115</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3043-2026</t>
        </is>
      </c>
      <c r="B549" s="1" t="n">
        <v>46038.73675925926</v>
      </c>
      <c r="C549" s="1" t="n">
        <v>46115</v>
      </c>
      <c r="D549" t="inlineStr">
        <is>
          <t>ÖSTERGÖTLANDS LÄN</t>
        </is>
      </c>
      <c r="E549" t="inlineStr">
        <is>
          <t>LINKÖPING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60860-2024</t>
        </is>
      </c>
      <c r="B550" s="1" t="n">
        <v>45644.6893287037</v>
      </c>
      <c r="C550" s="1" t="n">
        <v>46115</v>
      </c>
      <c r="D550" t="inlineStr">
        <is>
          <t>ÖSTERGÖTLANDS LÄN</t>
        </is>
      </c>
      <c r="E550" t="inlineStr">
        <is>
          <t>LINKÖPING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31640-2023</t>
        </is>
      </c>
      <c r="B551" s="1" t="n">
        <v>45117</v>
      </c>
      <c r="C551" s="1" t="n">
        <v>46115</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3046-2026</t>
        </is>
      </c>
      <c r="B552" s="1" t="n">
        <v>46038.74182870371</v>
      </c>
      <c r="C552" s="1" t="n">
        <v>46115</v>
      </c>
      <c r="D552" t="inlineStr">
        <is>
          <t>ÖSTERGÖTLANDS LÄN</t>
        </is>
      </c>
      <c r="E552" t="inlineStr">
        <is>
          <t>LINKÖPING</t>
        </is>
      </c>
      <c r="G552" t="n">
        <v>1.9</v>
      </c>
      <c r="H552" t="n">
        <v>0</v>
      </c>
      <c r="I552" t="n">
        <v>0</v>
      </c>
      <c r="J552" t="n">
        <v>0</v>
      </c>
      <c r="K552" t="n">
        <v>0</v>
      </c>
      <c r="L552" t="n">
        <v>0</v>
      </c>
      <c r="M552" t="n">
        <v>0</v>
      </c>
      <c r="N552" t="n">
        <v>0</v>
      </c>
      <c r="O552" t="n">
        <v>0</v>
      </c>
      <c r="P552" t="n">
        <v>0</v>
      </c>
      <c r="Q552" t="n">
        <v>0</v>
      </c>
      <c r="R552" s="2" t="inlineStr"/>
    </row>
    <row r="553" ht="15" customHeight="1">
      <c r="A553" t="inlineStr">
        <is>
          <t>A 16213-2025</t>
        </is>
      </c>
      <c r="B553" s="1" t="n">
        <v>45750.62740740741</v>
      </c>
      <c r="C553" s="1" t="n">
        <v>46115</v>
      </c>
      <c r="D553" t="inlineStr">
        <is>
          <t>ÖSTERGÖTLANDS LÄN</t>
        </is>
      </c>
      <c r="E553" t="inlineStr">
        <is>
          <t>LINKÖPING</t>
        </is>
      </c>
      <c r="G553" t="n">
        <v>3.4</v>
      </c>
      <c r="H553" t="n">
        <v>0</v>
      </c>
      <c r="I553" t="n">
        <v>0</v>
      </c>
      <c r="J553" t="n">
        <v>0</v>
      </c>
      <c r="K553" t="n">
        <v>0</v>
      </c>
      <c r="L553" t="n">
        <v>0</v>
      </c>
      <c r="M553" t="n">
        <v>0</v>
      </c>
      <c r="N553" t="n">
        <v>0</v>
      </c>
      <c r="O553" t="n">
        <v>0</v>
      </c>
      <c r="P553" t="n">
        <v>0</v>
      </c>
      <c r="Q553" t="n">
        <v>0</v>
      </c>
      <c r="R553" s="2" t="inlineStr"/>
    </row>
    <row r="554" ht="15" customHeight="1">
      <c r="A554" t="inlineStr">
        <is>
          <t>A 34872-2023</t>
        </is>
      </c>
      <c r="B554" s="1" t="n">
        <v>45140</v>
      </c>
      <c r="C554" s="1" t="n">
        <v>46115</v>
      </c>
      <c r="D554" t="inlineStr">
        <is>
          <t>ÖSTERGÖTLANDS LÄN</t>
        </is>
      </c>
      <c r="E554" t="inlineStr">
        <is>
          <t>LINKÖPING</t>
        </is>
      </c>
      <c r="G554" t="n">
        <v>4.8</v>
      </c>
      <c r="H554" t="n">
        <v>0</v>
      </c>
      <c r="I554" t="n">
        <v>0</v>
      </c>
      <c r="J554" t="n">
        <v>0</v>
      </c>
      <c r="K554" t="n">
        <v>0</v>
      </c>
      <c r="L554" t="n">
        <v>0</v>
      </c>
      <c r="M554" t="n">
        <v>0</v>
      </c>
      <c r="N554" t="n">
        <v>0</v>
      </c>
      <c r="O554" t="n">
        <v>0</v>
      </c>
      <c r="P554" t="n">
        <v>0</v>
      </c>
      <c r="Q554" t="n">
        <v>0</v>
      </c>
      <c r="R554" s="2" t="inlineStr"/>
    </row>
    <row r="555" ht="15" customHeight="1">
      <c r="A555" t="inlineStr">
        <is>
          <t>A 33000-2023</t>
        </is>
      </c>
      <c r="B555" s="1" t="n">
        <v>45125</v>
      </c>
      <c r="C555" s="1" t="n">
        <v>46115</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10764-2026</t>
        </is>
      </c>
      <c r="B556" s="1" t="n">
        <v>46078</v>
      </c>
      <c r="C556" s="1" t="n">
        <v>46115</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2997-2025</t>
        </is>
      </c>
      <c r="B557" s="1" t="n">
        <v>45678.54631944445</v>
      </c>
      <c r="C557" s="1" t="n">
        <v>46115</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31534-2023</t>
        </is>
      </c>
      <c r="B558" s="1" t="n">
        <v>45116</v>
      </c>
      <c r="C558" s="1" t="n">
        <v>46115</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26803-2024</t>
        </is>
      </c>
      <c r="B559" s="1" t="n">
        <v>45470</v>
      </c>
      <c r="C559" s="1" t="n">
        <v>46115</v>
      </c>
      <c r="D559" t="inlineStr">
        <is>
          <t>ÖSTERGÖTLANDS LÄN</t>
        </is>
      </c>
      <c r="E559" t="inlineStr">
        <is>
          <t>LINKÖPING</t>
        </is>
      </c>
      <c r="F559" t="inlineStr">
        <is>
          <t>Allmännings- och besparingsskogar</t>
        </is>
      </c>
      <c r="G559" t="n">
        <v>4.5</v>
      </c>
      <c r="H559" t="n">
        <v>0</v>
      </c>
      <c r="I559" t="n">
        <v>0</v>
      </c>
      <c r="J559" t="n">
        <v>0</v>
      </c>
      <c r="K559" t="n">
        <v>0</v>
      </c>
      <c r="L559" t="n">
        <v>0</v>
      </c>
      <c r="M559" t="n">
        <v>0</v>
      </c>
      <c r="N559" t="n">
        <v>0</v>
      </c>
      <c r="O559" t="n">
        <v>0</v>
      </c>
      <c r="P559" t="n">
        <v>0</v>
      </c>
      <c r="Q559" t="n">
        <v>0</v>
      </c>
      <c r="R559" s="2" t="inlineStr"/>
    </row>
    <row r="560" ht="15" customHeight="1">
      <c r="A560" t="inlineStr">
        <is>
          <t>A 45806-2024</t>
        </is>
      </c>
      <c r="B560" s="1" t="n">
        <v>45579.69619212963</v>
      </c>
      <c r="C560" s="1" t="n">
        <v>46115</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37154-2023</t>
        </is>
      </c>
      <c r="B561" s="1" t="n">
        <v>45155</v>
      </c>
      <c r="C561" s="1" t="n">
        <v>46115</v>
      </c>
      <c r="D561" t="inlineStr">
        <is>
          <t>ÖSTERGÖTLANDS LÄN</t>
        </is>
      </c>
      <c r="E561" t="inlineStr">
        <is>
          <t>LINKÖPING</t>
        </is>
      </c>
      <c r="G561" t="n">
        <v>1.7</v>
      </c>
      <c r="H561" t="n">
        <v>0</v>
      </c>
      <c r="I561" t="n">
        <v>0</v>
      </c>
      <c r="J561" t="n">
        <v>0</v>
      </c>
      <c r="K561" t="n">
        <v>0</v>
      </c>
      <c r="L561" t="n">
        <v>0</v>
      </c>
      <c r="M561" t="n">
        <v>0</v>
      </c>
      <c r="N561" t="n">
        <v>0</v>
      </c>
      <c r="O561" t="n">
        <v>0</v>
      </c>
      <c r="P561" t="n">
        <v>0</v>
      </c>
      <c r="Q561" t="n">
        <v>0</v>
      </c>
      <c r="R561" s="2" t="inlineStr"/>
    </row>
    <row r="562" ht="15" customHeight="1">
      <c r="A562" t="inlineStr">
        <is>
          <t>A 11330-2023</t>
        </is>
      </c>
      <c r="B562" s="1" t="n">
        <v>44993.24648148148</v>
      </c>
      <c r="C562" s="1" t="n">
        <v>46115</v>
      </c>
      <c r="D562" t="inlineStr">
        <is>
          <t>ÖSTERGÖTLANDS LÄN</t>
        </is>
      </c>
      <c r="E562" t="inlineStr">
        <is>
          <t>LINKÖPING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42000-2023</t>
        </is>
      </c>
      <c r="B563" s="1" t="n">
        <v>45177</v>
      </c>
      <c r="C563" s="1" t="n">
        <v>46115</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11891-2026</t>
        </is>
      </c>
      <c r="B564" s="1" t="n">
        <v>46085.5197800926</v>
      </c>
      <c r="C564" s="1" t="n">
        <v>46115</v>
      </c>
      <c r="D564" t="inlineStr">
        <is>
          <t>ÖSTERGÖTLANDS LÄN</t>
        </is>
      </c>
      <c r="E564" t="inlineStr">
        <is>
          <t>LINKÖPING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11888-2026</t>
        </is>
      </c>
      <c r="B565" s="1" t="n">
        <v>46085.51813657407</v>
      </c>
      <c r="C565" s="1" t="n">
        <v>46115</v>
      </c>
      <c r="D565" t="inlineStr">
        <is>
          <t>ÖSTERGÖTLANDS LÄN</t>
        </is>
      </c>
      <c r="E565" t="inlineStr">
        <is>
          <t>LINKÖPING</t>
        </is>
      </c>
      <c r="G565" t="n">
        <v>3.6</v>
      </c>
      <c r="H565" t="n">
        <v>0</v>
      </c>
      <c r="I565" t="n">
        <v>0</v>
      </c>
      <c r="J565" t="n">
        <v>0</v>
      </c>
      <c r="K565" t="n">
        <v>0</v>
      </c>
      <c r="L565" t="n">
        <v>0</v>
      </c>
      <c r="M565" t="n">
        <v>0</v>
      </c>
      <c r="N565" t="n">
        <v>0</v>
      </c>
      <c r="O565" t="n">
        <v>0</v>
      </c>
      <c r="P565" t="n">
        <v>0</v>
      </c>
      <c r="Q565" t="n">
        <v>0</v>
      </c>
      <c r="R565" s="2" t="inlineStr"/>
    </row>
    <row r="566" ht="15" customHeight="1">
      <c r="A566" t="inlineStr">
        <is>
          <t>A 32602-2022</t>
        </is>
      </c>
      <c r="B566" s="1" t="n">
        <v>44783.43192129629</v>
      </c>
      <c r="C566" s="1" t="n">
        <v>46115</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12255-2026</t>
        </is>
      </c>
      <c r="B567" s="1" t="n">
        <v>46087.46630787037</v>
      </c>
      <c r="C567" s="1" t="n">
        <v>46115</v>
      </c>
      <c r="D567" t="inlineStr">
        <is>
          <t>ÖSTERGÖTLANDS LÄN</t>
        </is>
      </c>
      <c r="E567" t="inlineStr">
        <is>
          <t>LINKÖPING</t>
        </is>
      </c>
      <c r="F567" t="inlineStr">
        <is>
          <t>Övriga Aktiebolag</t>
        </is>
      </c>
      <c r="G567" t="n">
        <v>3.2</v>
      </c>
      <c r="H567" t="n">
        <v>0</v>
      </c>
      <c r="I567" t="n">
        <v>0</v>
      </c>
      <c r="J567" t="n">
        <v>0</v>
      </c>
      <c r="K567" t="n">
        <v>0</v>
      </c>
      <c r="L567" t="n">
        <v>0</v>
      </c>
      <c r="M567" t="n">
        <v>0</v>
      </c>
      <c r="N567" t="n">
        <v>0</v>
      </c>
      <c r="O567" t="n">
        <v>0</v>
      </c>
      <c r="P567" t="n">
        <v>0</v>
      </c>
      <c r="Q567" t="n">
        <v>0</v>
      </c>
      <c r="R567" s="2" t="inlineStr"/>
    </row>
    <row r="568" ht="15" customHeight="1">
      <c r="A568" t="inlineStr">
        <is>
          <t>A 38886-2024</t>
        </is>
      </c>
      <c r="B568" s="1" t="n">
        <v>45547.66443287037</v>
      </c>
      <c r="C568" s="1" t="n">
        <v>46115</v>
      </c>
      <c r="D568" t="inlineStr">
        <is>
          <t>ÖSTERGÖTLANDS LÄN</t>
        </is>
      </c>
      <c r="E568" t="inlineStr">
        <is>
          <t>LINKÖPING</t>
        </is>
      </c>
      <c r="G568" t="n">
        <v>5.3</v>
      </c>
      <c r="H568" t="n">
        <v>0</v>
      </c>
      <c r="I568" t="n">
        <v>0</v>
      </c>
      <c r="J568" t="n">
        <v>0</v>
      </c>
      <c r="K568" t="n">
        <v>0</v>
      </c>
      <c r="L568" t="n">
        <v>0</v>
      </c>
      <c r="M568" t="n">
        <v>0</v>
      </c>
      <c r="N568" t="n">
        <v>0</v>
      </c>
      <c r="O568" t="n">
        <v>0</v>
      </c>
      <c r="P568" t="n">
        <v>0</v>
      </c>
      <c r="Q568" t="n">
        <v>0</v>
      </c>
      <c r="R568" s="2" t="inlineStr"/>
    </row>
    <row r="569" ht="15" customHeight="1">
      <c r="A569" t="inlineStr">
        <is>
          <t>A 12482-2026</t>
        </is>
      </c>
      <c r="B569" s="1" t="n">
        <v>46090.56292824074</v>
      </c>
      <c r="C569" s="1" t="n">
        <v>46115</v>
      </c>
      <c r="D569" t="inlineStr">
        <is>
          <t>ÖSTERGÖTLANDS LÄN</t>
        </is>
      </c>
      <c r="E569" t="inlineStr">
        <is>
          <t>LINKÖPING</t>
        </is>
      </c>
      <c r="G569" t="n">
        <v>1.2</v>
      </c>
      <c r="H569" t="n">
        <v>0</v>
      </c>
      <c r="I569" t="n">
        <v>0</v>
      </c>
      <c r="J569" t="n">
        <v>0</v>
      </c>
      <c r="K569" t="n">
        <v>0</v>
      </c>
      <c r="L569" t="n">
        <v>0</v>
      </c>
      <c r="M569" t="n">
        <v>0</v>
      </c>
      <c r="N569" t="n">
        <v>0</v>
      </c>
      <c r="O569" t="n">
        <v>0</v>
      </c>
      <c r="P569" t="n">
        <v>0</v>
      </c>
      <c r="Q569" t="n">
        <v>0</v>
      </c>
      <c r="R569" s="2" t="inlineStr"/>
    </row>
    <row r="570" ht="15" customHeight="1">
      <c r="A570" t="inlineStr">
        <is>
          <t>A 12486-2026</t>
        </is>
      </c>
      <c r="B570" s="1" t="n">
        <v>46090.56501157407</v>
      </c>
      <c r="C570" s="1" t="n">
        <v>46115</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13413-2023</t>
        </is>
      </c>
      <c r="B571" s="1" t="n">
        <v>45005.58341435185</v>
      </c>
      <c r="C571" s="1" t="n">
        <v>46115</v>
      </c>
      <c r="D571" t="inlineStr">
        <is>
          <t>ÖSTERGÖTLANDS LÄN</t>
        </is>
      </c>
      <c r="E571" t="inlineStr">
        <is>
          <t>LINKÖPING</t>
        </is>
      </c>
      <c r="G571" t="n">
        <v>2.4</v>
      </c>
      <c r="H571" t="n">
        <v>0</v>
      </c>
      <c r="I571" t="n">
        <v>0</v>
      </c>
      <c r="J571" t="n">
        <v>0</v>
      </c>
      <c r="K571" t="n">
        <v>0</v>
      </c>
      <c r="L571" t="n">
        <v>0</v>
      </c>
      <c r="M571" t="n">
        <v>0</v>
      </c>
      <c r="N571" t="n">
        <v>0</v>
      </c>
      <c r="O571" t="n">
        <v>0</v>
      </c>
      <c r="P571" t="n">
        <v>0</v>
      </c>
      <c r="Q571" t="n">
        <v>0</v>
      </c>
      <c r="R571" s="2" t="inlineStr"/>
    </row>
    <row r="572" ht="15" customHeight="1">
      <c r="A572" t="inlineStr">
        <is>
          <t>A 12251-2026</t>
        </is>
      </c>
      <c r="B572" s="1" t="n">
        <v>46087.45278935185</v>
      </c>
      <c r="C572" s="1" t="n">
        <v>46115</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63528-2023</t>
        </is>
      </c>
      <c r="B573" s="1" t="n">
        <v>45274.94810185185</v>
      </c>
      <c r="C573" s="1" t="n">
        <v>46115</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63638-2023</t>
        </is>
      </c>
      <c r="B574" s="1" t="n">
        <v>45275</v>
      </c>
      <c r="C574" s="1" t="n">
        <v>46115</v>
      </c>
      <c r="D574" t="inlineStr">
        <is>
          <t>ÖSTERGÖTLANDS LÄN</t>
        </is>
      </c>
      <c r="E574" t="inlineStr">
        <is>
          <t>LINKÖPING</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63658-2023</t>
        </is>
      </c>
      <c r="B575" s="1" t="n">
        <v>45275</v>
      </c>
      <c r="C575" s="1" t="n">
        <v>46115</v>
      </c>
      <c r="D575" t="inlineStr">
        <is>
          <t>ÖSTERGÖTLANDS LÄN</t>
        </is>
      </c>
      <c r="E575" t="inlineStr">
        <is>
          <t>LINKÖPING</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7808-2022</t>
        </is>
      </c>
      <c r="B576" s="1" t="n">
        <v>44608</v>
      </c>
      <c r="C576" s="1" t="n">
        <v>46115</v>
      </c>
      <c r="D576" t="inlineStr">
        <is>
          <t>ÖSTERGÖTLANDS LÄN</t>
        </is>
      </c>
      <c r="E576" t="inlineStr">
        <is>
          <t>LINKÖPING</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36336-2023</t>
        </is>
      </c>
      <c r="B577" s="1" t="n">
        <v>45152.45078703704</v>
      </c>
      <c r="C577" s="1" t="n">
        <v>46115</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4469-2026</t>
        </is>
      </c>
      <c r="B578" s="1" t="n">
        <v>46045.65662037037</v>
      </c>
      <c r="C578" s="1" t="n">
        <v>46115</v>
      </c>
      <c r="D578" t="inlineStr">
        <is>
          <t>ÖSTERGÖTLANDS LÄN</t>
        </is>
      </c>
      <c r="E578" t="inlineStr">
        <is>
          <t>LINKÖPING</t>
        </is>
      </c>
      <c r="F578" t="inlineStr">
        <is>
          <t>Övriga Aktiebolag</t>
        </is>
      </c>
      <c r="G578" t="n">
        <v>3.8</v>
      </c>
      <c r="H578" t="n">
        <v>0</v>
      </c>
      <c r="I578" t="n">
        <v>0</v>
      </c>
      <c r="J578" t="n">
        <v>0</v>
      </c>
      <c r="K578" t="n">
        <v>0</v>
      </c>
      <c r="L578" t="n">
        <v>0</v>
      </c>
      <c r="M578" t="n">
        <v>0</v>
      </c>
      <c r="N578" t="n">
        <v>0</v>
      </c>
      <c r="O578" t="n">
        <v>0</v>
      </c>
      <c r="P578" t="n">
        <v>0</v>
      </c>
      <c r="Q578" t="n">
        <v>0</v>
      </c>
      <c r="R578" s="2" t="inlineStr"/>
    </row>
    <row r="579" ht="15" customHeight="1">
      <c r="A579" t="inlineStr">
        <is>
          <t>A 56623-2024</t>
        </is>
      </c>
      <c r="B579" s="1" t="n">
        <v>45625</v>
      </c>
      <c r="C579" s="1" t="n">
        <v>46115</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12254-2026</t>
        </is>
      </c>
      <c r="B580" s="1" t="n">
        <v>46087.46196759259</v>
      </c>
      <c r="C580" s="1" t="n">
        <v>46115</v>
      </c>
      <c r="D580" t="inlineStr">
        <is>
          <t>ÖSTERGÖTLANDS LÄN</t>
        </is>
      </c>
      <c r="E580" t="inlineStr">
        <is>
          <t>LINKÖPING</t>
        </is>
      </c>
      <c r="G580" t="n">
        <v>10.4</v>
      </c>
      <c r="H580" t="n">
        <v>0</v>
      </c>
      <c r="I580" t="n">
        <v>0</v>
      </c>
      <c r="J580" t="n">
        <v>0</v>
      </c>
      <c r="K580" t="n">
        <v>0</v>
      </c>
      <c r="L580" t="n">
        <v>0</v>
      </c>
      <c r="M580" t="n">
        <v>0</v>
      </c>
      <c r="N580" t="n">
        <v>0</v>
      </c>
      <c r="O580" t="n">
        <v>0</v>
      </c>
      <c r="P580" t="n">
        <v>0</v>
      </c>
      <c r="Q580" t="n">
        <v>0</v>
      </c>
      <c r="R580" s="2" t="inlineStr"/>
    </row>
    <row r="581" ht="15" customHeight="1">
      <c r="A581" t="inlineStr">
        <is>
          <t>A 12247-2026</t>
        </is>
      </c>
      <c r="B581" s="1" t="n">
        <v>46087.44436342592</v>
      </c>
      <c r="C581" s="1" t="n">
        <v>46115</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5545-2026</t>
        </is>
      </c>
      <c r="B582" s="1" t="n">
        <v>46050.70089120371</v>
      </c>
      <c r="C582" s="1" t="n">
        <v>46115</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13011-2022</t>
        </is>
      </c>
      <c r="B583" s="1" t="n">
        <v>44643</v>
      </c>
      <c r="C583" s="1" t="n">
        <v>46115</v>
      </c>
      <c r="D583" t="inlineStr">
        <is>
          <t>ÖSTERGÖTLANDS LÄN</t>
        </is>
      </c>
      <c r="E583" t="inlineStr">
        <is>
          <t>LINKÖPING</t>
        </is>
      </c>
      <c r="G583" t="n">
        <v>3.7</v>
      </c>
      <c r="H583" t="n">
        <v>0</v>
      </c>
      <c r="I583" t="n">
        <v>0</v>
      </c>
      <c r="J583" t="n">
        <v>0</v>
      </c>
      <c r="K583" t="n">
        <v>0</v>
      </c>
      <c r="L583" t="n">
        <v>0</v>
      </c>
      <c r="M583" t="n">
        <v>0</v>
      </c>
      <c r="N583" t="n">
        <v>0</v>
      </c>
      <c r="O583" t="n">
        <v>0</v>
      </c>
      <c r="P583" t="n">
        <v>0</v>
      </c>
      <c r="Q583" t="n">
        <v>0</v>
      </c>
      <c r="R583" s="2" t="inlineStr"/>
    </row>
    <row r="584" ht="15" customHeight="1">
      <c r="A584" t="inlineStr">
        <is>
          <t>A 11595-2025</t>
        </is>
      </c>
      <c r="B584" s="1" t="n">
        <v>45727.41893518518</v>
      </c>
      <c r="C584" s="1" t="n">
        <v>46115</v>
      </c>
      <c r="D584" t="inlineStr">
        <is>
          <t>ÖSTERGÖTLANDS LÄN</t>
        </is>
      </c>
      <c r="E584" t="inlineStr">
        <is>
          <t>LINKÖPING</t>
        </is>
      </c>
      <c r="G584" t="n">
        <v>6.6</v>
      </c>
      <c r="H584" t="n">
        <v>0</v>
      </c>
      <c r="I584" t="n">
        <v>0</v>
      </c>
      <c r="J584" t="n">
        <v>0</v>
      </c>
      <c r="K584" t="n">
        <v>0</v>
      </c>
      <c r="L584" t="n">
        <v>0</v>
      </c>
      <c r="M584" t="n">
        <v>0</v>
      </c>
      <c r="N584" t="n">
        <v>0</v>
      </c>
      <c r="O584" t="n">
        <v>0</v>
      </c>
      <c r="P584" t="n">
        <v>0</v>
      </c>
      <c r="Q584" t="n">
        <v>0</v>
      </c>
      <c r="R584" s="2" t="inlineStr"/>
    </row>
    <row r="585" ht="15" customHeight="1">
      <c r="A585" t="inlineStr">
        <is>
          <t>A 50508-2024</t>
        </is>
      </c>
      <c r="B585" s="1" t="n">
        <v>45601.53907407408</v>
      </c>
      <c r="C585" s="1" t="n">
        <v>46115</v>
      </c>
      <c r="D585" t="inlineStr">
        <is>
          <t>ÖSTERGÖTLANDS LÄN</t>
        </is>
      </c>
      <c r="E585" t="inlineStr">
        <is>
          <t>LINKÖPING</t>
        </is>
      </c>
      <c r="F585" t="inlineStr">
        <is>
          <t>Övriga Aktiebolag</t>
        </is>
      </c>
      <c r="G585" t="n">
        <v>2</v>
      </c>
      <c r="H585" t="n">
        <v>0</v>
      </c>
      <c r="I585" t="n">
        <v>0</v>
      </c>
      <c r="J585" t="n">
        <v>0</v>
      </c>
      <c r="K585" t="n">
        <v>0</v>
      </c>
      <c r="L585" t="n">
        <v>0</v>
      </c>
      <c r="M585" t="n">
        <v>0</v>
      </c>
      <c r="N585" t="n">
        <v>0</v>
      </c>
      <c r="O585" t="n">
        <v>0</v>
      </c>
      <c r="P585" t="n">
        <v>0</v>
      </c>
      <c r="Q585" t="n">
        <v>0</v>
      </c>
      <c r="R585" s="2" t="inlineStr"/>
    </row>
    <row r="586" ht="15" customHeight="1">
      <c r="A586" t="inlineStr">
        <is>
          <t>A 5099-2026</t>
        </is>
      </c>
      <c r="B586" s="1" t="n">
        <v>46049.56158564815</v>
      </c>
      <c r="C586" s="1" t="n">
        <v>46115</v>
      </c>
      <c r="D586" t="inlineStr">
        <is>
          <t>ÖSTERGÖTLANDS LÄN</t>
        </is>
      </c>
      <c r="E586" t="inlineStr">
        <is>
          <t>LINKÖPING</t>
        </is>
      </c>
      <c r="G586" t="n">
        <v>5</v>
      </c>
      <c r="H586" t="n">
        <v>0</v>
      </c>
      <c r="I586" t="n">
        <v>0</v>
      </c>
      <c r="J586" t="n">
        <v>0</v>
      </c>
      <c r="K586" t="n">
        <v>0</v>
      </c>
      <c r="L586" t="n">
        <v>0</v>
      </c>
      <c r="M586" t="n">
        <v>0</v>
      </c>
      <c r="N586" t="n">
        <v>0</v>
      </c>
      <c r="O586" t="n">
        <v>0</v>
      </c>
      <c r="P586" t="n">
        <v>0</v>
      </c>
      <c r="Q586" t="n">
        <v>0</v>
      </c>
      <c r="R586" s="2" t="inlineStr"/>
    </row>
    <row r="587" ht="15" customHeight="1">
      <c r="A587" t="inlineStr">
        <is>
          <t>A 36336-2022</t>
        </is>
      </c>
      <c r="B587" s="1" t="n">
        <v>44803</v>
      </c>
      <c r="C587" s="1" t="n">
        <v>46115</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10477-2026</t>
        </is>
      </c>
      <c r="B588" s="1" t="n">
        <v>46077.4871875</v>
      </c>
      <c r="C588" s="1" t="n">
        <v>46115</v>
      </c>
      <c r="D588" t="inlineStr">
        <is>
          <t>ÖSTERGÖTLANDS LÄN</t>
        </is>
      </c>
      <c r="E588" t="inlineStr">
        <is>
          <t>LINKÖPING</t>
        </is>
      </c>
      <c r="G588" t="n">
        <v>9.6</v>
      </c>
      <c r="H588" t="n">
        <v>0</v>
      </c>
      <c r="I588" t="n">
        <v>0</v>
      </c>
      <c r="J588" t="n">
        <v>0</v>
      </c>
      <c r="K588" t="n">
        <v>0</v>
      </c>
      <c r="L588" t="n">
        <v>0</v>
      </c>
      <c r="M588" t="n">
        <v>0</v>
      </c>
      <c r="N588" t="n">
        <v>0</v>
      </c>
      <c r="O588" t="n">
        <v>0</v>
      </c>
      <c r="P588" t="n">
        <v>0</v>
      </c>
      <c r="Q588" t="n">
        <v>0</v>
      </c>
      <c r="R588" s="2" t="inlineStr"/>
    </row>
    <row r="589" ht="15" customHeight="1">
      <c r="A589" t="inlineStr">
        <is>
          <t>A 48839-2022</t>
        </is>
      </c>
      <c r="B589" s="1" t="n">
        <v>44859</v>
      </c>
      <c r="C589" s="1" t="n">
        <v>46115</v>
      </c>
      <c r="D589" t="inlineStr">
        <is>
          <t>ÖSTERGÖTLANDS LÄN</t>
        </is>
      </c>
      <c r="E589" t="inlineStr">
        <is>
          <t>LINKÖPING</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6387-2022</t>
        </is>
      </c>
      <c r="B590" s="1" t="n">
        <v>44600</v>
      </c>
      <c r="C590" s="1" t="n">
        <v>46115</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34641-2022</t>
        </is>
      </c>
      <c r="B591" s="1" t="n">
        <v>44795</v>
      </c>
      <c r="C591" s="1" t="n">
        <v>46115</v>
      </c>
      <c r="D591" t="inlineStr">
        <is>
          <t>ÖSTERGÖTLANDS LÄN</t>
        </is>
      </c>
      <c r="E591" t="inlineStr">
        <is>
          <t>LINKÖPING</t>
        </is>
      </c>
      <c r="G591" t="n">
        <v>2.4</v>
      </c>
      <c r="H591" t="n">
        <v>0</v>
      </c>
      <c r="I591" t="n">
        <v>0</v>
      </c>
      <c r="J591" t="n">
        <v>0</v>
      </c>
      <c r="K591" t="n">
        <v>0</v>
      </c>
      <c r="L591" t="n">
        <v>0</v>
      </c>
      <c r="M591" t="n">
        <v>0</v>
      </c>
      <c r="N591" t="n">
        <v>0</v>
      </c>
      <c r="O591" t="n">
        <v>0</v>
      </c>
      <c r="P591" t="n">
        <v>0</v>
      </c>
      <c r="Q591" t="n">
        <v>0</v>
      </c>
      <c r="R591" s="2" t="inlineStr"/>
    </row>
    <row r="592" ht="15" customHeight="1">
      <c r="A592" t="inlineStr">
        <is>
          <t>A 13687-2025</t>
        </is>
      </c>
      <c r="B592" s="1" t="n">
        <v>45737.31425925926</v>
      </c>
      <c r="C592" s="1" t="n">
        <v>46115</v>
      </c>
      <c r="D592" t="inlineStr">
        <is>
          <t>ÖSTERGÖTLANDS LÄN</t>
        </is>
      </c>
      <c r="E592" t="inlineStr">
        <is>
          <t>LINKÖPING</t>
        </is>
      </c>
      <c r="G592" t="n">
        <v>2.7</v>
      </c>
      <c r="H592" t="n">
        <v>0</v>
      </c>
      <c r="I592" t="n">
        <v>0</v>
      </c>
      <c r="J592" t="n">
        <v>0</v>
      </c>
      <c r="K592" t="n">
        <v>0</v>
      </c>
      <c r="L592" t="n">
        <v>0</v>
      </c>
      <c r="M592" t="n">
        <v>0</v>
      </c>
      <c r="N592" t="n">
        <v>0</v>
      </c>
      <c r="O592" t="n">
        <v>0</v>
      </c>
      <c r="P592" t="n">
        <v>0</v>
      </c>
      <c r="Q592" t="n">
        <v>0</v>
      </c>
      <c r="R592" s="2" t="inlineStr"/>
    </row>
    <row r="593" ht="15" customHeight="1">
      <c r="A593" t="inlineStr">
        <is>
          <t>A 13695-2025</t>
        </is>
      </c>
      <c r="B593" s="1" t="n">
        <v>45737.32219907407</v>
      </c>
      <c r="C593" s="1" t="n">
        <v>46115</v>
      </c>
      <c r="D593" t="inlineStr">
        <is>
          <t>ÖSTERGÖTLANDS LÄN</t>
        </is>
      </c>
      <c r="E593" t="inlineStr">
        <is>
          <t>LINKÖPING</t>
        </is>
      </c>
      <c r="G593" t="n">
        <v>5.3</v>
      </c>
      <c r="H593" t="n">
        <v>0</v>
      </c>
      <c r="I593" t="n">
        <v>0</v>
      </c>
      <c r="J593" t="n">
        <v>0</v>
      </c>
      <c r="K593" t="n">
        <v>0</v>
      </c>
      <c r="L593" t="n">
        <v>0</v>
      </c>
      <c r="M593" t="n">
        <v>0</v>
      </c>
      <c r="N593" t="n">
        <v>0</v>
      </c>
      <c r="O593" t="n">
        <v>0</v>
      </c>
      <c r="P593" t="n">
        <v>0</v>
      </c>
      <c r="Q593" t="n">
        <v>0</v>
      </c>
      <c r="R593" s="2" t="inlineStr"/>
    </row>
    <row r="594" ht="15" customHeight="1">
      <c r="A594" t="inlineStr">
        <is>
          <t>A 52413-2023</t>
        </is>
      </c>
      <c r="B594" s="1" t="n">
        <v>45225.27950231481</v>
      </c>
      <c r="C594" s="1" t="n">
        <v>46115</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13565-2026</t>
        </is>
      </c>
      <c r="B595" s="1" t="n">
        <v>46094.80006944444</v>
      </c>
      <c r="C595" s="1" t="n">
        <v>46115</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42054-2022</t>
        </is>
      </c>
      <c r="B596" s="1" t="n">
        <v>44830</v>
      </c>
      <c r="C596" s="1" t="n">
        <v>46115</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53797-2023</t>
        </is>
      </c>
      <c r="B597" s="1" t="n">
        <v>45230</v>
      </c>
      <c r="C597" s="1" t="n">
        <v>46115</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6384-2026</t>
        </is>
      </c>
      <c r="B598" s="1" t="n">
        <v>46055.63732638889</v>
      </c>
      <c r="C598" s="1" t="n">
        <v>46115</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6164-2026</t>
        </is>
      </c>
      <c r="B599" s="1" t="n">
        <v>46055.32596064815</v>
      </c>
      <c r="C599" s="1" t="n">
        <v>46115</v>
      </c>
      <c r="D599" t="inlineStr">
        <is>
          <t>ÖSTERGÖTLANDS LÄN</t>
        </is>
      </c>
      <c r="E599" t="inlineStr">
        <is>
          <t>LINKÖPING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22833-2023</t>
        </is>
      </c>
      <c r="B600" s="1" t="n">
        <v>45071</v>
      </c>
      <c r="C600" s="1" t="n">
        <v>46115</v>
      </c>
      <c r="D600" t="inlineStr">
        <is>
          <t>ÖSTERGÖTLANDS LÄN</t>
        </is>
      </c>
      <c r="E600" t="inlineStr">
        <is>
          <t>LINKÖPING</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17898-2022</t>
        </is>
      </c>
      <c r="B601" s="1" t="n">
        <v>44683</v>
      </c>
      <c r="C601" s="1" t="n">
        <v>46115</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62017-2024</t>
        </is>
      </c>
      <c r="B602" s="1" t="n">
        <v>45655.81140046296</v>
      </c>
      <c r="C602" s="1" t="n">
        <v>46115</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12411-2022</t>
        </is>
      </c>
      <c r="B603" s="1" t="n">
        <v>44638.21601851852</v>
      </c>
      <c r="C603" s="1" t="n">
        <v>46115</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10492-2022</t>
        </is>
      </c>
      <c r="B604" s="1" t="n">
        <v>44623.6377199074</v>
      </c>
      <c r="C604" s="1" t="n">
        <v>46115</v>
      </c>
      <c r="D604" t="inlineStr">
        <is>
          <t>ÖSTERGÖTLANDS LÄN</t>
        </is>
      </c>
      <c r="E604" t="inlineStr">
        <is>
          <t>LINKÖPING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7343-2025</t>
        </is>
      </c>
      <c r="B605" s="1" t="n">
        <v>45703.67853009259</v>
      </c>
      <c r="C605" s="1" t="n">
        <v>46115</v>
      </c>
      <c r="D605" t="inlineStr">
        <is>
          <t>ÖSTERGÖTLANDS LÄN</t>
        </is>
      </c>
      <c r="E605" t="inlineStr">
        <is>
          <t>LINKÖPING</t>
        </is>
      </c>
      <c r="G605" t="n">
        <v>0.8</v>
      </c>
      <c r="H605" t="n">
        <v>0</v>
      </c>
      <c r="I605" t="n">
        <v>0</v>
      </c>
      <c r="J605" t="n">
        <v>0</v>
      </c>
      <c r="K605" t="n">
        <v>0</v>
      </c>
      <c r="L605" t="n">
        <v>0</v>
      </c>
      <c r="M605" t="n">
        <v>0</v>
      </c>
      <c r="N605" t="n">
        <v>0</v>
      </c>
      <c r="O605" t="n">
        <v>0</v>
      </c>
      <c r="P605" t="n">
        <v>0</v>
      </c>
      <c r="Q605" t="n">
        <v>0</v>
      </c>
      <c r="R605" s="2" t="inlineStr"/>
    </row>
    <row r="606" ht="15" customHeight="1">
      <c r="A606" t="inlineStr">
        <is>
          <t>A 8967-2025</t>
        </is>
      </c>
      <c r="B606" s="1" t="n">
        <v>45712</v>
      </c>
      <c r="C606" s="1" t="n">
        <v>46115</v>
      </c>
      <c r="D606" t="inlineStr">
        <is>
          <t>ÖSTERGÖTLANDS LÄN</t>
        </is>
      </c>
      <c r="E606" t="inlineStr">
        <is>
          <t>LINKÖPING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35427-2023</t>
        </is>
      </c>
      <c r="B607" s="1" t="n">
        <v>45146</v>
      </c>
      <c r="C607" s="1" t="n">
        <v>46115</v>
      </c>
      <c r="D607" t="inlineStr">
        <is>
          <t>ÖSTERGÖTLANDS LÄN</t>
        </is>
      </c>
      <c r="E607" t="inlineStr">
        <is>
          <t>LINKÖPING</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30468-2023</t>
        </is>
      </c>
      <c r="B608" s="1" t="n">
        <v>45111.58732638889</v>
      </c>
      <c r="C608" s="1" t="n">
        <v>46115</v>
      </c>
      <c r="D608" t="inlineStr">
        <is>
          <t>ÖSTERGÖTLANDS LÄN</t>
        </is>
      </c>
      <c r="E608" t="inlineStr">
        <is>
          <t>LINKÖPING</t>
        </is>
      </c>
      <c r="G608" t="n">
        <v>10.1</v>
      </c>
      <c r="H608" t="n">
        <v>0</v>
      </c>
      <c r="I608" t="n">
        <v>0</v>
      </c>
      <c r="J608" t="n">
        <v>0</v>
      </c>
      <c r="K608" t="n">
        <v>0</v>
      </c>
      <c r="L608" t="n">
        <v>0</v>
      </c>
      <c r="M608" t="n">
        <v>0</v>
      </c>
      <c r="N608" t="n">
        <v>0</v>
      </c>
      <c r="O608" t="n">
        <v>0</v>
      </c>
      <c r="P608" t="n">
        <v>0</v>
      </c>
      <c r="Q608" t="n">
        <v>0</v>
      </c>
      <c r="R608" s="2" t="inlineStr"/>
    </row>
    <row r="609" ht="15" customHeight="1">
      <c r="A609" t="inlineStr">
        <is>
          <t>A 20296-2025</t>
        </is>
      </c>
      <c r="B609" s="1" t="n">
        <v>45774.74922453704</v>
      </c>
      <c r="C609" s="1" t="n">
        <v>46115</v>
      </c>
      <c r="D609" t="inlineStr">
        <is>
          <t>ÖSTERGÖTLANDS LÄN</t>
        </is>
      </c>
      <c r="E609" t="inlineStr">
        <is>
          <t>LINKÖPING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56841-2023</t>
        </is>
      </c>
      <c r="B610" s="1" t="n">
        <v>45244</v>
      </c>
      <c r="C610" s="1" t="n">
        <v>46115</v>
      </c>
      <c r="D610" t="inlineStr">
        <is>
          <t>ÖSTERGÖTLANDS LÄN</t>
        </is>
      </c>
      <c r="E610" t="inlineStr">
        <is>
          <t>LINKÖPING</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13927-2026</t>
        </is>
      </c>
      <c r="B611" s="1" t="n">
        <v>46098</v>
      </c>
      <c r="C611" s="1" t="n">
        <v>46115</v>
      </c>
      <c r="D611" t="inlineStr">
        <is>
          <t>ÖSTERGÖTLANDS LÄN</t>
        </is>
      </c>
      <c r="E611" t="inlineStr">
        <is>
          <t>LINKÖPING</t>
        </is>
      </c>
      <c r="G611" t="n">
        <v>1.8</v>
      </c>
      <c r="H611" t="n">
        <v>0</v>
      </c>
      <c r="I611" t="n">
        <v>0</v>
      </c>
      <c r="J611" t="n">
        <v>0</v>
      </c>
      <c r="K611" t="n">
        <v>0</v>
      </c>
      <c r="L611" t="n">
        <v>0</v>
      </c>
      <c r="M611" t="n">
        <v>0</v>
      </c>
      <c r="N611" t="n">
        <v>0</v>
      </c>
      <c r="O611" t="n">
        <v>0</v>
      </c>
      <c r="P611" t="n">
        <v>0</v>
      </c>
      <c r="Q611" t="n">
        <v>0</v>
      </c>
      <c r="R611" s="2" t="inlineStr"/>
    </row>
    <row r="612" ht="15" customHeight="1">
      <c r="A612" t="inlineStr">
        <is>
          <t>A 7133-2026</t>
        </is>
      </c>
      <c r="B612" s="1" t="n">
        <v>46057</v>
      </c>
      <c r="C612" s="1" t="n">
        <v>46115</v>
      </c>
      <c r="D612" t="inlineStr">
        <is>
          <t>ÖSTERGÖTLANDS LÄN</t>
        </is>
      </c>
      <c r="E612" t="inlineStr">
        <is>
          <t>LINKÖPING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14157-2026</t>
        </is>
      </c>
      <c r="B613" s="1" t="n">
        <v>46099.46829861111</v>
      </c>
      <c r="C613" s="1" t="n">
        <v>46115</v>
      </c>
      <c r="D613" t="inlineStr">
        <is>
          <t>ÖSTERGÖTLANDS LÄN</t>
        </is>
      </c>
      <c r="E613" t="inlineStr">
        <is>
          <t>LINKÖPING</t>
        </is>
      </c>
      <c r="F613" t="inlineStr">
        <is>
          <t>Allmännings- och besparingsskogar</t>
        </is>
      </c>
      <c r="G613" t="n">
        <v>1.6</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46115</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46115</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38715-2023</t>
        </is>
      </c>
      <c r="B616" s="1" t="n">
        <v>45160</v>
      </c>
      <c r="C616" s="1" t="n">
        <v>46115</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27766-2022</t>
        </is>
      </c>
      <c r="B617" s="1" t="n">
        <v>44743.53112268518</v>
      </c>
      <c r="C617" s="1" t="n">
        <v>46115</v>
      </c>
      <c r="D617" t="inlineStr">
        <is>
          <t>ÖSTERGÖTLANDS LÄN</t>
        </is>
      </c>
      <c r="E617" t="inlineStr">
        <is>
          <t>LINKÖPING</t>
        </is>
      </c>
      <c r="G617" t="n">
        <v>2</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46115</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46115</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46115</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46115</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15850-2026</t>
        </is>
      </c>
      <c r="B622" s="1" t="n">
        <v>46107.57224537037</v>
      </c>
      <c r="C622" s="1" t="n">
        <v>46115</v>
      </c>
      <c r="D622" t="inlineStr">
        <is>
          <t>ÖSTERGÖTLANDS LÄN</t>
        </is>
      </c>
      <c r="E622" t="inlineStr">
        <is>
          <t>LINKÖPING</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30976-2022</t>
        </is>
      </c>
      <c r="B623" s="1" t="n">
        <v>44768</v>
      </c>
      <c r="C623" s="1" t="n">
        <v>46115</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30860-2022</t>
        </is>
      </c>
      <c r="B624" s="1" t="n">
        <v>44767</v>
      </c>
      <c r="C624" s="1" t="n">
        <v>46115</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48186-2022</t>
        </is>
      </c>
      <c r="B625" s="1" t="n">
        <v>44858</v>
      </c>
      <c r="C625" s="1" t="n">
        <v>46115</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28266-2024</t>
        </is>
      </c>
      <c r="B626" s="1" t="n">
        <v>45477.43600694444</v>
      </c>
      <c r="C626" s="1" t="n">
        <v>46115</v>
      </c>
      <c r="D626" t="inlineStr">
        <is>
          <t>ÖSTERGÖTLANDS LÄN</t>
        </is>
      </c>
      <c r="E626" t="inlineStr">
        <is>
          <t>LINKÖPING</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31548-2022</t>
        </is>
      </c>
      <c r="B627" s="1" t="n">
        <v>44775.39832175926</v>
      </c>
      <c r="C627" s="1" t="n">
        <v>46115</v>
      </c>
      <c r="D627" t="inlineStr">
        <is>
          <t>ÖSTERGÖTLANDS LÄN</t>
        </is>
      </c>
      <c r="E627" t="inlineStr">
        <is>
          <t>LINKÖPING</t>
        </is>
      </c>
      <c r="G627" t="n">
        <v>0.9</v>
      </c>
      <c r="H627" t="n">
        <v>0</v>
      </c>
      <c r="I627" t="n">
        <v>0</v>
      </c>
      <c r="J627" t="n">
        <v>0</v>
      </c>
      <c r="K627" t="n">
        <v>0</v>
      </c>
      <c r="L627" t="n">
        <v>0</v>
      </c>
      <c r="M627" t="n">
        <v>0</v>
      </c>
      <c r="N627" t="n">
        <v>0</v>
      </c>
      <c r="O627" t="n">
        <v>0</v>
      </c>
      <c r="P627" t="n">
        <v>0</v>
      </c>
      <c r="Q627" t="n">
        <v>0</v>
      </c>
      <c r="R627" s="2" t="inlineStr"/>
    </row>
    <row r="628" ht="15" customHeight="1">
      <c r="A628" t="inlineStr">
        <is>
          <t>A 1211-2023</t>
        </is>
      </c>
      <c r="B628" s="1" t="n">
        <v>44930</v>
      </c>
      <c r="C628" s="1" t="n">
        <v>46115</v>
      </c>
      <c r="D628" t="inlineStr">
        <is>
          <t>ÖSTERGÖTLANDS LÄN</t>
        </is>
      </c>
      <c r="E628" t="inlineStr">
        <is>
          <t>LINKÖPING</t>
        </is>
      </c>
      <c r="F628" t="inlineStr">
        <is>
          <t>Övriga statliga verk och myndigheter</t>
        </is>
      </c>
      <c r="G628" t="n">
        <v>7.9</v>
      </c>
      <c r="H628" t="n">
        <v>0</v>
      </c>
      <c r="I628" t="n">
        <v>0</v>
      </c>
      <c r="J628" t="n">
        <v>0</v>
      </c>
      <c r="K628" t="n">
        <v>0</v>
      </c>
      <c r="L628" t="n">
        <v>0</v>
      </c>
      <c r="M628" t="n">
        <v>0</v>
      </c>
      <c r="N628" t="n">
        <v>0</v>
      </c>
      <c r="O628" t="n">
        <v>0</v>
      </c>
      <c r="P628" t="n">
        <v>0</v>
      </c>
      <c r="Q628" t="n">
        <v>0</v>
      </c>
      <c r="R628" s="2" t="inlineStr"/>
    </row>
    <row r="629" ht="15" customHeight="1">
      <c r="A629" t="inlineStr">
        <is>
          <t>A 51191-2022</t>
        </is>
      </c>
      <c r="B629" s="1" t="n">
        <v>44865</v>
      </c>
      <c r="C629" s="1" t="n">
        <v>46115</v>
      </c>
      <c r="D629" t="inlineStr">
        <is>
          <t>ÖSTERGÖTLANDS LÄN</t>
        </is>
      </c>
      <c r="E629" t="inlineStr">
        <is>
          <t>LINKÖPING</t>
        </is>
      </c>
      <c r="G629" t="n">
        <v>2.2</v>
      </c>
      <c r="H629" t="n">
        <v>0</v>
      </c>
      <c r="I629" t="n">
        <v>0</v>
      </c>
      <c r="J629" t="n">
        <v>0</v>
      </c>
      <c r="K629" t="n">
        <v>0</v>
      </c>
      <c r="L629" t="n">
        <v>0</v>
      </c>
      <c r="M629" t="n">
        <v>0</v>
      </c>
      <c r="N629" t="n">
        <v>0</v>
      </c>
      <c r="O629" t="n">
        <v>0</v>
      </c>
      <c r="P629" t="n">
        <v>0</v>
      </c>
      <c r="Q629" t="n">
        <v>0</v>
      </c>
      <c r="R629" s="2" t="inlineStr"/>
    </row>
    <row r="630" ht="15" customHeight="1">
      <c r="A630" t="inlineStr">
        <is>
          <t>A 55632-2022</t>
        </is>
      </c>
      <c r="B630" s="1" t="n">
        <v>44888</v>
      </c>
      <c r="C630" s="1" t="n">
        <v>46115</v>
      </c>
      <c r="D630" t="inlineStr">
        <is>
          <t>ÖSTERGÖTLANDS LÄN</t>
        </is>
      </c>
      <c r="E630" t="inlineStr">
        <is>
          <t>LINKÖPING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63669-2023</t>
        </is>
      </c>
      <c r="B631" s="1" t="n">
        <v>45275</v>
      </c>
      <c r="C631" s="1" t="n">
        <v>46115</v>
      </c>
      <c r="D631" t="inlineStr">
        <is>
          <t>ÖSTERGÖTLANDS LÄN</t>
        </is>
      </c>
      <c r="E631" t="inlineStr">
        <is>
          <t>LINKÖPING</t>
        </is>
      </c>
      <c r="F631" t="inlineStr">
        <is>
          <t>Övriga Aktiebolag</t>
        </is>
      </c>
      <c r="G631" t="n">
        <v>3</v>
      </c>
      <c r="H631" t="n">
        <v>0</v>
      </c>
      <c r="I631" t="n">
        <v>0</v>
      </c>
      <c r="J631" t="n">
        <v>0</v>
      </c>
      <c r="K631" t="n">
        <v>0</v>
      </c>
      <c r="L631" t="n">
        <v>0</v>
      </c>
      <c r="M631" t="n">
        <v>0</v>
      </c>
      <c r="N631" t="n">
        <v>0</v>
      </c>
      <c r="O631" t="n">
        <v>0</v>
      </c>
      <c r="P631" t="n">
        <v>0</v>
      </c>
      <c r="Q631" t="n">
        <v>0</v>
      </c>
      <c r="R631" s="2" t="inlineStr"/>
    </row>
    <row r="632" ht="15" customHeight="1">
      <c r="A632" t="inlineStr">
        <is>
          <t>A 12289-2025</t>
        </is>
      </c>
      <c r="B632" s="1" t="n">
        <v>45729</v>
      </c>
      <c r="C632" s="1" t="n">
        <v>46115</v>
      </c>
      <c r="D632" t="inlineStr">
        <is>
          <t>ÖSTERGÖTLANDS LÄN</t>
        </is>
      </c>
      <c r="E632" t="inlineStr">
        <is>
          <t>LINKÖPING</t>
        </is>
      </c>
      <c r="F632" t="inlineStr">
        <is>
          <t>Övriga statliga verk och myndigheter</t>
        </is>
      </c>
      <c r="G632" t="n">
        <v>6.5</v>
      </c>
      <c r="H632" t="n">
        <v>0</v>
      </c>
      <c r="I632" t="n">
        <v>0</v>
      </c>
      <c r="J632" t="n">
        <v>0</v>
      </c>
      <c r="K632" t="n">
        <v>0</v>
      </c>
      <c r="L632" t="n">
        <v>0</v>
      </c>
      <c r="M632" t="n">
        <v>0</v>
      </c>
      <c r="N632" t="n">
        <v>0</v>
      </c>
      <c r="O632" t="n">
        <v>0</v>
      </c>
      <c r="P632" t="n">
        <v>0</v>
      </c>
      <c r="Q632" t="n">
        <v>0</v>
      </c>
      <c r="R632" s="2" t="inlineStr"/>
    </row>
    <row r="633" ht="15" customHeight="1">
      <c r="A633" t="inlineStr">
        <is>
          <t>A 36657-2023</t>
        </is>
      </c>
      <c r="B633" s="1" t="n">
        <v>45153.5702662037</v>
      </c>
      <c r="C633" s="1" t="n">
        <v>46115</v>
      </c>
      <c r="D633" t="inlineStr">
        <is>
          <t>ÖSTERGÖTLANDS LÄN</t>
        </is>
      </c>
      <c r="E633" t="inlineStr">
        <is>
          <t>LINKÖPING</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19169-2023</t>
        </is>
      </c>
      <c r="B634" s="1" t="n">
        <v>45044</v>
      </c>
      <c r="C634" s="1" t="n">
        <v>46115</v>
      </c>
      <c r="D634" t="inlineStr">
        <is>
          <t>ÖSTERGÖTLANDS LÄN</t>
        </is>
      </c>
      <c r="E634" t="inlineStr">
        <is>
          <t>LINKÖPING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1209-2023</t>
        </is>
      </c>
      <c r="B635" s="1" t="n">
        <v>44930</v>
      </c>
      <c r="C635" s="1" t="n">
        <v>46115</v>
      </c>
      <c r="D635" t="inlineStr">
        <is>
          <t>ÖSTERGÖTLANDS LÄN</t>
        </is>
      </c>
      <c r="E635" t="inlineStr">
        <is>
          <t>LINKÖPING</t>
        </is>
      </c>
      <c r="F635" t="inlineStr">
        <is>
          <t>Övriga statliga verk och myndigheter</t>
        </is>
      </c>
      <c r="G635" t="n">
        <v>25.8</v>
      </c>
      <c r="H635" t="n">
        <v>0</v>
      </c>
      <c r="I635" t="n">
        <v>0</v>
      </c>
      <c r="J635" t="n">
        <v>0</v>
      </c>
      <c r="K635" t="n">
        <v>0</v>
      </c>
      <c r="L635" t="n">
        <v>0</v>
      </c>
      <c r="M635" t="n">
        <v>0</v>
      </c>
      <c r="N635" t="n">
        <v>0</v>
      </c>
      <c r="O635" t="n">
        <v>0</v>
      </c>
      <c r="P635" t="n">
        <v>0</v>
      </c>
      <c r="Q635" t="n">
        <v>0</v>
      </c>
      <c r="R635" s="2" t="inlineStr"/>
    </row>
    <row r="636" ht="15" customHeight="1">
      <c r="A636" t="inlineStr">
        <is>
          <t>A 2085-2024</t>
        </is>
      </c>
      <c r="B636" s="1" t="n">
        <v>45309</v>
      </c>
      <c r="C636" s="1" t="n">
        <v>46115</v>
      </c>
      <c r="D636" t="inlineStr">
        <is>
          <t>ÖSTERGÖTLANDS LÄN</t>
        </is>
      </c>
      <c r="E636" t="inlineStr">
        <is>
          <t>LINKÖPING</t>
        </is>
      </c>
      <c r="G636" t="n">
        <v>4.5</v>
      </c>
      <c r="H636" t="n">
        <v>0</v>
      </c>
      <c r="I636" t="n">
        <v>0</v>
      </c>
      <c r="J636" t="n">
        <v>0</v>
      </c>
      <c r="K636" t="n">
        <v>0</v>
      </c>
      <c r="L636" t="n">
        <v>0</v>
      </c>
      <c r="M636" t="n">
        <v>0</v>
      </c>
      <c r="N636" t="n">
        <v>0</v>
      </c>
      <c r="O636" t="n">
        <v>0</v>
      </c>
      <c r="P636" t="n">
        <v>0</v>
      </c>
      <c r="Q636" t="n">
        <v>0</v>
      </c>
      <c r="R636" s="2" t="inlineStr"/>
    </row>
    <row r="637" ht="15" customHeight="1">
      <c r="A637" t="inlineStr">
        <is>
          <t>A 48-2024</t>
        </is>
      </c>
      <c r="B637" s="1" t="n">
        <v>45293</v>
      </c>
      <c r="C637" s="1" t="n">
        <v>46115</v>
      </c>
      <c r="D637" t="inlineStr">
        <is>
          <t>ÖSTERGÖTLANDS LÄN</t>
        </is>
      </c>
      <c r="E637" t="inlineStr">
        <is>
          <t>LINKÖPING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56560-2023</t>
        </is>
      </c>
      <c r="B638" s="1" t="n">
        <v>45238</v>
      </c>
      <c r="C638" s="1" t="n">
        <v>46115</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19132-2023</t>
        </is>
      </c>
      <c r="B639" s="1" t="n">
        <v>45048.54754629629</v>
      </c>
      <c r="C639" s="1" t="n">
        <v>46115</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16967-2026</t>
        </is>
      </c>
      <c r="B640" s="1" t="n">
        <v>46114.36207175926</v>
      </c>
      <c r="C640" s="1" t="n">
        <v>46115</v>
      </c>
      <c r="D640" t="inlineStr">
        <is>
          <t>ÖSTERGÖTLANDS LÄN</t>
        </is>
      </c>
      <c r="E640" t="inlineStr">
        <is>
          <t>LINKÖPING</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52412-2023</t>
        </is>
      </c>
      <c r="B641" s="1" t="n">
        <v>45225.27888888889</v>
      </c>
      <c r="C641" s="1" t="n">
        <v>46115</v>
      </c>
      <c r="D641" t="inlineStr">
        <is>
          <t>ÖSTERGÖTLANDS LÄN</t>
        </is>
      </c>
      <c r="E641" t="inlineStr">
        <is>
          <t>LINKÖPING</t>
        </is>
      </c>
      <c r="G641" t="n">
        <v>1.8</v>
      </c>
      <c r="H641" t="n">
        <v>0</v>
      </c>
      <c r="I641" t="n">
        <v>0</v>
      </c>
      <c r="J641" t="n">
        <v>0</v>
      </c>
      <c r="K641" t="n">
        <v>0</v>
      </c>
      <c r="L641" t="n">
        <v>0</v>
      </c>
      <c r="M641" t="n">
        <v>0</v>
      </c>
      <c r="N641" t="n">
        <v>0</v>
      </c>
      <c r="O641" t="n">
        <v>0</v>
      </c>
      <c r="P641" t="n">
        <v>0</v>
      </c>
      <c r="Q641" t="n">
        <v>0</v>
      </c>
      <c r="R641" s="2" t="inlineStr"/>
    </row>
    <row r="642" ht="15" customHeight="1">
      <c r="A642" t="inlineStr">
        <is>
          <t>A 62492-2023</t>
        </is>
      </c>
      <c r="B642" s="1" t="n">
        <v>45268.58987268519</v>
      </c>
      <c r="C642" s="1" t="n">
        <v>46115</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38230-2023</t>
        </is>
      </c>
      <c r="B643" s="1" t="n">
        <v>45161.55373842592</v>
      </c>
      <c r="C643" s="1" t="n">
        <v>46115</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56756-2023</t>
        </is>
      </c>
      <c r="B644" s="1" t="n">
        <v>45244</v>
      </c>
      <c r="C644" s="1" t="n">
        <v>46115</v>
      </c>
      <c r="D644" t="inlineStr">
        <is>
          <t>ÖSTERGÖTLANDS LÄN</t>
        </is>
      </c>
      <c r="E644" t="inlineStr">
        <is>
          <t>LINKÖPING</t>
        </is>
      </c>
      <c r="F644" t="inlineStr">
        <is>
          <t>Övriga Aktiebolag</t>
        </is>
      </c>
      <c r="G644" t="n">
        <v>0.8</v>
      </c>
      <c r="H644" t="n">
        <v>0</v>
      </c>
      <c r="I644" t="n">
        <v>0</v>
      </c>
      <c r="J644" t="n">
        <v>0</v>
      </c>
      <c r="K644" t="n">
        <v>0</v>
      </c>
      <c r="L644" t="n">
        <v>0</v>
      </c>
      <c r="M644" t="n">
        <v>0</v>
      </c>
      <c r="N644" t="n">
        <v>0</v>
      </c>
      <c r="O644" t="n">
        <v>0</v>
      </c>
      <c r="P644" t="n">
        <v>0</v>
      </c>
      <c r="Q644" t="n">
        <v>0</v>
      </c>
      <c r="R644" s="2" t="inlineStr"/>
    </row>
    <row r="645" ht="15" customHeight="1">
      <c r="A645" t="inlineStr">
        <is>
          <t>A 11590-2023</t>
        </is>
      </c>
      <c r="B645" s="1" t="n">
        <v>44994.36689814815</v>
      </c>
      <c r="C645" s="1" t="n">
        <v>46115</v>
      </c>
      <c r="D645" t="inlineStr">
        <is>
          <t>ÖSTERGÖTLANDS LÄN</t>
        </is>
      </c>
      <c r="E645" t="inlineStr">
        <is>
          <t>LINKÖPING</t>
        </is>
      </c>
      <c r="G645" t="n">
        <v>3.1</v>
      </c>
      <c r="H645" t="n">
        <v>0</v>
      </c>
      <c r="I645" t="n">
        <v>0</v>
      </c>
      <c r="J645" t="n">
        <v>0</v>
      </c>
      <c r="K645" t="n">
        <v>0</v>
      </c>
      <c r="L645" t="n">
        <v>0</v>
      </c>
      <c r="M645" t="n">
        <v>0</v>
      </c>
      <c r="N645" t="n">
        <v>0</v>
      </c>
      <c r="O645" t="n">
        <v>0</v>
      </c>
      <c r="P645" t="n">
        <v>0</v>
      </c>
      <c r="Q645" t="n">
        <v>0</v>
      </c>
      <c r="R645" s="2" t="inlineStr"/>
    </row>
    <row r="646" ht="15" customHeight="1">
      <c r="A646" t="inlineStr">
        <is>
          <t>A 10461-2023</t>
        </is>
      </c>
      <c r="B646" s="1" t="n">
        <v>44987.5969212963</v>
      </c>
      <c r="C646" s="1" t="n">
        <v>46115</v>
      </c>
      <c r="D646" t="inlineStr">
        <is>
          <t>ÖSTERGÖTLANDS LÄN</t>
        </is>
      </c>
      <c r="E646" t="inlineStr">
        <is>
          <t>LINKÖPING</t>
        </is>
      </c>
      <c r="G646" t="n">
        <v>7.8</v>
      </c>
      <c r="H646" t="n">
        <v>0</v>
      </c>
      <c r="I646" t="n">
        <v>0</v>
      </c>
      <c r="J646" t="n">
        <v>0</v>
      </c>
      <c r="K646" t="n">
        <v>0</v>
      </c>
      <c r="L646" t="n">
        <v>0</v>
      </c>
      <c r="M646" t="n">
        <v>0</v>
      </c>
      <c r="N646" t="n">
        <v>0</v>
      </c>
      <c r="O646" t="n">
        <v>0</v>
      </c>
      <c r="P646" t="n">
        <v>0</v>
      </c>
      <c r="Q646" t="n">
        <v>0</v>
      </c>
      <c r="R646" s="2" t="inlineStr"/>
    </row>
    <row r="647" ht="15" customHeight="1">
      <c r="A647" t="inlineStr">
        <is>
          <t>A 41345-2021</t>
        </is>
      </c>
      <c r="B647" s="1" t="n">
        <v>44424.61851851852</v>
      </c>
      <c r="C647" s="1" t="n">
        <v>46115</v>
      </c>
      <c r="D647" t="inlineStr">
        <is>
          <t>ÖSTERGÖTLANDS LÄN</t>
        </is>
      </c>
      <c r="E647" t="inlineStr">
        <is>
          <t>LINKÖPING</t>
        </is>
      </c>
      <c r="F647" t="inlineStr">
        <is>
          <t>Sveaskog</t>
        </is>
      </c>
      <c r="G647" t="n">
        <v>6.3</v>
      </c>
      <c r="H647" t="n">
        <v>0</v>
      </c>
      <c r="I647" t="n">
        <v>0</v>
      </c>
      <c r="J647" t="n">
        <v>0</v>
      </c>
      <c r="K647" t="n">
        <v>0</v>
      </c>
      <c r="L647" t="n">
        <v>0</v>
      </c>
      <c r="M647" t="n">
        <v>0</v>
      </c>
      <c r="N647" t="n">
        <v>0</v>
      </c>
      <c r="O647" t="n">
        <v>0</v>
      </c>
      <c r="P647" t="n">
        <v>0</v>
      </c>
      <c r="Q647" t="n">
        <v>0</v>
      </c>
      <c r="R647" s="2" t="inlineStr"/>
    </row>
    <row r="648" ht="15" customHeight="1">
      <c r="A648" t="inlineStr">
        <is>
          <t>A 61307-2021</t>
        </is>
      </c>
      <c r="B648" s="1" t="n">
        <v>44498.63928240741</v>
      </c>
      <c r="C648" s="1" t="n">
        <v>46115</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61325-2021</t>
        </is>
      </c>
      <c r="B649" s="1" t="n">
        <v>44498.66814814815</v>
      </c>
      <c r="C649" s="1" t="n">
        <v>46115</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60010-2022</t>
        </is>
      </c>
      <c r="B650" s="1" t="n">
        <v>44909.4740625</v>
      </c>
      <c r="C650" s="1" t="n">
        <v>46115</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30518-2024</t>
        </is>
      </c>
      <c r="B651" s="1" t="n">
        <v>45492</v>
      </c>
      <c r="C651" s="1" t="n">
        <v>46115</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4908-2023</t>
        </is>
      </c>
      <c r="B652" s="1" t="n">
        <v>44958</v>
      </c>
      <c r="C652" s="1" t="n">
        <v>46115</v>
      </c>
      <c r="D652" t="inlineStr">
        <is>
          <t>ÖSTERGÖTLANDS LÄN</t>
        </is>
      </c>
      <c r="E652" t="inlineStr">
        <is>
          <t>LINKÖPING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37715-2022</t>
        </is>
      </c>
      <c r="B653" s="1" t="n">
        <v>44810</v>
      </c>
      <c r="C653" s="1" t="n">
        <v>46115</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3011-2023</t>
        </is>
      </c>
      <c r="B654" s="1" t="n">
        <v>44945</v>
      </c>
      <c r="C654" s="1" t="n">
        <v>46115</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45442-2024</t>
        </is>
      </c>
      <c r="B655" s="1" t="n">
        <v>45576.64189814815</v>
      </c>
      <c r="C655" s="1" t="n">
        <v>46115</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3432-2023</t>
        </is>
      </c>
      <c r="B656" s="1" t="n">
        <v>44949</v>
      </c>
      <c r="C656" s="1" t="n">
        <v>46115</v>
      </c>
      <c r="D656" t="inlineStr">
        <is>
          <t>ÖSTERGÖTLANDS LÄN</t>
        </is>
      </c>
      <c r="E656" t="inlineStr">
        <is>
          <t>LINKÖPING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60472-2022</t>
        </is>
      </c>
      <c r="B657" s="1" t="n">
        <v>44911.41037037037</v>
      </c>
      <c r="C657" s="1" t="n">
        <v>46115</v>
      </c>
      <c r="D657" t="inlineStr">
        <is>
          <t>ÖSTERGÖTLANDS LÄN</t>
        </is>
      </c>
      <c r="E657" t="inlineStr">
        <is>
          <t>LINKÖPING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12720-2022</t>
        </is>
      </c>
      <c r="B658" s="1" t="n">
        <v>44641</v>
      </c>
      <c r="C658" s="1" t="n">
        <v>46115</v>
      </c>
      <c r="D658" t="inlineStr">
        <is>
          <t>ÖSTERGÖTLANDS LÄN</t>
        </is>
      </c>
      <c r="E658" t="inlineStr">
        <is>
          <t>LINKÖPING</t>
        </is>
      </c>
      <c r="F658" t="inlineStr">
        <is>
          <t>Övriga Aktiebolag</t>
        </is>
      </c>
      <c r="G658" t="n">
        <v>2</v>
      </c>
      <c r="H658" t="n">
        <v>0</v>
      </c>
      <c r="I658" t="n">
        <v>0</v>
      </c>
      <c r="J658" t="n">
        <v>0</v>
      </c>
      <c r="K658" t="n">
        <v>0</v>
      </c>
      <c r="L658" t="n">
        <v>0</v>
      </c>
      <c r="M658" t="n">
        <v>0</v>
      </c>
      <c r="N658" t="n">
        <v>0</v>
      </c>
      <c r="O658" t="n">
        <v>0</v>
      </c>
      <c r="P658" t="n">
        <v>0</v>
      </c>
      <c r="Q658" t="n">
        <v>0</v>
      </c>
      <c r="R658" s="2" t="inlineStr"/>
    </row>
    <row r="659" ht="15" customHeight="1">
      <c r="A659" t="inlineStr">
        <is>
          <t>A 45831-2024</t>
        </is>
      </c>
      <c r="B659" s="1" t="n">
        <v>45579.90508101852</v>
      </c>
      <c r="C659" s="1" t="n">
        <v>46115</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57396-2021</t>
        </is>
      </c>
      <c r="B660" s="1" t="n">
        <v>44483.56151620371</v>
      </c>
      <c r="C660" s="1" t="n">
        <v>46115</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22842-2023</t>
        </is>
      </c>
      <c r="B661" s="1" t="n">
        <v>45071</v>
      </c>
      <c r="C661" s="1" t="n">
        <v>46115</v>
      </c>
      <c r="D661" t="inlineStr">
        <is>
          <t>ÖSTERGÖTLANDS LÄN</t>
        </is>
      </c>
      <c r="E661" t="inlineStr">
        <is>
          <t>LINKÖPING</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50386-2021</t>
        </is>
      </c>
      <c r="B662" s="1" t="n">
        <v>44459</v>
      </c>
      <c r="C662" s="1" t="n">
        <v>46115</v>
      </c>
      <c r="D662" t="inlineStr">
        <is>
          <t>ÖSTERGÖTLANDS LÄN</t>
        </is>
      </c>
      <c r="E662" t="inlineStr">
        <is>
          <t>LINKÖPING</t>
        </is>
      </c>
      <c r="G662" t="n">
        <v>2.3</v>
      </c>
      <c r="H662" t="n">
        <v>0</v>
      </c>
      <c r="I662" t="n">
        <v>0</v>
      </c>
      <c r="J662" t="n">
        <v>0</v>
      </c>
      <c r="K662" t="n">
        <v>0</v>
      </c>
      <c r="L662" t="n">
        <v>0</v>
      </c>
      <c r="M662" t="n">
        <v>0</v>
      </c>
      <c r="N662" t="n">
        <v>0</v>
      </c>
      <c r="O662" t="n">
        <v>0</v>
      </c>
      <c r="P662" t="n">
        <v>0</v>
      </c>
      <c r="Q662" t="n">
        <v>0</v>
      </c>
      <c r="R662" s="2" t="inlineStr"/>
    </row>
    <row r="663" ht="15" customHeight="1">
      <c r="A663" t="inlineStr">
        <is>
          <t>A 35781-2023</t>
        </is>
      </c>
      <c r="B663" s="1" t="n">
        <v>45147</v>
      </c>
      <c r="C663" s="1" t="n">
        <v>46115</v>
      </c>
      <c r="D663" t="inlineStr">
        <is>
          <t>ÖSTERGÖTLANDS LÄN</t>
        </is>
      </c>
      <c r="E663" t="inlineStr">
        <is>
          <t>LINKÖPING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22770-2024</t>
        </is>
      </c>
      <c r="B664" s="1" t="n">
        <v>45448.4634375</v>
      </c>
      <c r="C664" s="1" t="n">
        <v>46115</v>
      </c>
      <c r="D664" t="inlineStr">
        <is>
          <t>ÖSTERGÖTLANDS LÄN</t>
        </is>
      </c>
      <c r="E664" t="inlineStr">
        <is>
          <t>LINKÖPING</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11671-2023</t>
        </is>
      </c>
      <c r="B665" s="1" t="n">
        <v>44994.48125</v>
      </c>
      <c r="C665" s="1" t="n">
        <v>46115</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54425-2022</t>
        </is>
      </c>
      <c r="B666" s="1" t="n">
        <v>44882.57453703704</v>
      </c>
      <c r="C666" s="1" t="n">
        <v>46115</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30547-2023</t>
        </is>
      </c>
      <c r="B667" s="1" t="n">
        <v>45111.75905092592</v>
      </c>
      <c r="C667" s="1" t="n">
        <v>46115</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24904-2024</t>
        </is>
      </c>
      <c r="B668" s="1" t="n">
        <v>45461</v>
      </c>
      <c r="C668" s="1" t="n">
        <v>46115</v>
      </c>
      <c r="D668" t="inlineStr">
        <is>
          <t>ÖSTERGÖTLANDS LÄN</t>
        </is>
      </c>
      <c r="E668" t="inlineStr">
        <is>
          <t>LINKÖPING</t>
        </is>
      </c>
      <c r="G668" t="n">
        <v>3.8</v>
      </c>
      <c r="H668" t="n">
        <v>0</v>
      </c>
      <c r="I668" t="n">
        <v>0</v>
      </c>
      <c r="J668" t="n">
        <v>0</v>
      </c>
      <c r="K668" t="n">
        <v>0</v>
      </c>
      <c r="L668" t="n">
        <v>0</v>
      </c>
      <c r="M668" t="n">
        <v>0</v>
      </c>
      <c r="N668" t="n">
        <v>0</v>
      </c>
      <c r="O668" t="n">
        <v>0</v>
      </c>
      <c r="P668" t="n">
        <v>0</v>
      </c>
      <c r="Q668" t="n">
        <v>0</v>
      </c>
      <c r="R668" s="2" t="inlineStr"/>
    </row>
    <row r="669" ht="15" customHeight="1">
      <c r="A669" t="inlineStr">
        <is>
          <t>A 26788-2022</t>
        </is>
      </c>
      <c r="B669" s="1" t="n">
        <v>44740</v>
      </c>
      <c r="C669" s="1" t="n">
        <v>46115</v>
      </c>
      <c r="D669" t="inlineStr">
        <is>
          <t>ÖSTERGÖTLANDS LÄN</t>
        </is>
      </c>
      <c r="E669" t="inlineStr">
        <is>
          <t>LINKÖPING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15121-2022</t>
        </is>
      </c>
      <c r="B670" s="1" t="n">
        <v>44658</v>
      </c>
      <c r="C670" s="1" t="n">
        <v>46115</v>
      </c>
      <c r="D670" t="inlineStr">
        <is>
          <t>ÖSTERGÖTLANDS LÄN</t>
        </is>
      </c>
      <c r="E670" t="inlineStr">
        <is>
          <t>LINKÖPING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51919-2024</t>
        </is>
      </c>
      <c r="B671" s="1" t="n">
        <v>45607.60791666667</v>
      </c>
      <c r="C671" s="1" t="n">
        <v>46115</v>
      </c>
      <c r="D671" t="inlineStr">
        <is>
          <t>ÖSTERGÖTLANDS LÄN</t>
        </is>
      </c>
      <c r="E671" t="inlineStr">
        <is>
          <t>LINKÖPING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55009-2023</t>
        </is>
      </c>
      <c r="B672" s="1" t="n">
        <v>45237</v>
      </c>
      <c r="C672" s="1" t="n">
        <v>46115</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20291-2025</t>
        </is>
      </c>
      <c r="B673" s="1" t="n">
        <v>45774.74288194445</v>
      </c>
      <c r="C673" s="1" t="n">
        <v>46115</v>
      </c>
      <c r="D673" t="inlineStr">
        <is>
          <t>ÖSTERGÖTLANDS LÄN</t>
        </is>
      </c>
      <c r="E673" t="inlineStr">
        <is>
          <t>LINKÖPING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20293-2025</t>
        </is>
      </c>
      <c r="B674" s="1" t="n">
        <v>45774.74611111111</v>
      </c>
      <c r="C674" s="1" t="n">
        <v>46115</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660-2023</t>
        </is>
      </c>
      <c r="B675" s="1" t="n">
        <v>44930</v>
      </c>
      <c r="C675" s="1" t="n">
        <v>46115</v>
      </c>
      <c r="D675" t="inlineStr">
        <is>
          <t>ÖSTERGÖTLANDS LÄN</t>
        </is>
      </c>
      <c r="E675" t="inlineStr">
        <is>
          <t>LINKÖPING</t>
        </is>
      </c>
      <c r="F675" t="inlineStr">
        <is>
          <t>Kyrkan</t>
        </is>
      </c>
      <c r="G675" t="n">
        <v>1.6</v>
      </c>
      <c r="H675" t="n">
        <v>0</v>
      </c>
      <c r="I675" t="n">
        <v>0</v>
      </c>
      <c r="J675" t="n">
        <v>0</v>
      </c>
      <c r="K675" t="n">
        <v>0</v>
      </c>
      <c r="L675" t="n">
        <v>0</v>
      </c>
      <c r="M675" t="n">
        <v>0</v>
      </c>
      <c r="N675" t="n">
        <v>0</v>
      </c>
      <c r="O675" t="n">
        <v>0</v>
      </c>
      <c r="P675" t="n">
        <v>0</v>
      </c>
      <c r="Q675" t="n">
        <v>0</v>
      </c>
      <c r="R675" s="2" t="inlineStr"/>
    </row>
    <row r="676" ht="15" customHeight="1">
      <c r="A676" t="inlineStr">
        <is>
          <t>A 64694-2023</t>
        </is>
      </c>
      <c r="B676" s="1" t="n">
        <v>45281</v>
      </c>
      <c r="C676" s="1" t="n">
        <v>46115</v>
      </c>
      <c r="D676" t="inlineStr">
        <is>
          <t>ÖSTERGÖTLANDS LÄN</t>
        </is>
      </c>
      <c r="E676" t="inlineStr">
        <is>
          <t>LINKÖPING</t>
        </is>
      </c>
      <c r="F676" t="inlineStr">
        <is>
          <t>Övriga statliga verk och myndigheter</t>
        </is>
      </c>
      <c r="G676" t="n">
        <v>4.9</v>
      </c>
      <c r="H676" t="n">
        <v>0</v>
      </c>
      <c r="I676" t="n">
        <v>0</v>
      </c>
      <c r="J676" t="n">
        <v>0</v>
      </c>
      <c r="K676" t="n">
        <v>0</v>
      </c>
      <c r="L676" t="n">
        <v>0</v>
      </c>
      <c r="M676" t="n">
        <v>0</v>
      </c>
      <c r="N676" t="n">
        <v>0</v>
      </c>
      <c r="O676" t="n">
        <v>0</v>
      </c>
      <c r="P676" t="n">
        <v>0</v>
      </c>
      <c r="Q676" t="n">
        <v>0</v>
      </c>
      <c r="R676" s="2" t="inlineStr"/>
    </row>
    <row r="677" ht="15" customHeight="1">
      <c r="A677" t="inlineStr">
        <is>
          <t>A 63487-2023</t>
        </is>
      </c>
      <c r="B677" s="1" t="n">
        <v>45274.66712962963</v>
      </c>
      <c r="C677" s="1" t="n">
        <v>46115</v>
      </c>
      <c r="D677" t="inlineStr">
        <is>
          <t>ÖSTERGÖTLANDS LÄN</t>
        </is>
      </c>
      <c r="E677" t="inlineStr">
        <is>
          <t>LINKÖPING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20455-2024</t>
        </is>
      </c>
      <c r="B678" s="1" t="n">
        <v>45435.65314814815</v>
      </c>
      <c r="C678" s="1" t="n">
        <v>46115</v>
      </c>
      <c r="D678" t="inlineStr">
        <is>
          <t>ÖSTERGÖTLANDS LÄN</t>
        </is>
      </c>
      <c r="E678" t="inlineStr">
        <is>
          <t>LINKÖPING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30471-2023</t>
        </is>
      </c>
      <c r="B679" s="1" t="n">
        <v>45111.58931712963</v>
      </c>
      <c r="C679" s="1" t="n">
        <v>46115</v>
      </c>
      <c r="D679" t="inlineStr">
        <is>
          <t>ÖSTERGÖTLANDS LÄN</t>
        </is>
      </c>
      <c r="E679" t="inlineStr">
        <is>
          <t>LINKÖPING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14093-2024</t>
        </is>
      </c>
      <c r="B680" s="1" t="n">
        <v>45392.60278935185</v>
      </c>
      <c r="C680" s="1" t="n">
        <v>46115</v>
      </c>
      <c r="D680" t="inlineStr">
        <is>
          <t>ÖSTERGÖTLANDS LÄN</t>
        </is>
      </c>
      <c r="E680" t="inlineStr">
        <is>
          <t>LINKÖPING</t>
        </is>
      </c>
      <c r="F680" t="inlineStr">
        <is>
          <t>Övriga Aktiebolag</t>
        </is>
      </c>
      <c r="G680" t="n">
        <v>0.6</v>
      </c>
      <c r="H680" t="n">
        <v>0</v>
      </c>
      <c r="I680" t="n">
        <v>0</v>
      </c>
      <c r="J680" t="n">
        <v>0</v>
      </c>
      <c r="K680" t="n">
        <v>0</v>
      </c>
      <c r="L680" t="n">
        <v>0</v>
      </c>
      <c r="M680" t="n">
        <v>0</v>
      </c>
      <c r="N680" t="n">
        <v>0</v>
      </c>
      <c r="O680" t="n">
        <v>0</v>
      </c>
      <c r="P680" t="n">
        <v>0</v>
      </c>
      <c r="Q680" t="n">
        <v>0</v>
      </c>
      <c r="R680" s="2" t="inlineStr"/>
    </row>
    <row r="681" ht="15" customHeight="1">
      <c r="A681" t="inlineStr">
        <is>
          <t>A 63304-2021</t>
        </is>
      </c>
      <c r="B681" s="1" t="n">
        <v>44508.4396412037</v>
      </c>
      <c r="C681" s="1" t="n">
        <v>46115</v>
      </c>
      <c r="D681" t="inlineStr">
        <is>
          <t>ÖSTERGÖTLANDS LÄN</t>
        </is>
      </c>
      <c r="E681" t="inlineStr">
        <is>
          <t>LINKÖPING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19362-2023</t>
        </is>
      </c>
      <c r="B682" s="1" t="n">
        <v>45049</v>
      </c>
      <c r="C682" s="1" t="n">
        <v>46115</v>
      </c>
      <c r="D682" t="inlineStr">
        <is>
          <t>ÖSTERGÖTLANDS LÄN</t>
        </is>
      </c>
      <c r="E682" t="inlineStr">
        <is>
          <t>LINKÖPING</t>
        </is>
      </c>
      <c r="G682" t="n">
        <v>0.1</v>
      </c>
      <c r="H682" t="n">
        <v>0</v>
      </c>
      <c r="I682" t="n">
        <v>0</v>
      </c>
      <c r="J682" t="n">
        <v>0</v>
      </c>
      <c r="K682" t="n">
        <v>0</v>
      </c>
      <c r="L682" t="n">
        <v>0</v>
      </c>
      <c r="M682" t="n">
        <v>0</v>
      </c>
      <c r="N682" t="n">
        <v>0</v>
      </c>
      <c r="O682" t="n">
        <v>0</v>
      </c>
      <c r="P682" t="n">
        <v>0</v>
      </c>
      <c r="Q682" t="n">
        <v>0</v>
      </c>
      <c r="R682" s="2" t="inlineStr"/>
    </row>
    <row r="683" ht="15" customHeight="1">
      <c r="A683" t="inlineStr">
        <is>
          <t>A 35463-2023</t>
        </is>
      </c>
      <c r="B683" s="1" t="n">
        <v>45146</v>
      </c>
      <c r="C683" s="1" t="n">
        <v>46115</v>
      </c>
      <c r="D683" t="inlineStr">
        <is>
          <t>ÖSTERGÖTLANDS LÄN</t>
        </is>
      </c>
      <c r="E683" t="inlineStr">
        <is>
          <t>LINKÖPING</t>
        </is>
      </c>
      <c r="F683" t="inlineStr">
        <is>
          <t>Övriga Aktiebolag</t>
        </is>
      </c>
      <c r="G683" t="n">
        <v>1.8</v>
      </c>
      <c r="H683" t="n">
        <v>0</v>
      </c>
      <c r="I683" t="n">
        <v>0</v>
      </c>
      <c r="J683" t="n">
        <v>0</v>
      </c>
      <c r="K683" t="n">
        <v>0</v>
      </c>
      <c r="L683" t="n">
        <v>0</v>
      </c>
      <c r="M683" t="n">
        <v>0</v>
      </c>
      <c r="N683" t="n">
        <v>0</v>
      </c>
      <c r="O683" t="n">
        <v>0</v>
      </c>
      <c r="P683" t="n">
        <v>0</v>
      </c>
      <c r="Q683" t="n">
        <v>0</v>
      </c>
      <c r="R683" s="2" t="inlineStr"/>
    </row>
    <row r="684" ht="15" customHeight="1">
      <c r="A684" t="inlineStr">
        <is>
          <t>A 16111-2022</t>
        </is>
      </c>
      <c r="B684" s="1" t="n">
        <v>44665</v>
      </c>
      <c r="C684" s="1" t="n">
        <v>46115</v>
      </c>
      <c r="D684" t="inlineStr">
        <is>
          <t>ÖSTERGÖTLANDS LÄN</t>
        </is>
      </c>
      <c r="E684" t="inlineStr">
        <is>
          <t>LINKÖPING</t>
        </is>
      </c>
      <c r="F684" t="inlineStr">
        <is>
          <t>Övriga Aktiebolag</t>
        </is>
      </c>
      <c r="G684" t="n">
        <v>2.9</v>
      </c>
      <c r="H684" t="n">
        <v>0</v>
      </c>
      <c r="I684" t="n">
        <v>0</v>
      </c>
      <c r="J684" t="n">
        <v>0</v>
      </c>
      <c r="K684" t="n">
        <v>0</v>
      </c>
      <c r="L684" t="n">
        <v>0</v>
      </c>
      <c r="M684" t="n">
        <v>0</v>
      </c>
      <c r="N684" t="n">
        <v>0</v>
      </c>
      <c r="O684" t="n">
        <v>0</v>
      </c>
      <c r="P684" t="n">
        <v>0</v>
      </c>
      <c r="Q684" t="n">
        <v>0</v>
      </c>
      <c r="R684" s="2" t="inlineStr"/>
    </row>
    <row r="685" ht="15" customHeight="1">
      <c r="A685" t="inlineStr">
        <is>
          <t>A 31635-2023</t>
        </is>
      </c>
      <c r="B685" s="1" t="n">
        <v>45105</v>
      </c>
      <c r="C685" s="1" t="n">
        <v>46115</v>
      </c>
      <c r="D685" t="inlineStr">
        <is>
          <t>ÖSTERGÖTLANDS LÄN</t>
        </is>
      </c>
      <c r="E685" t="inlineStr">
        <is>
          <t>LINKÖPING</t>
        </is>
      </c>
      <c r="F685" t="inlineStr">
        <is>
          <t>Övriga statliga verk och myndigheter</t>
        </is>
      </c>
      <c r="G685" t="n">
        <v>4.6</v>
      </c>
      <c r="H685" t="n">
        <v>0</v>
      </c>
      <c r="I685" t="n">
        <v>0</v>
      </c>
      <c r="J685" t="n">
        <v>0</v>
      </c>
      <c r="K685" t="n">
        <v>0</v>
      </c>
      <c r="L685" t="n">
        <v>0</v>
      </c>
      <c r="M685" t="n">
        <v>0</v>
      </c>
      <c r="N685" t="n">
        <v>0</v>
      </c>
      <c r="O685" t="n">
        <v>0</v>
      </c>
      <c r="P685" t="n">
        <v>0</v>
      </c>
      <c r="Q685" t="n">
        <v>0</v>
      </c>
      <c r="R685" s="2" t="inlineStr"/>
    </row>
    <row r="686" ht="15" customHeight="1">
      <c r="A686" t="inlineStr">
        <is>
          <t>A 49928-2024</t>
        </is>
      </c>
      <c r="B686" s="1" t="n">
        <v>45597.57811342592</v>
      </c>
      <c r="C686" s="1" t="n">
        <v>46115</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54845-2023</t>
        </is>
      </c>
      <c r="B687" s="1" t="n">
        <v>45236</v>
      </c>
      <c r="C687" s="1" t="n">
        <v>46115</v>
      </c>
      <c r="D687" t="inlineStr">
        <is>
          <t>ÖSTERGÖTLANDS LÄN</t>
        </is>
      </c>
      <c r="E687" t="inlineStr">
        <is>
          <t>LINKÖPING</t>
        </is>
      </c>
      <c r="F687" t="inlineStr">
        <is>
          <t>Övriga Aktiebolag</t>
        </is>
      </c>
      <c r="G687" t="n">
        <v>5.7</v>
      </c>
      <c r="H687" t="n">
        <v>0</v>
      </c>
      <c r="I687" t="n">
        <v>0</v>
      </c>
      <c r="J687" t="n">
        <v>0</v>
      </c>
      <c r="K687" t="n">
        <v>0</v>
      </c>
      <c r="L687" t="n">
        <v>0</v>
      </c>
      <c r="M687" t="n">
        <v>0</v>
      </c>
      <c r="N687" t="n">
        <v>0</v>
      </c>
      <c r="O687" t="n">
        <v>0</v>
      </c>
      <c r="P687" t="n">
        <v>0</v>
      </c>
      <c r="Q687" t="n">
        <v>0</v>
      </c>
      <c r="R687" s="2" t="inlineStr"/>
    </row>
    <row r="688" ht="15" customHeight="1">
      <c r="A688" t="inlineStr">
        <is>
          <t>A 46687-2021</t>
        </is>
      </c>
      <c r="B688" s="1" t="n">
        <v>44445</v>
      </c>
      <c r="C688" s="1" t="n">
        <v>46115</v>
      </c>
      <c r="D688" t="inlineStr">
        <is>
          <t>ÖSTERGÖTLANDS LÄN</t>
        </is>
      </c>
      <c r="E688" t="inlineStr">
        <is>
          <t>LINKÖPING</t>
        </is>
      </c>
      <c r="F688" t="inlineStr">
        <is>
          <t>Övriga statliga verk och myndigheter</t>
        </is>
      </c>
      <c r="G688" t="n">
        <v>2.3</v>
      </c>
      <c r="H688" t="n">
        <v>0</v>
      </c>
      <c r="I688" t="n">
        <v>0</v>
      </c>
      <c r="J688" t="n">
        <v>0</v>
      </c>
      <c r="K688" t="n">
        <v>0</v>
      </c>
      <c r="L688" t="n">
        <v>0</v>
      </c>
      <c r="M688" t="n">
        <v>0</v>
      </c>
      <c r="N688" t="n">
        <v>0</v>
      </c>
      <c r="O688" t="n">
        <v>0</v>
      </c>
      <c r="P688" t="n">
        <v>0</v>
      </c>
      <c r="Q688" t="n">
        <v>0</v>
      </c>
      <c r="R688" s="2" t="inlineStr"/>
    </row>
    <row r="689" ht="15" customHeight="1">
      <c r="A689" t="inlineStr">
        <is>
          <t>A 30855-2022</t>
        </is>
      </c>
      <c r="B689" s="1" t="n">
        <v>44767</v>
      </c>
      <c r="C689" s="1" t="n">
        <v>46115</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1355-2023</t>
        </is>
      </c>
      <c r="B690" s="1" t="n">
        <v>44931</v>
      </c>
      <c r="C690" s="1" t="n">
        <v>46115</v>
      </c>
      <c r="D690" t="inlineStr">
        <is>
          <t>ÖSTERGÖTLANDS LÄN</t>
        </is>
      </c>
      <c r="E690" t="inlineStr">
        <is>
          <t>LINKÖPING</t>
        </is>
      </c>
      <c r="G690" t="n">
        <v>4</v>
      </c>
      <c r="H690" t="n">
        <v>0</v>
      </c>
      <c r="I690" t="n">
        <v>0</v>
      </c>
      <c r="J690" t="n">
        <v>0</v>
      </c>
      <c r="K690" t="n">
        <v>0</v>
      </c>
      <c r="L690" t="n">
        <v>0</v>
      </c>
      <c r="M690" t="n">
        <v>0</v>
      </c>
      <c r="N690" t="n">
        <v>0</v>
      </c>
      <c r="O690" t="n">
        <v>0</v>
      </c>
      <c r="P690" t="n">
        <v>0</v>
      </c>
      <c r="Q690" t="n">
        <v>0</v>
      </c>
      <c r="R690" s="2" t="inlineStr"/>
    </row>
    <row r="691" ht="15" customHeight="1">
      <c r="A691" t="inlineStr">
        <is>
          <t>A 27844-2024</t>
        </is>
      </c>
      <c r="B691" s="1" t="n">
        <v>45475.63047453704</v>
      </c>
      <c r="C691" s="1" t="n">
        <v>46115</v>
      </c>
      <c r="D691" t="inlineStr">
        <is>
          <t>ÖSTERGÖTLANDS LÄN</t>
        </is>
      </c>
      <c r="E691" t="inlineStr">
        <is>
          <t>LINKÖPING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10741-2023</t>
        </is>
      </c>
      <c r="B692" s="1" t="n">
        <v>44988.70084490741</v>
      </c>
      <c r="C692" s="1" t="n">
        <v>46115</v>
      </c>
      <c r="D692" t="inlineStr">
        <is>
          <t>ÖSTERGÖTLANDS LÄN</t>
        </is>
      </c>
      <c r="E692" t="inlineStr">
        <is>
          <t>LINKÖPING</t>
        </is>
      </c>
      <c r="F692" t="inlineStr">
        <is>
          <t>Allmännings- och besparingsskogar</t>
        </is>
      </c>
      <c r="G692" t="n">
        <v>11.2</v>
      </c>
      <c r="H692" t="n">
        <v>0</v>
      </c>
      <c r="I692" t="n">
        <v>0</v>
      </c>
      <c r="J692" t="n">
        <v>0</v>
      </c>
      <c r="K692" t="n">
        <v>0</v>
      </c>
      <c r="L692" t="n">
        <v>0</v>
      </c>
      <c r="M692" t="n">
        <v>0</v>
      </c>
      <c r="N692" t="n">
        <v>0</v>
      </c>
      <c r="O692" t="n">
        <v>0</v>
      </c>
      <c r="P692" t="n">
        <v>0</v>
      </c>
      <c r="Q692" t="n">
        <v>0</v>
      </c>
      <c r="R692" s="2" t="inlineStr"/>
    </row>
    <row r="693" ht="15" customHeight="1">
      <c r="A693" t="inlineStr">
        <is>
          <t>A 50963-2021</t>
        </is>
      </c>
      <c r="B693" s="1" t="n">
        <v>44460</v>
      </c>
      <c r="C693" s="1" t="n">
        <v>46115</v>
      </c>
      <c r="D693" t="inlineStr">
        <is>
          <t>ÖSTERGÖTLANDS LÄN</t>
        </is>
      </c>
      <c r="E693" t="inlineStr">
        <is>
          <t>LINKÖPING</t>
        </is>
      </c>
      <c r="G693" t="n">
        <v>4.4</v>
      </c>
      <c r="H693" t="n">
        <v>0</v>
      </c>
      <c r="I693" t="n">
        <v>0</v>
      </c>
      <c r="J693" t="n">
        <v>0</v>
      </c>
      <c r="K693" t="n">
        <v>0</v>
      </c>
      <c r="L693" t="n">
        <v>0</v>
      </c>
      <c r="M693" t="n">
        <v>0</v>
      </c>
      <c r="N693" t="n">
        <v>0</v>
      </c>
      <c r="O693" t="n">
        <v>0</v>
      </c>
      <c r="P693" t="n">
        <v>0</v>
      </c>
      <c r="Q693" t="n">
        <v>0</v>
      </c>
      <c r="R693" s="2" t="inlineStr"/>
    </row>
    <row r="694" ht="15" customHeight="1">
      <c r="A694" t="inlineStr">
        <is>
          <t>A 45821-2024</t>
        </is>
      </c>
      <c r="B694" s="1" t="n">
        <v>45579.75803240741</v>
      </c>
      <c r="C694" s="1" t="n">
        <v>46115</v>
      </c>
      <c r="D694" t="inlineStr">
        <is>
          <t>ÖSTERGÖTLANDS LÄN</t>
        </is>
      </c>
      <c r="E694" t="inlineStr">
        <is>
          <t>LINKÖPING</t>
        </is>
      </c>
      <c r="G694" t="n">
        <v>1.5</v>
      </c>
      <c r="H694" t="n">
        <v>0</v>
      </c>
      <c r="I694" t="n">
        <v>0</v>
      </c>
      <c r="J694" t="n">
        <v>0</v>
      </c>
      <c r="K694" t="n">
        <v>0</v>
      </c>
      <c r="L694" t="n">
        <v>0</v>
      </c>
      <c r="M694" t="n">
        <v>0</v>
      </c>
      <c r="N694" t="n">
        <v>0</v>
      </c>
      <c r="O694" t="n">
        <v>0</v>
      </c>
      <c r="P694" t="n">
        <v>0</v>
      </c>
      <c r="Q694" t="n">
        <v>0</v>
      </c>
      <c r="R694" s="2" t="inlineStr"/>
    </row>
    <row r="695" ht="15" customHeight="1">
      <c r="A695" t="inlineStr">
        <is>
          <t>A 61936-2023</t>
        </is>
      </c>
      <c r="B695" s="1" t="n">
        <v>45266.54534722222</v>
      </c>
      <c r="C695" s="1" t="n">
        <v>46115</v>
      </c>
      <c r="D695" t="inlineStr">
        <is>
          <t>ÖSTERGÖTLANDS LÄN</t>
        </is>
      </c>
      <c r="E695" t="inlineStr">
        <is>
          <t>LINKÖPING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1263-2024</t>
        </is>
      </c>
      <c r="B696" s="1" t="n">
        <v>45302</v>
      </c>
      <c r="C696" s="1" t="n">
        <v>46115</v>
      </c>
      <c r="D696" t="inlineStr">
        <is>
          <t>ÖSTERGÖTLANDS LÄN</t>
        </is>
      </c>
      <c r="E696" t="inlineStr">
        <is>
          <t>LINKÖPING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24464-2023</t>
        </is>
      </c>
      <c r="B697" s="1" t="n">
        <v>45082.58068287037</v>
      </c>
      <c r="C697" s="1" t="n">
        <v>46115</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48389-2024</t>
        </is>
      </c>
      <c r="B698" s="1" t="n">
        <v>45590.59991898148</v>
      </c>
      <c r="C698" s="1" t="n">
        <v>46115</v>
      </c>
      <c r="D698" t="inlineStr">
        <is>
          <t>ÖSTERGÖTLANDS LÄN</t>
        </is>
      </c>
      <c r="E698" t="inlineStr">
        <is>
          <t>LINKÖPING</t>
        </is>
      </c>
      <c r="G698" t="n">
        <v>2.6</v>
      </c>
      <c r="H698" t="n">
        <v>0</v>
      </c>
      <c r="I698" t="n">
        <v>0</v>
      </c>
      <c r="J698" t="n">
        <v>0</v>
      </c>
      <c r="K698" t="n">
        <v>0</v>
      </c>
      <c r="L698" t="n">
        <v>0</v>
      </c>
      <c r="M698" t="n">
        <v>0</v>
      </c>
      <c r="N698" t="n">
        <v>0</v>
      </c>
      <c r="O698" t="n">
        <v>0</v>
      </c>
      <c r="P698" t="n">
        <v>0</v>
      </c>
      <c r="Q698" t="n">
        <v>0</v>
      </c>
      <c r="R698" s="2" t="inlineStr"/>
    </row>
    <row r="699" ht="15" customHeight="1">
      <c r="A699" t="inlineStr">
        <is>
          <t>A 61281-2021</t>
        </is>
      </c>
      <c r="B699" s="1" t="n">
        <v>44498.60736111111</v>
      </c>
      <c r="C699" s="1" t="n">
        <v>46115</v>
      </c>
      <c r="D699" t="inlineStr">
        <is>
          <t>ÖSTERGÖTLANDS LÄN</t>
        </is>
      </c>
      <c r="E699" t="inlineStr">
        <is>
          <t>LINKÖPING</t>
        </is>
      </c>
      <c r="G699" t="n">
        <v>4.5</v>
      </c>
      <c r="H699" t="n">
        <v>0</v>
      </c>
      <c r="I699" t="n">
        <v>0</v>
      </c>
      <c r="J699" t="n">
        <v>0</v>
      </c>
      <c r="K699" t="n">
        <v>0</v>
      </c>
      <c r="L699" t="n">
        <v>0</v>
      </c>
      <c r="M699" t="n">
        <v>0</v>
      </c>
      <c r="N699" t="n">
        <v>0</v>
      </c>
      <c r="O699" t="n">
        <v>0</v>
      </c>
      <c r="P699" t="n">
        <v>0</v>
      </c>
      <c r="Q699" t="n">
        <v>0</v>
      </c>
      <c r="R699" s="2" t="inlineStr"/>
    </row>
    <row r="700" ht="15" customHeight="1">
      <c r="A700" t="inlineStr">
        <is>
          <t>A 6369-2023</t>
        </is>
      </c>
      <c r="B700" s="1" t="n">
        <v>44965.61106481482</v>
      </c>
      <c r="C700" s="1" t="n">
        <v>46115</v>
      </c>
      <c r="D700" t="inlineStr">
        <is>
          <t>ÖSTERGÖTLANDS LÄN</t>
        </is>
      </c>
      <c r="E700" t="inlineStr">
        <is>
          <t>LINKÖPING</t>
        </is>
      </c>
      <c r="G700" t="n">
        <v>4</v>
      </c>
      <c r="H700" t="n">
        <v>0</v>
      </c>
      <c r="I700" t="n">
        <v>0</v>
      </c>
      <c r="J700" t="n">
        <v>0</v>
      </c>
      <c r="K700" t="n">
        <v>0</v>
      </c>
      <c r="L700" t="n">
        <v>0</v>
      </c>
      <c r="M700" t="n">
        <v>0</v>
      </c>
      <c r="N700" t="n">
        <v>0</v>
      </c>
      <c r="O700" t="n">
        <v>0</v>
      </c>
      <c r="P700" t="n">
        <v>0</v>
      </c>
      <c r="Q700" t="n">
        <v>0</v>
      </c>
      <c r="R700" s="2" t="inlineStr"/>
    </row>
    <row r="701" ht="15" customHeight="1">
      <c r="A701" t="inlineStr">
        <is>
          <t>A 10094-2024</t>
        </is>
      </c>
      <c r="B701" s="1" t="n">
        <v>45364</v>
      </c>
      <c r="C701" s="1" t="n">
        <v>46115</v>
      </c>
      <c r="D701" t="inlineStr">
        <is>
          <t>ÖSTERGÖTLANDS LÄN</t>
        </is>
      </c>
      <c r="E701" t="inlineStr">
        <is>
          <t>LINKÖPING</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1207-2023</t>
        </is>
      </c>
      <c r="B702" s="1" t="n">
        <v>44930</v>
      </c>
      <c r="C702" s="1" t="n">
        <v>46115</v>
      </c>
      <c r="D702" t="inlineStr">
        <is>
          <t>ÖSTERGÖTLANDS LÄN</t>
        </is>
      </c>
      <c r="E702" t="inlineStr">
        <is>
          <t>LINKÖPING</t>
        </is>
      </c>
      <c r="F702" t="inlineStr">
        <is>
          <t>Övriga statliga verk och myndigheter</t>
        </is>
      </c>
      <c r="G702" t="n">
        <v>32.8</v>
      </c>
      <c r="H702" t="n">
        <v>0</v>
      </c>
      <c r="I702" t="n">
        <v>0</v>
      </c>
      <c r="J702" t="n">
        <v>0</v>
      </c>
      <c r="K702" t="n">
        <v>0</v>
      </c>
      <c r="L702" t="n">
        <v>0</v>
      </c>
      <c r="M702" t="n">
        <v>0</v>
      </c>
      <c r="N702" t="n">
        <v>0</v>
      </c>
      <c r="O702" t="n">
        <v>0</v>
      </c>
      <c r="P702" t="n">
        <v>0</v>
      </c>
      <c r="Q702" t="n">
        <v>0</v>
      </c>
      <c r="R702" s="2" t="inlineStr"/>
    </row>
    <row r="703" ht="15" customHeight="1">
      <c r="A703" t="inlineStr">
        <is>
          <t>A 62015-2024</t>
        </is>
      </c>
      <c r="B703" s="1" t="n">
        <v>45655.80457175926</v>
      </c>
      <c r="C703" s="1" t="n">
        <v>46115</v>
      </c>
      <c r="D703" t="inlineStr">
        <is>
          <t>ÖSTERGÖTLANDS LÄN</t>
        </is>
      </c>
      <c r="E703" t="inlineStr">
        <is>
          <t>LINKÖPING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62020-2024</t>
        </is>
      </c>
      <c r="B704" s="1" t="n">
        <v>45655.83563657408</v>
      </c>
      <c r="C704" s="1" t="n">
        <v>46115</v>
      </c>
      <c r="D704" t="inlineStr">
        <is>
          <t>ÖSTERGÖTLANDS LÄN</t>
        </is>
      </c>
      <c r="E704" t="inlineStr">
        <is>
          <t>LINKÖPING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62021-2024</t>
        </is>
      </c>
      <c r="B705" s="1" t="n">
        <v>45655.84232638889</v>
      </c>
      <c r="C705" s="1" t="n">
        <v>46115</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27891-2021</t>
        </is>
      </c>
      <c r="B706" s="1" t="n">
        <v>44354.65108796296</v>
      </c>
      <c r="C706" s="1" t="n">
        <v>46115</v>
      </c>
      <c r="D706" t="inlineStr">
        <is>
          <t>ÖSTERGÖTLANDS LÄN</t>
        </is>
      </c>
      <c r="E706" t="inlineStr">
        <is>
          <t>LINKÖPING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57391-2023</t>
        </is>
      </c>
      <c r="B707" s="1" t="n">
        <v>45245</v>
      </c>
      <c r="C707" s="1" t="n">
        <v>46115</v>
      </c>
      <c r="D707" t="inlineStr">
        <is>
          <t>ÖSTERGÖTLANDS LÄN</t>
        </is>
      </c>
      <c r="E707" t="inlineStr">
        <is>
          <t>LINKÖPING</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20294-2025</t>
        </is>
      </c>
      <c r="B708" s="1" t="n">
        <v>45774.74667824074</v>
      </c>
      <c r="C708" s="1" t="n">
        <v>46115</v>
      </c>
      <c r="D708" t="inlineStr">
        <is>
          <t>ÖSTERGÖTLANDS LÄN</t>
        </is>
      </c>
      <c r="E708" t="inlineStr">
        <is>
          <t>LINKÖPING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60013-2022</t>
        </is>
      </c>
      <c r="B709" s="1" t="n">
        <v>44909.47482638889</v>
      </c>
      <c r="C709" s="1" t="n">
        <v>46115</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3007-2025</t>
        </is>
      </c>
      <c r="B710" s="1" t="n">
        <v>45678.56328703704</v>
      </c>
      <c r="C710" s="1" t="n">
        <v>46115</v>
      </c>
      <c r="D710" t="inlineStr">
        <is>
          <t>ÖSTERGÖTLANDS LÄN</t>
        </is>
      </c>
      <c r="E710" t="inlineStr">
        <is>
          <t>LINKÖPING</t>
        </is>
      </c>
      <c r="G710" t="n">
        <v>3.1</v>
      </c>
      <c r="H710" t="n">
        <v>0</v>
      </c>
      <c r="I710" t="n">
        <v>0</v>
      </c>
      <c r="J710" t="n">
        <v>0</v>
      </c>
      <c r="K710" t="n">
        <v>0</v>
      </c>
      <c r="L710" t="n">
        <v>0</v>
      </c>
      <c r="M710" t="n">
        <v>0</v>
      </c>
      <c r="N710" t="n">
        <v>0</v>
      </c>
      <c r="O710" t="n">
        <v>0</v>
      </c>
      <c r="P710" t="n">
        <v>0</v>
      </c>
      <c r="Q710" t="n">
        <v>0</v>
      </c>
      <c r="R710" s="2" t="inlineStr"/>
    </row>
    <row r="711" ht="15" customHeight="1">
      <c r="A711" t="inlineStr">
        <is>
          <t>A 34877-2023</t>
        </is>
      </c>
      <c r="B711" s="1" t="n">
        <v>45140</v>
      </c>
      <c r="C711" s="1" t="n">
        <v>46115</v>
      </c>
      <c r="D711" t="inlineStr">
        <is>
          <t>ÖSTERGÖTLANDS LÄN</t>
        </is>
      </c>
      <c r="E711" t="inlineStr">
        <is>
          <t>LINKÖPING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1924-2024</t>
        </is>
      </c>
      <c r="B712" s="1" t="n">
        <v>45308</v>
      </c>
      <c r="C712" s="1" t="n">
        <v>46115</v>
      </c>
      <c r="D712" t="inlineStr">
        <is>
          <t>ÖSTERGÖTLANDS LÄN</t>
        </is>
      </c>
      <c r="E712" t="inlineStr">
        <is>
          <t>LINKÖPING</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34558-2022</t>
        </is>
      </c>
      <c r="B713" s="1" t="n">
        <v>44794.57594907407</v>
      </c>
      <c r="C713" s="1" t="n">
        <v>46115</v>
      </c>
      <c r="D713" t="inlineStr">
        <is>
          <t>ÖSTERGÖTLANDS LÄN</t>
        </is>
      </c>
      <c r="E713" t="inlineStr">
        <is>
          <t>LINKÖPING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168-2024</t>
        </is>
      </c>
      <c r="B714" s="1" t="n">
        <v>45294</v>
      </c>
      <c r="C714" s="1" t="n">
        <v>46115</v>
      </c>
      <c r="D714" t="inlineStr">
        <is>
          <t>ÖSTERGÖTLANDS LÄN</t>
        </is>
      </c>
      <c r="E714" t="inlineStr">
        <is>
          <t>LINKÖPING</t>
        </is>
      </c>
      <c r="F714" t="inlineStr">
        <is>
          <t>Allmännings- och besparingsskogar</t>
        </is>
      </c>
      <c r="G714" t="n">
        <v>8.9</v>
      </c>
      <c r="H714" t="n">
        <v>0</v>
      </c>
      <c r="I714" t="n">
        <v>0</v>
      </c>
      <c r="J714" t="n">
        <v>0</v>
      </c>
      <c r="K714" t="n">
        <v>0</v>
      </c>
      <c r="L714" t="n">
        <v>0</v>
      </c>
      <c r="M714" t="n">
        <v>0</v>
      </c>
      <c r="N714" t="n">
        <v>0</v>
      </c>
      <c r="O714" t="n">
        <v>0</v>
      </c>
      <c r="P714" t="n">
        <v>0</v>
      </c>
      <c r="Q714" t="n">
        <v>0</v>
      </c>
      <c r="R714" s="2" t="inlineStr"/>
    </row>
    <row r="715" ht="15" customHeight="1">
      <c r="A715" t="inlineStr">
        <is>
          <t>A 15658-2023</t>
        </is>
      </c>
      <c r="B715" s="1" t="n">
        <v>45021.41194444444</v>
      </c>
      <c r="C715" s="1" t="n">
        <v>46115</v>
      </c>
      <c r="D715" t="inlineStr">
        <is>
          <t>ÖSTERGÖTLANDS LÄN</t>
        </is>
      </c>
      <c r="E715" t="inlineStr">
        <is>
          <t>LINKÖPING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30433-2024</t>
        </is>
      </c>
      <c r="B716" s="1" t="n">
        <v>45491.69741898148</v>
      </c>
      <c r="C716" s="1" t="n">
        <v>46115</v>
      </c>
      <c r="D716" t="inlineStr">
        <is>
          <t>ÖSTERGÖTLANDS LÄN</t>
        </is>
      </c>
      <c r="E716" t="inlineStr">
        <is>
          <t>LINKÖPING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52220-2023</t>
        </is>
      </c>
      <c r="B717" s="1" t="n">
        <v>45217</v>
      </c>
      <c r="C717" s="1" t="n">
        <v>46115</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52225-2023</t>
        </is>
      </c>
      <c r="B718" s="1" t="n">
        <v>45217</v>
      </c>
      <c r="C718" s="1" t="n">
        <v>46115</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19464-2024</t>
        </is>
      </c>
      <c r="B719" s="1" t="n">
        <v>45429</v>
      </c>
      <c r="C719" s="1" t="n">
        <v>46115</v>
      </c>
      <c r="D719" t="inlineStr">
        <is>
          <t>ÖSTERGÖTLANDS LÄN</t>
        </is>
      </c>
      <c r="E719" t="inlineStr">
        <is>
          <t>LINKÖPING</t>
        </is>
      </c>
      <c r="G719" t="n">
        <v>2.7</v>
      </c>
      <c r="H719" t="n">
        <v>0</v>
      </c>
      <c r="I719" t="n">
        <v>0</v>
      </c>
      <c r="J719" t="n">
        <v>0</v>
      </c>
      <c r="K719" t="n">
        <v>0</v>
      </c>
      <c r="L719" t="n">
        <v>0</v>
      </c>
      <c r="M719" t="n">
        <v>0</v>
      </c>
      <c r="N719" t="n">
        <v>0</v>
      </c>
      <c r="O719" t="n">
        <v>0</v>
      </c>
      <c r="P719" t="n">
        <v>0</v>
      </c>
      <c r="Q719" t="n">
        <v>0</v>
      </c>
      <c r="R719" s="2" t="inlineStr"/>
    </row>
    <row r="720" ht="15" customHeight="1">
      <c r="A720" t="inlineStr">
        <is>
          <t>A 42044-2023</t>
        </is>
      </c>
      <c r="B720" s="1" t="n">
        <v>45177</v>
      </c>
      <c r="C720" s="1" t="n">
        <v>46115</v>
      </c>
      <c r="D720" t="inlineStr">
        <is>
          <t>ÖSTERGÖTLANDS LÄN</t>
        </is>
      </c>
      <c r="E720" t="inlineStr">
        <is>
          <t>LINKÖPING</t>
        </is>
      </c>
      <c r="G720" t="n">
        <v>3.9</v>
      </c>
      <c r="H720" t="n">
        <v>0</v>
      </c>
      <c r="I720" t="n">
        <v>0</v>
      </c>
      <c r="J720" t="n">
        <v>0</v>
      </c>
      <c r="K720" t="n">
        <v>0</v>
      </c>
      <c r="L720" t="n">
        <v>0</v>
      </c>
      <c r="M720" t="n">
        <v>0</v>
      </c>
      <c r="N720" t="n">
        <v>0</v>
      </c>
      <c r="O720" t="n">
        <v>0</v>
      </c>
      <c r="P720" t="n">
        <v>0</v>
      </c>
      <c r="Q720" t="n">
        <v>0</v>
      </c>
      <c r="R720" s="2" t="inlineStr"/>
    </row>
    <row r="721" ht="15" customHeight="1">
      <c r="A721" t="inlineStr">
        <is>
          <t>A 630-2024</t>
        </is>
      </c>
      <c r="B721" s="1" t="n">
        <v>45299.67736111111</v>
      </c>
      <c r="C721" s="1" t="n">
        <v>46115</v>
      </c>
      <c r="D721" t="inlineStr">
        <is>
          <t>ÖSTERGÖTLANDS LÄN</t>
        </is>
      </c>
      <c r="E721" t="inlineStr">
        <is>
          <t>LINKÖPING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21782-2024</t>
        </is>
      </c>
      <c r="B722" s="1" t="n">
        <v>45442.63368055555</v>
      </c>
      <c r="C722" s="1" t="n">
        <v>46115</v>
      </c>
      <c r="D722" t="inlineStr">
        <is>
          <t>ÖSTERGÖTLANDS LÄN</t>
        </is>
      </c>
      <c r="E722" t="inlineStr">
        <is>
          <t>LINKÖPING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57766-2023</t>
        </is>
      </c>
      <c r="B723" s="1" t="n">
        <v>45246</v>
      </c>
      <c r="C723" s="1" t="n">
        <v>46115</v>
      </c>
      <c r="D723" t="inlineStr">
        <is>
          <t>ÖSTERGÖTLANDS LÄN</t>
        </is>
      </c>
      <c r="E723" t="inlineStr">
        <is>
          <t>LINKÖPING</t>
        </is>
      </c>
      <c r="F723" t="inlineStr">
        <is>
          <t>Allmännings- och besparingsskogar</t>
        </is>
      </c>
      <c r="G723" t="n">
        <v>12.8</v>
      </c>
      <c r="H723" t="n">
        <v>0</v>
      </c>
      <c r="I723" t="n">
        <v>0</v>
      </c>
      <c r="J723" t="n">
        <v>0</v>
      </c>
      <c r="K723" t="n">
        <v>0</v>
      </c>
      <c r="L723" t="n">
        <v>0</v>
      </c>
      <c r="M723" t="n">
        <v>0</v>
      </c>
      <c r="N723" t="n">
        <v>0</v>
      </c>
      <c r="O723" t="n">
        <v>0</v>
      </c>
      <c r="P723" t="n">
        <v>0</v>
      </c>
      <c r="Q723" t="n">
        <v>0</v>
      </c>
      <c r="R723" s="2" t="inlineStr"/>
    </row>
    <row r="724" ht="15" customHeight="1">
      <c r="A724" t="inlineStr">
        <is>
          <t>A 27186-2021</t>
        </is>
      </c>
      <c r="B724" s="1" t="n">
        <v>44350.67715277777</v>
      </c>
      <c r="C724" s="1" t="n">
        <v>46115</v>
      </c>
      <c r="D724" t="inlineStr">
        <is>
          <t>ÖSTERGÖTLANDS LÄN</t>
        </is>
      </c>
      <c r="E724" t="inlineStr">
        <is>
          <t>LINKÖPING</t>
        </is>
      </c>
      <c r="F724" t="inlineStr">
        <is>
          <t>Allmännings- och besparingsskogar</t>
        </is>
      </c>
      <c r="G724" t="n">
        <v>1.4</v>
      </c>
      <c r="H724" t="n">
        <v>0</v>
      </c>
      <c r="I724" t="n">
        <v>0</v>
      </c>
      <c r="J724" t="n">
        <v>0</v>
      </c>
      <c r="K724" t="n">
        <v>0</v>
      </c>
      <c r="L724" t="n">
        <v>0</v>
      </c>
      <c r="M724" t="n">
        <v>0</v>
      </c>
      <c r="N724" t="n">
        <v>0</v>
      </c>
      <c r="O724" t="n">
        <v>0</v>
      </c>
      <c r="P724" t="n">
        <v>0</v>
      </c>
      <c r="Q724" t="n">
        <v>0</v>
      </c>
      <c r="R724" s="2" t="inlineStr"/>
    </row>
    <row r="725" ht="15" customHeight="1">
      <c r="A725" t="inlineStr">
        <is>
          <t>A 10194-2023</t>
        </is>
      </c>
      <c r="B725" s="1" t="n">
        <v>44986.52277777778</v>
      </c>
      <c r="C725" s="1" t="n">
        <v>46115</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55944-2024</t>
        </is>
      </c>
      <c r="B726" s="1" t="n">
        <v>45623.61640046296</v>
      </c>
      <c r="C726" s="1" t="n">
        <v>46115</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55947-2024</t>
        </is>
      </c>
      <c r="B727" s="1" t="n">
        <v>45623</v>
      </c>
      <c r="C727" s="1" t="n">
        <v>46115</v>
      </c>
      <c r="D727" t="inlineStr">
        <is>
          <t>ÖSTERGÖTLANDS LÄN</t>
        </is>
      </c>
      <c r="E727" t="inlineStr">
        <is>
          <t>LINKÖPING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47703-2023</t>
        </is>
      </c>
      <c r="B728" s="1" t="n">
        <v>45203</v>
      </c>
      <c r="C728" s="1" t="n">
        <v>46115</v>
      </c>
      <c r="D728" t="inlineStr">
        <is>
          <t>ÖSTERGÖTLANDS LÄN</t>
        </is>
      </c>
      <c r="E728" t="inlineStr">
        <is>
          <t>LINKÖPING</t>
        </is>
      </c>
      <c r="G728" t="n">
        <v>4.1</v>
      </c>
      <c r="H728" t="n">
        <v>0</v>
      </c>
      <c r="I728" t="n">
        <v>0</v>
      </c>
      <c r="J728" t="n">
        <v>0</v>
      </c>
      <c r="K728" t="n">
        <v>0</v>
      </c>
      <c r="L728" t="n">
        <v>0</v>
      </c>
      <c r="M728" t="n">
        <v>0</v>
      </c>
      <c r="N728" t="n">
        <v>0</v>
      </c>
      <c r="O728" t="n">
        <v>0</v>
      </c>
      <c r="P728" t="n">
        <v>0</v>
      </c>
      <c r="Q728" t="n">
        <v>0</v>
      </c>
      <c r="R728" s="2" t="inlineStr"/>
    </row>
    <row r="729" ht="15" customHeight="1">
      <c r="A729" t="inlineStr">
        <is>
          <t>A 51559-2024</t>
        </is>
      </c>
      <c r="B729" s="1" t="n">
        <v>45604.61431712963</v>
      </c>
      <c r="C729" s="1" t="n">
        <v>46115</v>
      </c>
      <c r="D729" t="inlineStr">
        <is>
          <t>ÖSTERGÖTLANDS LÄN</t>
        </is>
      </c>
      <c r="E729" t="inlineStr">
        <is>
          <t>LINKÖPING</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62353-2022</t>
        </is>
      </c>
      <c r="B730" s="1" t="n">
        <v>44923</v>
      </c>
      <c r="C730" s="1" t="n">
        <v>46115</v>
      </c>
      <c r="D730" t="inlineStr">
        <is>
          <t>ÖSTERGÖTLANDS LÄN</t>
        </is>
      </c>
      <c r="E730" t="inlineStr">
        <is>
          <t>LINKÖPING</t>
        </is>
      </c>
      <c r="F730" t="inlineStr">
        <is>
          <t>Allmännings- och besparingsskogar</t>
        </is>
      </c>
      <c r="G730" t="n">
        <v>1.7</v>
      </c>
      <c r="H730" t="n">
        <v>0</v>
      </c>
      <c r="I730" t="n">
        <v>0</v>
      </c>
      <c r="J730" t="n">
        <v>0</v>
      </c>
      <c r="K730" t="n">
        <v>0</v>
      </c>
      <c r="L730" t="n">
        <v>0</v>
      </c>
      <c r="M730" t="n">
        <v>0</v>
      </c>
      <c r="N730" t="n">
        <v>0</v>
      </c>
      <c r="O730" t="n">
        <v>0</v>
      </c>
      <c r="P730" t="n">
        <v>0</v>
      </c>
      <c r="Q730" t="n">
        <v>0</v>
      </c>
      <c r="R730" s="2" t="inlineStr"/>
    </row>
    <row r="731" ht="15" customHeight="1">
      <c r="A731" t="inlineStr">
        <is>
          <t>A 15754-2025</t>
        </is>
      </c>
      <c r="B731" s="1" t="n">
        <v>45748.56105324074</v>
      </c>
      <c r="C731" s="1" t="n">
        <v>46115</v>
      </c>
      <c r="D731" t="inlineStr">
        <is>
          <t>ÖSTERGÖTLANDS LÄN</t>
        </is>
      </c>
      <c r="E731" t="inlineStr">
        <is>
          <t>LINKÖPING</t>
        </is>
      </c>
      <c r="G731" t="n">
        <v>1.7</v>
      </c>
      <c r="H731" t="n">
        <v>0</v>
      </c>
      <c r="I731" t="n">
        <v>0</v>
      </c>
      <c r="J731" t="n">
        <v>0</v>
      </c>
      <c r="K731" t="n">
        <v>0</v>
      </c>
      <c r="L731" t="n">
        <v>0</v>
      </c>
      <c r="M731" t="n">
        <v>0</v>
      </c>
      <c r="N731" t="n">
        <v>0</v>
      </c>
      <c r="O731" t="n">
        <v>0</v>
      </c>
      <c r="P731" t="n">
        <v>0</v>
      </c>
      <c r="Q731" t="n">
        <v>0</v>
      </c>
      <c r="R731" s="2" t="inlineStr"/>
    </row>
    <row r="732" ht="15" customHeight="1">
      <c r="A732" t="inlineStr">
        <is>
          <t>A 4298-2023</t>
        </is>
      </c>
      <c r="B732" s="1" t="n">
        <v>44953</v>
      </c>
      <c r="C732" s="1" t="n">
        <v>46115</v>
      </c>
      <c r="D732" t="inlineStr">
        <is>
          <t>ÖSTERGÖTLANDS LÄN</t>
        </is>
      </c>
      <c r="E732" t="inlineStr">
        <is>
          <t>LINKÖPING</t>
        </is>
      </c>
      <c r="G732" t="n">
        <v>2.8</v>
      </c>
      <c r="H732" t="n">
        <v>0</v>
      </c>
      <c r="I732" t="n">
        <v>0</v>
      </c>
      <c r="J732" t="n">
        <v>0</v>
      </c>
      <c r="K732" t="n">
        <v>0</v>
      </c>
      <c r="L732" t="n">
        <v>0</v>
      </c>
      <c r="M732" t="n">
        <v>0</v>
      </c>
      <c r="N732" t="n">
        <v>0</v>
      </c>
      <c r="O732" t="n">
        <v>0</v>
      </c>
      <c r="P732" t="n">
        <v>0</v>
      </c>
      <c r="Q732" t="n">
        <v>0</v>
      </c>
      <c r="R732" s="2" t="inlineStr"/>
    </row>
    <row r="733" ht="15" customHeight="1">
      <c r="A733" t="inlineStr">
        <is>
          <t>A 18145-2021</t>
        </is>
      </c>
      <c r="B733" s="1" t="n">
        <v>44302</v>
      </c>
      <c r="C733" s="1" t="n">
        <v>46115</v>
      </c>
      <c r="D733" t="inlineStr">
        <is>
          <t>ÖSTERGÖTLANDS LÄN</t>
        </is>
      </c>
      <c r="E733" t="inlineStr">
        <is>
          <t>LINKÖPING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25568-2024</t>
        </is>
      </c>
      <c r="B734" s="1" t="n">
        <v>45463.58699074074</v>
      </c>
      <c r="C734" s="1" t="n">
        <v>46115</v>
      </c>
      <c r="D734" t="inlineStr">
        <is>
          <t>ÖSTERGÖTLANDS LÄN</t>
        </is>
      </c>
      <c r="E734" t="inlineStr">
        <is>
          <t>LINKÖPING</t>
        </is>
      </c>
      <c r="G734" t="n">
        <v>1.8</v>
      </c>
      <c r="H734" t="n">
        <v>0</v>
      </c>
      <c r="I734" t="n">
        <v>0</v>
      </c>
      <c r="J734" t="n">
        <v>0</v>
      </c>
      <c r="K734" t="n">
        <v>0</v>
      </c>
      <c r="L734" t="n">
        <v>0</v>
      </c>
      <c r="M734" t="n">
        <v>0</v>
      </c>
      <c r="N734" t="n">
        <v>0</v>
      </c>
      <c r="O734" t="n">
        <v>0</v>
      </c>
      <c r="P734" t="n">
        <v>0</v>
      </c>
      <c r="Q734" t="n">
        <v>0</v>
      </c>
      <c r="R734" s="2" t="inlineStr"/>
    </row>
    <row r="735" ht="15" customHeight="1">
      <c r="A735" t="inlineStr">
        <is>
          <t>A 38136-2023</t>
        </is>
      </c>
      <c r="B735" s="1" t="n">
        <v>45161.37310185185</v>
      </c>
      <c r="C735" s="1" t="n">
        <v>46115</v>
      </c>
      <c r="D735" t="inlineStr">
        <is>
          <t>ÖSTERGÖTLANDS LÄN</t>
        </is>
      </c>
      <c r="E735" t="inlineStr">
        <is>
          <t>LINKÖPING</t>
        </is>
      </c>
      <c r="G735" t="n">
        <v>5.6</v>
      </c>
      <c r="H735" t="n">
        <v>0</v>
      </c>
      <c r="I735" t="n">
        <v>0</v>
      </c>
      <c r="J735" t="n">
        <v>0</v>
      </c>
      <c r="K735" t="n">
        <v>0</v>
      </c>
      <c r="L735" t="n">
        <v>0</v>
      </c>
      <c r="M735" t="n">
        <v>0</v>
      </c>
      <c r="N735" t="n">
        <v>0</v>
      </c>
      <c r="O735" t="n">
        <v>0</v>
      </c>
      <c r="P735" t="n">
        <v>0</v>
      </c>
      <c r="Q735" t="n">
        <v>0</v>
      </c>
      <c r="R735" s="2" t="inlineStr"/>
    </row>
    <row r="736" ht="15" customHeight="1">
      <c r="A736" t="inlineStr">
        <is>
          <t>A 12317-2025</t>
        </is>
      </c>
      <c r="B736" s="1" t="n">
        <v>45729.8487037037</v>
      </c>
      <c r="C736" s="1" t="n">
        <v>46115</v>
      </c>
      <c r="D736" t="inlineStr">
        <is>
          <t>ÖSTERGÖTLANDS LÄN</t>
        </is>
      </c>
      <c r="E736" t="inlineStr">
        <is>
          <t>LINKÖPING</t>
        </is>
      </c>
      <c r="G736" t="n">
        <v>8</v>
      </c>
      <c r="H736" t="n">
        <v>0</v>
      </c>
      <c r="I736" t="n">
        <v>0</v>
      </c>
      <c r="J736" t="n">
        <v>0</v>
      </c>
      <c r="K736" t="n">
        <v>0</v>
      </c>
      <c r="L736" t="n">
        <v>0</v>
      </c>
      <c r="M736" t="n">
        <v>0</v>
      </c>
      <c r="N736" t="n">
        <v>0</v>
      </c>
      <c r="O736" t="n">
        <v>0</v>
      </c>
      <c r="P736" t="n">
        <v>0</v>
      </c>
      <c r="Q736" t="n">
        <v>0</v>
      </c>
      <c r="R736" s="2" t="inlineStr"/>
    </row>
    <row r="737" ht="15" customHeight="1">
      <c r="A737" t="inlineStr">
        <is>
          <t>A 14528-2025</t>
        </is>
      </c>
      <c r="B737" s="1" t="n">
        <v>45741</v>
      </c>
      <c r="C737" s="1" t="n">
        <v>46115</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61649-2023</t>
        </is>
      </c>
      <c r="B738" s="1" t="n">
        <v>45265</v>
      </c>
      <c r="C738" s="1" t="n">
        <v>46115</v>
      </c>
      <c r="D738" t="inlineStr">
        <is>
          <t>ÖSTERGÖTLANDS LÄN</t>
        </is>
      </c>
      <c r="E738" t="inlineStr">
        <is>
          <t>LINKÖPING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60985-2023</t>
        </is>
      </c>
      <c r="B739" s="1" t="n">
        <v>45261.48429398148</v>
      </c>
      <c r="C739" s="1" t="n">
        <v>46115</v>
      </c>
      <c r="D739" t="inlineStr">
        <is>
          <t>ÖSTERGÖTLANDS LÄN</t>
        </is>
      </c>
      <c r="E739" t="inlineStr">
        <is>
          <t>LINKÖPING</t>
        </is>
      </c>
      <c r="G739" t="n">
        <v>0.5</v>
      </c>
      <c r="H739" t="n">
        <v>0</v>
      </c>
      <c r="I739" t="n">
        <v>0</v>
      </c>
      <c r="J739" t="n">
        <v>0</v>
      </c>
      <c r="K739" t="n">
        <v>0</v>
      </c>
      <c r="L739" t="n">
        <v>0</v>
      </c>
      <c r="M739" t="n">
        <v>0</v>
      </c>
      <c r="N739" t="n">
        <v>0</v>
      </c>
      <c r="O739" t="n">
        <v>0</v>
      </c>
      <c r="P739" t="n">
        <v>0</v>
      </c>
      <c r="Q739" t="n">
        <v>0</v>
      </c>
      <c r="R739" s="2" t="inlineStr"/>
    </row>
    <row r="740" ht="15" customHeight="1">
      <c r="A740" t="inlineStr">
        <is>
          <t>A 421-2024</t>
        </is>
      </c>
      <c r="B740" s="1" t="n">
        <v>45296.51877314815</v>
      </c>
      <c r="C740" s="1" t="n">
        <v>46115</v>
      </c>
      <c r="D740" t="inlineStr">
        <is>
          <t>ÖSTERGÖTLANDS LÄN</t>
        </is>
      </c>
      <c r="E740" t="inlineStr">
        <is>
          <t>LINKÖPING</t>
        </is>
      </c>
      <c r="G740" t="n">
        <v>3.7</v>
      </c>
      <c r="H740" t="n">
        <v>0</v>
      </c>
      <c r="I740" t="n">
        <v>0</v>
      </c>
      <c r="J740" t="n">
        <v>0</v>
      </c>
      <c r="K740" t="n">
        <v>0</v>
      </c>
      <c r="L740" t="n">
        <v>0</v>
      </c>
      <c r="M740" t="n">
        <v>0</v>
      </c>
      <c r="N740" t="n">
        <v>0</v>
      </c>
      <c r="O740" t="n">
        <v>0</v>
      </c>
      <c r="P740" t="n">
        <v>0</v>
      </c>
      <c r="Q740" t="n">
        <v>0</v>
      </c>
      <c r="R740" s="2" t="inlineStr"/>
    </row>
    <row r="741" ht="15" customHeight="1">
      <c r="A741" t="inlineStr">
        <is>
          <t>A 51405-2023</t>
        </is>
      </c>
      <c r="B741" s="1" t="n">
        <v>45219</v>
      </c>
      <c r="C741" s="1" t="n">
        <v>46115</v>
      </c>
      <c r="D741" t="inlineStr">
        <is>
          <t>ÖSTERGÖTLANDS LÄN</t>
        </is>
      </c>
      <c r="E741" t="inlineStr">
        <is>
          <t>LINKÖPING</t>
        </is>
      </c>
      <c r="F741" t="inlineStr">
        <is>
          <t>Övriga Aktiebolag</t>
        </is>
      </c>
      <c r="G741" t="n">
        <v>3</v>
      </c>
      <c r="H741" t="n">
        <v>0</v>
      </c>
      <c r="I741" t="n">
        <v>0</v>
      </c>
      <c r="J741" t="n">
        <v>0</v>
      </c>
      <c r="K741" t="n">
        <v>0</v>
      </c>
      <c r="L741" t="n">
        <v>0</v>
      </c>
      <c r="M741" t="n">
        <v>0</v>
      </c>
      <c r="N741" t="n">
        <v>0</v>
      </c>
      <c r="O741" t="n">
        <v>0</v>
      </c>
      <c r="P741" t="n">
        <v>0</v>
      </c>
      <c r="Q741" t="n">
        <v>0</v>
      </c>
      <c r="R741" s="2" t="inlineStr"/>
    </row>
    <row r="742" ht="15" customHeight="1">
      <c r="A742" t="inlineStr">
        <is>
          <t>A 53639-2023</t>
        </is>
      </c>
      <c r="B742" s="1" t="n">
        <v>45230.59686342593</v>
      </c>
      <c r="C742" s="1" t="n">
        <v>46115</v>
      </c>
      <c r="D742" t="inlineStr">
        <is>
          <t>ÖSTERGÖTLANDS LÄN</t>
        </is>
      </c>
      <c r="E742" t="inlineStr">
        <is>
          <t>LINKÖPING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24467-2023</t>
        </is>
      </c>
      <c r="B743" s="1" t="n">
        <v>45082</v>
      </c>
      <c r="C743" s="1" t="n">
        <v>46115</v>
      </c>
      <c r="D743" t="inlineStr">
        <is>
          <t>ÖSTERGÖTLANDS LÄN</t>
        </is>
      </c>
      <c r="E743" t="inlineStr">
        <is>
          <t>LINKÖPING</t>
        </is>
      </c>
      <c r="G743" t="n">
        <v>2.4</v>
      </c>
      <c r="H743" t="n">
        <v>0</v>
      </c>
      <c r="I743" t="n">
        <v>0</v>
      </c>
      <c r="J743" t="n">
        <v>0</v>
      </c>
      <c r="K743" t="n">
        <v>0</v>
      </c>
      <c r="L743" t="n">
        <v>0</v>
      </c>
      <c r="M743" t="n">
        <v>0</v>
      </c>
      <c r="N743" t="n">
        <v>0</v>
      </c>
      <c r="O743" t="n">
        <v>0</v>
      </c>
      <c r="P743" t="n">
        <v>0</v>
      </c>
      <c r="Q743" t="n">
        <v>0</v>
      </c>
      <c r="R743" s="2" t="inlineStr"/>
    </row>
    <row r="744" ht="15" customHeight="1">
      <c r="A744" t="inlineStr">
        <is>
          <t>A 62488-2023</t>
        </is>
      </c>
      <c r="B744" s="1" t="n">
        <v>45268.5847337963</v>
      </c>
      <c r="C744" s="1" t="n">
        <v>46115</v>
      </c>
      <c r="D744" t="inlineStr">
        <is>
          <t>ÖSTERGÖTLANDS LÄN</t>
        </is>
      </c>
      <c r="E744" t="inlineStr">
        <is>
          <t>LINKÖPING</t>
        </is>
      </c>
      <c r="G744" t="n">
        <v>4.1</v>
      </c>
      <c r="H744" t="n">
        <v>0</v>
      </c>
      <c r="I744" t="n">
        <v>0</v>
      </c>
      <c r="J744" t="n">
        <v>0</v>
      </c>
      <c r="K744" t="n">
        <v>0</v>
      </c>
      <c r="L744" t="n">
        <v>0</v>
      </c>
      <c r="M744" t="n">
        <v>0</v>
      </c>
      <c r="N744" t="n">
        <v>0</v>
      </c>
      <c r="O744" t="n">
        <v>0</v>
      </c>
      <c r="P744" t="n">
        <v>0</v>
      </c>
      <c r="Q744" t="n">
        <v>0</v>
      </c>
      <c r="R744" s="2" t="inlineStr"/>
    </row>
    <row r="745" ht="15" customHeight="1">
      <c r="A745" t="inlineStr">
        <is>
          <t>A 62495-2023</t>
        </is>
      </c>
      <c r="B745" s="1" t="n">
        <v>45268.59717592593</v>
      </c>
      <c r="C745" s="1" t="n">
        <v>46115</v>
      </c>
      <c r="D745" t="inlineStr">
        <is>
          <t>ÖSTERGÖTLANDS LÄN</t>
        </is>
      </c>
      <c r="E745" t="inlineStr">
        <is>
          <t>LINKÖPING</t>
        </is>
      </c>
      <c r="G745" t="n">
        <v>4.1</v>
      </c>
      <c r="H745" t="n">
        <v>0</v>
      </c>
      <c r="I745" t="n">
        <v>0</v>
      </c>
      <c r="J745" t="n">
        <v>0</v>
      </c>
      <c r="K745" t="n">
        <v>0</v>
      </c>
      <c r="L745" t="n">
        <v>0</v>
      </c>
      <c r="M745" t="n">
        <v>0</v>
      </c>
      <c r="N745" t="n">
        <v>0</v>
      </c>
      <c r="O745" t="n">
        <v>0</v>
      </c>
      <c r="P745" t="n">
        <v>0</v>
      </c>
      <c r="Q745" t="n">
        <v>0</v>
      </c>
      <c r="R745" s="2" t="inlineStr"/>
    </row>
    <row r="746" ht="15" customHeight="1">
      <c r="A746" t="inlineStr">
        <is>
          <t>A 10198-2023</t>
        </is>
      </c>
      <c r="B746" s="1" t="n">
        <v>44986.54665509259</v>
      </c>
      <c r="C746" s="1" t="n">
        <v>46115</v>
      </c>
      <c r="D746" t="inlineStr">
        <is>
          <t>ÖSTERGÖTLANDS LÄN</t>
        </is>
      </c>
      <c r="E746" t="inlineStr">
        <is>
          <t>LINKÖPING</t>
        </is>
      </c>
      <c r="G746" t="n">
        <v>4.6</v>
      </c>
      <c r="H746" t="n">
        <v>0</v>
      </c>
      <c r="I746" t="n">
        <v>0</v>
      </c>
      <c r="J746" t="n">
        <v>0</v>
      </c>
      <c r="K746" t="n">
        <v>0</v>
      </c>
      <c r="L746" t="n">
        <v>0</v>
      </c>
      <c r="M746" t="n">
        <v>0</v>
      </c>
      <c r="N746" t="n">
        <v>0</v>
      </c>
      <c r="O746" t="n">
        <v>0</v>
      </c>
      <c r="P746" t="n">
        <v>0</v>
      </c>
      <c r="Q746" t="n">
        <v>0</v>
      </c>
      <c r="R746" s="2" t="inlineStr"/>
    </row>
    <row r="747" ht="15" customHeight="1">
      <c r="A747" t="inlineStr">
        <is>
          <t>A 22771-2024</t>
        </is>
      </c>
      <c r="B747" s="1" t="n">
        <v>45448.46574074074</v>
      </c>
      <c r="C747" s="1" t="n">
        <v>46115</v>
      </c>
      <c r="D747" t="inlineStr">
        <is>
          <t>ÖSTERGÖTLANDS LÄN</t>
        </is>
      </c>
      <c r="E747" t="inlineStr">
        <is>
          <t>LINKÖPING</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17128-2025</t>
        </is>
      </c>
      <c r="B748" s="1" t="n">
        <v>45755.72622685185</v>
      </c>
      <c r="C748" s="1" t="n">
        <v>46115</v>
      </c>
      <c r="D748" t="inlineStr">
        <is>
          <t>ÖSTERGÖTLANDS LÄN</t>
        </is>
      </c>
      <c r="E748" t="inlineStr">
        <is>
          <t>LINKÖPING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62018-2024</t>
        </is>
      </c>
      <c r="B749" s="1" t="n">
        <v>45655.81387731482</v>
      </c>
      <c r="C749" s="1" t="n">
        <v>46115</v>
      </c>
      <c r="D749" t="inlineStr">
        <is>
          <t>ÖSTERGÖTLANDS LÄN</t>
        </is>
      </c>
      <c r="E749" t="inlineStr">
        <is>
          <t>LINKÖPING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62073-2023</t>
        </is>
      </c>
      <c r="B750" s="1" t="n">
        <v>45266.73844907407</v>
      </c>
      <c r="C750" s="1" t="n">
        <v>46115</v>
      </c>
      <c r="D750" t="inlineStr">
        <is>
          <t>ÖSTERGÖTLANDS LÄN</t>
        </is>
      </c>
      <c r="E750" t="inlineStr">
        <is>
          <t>LINKÖPING</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672-2024</t>
        </is>
      </c>
      <c r="B751" s="1" t="n">
        <v>45300</v>
      </c>
      <c r="C751" s="1" t="n">
        <v>46115</v>
      </c>
      <c r="D751" t="inlineStr">
        <is>
          <t>ÖSTERGÖTLANDS LÄN</t>
        </is>
      </c>
      <c r="E751" t="inlineStr">
        <is>
          <t>LINKÖPING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42832-2023</t>
        </is>
      </c>
      <c r="B752" s="1" t="n">
        <v>45182.38091435185</v>
      </c>
      <c r="C752" s="1" t="n">
        <v>46115</v>
      </c>
      <c r="D752" t="inlineStr">
        <is>
          <t>ÖSTERGÖTLANDS LÄN</t>
        </is>
      </c>
      <c r="E752" t="inlineStr">
        <is>
          <t>LINKÖPING</t>
        </is>
      </c>
      <c r="G752" t="n">
        <v>2.5</v>
      </c>
      <c r="H752" t="n">
        <v>0</v>
      </c>
      <c r="I752" t="n">
        <v>0</v>
      </c>
      <c r="J752" t="n">
        <v>0</v>
      </c>
      <c r="K752" t="n">
        <v>0</v>
      </c>
      <c r="L752" t="n">
        <v>0</v>
      </c>
      <c r="M752" t="n">
        <v>0</v>
      </c>
      <c r="N752" t="n">
        <v>0</v>
      </c>
      <c r="O752" t="n">
        <v>0</v>
      </c>
      <c r="P752" t="n">
        <v>0</v>
      </c>
      <c r="Q752" t="n">
        <v>0</v>
      </c>
      <c r="R752" s="2" t="inlineStr"/>
    </row>
    <row r="753" ht="15" customHeight="1">
      <c r="A753" t="inlineStr">
        <is>
          <t>A 5872-2025</t>
        </is>
      </c>
      <c r="B753" s="1" t="n">
        <v>45695.36659722222</v>
      </c>
      <c r="C753" s="1" t="n">
        <v>46115</v>
      </c>
      <c r="D753" t="inlineStr">
        <is>
          <t>ÖSTERGÖTLANDS LÄN</t>
        </is>
      </c>
      <c r="E753" t="inlineStr">
        <is>
          <t>LINKÖPING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59674-2024</t>
        </is>
      </c>
      <c r="B754" s="1" t="n">
        <v>45639</v>
      </c>
      <c r="C754" s="1" t="n">
        <v>46115</v>
      </c>
      <c r="D754" t="inlineStr">
        <is>
          <t>ÖSTERGÖTLANDS LÄN</t>
        </is>
      </c>
      <c r="E754" t="inlineStr">
        <is>
          <t>LINKÖPING</t>
        </is>
      </c>
      <c r="G754" t="n">
        <v>6.3</v>
      </c>
      <c r="H754" t="n">
        <v>0</v>
      </c>
      <c r="I754" t="n">
        <v>0</v>
      </c>
      <c r="J754" t="n">
        <v>0</v>
      </c>
      <c r="K754" t="n">
        <v>0</v>
      </c>
      <c r="L754" t="n">
        <v>0</v>
      </c>
      <c r="M754" t="n">
        <v>0</v>
      </c>
      <c r="N754" t="n">
        <v>0</v>
      </c>
      <c r="O754" t="n">
        <v>0</v>
      </c>
      <c r="P754" t="n">
        <v>0</v>
      </c>
      <c r="Q754" t="n">
        <v>0</v>
      </c>
      <c r="R754" s="2" t="inlineStr"/>
    </row>
    <row r="755" ht="15" customHeight="1">
      <c r="A755" t="inlineStr">
        <is>
          <t>A 59576-2024</t>
        </is>
      </c>
      <c r="B755" s="1" t="n">
        <v>45638.66378472222</v>
      </c>
      <c r="C755" s="1" t="n">
        <v>46115</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51583-2024</t>
        </is>
      </c>
      <c r="B756" s="1" t="n">
        <v>45604.6397337963</v>
      </c>
      <c r="C756" s="1" t="n">
        <v>46115</v>
      </c>
      <c r="D756" t="inlineStr">
        <is>
          <t>ÖSTERGÖTLANDS LÄN</t>
        </is>
      </c>
      <c r="E756" t="inlineStr">
        <is>
          <t>LINKÖPING</t>
        </is>
      </c>
      <c r="F756" t="inlineStr">
        <is>
          <t>Övriga Aktiebolag</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62019-2024</t>
        </is>
      </c>
      <c r="B757" s="1" t="n">
        <v>45655.82</v>
      </c>
      <c r="C757" s="1" t="n">
        <v>46115</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38317-2024</t>
        </is>
      </c>
      <c r="B758" s="1" t="n">
        <v>45545.65766203704</v>
      </c>
      <c r="C758" s="1" t="n">
        <v>46115</v>
      </c>
      <c r="D758" t="inlineStr">
        <is>
          <t>ÖSTERGÖTLANDS LÄN</t>
        </is>
      </c>
      <c r="E758" t="inlineStr">
        <is>
          <t>LINKÖPING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50182-2023</t>
        </is>
      </c>
      <c r="B759" s="1" t="n">
        <v>45208</v>
      </c>
      <c r="C759" s="1" t="n">
        <v>46115</v>
      </c>
      <c r="D759" t="inlineStr">
        <is>
          <t>ÖSTERGÖTLANDS LÄN</t>
        </is>
      </c>
      <c r="E759" t="inlineStr">
        <is>
          <t>LINKÖPING</t>
        </is>
      </c>
      <c r="G759" t="n">
        <v>2.5</v>
      </c>
      <c r="H759" t="n">
        <v>0</v>
      </c>
      <c r="I759" t="n">
        <v>0</v>
      </c>
      <c r="J759" t="n">
        <v>0</v>
      </c>
      <c r="K759" t="n">
        <v>0</v>
      </c>
      <c r="L759" t="n">
        <v>0</v>
      </c>
      <c r="M759" t="n">
        <v>0</v>
      </c>
      <c r="N759" t="n">
        <v>0</v>
      </c>
      <c r="O759" t="n">
        <v>0</v>
      </c>
      <c r="P759" t="n">
        <v>0</v>
      </c>
      <c r="Q759" t="n">
        <v>0</v>
      </c>
      <c r="R759" s="2" t="inlineStr"/>
    </row>
    <row r="760">
      <c r="A760" t="inlineStr">
        <is>
          <t>A 1844-2025</t>
        </is>
      </c>
      <c r="B760" s="1" t="n">
        <v>45671.57730324074</v>
      </c>
      <c r="C760" s="1" t="n">
        <v>46115</v>
      </c>
      <c r="D760" t="inlineStr">
        <is>
          <t>ÖSTERGÖTLANDS LÄN</t>
        </is>
      </c>
      <c r="E760" t="inlineStr">
        <is>
          <t>LINKÖPING</t>
        </is>
      </c>
      <c r="G760" t="n">
        <v>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2026-04-03T10:44:36Z</dcterms:created>
  <dcterms:modified xmlns:dcterms="http://purl.org/dc/terms/" xmlns:xsi="http://www.w3.org/2001/XMLSchema-instance" xsi:type="dcterms:W3CDTF">2026-04-03T10:44:37Z</dcterms:modified>
</cp:coreProperties>
</file>