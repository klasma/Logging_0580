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45882</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45882</v>
      </c>
      <c r="D7" t="inlineStr">
        <is>
          <t>ÖSTERGÖTLANDS LÄN</t>
        </is>
      </c>
      <c r="E7" t="inlineStr">
        <is>
          <t>LINKÖPING</t>
        </is>
      </c>
      <c r="F7" t="inlineStr">
        <is>
          <t>Kommuner</t>
        </is>
      </c>
      <c r="G7" t="n">
        <v>6.5</v>
      </c>
      <c r="H7" t="n">
        <v>2</v>
      </c>
      <c r="I7" t="n">
        <v>2</v>
      </c>
      <c r="J7" t="n">
        <v>2</v>
      </c>
      <c r="K7" t="n">
        <v>2</v>
      </c>
      <c r="L7" t="n">
        <v>0</v>
      </c>
      <c r="M7" t="n">
        <v>0</v>
      </c>
      <c r="N7" t="n">
        <v>0</v>
      </c>
      <c r="O7" t="n">
        <v>4</v>
      </c>
      <c r="P7" t="n">
        <v>2</v>
      </c>
      <c r="Q7" t="n">
        <v>7</v>
      </c>
      <c r="R7" s="2" t="inlineStr">
        <is>
          <t>Bombmurkla
Gyllensopp
Persiljespindling
Tallticka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45882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45882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45882</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45882</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55341-2024</t>
        </is>
      </c>
      <c r="B15" s="1" t="n">
        <v>45621.71255787037</v>
      </c>
      <c r="C15" s="1" t="n">
        <v>45882</v>
      </c>
      <c r="D15" t="inlineStr">
        <is>
          <t>ÖSTERGÖTLANDS LÄN</t>
        </is>
      </c>
      <c r="E15" t="inlineStr">
        <is>
          <t>LINKÖPING</t>
        </is>
      </c>
      <c r="G15" t="n">
        <v>4.3</v>
      </c>
      <c r="H15" t="n">
        <v>0</v>
      </c>
      <c r="I15" t="n">
        <v>2</v>
      </c>
      <c r="J15" t="n">
        <v>0</v>
      </c>
      <c r="K15" t="n">
        <v>1</v>
      </c>
      <c r="L15" t="n">
        <v>0</v>
      </c>
      <c r="M15" t="n">
        <v>0</v>
      </c>
      <c r="N15" t="n">
        <v>0</v>
      </c>
      <c r="O15" t="n">
        <v>1</v>
      </c>
      <c r="P15" t="n">
        <v>1</v>
      </c>
      <c r="Q15" t="n">
        <v>3</v>
      </c>
      <c r="R15" s="2" t="inlineStr">
        <is>
          <t>Rynkskinn
Barkticka
Smal svampklubba</t>
        </is>
      </c>
      <c r="S15">
        <f>HYPERLINK("https://klasma.github.io/Logging_0580/artfynd/A 55341-2024 artfynd.xlsx", "A 55341-2024")</f>
        <v/>
      </c>
      <c r="T15">
        <f>HYPERLINK("https://klasma.github.io/Logging_0580/kartor/A 55341-2024 karta.png", "A 55341-2024")</f>
        <v/>
      </c>
      <c r="V15">
        <f>HYPERLINK("https://klasma.github.io/Logging_0580/klagomål/A 55341-2024 FSC-klagomål.docx", "A 55341-2024")</f>
        <v/>
      </c>
      <c r="W15">
        <f>HYPERLINK("https://klasma.github.io/Logging_0580/klagomålsmail/A 55341-2024 FSC-klagomål mail.docx", "A 55341-2024")</f>
        <v/>
      </c>
      <c r="X15">
        <f>HYPERLINK("https://klasma.github.io/Logging_0580/tillsyn/A 55341-2024 tillsynsbegäran.docx", "A 55341-2024")</f>
        <v/>
      </c>
      <c r="Y15">
        <f>HYPERLINK("https://klasma.github.io/Logging_0580/tillsynsmail/A 55341-2024 tillsynsbegäran mail.docx", "A 55341-2024")</f>
        <v/>
      </c>
    </row>
    <row r="16" ht="15" customHeight="1">
      <c r="A16" t="inlineStr">
        <is>
          <t>A 577-2025</t>
        </is>
      </c>
      <c r="B16" s="1" t="n">
        <v>45664.56525462963</v>
      </c>
      <c r="C16" s="1" t="n">
        <v>45882</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9192-2025</t>
        </is>
      </c>
      <c r="B17" s="1" t="n">
        <v>45714.45943287037</v>
      </c>
      <c r="C17" s="1" t="n">
        <v>45882</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17275-2025</t>
        </is>
      </c>
      <c r="B18" s="1" t="n">
        <v>45756.55734953703</v>
      </c>
      <c r="C18" s="1" t="n">
        <v>45882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44668-2020</t>
        </is>
      </c>
      <c r="B19" s="1" t="n">
        <v>44085</v>
      </c>
      <c r="C19" s="1" t="n">
        <v>45882</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38137-2021</t>
        </is>
      </c>
      <c r="B20" s="1" t="n">
        <v>44405.38357638889</v>
      </c>
      <c r="C20" s="1" t="n">
        <v>45882</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45882</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41751-2023</t>
        </is>
      </c>
      <c r="B22" s="1" t="n">
        <v>45176</v>
      </c>
      <c r="C22" s="1" t="n">
        <v>45882</v>
      </c>
      <c r="D22" t="inlineStr">
        <is>
          <t>ÖSTERGÖTLANDS LÄN</t>
        </is>
      </c>
      <c r="E22" t="inlineStr">
        <is>
          <t>LINKÖPING</t>
        </is>
      </c>
      <c r="G22" t="n">
        <v>1.5</v>
      </c>
      <c r="H22" t="n">
        <v>1</v>
      </c>
      <c r="I22" t="n">
        <v>0</v>
      </c>
      <c r="J22" t="n">
        <v>1</v>
      </c>
      <c r="K22" t="n">
        <v>0</v>
      </c>
      <c r="L22" t="n">
        <v>0</v>
      </c>
      <c r="M22" t="n">
        <v>0</v>
      </c>
      <c r="N22" t="n">
        <v>0</v>
      </c>
      <c r="O22" t="n">
        <v>1</v>
      </c>
      <c r="P22" t="n">
        <v>0</v>
      </c>
      <c r="Q22" t="n">
        <v>2</v>
      </c>
      <c r="R22" s="2" t="inlineStr">
        <is>
          <t>Svinrot
Grönvit nattviol</t>
        </is>
      </c>
      <c r="S22">
        <f>HYPERLINK("https://klasma.github.io/Logging_0580/artfynd/A 41751-2023 artfynd.xlsx", "A 41751-2023")</f>
        <v/>
      </c>
      <c r="T22">
        <f>HYPERLINK("https://klasma.github.io/Logging_0580/kartor/A 41751-2023 karta.png", "A 41751-2023")</f>
        <v/>
      </c>
      <c r="V22">
        <f>HYPERLINK("https://klasma.github.io/Logging_0580/klagomål/A 41751-2023 FSC-klagomål.docx", "A 41751-2023")</f>
        <v/>
      </c>
      <c r="W22">
        <f>HYPERLINK("https://klasma.github.io/Logging_0580/klagomålsmail/A 41751-2023 FSC-klagomål mail.docx", "A 41751-2023")</f>
        <v/>
      </c>
      <c r="X22">
        <f>HYPERLINK("https://klasma.github.io/Logging_0580/tillsyn/A 41751-2023 tillsynsbegäran.docx", "A 41751-2023")</f>
        <v/>
      </c>
      <c r="Y22">
        <f>HYPERLINK("https://klasma.github.io/Logging_0580/tillsynsmail/A 41751-2023 tillsynsbegäran mail.docx", "A 41751-2023")</f>
        <v/>
      </c>
    </row>
    <row r="23" ht="15" customHeight="1">
      <c r="A23" t="inlineStr">
        <is>
          <t>A 49188-2024</t>
        </is>
      </c>
      <c r="B23" s="1" t="n">
        <v>45595</v>
      </c>
      <c r="C23" s="1" t="n">
        <v>45882</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11613-2025</t>
        </is>
      </c>
      <c r="B24" s="1" t="n">
        <v>45727.44623842592</v>
      </c>
      <c r="C24" s="1" t="n">
        <v>45882</v>
      </c>
      <c r="D24" t="inlineStr">
        <is>
          <t>ÖSTERGÖTLANDS LÄN</t>
        </is>
      </c>
      <c r="E24" t="inlineStr">
        <is>
          <t>LINKÖPING</t>
        </is>
      </c>
      <c r="G24" t="n">
        <v>5.7</v>
      </c>
      <c r="H24" t="n">
        <v>1</v>
      </c>
      <c r="I24" t="n">
        <v>1</v>
      </c>
      <c r="J24" t="n">
        <v>0</v>
      </c>
      <c r="K24" t="n">
        <v>1</v>
      </c>
      <c r="L24" t="n">
        <v>0</v>
      </c>
      <c r="M24" t="n">
        <v>0</v>
      </c>
      <c r="N24" t="n">
        <v>0</v>
      </c>
      <c r="O24" t="n">
        <v>1</v>
      </c>
      <c r="P24" t="n">
        <v>1</v>
      </c>
      <c r="Q24" t="n">
        <v>2</v>
      </c>
      <c r="R24" s="2" t="inlineStr">
        <is>
          <t>Knärot
Grönpyrola</t>
        </is>
      </c>
      <c r="S24">
        <f>HYPERLINK("https://klasma.github.io/Logging_0580/artfynd/A 11613-2025 artfynd.xlsx", "A 11613-2025")</f>
        <v/>
      </c>
      <c r="T24">
        <f>HYPERLINK("https://klasma.github.io/Logging_0580/kartor/A 11613-2025 karta.png", "A 11613-2025")</f>
        <v/>
      </c>
      <c r="U24">
        <f>HYPERLINK("https://klasma.github.io/Logging_0580/knärot/A 11613-2025 karta knärot.png", "A 11613-2025")</f>
        <v/>
      </c>
      <c r="V24">
        <f>HYPERLINK("https://klasma.github.io/Logging_0580/klagomål/A 11613-2025 FSC-klagomål.docx", "A 11613-2025")</f>
        <v/>
      </c>
      <c r="W24">
        <f>HYPERLINK("https://klasma.github.io/Logging_0580/klagomålsmail/A 11613-2025 FSC-klagomål mail.docx", "A 11613-2025")</f>
        <v/>
      </c>
      <c r="X24">
        <f>HYPERLINK("https://klasma.github.io/Logging_0580/tillsyn/A 11613-2025 tillsynsbegäran.docx", "A 11613-2025")</f>
        <v/>
      </c>
      <c r="Y24">
        <f>HYPERLINK("https://klasma.github.io/Logging_0580/tillsynsmail/A 11613-2025 tillsynsbegäran mail.docx", "A 11613-2025")</f>
        <v/>
      </c>
    </row>
    <row r="25" ht="15" customHeight="1">
      <c r="A25" t="inlineStr">
        <is>
          <t>A 27981-2022</t>
        </is>
      </c>
      <c r="B25" s="1" t="n">
        <v>44745</v>
      </c>
      <c r="C25" s="1" t="n">
        <v>45882</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42858-2023</t>
        </is>
      </c>
      <c r="B26" s="1" t="n">
        <v>45177</v>
      </c>
      <c r="C26" s="1" t="n">
        <v>45882</v>
      </c>
      <c r="D26" t="inlineStr">
        <is>
          <t>ÖSTERGÖTLANDS LÄN</t>
        </is>
      </c>
      <c r="E26" t="inlineStr">
        <is>
          <t>LINKÖPING</t>
        </is>
      </c>
      <c r="G26" t="n">
        <v>5.3</v>
      </c>
      <c r="H26" t="n">
        <v>1</v>
      </c>
      <c r="I26" t="n">
        <v>0</v>
      </c>
      <c r="J26" t="n">
        <v>1</v>
      </c>
      <c r="K26" t="n">
        <v>0</v>
      </c>
      <c r="L26" t="n">
        <v>0</v>
      </c>
      <c r="M26" t="n">
        <v>0</v>
      </c>
      <c r="N26" t="n">
        <v>0</v>
      </c>
      <c r="O26" t="n">
        <v>1</v>
      </c>
      <c r="P26" t="n">
        <v>0</v>
      </c>
      <c r="Q26" t="n">
        <v>2</v>
      </c>
      <c r="R26" s="2" t="inlineStr">
        <is>
          <t>Svinrot
Skogsödla</t>
        </is>
      </c>
      <c r="S26">
        <f>HYPERLINK("https://klasma.github.io/Logging_0580/artfynd/A 42858-2023 artfynd.xlsx", "A 42858-2023")</f>
        <v/>
      </c>
      <c r="T26">
        <f>HYPERLINK("https://klasma.github.io/Logging_0580/kartor/A 42858-2023 karta.png", "A 42858-2023")</f>
        <v/>
      </c>
      <c r="V26">
        <f>HYPERLINK("https://klasma.github.io/Logging_0580/klagomål/A 42858-2023 FSC-klagomål.docx", "A 42858-2023")</f>
        <v/>
      </c>
      <c r="W26">
        <f>HYPERLINK("https://klasma.github.io/Logging_0580/klagomålsmail/A 42858-2023 FSC-klagomål mail.docx", "A 42858-2023")</f>
        <v/>
      </c>
      <c r="X26">
        <f>HYPERLINK("https://klasma.github.io/Logging_0580/tillsyn/A 42858-2023 tillsynsbegäran.docx", "A 42858-2023")</f>
        <v/>
      </c>
      <c r="Y26">
        <f>HYPERLINK("https://klasma.github.io/Logging_0580/tillsynsmail/A 42858-2023 tillsynsbegäran mail.docx", "A 42858-2023")</f>
        <v/>
      </c>
    </row>
    <row r="27" ht="15" customHeight="1">
      <c r="A27" t="inlineStr">
        <is>
          <t>A 55344-2024</t>
        </is>
      </c>
      <c r="B27" s="1" t="n">
        <v>45621.7202662037</v>
      </c>
      <c r="C27" s="1" t="n">
        <v>45882</v>
      </c>
      <c r="D27" t="inlineStr">
        <is>
          <t>ÖSTERGÖTLANDS LÄN</t>
        </is>
      </c>
      <c r="E27" t="inlineStr">
        <is>
          <t>LINKÖPING</t>
        </is>
      </c>
      <c r="G27" t="n">
        <v>6.6</v>
      </c>
      <c r="H27" t="n">
        <v>0</v>
      </c>
      <c r="I27" t="n">
        <v>0</v>
      </c>
      <c r="J27" t="n">
        <v>2</v>
      </c>
      <c r="K27" t="n">
        <v>0</v>
      </c>
      <c r="L27" t="n">
        <v>0</v>
      </c>
      <c r="M27" t="n">
        <v>0</v>
      </c>
      <c r="N27" t="n">
        <v>0</v>
      </c>
      <c r="O27" t="n">
        <v>2</v>
      </c>
      <c r="P27" t="n">
        <v>0</v>
      </c>
      <c r="Q27" t="n">
        <v>2</v>
      </c>
      <c r="R27" s="2" t="inlineStr">
        <is>
          <t>Kandelabersvamp
Stjärnnästing</t>
        </is>
      </c>
      <c r="S27">
        <f>HYPERLINK("https://klasma.github.io/Logging_0580/artfynd/A 55344-2024 artfynd.xlsx", "A 55344-2024")</f>
        <v/>
      </c>
      <c r="T27">
        <f>HYPERLINK("https://klasma.github.io/Logging_0580/kartor/A 55344-2024 karta.png", "A 55344-2024")</f>
        <v/>
      </c>
      <c r="V27">
        <f>HYPERLINK("https://klasma.github.io/Logging_0580/klagomål/A 55344-2024 FSC-klagomål.docx", "A 55344-2024")</f>
        <v/>
      </c>
      <c r="W27">
        <f>HYPERLINK("https://klasma.github.io/Logging_0580/klagomålsmail/A 55344-2024 FSC-klagomål mail.docx", "A 55344-2024")</f>
        <v/>
      </c>
      <c r="X27">
        <f>HYPERLINK("https://klasma.github.io/Logging_0580/tillsyn/A 55344-2024 tillsynsbegäran.docx", "A 55344-2024")</f>
        <v/>
      </c>
      <c r="Y27">
        <f>HYPERLINK("https://klasma.github.io/Logging_0580/tillsynsmail/A 55344-2024 tillsynsbegäran mail.docx", "A 55344-2024")</f>
        <v/>
      </c>
    </row>
    <row r="28" ht="15" customHeight="1">
      <c r="A28" t="inlineStr">
        <is>
          <t>A 50404-2023</t>
        </is>
      </c>
      <c r="B28" s="1" t="n">
        <v>45216</v>
      </c>
      <c r="C28" s="1" t="n">
        <v>45882</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21326-2025</t>
        </is>
      </c>
      <c r="B29" s="1" t="n">
        <v>45782.35407407407</v>
      </c>
      <c r="C29" s="1" t="n">
        <v>45882</v>
      </c>
      <c r="D29" t="inlineStr">
        <is>
          <t>ÖSTERGÖTLANDS LÄN</t>
        </is>
      </c>
      <c r="E29" t="inlineStr">
        <is>
          <t>LINKÖPING</t>
        </is>
      </c>
      <c r="G29" t="n">
        <v>4.9</v>
      </c>
      <c r="H29" t="n">
        <v>2</v>
      </c>
      <c r="I29" t="n">
        <v>0</v>
      </c>
      <c r="J29" t="n">
        <v>0</v>
      </c>
      <c r="K29" t="n">
        <v>0</v>
      </c>
      <c r="L29" t="n">
        <v>0</v>
      </c>
      <c r="M29" t="n">
        <v>0</v>
      </c>
      <c r="N29" t="n">
        <v>0</v>
      </c>
      <c r="O29" t="n">
        <v>0</v>
      </c>
      <c r="P29" t="n">
        <v>0</v>
      </c>
      <c r="Q29" t="n">
        <v>2</v>
      </c>
      <c r="R29" s="2" t="inlineStr">
        <is>
          <t>Blåsippa
Revlummer</t>
        </is>
      </c>
      <c r="S29">
        <f>HYPERLINK("https://klasma.github.io/Logging_0580/artfynd/A 21326-2025 artfynd.xlsx", "A 21326-2025")</f>
        <v/>
      </c>
      <c r="T29">
        <f>HYPERLINK("https://klasma.github.io/Logging_0580/kartor/A 21326-2025 karta.png", "A 21326-2025")</f>
        <v/>
      </c>
      <c r="V29">
        <f>HYPERLINK("https://klasma.github.io/Logging_0580/klagomål/A 21326-2025 FSC-klagomål.docx", "A 21326-2025")</f>
        <v/>
      </c>
      <c r="W29">
        <f>HYPERLINK("https://klasma.github.io/Logging_0580/klagomålsmail/A 21326-2025 FSC-klagomål mail.docx", "A 21326-2025")</f>
        <v/>
      </c>
      <c r="X29">
        <f>HYPERLINK("https://klasma.github.io/Logging_0580/tillsyn/A 21326-2025 tillsynsbegäran.docx", "A 21326-2025")</f>
        <v/>
      </c>
      <c r="Y29">
        <f>HYPERLINK("https://klasma.github.io/Logging_0580/tillsynsmail/A 21326-2025 tillsynsbegäran mail.docx", "A 21326-2025")</f>
        <v/>
      </c>
    </row>
    <row r="30" ht="15" customHeight="1">
      <c r="A30" t="inlineStr">
        <is>
          <t>A 20292-2025</t>
        </is>
      </c>
      <c r="B30" s="1" t="n">
        <v>45774.7449537037</v>
      </c>
      <c r="C30" s="1" t="n">
        <v>45882</v>
      </c>
      <c r="D30" t="inlineStr">
        <is>
          <t>ÖSTERGÖTLANDS LÄN</t>
        </is>
      </c>
      <c r="E30" t="inlineStr">
        <is>
          <t>LINKÖPING</t>
        </is>
      </c>
      <c r="G30" t="n">
        <v>8.4</v>
      </c>
      <c r="H30" t="n">
        <v>1</v>
      </c>
      <c r="I30" t="n">
        <v>1</v>
      </c>
      <c r="J30" t="n">
        <v>0</v>
      </c>
      <c r="K30" t="n">
        <v>0</v>
      </c>
      <c r="L30" t="n">
        <v>0</v>
      </c>
      <c r="M30" t="n">
        <v>0</v>
      </c>
      <c r="N30" t="n">
        <v>0</v>
      </c>
      <c r="O30" t="n">
        <v>0</v>
      </c>
      <c r="P30" t="n">
        <v>0</v>
      </c>
      <c r="Q30" t="n">
        <v>2</v>
      </c>
      <c r="R30" s="2" t="inlineStr">
        <is>
          <t>Blåmossa
Blåsippa</t>
        </is>
      </c>
      <c r="S30">
        <f>HYPERLINK("https://klasma.github.io/Logging_0580/artfynd/A 20292-2025 artfynd.xlsx", "A 20292-2025")</f>
        <v/>
      </c>
      <c r="T30">
        <f>HYPERLINK("https://klasma.github.io/Logging_0580/kartor/A 20292-2025 karta.png", "A 20292-2025")</f>
        <v/>
      </c>
      <c r="V30">
        <f>HYPERLINK("https://klasma.github.io/Logging_0580/klagomål/A 20292-2025 FSC-klagomål.docx", "A 20292-2025")</f>
        <v/>
      </c>
      <c r="W30">
        <f>HYPERLINK("https://klasma.github.io/Logging_0580/klagomålsmail/A 20292-2025 FSC-klagomål mail.docx", "A 20292-2025")</f>
        <v/>
      </c>
      <c r="X30">
        <f>HYPERLINK("https://klasma.github.io/Logging_0580/tillsyn/A 20292-2025 tillsynsbegäran.docx", "A 20292-2025")</f>
        <v/>
      </c>
      <c r="Y30">
        <f>HYPERLINK("https://klasma.github.io/Logging_0580/tillsynsmail/A 20292-2025 tillsynsbegäran mail.docx", "A 20292-2025")</f>
        <v/>
      </c>
    </row>
    <row r="31" ht="15" customHeight="1">
      <c r="A31" t="inlineStr">
        <is>
          <t>A 20297-2025</t>
        </is>
      </c>
      <c r="B31" s="1" t="n">
        <v>45774.74971064815</v>
      </c>
      <c r="C31" s="1" t="n">
        <v>45882</v>
      </c>
      <c r="D31" t="inlineStr">
        <is>
          <t>ÖSTERGÖTLANDS LÄN</t>
        </is>
      </c>
      <c r="E31" t="inlineStr">
        <is>
          <t>LINKÖPING</t>
        </is>
      </c>
      <c r="G31" t="n">
        <v>1.5</v>
      </c>
      <c r="H31" t="n">
        <v>1</v>
      </c>
      <c r="I31" t="n">
        <v>1</v>
      </c>
      <c r="J31" t="n">
        <v>0</v>
      </c>
      <c r="K31" t="n">
        <v>0</v>
      </c>
      <c r="L31" t="n">
        <v>0</v>
      </c>
      <c r="M31" t="n">
        <v>0</v>
      </c>
      <c r="N31" t="n">
        <v>0</v>
      </c>
      <c r="O31" t="n">
        <v>0</v>
      </c>
      <c r="P31" t="n">
        <v>0</v>
      </c>
      <c r="Q31" t="n">
        <v>2</v>
      </c>
      <c r="R31" s="2" t="inlineStr">
        <is>
          <t>Blanksvart trämyra
Blåsippa</t>
        </is>
      </c>
      <c r="S31">
        <f>HYPERLINK("https://klasma.github.io/Logging_0580/artfynd/A 20297-2025 artfynd.xlsx", "A 20297-2025")</f>
        <v/>
      </c>
      <c r="T31">
        <f>HYPERLINK("https://klasma.github.io/Logging_0580/kartor/A 20297-2025 karta.png", "A 20297-2025")</f>
        <v/>
      </c>
      <c r="V31">
        <f>HYPERLINK("https://klasma.github.io/Logging_0580/klagomål/A 20297-2025 FSC-klagomål.docx", "A 20297-2025")</f>
        <v/>
      </c>
      <c r="W31">
        <f>HYPERLINK("https://klasma.github.io/Logging_0580/klagomålsmail/A 20297-2025 FSC-klagomål mail.docx", "A 20297-2025")</f>
        <v/>
      </c>
      <c r="X31">
        <f>HYPERLINK("https://klasma.github.io/Logging_0580/tillsyn/A 20297-2025 tillsynsbegäran.docx", "A 20297-2025")</f>
        <v/>
      </c>
      <c r="Y31">
        <f>HYPERLINK("https://klasma.github.io/Logging_0580/tillsynsmail/A 20297-2025 tillsynsbegäran mail.docx", "A 20297-2025")</f>
        <v/>
      </c>
    </row>
    <row r="32" ht="15" customHeight="1">
      <c r="A32" t="inlineStr">
        <is>
          <t>A 14879-2024</t>
        </is>
      </c>
      <c r="B32" s="1" t="n">
        <v>45398</v>
      </c>
      <c r="C32" s="1" t="n">
        <v>45882</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45882</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25985-2025</t>
        </is>
      </c>
      <c r="B34" s="1" t="n">
        <v>45804.64479166667</v>
      </c>
      <c r="C34" s="1" t="n">
        <v>45882</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27795-2025</t>
        </is>
      </c>
      <c r="B35" s="1" t="n">
        <v>45816.7908912037</v>
      </c>
      <c r="C35" s="1" t="n">
        <v>45882</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58068-2021</t>
        </is>
      </c>
      <c r="B36" s="1" t="n">
        <v>44487</v>
      </c>
      <c r="C36" s="1" t="n">
        <v>45882</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38913-2023</t>
        </is>
      </c>
      <c r="B37" s="1" t="n">
        <v>45163</v>
      </c>
      <c r="C37" s="1" t="n">
        <v>45882</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38129-2021</t>
        </is>
      </c>
      <c r="B38" s="1" t="n">
        <v>44405.37199074074</v>
      </c>
      <c r="C38" s="1" t="n">
        <v>45882</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14096-2021</t>
        </is>
      </c>
      <c r="B39" s="1" t="n">
        <v>44278</v>
      </c>
      <c r="C39" s="1" t="n">
        <v>45882</v>
      </c>
      <c r="D39" t="inlineStr">
        <is>
          <t>ÖSTERGÖTLANDS LÄN</t>
        </is>
      </c>
      <c r="E39" t="inlineStr">
        <is>
          <t>LINKÖPING</t>
        </is>
      </c>
      <c r="G39" t="n">
        <v>1.7</v>
      </c>
      <c r="H39" t="n">
        <v>0</v>
      </c>
      <c r="I39" t="n">
        <v>0</v>
      </c>
      <c r="J39" t="n">
        <v>1</v>
      </c>
      <c r="K39" t="n">
        <v>0</v>
      </c>
      <c r="L39" t="n">
        <v>0</v>
      </c>
      <c r="M39" t="n">
        <v>0</v>
      </c>
      <c r="N39" t="n">
        <v>0</v>
      </c>
      <c r="O39" t="n">
        <v>1</v>
      </c>
      <c r="P39" t="n">
        <v>0</v>
      </c>
      <c r="Q39" t="n">
        <v>1</v>
      </c>
      <c r="R39" s="2" t="inlineStr">
        <is>
          <t>Vedtrappmossa</t>
        </is>
      </c>
      <c r="S39">
        <f>HYPERLINK("https://klasma.github.io/Logging_0580/artfynd/A 14096-2021 artfynd.xlsx", "A 14096-2021")</f>
        <v/>
      </c>
      <c r="T39">
        <f>HYPERLINK("https://klasma.github.io/Logging_0580/kartor/A 14096-2021 karta.png", "A 14096-2021")</f>
        <v/>
      </c>
      <c r="V39">
        <f>HYPERLINK("https://klasma.github.io/Logging_0580/klagomål/A 14096-2021 FSC-klagomål.docx", "A 14096-2021")</f>
        <v/>
      </c>
      <c r="W39">
        <f>HYPERLINK("https://klasma.github.io/Logging_0580/klagomålsmail/A 14096-2021 FSC-klagomål mail.docx", "A 14096-2021")</f>
        <v/>
      </c>
      <c r="X39">
        <f>HYPERLINK("https://klasma.github.io/Logging_0580/tillsyn/A 14096-2021 tillsynsbegäran.docx", "A 14096-2021")</f>
        <v/>
      </c>
      <c r="Y39">
        <f>HYPERLINK("https://klasma.github.io/Logging_0580/tillsynsmail/A 14096-2021 tillsynsbegäran mail.docx", "A 14096-2021")</f>
        <v/>
      </c>
    </row>
    <row r="40" ht="15" customHeight="1">
      <c r="A40" t="inlineStr">
        <is>
          <t>A 17513-2022</t>
        </is>
      </c>
      <c r="B40" s="1" t="n">
        <v>44679</v>
      </c>
      <c r="C40" s="1" t="n">
        <v>45882</v>
      </c>
      <c r="D40" t="inlineStr">
        <is>
          <t>ÖSTERGÖTLANDS LÄN</t>
        </is>
      </c>
      <c r="E40" t="inlineStr">
        <is>
          <t>LINKÖPING</t>
        </is>
      </c>
      <c r="F40" t="inlineStr">
        <is>
          <t>Kommuner</t>
        </is>
      </c>
      <c r="G40" t="n">
        <v>1.6</v>
      </c>
      <c r="H40" t="n">
        <v>0</v>
      </c>
      <c r="I40" t="n">
        <v>0</v>
      </c>
      <c r="J40" t="n">
        <v>1</v>
      </c>
      <c r="K40" t="n">
        <v>0</v>
      </c>
      <c r="L40" t="n">
        <v>0</v>
      </c>
      <c r="M40" t="n">
        <v>0</v>
      </c>
      <c r="N40" t="n">
        <v>0</v>
      </c>
      <c r="O40" t="n">
        <v>1</v>
      </c>
      <c r="P40" t="n">
        <v>0</v>
      </c>
      <c r="Q40" t="n">
        <v>1</v>
      </c>
      <c r="R40" s="2" t="inlineStr">
        <is>
          <t>Sexfläckig bastardsvärmare</t>
        </is>
      </c>
      <c r="S40">
        <f>HYPERLINK("https://klasma.github.io/Logging_0580/artfynd/A 17513-2022 artfynd.xlsx", "A 17513-2022")</f>
        <v/>
      </c>
      <c r="T40">
        <f>HYPERLINK("https://klasma.github.io/Logging_0580/kartor/A 17513-2022 karta.png", "A 17513-2022")</f>
        <v/>
      </c>
      <c r="V40">
        <f>HYPERLINK("https://klasma.github.io/Logging_0580/klagomål/A 17513-2022 FSC-klagomål.docx", "A 17513-2022")</f>
        <v/>
      </c>
      <c r="W40">
        <f>HYPERLINK("https://klasma.github.io/Logging_0580/klagomålsmail/A 17513-2022 FSC-klagomål mail.docx", "A 17513-2022")</f>
        <v/>
      </c>
      <c r="X40">
        <f>HYPERLINK("https://klasma.github.io/Logging_0580/tillsyn/A 17513-2022 tillsynsbegäran.docx", "A 17513-2022")</f>
        <v/>
      </c>
      <c r="Y40">
        <f>HYPERLINK("https://klasma.github.io/Logging_0580/tillsynsmail/A 17513-2022 tillsynsbegäran mail.docx", "A 17513-2022")</f>
        <v/>
      </c>
    </row>
    <row r="41" ht="15" customHeight="1">
      <c r="A41" t="inlineStr">
        <is>
          <t>A 56250-2021</t>
        </is>
      </c>
      <c r="B41" s="1" t="n">
        <v>44479</v>
      </c>
      <c r="C41" s="1" t="n">
        <v>45882</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43017-2021</t>
        </is>
      </c>
      <c r="B42" s="1" t="n">
        <v>44431</v>
      </c>
      <c r="C42" s="1" t="n">
        <v>45882</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46496-2022</t>
        </is>
      </c>
      <c r="B43" s="1" t="n">
        <v>44848</v>
      </c>
      <c r="C43" s="1" t="n">
        <v>45882</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71127-2021</t>
        </is>
      </c>
      <c r="B44" s="1" t="n">
        <v>44537</v>
      </c>
      <c r="C44" s="1" t="n">
        <v>45882</v>
      </c>
      <c r="D44" t="inlineStr">
        <is>
          <t>ÖSTERGÖTLANDS LÄN</t>
        </is>
      </c>
      <c r="E44" t="inlineStr">
        <is>
          <t>LINKÖPING</t>
        </is>
      </c>
      <c r="F44" t="inlineStr">
        <is>
          <t>Kommuner</t>
        </is>
      </c>
      <c r="G44" t="n">
        <v>7.2</v>
      </c>
      <c r="H44" t="n">
        <v>0</v>
      </c>
      <c r="I44" t="n">
        <v>0</v>
      </c>
      <c r="J44" t="n">
        <v>1</v>
      </c>
      <c r="K44" t="n">
        <v>0</v>
      </c>
      <c r="L44" t="n">
        <v>0</v>
      </c>
      <c r="M44" t="n">
        <v>0</v>
      </c>
      <c r="N44" t="n">
        <v>0</v>
      </c>
      <c r="O44" t="n">
        <v>1</v>
      </c>
      <c r="P44" t="n">
        <v>0</v>
      </c>
      <c r="Q44" t="n">
        <v>1</v>
      </c>
      <c r="R44" s="2" t="inlineStr">
        <is>
          <t>Svinrot</t>
        </is>
      </c>
      <c r="S44">
        <f>HYPERLINK("https://klasma.github.io/Logging_0580/artfynd/A 71127-2021 artfynd.xlsx", "A 71127-2021")</f>
        <v/>
      </c>
      <c r="T44">
        <f>HYPERLINK("https://klasma.github.io/Logging_0580/kartor/A 71127-2021 karta.png", "A 71127-2021")</f>
        <v/>
      </c>
      <c r="V44">
        <f>HYPERLINK("https://klasma.github.io/Logging_0580/klagomål/A 71127-2021 FSC-klagomål.docx", "A 71127-2021")</f>
        <v/>
      </c>
      <c r="W44">
        <f>HYPERLINK("https://klasma.github.io/Logging_0580/klagomålsmail/A 71127-2021 FSC-klagomål mail.docx", "A 71127-2021")</f>
        <v/>
      </c>
      <c r="X44">
        <f>HYPERLINK("https://klasma.github.io/Logging_0580/tillsyn/A 71127-2021 tillsynsbegäran.docx", "A 71127-2021")</f>
        <v/>
      </c>
      <c r="Y44">
        <f>HYPERLINK("https://klasma.github.io/Logging_0580/tillsynsmail/A 71127-2021 tillsynsbegäran mail.docx", "A 71127-2021")</f>
        <v/>
      </c>
    </row>
    <row r="45" ht="15" customHeight="1">
      <c r="A45" t="inlineStr">
        <is>
          <t>A 34881-2023</t>
        </is>
      </c>
      <c r="B45" s="1" t="n">
        <v>45140</v>
      </c>
      <c r="C45" s="1" t="n">
        <v>45882</v>
      </c>
      <c r="D45" t="inlineStr">
        <is>
          <t>ÖSTERGÖTLANDS LÄN</t>
        </is>
      </c>
      <c r="E45" t="inlineStr">
        <is>
          <t>LINKÖPING</t>
        </is>
      </c>
      <c r="G45" t="n">
        <v>1.9</v>
      </c>
      <c r="H45" t="n">
        <v>0</v>
      </c>
      <c r="I45" t="n">
        <v>0</v>
      </c>
      <c r="J45" t="n">
        <v>1</v>
      </c>
      <c r="K45" t="n">
        <v>0</v>
      </c>
      <c r="L45" t="n">
        <v>0</v>
      </c>
      <c r="M45" t="n">
        <v>0</v>
      </c>
      <c r="N45" t="n">
        <v>0</v>
      </c>
      <c r="O45" t="n">
        <v>1</v>
      </c>
      <c r="P45" t="n">
        <v>0</v>
      </c>
      <c r="Q45" t="n">
        <v>1</v>
      </c>
      <c r="R45" s="2" t="inlineStr">
        <is>
          <t>Tallticka</t>
        </is>
      </c>
      <c r="S45">
        <f>HYPERLINK("https://klasma.github.io/Logging_0580/artfynd/A 34881-2023 artfynd.xlsx", "A 34881-2023")</f>
        <v/>
      </c>
      <c r="T45">
        <f>HYPERLINK("https://klasma.github.io/Logging_0580/kartor/A 34881-2023 karta.png", "A 34881-2023")</f>
        <v/>
      </c>
      <c r="U45">
        <f>HYPERLINK("https://klasma.github.io/Logging_0580/knärot/A 34881-2023 karta knärot.png", "A 34881-2023")</f>
        <v/>
      </c>
      <c r="V45">
        <f>HYPERLINK("https://klasma.github.io/Logging_0580/klagomål/A 34881-2023 FSC-klagomål.docx", "A 34881-2023")</f>
        <v/>
      </c>
      <c r="W45">
        <f>HYPERLINK("https://klasma.github.io/Logging_0580/klagomålsmail/A 34881-2023 FSC-klagomål mail.docx", "A 34881-2023")</f>
        <v/>
      </c>
      <c r="X45">
        <f>HYPERLINK("https://klasma.github.io/Logging_0580/tillsyn/A 34881-2023 tillsynsbegäran.docx", "A 34881-2023")</f>
        <v/>
      </c>
      <c r="Y45">
        <f>HYPERLINK("https://klasma.github.io/Logging_0580/tillsynsmail/A 34881-2023 tillsynsbegäran mail.docx", "A 34881-2023")</f>
        <v/>
      </c>
    </row>
    <row r="46" ht="15" customHeight="1">
      <c r="A46" t="inlineStr">
        <is>
          <t>A 35948-2023</t>
        </is>
      </c>
      <c r="B46" s="1" t="n">
        <v>45148</v>
      </c>
      <c r="C46" s="1" t="n">
        <v>45882</v>
      </c>
      <c r="D46" t="inlineStr">
        <is>
          <t>ÖSTERGÖTLANDS LÄN</t>
        </is>
      </c>
      <c r="E46" t="inlineStr">
        <is>
          <t>LINKÖPING</t>
        </is>
      </c>
      <c r="G46" t="n">
        <v>1.9</v>
      </c>
      <c r="H46" t="n">
        <v>0</v>
      </c>
      <c r="I46" t="n">
        <v>1</v>
      </c>
      <c r="J46" t="n">
        <v>0</v>
      </c>
      <c r="K46" t="n">
        <v>0</v>
      </c>
      <c r="L46" t="n">
        <v>0</v>
      </c>
      <c r="M46" t="n">
        <v>0</v>
      </c>
      <c r="N46" t="n">
        <v>0</v>
      </c>
      <c r="O46" t="n">
        <v>0</v>
      </c>
      <c r="P46" t="n">
        <v>0</v>
      </c>
      <c r="Q46" t="n">
        <v>1</v>
      </c>
      <c r="R46" s="2" t="inlineStr">
        <is>
          <t>Brun nållav</t>
        </is>
      </c>
      <c r="S46">
        <f>HYPERLINK("https://klasma.github.io/Logging_0580/artfynd/A 35948-2023 artfynd.xlsx", "A 35948-2023")</f>
        <v/>
      </c>
      <c r="T46">
        <f>HYPERLINK("https://klasma.github.io/Logging_0580/kartor/A 35948-2023 karta.png", "A 35948-2023")</f>
        <v/>
      </c>
      <c r="V46">
        <f>HYPERLINK("https://klasma.github.io/Logging_0580/klagomål/A 35948-2023 FSC-klagomål.docx", "A 35948-2023")</f>
        <v/>
      </c>
      <c r="W46">
        <f>HYPERLINK("https://klasma.github.io/Logging_0580/klagomålsmail/A 35948-2023 FSC-klagomål mail.docx", "A 35948-2023")</f>
        <v/>
      </c>
      <c r="X46">
        <f>HYPERLINK("https://klasma.github.io/Logging_0580/tillsyn/A 35948-2023 tillsynsbegäran.docx", "A 35948-2023")</f>
        <v/>
      </c>
      <c r="Y46">
        <f>HYPERLINK("https://klasma.github.io/Logging_0580/tillsynsmail/A 35948-2023 tillsynsbegäran mail.docx", "A 35948-2023")</f>
        <v/>
      </c>
    </row>
    <row r="47" ht="15" customHeight="1">
      <c r="A47" t="inlineStr">
        <is>
          <t>A 62071-2023</t>
        </is>
      </c>
      <c r="B47" s="1" t="n">
        <v>45266.73542824074</v>
      </c>
      <c r="C47" s="1" t="n">
        <v>45882</v>
      </c>
      <c r="D47" t="inlineStr">
        <is>
          <t>ÖSTERGÖTLANDS LÄN</t>
        </is>
      </c>
      <c r="E47" t="inlineStr">
        <is>
          <t>LINKÖPING</t>
        </is>
      </c>
      <c r="G47" t="n">
        <v>6.5</v>
      </c>
      <c r="H47" t="n">
        <v>0</v>
      </c>
      <c r="I47" t="n">
        <v>0</v>
      </c>
      <c r="J47" t="n">
        <v>1</v>
      </c>
      <c r="K47" t="n">
        <v>0</v>
      </c>
      <c r="L47" t="n">
        <v>0</v>
      </c>
      <c r="M47" t="n">
        <v>0</v>
      </c>
      <c r="N47" t="n">
        <v>0</v>
      </c>
      <c r="O47" t="n">
        <v>1</v>
      </c>
      <c r="P47" t="n">
        <v>0</v>
      </c>
      <c r="Q47" t="n">
        <v>1</v>
      </c>
      <c r="R47" s="2" t="inlineStr">
        <is>
          <t>Svinrot</t>
        </is>
      </c>
      <c r="S47">
        <f>HYPERLINK("https://klasma.github.io/Logging_0580/artfynd/A 62071-2023 artfynd.xlsx", "A 62071-2023")</f>
        <v/>
      </c>
      <c r="T47">
        <f>HYPERLINK("https://klasma.github.io/Logging_0580/kartor/A 62071-2023 karta.png", "A 62071-2023")</f>
        <v/>
      </c>
      <c r="V47">
        <f>HYPERLINK("https://klasma.github.io/Logging_0580/klagomål/A 62071-2023 FSC-klagomål.docx", "A 62071-2023")</f>
        <v/>
      </c>
      <c r="W47">
        <f>HYPERLINK("https://klasma.github.io/Logging_0580/klagomålsmail/A 62071-2023 FSC-klagomål mail.docx", "A 62071-2023")</f>
        <v/>
      </c>
      <c r="X47">
        <f>HYPERLINK("https://klasma.github.io/Logging_0580/tillsyn/A 62071-2023 tillsynsbegäran.docx", "A 62071-2023")</f>
        <v/>
      </c>
      <c r="Y47">
        <f>HYPERLINK("https://klasma.github.io/Logging_0580/tillsynsmail/A 62071-2023 tillsynsbegäran mail.docx", "A 62071-2023")</f>
        <v/>
      </c>
    </row>
    <row r="48" ht="15" customHeight="1">
      <c r="A48" t="inlineStr">
        <is>
          <t>A 3397-2023</t>
        </is>
      </c>
      <c r="B48" s="1" t="n">
        <v>44949</v>
      </c>
      <c r="C48" s="1" t="n">
        <v>45882</v>
      </c>
      <c r="D48" t="inlineStr">
        <is>
          <t>ÖSTERGÖTLANDS LÄN</t>
        </is>
      </c>
      <c r="E48" t="inlineStr">
        <is>
          <t>LINKÖPING</t>
        </is>
      </c>
      <c r="G48" t="n">
        <v>4.1</v>
      </c>
      <c r="H48" t="n">
        <v>0</v>
      </c>
      <c r="I48" t="n">
        <v>0</v>
      </c>
      <c r="J48" t="n">
        <v>1</v>
      </c>
      <c r="K48" t="n">
        <v>0</v>
      </c>
      <c r="L48" t="n">
        <v>0</v>
      </c>
      <c r="M48" t="n">
        <v>0</v>
      </c>
      <c r="N48" t="n">
        <v>0</v>
      </c>
      <c r="O48" t="n">
        <v>1</v>
      </c>
      <c r="P48" t="n">
        <v>0</v>
      </c>
      <c r="Q48" t="n">
        <v>1</v>
      </c>
      <c r="R48" s="2" t="inlineStr">
        <is>
          <t>Svinrot</t>
        </is>
      </c>
      <c r="S48">
        <f>HYPERLINK("https://klasma.github.io/Logging_0580/artfynd/A 3397-2023 artfynd.xlsx", "A 3397-2023")</f>
        <v/>
      </c>
      <c r="T48">
        <f>HYPERLINK("https://klasma.github.io/Logging_0580/kartor/A 3397-2023 karta.png", "A 3397-2023")</f>
        <v/>
      </c>
      <c r="V48">
        <f>HYPERLINK("https://klasma.github.io/Logging_0580/klagomål/A 3397-2023 FSC-klagomål.docx", "A 3397-2023")</f>
        <v/>
      </c>
      <c r="W48">
        <f>HYPERLINK("https://klasma.github.io/Logging_0580/klagomålsmail/A 3397-2023 FSC-klagomål mail.docx", "A 3397-2023")</f>
        <v/>
      </c>
      <c r="X48">
        <f>HYPERLINK("https://klasma.github.io/Logging_0580/tillsyn/A 3397-2023 tillsynsbegäran.docx", "A 3397-2023")</f>
        <v/>
      </c>
      <c r="Y48">
        <f>HYPERLINK("https://klasma.github.io/Logging_0580/tillsynsmail/A 3397-2023 tillsynsbegäran mail.docx", "A 3397-2023")</f>
        <v/>
      </c>
    </row>
    <row r="49" ht="15" customHeight="1">
      <c r="A49" t="inlineStr">
        <is>
          <t>A 17389-2021</t>
        </is>
      </c>
      <c r="B49" s="1" t="n">
        <v>44298.96792824074</v>
      </c>
      <c r="C49" s="1" t="n">
        <v>45882</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22040-2023</t>
        </is>
      </c>
      <c r="B50" s="1" t="n">
        <v>45068</v>
      </c>
      <c r="C50" s="1" t="n">
        <v>45882</v>
      </c>
      <c r="D50" t="inlineStr">
        <is>
          <t>ÖSTERGÖTLANDS LÄN</t>
        </is>
      </c>
      <c r="E50" t="inlineStr">
        <is>
          <t>LINKÖPING</t>
        </is>
      </c>
      <c r="F50" t="inlineStr">
        <is>
          <t>Kommuner</t>
        </is>
      </c>
      <c r="G50" t="n">
        <v>1</v>
      </c>
      <c r="H50" t="n">
        <v>1</v>
      </c>
      <c r="I50" t="n">
        <v>0</v>
      </c>
      <c r="J50" t="n">
        <v>0</v>
      </c>
      <c r="K50" t="n">
        <v>1</v>
      </c>
      <c r="L50" t="n">
        <v>0</v>
      </c>
      <c r="M50" t="n">
        <v>0</v>
      </c>
      <c r="N50" t="n">
        <v>0</v>
      </c>
      <c r="O50" t="n">
        <v>1</v>
      </c>
      <c r="P50" t="n">
        <v>1</v>
      </c>
      <c r="Q50" t="n">
        <v>1</v>
      </c>
      <c r="R50" s="2" t="inlineStr">
        <is>
          <t>Bombmurkla</t>
        </is>
      </c>
      <c r="S50">
        <f>HYPERLINK("https://klasma.github.io/Logging_0580/artfynd/A 22040-2023 artfynd.xlsx", "A 22040-2023")</f>
        <v/>
      </c>
      <c r="T50">
        <f>HYPERLINK("https://klasma.github.io/Logging_0580/kartor/A 22040-2023 karta.png", "A 22040-2023")</f>
        <v/>
      </c>
      <c r="V50">
        <f>HYPERLINK("https://klasma.github.io/Logging_0580/klagomål/A 22040-2023 FSC-klagomål.docx", "A 22040-2023")</f>
        <v/>
      </c>
      <c r="W50">
        <f>HYPERLINK("https://klasma.github.io/Logging_0580/klagomålsmail/A 22040-2023 FSC-klagomål mail.docx", "A 22040-2023")</f>
        <v/>
      </c>
      <c r="X50">
        <f>HYPERLINK("https://klasma.github.io/Logging_0580/tillsyn/A 22040-2023 tillsynsbegäran.docx", "A 22040-2023")</f>
        <v/>
      </c>
      <c r="Y50">
        <f>HYPERLINK("https://klasma.github.io/Logging_0580/tillsynsmail/A 22040-2023 tillsynsbegäran mail.docx", "A 22040-2023")</f>
        <v/>
      </c>
    </row>
    <row r="51" ht="15" customHeight="1">
      <c r="A51" t="inlineStr">
        <is>
          <t>A 56128-2022</t>
        </is>
      </c>
      <c r="B51" s="1" t="n">
        <v>44889</v>
      </c>
      <c r="C51" s="1" t="n">
        <v>45882</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40309-2024</t>
        </is>
      </c>
      <c r="B52" s="1" t="n">
        <v>45554.724375</v>
      </c>
      <c r="C52" s="1" t="n">
        <v>45882</v>
      </c>
      <c r="D52" t="inlineStr">
        <is>
          <t>ÖSTERGÖTLANDS LÄN</t>
        </is>
      </c>
      <c r="E52" t="inlineStr">
        <is>
          <t>LINKÖPING</t>
        </is>
      </c>
      <c r="F52" t="inlineStr">
        <is>
          <t>Allmännings- och besparingsskogar</t>
        </is>
      </c>
      <c r="G52" t="n">
        <v>6</v>
      </c>
      <c r="H52" t="n">
        <v>0</v>
      </c>
      <c r="I52" t="n">
        <v>0</v>
      </c>
      <c r="J52" t="n">
        <v>1</v>
      </c>
      <c r="K52" t="n">
        <v>0</v>
      </c>
      <c r="L52" t="n">
        <v>0</v>
      </c>
      <c r="M52" t="n">
        <v>0</v>
      </c>
      <c r="N52" t="n">
        <v>0</v>
      </c>
      <c r="O52" t="n">
        <v>1</v>
      </c>
      <c r="P52" t="n">
        <v>0</v>
      </c>
      <c r="Q52" t="n">
        <v>1</v>
      </c>
      <c r="R52" s="2" t="inlineStr">
        <is>
          <t>Garnlav</t>
        </is>
      </c>
      <c r="S52">
        <f>HYPERLINK("https://klasma.github.io/Logging_0580/artfynd/A 40309-2024 artfynd.xlsx", "A 40309-2024")</f>
        <v/>
      </c>
      <c r="T52">
        <f>HYPERLINK("https://klasma.github.io/Logging_0580/kartor/A 40309-2024 karta.png", "A 40309-2024")</f>
        <v/>
      </c>
      <c r="V52">
        <f>HYPERLINK("https://klasma.github.io/Logging_0580/klagomål/A 40309-2024 FSC-klagomål.docx", "A 40309-2024")</f>
        <v/>
      </c>
      <c r="W52">
        <f>HYPERLINK("https://klasma.github.io/Logging_0580/klagomålsmail/A 40309-2024 FSC-klagomål mail.docx", "A 40309-2024")</f>
        <v/>
      </c>
      <c r="X52">
        <f>HYPERLINK("https://klasma.github.io/Logging_0580/tillsyn/A 40309-2024 tillsynsbegäran.docx", "A 40309-2024")</f>
        <v/>
      </c>
      <c r="Y52">
        <f>HYPERLINK("https://klasma.github.io/Logging_0580/tillsynsmail/A 40309-2024 tillsynsbegäran mail.docx", "A 40309-2024")</f>
        <v/>
      </c>
    </row>
    <row r="53" ht="15" customHeight="1">
      <c r="A53" t="inlineStr">
        <is>
          <t>A 931-2025</t>
        </is>
      </c>
      <c r="B53" s="1" t="n">
        <v>45665.88498842593</v>
      </c>
      <c r="C53" s="1" t="n">
        <v>45882</v>
      </c>
      <c r="D53" t="inlineStr">
        <is>
          <t>ÖSTERGÖTLANDS LÄN</t>
        </is>
      </c>
      <c r="E53" t="inlineStr">
        <is>
          <t>LINKÖPING</t>
        </is>
      </c>
      <c r="F53" t="inlineStr">
        <is>
          <t>Övriga Aktiebolag</t>
        </is>
      </c>
      <c r="G53" t="n">
        <v>0.8</v>
      </c>
      <c r="H53" t="n">
        <v>0</v>
      </c>
      <c r="I53" t="n">
        <v>0</v>
      </c>
      <c r="J53" t="n">
        <v>1</v>
      </c>
      <c r="K53" t="n">
        <v>0</v>
      </c>
      <c r="L53" t="n">
        <v>0</v>
      </c>
      <c r="M53" t="n">
        <v>0</v>
      </c>
      <c r="N53" t="n">
        <v>0</v>
      </c>
      <c r="O53" t="n">
        <v>1</v>
      </c>
      <c r="P53" t="n">
        <v>0</v>
      </c>
      <c r="Q53" t="n">
        <v>1</v>
      </c>
      <c r="R53" s="2" t="inlineStr">
        <is>
          <t>Tallticka</t>
        </is>
      </c>
      <c r="S53">
        <f>HYPERLINK("https://klasma.github.io/Logging_0580/artfynd/A 931-2025 artfynd.xlsx", "A 931-2025")</f>
        <v/>
      </c>
      <c r="T53">
        <f>HYPERLINK("https://klasma.github.io/Logging_0580/kartor/A 931-2025 karta.png", "A 931-2025")</f>
        <v/>
      </c>
      <c r="V53">
        <f>HYPERLINK("https://klasma.github.io/Logging_0580/klagomål/A 931-2025 FSC-klagomål.docx", "A 931-2025")</f>
        <v/>
      </c>
      <c r="W53">
        <f>HYPERLINK("https://klasma.github.io/Logging_0580/klagomålsmail/A 931-2025 FSC-klagomål mail.docx", "A 931-2025")</f>
        <v/>
      </c>
      <c r="X53">
        <f>HYPERLINK("https://klasma.github.io/Logging_0580/tillsyn/A 931-2025 tillsynsbegäran.docx", "A 931-2025")</f>
        <v/>
      </c>
      <c r="Y53">
        <f>HYPERLINK("https://klasma.github.io/Logging_0580/tillsynsmail/A 931-2025 tillsynsbegäran mail.docx", "A 931-2025")</f>
        <v/>
      </c>
    </row>
    <row r="54" ht="15" customHeight="1">
      <c r="A54" t="inlineStr">
        <is>
          <t>A 1716-2023</t>
        </is>
      </c>
      <c r="B54" s="1" t="n">
        <v>44938</v>
      </c>
      <c r="C54" s="1" t="n">
        <v>45882</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1213-2023</t>
        </is>
      </c>
      <c r="B55" s="1" t="n">
        <v>44930</v>
      </c>
      <c r="C55" s="1" t="n">
        <v>45882</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45882</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54835-2023</t>
        </is>
      </c>
      <c r="B57" s="1" t="n">
        <v>45236</v>
      </c>
      <c r="C57" s="1" t="n">
        <v>45882</v>
      </c>
      <c r="D57" t="inlineStr">
        <is>
          <t>ÖSTERGÖTLANDS LÄN</t>
        </is>
      </c>
      <c r="E57" t="inlineStr">
        <is>
          <t>LINKÖPING</t>
        </is>
      </c>
      <c r="G57" t="n">
        <v>2</v>
      </c>
      <c r="H57" t="n">
        <v>1</v>
      </c>
      <c r="I57" t="n">
        <v>0</v>
      </c>
      <c r="J57" t="n">
        <v>0</v>
      </c>
      <c r="K57" t="n">
        <v>0</v>
      </c>
      <c r="L57" t="n">
        <v>0</v>
      </c>
      <c r="M57" t="n">
        <v>0</v>
      </c>
      <c r="N57" t="n">
        <v>0</v>
      </c>
      <c r="O57" t="n">
        <v>0</v>
      </c>
      <c r="P57" t="n">
        <v>0</v>
      </c>
      <c r="Q57" t="n">
        <v>1</v>
      </c>
      <c r="R57" s="2" t="inlineStr">
        <is>
          <t>Sparvuggla</t>
        </is>
      </c>
      <c r="S57">
        <f>HYPERLINK("https://klasma.github.io/Logging_0580/artfynd/A 54835-2023 artfynd.xlsx", "A 54835-2023")</f>
        <v/>
      </c>
      <c r="T57">
        <f>HYPERLINK("https://klasma.github.io/Logging_0580/kartor/A 54835-2023 karta.png", "A 54835-2023")</f>
        <v/>
      </c>
      <c r="V57">
        <f>HYPERLINK("https://klasma.github.io/Logging_0580/klagomål/A 54835-2023 FSC-klagomål.docx", "A 54835-2023")</f>
        <v/>
      </c>
      <c r="W57">
        <f>HYPERLINK("https://klasma.github.io/Logging_0580/klagomålsmail/A 54835-2023 FSC-klagomål mail.docx", "A 54835-2023")</f>
        <v/>
      </c>
      <c r="X57">
        <f>HYPERLINK("https://klasma.github.io/Logging_0580/tillsyn/A 54835-2023 tillsynsbegäran.docx", "A 54835-2023")</f>
        <v/>
      </c>
      <c r="Y57">
        <f>HYPERLINK("https://klasma.github.io/Logging_0580/tillsynsmail/A 54835-2023 tillsynsbegäran mail.docx", "A 54835-2023")</f>
        <v/>
      </c>
      <c r="Z57">
        <f>HYPERLINK("https://klasma.github.io/Logging_0580/fåglar/A 54835-2023 prioriterade fågelarter.docx", "A 54835-2023")</f>
        <v/>
      </c>
    </row>
    <row r="58" ht="15" customHeight="1">
      <c r="A58" t="inlineStr">
        <is>
          <t>A 20295-2025</t>
        </is>
      </c>
      <c r="B58" s="1" t="n">
        <v>45774.74846064814</v>
      </c>
      <c r="C58" s="1" t="n">
        <v>45882</v>
      </c>
      <c r="D58" t="inlineStr">
        <is>
          <t>ÖSTERGÖTLANDS LÄN</t>
        </is>
      </c>
      <c r="E58" t="inlineStr">
        <is>
          <t>LINKÖPING</t>
        </is>
      </c>
      <c r="G58" t="n">
        <v>3</v>
      </c>
      <c r="H58" t="n">
        <v>0</v>
      </c>
      <c r="I58" t="n">
        <v>0</v>
      </c>
      <c r="J58" t="n">
        <v>1</v>
      </c>
      <c r="K58" t="n">
        <v>0</v>
      </c>
      <c r="L58" t="n">
        <v>0</v>
      </c>
      <c r="M58" t="n">
        <v>0</v>
      </c>
      <c r="N58" t="n">
        <v>0</v>
      </c>
      <c r="O58" t="n">
        <v>1</v>
      </c>
      <c r="P58" t="n">
        <v>0</v>
      </c>
      <c r="Q58" t="n">
        <v>1</v>
      </c>
      <c r="R58" s="2" t="inlineStr">
        <is>
          <t>Tallticka</t>
        </is>
      </c>
      <c r="S58">
        <f>HYPERLINK("https://klasma.github.io/Logging_0580/artfynd/A 20295-2025 artfynd.xlsx", "A 20295-2025")</f>
        <v/>
      </c>
      <c r="T58">
        <f>HYPERLINK("https://klasma.github.io/Logging_0580/kartor/A 20295-2025 karta.png", "A 20295-2025")</f>
        <v/>
      </c>
      <c r="V58">
        <f>HYPERLINK("https://klasma.github.io/Logging_0580/klagomål/A 20295-2025 FSC-klagomål.docx", "A 20295-2025")</f>
        <v/>
      </c>
      <c r="W58">
        <f>HYPERLINK("https://klasma.github.io/Logging_0580/klagomålsmail/A 20295-2025 FSC-klagomål mail.docx", "A 20295-2025")</f>
        <v/>
      </c>
      <c r="X58">
        <f>HYPERLINK("https://klasma.github.io/Logging_0580/tillsyn/A 20295-2025 tillsynsbegäran.docx", "A 20295-2025")</f>
        <v/>
      </c>
      <c r="Y58">
        <f>HYPERLINK("https://klasma.github.io/Logging_0580/tillsynsmail/A 20295-2025 tillsynsbegäran mail.docx", "A 20295-2025")</f>
        <v/>
      </c>
    </row>
    <row r="59" ht="15" customHeight="1">
      <c r="A59" t="inlineStr">
        <is>
          <t>A 5984-2025</t>
        </is>
      </c>
      <c r="B59" s="1" t="n">
        <v>45695.55173611111</v>
      </c>
      <c r="C59" s="1" t="n">
        <v>45882</v>
      </c>
      <c r="D59" t="inlineStr">
        <is>
          <t>ÖSTERGÖTLANDS LÄN</t>
        </is>
      </c>
      <c r="E59" t="inlineStr">
        <is>
          <t>LINKÖPING</t>
        </is>
      </c>
      <c r="F59" t="inlineStr">
        <is>
          <t>Allmännings- och besparingsskogar</t>
        </is>
      </c>
      <c r="G59" t="n">
        <v>5.5</v>
      </c>
      <c r="H59" t="n">
        <v>0</v>
      </c>
      <c r="I59" t="n">
        <v>0</v>
      </c>
      <c r="J59" t="n">
        <v>1</v>
      </c>
      <c r="K59" t="n">
        <v>0</v>
      </c>
      <c r="L59" t="n">
        <v>0</v>
      </c>
      <c r="M59" t="n">
        <v>0</v>
      </c>
      <c r="N59" t="n">
        <v>0</v>
      </c>
      <c r="O59" t="n">
        <v>1</v>
      </c>
      <c r="P59" t="n">
        <v>0</v>
      </c>
      <c r="Q59" t="n">
        <v>1</v>
      </c>
      <c r="R59" s="2" t="inlineStr">
        <is>
          <t>Vanlig backsmörblomma</t>
        </is>
      </c>
      <c r="S59">
        <f>HYPERLINK("https://klasma.github.io/Logging_0580/artfynd/A 5984-2025 artfynd.xlsx", "A 5984-2025")</f>
        <v/>
      </c>
      <c r="T59">
        <f>HYPERLINK("https://klasma.github.io/Logging_0580/kartor/A 5984-2025 karta.png", "A 5984-2025")</f>
        <v/>
      </c>
      <c r="V59">
        <f>HYPERLINK("https://klasma.github.io/Logging_0580/klagomål/A 5984-2025 FSC-klagomål.docx", "A 5984-2025")</f>
        <v/>
      </c>
      <c r="W59">
        <f>HYPERLINK("https://klasma.github.io/Logging_0580/klagomålsmail/A 5984-2025 FSC-klagomål mail.docx", "A 5984-2025")</f>
        <v/>
      </c>
      <c r="X59">
        <f>HYPERLINK("https://klasma.github.io/Logging_0580/tillsyn/A 5984-2025 tillsynsbegäran.docx", "A 5984-2025")</f>
        <v/>
      </c>
      <c r="Y59">
        <f>HYPERLINK("https://klasma.github.io/Logging_0580/tillsynsmail/A 5984-2025 tillsynsbegäran mail.docx", "A 5984-2025")</f>
        <v/>
      </c>
    </row>
    <row r="60" ht="15" customHeight="1">
      <c r="A60" t="inlineStr">
        <is>
          <t>A 60573-2021</t>
        </is>
      </c>
      <c r="B60" s="1" t="n">
        <v>44496</v>
      </c>
      <c r="C60" s="1" t="n">
        <v>45882</v>
      </c>
      <c r="D60" t="inlineStr">
        <is>
          <t>ÖSTERGÖTLANDS LÄN</t>
        </is>
      </c>
      <c r="E60" t="inlineStr">
        <is>
          <t>LINKÖPING</t>
        </is>
      </c>
      <c r="F60" t="inlineStr">
        <is>
          <t>Övriga Aktiebolag</t>
        </is>
      </c>
      <c r="G60" t="n">
        <v>5.6</v>
      </c>
      <c r="H60" t="n">
        <v>0</v>
      </c>
      <c r="I60" t="n">
        <v>0</v>
      </c>
      <c r="J60" t="n">
        <v>1</v>
      </c>
      <c r="K60" t="n">
        <v>0</v>
      </c>
      <c r="L60" t="n">
        <v>0</v>
      </c>
      <c r="M60" t="n">
        <v>0</v>
      </c>
      <c r="N60" t="n">
        <v>0</v>
      </c>
      <c r="O60" t="n">
        <v>1</v>
      </c>
      <c r="P60" t="n">
        <v>0</v>
      </c>
      <c r="Q60" t="n">
        <v>1</v>
      </c>
      <c r="R60" s="2" t="inlineStr">
        <is>
          <t>Sommarfibbla</t>
        </is>
      </c>
      <c r="S60">
        <f>HYPERLINK("https://klasma.github.io/Logging_0580/artfynd/A 60573-2021 artfynd.xlsx", "A 60573-2021")</f>
        <v/>
      </c>
      <c r="T60">
        <f>HYPERLINK("https://klasma.github.io/Logging_0580/kartor/A 60573-2021 karta.png", "A 60573-2021")</f>
        <v/>
      </c>
      <c r="V60">
        <f>HYPERLINK("https://klasma.github.io/Logging_0580/klagomål/A 60573-2021 FSC-klagomål.docx", "A 60573-2021")</f>
        <v/>
      </c>
      <c r="W60">
        <f>HYPERLINK("https://klasma.github.io/Logging_0580/klagomålsmail/A 60573-2021 FSC-klagomål mail.docx", "A 60573-2021")</f>
        <v/>
      </c>
      <c r="X60">
        <f>HYPERLINK("https://klasma.github.io/Logging_0580/tillsyn/A 60573-2021 tillsynsbegäran.docx", "A 60573-2021")</f>
        <v/>
      </c>
      <c r="Y60">
        <f>HYPERLINK("https://klasma.github.io/Logging_0580/tillsynsmail/A 60573-2021 tillsynsbegäran mail.docx", "A 60573-2021")</f>
        <v/>
      </c>
    </row>
    <row r="61" ht="15" customHeight="1">
      <c r="A61" t="inlineStr">
        <is>
          <t>A 126-2024</t>
        </is>
      </c>
      <c r="B61" s="1" t="n">
        <v>45294</v>
      </c>
      <c r="C61" s="1" t="n">
        <v>45882</v>
      </c>
      <c r="D61" t="inlineStr">
        <is>
          <t>ÖSTERGÖTLANDS LÄN</t>
        </is>
      </c>
      <c r="E61" t="inlineStr">
        <is>
          <t>LINKÖPING</t>
        </is>
      </c>
      <c r="G61" t="n">
        <v>1</v>
      </c>
      <c r="H61" t="n">
        <v>0</v>
      </c>
      <c r="I61" t="n">
        <v>1</v>
      </c>
      <c r="J61" t="n">
        <v>0</v>
      </c>
      <c r="K61" t="n">
        <v>0</v>
      </c>
      <c r="L61" t="n">
        <v>0</v>
      </c>
      <c r="M61" t="n">
        <v>0</v>
      </c>
      <c r="N61" t="n">
        <v>0</v>
      </c>
      <c r="O61" t="n">
        <v>0</v>
      </c>
      <c r="P61" t="n">
        <v>0</v>
      </c>
      <c r="Q61" t="n">
        <v>1</v>
      </c>
      <c r="R61" s="2" t="inlineStr">
        <is>
          <t>Blåmossa</t>
        </is>
      </c>
      <c r="S61">
        <f>HYPERLINK("https://klasma.github.io/Logging_0580/artfynd/A 126-2024 artfynd.xlsx", "A 126-2024")</f>
        <v/>
      </c>
      <c r="T61">
        <f>HYPERLINK("https://klasma.github.io/Logging_0580/kartor/A 126-2024 karta.png", "A 126-2024")</f>
        <v/>
      </c>
      <c r="V61">
        <f>HYPERLINK("https://klasma.github.io/Logging_0580/klagomål/A 126-2024 FSC-klagomål.docx", "A 126-2024")</f>
        <v/>
      </c>
      <c r="W61">
        <f>HYPERLINK("https://klasma.github.io/Logging_0580/klagomålsmail/A 126-2024 FSC-klagomål mail.docx", "A 126-2024")</f>
        <v/>
      </c>
      <c r="X61">
        <f>HYPERLINK("https://klasma.github.io/Logging_0580/tillsyn/A 126-2024 tillsynsbegäran.docx", "A 126-2024")</f>
        <v/>
      </c>
      <c r="Y61">
        <f>HYPERLINK("https://klasma.github.io/Logging_0580/tillsynsmail/A 126-2024 tillsynsbegäran mail.docx", "A 126-2024")</f>
        <v/>
      </c>
    </row>
    <row r="62" ht="15" customHeight="1">
      <c r="A62" t="inlineStr">
        <is>
          <t>A 22526-2025</t>
        </is>
      </c>
      <c r="B62" s="1" t="n">
        <v>45786.78096064815</v>
      </c>
      <c r="C62" s="1" t="n">
        <v>45882</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41749-2023</t>
        </is>
      </c>
      <c r="B63" s="1" t="n">
        <v>45176</v>
      </c>
      <c r="C63" s="1" t="n">
        <v>45882</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41749-2023 artfynd.xlsx", "A 41749-2023")</f>
        <v/>
      </c>
      <c r="T63">
        <f>HYPERLINK("https://klasma.github.io/Logging_0580/kartor/A 41749-2023 karta.png", "A 41749-2023")</f>
        <v/>
      </c>
      <c r="V63">
        <f>HYPERLINK("https://klasma.github.io/Logging_0580/klagomål/A 41749-2023 FSC-klagomål.docx", "A 41749-2023")</f>
        <v/>
      </c>
      <c r="W63">
        <f>HYPERLINK("https://klasma.github.io/Logging_0580/klagomålsmail/A 41749-2023 FSC-klagomål mail.docx", "A 41749-2023")</f>
        <v/>
      </c>
      <c r="X63">
        <f>HYPERLINK("https://klasma.github.io/Logging_0580/tillsyn/A 41749-2023 tillsynsbegäran.docx", "A 41749-2023")</f>
        <v/>
      </c>
      <c r="Y63">
        <f>HYPERLINK("https://klasma.github.io/Logging_0580/tillsynsmail/A 41749-2023 tillsynsbegäran mail.docx", "A 41749-2023")</f>
        <v/>
      </c>
    </row>
    <row r="64" ht="15" customHeight="1">
      <c r="A64" t="inlineStr">
        <is>
          <t>A 13694-2025</t>
        </is>
      </c>
      <c r="B64" s="1" t="n">
        <v>45737.32148148148</v>
      </c>
      <c r="C64" s="1" t="n">
        <v>45882</v>
      </c>
      <c r="D64" t="inlineStr">
        <is>
          <t>ÖSTERGÖTLANDS LÄN</t>
        </is>
      </c>
      <c r="E64" t="inlineStr">
        <is>
          <t>LINKÖPING</t>
        </is>
      </c>
      <c r="G64" t="n">
        <v>9.300000000000001</v>
      </c>
      <c r="H64" t="n">
        <v>1</v>
      </c>
      <c r="I64" t="n">
        <v>0</v>
      </c>
      <c r="J64" t="n">
        <v>0</v>
      </c>
      <c r="K64" t="n">
        <v>0</v>
      </c>
      <c r="L64" t="n">
        <v>0</v>
      </c>
      <c r="M64" t="n">
        <v>0</v>
      </c>
      <c r="N64" t="n">
        <v>0</v>
      </c>
      <c r="O64" t="n">
        <v>0</v>
      </c>
      <c r="P64" t="n">
        <v>0</v>
      </c>
      <c r="Q64" t="n">
        <v>1</v>
      </c>
      <c r="R64" s="2" t="inlineStr">
        <is>
          <t>Mattlummer</t>
        </is>
      </c>
      <c r="S64">
        <f>HYPERLINK("https://klasma.github.io/Logging_0580/artfynd/A 13694-2025 artfynd.xlsx", "A 13694-2025")</f>
        <v/>
      </c>
      <c r="T64">
        <f>HYPERLINK("https://klasma.github.io/Logging_0580/kartor/A 13694-2025 karta.png", "A 13694-2025")</f>
        <v/>
      </c>
      <c r="V64">
        <f>HYPERLINK("https://klasma.github.io/Logging_0580/klagomål/A 13694-2025 FSC-klagomål.docx", "A 13694-2025")</f>
        <v/>
      </c>
      <c r="W64">
        <f>HYPERLINK("https://klasma.github.io/Logging_0580/klagomålsmail/A 13694-2025 FSC-klagomål mail.docx", "A 13694-2025")</f>
        <v/>
      </c>
      <c r="X64">
        <f>HYPERLINK("https://klasma.github.io/Logging_0580/tillsyn/A 13694-2025 tillsynsbegäran.docx", "A 13694-2025")</f>
        <v/>
      </c>
      <c r="Y64">
        <f>HYPERLINK("https://klasma.github.io/Logging_0580/tillsynsmail/A 13694-2025 tillsynsbegäran mail.docx", "A 13694-2025")</f>
        <v/>
      </c>
    </row>
    <row r="65" ht="15" customHeight="1">
      <c r="A65" t="inlineStr">
        <is>
          <t>A 44930-2020</t>
        </is>
      </c>
      <c r="B65" s="1" t="n">
        <v>44088</v>
      </c>
      <c r="C65" s="1" t="n">
        <v>45882</v>
      </c>
      <c r="D65" t="inlineStr">
        <is>
          <t>ÖSTERGÖTLANDS LÄN</t>
        </is>
      </c>
      <c r="E65" t="inlineStr">
        <is>
          <t>LINKÖPING</t>
        </is>
      </c>
      <c r="G65" t="n">
        <v>2.6</v>
      </c>
      <c r="H65" t="n">
        <v>1</v>
      </c>
      <c r="I65" t="n">
        <v>0</v>
      </c>
      <c r="J65" t="n">
        <v>0</v>
      </c>
      <c r="K65" t="n">
        <v>1</v>
      </c>
      <c r="L65" t="n">
        <v>0</v>
      </c>
      <c r="M65" t="n">
        <v>0</v>
      </c>
      <c r="N65" t="n">
        <v>0</v>
      </c>
      <c r="O65" t="n">
        <v>1</v>
      </c>
      <c r="P65" t="n">
        <v>1</v>
      </c>
      <c r="Q65" t="n">
        <v>1</v>
      </c>
      <c r="R65" s="2" t="inlineStr">
        <is>
          <t>Knärot</t>
        </is>
      </c>
      <c r="S65">
        <f>HYPERLINK("https://klasma.github.io/Logging_0580/artfynd/A 44930-2020 artfynd.xlsx", "A 44930-2020")</f>
        <v/>
      </c>
      <c r="T65">
        <f>HYPERLINK("https://klasma.github.io/Logging_0580/kartor/A 44930-2020 karta.png", "A 44930-2020")</f>
        <v/>
      </c>
      <c r="U65">
        <f>HYPERLINK("https://klasma.github.io/Logging_0580/knärot/A 44930-2020 karta knärot.png", "A 44930-2020")</f>
        <v/>
      </c>
      <c r="V65">
        <f>HYPERLINK("https://klasma.github.io/Logging_0580/klagomål/A 44930-2020 FSC-klagomål.docx", "A 44930-2020")</f>
        <v/>
      </c>
      <c r="W65">
        <f>HYPERLINK("https://klasma.github.io/Logging_0580/klagomålsmail/A 44930-2020 FSC-klagomål mail.docx", "A 44930-2020")</f>
        <v/>
      </c>
      <c r="X65">
        <f>HYPERLINK("https://klasma.github.io/Logging_0580/tillsyn/A 44930-2020 tillsynsbegäran.docx", "A 44930-2020")</f>
        <v/>
      </c>
      <c r="Y65">
        <f>HYPERLINK("https://klasma.github.io/Logging_0580/tillsynsmail/A 44930-2020 tillsynsbegäran mail.docx", "A 44930-2020")</f>
        <v/>
      </c>
    </row>
    <row r="66" ht="15" customHeight="1">
      <c r="A66" t="inlineStr">
        <is>
          <t>A 69211-2021</t>
        </is>
      </c>
      <c r="B66" s="1" t="n">
        <v>44531</v>
      </c>
      <c r="C66" s="1" t="n">
        <v>45882</v>
      </c>
      <c r="D66" t="inlineStr">
        <is>
          <t>ÖSTERGÖTLANDS LÄN</t>
        </is>
      </c>
      <c r="E66" t="inlineStr">
        <is>
          <t>LINKÖPING</t>
        </is>
      </c>
      <c r="F66" t="inlineStr">
        <is>
          <t>Övriga statliga verk och myndigheter</t>
        </is>
      </c>
      <c r="G66" t="n">
        <v>3.8</v>
      </c>
      <c r="H66" t="n">
        <v>0</v>
      </c>
      <c r="I66" t="n">
        <v>1</v>
      </c>
      <c r="J66" t="n">
        <v>0</v>
      </c>
      <c r="K66" t="n">
        <v>0</v>
      </c>
      <c r="L66" t="n">
        <v>0</v>
      </c>
      <c r="M66" t="n">
        <v>0</v>
      </c>
      <c r="N66" t="n">
        <v>0</v>
      </c>
      <c r="O66" t="n">
        <v>0</v>
      </c>
      <c r="P66" t="n">
        <v>0</v>
      </c>
      <c r="Q66" t="n">
        <v>1</v>
      </c>
      <c r="R66" s="2" t="inlineStr">
        <is>
          <t>Bronshjon</t>
        </is>
      </c>
      <c r="S66">
        <f>HYPERLINK("https://klasma.github.io/Logging_0580/artfynd/A 69211-2021 artfynd.xlsx", "A 69211-2021")</f>
        <v/>
      </c>
      <c r="T66">
        <f>HYPERLINK("https://klasma.github.io/Logging_0580/kartor/A 69211-2021 karta.png", "A 69211-2021")</f>
        <v/>
      </c>
      <c r="V66">
        <f>HYPERLINK("https://klasma.github.io/Logging_0580/klagomål/A 69211-2021 FSC-klagomål.docx", "A 69211-2021")</f>
        <v/>
      </c>
      <c r="W66">
        <f>HYPERLINK("https://klasma.github.io/Logging_0580/klagomålsmail/A 69211-2021 FSC-klagomål mail.docx", "A 69211-2021")</f>
        <v/>
      </c>
      <c r="X66">
        <f>HYPERLINK("https://klasma.github.io/Logging_0580/tillsyn/A 69211-2021 tillsynsbegäran.docx", "A 69211-2021")</f>
        <v/>
      </c>
      <c r="Y66">
        <f>HYPERLINK("https://klasma.github.io/Logging_0580/tillsynsmail/A 69211-2021 tillsynsbegäran mail.docx", "A 69211-2021")</f>
        <v/>
      </c>
    </row>
    <row r="67" ht="15" customHeight="1">
      <c r="A67" t="inlineStr">
        <is>
          <t>A 56651-2023</t>
        </is>
      </c>
      <c r="B67" s="1" t="n">
        <v>45243</v>
      </c>
      <c r="C67" s="1" t="n">
        <v>45882</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45882</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27403-2025</t>
        </is>
      </c>
      <c r="B69" s="1" t="n">
        <v>45812.72518518518</v>
      </c>
      <c r="C69" s="1" t="n">
        <v>45882</v>
      </c>
      <c r="D69" t="inlineStr">
        <is>
          <t>ÖSTERGÖTLANDS LÄN</t>
        </is>
      </c>
      <c r="E69" t="inlineStr">
        <is>
          <t>LINKÖPING</t>
        </is>
      </c>
      <c r="G69" t="n">
        <v>1.4</v>
      </c>
      <c r="H69" t="n">
        <v>0</v>
      </c>
      <c r="I69" t="n">
        <v>0</v>
      </c>
      <c r="J69" t="n">
        <v>1</v>
      </c>
      <c r="K69" t="n">
        <v>0</v>
      </c>
      <c r="L69" t="n">
        <v>0</v>
      </c>
      <c r="M69" t="n">
        <v>0</v>
      </c>
      <c r="N69" t="n">
        <v>0</v>
      </c>
      <c r="O69" t="n">
        <v>1</v>
      </c>
      <c r="P69" t="n">
        <v>0</v>
      </c>
      <c r="Q69" t="n">
        <v>1</v>
      </c>
      <c r="R69" s="2" t="inlineStr">
        <is>
          <t>Tallticka</t>
        </is>
      </c>
      <c r="S69">
        <f>HYPERLINK("https://klasma.github.io/Logging_0580/artfynd/A 27403-2025 artfynd.xlsx", "A 27403-2025")</f>
        <v/>
      </c>
      <c r="T69">
        <f>HYPERLINK("https://klasma.github.io/Logging_0580/kartor/A 27403-2025 karta.png", "A 27403-2025")</f>
        <v/>
      </c>
      <c r="V69">
        <f>HYPERLINK("https://klasma.github.io/Logging_0580/klagomål/A 27403-2025 FSC-klagomål.docx", "A 27403-2025")</f>
        <v/>
      </c>
      <c r="W69">
        <f>HYPERLINK("https://klasma.github.io/Logging_0580/klagomålsmail/A 27403-2025 FSC-klagomål mail.docx", "A 27403-2025")</f>
        <v/>
      </c>
      <c r="X69">
        <f>HYPERLINK("https://klasma.github.io/Logging_0580/tillsyn/A 27403-2025 tillsynsbegäran.docx", "A 27403-2025")</f>
        <v/>
      </c>
      <c r="Y69">
        <f>HYPERLINK("https://klasma.github.io/Logging_0580/tillsynsmail/A 27403-2025 tillsynsbegäran mail.docx", "A 27403-2025")</f>
        <v/>
      </c>
    </row>
    <row r="70" ht="15" customHeight="1">
      <c r="A70" t="inlineStr">
        <is>
          <t>A 5911-2022</t>
        </is>
      </c>
      <c r="B70" s="1" t="n">
        <v>44597</v>
      </c>
      <c r="C70" s="1" t="n">
        <v>45882</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45882</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45882</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3395-2023</t>
        </is>
      </c>
      <c r="B73" s="1" t="n">
        <v>44949</v>
      </c>
      <c r="C73" s="1" t="n">
        <v>45882</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19103-2021</t>
        </is>
      </c>
      <c r="B74" s="1" t="n">
        <v>44308</v>
      </c>
      <c r="C74" s="1" t="n">
        <v>45882</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48984-2020</t>
        </is>
      </c>
      <c r="B75" s="1" t="n">
        <v>44104</v>
      </c>
      <c r="C75" s="1" t="n">
        <v>45882</v>
      </c>
      <c r="D75" t="inlineStr">
        <is>
          <t>ÖSTERGÖTLANDS LÄN</t>
        </is>
      </c>
      <c r="E75" t="inlineStr">
        <is>
          <t>LINKÖPING</t>
        </is>
      </c>
      <c r="G75" t="n">
        <v>2.8</v>
      </c>
      <c r="H75" t="n">
        <v>0</v>
      </c>
      <c r="I75" t="n">
        <v>0</v>
      </c>
      <c r="J75" t="n">
        <v>1</v>
      </c>
      <c r="K75" t="n">
        <v>0</v>
      </c>
      <c r="L75" t="n">
        <v>0</v>
      </c>
      <c r="M75" t="n">
        <v>0</v>
      </c>
      <c r="N75" t="n">
        <v>0</v>
      </c>
      <c r="O75" t="n">
        <v>1</v>
      </c>
      <c r="P75" t="n">
        <v>0</v>
      </c>
      <c r="Q75" t="n">
        <v>1</v>
      </c>
      <c r="R75" s="2" t="inlineStr">
        <is>
          <t>Vårstarr</t>
        </is>
      </c>
      <c r="S75">
        <f>HYPERLINK("https://klasma.github.io/Logging_0580/artfynd/A 48984-2020 artfynd.xlsx", "A 48984-2020")</f>
        <v/>
      </c>
      <c r="T75">
        <f>HYPERLINK("https://klasma.github.io/Logging_0580/kartor/A 48984-2020 karta.png", "A 48984-2020")</f>
        <v/>
      </c>
      <c r="V75">
        <f>HYPERLINK("https://klasma.github.io/Logging_0580/klagomål/A 48984-2020 FSC-klagomål.docx", "A 48984-2020")</f>
        <v/>
      </c>
      <c r="W75">
        <f>HYPERLINK("https://klasma.github.io/Logging_0580/klagomålsmail/A 48984-2020 FSC-klagomål mail.docx", "A 48984-2020")</f>
        <v/>
      </c>
      <c r="X75">
        <f>HYPERLINK("https://klasma.github.io/Logging_0580/tillsyn/A 48984-2020 tillsynsbegäran.docx", "A 48984-2020")</f>
        <v/>
      </c>
      <c r="Y75">
        <f>HYPERLINK("https://klasma.github.io/Logging_0580/tillsynsmail/A 48984-2020 tillsynsbegäran mail.docx", "A 48984-2020")</f>
        <v/>
      </c>
    </row>
    <row r="76" ht="15" customHeight="1">
      <c r="A76" t="inlineStr">
        <is>
          <t>A 36723-2023</t>
        </is>
      </c>
      <c r="B76" s="1" t="n">
        <v>45153</v>
      </c>
      <c r="C76" s="1" t="n">
        <v>45882</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1299-2025</t>
        </is>
      </c>
      <c r="B77" s="1" t="n">
        <v>45667.53913194445</v>
      </c>
      <c r="C77" s="1" t="n">
        <v>45882</v>
      </c>
      <c r="D77" t="inlineStr">
        <is>
          <t>ÖSTERGÖTLANDS LÄN</t>
        </is>
      </c>
      <c r="E77" t="inlineStr">
        <is>
          <t>LINKÖPING</t>
        </is>
      </c>
      <c r="G77" t="n">
        <v>8.9</v>
      </c>
      <c r="H77" t="n">
        <v>0</v>
      </c>
      <c r="I77" t="n">
        <v>0</v>
      </c>
      <c r="J77" t="n">
        <v>1</v>
      </c>
      <c r="K77" t="n">
        <v>0</v>
      </c>
      <c r="L77" t="n">
        <v>0</v>
      </c>
      <c r="M77" t="n">
        <v>0</v>
      </c>
      <c r="N77" t="n">
        <v>0</v>
      </c>
      <c r="O77" t="n">
        <v>1</v>
      </c>
      <c r="P77" t="n">
        <v>0</v>
      </c>
      <c r="Q77" t="n">
        <v>1</v>
      </c>
      <c r="R77" s="2" t="inlineStr">
        <is>
          <t>Storgröe</t>
        </is>
      </c>
      <c r="S77">
        <f>HYPERLINK("https://klasma.github.io/Logging_0580/artfynd/A 1299-2025 artfynd.xlsx", "A 1299-2025")</f>
        <v/>
      </c>
      <c r="T77">
        <f>HYPERLINK("https://klasma.github.io/Logging_0580/kartor/A 1299-2025 karta.png", "A 1299-2025")</f>
        <v/>
      </c>
      <c r="V77">
        <f>HYPERLINK("https://klasma.github.io/Logging_0580/klagomål/A 1299-2025 FSC-klagomål.docx", "A 1299-2025")</f>
        <v/>
      </c>
      <c r="W77">
        <f>HYPERLINK("https://klasma.github.io/Logging_0580/klagomålsmail/A 1299-2025 FSC-klagomål mail.docx", "A 1299-2025")</f>
        <v/>
      </c>
      <c r="X77">
        <f>HYPERLINK("https://klasma.github.io/Logging_0580/tillsyn/A 1299-2025 tillsynsbegäran.docx", "A 1299-2025")</f>
        <v/>
      </c>
      <c r="Y77">
        <f>HYPERLINK("https://klasma.github.io/Logging_0580/tillsynsmail/A 1299-2025 tillsynsbegäran mail.docx", "A 1299-2025")</f>
        <v/>
      </c>
    </row>
    <row r="78" ht="15" customHeight="1">
      <c r="A78" t="inlineStr">
        <is>
          <t>A 50806-2023</t>
        </is>
      </c>
      <c r="B78" s="1" t="n">
        <v>45217</v>
      </c>
      <c r="C78" s="1" t="n">
        <v>45882</v>
      </c>
      <c r="D78" t="inlineStr">
        <is>
          <t>ÖSTERGÖTLANDS LÄN</t>
        </is>
      </c>
      <c r="E78" t="inlineStr">
        <is>
          <t>LINKÖPING</t>
        </is>
      </c>
      <c r="F78" t="inlineStr">
        <is>
          <t>Övriga Aktiebolag</t>
        </is>
      </c>
      <c r="G78" t="n">
        <v>0.7</v>
      </c>
      <c r="H78" t="n">
        <v>1</v>
      </c>
      <c r="I78" t="n">
        <v>0</v>
      </c>
      <c r="J78" t="n">
        <v>0</v>
      </c>
      <c r="K78" t="n">
        <v>0</v>
      </c>
      <c r="L78" t="n">
        <v>0</v>
      </c>
      <c r="M78" t="n">
        <v>0</v>
      </c>
      <c r="N78" t="n">
        <v>0</v>
      </c>
      <c r="O78" t="n">
        <v>0</v>
      </c>
      <c r="P78" t="n">
        <v>0</v>
      </c>
      <c r="Q78" t="n">
        <v>1</v>
      </c>
      <c r="R78" s="2" t="inlineStr">
        <is>
          <t>Gullviva</t>
        </is>
      </c>
      <c r="S78">
        <f>HYPERLINK("https://klasma.github.io/Logging_0580/artfynd/A 50806-2023 artfynd.xlsx", "A 50806-2023")</f>
        <v/>
      </c>
      <c r="T78">
        <f>HYPERLINK("https://klasma.github.io/Logging_0580/kartor/A 50806-2023 karta.png", "A 50806-2023")</f>
        <v/>
      </c>
      <c r="V78">
        <f>HYPERLINK("https://klasma.github.io/Logging_0580/klagomål/A 50806-2023 FSC-klagomål.docx", "A 50806-2023")</f>
        <v/>
      </c>
      <c r="W78">
        <f>HYPERLINK("https://klasma.github.io/Logging_0580/klagomålsmail/A 50806-2023 FSC-klagomål mail.docx", "A 50806-2023")</f>
        <v/>
      </c>
      <c r="X78">
        <f>HYPERLINK("https://klasma.github.io/Logging_0580/tillsyn/A 50806-2023 tillsynsbegäran.docx", "A 50806-2023")</f>
        <v/>
      </c>
      <c r="Y78">
        <f>HYPERLINK("https://klasma.github.io/Logging_0580/tillsynsmail/A 50806-2023 tillsynsbegäran mail.docx", "A 50806-2023")</f>
        <v/>
      </c>
    </row>
    <row r="79" ht="15" customHeight="1">
      <c r="A79" t="inlineStr">
        <is>
          <t>A 15290-2025</t>
        </is>
      </c>
      <c r="B79" s="1" t="n">
        <v>45745.45288194445</v>
      </c>
      <c r="C79" s="1" t="n">
        <v>45882</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43726-2020</t>
        </is>
      </c>
      <c r="B80" s="1" t="n">
        <v>44082</v>
      </c>
      <c r="C80" s="1" t="n">
        <v>45882</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43339-2020</t>
        </is>
      </c>
      <c r="B81" s="1" t="n">
        <v>44077</v>
      </c>
      <c r="C81" s="1" t="n">
        <v>45882</v>
      </c>
      <c r="D81" t="inlineStr">
        <is>
          <t>ÖSTERGÖTLANDS LÄN</t>
        </is>
      </c>
      <c r="E81" t="inlineStr">
        <is>
          <t>LINKÖPING</t>
        </is>
      </c>
      <c r="G81" t="n">
        <v>4.2</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45882</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45882</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45882</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45882</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45882</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45882</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45882</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45882</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45882</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45882</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45882</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45882</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45882</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45882</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45882</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45882</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45882</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45882</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45882</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45882</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45882</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159-2022</t>
        </is>
      </c>
      <c r="B103" s="1" t="n">
        <v>44564</v>
      </c>
      <c r="C103" s="1" t="n">
        <v>45882</v>
      </c>
      <c r="D103" t="inlineStr">
        <is>
          <t>ÖSTERGÖTLANDS LÄN</t>
        </is>
      </c>
      <c r="E103" t="inlineStr">
        <is>
          <t>LINKÖPING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45882</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45882</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45882</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45882</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45882</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45882</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45882</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45882</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45882</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3679-2021</t>
        </is>
      </c>
      <c r="B113" s="1" t="n">
        <v>44221</v>
      </c>
      <c r="C113" s="1" t="n">
        <v>45882</v>
      </c>
      <c r="D113" t="inlineStr">
        <is>
          <t>ÖSTERGÖTLANDS LÄN</t>
        </is>
      </c>
      <c r="E113" t="inlineStr">
        <is>
          <t>LINKÖPING</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45882</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45882</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45882</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45882</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45882</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45882</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45882</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45882</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45882</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45882</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45882</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45882</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45882</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45882</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45882</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45882</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45882</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45882</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45882</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45882</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45882</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45882</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45882</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45882</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45882</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45882</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45882</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45882</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45882</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45882</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46969-2020</t>
        </is>
      </c>
      <c r="B152" s="1" t="n">
        <v>44090</v>
      </c>
      <c r="C152" s="1" t="n">
        <v>45882</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46975-2020</t>
        </is>
      </c>
      <c r="B153" s="1" t="n">
        <v>44090</v>
      </c>
      <c r="C153" s="1" t="n">
        <v>45882</v>
      </c>
      <c r="D153" t="inlineStr">
        <is>
          <t>ÖSTERGÖTLANDS LÄN</t>
        </is>
      </c>
      <c r="E153" t="inlineStr">
        <is>
          <t>LINKÖPING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44849-2022</t>
        </is>
      </c>
      <c r="B154" s="1" t="n">
        <v>44841</v>
      </c>
      <c r="C154" s="1" t="n">
        <v>45882</v>
      </c>
      <c r="D154" t="inlineStr">
        <is>
          <t>ÖSTERGÖTLANDS LÄN</t>
        </is>
      </c>
      <c r="E154" t="inlineStr">
        <is>
          <t>LINKÖPING</t>
        </is>
      </c>
      <c r="G154" t="n">
        <v>1.1</v>
      </c>
      <c r="H154" t="n">
        <v>0</v>
      </c>
      <c r="I154" t="n">
        <v>0</v>
      </c>
      <c r="J154" t="n">
        <v>0</v>
      </c>
      <c r="K154" t="n">
        <v>0</v>
      </c>
      <c r="L154" t="n">
        <v>0</v>
      </c>
      <c r="M154" t="n">
        <v>0</v>
      </c>
      <c r="N154" t="n">
        <v>0</v>
      </c>
      <c r="O154" t="n">
        <v>0</v>
      </c>
      <c r="P154" t="n">
        <v>0</v>
      </c>
      <c r="Q154" t="n">
        <v>0</v>
      </c>
      <c r="R154" s="2" t="inlineStr"/>
    </row>
    <row r="155" ht="15" customHeight="1">
      <c r="A155" t="inlineStr">
        <is>
          <t>A 70835-2021</t>
        </is>
      </c>
      <c r="B155" s="1" t="n">
        <v>44537</v>
      </c>
      <c r="C155" s="1" t="n">
        <v>45882</v>
      </c>
      <c r="D155" t="inlineStr">
        <is>
          <t>ÖSTERGÖTLANDS LÄN</t>
        </is>
      </c>
      <c r="E155" t="inlineStr">
        <is>
          <t>LINKÖPING</t>
        </is>
      </c>
      <c r="G155" t="n">
        <v>2.3</v>
      </c>
      <c r="H155" t="n">
        <v>0</v>
      </c>
      <c r="I155" t="n">
        <v>0</v>
      </c>
      <c r="J155" t="n">
        <v>0</v>
      </c>
      <c r="K155" t="n">
        <v>0</v>
      </c>
      <c r="L155" t="n">
        <v>0</v>
      </c>
      <c r="M155" t="n">
        <v>0</v>
      </c>
      <c r="N155" t="n">
        <v>0</v>
      </c>
      <c r="O155" t="n">
        <v>0</v>
      </c>
      <c r="P155" t="n">
        <v>0</v>
      </c>
      <c r="Q155" t="n">
        <v>0</v>
      </c>
      <c r="R155" s="2" t="inlineStr"/>
    </row>
    <row r="156" ht="15" customHeight="1">
      <c r="A156" t="inlineStr">
        <is>
          <t>A 37934-2022</t>
        </is>
      </c>
      <c r="B156" s="1" t="n">
        <v>44809</v>
      </c>
      <c r="C156" s="1" t="n">
        <v>45882</v>
      </c>
      <c r="D156" t="inlineStr">
        <is>
          <t>ÖSTERGÖTLANDS LÄN</t>
        </is>
      </c>
      <c r="E156" t="inlineStr">
        <is>
          <t>LINKÖPING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31732-2022</t>
        </is>
      </c>
      <c r="B157" s="1" t="n">
        <v>44776.49267361111</v>
      </c>
      <c r="C157" s="1" t="n">
        <v>45882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58266-2021</t>
        </is>
      </c>
      <c r="B158" s="1" t="n">
        <v>44487</v>
      </c>
      <c r="C158" s="1" t="n">
        <v>45882</v>
      </c>
      <c r="D158" t="inlineStr">
        <is>
          <t>ÖSTERGÖTLANDS LÄN</t>
        </is>
      </c>
      <c r="E158" t="inlineStr">
        <is>
          <t>LINKÖPING</t>
        </is>
      </c>
      <c r="F158" t="inlineStr">
        <is>
          <t>Övriga Aktiebolag</t>
        </is>
      </c>
      <c r="G158" t="n">
        <v>3.2</v>
      </c>
      <c r="H158" t="n">
        <v>0</v>
      </c>
      <c r="I158" t="n">
        <v>0</v>
      </c>
      <c r="J158" t="n">
        <v>0</v>
      </c>
      <c r="K158" t="n">
        <v>0</v>
      </c>
      <c r="L158" t="n">
        <v>0</v>
      </c>
      <c r="M158" t="n">
        <v>0</v>
      </c>
      <c r="N158" t="n">
        <v>0</v>
      </c>
      <c r="O158" t="n">
        <v>0</v>
      </c>
      <c r="P158" t="n">
        <v>0</v>
      </c>
      <c r="Q158" t="n">
        <v>0</v>
      </c>
      <c r="R158" s="2" t="inlineStr"/>
    </row>
    <row r="159" ht="15" customHeight="1">
      <c r="A159" t="inlineStr">
        <is>
          <t>A 37928-2020</t>
        </is>
      </c>
      <c r="B159" s="1" t="n">
        <v>44057</v>
      </c>
      <c r="C159" s="1" t="n">
        <v>45882</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54854-2022</t>
        </is>
      </c>
      <c r="B160" s="1" t="n">
        <v>44884</v>
      </c>
      <c r="C160" s="1" t="n">
        <v>45882</v>
      </c>
      <c r="D160" t="inlineStr">
        <is>
          <t>ÖSTERGÖTLANDS LÄN</t>
        </is>
      </c>
      <c r="E160" t="inlineStr">
        <is>
          <t>LINKÖPING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54855-2022</t>
        </is>
      </c>
      <c r="B161" s="1" t="n">
        <v>44884.59502314815</v>
      </c>
      <c r="C161" s="1" t="n">
        <v>45882</v>
      </c>
      <c r="D161" t="inlineStr">
        <is>
          <t>ÖSTERGÖTLANDS LÄN</t>
        </is>
      </c>
      <c r="E161" t="inlineStr">
        <is>
          <t>LINKÖPING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4929-2021</t>
        </is>
      </c>
      <c r="B162" s="1" t="n">
        <v>44227.57533564815</v>
      </c>
      <c r="C162" s="1" t="n">
        <v>45882</v>
      </c>
      <c r="D162" t="inlineStr">
        <is>
          <t>ÖSTERGÖTLANDS LÄN</t>
        </is>
      </c>
      <c r="E162" t="inlineStr">
        <is>
          <t>LINKÖPING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28447-2021</t>
        </is>
      </c>
      <c r="B163" s="1" t="n">
        <v>44356</v>
      </c>
      <c r="C163" s="1" t="n">
        <v>45882</v>
      </c>
      <c r="D163" t="inlineStr">
        <is>
          <t>ÖSTERGÖTLANDS LÄN</t>
        </is>
      </c>
      <c r="E163" t="inlineStr">
        <is>
          <t>LINKÖPING</t>
        </is>
      </c>
      <c r="G163" t="n">
        <v>2</v>
      </c>
      <c r="H163" t="n">
        <v>0</v>
      </c>
      <c r="I163" t="n">
        <v>0</v>
      </c>
      <c r="J163" t="n">
        <v>0</v>
      </c>
      <c r="K163" t="n">
        <v>0</v>
      </c>
      <c r="L163" t="n">
        <v>0</v>
      </c>
      <c r="M163" t="n">
        <v>0</v>
      </c>
      <c r="N163" t="n">
        <v>0</v>
      </c>
      <c r="O163" t="n">
        <v>0</v>
      </c>
      <c r="P163" t="n">
        <v>0</v>
      </c>
      <c r="Q163" t="n">
        <v>0</v>
      </c>
      <c r="R163" s="2" t="inlineStr"/>
    </row>
    <row r="164" ht="15" customHeight="1">
      <c r="A164" t="inlineStr">
        <is>
          <t>A 9935-2021</t>
        </is>
      </c>
      <c r="B164" s="1" t="n">
        <v>44253</v>
      </c>
      <c r="C164" s="1" t="n">
        <v>45882</v>
      </c>
      <c r="D164" t="inlineStr">
        <is>
          <t>ÖSTERGÖTLANDS LÄN</t>
        </is>
      </c>
      <c r="E164" t="inlineStr">
        <is>
          <t>LINKÖPING</t>
        </is>
      </c>
      <c r="G164" t="n">
        <v>4.5</v>
      </c>
      <c r="H164" t="n">
        <v>0</v>
      </c>
      <c r="I164" t="n">
        <v>0</v>
      </c>
      <c r="J164" t="n">
        <v>0</v>
      </c>
      <c r="K164" t="n">
        <v>0</v>
      </c>
      <c r="L164" t="n">
        <v>0</v>
      </c>
      <c r="M164" t="n">
        <v>0</v>
      </c>
      <c r="N164" t="n">
        <v>0</v>
      </c>
      <c r="O164" t="n">
        <v>0</v>
      </c>
      <c r="P164" t="n">
        <v>0</v>
      </c>
      <c r="Q164" t="n">
        <v>0</v>
      </c>
      <c r="R164" s="2" t="inlineStr"/>
    </row>
    <row r="165" ht="15" customHeight="1">
      <c r="A165" t="inlineStr">
        <is>
          <t>A 31705-2022</t>
        </is>
      </c>
      <c r="B165" s="1" t="n">
        <v>44776.43607638889</v>
      </c>
      <c r="C165" s="1" t="n">
        <v>45882</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11079-2022</t>
        </is>
      </c>
      <c r="B166" s="1" t="n">
        <v>44628</v>
      </c>
      <c r="C166" s="1" t="n">
        <v>45882</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20901-2021</t>
        </is>
      </c>
      <c r="B167" s="1" t="n">
        <v>44319</v>
      </c>
      <c r="C167" s="1" t="n">
        <v>45882</v>
      </c>
      <c r="D167" t="inlineStr">
        <is>
          <t>ÖSTERGÖTLANDS LÄN</t>
        </is>
      </c>
      <c r="E167" t="inlineStr">
        <is>
          <t>LINKÖPING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33891-2021</t>
        </is>
      </c>
      <c r="B168" s="1" t="n">
        <v>44378</v>
      </c>
      <c r="C168" s="1" t="n">
        <v>45882</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61302-2021</t>
        </is>
      </c>
      <c r="B169" s="1" t="n">
        <v>44498.63189814815</v>
      </c>
      <c r="C169" s="1" t="n">
        <v>45882</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45882</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45882</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33881-2021</t>
        </is>
      </c>
      <c r="B172" s="1" t="n">
        <v>44378</v>
      </c>
      <c r="C172" s="1" t="n">
        <v>45882</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60129-2020</t>
        </is>
      </c>
      <c r="B173" s="1" t="n">
        <v>44152</v>
      </c>
      <c r="C173" s="1" t="n">
        <v>45882</v>
      </c>
      <c r="D173" t="inlineStr">
        <is>
          <t>ÖSTERGÖTLANDS LÄN</t>
        </is>
      </c>
      <c r="E173" t="inlineStr">
        <is>
          <t>LINKÖPING</t>
        </is>
      </c>
      <c r="F173" t="inlineStr">
        <is>
          <t>Övriga statliga verk och myndigheter</t>
        </is>
      </c>
      <c r="G173" t="n">
        <v>2.5</v>
      </c>
      <c r="H173" t="n">
        <v>0</v>
      </c>
      <c r="I173" t="n">
        <v>0</v>
      </c>
      <c r="J173" t="n">
        <v>0</v>
      </c>
      <c r="K173" t="n">
        <v>0</v>
      </c>
      <c r="L173" t="n">
        <v>0</v>
      </c>
      <c r="M173" t="n">
        <v>0</v>
      </c>
      <c r="N173" t="n">
        <v>0</v>
      </c>
      <c r="O173" t="n">
        <v>0</v>
      </c>
      <c r="P173" t="n">
        <v>0</v>
      </c>
      <c r="Q173" t="n">
        <v>0</v>
      </c>
      <c r="R173" s="2" t="inlineStr"/>
    </row>
    <row r="174" ht="15" customHeight="1">
      <c r="A174" t="inlineStr">
        <is>
          <t>A 4377-2021</t>
        </is>
      </c>
      <c r="B174" s="1" t="n">
        <v>44223</v>
      </c>
      <c r="C174" s="1" t="n">
        <v>45882</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54467-2022</t>
        </is>
      </c>
      <c r="B175" s="1" t="n">
        <v>44882</v>
      </c>
      <c r="C175" s="1" t="n">
        <v>45882</v>
      </c>
      <c r="D175" t="inlineStr">
        <is>
          <t>ÖSTERGÖTLANDS LÄN</t>
        </is>
      </c>
      <c r="E175" t="inlineStr">
        <is>
          <t>LINKÖPING</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45882</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41426-2022</t>
        </is>
      </c>
      <c r="B177" s="1" t="n">
        <v>44826</v>
      </c>
      <c r="C177" s="1" t="n">
        <v>45882</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61153-2021</t>
        </is>
      </c>
      <c r="B178" s="1" t="n">
        <v>44497</v>
      </c>
      <c r="C178" s="1" t="n">
        <v>45882</v>
      </c>
      <c r="D178" t="inlineStr">
        <is>
          <t>ÖSTERGÖTLANDS LÄN</t>
        </is>
      </c>
      <c r="E178" t="inlineStr">
        <is>
          <t>LINKÖPING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65398-2021</t>
        </is>
      </c>
      <c r="B179" s="1" t="n">
        <v>44515</v>
      </c>
      <c r="C179" s="1" t="n">
        <v>45882</v>
      </c>
      <c r="D179" t="inlineStr">
        <is>
          <t>ÖSTERGÖTLANDS LÄN</t>
        </is>
      </c>
      <c r="E179" t="inlineStr">
        <is>
          <t>LINKÖPING</t>
        </is>
      </c>
      <c r="F179" t="inlineStr">
        <is>
          <t>Övriga statliga verk och myndigheter</t>
        </is>
      </c>
      <c r="G179" t="n">
        <v>2.4</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45882</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34162-2022</t>
        </is>
      </c>
      <c r="B181" s="1" t="n">
        <v>44791</v>
      </c>
      <c r="C181" s="1" t="n">
        <v>45882</v>
      </c>
      <c r="D181" t="inlineStr">
        <is>
          <t>ÖSTERGÖTLANDS LÄN</t>
        </is>
      </c>
      <c r="E181" t="inlineStr">
        <is>
          <t>LINKÖPING</t>
        </is>
      </c>
      <c r="G181" t="n">
        <v>3</v>
      </c>
      <c r="H181" t="n">
        <v>0</v>
      </c>
      <c r="I181" t="n">
        <v>0</v>
      </c>
      <c r="J181" t="n">
        <v>0</v>
      </c>
      <c r="K181" t="n">
        <v>0</v>
      </c>
      <c r="L181" t="n">
        <v>0</v>
      </c>
      <c r="M181" t="n">
        <v>0</v>
      </c>
      <c r="N181" t="n">
        <v>0</v>
      </c>
      <c r="O181" t="n">
        <v>0</v>
      </c>
      <c r="P181" t="n">
        <v>0</v>
      </c>
      <c r="Q181" t="n">
        <v>0</v>
      </c>
      <c r="R181" s="2" t="inlineStr"/>
    </row>
    <row r="182" ht="15" customHeight="1">
      <c r="A182" t="inlineStr">
        <is>
          <t>A 12413-2022</t>
        </is>
      </c>
      <c r="B182" s="1" t="n">
        <v>44638</v>
      </c>
      <c r="C182" s="1" t="n">
        <v>45882</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61298-2021</t>
        </is>
      </c>
      <c r="B183" s="1" t="n">
        <v>44498.62533564815</v>
      </c>
      <c r="C183" s="1" t="n">
        <v>45882</v>
      </c>
      <c r="D183" t="inlineStr">
        <is>
          <t>ÖSTERGÖTLANDS LÄN</t>
        </is>
      </c>
      <c r="E183" t="inlineStr">
        <is>
          <t>LINKÖPING</t>
        </is>
      </c>
      <c r="G183" t="n">
        <v>4.3</v>
      </c>
      <c r="H183" t="n">
        <v>0</v>
      </c>
      <c r="I183" t="n">
        <v>0</v>
      </c>
      <c r="J183" t="n">
        <v>0</v>
      </c>
      <c r="K183" t="n">
        <v>0</v>
      </c>
      <c r="L183" t="n">
        <v>0</v>
      </c>
      <c r="M183" t="n">
        <v>0</v>
      </c>
      <c r="N183" t="n">
        <v>0</v>
      </c>
      <c r="O183" t="n">
        <v>0</v>
      </c>
      <c r="P183" t="n">
        <v>0</v>
      </c>
      <c r="Q183" t="n">
        <v>0</v>
      </c>
      <c r="R183" s="2" t="inlineStr"/>
    </row>
    <row r="184" ht="15" customHeight="1">
      <c r="A184" t="inlineStr">
        <is>
          <t>A 61333-2021</t>
        </is>
      </c>
      <c r="B184" s="1" t="n">
        <v>44498.6764699074</v>
      </c>
      <c r="C184" s="1" t="n">
        <v>45882</v>
      </c>
      <c r="D184" t="inlineStr">
        <is>
          <t>ÖSTERGÖTLANDS LÄN</t>
        </is>
      </c>
      <c r="E184" t="inlineStr">
        <is>
          <t>LINKÖPING</t>
        </is>
      </c>
      <c r="G184" t="n">
        <v>7.5</v>
      </c>
      <c r="H184" t="n">
        <v>0</v>
      </c>
      <c r="I184" t="n">
        <v>0</v>
      </c>
      <c r="J184" t="n">
        <v>0</v>
      </c>
      <c r="K184" t="n">
        <v>0</v>
      </c>
      <c r="L184" t="n">
        <v>0</v>
      </c>
      <c r="M184" t="n">
        <v>0</v>
      </c>
      <c r="N184" t="n">
        <v>0</v>
      </c>
      <c r="O184" t="n">
        <v>0</v>
      </c>
      <c r="P184" t="n">
        <v>0</v>
      </c>
      <c r="Q184" t="n">
        <v>0</v>
      </c>
      <c r="R184" s="2" t="inlineStr"/>
    </row>
    <row r="185" ht="15" customHeight="1">
      <c r="A185" t="inlineStr">
        <is>
          <t>A 67912-2021</t>
        </is>
      </c>
      <c r="B185" s="1" t="n">
        <v>44525</v>
      </c>
      <c r="C185" s="1" t="n">
        <v>45882</v>
      </c>
      <c r="D185" t="inlineStr">
        <is>
          <t>ÖSTERGÖTLANDS LÄN</t>
        </is>
      </c>
      <c r="E185" t="inlineStr">
        <is>
          <t>LINKÖPING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67940-2021</t>
        </is>
      </c>
      <c r="B186" s="1" t="n">
        <v>44525.62849537037</v>
      </c>
      <c r="C186" s="1" t="n">
        <v>45882</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4240-2022</t>
        </is>
      </c>
      <c r="B187" s="1" t="n">
        <v>44588</v>
      </c>
      <c r="C187" s="1" t="n">
        <v>45882</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12412-2022</t>
        </is>
      </c>
      <c r="B188" s="1" t="n">
        <v>44638</v>
      </c>
      <c r="C188" s="1" t="n">
        <v>45882</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46490-2022</t>
        </is>
      </c>
      <c r="B189" s="1" t="n">
        <v>44848</v>
      </c>
      <c r="C189" s="1" t="n">
        <v>45882</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41650-2020</t>
        </is>
      </c>
      <c r="B190" s="1" t="n">
        <v>44074</v>
      </c>
      <c r="C190" s="1" t="n">
        <v>45882</v>
      </c>
      <c r="D190" t="inlineStr">
        <is>
          <t>ÖSTERGÖTLANDS LÄN</t>
        </is>
      </c>
      <c r="E190" t="inlineStr">
        <is>
          <t>LINKÖPING</t>
        </is>
      </c>
      <c r="F190" t="inlineStr">
        <is>
          <t>Allmännings- och besparingsskogar</t>
        </is>
      </c>
      <c r="G190" t="n">
        <v>1.6</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45882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46891-2021</t>
        </is>
      </c>
      <c r="B192" s="1" t="n">
        <v>44446.44587962963</v>
      </c>
      <c r="C192" s="1" t="n">
        <v>45882</v>
      </c>
      <c r="D192" t="inlineStr">
        <is>
          <t>ÖSTERGÖTLANDS LÄN</t>
        </is>
      </c>
      <c r="E192" t="inlineStr">
        <is>
          <t>LINKÖPING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10951-2022</t>
        </is>
      </c>
      <c r="B193" s="1" t="n">
        <v>44627</v>
      </c>
      <c r="C193" s="1" t="n">
        <v>45882</v>
      </c>
      <c r="D193" t="inlineStr">
        <is>
          <t>ÖSTERGÖTLANDS LÄN</t>
        </is>
      </c>
      <c r="E193" t="inlineStr">
        <is>
          <t>LINKÖPING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33134-2022</t>
        </is>
      </c>
      <c r="B194" s="1" t="n">
        <v>44785</v>
      </c>
      <c r="C194" s="1" t="n">
        <v>45882</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13075-2022</t>
        </is>
      </c>
      <c r="B195" s="1" t="n">
        <v>44643</v>
      </c>
      <c r="C195" s="1" t="n">
        <v>45882</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45882</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19183-2021</t>
        </is>
      </c>
      <c r="B197" s="1" t="n">
        <v>44308.73248842593</v>
      </c>
      <c r="C197" s="1" t="n">
        <v>45882</v>
      </c>
      <c r="D197" t="inlineStr">
        <is>
          <t>ÖSTERGÖTLANDS LÄN</t>
        </is>
      </c>
      <c r="E197" t="inlineStr">
        <is>
          <t>LINKÖPING</t>
        </is>
      </c>
      <c r="F197" t="inlineStr">
        <is>
          <t>Allmännings- och besparingsskogar</t>
        </is>
      </c>
      <c r="G197" t="n">
        <v>4.6</v>
      </c>
      <c r="H197" t="n">
        <v>0</v>
      </c>
      <c r="I197" t="n">
        <v>0</v>
      </c>
      <c r="J197" t="n">
        <v>0</v>
      </c>
      <c r="K197" t="n">
        <v>0</v>
      </c>
      <c r="L197" t="n">
        <v>0</v>
      </c>
      <c r="M197" t="n">
        <v>0</v>
      </c>
      <c r="N197" t="n">
        <v>0</v>
      </c>
      <c r="O197" t="n">
        <v>0</v>
      </c>
      <c r="P197" t="n">
        <v>0</v>
      </c>
      <c r="Q197" t="n">
        <v>0</v>
      </c>
      <c r="R197" s="2" t="inlineStr"/>
    </row>
    <row r="198" ht="15" customHeight="1">
      <c r="A198" t="inlineStr">
        <is>
          <t>A 59288-2020</t>
        </is>
      </c>
      <c r="B198" s="1" t="n">
        <v>44147</v>
      </c>
      <c r="C198" s="1" t="n">
        <v>45882</v>
      </c>
      <c r="D198" t="inlineStr">
        <is>
          <t>ÖSTERGÖTLANDS LÄN</t>
        </is>
      </c>
      <c r="E198" t="inlineStr">
        <is>
          <t>LINKÖPING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51912-2020</t>
        </is>
      </c>
      <c r="B199" s="1" t="n">
        <v>44116</v>
      </c>
      <c r="C199" s="1" t="n">
        <v>45882</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13922-2021</t>
        </is>
      </c>
      <c r="B200" s="1" t="n">
        <v>44277.45946759259</v>
      </c>
      <c r="C200" s="1" t="n">
        <v>45882</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23416-2022</t>
        </is>
      </c>
      <c r="B201" s="1" t="n">
        <v>44720.78243055556</v>
      </c>
      <c r="C201" s="1" t="n">
        <v>45882</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5605-2022</t>
        </is>
      </c>
      <c r="B202" s="1" t="n">
        <v>44595</v>
      </c>
      <c r="C202" s="1" t="n">
        <v>45882</v>
      </c>
      <c r="D202" t="inlineStr">
        <is>
          <t>ÖSTERGÖTLANDS LÄN</t>
        </is>
      </c>
      <c r="E202" t="inlineStr">
        <is>
          <t>LINKÖPING</t>
        </is>
      </c>
      <c r="F202" t="inlineStr">
        <is>
          <t>Övriga statliga verk och myndigheter</t>
        </is>
      </c>
      <c r="G202" t="n">
        <v>3</v>
      </c>
      <c r="H202" t="n">
        <v>0</v>
      </c>
      <c r="I202" t="n">
        <v>0</v>
      </c>
      <c r="J202" t="n">
        <v>0</v>
      </c>
      <c r="K202" t="n">
        <v>0</v>
      </c>
      <c r="L202" t="n">
        <v>0</v>
      </c>
      <c r="M202" t="n">
        <v>0</v>
      </c>
      <c r="N202" t="n">
        <v>0</v>
      </c>
      <c r="O202" t="n">
        <v>0</v>
      </c>
      <c r="P202" t="n">
        <v>0</v>
      </c>
      <c r="Q202" t="n">
        <v>0</v>
      </c>
      <c r="R202" s="2" t="inlineStr"/>
    </row>
    <row r="203" ht="15" customHeight="1">
      <c r="A203" t="inlineStr">
        <is>
          <t>A 56688-2021</t>
        </is>
      </c>
      <c r="B203" s="1" t="n">
        <v>44481</v>
      </c>
      <c r="C203" s="1" t="n">
        <v>45882</v>
      </c>
      <c r="D203" t="inlineStr">
        <is>
          <t>ÖSTERGÖTLANDS LÄN</t>
        </is>
      </c>
      <c r="E203" t="inlineStr">
        <is>
          <t>LINKÖPING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44879-2020</t>
        </is>
      </c>
      <c r="B204" s="1" t="n">
        <v>44087</v>
      </c>
      <c r="C204" s="1" t="n">
        <v>45882</v>
      </c>
      <c r="D204" t="inlineStr">
        <is>
          <t>ÖSTERGÖTLANDS LÄN</t>
        </is>
      </c>
      <c r="E204" t="inlineStr">
        <is>
          <t>LINKÖPING</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50035-2020</t>
        </is>
      </c>
      <c r="B205" s="1" t="n">
        <v>44109</v>
      </c>
      <c r="C205" s="1" t="n">
        <v>45882</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1787-2022</t>
        </is>
      </c>
      <c r="B206" s="1" t="n">
        <v>44574</v>
      </c>
      <c r="C206" s="1" t="n">
        <v>45882</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27769-2022</t>
        </is>
      </c>
      <c r="B207" s="1" t="n">
        <v>44743.53200231482</v>
      </c>
      <c r="C207" s="1" t="n">
        <v>45882</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948-2022</t>
        </is>
      </c>
      <c r="B208" s="1" t="n">
        <v>44571</v>
      </c>
      <c r="C208" s="1" t="n">
        <v>45882</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34486-2021</t>
        </is>
      </c>
      <c r="B209" s="1" t="n">
        <v>44382.29295138889</v>
      </c>
      <c r="C209" s="1" t="n">
        <v>45882</v>
      </c>
      <c r="D209" t="inlineStr">
        <is>
          <t>ÖSTERGÖTLANDS LÄN</t>
        </is>
      </c>
      <c r="E209" t="inlineStr">
        <is>
          <t>LINKÖPING</t>
        </is>
      </c>
      <c r="G209" t="n">
        <v>4.4</v>
      </c>
      <c r="H209" t="n">
        <v>0</v>
      </c>
      <c r="I209" t="n">
        <v>0</v>
      </c>
      <c r="J209" t="n">
        <v>0</v>
      </c>
      <c r="K209" t="n">
        <v>0</v>
      </c>
      <c r="L209" t="n">
        <v>0</v>
      </c>
      <c r="M209" t="n">
        <v>0</v>
      </c>
      <c r="N209" t="n">
        <v>0</v>
      </c>
      <c r="O209" t="n">
        <v>0</v>
      </c>
      <c r="P209" t="n">
        <v>0</v>
      </c>
      <c r="Q209" t="n">
        <v>0</v>
      </c>
      <c r="R209" s="2" t="inlineStr"/>
    </row>
    <row r="210" ht="15" customHeight="1">
      <c r="A210" t="inlineStr">
        <is>
          <t>A 41514-2020</t>
        </is>
      </c>
      <c r="B210" s="1" t="n">
        <v>44074</v>
      </c>
      <c r="C210" s="1" t="n">
        <v>45882</v>
      </c>
      <c r="D210" t="inlineStr">
        <is>
          <t>ÖSTERGÖTLANDS LÄN</t>
        </is>
      </c>
      <c r="E210" t="inlineStr">
        <is>
          <t>LINKÖPING</t>
        </is>
      </c>
      <c r="F210" t="inlineStr">
        <is>
          <t>Allmännings- och besparingsskogar</t>
        </is>
      </c>
      <c r="G210" t="n">
        <v>5.2</v>
      </c>
      <c r="H210" t="n">
        <v>0</v>
      </c>
      <c r="I210" t="n">
        <v>0</v>
      </c>
      <c r="J210" t="n">
        <v>0</v>
      </c>
      <c r="K210" t="n">
        <v>0</v>
      </c>
      <c r="L210" t="n">
        <v>0</v>
      </c>
      <c r="M210" t="n">
        <v>0</v>
      </c>
      <c r="N210" t="n">
        <v>0</v>
      </c>
      <c r="O210" t="n">
        <v>0</v>
      </c>
      <c r="P210" t="n">
        <v>0</v>
      </c>
      <c r="Q210" t="n">
        <v>0</v>
      </c>
      <c r="R210" s="2" t="inlineStr"/>
    </row>
    <row r="211" ht="15" customHeight="1">
      <c r="A211" t="inlineStr">
        <is>
          <t>A 32255-2021</t>
        </is>
      </c>
      <c r="B211" s="1" t="n">
        <v>44371.45949074074</v>
      </c>
      <c r="C211" s="1" t="n">
        <v>45882</v>
      </c>
      <c r="D211" t="inlineStr">
        <is>
          <t>ÖSTERGÖTLANDS LÄN</t>
        </is>
      </c>
      <c r="E211" t="inlineStr">
        <is>
          <t>LINKÖPING</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37014-2021</t>
        </is>
      </c>
      <c r="B212" s="1" t="n">
        <v>44393</v>
      </c>
      <c r="C212" s="1" t="n">
        <v>45882</v>
      </c>
      <c r="D212" t="inlineStr">
        <is>
          <t>ÖSTERGÖTLANDS LÄN</t>
        </is>
      </c>
      <c r="E212" t="inlineStr">
        <is>
          <t>LINKÖPING</t>
        </is>
      </c>
      <c r="F212" t="inlineStr">
        <is>
          <t>Allmännings- och besparingsskogar</t>
        </is>
      </c>
      <c r="G212" t="n">
        <v>7.7</v>
      </c>
      <c r="H212" t="n">
        <v>0</v>
      </c>
      <c r="I212" t="n">
        <v>0</v>
      </c>
      <c r="J212" t="n">
        <v>0</v>
      </c>
      <c r="K212" t="n">
        <v>0</v>
      </c>
      <c r="L212" t="n">
        <v>0</v>
      </c>
      <c r="M212" t="n">
        <v>0</v>
      </c>
      <c r="N212" t="n">
        <v>0</v>
      </c>
      <c r="O212" t="n">
        <v>0</v>
      </c>
      <c r="P212" t="n">
        <v>0</v>
      </c>
      <c r="Q212" t="n">
        <v>0</v>
      </c>
      <c r="R212" s="2" t="inlineStr"/>
    </row>
    <row r="213" ht="15" customHeight="1">
      <c r="A213" t="inlineStr">
        <is>
          <t>A 45806-2024</t>
        </is>
      </c>
      <c r="B213" s="1" t="n">
        <v>45579.69619212963</v>
      </c>
      <c r="C213" s="1" t="n">
        <v>45882</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40338-2024</t>
        </is>
      </c>
      <c r="B214" s="1" t="n">
        <v>45555.32940972222</v>
      </c>
      <c r="C214" s="1" t="n">
        <v>45882</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56756-2023</t>
        </is>
      </c>
      <c r="B215" s="1" t="n">
        <v>45244</v>
      </c>
      <c r="C215" s="1" t="n">
        <v>45882</v>
      </c>
      <c r="D215" t="inlineStr">
        <is>
          <t>ÖSTERGÖTLANDS LÄN</t>
        </is>
      </c>
      <c r="E215" t="inlineStr">
        <is>
          <t>LINKÖPING</t>
        </is>
      </c>
      <c r="F215" t="inlineStr">
        <is>
          <t>Övriga Aktiebolag</t>
        </is>
      </c>
      <c r="G215" t="n">
        <v>0.8</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45882</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167-2024</t>
        </is>
      </c>
      <c r="B217" s="1" t="n">
        <v>45294</v>
      </c>
      <c r="C217" s="1" t="n">
        <v>45882</v>
      </c>
      <c r="D217" t="inlineStr">
        <is>
          <t>ÖSTERGÖTLANDS LÄN</t>
        </is>
      </c>
      <c r="E217" t="inlineStr">
        <is>
          <t>LINKÖPING</t>
        </is>
      </c>
      <c r="F217" t="inlineStr">
        <is>
          <t>Allmännings- och besparingsskogar</t>
        </is>
      </c>
      <c r="G217" t="n">
        <v>11.6</v>
      </c>
      <c r="H217" t="n">
        <v>0</v>
      </c>
      <c r="I217" t="n">
        <v>0</v>
      </c>
      <c r="J217" t="n">
        <v>0</v>
      </c>
      <c r="K217" t="n">
        <v>0</v>
      </c>
      <c r="L217" t="n">
        <v>0</v>
      </c>
      <c r="M217" t="n">
        <v>0</v>
      </c>
      <c r="N217" t="n">
        <v>0</v>
      </c>
      <c r="O217" t="n">
        <v>0</v>
      </c>
      <c r="P217" t="n">
        <v>0</v>
      </c>
      <c r="Q217" t="n">
        <v>0</v>
      </c>
      <c r="R217" s="2" t="inlineStr"/>
    </row>
    <row r="218" ht="15" customHeight="1">
      <c r="A218" t="inlineStr">
        <is>
          <t>A 27186-2021</t>
        </is>
      </c>
      <c r="B218" s="1" t="n">
        <v>44350.67715277777</v>
      </c>
      <c r="C218" s="1" t="n">
        <v>45882</v>
      </c>
      <c r="D218" t="inlineStr">
        <is>
          <t>ÖSTERGÖTLANDS LÄN</t>
        </is>
      </c>
      <c r="E218" t="inlineStr">
        <is>
          <t>LINKÖPING</t>
        </is>
      </c>
      <c r="F218" t="inlineStr">
        <is>
          <t>Allmännings- och besparingsskogar</t>
        </is>
      </c>
      <c r="G218" t="n">
        <v>1.4</v>
      </c>
      <c r="H218" t="n">
        <v>0</v>
      </c>
      <c r="I218" t="n">
        <v>0</v>
      </c>
      <c r="J218" t="n">
        <v>0</v>
      </c>
      <c r="K218" t="n">
        <v>0</v>
      </c>
      <c r="L218" t="n">
        <v>0</v>
      </c>
      <c r="M218" t="n">
        <v>0</v>
      </c>
      <c r="N218" t="n">
        <v>0</v>
      </c>
      <c r="O218" t="n">
        <v>0</v>
      </c>
      <c r="P218" t="n">
        <v>0</v>
      </c>
      <c r="Q218" t="n">
        <v>0</v>
      </c>
      <c r="R218" s="2" t="inlineStr"/>
    </row>
    <row r="219" ht="15" customHeight="1">
      <c r="A219" t="inlineStr">
        <is>
          <t>A 60985-2023</t>
        </is>
      </c>
      <c r="B219" s="1" t="n">
        <v>45261.48429398148</v>
      </c>
      <c r="C219" s="1" t="n">
        <v>45882</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7343-2025</t>
        </is>
      </c>
      <c r="B220" s="1" t="n">
        <v>45703.67853009259</v>
      </c>
      <c r="C220" s="1" t="n">
        <v>45882</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24904-2024</t>
        </is>
      </c>
      <c r="B221" s="1" t="n">
        <v>45461</v>
      </c>
      <c r="C221" s="1" t="n">
        <v>45882</v>
      </c>
      <c r="D221" t="inlineStr">
        <is>
          <t>ÖSTERGÖTLANDS LÄN</t>
        </is>
      </c>
      <c r="E221" t="inlineStr">
        <is>
          <t>LINKÖPING</t>
        </is>
      </c>
      <c r="G221" t="n">
        <v>3.8</v>
      </c>
      <c r="H221" t="n">
        <v>0</v>
      </c>
      <c r="I221" t="n">
        <v>0</v>
      </c>
      <c r="J221" t="n">
        <v>0</v>
      </c>
      <c r="K221" t="n">
        <v>0</v>
      </c>
      <c r="L221" t="n">
        <v>0</v>
      </c>
      <c r="M221" t="n">
        <v>0</v>
      </c>
      <c r="N221" t="n">
        <v>0</v>
      </c>
      <c r="O221" t="n">
        <v>0</v>
      </c>
      <c r="P221" t="n">
        <v>0</v>
      </c>
      <c r="Q221" t="n">
        <v>0</v>
      </c>
      <c r="R221" s="2" t="inlineStr"/>
    </row>
    <row r="222" ht="15" customHeight="1">
      <c r="A222" t="inlineStr">
        <is>
          <t>A 55009-2023</t>
        </is>
      </c>
      <c r="B222" s="1" t="n">
        <v>45237</v>
      </c>
      <c r="C222" s="1" t="n">
        <v>45882</v>
      </c>
      <c r="D222" t="inlineStr">
        <is>
          <t>ÖSTERGÖTLANDS LÄN</t>
        </is>
      </c>
      <c r="E222" t="inlineStr">
        <is>
          <t>LINKÖPING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34880-2022</t>
        </is>
      </c>
      <c r="B223" s="1" t="n">
        <v>44796</v>
      </c>
      <c r="C223" s="1" t="n">
        <v>45882</v>
      </c>
      <c r="D223" t="inlineStr">
        <is>
          <t>ÖSTERGÖTLANDS LÄN</t>
        </is>
      </c>
      <c r="E223" t="inlineStr">
        <is>
          <t>LINKÖPING</t>
        </is>
      </c>
      <c r="F223" t="inlineStr">
        <is>
          <t>Övriga statliga verk och myndigheter</t>
        </is>
      </c>
      <c r="G223" t="n">
        <v>4</v>
      </c>
      <c r="H223" t="n">
        <v>0</v>
      </c>
      <c r="I223" t="n">
        <v>0</v>
      </c>
      <c r="J223" t="n">
        <v>0</v>
      </c>
      <c r="K223" t="n">
        <v>0</v>
      </c>
      <c r="L223" t="n">
        <v>0</v>
      </c>
      <c r="M223" t="n">
        <v>0</v>
      </c>
      <c r="N223" t="n">
        <v>0</v>
      </c>
      <c r="O223" t="n">
        <v>0</v>
      </c>
      <c r="P223" t="n">
        <v>0</v>
      </c>
      <c r="Q223" t="n">
        <v>0</v>
      </c>
      <c r="R223" s="2" t="inlineStr"/>
    </row>
    <row r="224" ht="15" customHeight="1">
      <c r="A224" t="inlineStr">
        <is>
          <t>A 34872-2023</t>
        </is>
      </c>
      <c r="B224" s="1" t="n">
        <v>45140</v>
      </c>
      <c r="C224" s="1" t="n">
        <v>45882</v>
      </c>
      <c r="D224" t="inlineStr">
        <is>
          <t>ÖSTERGÖTLANDS LÄN</t>
        </is>
      </c>
      <c r="E224" t="inlineStr">
        <is>
          <t>LINKÖPING</t>
        </is>
      </c>
      <c r="G224" t="n">
        <v>4.8</v>
      </c>
      <c r="H224" t="n">
        <v>0</v>
      </c>
      <c r="I224" t="n">
        <v>0</v>
      </c>
      <c r="J224" t="n">
        <v>0</v>
      </c>
      <c r="K224" t="n">
        <v>0</v>
      </c>
      <c r="L224" t="n">
        <v>0</v>
      </c>
      <c r="M224" t="n">
        <v>0</v>
      </c>
      <c r="N224" t="n">
        <v>0</v>
      </c>
      <c r="O224" t="n">
        <v>0</v>
      </c>
      <c r="P224" t="n">
        <v>0</v>
      </c>
      <c r="Q224" t="n">
        <v>0</v>
      </c>
      <c r="R224" s="2" t="inlineStr"/>
    </row>
    <row r="225" ht="15" customHeight="1">
      <c r="A225" t="inlineStr">
        <is>
          <t>A 48042-2022</t>
        </is>
      </c>
      <c r="B225" s="1" t="n">
        <v>44855</v>
      </c>
      <c r="C225" s="1" t="n">
        <v>45882</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13691-2025</t>
        </is>
      </c>
      <c r="B226" s="1" t="n">
        <v>45737.31671296297</v>
      </c>
      <c r="C226" s="1" t="n">
        <v>45882</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50401-2020</t>
        </is>
      </c>
      <c r="B227" s="1" t="n">
        <v>44110</v>
      </c>
      <c r="C227" s="1" t="n">
        <v>45882</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48271-2023</t>
        </is>
      </c>
      <c r="B228" s="1" t="n">
        <v>45205</v>
      </c>
      <c r="C228" s="1" t="n">
        <v>45882</v>
      </c>
      <c r="D228" t="inlineStr">
        <is>
          <t>ÖSTERGÖTLANDS LÄN</t>
        </is>
      </c>
      <c r="E228" t="inlineStr">
        <is>
          <t>LINKÖPING</t>
        </is>
      </c>
      <c r="G228" t="n">
        <v>3</v>
      </c>
      <c r="H228" t="n">
        <v>0</v>
      </c>
      <c r="I228" t="n">
        <v>0</v>
      </c>
      <c r="J228" t="n">
        <v>0</v>
      </c>
      <c r="K228" t="n">
        <v>0</v>
      </c>
      <c r="L228" t="n">
        <v>0</v>
      </c>
      <c r="M228" t="n">
        <v>0</v>
      </c>
      <c r="N228" t="n">
        <v>0</v>
      </c>
      <c r="O228" t="n">
        <v>0</v>
      </c>
      <c r="P228" t="n">
        <v>0</v>
      </c>
      <c r="Q228" t="n">
        <v>0</v>
      </c>
      <c r="R228" s="2" t="inlineStr"/>
    </row>
    <row r="229" ht="15" customHeight="1">
      <c r="A229" t="inlineStr">
        <is>
          <t>A 12720-2022</t>
        </is>
      </c>
      <c r="B229" s="1" t="n">
        <v>44641</v>
      </c>
      <c r="C229" s="1" t="n">
        <v>45882</v>
      </c>
      <c r="D229" t="inlineStr">
        <is>
          <t>ÖSTERGÖTLANDS LÄN</t>
        </is>
      </c>
      <c r="E229" t="inlineStr">
        <is>
          <t>LINKÖPING</t>
        </is>
      </c>
      <c r="F229" t="inlineStr">
        <is>
          <t>Övriga Aktiebolag</t>
        </is>
      </c>
      <c r="G229" t="n">
        <v>2</v>
      </c>
      <c r="H229" t="n">
        <v>0</v>
      </c>
      <c r="I229" t="n">
        <v>0</v>
      </c>
      <c r="J229" t="n">
        <v>0</v>
      </c>
      <c r="K229" t="n">
        <v>0</v>
      </c>
      <c r="L229" t="n">
        <v>0</v>
      </c>
      <c r="M229" t="n">
        <v>0</v>
      </c>
      <c r="N229" t="n">
        <v>0</v>
      </c>
      <c r="O229" t="n">
        <v>0</v>
      </c>
      <c r="P229" t="n">
        <v>0</v>
      </c>
      <c r="Q229" t="n">
        <v>0</v>
      </c>
      <c r="R229" s="2" t="inlineStr"/>
    </row>
    <row r="230" ht="15" customHeight="1">
      <c r="A230" t="inlineStr">
        <is>
          <t>A 62018-2024</t>
        </is>
      </c>
      <c r="B230" s="1" t="n">
        <v>45655.81387731482</v>
      </c>
      <c r="C230" s="1" t="n">
        <v>45882</v>
      </c>
      <c r="D230" t="inlineStr">
        <is>
          <t>ÖSTERGÖTLANDS LÄN</t>
        </is>
      </c>
      <c r="E230" t="inlineStr">
        <is>
          <t>LINKÖPING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36336-2022</t>
        </is>
      </c>
      <c r="B231" s="1" t="n">
        <v>44803</v>
      </c>
      <c r="C231" s="1" t="n">
        <v>45882</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3008-2023</t>
        </is>
      </c>
      <c r="B232" s="1" t="n">
        <v>44945.79784722222</v>
      </c>
      <c r="C232" s="1" t="n">
        <v>45882</v>
      </c>
      <c r="D232" t="inlineStr">
        <is>
          <t>ÖSTERGÖTLANDS LÄN</t>
        </is>
      </c>
      <c r="E232" t="inlineStr">
        <is>
          <t>LINKÖPING</t>
        </is>
      </c>
      <c r="G232" t="n">
        <v>19.3</v>
      </c>
      <c r="H232" t="n">
        <v>0</v>
      </c>
      <c r="I232" t="n">
        <v>0</v>
      </c>
      <c r="J232" t="n">
        <v>0</v>
      </c>
      <c r="K232" t="n">
        <v>0</v>
      </c>
      <c r="L232" t="n">
        <v>0</v>
      </c>
      <c r="M232" t="n">
        <v>0</v>
      </c>
      <c r="N232" t="n">
        <v>0</v>
      </c>
      <c r="O232" t="n">
        <v>0</v>
      </c>
      <c r="P232" t="n">
        <v>0</v>
      </c>
      <c r="Q232" t="n">
        <v>0</v>
      </c>
      <c r="R232" s="2" t="inlineStr"/>
    </row>
    <row r="233" ht="15" customHeight="1">
      <c r="A233" t="inlineStr">
        <is>
          <t>A 12035-2025</t>
        </is>
      </c>
      <c r="B233" s="1" t="n">
        <v>45728.64946759259</v>
      </c>
      <c r="C233" s="1" t="n">
        <v>45882</v>
      </c>
      <c r="D233" t="inlineStr">
        <is>
          <t>ÖSTERGÖTLANDS LÄN</t>
        </is>
      </c>
      <c r="E233" t="inlineStr">
        <is>
          <t>LINKÖPING</t>
        </is>
      </c>
      <c r="G233" t="n">
        <v>3.7</v>
      </c>
      <c r="H233" t="n">
        <v>0</v>
      </c>
      <c r="I233" t="n">
        <v>0</v>
      </c>
      <c r="J233" t="n">
        <v>0</v>
      </c>
      <c r="K233" t="n">
        <v>0</v>
      </c>
      <c r="L233" t="n">
        <v>0</v>
      </c>
      <c r="M233" t="n">
        <v>0</v>
      </c>
      <c r="N233" t="n">
        <v>0</v>
      </c>
      <c r="O233" t="n">
        <v>0</v>
      </c>
      <c r="P233" t="n">
        <v>0</v>
      </c>
      <c r="Q233" t="n">
        <v>0</v>
      </c>
      <c r="R233" s="2" t="inlineStr"/>
    </row>
    <row r="234" ht="15" customHeight="1">
      <c r="A234" t="inlineStr">
        <is>
          <t>A 50471-2024</t>
        </is>
      </c>
      <c r="B234" s="1" t="n">
        <v>45601.47166666666</v>
      </c>
      <c r="C234" s="1" t="n">
        <v>45882</v>
      </c>
      <c r="D234" t="inlineStr">
        <is>
          <t>ÖSTERGÖTLANDS LÄN</t>
        </is>
      </c>
      <c r="E234" t="inlineStr">
        <is>
          <t>LINKÖPING</t>
        </is>
      </c>
      <c r="F234" t="inlineStr">
        <is>
          <t>Övriga Aktiebolag</t>
        </is>
      </c>
      <c r="G234" t="n">
        <v>2</v>
      </c>
      <c r="H234" t="n">
        <v>0</v>
      </c>
      <c r="I234" t="n">
        <v>0</v>
      </c>
      <c r="J234" t="n">
        <v>0</v>
      </c>
      <c r="K234" t="n">
        <v>0</v>
      </c>
      <c r="L234" t="n">
        <v>0</v>
      </c>
      <c r="M234" t="n">
        <v>0</v>
      </c>
      <c r="N234" t="n">
        <v>0</v>
      </c>
      <c r="O234" t="n">
        <v>0</v>
      </c>
      <c r="P234" t="n">
        <v>0</v>
      </c>
      <c r="Q234" t="n">
        <v>0</v>
      </c>
      <c r="R234" s="2" t="inlineStr"/>
    </row>
    <row r="235" ht="15" customHeight="1">
      <c r="A235" t="inlineStr">
        <is>
          <t>A 25097-2023</t>
        </is>
      </c>
      <c r="B235" s="1" t="n">
        <v>45086</v>
      </c>
      <c r="C235" s="1" t="n">
        <v>45882</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42093-2020</t>
        </is>
      </c>
      <c r="B236" s="1" t="n">
        <v>44075</v>
      </c>
      <c r="C236" s="1" t="n">
        <v>45882</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34558-2022</t>
        </is>
      </c>
      <c r="B237" s="1" t="n">
        <v>44794.57594907407</v>
      </c>
      <c r="C237" s="1" t="n">
        <v>45882</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63489-2023</t>
        </is>
      </c>
      <c r="B238" s="1" t="n">
        <v>45274.66761574074</v>
      </c>
      <c r="C238" s="1" t="n">
        <v>45882</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28266-2024</t>
        </is>
      </c>
      <c r="B239" s="1" t="n">
        <v>45477.43600694444</v>
      </c>
      <c r="C239" s="1" t="n">
        <v>45882</v>
      </c>
      <c r="D239" t="inlineStr">
        <is>
          <t>ÖSTERGÖTLANDS LÄN</t>
        </is>
      </c>
      <c r="E239" t="inlineStr">
        <is>
          <t>LINKÖPING</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30551-2023</t>
        </is>
      </c>
      <c r="B240" s="1" t="n">
        <v>45111</v>
      </c>
      <c r="C240" s="1" t="n">
        <v>45882</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30860-2022</t>
        </is>
      </c>
      <c r="B241" s="1" t="n">
        <v>44767</v>
      </c>
      <c r="C241" s="1" t="n">
        <v>45882</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60004-2022</t>
        </is>
      </c>
      <c r="B242" s="1" t="n">
        <v>44909.47206018519</v>
      </c>
      <c r="C242" s="1" t="n">
        <v>45882</v>
      </c>
      <c r="D242" t="inlineStr">
        <is>
          <t>ÖSTERGÖTLANDS LÄN</t>
        </is>
      </c>
      <c r="E242" t="inlineStr">
        <is>
          <t>LINKÖPING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60010-2022</t>
        </is>
      </c>
      <c r="B243" s="1" t="n">
        <v>44909.4740625</v>
      </c>
      <c r="C243" s="1" t="n">
        <v>45882</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53827-2023</t>
        </is>
      </c>
      <c r="B244" s="1" t="n">
        <v>45230</v>
      </c>
      <c r="C244" s="1" t="n">
        <v>45882</v>
      </c>
      <c r="D244" t="inlineStr">
        <is>
          <t>ÖSTERGÖTLANDS LÄN</t>
        </is>
      </c>
      <c r="E244" t="inlineStr">
        <is>
          <t>LINKÖPING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25418-2023</t>
        </is>
      </c>
      <c r="B245" s="1" t="n">
        <v>45089</v>
      </c>
      <c r="C245" s="1" t="n">
        <v>45882</v>
      </c>
      <c r="D245" t="inlineStr">
        <is>
          <t>ÖSTERGÖTLANDS LÄN</t>
        </is>
      </c>
      <c r="E245" t="inlineStr">
        <is>
          <t>LINKÖPING</t>
        </is>
      </c>
      <c r="F245" t="inlineStr">
        <is>
          <t>Övriga Aktiebolag</t>
        </is>
      </c>
      <c r="G245" t="n">
        <v>2.4</v>
      </c>
      <c r="H245" t="n">
        <v>0</v>
      </c>
      <c r="I245" t="n">
        <v>0</v>
      </c>
      <c r="J245" t="n">
        <v>0</v>
      </c>
      <c r="K245" t="n">
        <v>0</v>
      </c>
      <c r="L245" t="n">
        <v>0</v>
      </c>
      <c r="M245" t="n">
        <v>0</v>
      </c>
      <c r="N245" t="n">
        <v>0</v>
      </c>
      <c r="O245" t="n">
        <v>0</v>
      </c>
      <c r="P245" t="n">
        <v>0</v>
      </c>
      <c r="Q245" t="n">
        <v>0</v>
      </c>
      <c r="R245" s="2" t="inlineStr"/>
    </row>
    <row r="246" ht="15" customHeight="1">
      <c r="A246" t="inlineStr">
        <is>
          <t>A 4256-2022</t>
        </is>
      </c>
      <c r="B246" s="1" t="n">
        <v>44588</v>
      </c>
      <c r="C246" s="1" t="n">
        <v>45882</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61649-2023</t>
        </is>
      </c>
      <c r="B247" s="1" t="n">
        <v>45265</v>
      </c>
      <c r="C247" s="1" t="n">
        <v>45882</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10461-2023</t>
        </is>
      </c>
      <c r="B248" s="1" t="n">
        <v>44987.5969212963</v>
      </c>
      <c r="C248" s="1" t="n">
        <v>45882</v>
      </c>
      <c r="D248" t="inlineStr">
        <is>
          <t>ÖSTERGÖTLANDS LÄN</t>
        </is>
      </c>
      <c r="E248" t="inlineStr">
        <is>
          <t>LINKÖPING</t>
        </is>
      </c>
      <c r="G248" t="n">
        <v>7.8</v>
      </c>
      <c r="H248" t="n">
        <v>0</v>
      </c>
      <c r="I248" t="n">
        <v>0</v>
      </c>
      <c r="J248" t="n">
        <v>0</v>
      </c>
      <c r="K248" t="n">
        <v>0</v>
      </c>
      <c r="L248" t="n">
        <v>0</v>
      </c>
      <c r="M248" t="n">
        <v>0</v>
      </c>
      <c r="N248" t="n">
        <v>0</v>
      </c>
      <c r="O248" t="n">
        <v>0</v>
      </c>
      <c r="P248" t="n">
        <v>0</v>
      </c>
      <c r="Q248" t="n">
        <v>0</v>
      </c>
      <c r="R248" s="2" t="inlineStr"/>
    </row>
    <row r="249" ht="15" customHeight="1">
      <c r="A249" t="inlineStr">
        <is>
          <t>A 22772-2024</t>
        </is>
      </c>
      <c r="B249" s="1" t="n">
        <v>45448.46712962963</v>
      </c>
      <c r="C249" s="1" t="n">
        <v>45882</v>
      </c>
      <c r="D249" t="inlineStr">
        <is>
          <t>ÖSTERGÖTLANDS LÄN</t>
        </is>
      </c>
      <c r="E249" t="inlineStr">
        <is>
          <t>LINKÖPING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50386-2021</t>
        </is>
      </c>
      <c r="B250" s="1" t="n">
        <v>44459</v>
      </c>
      <c r="C250" s="1" t="n">
        <v>45882</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20455-2024</t>
        </is>
      </c>
      <c r="B251" s="1" t="n">
        <v>45435.65314814815</v>
      </c>
      <c r="C251" s="1" t="n">
        <v>45882</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224-2024</t>
        </is>
      </c>
      <c r="B252" s="1" t="n">
        <v>45294</v>
      </c>
      <c r="C252" s="1" t="n">
        <v>45882</v>
      </c>
      <c r="D252" t="inlineStr">
        <is>
          <t>ÖSTERGÖTLANDS LÄN</t>
        </is>
      </c>
      <c r="E252" t="inlineStr">
        <is>
          <t>LINKÖPING</t>
        </is>
      </c>
      <c r="G252" t="n">
        <v>2.8</v>
      </c>
      <c r="H252" t="n">
        <v>0</v>
      </c>
      <c r="I252" t="n">
        <v>0</v>
      </c>
      <c r="J252" t="n">
        <v>0</v>
      </c>
      <c r="K252" t="n">
        <v>0</v>
      </c>
      <c r="L252" t="n">
        <v>0</v>
      </c>
      <c r="M252" t="n">
        <v>0</v>
      </c>
      <c r="N252" t="n">
        <v>0</v>
      </c>
      <c r="O252" t="n">
        <v>0</v>
      </c>
      <c r="P252" t="n">
        <v>0</v>
      </c>
      <c r="Q252" t="n">
        <v>0</v>
      </c>
      <c r="R252" s="2" t="inlineStr"/>
    </row>
    <row r="253" ht="15" customHeight="1">
      <c r="A253" t="inlineStr">
        <is>
          <t>A 54845-2023</t>
        </is>
      </c>
      <c r="B253" s="1" t="n">
        <v>45236</v>
      </c>
      <c r="C253" s="1" t="n">
        <v>45882</v>
      </c>
      <c r="D253" t="inlineStr">
        <is>
          <t>ÖSTERGÖTLANDS LÄN</t>
        </is>
      </c>
      <c r="E253" t="inlineStr">
        <is>
          <t>LINKÖPING</t>
        </is>
      </c>
      <c r="F253" t="inlineStr">
        <is>
          <t>Övriga Aktiebolag</t>
        </is>
      </c>
      <c r="G253" t="n">
        <v>5.7</v>
      </c>
      <c r="H253" t="n">
        <v>0</v>
      </c>
      <c r="I253" t="n">
        <v>0</v>
      </c>
      <c r="J253" t="n">
        <v>0</v>
      </c>
      <c r="K253" t="n">
        <v>0</v>
      </c>
      <c r="L253" t="n">
        <v>0</v>
      </c>
      <c r="M253" t="n">
        <v>0</v>
      </c>
      <c r="N253" t="n">
        <v>0</v>
      </c>
      <c r="O253" t="n">
        <v>0</v>
      </c>
      <c r="P253" t="n">
        <v>0</v>
      </c>
      <c r="Q253" t="n">
        <v>0</v>
      </c>
      <c r="R253" s="2" t="inlineStr"/>
    </row>
    <row r="254" ht="15" customHeight="1">
      <c r="A254" t="inlineStr">
        <is>
          <t>A 350-2022</t>
        </is>
      </c>
      <c r="B254" s="1" t="n">
        <v>44565</v>
      </c>
      <c r="C254" s="1" t="n">
        <v>45882</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62488-2023</t>
        </is>
      </c>
      <c r="B255" s="1" t="n">
        <v>45268.5847337963</v>
      </c>
      <c r="C255" s="1" t="n">
        <v>45882</v>
      </c>
      <c r="D255" t="inlineStr">
        <is>
          <t>ÖSTERGÖTLANDS LÄN</t>
        </is>
      </c>
      <c r="E255" t="inlineStr">
        <is>
          <t>LINKÖPING</t>
        </is>
      </c>
      <c r="G255" t="n">
        <v>4.1</v>
      </c>
      <c r="H255" t="n">
        <v>0</v>
      </c>
      <c r="I255" t="n">
        <v>0</v>
      </c>
      <c r="J255" t="n">
        <v>0</v>
      </c>
      <c r="K255" t="n">
        <v>0</v>
      </c>
      <c r="L255" t="n">
        <v>0</v>
      </c>
      <c r="M255" t="n">
        <v>0</v>
      </c>
      <c r="N255" t="n">
        <v>0</v>
      </c>
      <c r="O255" t="n">
        <v>0</v>
      </c>
      <c r="P255" t="n">
        <v>0</v>
      </c>
      <c r="Q255" t="n">
        <v>0</v>
      </c>
      <c r="R255" s="2" t="inlineStr"/>
    </row>
    <row r="256" ht="15" customHeight="1">
      <c r="A256" t="inlineStr">
        <is>
          <t>A 24351-2024</t>
        </is>
      </c>
      <c r="B256" s="1" t="n">
        <v>45457.59011574074</v>
      </c>
      <c r="C256" s="1" t="n">
        <v>45882</v>
      </c>
      <c r="D256" t="inlineStr">
        <is>
          <t>ÖSTERGÖTLANDS LÄN</t>
        </is>
      </c>
      <c r="E256" t="inlineStr">
        <is>
          <t>LINKÖPING</t>
        </is>
      </c>
      <c r="G256" t="n">
        <v>11.9</v>
      </c>
      <c r="H256" t="n">
        <v>0</v>
      </c>
      <c r="I256" t="n">
        <v>0</v>
      </c>
      <c r="J256" t="n">
        <v>0</v>
      </c>
      <c r="K256" t="n">
        <v>0</v>
      </c>
      <c r="L256" t="n">
        <v>0</v>
      </c>
      <c r="M256" t="n">
        <v>0</v>
      </c>
      <c r="N256" t="n">
        <v>0</v>
      </c>
      <c r="O256" t="n">
        <v>0</v>
      </c>
      <c r="P256" t="n">
        <v>0</v>
      </c>
      <c r="Q256" t="n">
        <v>0</v>
      </c>
      <c r="R256" s="2" t="inlineStr"/>
    </row>
    <row r="257" ht="15" customHeight="1">
      <c r="A257" t="inlineStr">
        <is>
          <t>A 223-2024</t>
        </is>
      </c>
      <c r="B257" s="1" t="n">
        <v>45294.72739583333</v>
      </c>
      <c r="C257" s="1" t="n">
        <v>45882</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18891-2022</t>
        </is>
      </c>
      <c r="B258" s="1" t="n">
        <v>44690</v>
      </c>
      <c r="C258" s="1" t="n">
        <v>45882</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38355-2020</t>
        </is>
      </c>
      <c r="B259" s="1" t="n">
        <v>44060</v>
      </c>
      <c r="C259" s="1" t="n">
        <v>45882</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19464-2024</t>
        </is>
      </c>
      <c r="B260" s="1" t="n">
        <v>45429</v>
      </c>
      <c r="C260" s="1" t="n">
        <v>45882</v>
      </c>
      <c r="D260" t="inlineStr">
        <is>
          <t>ÖSTERGÖTLANDS LÄN</t>
        </is>
      </c>
      <c r="E260" t="inlineStr">
        <is>
          <t>LINKÖPING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52796-2023</t>
        </is>
      </c>
      <c r="B261" s="1" t="n">
        <v>45219</v>
      </c>
      <c r="C261" s="1" t="n">
        <v>45882</v>
      </c>
      <c r="D261" t="inlineStr">
        <is>
          <t>ÖSTERGÖTLANDS LÄN</t>
        </is>
      </c>
      <c r="E261" t="inlineStr">
        <is>
          <t>LINKÖPING</t>
        </is>
      </c>
      <c r="F261" t="inlineStr">
        <is>
          <t>Övriga statliga verk och myndigheter</t>
        </is>
      </c>
      <c r="G261" t="n">
        <v>3.9</v>
      </c>
      <c r="H261" t="n">
        <v>0</v>
      </c>
      <c r="I261" t="n">
        <v>0</v>
      </c>
      <c r="J261" t="n">
        <v>0</v>
      </c>
      <c r="K261" t="n">
        <v>0</v>
      </c>
      <c r="L261" t="n">
        <v>0</v>
      </c>
      <c r="M261" t="n">
        <v>0</v>
      </c>
      <c r="N261" t="n">
        <v>0</v>
      </c>
      <c r="O261" t="n">
        <v>0</v>
      </c>
      <c r="P261" t="n">
        <v>0</v>
      </c>
      <c r="Q261" t="n">
        <v>0</v>
      </c>
      <c r="R261" s="2" t="inlineStr"/>
    </row>
    <row r="262" ht="15" customHeight="1">
      <c r="A262" t="inlineStr">
        <is>
          <t>A 30976-2022</t>
        </is>
      </c>
      <c r="B262" s="1" t="n">
        <v>44768</v>
      </c>
      <c r="C262" s="1" t="n">
        <v>45882</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45882</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630-2024</t>
        </is>
      </c>
      <c r="B264" s="1" t="n">
        <v>45299.67736111111</v>
      </c>
      <c r="C264" s="1" t="n">
        <v>45882</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34877-2023</t>
        </is>
      </c>
      <c r="B265" s="1" t="n">
        <v>45140</v>
      </c>
      <c r="C265" s="1" t="n">
        <v>45882</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55736-2022</t>
        </is>
      </c>
      <c r="B266" s="1" t="n">
        <v>44888</v>
      </c>
      <c r="C266" s="1" t="n">
        <v>45882</v>
      </c>
      <c r="D266" t="inlineStr">
        <is>
          <t>ÖSTERGÖTLANDS LÄN</t>
        </is>
      </c>
      <c r="E266" t="inlineStr">
        <is>
          <t>LINKÖPING</t>
        </is>
      </c>
      <c r="G266" t="n">
        <v>5.5</v>
      </c>
      <c r="H266" t="n">
        <v>0</v>
      </c>
      <c r="I266" t="n">
        <v>0</v>
      </c>
      <c r="J266" t="n">
        <v>0</v>
      </c>
      <c r="K266" t="n">
        <v>0</v>
      </c>
      <c r="L266" t="n">
        <v>0</v>
      </c>
      <c r="M266" t="n">
        <v>0</v>
      </c>
      <c r="N266" t="n">
        <v>0</v>
      </c>
      <c r="O266" t="n">
        <v>0</v>
      </c>
      <c r="P266" t="n">
        <v>0</v>
      </c>
      <c r="Q266" t="n">
        <v>0</v>
      </c>
      <c r="R266" s="2" t="inlineStr"/>
    </row>
    <row r="267" ht="15" customHeight="1">
      <c r="A267" t="inlineStr">
        <is>
          <t>A 30856-2022</t>
        </is>
      </c>
      <c r="B267" s="1" t="n">
        <v>44767</v>
      </c>
      <c r="C267" s="1" t="n">
        <v>45882</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30433-2024</t>
        </is>
      </c>
      <c r="B268" s="1" t="n">
        <v>45491.69741898148</v>
      </c>
      <c r="C268" s="1" t="n">
        <v>45882</v>
      </c>
      <c r="D268" t="inlineStr">
        <is>
          <t>ÖSTERGÖTLANDS LÄN</t>
        </is>
      </c>
      <c r="E268" t="inlineStr">
        <is>
          <t>LINKÖPING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10194-2023</t>
        </is>
      </c>
      <c r="B269" s="1" t="n">
        <v>44986.52277777778</v>
      </c>
      <c r="C269" s="1" t="n">
        <v>45882</v>
      </c>
      <c r="D269" t="inlineStr">
        <is>
          <t>ÖSTERGÖTLANDS LÄN</t>
        </is>
      </c>
      <c r="E269" t="inlineStr">
        <is>
          <t>LINKÖPING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16200-2025</t>
        </is>
      </c>
      <c r="B270" s="1" t="n">
        <v>45750.61050925926</v>
      </c>
      <c r="C270" s="1" t="n">
        <v>45882</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63528-2023</t>
        </is>
      </c>
      <c r="B271" s="1" t="n">
        <v>45274.94810185185</v>
      </c>
      <c r="C271" s="1" t="n">
        <v>45882</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57745-2022</t>
        </is>
      </c>
      <c r="B272" s="1" t="n">
        <v>44897.58119212963</v>
      </c>
      <c r="C272" s="1" t="n">
        <v>45882</v>
      </c>
      <c r="D272" t="inlineStr">
        <is>
          <t>ÖSTERGÖTLANDS LÄN</t>
        </is>
      </c>
      <c r="E272" t="inlineStr">
        <is>
          <t>LINKÖPING</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34889-2023</t>
        </is>
      </c>
      <c r="B273" s="1" t="n">
        <v>45140</v>
      </c>
      <c r="C273" s="1" t="n">
        <v>45882</v>
      </c>
      <c r="D273" t="inlineStr">
        <is>
          <t>ÖSTERGÖTLANDS LÄN</t>
        </is>
      </c>
      <c r="E273" t="inlineStr">
        <is>
          <t>LINKÖPING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61936-2023</t>
        </is>
      </c>
      <c r="B274" s="1" t="n">
        <v>45266.54534722222</v>
      </c>
      <c r="C274" s="1" t="n">
        <v>45882</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62492-2023</t>
        </is>
      </c>
      <c r="B275" s="1" t="n">
        <v>45268.58987268519</v>
      </c>
      <c r="C275" s="1" t="n">
        <v>45882</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1993-2023</t>
        </is>
      </c>
      <c r="B276" s="1" t="n">
        <v>44939</v>
      </c>
      <c r="C276" s="1" t="n">
        <v>45882</v>
      </c>
      <c r="D276" t="inlineStr">
        <is>
          <t>ÖSTERGÖTLANDS LÄN</t>
        </is>
      </c>
      <c r="E276" t="inlineStr">
        <is>
          <t>LINKÖPING</t>
        </is>
      </c>
      <c r="G276" t="n">
        <v>3.7</v>
      </c>
      <c r="H276" t="n">
        <v>0</v>
      </c>
      <c r="I276" t="n">
        <v>0</v>
      </c>
      <c r="J276" t="n">
        <v>0</v>
      </c>
      <c r="K276" t="n">
        <v>0</v>
      </c>
      <c r="L276" t="n">
        <v>0</v>
      </c>
      <c r="M276" t="n">
        <v>0</v>
      </c>
      <c r="N276" t="n">
        <v>0</v>
      </c>
      <c r="O276" t="n">
        <v>0</v>
      </c>
      <c r="P276" t="n">
        <v>0</v>
      </c>
      <c r="Q276" t="n">
        <v>0</v>
      </c>
      <c r="R276" s="2" t="inlineStr"/>
    </row>
    <row r="277" ht="15" customHeight="1">
      <c r="A277" t="inlineStr">
        <is>
          <t>A 674-2024</t>
        </is>
      </c>
      <c r="B277" s="1" t="n">
        <v>45300.34408564815</v>
      </c>
      <c r="C277" s="1" t="n">
        <v>45882</v>
      </c>
      <c r="D277" t="inlineStr">
        <is>
          <t>ÖSTERGÖTLANDS LÄN</t>
        </is>
      </c>
      <c r="E277" t="inlineStr">
        <is>
          <t>LINKÖPING</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15307-2025</t>
        </is>
      </c>
      <c r="B278" s="1" t="n">
        <v>45746.70038194444</v>
      </c>
      <c r="C278" s="1" t="n">
        <v>45882</v>
      </c>
      <c r="D278" t="inlineStr">
        <is>
          <t>ÖSTERGÖTLANDS LÄN</t>
        </is>
      </c>
      <c r="E278" t="inlineStr">
        <is>
          <t>LINKÖPING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6782-2024</t>
        </is>
      </c>
      <c r="B279" s="1" t="n">
        <v>45342</v>
      </c>
      <c r="C279" s="1" t="n">
        <v>45882</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22771-2024</t>
        </is>
      </c>
      <c r="B280" s="1" t="n">
        <v>45448.46574074074</v>
      </c>
      <c r="C280" s="1" t="n">
        <v>45882</v>
      </c>
      <c r="D280" t="inlineStr">
        <is>
          <t>ÖSTERGÖTLANDS LÄN</t>
        </is>
      </c>
      <c r="E280" t="inlineStr">
        <is>
          <t>LINKÖPING</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10094-2024</t>
        </is>
      </c>
      <c r="B281" s="1" t="n">
        <v>45364</v>
      </c>
      <c r="C281" s="1" t="n">
        <v>45882</v>
      </c>
      <c r="D281" t="inlineStr">
        <is>
          <t>ÖSTERGÖTLANDS LÄN</t>
        </is>
      </c>
      <c r="E281" t="inlineStr">
        <is>
          <t>LINKÖPING</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7702-2023</t>
        </is>
      </c>
      <c r="B282" s="1" t="n">
        <v>44967</v>
      </c>
      <c r="C282" s="1" t="n">
        <v>45882</v>
      </c>
      <c r="D282" t="inlineStr">
        <is>
          <t>ÖSTERGÖTLANDS LÄN</t>
        </is>
      </c>
      <c r="E282" t="inlineStr">
        <is>
          <t>LINKÖPING</t>
        </is>
      </c>
      <c r="F282" t="inlineStr">
        <is>
          <t>Övriga statliga verk och myndigheter</t>
        </is>
      </c>
      <c r="G282" t="n">
        <v>8</v>
      </c>
      <c r="H282" t="n">
        <v>0</v>
      </c>
      <c r="I282" t="n">
        <v>0</v>
      </c>
      <c r="J282" t="n">
        <v>0</v>
      </c>
      <c r="K282" t="n">
        <v>0</v>
      </c>
      <c r="L282" t="n">
        <v>0</v>
      </c>
      <c r="M282" t="n">
        <v>0</v>
      </c>
      <c r="N282" t="n">
        <v>0</v>
      </c>
      <c r="O282" t="n">
        <v>0</v>
      </c>
      <c r="P282" t="n">
        <v>0</v>
      </c>
      <c r="Q282" t="n">
        <v>0</v>
      </c>
      <c r="R282" s="2" t="inlineStr"/>
    </row>
    <row r="283" ht="15" customHeight="1">
      <c r="A283" t="inlineStr">
        <is>
          <t>A 63684-2023</t>
        </is>
      </c>
      <c r="B283" s="1" t="n">
        <v>45275</v>
      </c>
      <c r="C283" s="1" t="n">
        <v>45882</v>
      </c>
      <c r="D283" t="inlineStr">
        <is>
          <t>ÖSTERGÖTLANDS LÄN</t>
        </is>
      </c>
      <c r="E283" t="inlineStr">
        <is>
          <t>LINKÖPING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63688-2023</t>
        </is>
      </c>
      <c r="B284" s="1" t="n">
        <v>45275</v>
      </c>
      <c r="C284" s="1" t="n">
        <v>45882</v>
      </c>
      <c r="D284" t="inlineStr">
        <is>
          <t>ÖSTERGÖTLANDS LÄN</t>
        </is>
      </c>
      <c r="E284" t="inlineStr">
        <is>
          <t>LINKÖPING</t>
        </is>
      </c>
      <c r="F284" t="inlineStr">
        <is>
          <t>Övriga Aktiebolag</t>
        </is>
      </c>
      <c r="G284" t="n">
        <v>2.4</v>
      </c>
      <c r="H284" t="n">
        <v>0</v>
      </c>
      <c r="I284" t="n">
        <v>0</v>
      </c>
      <c r="J284" t="n">
        <v>0</v>
      </c>
      <c r="K284" t="n">
        <v>0</v>
      </c>
      <c r="L284" t="n">
        <v>0</v>
      </c>
      <c r="M284" t="n">
        <v>0</v>
      </c>
      <c r="N284" t="n">
        <v>0</v>
      </c>
      <c r="O284" t="n">
        <v>0</v>
      </c>
      <c r="P284" t="n">
        <v>0</v>
      </c>
      <c r="Q284" t="n">
        <v>0</v>
      </c>
      <c r="R284" s="2" t="inlineStr"/>
    </row>
    <row r="285" ht="15" customHeight="1">
      <c r="A285" t="inlineStr">
        <is>
          <t>A 63691-2023</t>
        </is>
      </c>
      <c r="B285" s="1" t="n">
        <v>45275</v>
      </c>
      <c r="C285" s="1" t="n">
        <v>45882</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36657-2023</t>
        </is>
      </c>
      <c r="B286" s="1" t="n">
        <v>45153.5702662037</v>
      </c>
      <c r="C286" s="1" t="n">
        <v>45882</v>
      </c>
      <c r="D286" t="inlineStr">
        <is>
          <t>ÖSTERGÖTLANDS LÄN</t>
        </is>
      </c>
      <c r="E286" t="inlineStr">
        <is>
          <t>LINKÖPING</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14667-2024</t>
        </is>
      </c>
      <c r="B287" s="1" t="n">
        <v>45397.42005787037</v>
      </c>
      <c r="C287" s="1" t="n">
        <v>45882</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52220-2023</t>
        </is>
      </c>
      <c r="B288" s="1" t="n">
        <v>45217</v>
      </c>
      <c r="C288" s="1" t="n">
        <v>45882</v>
      </c>
      <c r="D288" t="inlineStr">
        <is>
          <t>ÖSTERGÖTLANDS LÄN</t>
        </is>
      </c>
      <c r="E288" t="inlineStr">
        <is>
          <t>LINKÖPING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52225-2023</t>
        </is>
      </c>
      <c r="B289" s="1" t="n">
        <v>45217</v>
      </c>
      <c r="C289" s="1" t="n">
        <v>45882</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42000-2023</t>
        </is>
      </c>
      <c r="B290" s="1" t="n">
        <v>45177</v>
      </c>
      <c r="C290" s="1" t="n">
        <v>45882</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42832-2023</t>
        </is>
      </c>
      <c r="B291" s="1" t="n">
        <v>45182.38091435185</v>
      </c>
      <c r="C291" s="1" t="n">
        <v>45882</v>
      </c>
      <c r="D291" t="inlineStr">
        <is>
          <t>ÖSTERGÖTLANDS LÄN</t>
        </is>
      </c>
      <c r="E291" t="inlineStr">
        <is>
          <t>LINKÖPING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56560-2023</t>
        </is>
      </c>
      <c r="B292" s="1" t="n">
        <v>45238</v>
      </c>
      <c r="C292" s="1" t="n">
        <v>45882</v>
      </c>
      <c r="D292" t="inlineStr">
        <is>
          <t>ÖSTERGÖTLANDS LÄN</t>
        </is>
      </c>
      <c r="E292" t="inlineStr">
        <is>
          <t>LINKÖPING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52412-2023</t>
        </is>
      </c>
      <c r="B293" s="1" t="n">
        <v>45225.27888888889</v>
      </c>
      <c r="C293" s="1" t="n">
        <v>45882</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52413-2023</t>
        </is>
      </c>
      <c r="B294" s="1" t="n">
        <v>45225.27950231481</v>
      </c>
      <c r="C294" s="1" t="n">
        <v>45882</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31534-2023</t>
        </is>
      </c>
      <c r="B295" s="1" t="n">
        <v>45116</v>
      </c>
      <c r="C295" s="1" t="n">
        <v>45882</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7354-2025</t>
        </is>
      </c>
      <c r="B296" s="1" t="n">
        <v>45704.41174768518</v>
      </c>
      <c r="C296" s="1" t="n">
        <v>45882</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35427-2023</t>
        </is>
      </c>
      <c r="B297" s="1" t="n">
        <v>45146</v>
      </c>
      <c r="C297" s="1" t="n">
        <v>45882</v>
      </c>
      <c r="D297" t="inlineStr">
        <is>
          <t>ÖSTERGÖTLANDS LÄN</t>
        </is>
      </c>
      <c r="E297" t="inlineStr">
        <is>
          <t>LINKÖPING</t>
        </is>
      </c>
      <c r="F297" t="inlineStr">
        <is>
          <t>Övriga Aktiebolag</t>
        </is>
      </c>
      <c r="G297" t="n">
        <v>2.5</v>
      </c>
      <c r="H297" t="n">
        <v>0</v>
      </c>
      <c r="I297" t="n">
        <v>0</v>
      </c>
      <c r="J297" t="n">
        <v>0</v>
      </c>
      <c r="K297" t="n">
        <v>0</v>
      </c>
      <c r="L297" t="n">
        <v>0</v>
      </c>
      <c r="M297" t="n">
        <v>0</v>
      </c>
      <c r="N297" t="n">
        <v>0</v>
      </c>
      <c r="O297" t="n">
        <v>0</v>
      </c>
      <c r="P297" t="n">
        <v>0</v>
      </c>
      <c r="Q297" t="n">
        <v>0</v>
      </c>
      <c r="R297" s="2" t="inlineStr"/>
    </row>
    <row r="298" ht="15" customHeight="1">
      <c r="A298" t="inlineStr">
        <is>
          <t>A 36725-2023</t>
        </is>
      </c>
      <c r="B298" s="1" t="n">
        <v>45153.68471064815</v>
      </c>
      <c r="C298" s="1" t="n">
        <v>45882</v>
      </c>
      <c r="D298" t="inlineStr">
        <is>
          <t>ÖSTERGÖTLANDS LÄN</t>
        </is>
      </c>
      <c r="E298" t="inlineStr">
        <is>
          <t>LINKÖPING</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53639-2023</t>
        </is>
      </c>
      <c r="B299" s="1" t="n">
        <v>45230.59686342593</v>
      </c>
      <c r="C299" s="1" t="n">
        <v>45882</v>
      </c>
      <c r="D299" t="inlineStr">
        <is>
          <t>ÖSTERGÖTLANDS LÄN</t>
        </is>
      </c>
      <c r="E299" t="inlineStr">
        <is>
          <t>LINKÖPING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15714-2024</t>
        </is>
      </c>
      <c r="B300" s="1" t="n">
        <v>45404.48288194444</v>
      </c>
      <c r="C300" s="1" t="n">
        <v>45882</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1657-2024</t>
        </is>
      </c>
      <c r="B301" s="1" t="n">
        <v>45306.82501157407</v>
      </c>
      <c r="C301" s="1" t="n">
        <v>45882</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50784-2022</t>
        </is>
      </c>
      <c r="B302" s="1" t="n">
        <v>44862</v>
      </c>
      <c r="C302" s="1" t="n">
        <v>45882</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26803-2024</t>
        </is>
      </c>
      <c r="B303" s="1" t="n">
        <v>45470</v>
      </c>
      <c r="C303" s="1" t="n">
        <v>45882</v>
      </c>
      <c r="D303" t="inlineStr">
        <is>
          <t>ÖSTERGÖTLANDS LÄN</t>
        </is>
      </c>
      <c r="E303" t="inlineStr">
        <is>
          <t>LINKÖPING</t>
        </is>
      </c>
      <c r="F303" t="inlineStr">
        <is>
          <t>Allmännings- och besparingsskogar</t>
        </is>
      </c>
      <c r="G303" t="n">
        <v>4.5</v>
      </c>
      <c r="H303" t="n">
        <v>0</v>
      </c>
      <c r="I303" t="n">
        <v>0</v>
      </c>
      <c r="J303" t="n">
        <v>0</v>
      </c>
      <c r="K303" t="n">
        <v>0</v>
      </c>
      <c r="L303" t="n">
        <v>0</v>
      </c>
      <c r="M303" t="n">
        <v>0</v>
      </c>
      <c r="N303" t="n">
        <v>0</v>
      </c>
      <c r="O303" t="n">
        <v>0</v>
      </c>
      <c r="P303" t="n">
        <v>0</v>
      </c>
      <c r="Q303" t="n">
        <v>0</v>
      </c>
      <c r="R303" s="2" t="inlineStr"/>
    </row>
    <row r="304" ht="15" customHeight="1">
      <c r="A304" t="inlineStr">
        <is>
          <t>A 37715-2022</t>
        </is>
      </c>
      <c r="B304" s="1" t="n">
        <v>44810</v>
      </c>
      <c r="C304" s="1" t="n">
        <v>45882</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19187-2021</t>
        </is>
      </c>
      <c r="B305" s="1" t="n">
        <v>44308</v>
      </c>
      <c r="C305" s="1" t="n">
        <v>45882</v>
      </c>
      <c r="D305" t="inlineStr">
        <is>
          <t>ÖSTERGÖTLANDS LÄN</t>
        </is>
      </c>
      <c r="E305" t="inlineStr">
        <is>
          <t>LINKÖPING</t>
        </is>
      </c>
      <c r="F305" t="inlineStr">
        <is>
          <t>Allmännings- och besparingsskogar</t>
        </is>
      </c>
      <c r="G305" t="n">
        <v>20</v>
      </c>
      <c r="H305" t="n">
        <v>0</v>
      </c>
      <c r="I305" t="n">
        <v>0</v>
      </c>
      <c r="J305" t="n">
        <v>0</v>
      </c>
      <c r="K305" t="n">
        <v>0</v>
      </c>
      <c r="L305" t="n">
        <v>0</v>
      </c>
      <c r="M305" t="n">
        <v>0</v>
      </c>
      <c r="N305" t="n">
        <v>0</v>
      </c>
      <c r="O305" t="n">
        <v>0</v>
      </c>
      <c r="P305" t="n">
        <v>0</v>
      </c>
      <c r="Q305" t="n">
        <v>0</v>
      </c>
      <c r="R305" s="2" t="inlineStr"/>
    </row>
    <row r="306" ht="15" customHeight="1">
      <c r="A306" t="inlineStr">
        <is>
          <t>A 30429-2024</t>
        </is>
      </c>
      <c r="B306" s="1" t="n">
        <v>45491.68972222223</v>
      </c>
      <c r="C306" s="1" t="n">
        <v>45882</v>
      </c>
      <c r="D306" t="inlineStr">
        <is>
          <t>ÖSTERGÖTLANDS LÄN</t>
        </is>
      </c>
      <c r="E306" t="inlineStr">
        <is>
          <t>LINKÖPING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30435-2024</t>
        </is>
      </c>
      <c r="B307" s="1" t="n">
        <v>45491.69962962963</v>
      </c>
      <c r="C307" s="1" t="n">
        <v>45882</v>
      </c>
      <c r="D307" t="inlineStr">
        <is>
          <t>ÖSTERGÖTLANDS LÄN</t>
        </is>
      </c>
      <c r="E307" t="inlineStr">
        <is>
          <t>LINKÖPING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60472-2022</t>
        </is>
      </c>
      <c r="B308" s="1" t="n">
        <v>44911.41037037037</v>
      </c>
      <c r="C308" s="1" t="n">
        <v>45882</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4927-2021</t>
        </is>
      </c>
      <c r="B309" s="1" t="n">
        <v>44227.57215277778</v>
      </c>
      <c r="C309" s="1" t="n">
        <v>45882</v>
      </c>
      <c r="D309" t="inlineStr">
        <is>
          <t>ÖSTERGÖTLANDS LÄN</t>
        </is>
      </c>
      <c r="E309" t="inlineStr">
        <is>
          <t>LINKÖPING</t>
        </is>
      </c>
      <c r="G309" t="n">
        <v>0.3</v>
      </c>
      <c r="H309" t="n">
        <v>0</v>
      </c>
      <c r="I309" t="n">
        <v>0</v>
      </c>
      <c r="J309" t="n">
        <v>0</v>
      </c>
      <c r="K309" t="n">
        <v>0</v>
      </c>
      <c r="L309" t="n">
        <v>0</v>
      </c>
      <c r="M309" t="n">
        <v>0</v>
      </c>
      <c r="N309" t="n">
        <v>0</v>
      </c>
      <c r="O309" t="n">
        <v>0</v>
      </c>
      <c r="P309" t="n">
        <v>0</v>
      </c>
      <c r="Q309" t="n">
        <v>0</v>
      </c>
      <c r="R309" s="2" t="inlineStr"/>
    </row>
    <row r="310" ht="15" customHeight="1">
      <c r="A310" t="inlineStr">
        <is>
          <t>A 55945-2024</t>
        </is>
      </c>
      <c r="B310" s="1" t="n">
        <v>45623.61754629629</v>
      </c>
      <c r="C310" s="1" t="n">
        <v>45882</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34928-2023</t>
        </is>
      </c>
      <c r="B311" s="1" t="n">
        <v>45142</v>
      </c>
      <c r="C311" s="1" t="n">
        <v>45882</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43934-2023</t>
        </is>
      </c>
      <c r="B312" s="1" t="n">
        <v>45187</v>
      </c>
      <c r="C312" s="1" t="n">
        <v>45882</v>
      </c>
      <c r="D312" t="inlineStr">
        <is>
          <t>ÖSTERGÖTLANDS LÄN</t>
        </is>
      </c>
      <c r="E312" t="inlineStr">
        <is>
          <t>LINKÖPING</t>
        </is>
      </c>
      <c r="F312" t="inlineStr">
        <is>
          <t>Övriga Aktiebolag</t>
        </is>
      </c>
      <c r="G312" t="n">
        <v>3.8</v>
      </c>
      <c r="H312" t="n">
        <v>0</v>
      </c>
      <c r="I312" t="n">
        <v>0</v>
      </c>
      <c r="J312" t="n">
        <v>0</v>
      </c>
      <c r="K312" t="n">
        <v>0</v>
      </c>
      <c r="L312" t="n">
        <v>0</v>
      </c>
      <c r="M312" t="n">
        <v>0</v>
      </c>
      <c r="N312" t="n">
        <v>0</v>
      </c>
      <c r="O312" t="n">
        <v>0</v>
      </c>
      <c r="P312" t="n">
        <v>0</v>
      </c>
      <c r="Q312" t="n">
        <v>0</v>
      </c>
      <c r="R312" s="2" t="inlineStr"/>
    </row>
    <row r="313" ht="15" customHeight="1">
      <c r="A313" t="inlineStr">
        <is>
          <t>A 1263-2024</t>
        </is>
      </c>
      <c r="B313" s="1" t="n">
        <v>45302</v>
      </c>
      <c r="C313" s="1" t="n">
        <v>45882</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38231-2022</t>
        </is>
      </c>
      <c r="B314" s="1" t="n">
        <v>44812</v>
      </c>
      <c r="C314" s="1" t="n">
        <v>45882</v>
      </c>
      <c r="D314" t="inlineStr">
        <is>
          <t>ÖSTERGÖTLANDS LÄN</t>
        </is>
      </c>
      <c r="E314" t="inlineStr">
        <is>
          <t>LINKÖPING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22774-2024</t>
        </is>
      </c>
      <c r="B315" s="1" t="n">
        <v>45448.46924768519</v>
      </c>
      <c r="C315" s="1" t="n">
        <v>45882</v>
      </c>
      <c r="D315" t="inlineStr">
        <is>
          <t>ÖSTERGÖTLANDS LÄN</t>
        </is>
      </c>
      <c r="E315" t="inlineStr">
        <is>
          <t>LINKÖPING</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22778-2024</t>
        </is>
      </c>
      <c r="B316" s="1" t="n">
        <v>45448.47233796296</v>
      </c>
      <c r="C316" s="1" t="n">
        <v>45882</v>
      </c>
      <c r="D316" t="inlineStr">
        <is>
          <t>ÖSTERGÖTLANDS LÄN</t>
        </is>
      </c>
      <c r="E316" t="inlineStr">
        <is>
          <t>LINKÖPING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52531-2023</t>
        </is>
      </c>
      <c r="B317" s="1" t="n">
        <v>45225</v>
      </c>
      <c r="C317" s="1" t="n">
        <v>45882</v>
      </c>
      <c r="D317" t="inlineStr">
        <is>
          <t>ÖSTERGÖTLANDS LÄN</t>
        </is>
      </c>
      <c r="E317" t="inlineStr">
        <is>
          <t>LINKÖPING</t>
        </is>
      </c>
      <c r="F317" t="inlineStr">
        <is>
          <t>Övriga Aktiebolag</t>
        </is>
      </c>
      <c r="G317" t="n">
        <v>1</v>
      </c>
      <c r="H317" t="n">
        <v>0</v>
      </c>
      <c r="I317" t="n">
        <v>0</v>
      </c>
      <c r="J317" t="n">
        <v>0</v>
      </c>
      <c r="K317" t="n">
        <v>0</v>
      </c>
      <c r="L317" t="n">
        <v>0</v>
      </c>
      <c r="M317" t="n">
        <v>0</v>
      </c>
      <c r="N317" t="n">
        <v>0</v>
      </c>
      <c r="O317" t="n">
        <v>0</v>
      </c>
      <c r="P317" t="n">
        <v>0</v>
      </c>
      <c r="Q317" t="n">
        <v>0</v>
      </c>
      <c r="R317" s="2" t="inlineStr"/>
    </row>
    <row r="318" ht="15" customHeight="1">
      <c r="A318" t="inlineStr">
        <is>
          <t>A 34557-2022</t>
        </is>
      </c>
      <c r="B318" s="1" t="n">
        <v>44794.57074074074</v>
      </c>
      <c r="C318" s="1" t="n">
        <v>45882</v>
      </c>
      <c r="D318" t="inlineStr">
        <is>
          <t>ÖSTERGÖTLANDS LÄN</t>
        </is>
      </c>
      <c r="E318" t="inlineStr">
        <is>
          <t>LINKÖPING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13011-2022</t>
        </is>
      </c>
      <c r="B319" s="1" t="n">
        <v>44643</v>
      </c>
      <c r="C319" s="1" t="n">
        <v>45882</v>
      </c>
      <c r="D319" t="inlineStr">
        <is>
          <t>ÖSTERGÖTLANDS LÄN</t>
        </is>
      </c>
      <c r="E319" t="inlineStr">
        <is>
          <t>LINKÖPING</t>
        </is>
      </c>
      <c r="G319" t="n">
        <v>3.7</v>
      </c>
      <c r="H319" t="n">
        <v>0</v>
      </c>
      <c r="I319" t="n">
        <v>0</v>
      </c>
      <c r="J319" t="n">
        <v>0</v>
      </c>
      <c r="K319" t="n">
        <v>0</v>
      </c>
      <c r="L319" t="n">
        <v>0</v>
      </c>
      <c r="M319" t="n">
        <v>0</v>
      </c>
      <c r="N319" t="n">
        <v>0</v>
      </c>
      <c r="O319" t="n">
        <v>0</v>
      </c>
      <c r="P319" t="n">
        <v>0</v>
      </c>
      <c r="Q319" t="n">
        <v>0</v>
      </c>
      <c r="R319" s="2" t="inlineStr"/>
    </row>
    <row r="320" ht="15" customHeight="1">
      <c r="A320" t="inlineStr">
        <is>
          <t>A 1209-2023</t>
        </is>
      </c>
      <c r="B320" s="1" t="n">
        <v>44930</v>
      </c>
      <c r="C320" s="1" t="n">
        <v>45882</v>
      </c>
      <c r="D320" t="inlineStr">
        <is>
          <t>ÖSTERGÖTLANDS LÄN</t>
        </is>
      </c>
      <c r="E320" t="inlineStr">
        <is>
          <t>LINKÖPING</t>
        </is>
      </c>
      <c r="F320" t="inlineStr">
        <is>
          <t>Övriga statliga verk och myndigheter</t>
        </is>
      </c>
      <c r="G320" t="n">
        <v>25.8</v>
      </c>
      <c r="H320" t="n">
        <v>0</v>
      </c>
      <c r="I320" t="n">
        <v>0</v>
      </c>
      <c r="J320" t="n">
        <v>0</v>
      </c>
      <c r="K320" t="n">
        <v>0</v>
      </c>
      <c r="L320" t="n">
        <v>0</v>
      </c>
      <c r="M320" t="n">
        <v>0</v>
      </c>
      <c r="N320" t="n">
        <v>0</v>
      </c>
      <c r="O320" t="n">
        <v>0</v>
      </c>
      <c r="P320" t="n">
        <v>0</v>
      </c>
      <c r="Q320" t="n">
        <v>0</v>
      </c>
      <c r="R320" s="2" t="inlineStr"/>
    </row>
    <row r="321" ht="15" customHeight="1">
      <c r="A321" t="inlineStr">
        <is>
          <t>A 617-2024</t>
        </is>
      </c>
      <c r="B321" s="1" t="n">
        <v>45299.66028935185</v>
      </c>
      <c r="C321" s="1" t="n">
        <v>45882</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10407-2025</t>
        </is>
      </c>
      <c r="B322" s="1" t="n">
        <v>45720.62863425926</v>
      </c>
      <c r="C322" s="1" t="n">
        <v>45882</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20291-2025</t>
        </is>
      </c>
      <c r="B323" s="1" t="n">
        <v>45774.74288194445</v>
      </c>
      <c r="C323" s="1" t="n">
        <v>45882</v>
      </c>
      <c r="D323" t="inlineStr">
        <is>
          <t>ÖSTERGÖTLANDS LÄN</t>
        </is>
      </c>
      <c r="E323" t="inlineStr">
        <is>
          <t>LINKÖPING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20293-2025</t>
        </is>
      </c>
      <c r="B324" s="1" t="n">
        <v>45774.74611111111</v>
      </c>
      <c r="C324" s="1" t="n">
        <v>45882</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11590-2023</t>
        </is>
      </c>
      <c r="B325" s="1" t="n">
        <v>44994.36689814815</v>
      </c>
      <c r="C325" s="1" t="n">
        <v>45882</v>
      </c>
      <c r="D325" t="inlineStr">
        <is>
          <t>ÖSTERGÖTLANDS LÄN</t>
        </is>
      </c>
      <c r="E325" t="inlineStr">
        <is>
          <t>LINKÖPING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19169-2023</t>
        </is>
      </c>
      <c r="B326" s="1" t="n">
        <v>45044</v>
      </c>
      <c r="C326" s="1" t="n">
        <v>45882</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19362-2023</t>
        </is>
      </c>
      <c r="B327" s="1" t="n">
        <v>45049</v>
      </c>
      <c r="C327" s="1" t="n">
        <v>45882</v>
      </c>
      <c r="D327" t="inlineStr">
        <is>
          <t>ÖSTERGÖTLANDS LÄN</t>
        </is>
      </c>
      <c r="E327" t="inlineStr">
        <is>
          <t>LINKÖPING</t>
        </is>
      </c>
      <c r="G327" t="n">
        <v>0.1</v>
      </c>
      <c r="H327" t="n">
        <v>0</v>
      </c>
      <c r="I327" t="n">
        <v>0</v>
      </c>
      <c r="J327" t="n">
        <v>0</v>
      </c>
      <c r="K327" t="n">
        <v>0</v>
      </c>
      <c r="L327" t="n">
        <v>0</v>
      </c>
      <c r="M327" t="n">
        <v>0</v>
      </c>
      <c r="N327" t="n">
        <v>0</v>
      </c>
      <c r="O327" t="n">
        <v>0</v>
      </c>
      <c r="P327" t="n">
        <v>0</v>
      </c>
      <c r="Q327" t="n">
        <v>0</v>
      </c>
      <c r="R327" s="2" t="inlineStr"/>
    </row>
    <row r="328" ht="15" customHeight="1">
      <c r="A328" t="inlineStr">
        <is>
          <t>A 672-2024</t>
        </is>
      </c>
      <c r="B328" s="1" t="n">
        <v>45300</v>
      </c>
      <c r="C328" s="1" t="n">
        <v>45882</v>
      </c>
      <c r="D328" t="inlineStr">
        <is>
          <t>ÖSTERGÖTLANDS LÄN</t>
        </is>
      </c>
      <c r="E328" t="inlineStr">
        <is>
          <t>LINKÖPING</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19132-2023</t>
        </is>
      </c>
      <c r="B329" s="1" t="n">
        <v>45048.54754629629</v>
      </c>
      <c r="C329" s="1" t="n">
        <v>45882</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55493-2021</t>
        </is>
      </c>
      <c r="B330" s="1" t="n">
        <v>44475.61988425926</v>
      </c>
      <c r="C330" s="1" t="n">
        <v>45882</v>
      </c>
      <c r="D330" t="inlineStr">
        <is>
          <t>ÖSTERGÖTLANDS LÄN</t>
        </is>
      </c>
      <c r="E330" t="inlineStr">
        <is>
          <t>LINKÖPING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47991-2023</t>
        </is>
      </c>
      <c r="B331" s="1" t="n">
        <v>45204.62655092592</v>
      </c>
      <c r="C331" s="1" t="n">
        <v>45882</v>
      </c>
      <c r="D331" t="inlineStr">
        <is>
          <t>ÖSTERGÖTLANDS LÄN</t>
        </is>
      </c>
      <c r="E331" t="inlineStr">
        <is>
          <t>LINKÖPING</t>
        </is>
      </c>
      <c r="F331" t="inlineStr">
        <is>
          <t>Allmännings- och besparingsskogar</t>
        </is>
      </c>
      <c r="G331" t="n">
        <v>7.3</v>
      </c>
      <c r="H331" t="n">
        <v>0</v>
      </c>
      <c r="I331" t="n">
        <v>0</v>
      </c>
      <c r="J331" t="n">
        <v>0</v>
      </c>
      <c r="K331" t="n">
        <v>0</v>
      </c>
      <c r="L331" t="n">
        <v>0</v>
      </c>
      <c r="M331" t="n">
        <v>0</v>
      </c>
      <c r="N331" t="n">
        <v>0</v>
      </c>
      <c r="O331" t="n">
        <v>0</v>
      </c>
      <c r="P331" t="n">
        <v>0</v>
      </c>
      <c r="Q331" t="n">
        <v>0</v>
      </c>
      <c r="R331" s="2" t="inlineStr"/>
    </row>
    <row r="332" ht="15" customHeight="1">
      <c r="A332" t="inlineStr">
        <is>
          <t>A 14093-2024</t>
        </is>
      </c>
      <c r="B332" s="1" t="n">
        <v>45392.60278935185</v>
      </c>
      <c r="C332" s="1" t="n">
        <v>45882</v>
      </c>
      <c r="D332" t="inlineStr">
        <is>
          <t>ÖSTERGÖTLANDS LÄN</t>
        </is>
      </c>
      <c r="E332" t="inlineStr">
        <is>
          <t>LINKÖPING</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62019-2024</t>
        </is>
      </c>
      <c r="B333" s="1" t="n">
        <v>45655.82</v>
      </c>
      <c r="C333" s="1" t="n">
        <v>45882</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10253-2022</t>
        </is>
      </c>
      <c r="B334" s="1" t="n">
        <v>44622</v>
      </c>
      <c r="C334" s="1" t="n">
        <v>45882</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25119-2023</t>
        </is>
      </c>
      <c r="B335" s="1" t="n">
        <v>45086.42326388889</v>
      </c>
      <c r="C335" s="1" t="n">
        <v>45882</v>
      </c>
      <c r="D335" t="inlineStr">
        <is>
          <t>ÖSTERGÖTLANDS LÄN</t>
        </is>
      </c>
      <c r="E335" t="inlineStr">
        <is>
          <t>LINKÖPING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3041-2024</t>
        </is>
      </c>
      <c r="B336" s="1" t="n">
        <v>45316.34875</v>
      </c>
      <c r="C336" s="1" t="n">
        <v>45882</v>
      </c>
      <c r="D336" t="inlineStr">
        <is>
          <t>ÖSTERGÖTLANDS LÄN</t>
        </is>
      </c>
      <c r="E336" t="inlineStr">
        <is>
          <t>LINKÖPING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3043-2024</t>
        </is>
      </c>
      <c r="B337" s="1" t="n">
        <v>45316</v>
      </c>
      <c r="C337" s="1" t="n">
        <v>45882</v>
      </c>
      <c r="D337" t="inlineStr">
        <is>
          <t>ÖSTERGÖTLANDS LÄN</t>
        </is>
      </c>
      <c r="E337" t="inlineStr">
        <is>
          <t>LINKÖPING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50963-2021</t>
        </is>
      </c>
      <c r="B338" s="1" t="n">
        <v>44460</v>
      </c>
      <c r="C338" s="1" t="n">
        <v>45882</v>
      </c>
      <c r="D338" t="inlineStr">
        <is>
          <t>ÖSTERGÖTLANDS LÄN</t>
        </is>
      </c>
      <c r="E338" t="inlineStr">
        <is>
          <t>LINKÖPING</t>
        </is>
      </c>
      <c r="G338" t="n">
        <v>4.4</v>
      </c>
      <c r="H338" t="n">
        <v>0</v>
      </c>
      <c r="I338" t="n">
        <v>0</v>
      </c>
      <c r="J338" t="n">
        <v>0</v>
      </c>
      <c r="K338" t="n">
        <v>0</v>
      </c>
      <c r="L338" t="n">
        <v>0</v>
      </c>
      <c r="M338" t="n">
        <v>0</v>
      </c>
      <c r="N338" t="n">
        <v>0</v>
      </c>
      <c r="O338" t="n">
        <v>0</v>
      </c>
      <c r="P338" t="n">
        <v>0</v>
      </c>
      <c r="Q338" t="n">
        <v>0</v>
      </c>
      <c r="R338" s="2" t="inlineStr"/>
    </row>
    <row r="339" ht="15" customHeight="1">
      <c r="A339" t="inlineStr">
        <is>
          <t>A 61307-2021</t>
        </is>
      </c>
      <c r="B339" s="1" t="n">
        <v>44498.63928240741</v>
      </c>
      <c r="C339" s="1" t="n">
        <v>45882</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61325-2021</t>
        </is>
      </c>
      <c r="B340" s="1" t="n">
        <v>44498.66814814815</v>
      </c>
      <c r="C340" s="1" t="n">
        <v>45882</v>
      </c>
      <c r="D340" t="inlineStr">
        <is>
          <t>ÖSTERGÖTLANDS LÄN</t>
        </is>
      </c>
      <c r="E340" t="inlineStr">
        <is>
          <t>LINKÖPING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63665-2023</t>
        </is>
      </c>
      <c r="B341" s="1" t="n">
        <v>45275</v>
      </c>
      <c r="C341" s="1" t="n">
        <v>45882</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31635-2023</t>
        </is>
      </c>
      <c r="B342" s="1" t="n">
        <v>45105</v>
      </c>
      <c r="C342" s="1" t="n">
        <v>45882</v>
      </c>
      <c r="D342" t="inlineStr">
        <is>
          <t>ÖSTERGÖTLANDS LÄN</t>
        </is>
      </c>
      <c r="E342" t="inlineStr">
        <is>
          <t>LINKÖPING</t>
        </is>
      </c>
      <c r="F342" t="inlineStr">
        <is>
          <t>Övriga statliga verk och myndigheter</t>
        </is>
      </c>
      <c r="G342" t="n">
        <v>4.6</v>
      </c>
      <c r="H342" t="n">
        <v>0</v>
      </c>
      <c r="I342" t="n">
        <v>0</v>
      </c>
      <c r="J342" t="n">
        <v>0</v>
      </c>
      <c r="K342" t="n">
        <v>0</v>
      </c>
      <c r="L342" t="n">
        <v>0</v>
      </c>
      <c r="M342" t="n">
        <v>0</v>
      </c>
      <c r="N342" t="n">
        <v>0</v>
      </c>
      <c r="O342" t="n">
        <v>0</v>
      </c>
      <c r="P342" t="n">
        <v>0</v>
      </c>
      <c r="Q342" t="n">
        <v>0</v>
      </c>
      <c r="R342" s="2" t="inlineStr"/>
    </row>
    <row r="343" ht="15" customHeight="1">
      <c r="A343" t="inlineStr">
        <is>
          <t>A 33867-2023</t>
        </is>
      </c>
      <c r="B343" s="1" t="n">
        <v>45133.94640046296</v>
      </c>
      <c r="C343" s="1" t="n">
        <v>45882</v>
      </c>
      <c r="D343" t="inlineStr">
        <is>
          <t>ÖSTERGÖTLANDS LÄN</t>
        </is>
      </c>
      <c r="E343" t="inlineStr">
        <is>
          <t>LINKÖPING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54846-2024</t>
        </is>
      </c>
      <c r="B344" s="1" t="n">
        <v>45618</v>
      </c>
      <c r="C344" s="1" t="n">
        <v>45882</v>
      </c>
      <c r="D344" t="inlineStr">
        <is>
          <t>ÖSTERGÖTLANDS LÄN</t>
        </is>
      </c>
      <c r="E344" t="inlineStr">
        <is>
          <t>LINKÖPING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20296-2025</t>
        </is>
      </c>
      <c r="B345" s="1" t="n">
        <v>45774.74922453704</v>
      </c>
      <c r="C345" s="1" t="n">
        <v>45882</v>
      </c>
      <c r="D345" t="inlineStr">
        <is>
          <t>ÖSTERGÖTLANDS LÄN</t>
        </is>
      </c>
      <c r="E345" t="inlineStr">
        <is>
          <t>LINKÖPING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67129-2020</t>
        </is>
      </c>
      <c r="B346" s="1" t="n">
        <v>44180</v>
      </c>
      <c r="C346" s="1" t="n">
        <v>45882</v>
      </c>
      <c r="D346" t="inlineStr">
        <is>
          <t>ÖSTERGÖTLANDS LÄN</t>
        </is>
      </c>
      <c r="E346" t="inlineStr">
        <is>
          <t>LINKÖPING</t>
        </is>
      </c>
      <c r="F346" t="inlineStr">
        <is>
          <t>Övriga statliga verk och myndigheter</t>
        </is>
      </c>
      <c r="G346" t="n">
        <v>2.7</v>
      </c>
      <c r="H346" t="n">
        <v>0</v>
      </c>
      <c r="I346" t="n">
        <v>0</v>
      </c>
      <c r="J346" t="n">
        <v>0</v>
      </c>
      <c r="K346" t="n">
        <v>0</v>
      </c>
      <c r="L346" t="n">
        <v>0</v>
      </c>
      <c r="M346" t="n">
        <v>0</v>
      </c>
      <c r="N346" t="n">
        <v>0</v>
      </c>
      <c r="O346" t="n">
        <v>0</v>
      </c>
      <c r="P346" t="n">
        <v>0</v>
      </c>
      <c r="Q346" t="n">
        <v>0</v>
      </c>
      <c r="R346" s="2" t="inlineStr"/>
    </row>
    <row r="347" ht="15" customHeight="1">
      <c r="A347" t="inlineStr">
        <is>
          <t>A 57396-2021</t>
        </is>
      </c>
      <c r="B347" s="1" t="n">
        <v>44483.56151620371</v>
      </c>
      <c r="C347" s="1" t="n">
        <v>45882</v>
      </c>
      <c r="D347" t="inlineStr">
        <is>
          <t>ÖSTERGÖTLANDS LÄN</t>
        </is>
      </c>
      <c r="E347" t="inlineStr">
        <is>
          <t>LINKÖPING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22770-2024</t>
        </is>
      </c>
      <c r="B348" s="1" t="n">
        <v>45448.4634375</v>
      </c>
      <c r="C348" s="1" t="n">
        <v>45882</v>
      </c>
      <c r="D348" t="inlineStr">
        <is>
          <t>ÖSTERGÖTLANDS LÄN</t>
        </is>
      </c>
      <c r="E348" t="inlineStr">
        <is>
          <t>LINKÖPING</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51571-2024</t>
        </is>
      </c>
      <c r="B349" s="1" t="n">
        <v>45604</v>
      </c>
      <c r="C349" s="1" t="n">
        <v>45882</v>
      </c>
      <c r="D349" t="inlineStr">
        <is>
          <t>ÖSTERGÖTLANDS LÄN</t>
        </is>
      </c>
      <c r="E349" t="inlineStr">
        <is>
          <t>LINKÖPING</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17143-2025</t>
        </is>
      </c>
      <c r="B350" s="1" t="n">
        <v>45755.92731481481</v>
      </c>
      <c r="C350" s="1" t="n">
        <v>45882</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11595-2025</t>
        </is>
      </c>
      <c r="B351" s="1" t="n">
        <v>45727.41893518518</v>
      </c>
      <c r="C351" s="1" t="n">
        <v>45882</v>
      </c>
      <c r="D351" t="inlineStr">
        <is>
          <t>ÖSTERGÖTLANDS LÄN</t>
        </is>
      </c>
      <c r="E351" t="inlineStr">
        <is>
          <t>LINKÖPING</t>
        </is>
      </c>
      <c r="G351" t="n">
        <v>6.6</v>
      </c>
      <c r="H351" t="n">
        <v>0</v>
      </c>
      <c r="I351" t="n">
        <v>0</v>
      </c>
      <c r="J351" t="n">
        <v>0</v>
      </c>
      <c r="K351" t="n">
        <v>0</v>
      </c>
      <c r="L351" t="n">
        <v>0</v>
      </c>
      <c r="M351" t="n">
        <v>0</v>
      </c>
      <c r="N351" t="n">
        <v>0</v>
      </c>
      <c r="O351" t="n">
        <v>0</v>
      </c>
      <c r="P351" t="n">
        <v>0</v>
      </c>
      <c r="Q351" t="n">
        <v>0</v>
      </c>
      <c r="R351" s="2" t="inlineStr"/>
    </row>
    <row r="352" ht="15" customHeight="1">
      <c r="A352" t="inlineStr">
        <is>
          <t>A 17124-2025</t>
        </is>
      </c>
      <c r="B352" s="1" t="n">
        <v>45755.69678240741</v>
      </c>
      <c r="C352" s="1" t="n">
        <v>45882</v>
      </c>
      <c r="D352" t="inlineStr">
        <is>
          <t>ÖSTERGÖTLANDS LÄN</t>
        </is>
      </c>
      <c r="E352" t="inlineStr">
        <is>
          <t>LINKÖPING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17126-2025</t>
        </is>
      </c>
      <c r="B353" s="1" t="n">
        <v>45755.70814814815</v>
      </c>
      <c r="C353" s="1" t="n">
        <v>45882</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30985-2022</t>
        </is>
      </c>
      <c r="B354" s="1" t="n">
        <v>44768</v>
      </c>
      <c r="C354" s="1" t="n">
        <v>45882</v>
      </c>
      <c r="D354" t="inlineStr">
        <is>
          <t>ÖSTERGÖTLANDS LÄN</t>
        </is>
      </c>
      <c r="E354" t="inlineStr">
        <is>
          <t>LINKÖPING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38317-2024</t>
        </is>
      </c>
      <c r="B355" s="1" t="n">
        <v>45545.65766203704</v>
      </c>
      <c r="C355" s="1" t="n">
        <v>45882</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48839-2022</t>
        </is>
      </c>
      <c r="B356" s="1" t="n">
        <v>44859</v>
      </c>
      <c r="C356" s="1" t="n">
        <v>45882</v>
      </c>
      <c r="D356" t="inlineStr">
        <is>
          <t>ÖSTERGÖTLANDS LÄN</t>
        </is>
      </c>
      <c r="E356" t="inlineStr">
        <is>
          <t>LINKÖPING</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31640-2023</t>
        </is>
      </c>
      <c r="B357" s="1" t="n">
        <v>45117</v>
      </c>
      <c r="C357" s="1" t="n">
        <v>45882</v>
      </c>
      <c r="D357" t="inlineStr">
        <is>
          <t>ÖSTERGÖTLANDS LÄN</t>
        </is>
      </c>
      <c r="E357" t="inlineStr">
        <is>
          <t>LINKÖPING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8967-2025</t>
        </is>
      </c>
      <c r="B358" s="1" t="n">
        <v>45712</v>
      </c>
      <c r="C358" s="1" t="n">
        <v>45882</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46980-2020</t>
        </is>
      </c>
      <c r="B359" s="1" t="n">
        <v>44090</v>
      </c>
      <c r="C359" s="1" t="n">
        <v>45882</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42413-2020</t>
        </is>
      </c>
      <c r="B360" s="1" t="n">
        <v>44076</v>
      </c>
      <c r="C360" s="1" t="n">
        <v>45882</v>
      </c>
      <c r="D360" t="inlineStr">
        <is>
          <t>ÖSTERGÖTLANDS LÄN</t>
        </is>
      </c>
      <c r="E360" t="inlineStr">
        <is>
          <t>LINKÖPING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58947-2022</t>
        </is>
      </c>
      <c r="B361" s="1" t="n">
        <v>44903.64769675926</v>
      </c>
      <c r="C361" s="1" t="n">
        <v>45882</v>
      </c>
      <c r="D361" t="inlineStr">
        <is>
          <t>ÖSTERGÖTLANDS LÄN</t>
        </is>
      </c>
      <c r="E361" t="inlineStr">
        <is>
          <t>LINKÖPING</t>
        </is>
      </c>
      <c r="G361" t="n">
        <v>4</v>
      </c>
      <c r="H361" t="n">
        <v>0</v>
      </c>
      <c r="I361" t="n">
        <v>0</v>
      </c>
      <c r="J361" t="n">
        <v>0</v>
      </c>
      <c r="K361" t="n">
        <v>0</v>
      </c>
      <c r="L361" t="n">
        <v>0</v>
      </c>
      <c r="M361" t="n">
        <v>0</v>
      </c>
      <c r="N361" t="n">
        <v>0</v>
      </c>
      <c r="O361" t="n">
        <v>0</v>
      </c>
      <c r="P361" t="n">
        <v>0</v>
      </c>
      <c r="Q361" t="n">
        <v>0</v>
      </c>
      <c r="R361" s="2" t="inlineStr"/>
    </row>
    <row r="362" ht="15" customHeight="1">
      <c r="A362" t="inlineStr">
        <is>
          <t>A 63678-2023</t>
        </is>
      </c>
      <c r="B362" s="1" t="n">
        <v>45275.64769675926</v>
      </c>
      <c r="C362" s="1" t="n">
        <v>45882</v>
      </c>
      <c r="D362" t="inlineStr">
        <is>
          <t>ÖSTERGÖTLANDS LÄN</t>
        </is>
      </c>
      <c r="E362" t="inlineStr">
        <is>
          <t>LINKÖPING</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11790-2024</t>
        </is>
      </c>
      <c r="B363" s="1" t="n">
        <v>45374</v>
      </c>
      <c r="C363" s="1" t="n">
        <v>45882</v>
      </c>
      <c r="D363" t="inlineStr">
        <is>
          <t>ÖSTERGÖTLANDS LÄN</t>
        </is>
      </c>
      <c r="E363" t="inlineStr">
        <is>
          <t>LINKÖPING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61281-2021</t>
        </is>
      </c>
      <c r="B364" s="1" t="n">
        <v>44498.60736111111</v>
      </c>
      <c r="C364" s="1" t="n">
        <v>45882</v>
      </c>
      <c r="D364" t="inlineStr">
        <is>
          <t>ÖSTERGÖTLANDS LÄN</t>
        </is>
      </c>
      <c r="E364" t="inlineStr">
        <is>
          <t>LINKÖPING</t>
        </is>
      </c>
      <c r="G364" t="n">
        <v>4.5</v>
      </c>
      <c r="H364" t="n">
        <v>0</v>
      </c>
      <c r="I364" t="n">
        <v>0</v>
      </c>
      <c r="J364" t="n">
        <v>0</v>
      </c>
      <c r="K364" t="n">
        <v>0</v>
      </c>
      <c r="L364" t="n">
        <v>0</v>
      </c>
      <c r="M364" t="n">
        <v>0</v>
      </c>
      <c r="N364" t="n">
        <v>0</v>
      </c>
      <c r="O364" t="n">
        <v>0</v>
      </c>
      <c r="P364" t="n">
        <v>0</v>
      </c>
      <c r="Q364" t="n">
        <v>0</v>
      </c>
      <c r="R364" s="2" t="inlineStr"/>
    </row>
    <row r="365" ht="15" customHeight="1">
      <c r="A365" t="inlineStr">
        <is>
          <t>A 16665-2023</t>
        </is>
      </c>
      <c r="B365" s="1" t="n">
        <v>45030.5583912037</v>
      </c>
      <c r="C365" s="1" t="n">
        <v>45882</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59948-2022</t>
        </is>
      </c>
      <c r="B366" s="1" t="n">
        <v>44909</v>
      </c>
      <c r="C366" s="1" t="n">
        <v>45882</v>
      </c>
      <c r="D366" t="inlineStr">
        <is>
          <t>ÖSTERGÖTLANDS LÄN</t>
        </is>
      </c>
      <c r="E366" t="inlineStr">
        <is>
          <t>LINKÖPING</t>
        </is>
      </c>
      <c r="G366" t="n">
        <v>6.7</v>
      </c>
      <c r="H366" t="n">
        <v>0</v>
      </c>
      <c r="I366" t="n">
        <v>0</v>
      </c>
      <c r="J366" t="n">
        <v>0</v>
      </c>
      <c r="K366" t="n">
        <v>0</v>
      </c>
      <c r="L366" t="n">
        <v>0</v>
      </c>
      <c r="M366" t="n">
        <v>0</v>
      </c>
      <c r="N366" t="n">
        <v>0</v>
      </c>
      <c r="O366" t="n">
        <v>0</v>
      </c>
      <c r="P366" t="n">
        <v>0</v>
      </c>
      <c r="Q366" t="n">
        <v>0</v>
      </c>
      <c r="R366" s="2" t="inlineStr"/>
    </row>
    <row r="367" ht="15" customHeight="1">
      <c r="A367" t="inlineStr">
        <is>
          <t>A 60001-2022</t>
        </is>
      </c>
      <c r="B367" s="1" t="n">
        <v>44909.47087962963</v>
      </c>
      <c r="C367" s="1" t="n">
        <v>45882</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60013-2022</t>
        </is>
      </c>
      <c r="B368" s="1" t="n">
        <v>44909.47482638889</v>
      </c>
      <c r="C368" s="1" t="n">
        <v>45882</v>
      </c>
      <c r="D368" t="inlineStr">
        <is>
          <t>ÖSTERGÖTLANDS LÄN</t>
        </is>
      </c>
      <c r="E368" t="inlineStr">
        <is>
          <t>LINKÖPING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44389-2020</t>
        </is>
      </c>
      <c r="B369" s="1" t="n">
        <v>44084</v>
      </c>
      <c r="C369" s="1" t="n">
        <v>45882</v>
      </c>
      <c r="D369" t="inlineStr">
        <is>
          <t>ÖSTERGÖTLANDS LÄN</t>
        </is>
      </c>
      <c r="E369" t="inlineStr">
        <is>
          <t>LINKÖPING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1211-2023</t>
        </is>
      </c>
      <c r="B370" s="1" t="n">
        <v>44930</v>
      </c>
      <c r="C370" s="1" t="n">
        <v>45882</v>
      </c>
      <c r="D370" t="inlineStr">
        <is>
          <t>ÖSTERGÖTLANDS LÄN</t>
        </is>
      </c>
      <c r="E370" t="inlineStr">
        <is>
          <t>LINKÖPING</t>
        </is>
      </c>
      <c r="F370" t="inlineStr">
        <is>
          <t>Övriga statliga verk och myndigheter</t>
        </is>
      </c>
      <c r="G370" t="n">
        <v>7.9</v>
      </c>
      <c r="H370" t="n">
        <v>0</v>
      </c>
      <c r="I370" t="n">
        <v>0</v>
      </c>
      <c r="J370" t="n">
        <v>0</v>
      </c>
      <c r="K370" t="n">
        <v>0</v>
      </c>
      <c r="L370" t="n">
        <v>0</v>
      </c>
      <c r="M370" t="n">
        <v>0</v>
      </c>
      <c r="N370" t="n">
        <v>0</v>
      </c>
      <c r="O370" t="n">
        <v>0</v>
      </c>
      <c r="P370" t="n">
        <v>0</v>
      </c>
      <c r="Q370" t="n">
        <v>0</v>
      </c>
      <c r="R370" s="2" t="inlineStr"/>
    </row>
    <row r="371" ht="15" customHeight="1">
      <c r="A371" t="inlineStr">
        <is>
          <t>A 6206-2024</t>
        </is>
      </c>
      <c r="B371" s="1" t="n">
        <v>45337.5977662037</v>
      </c>
      <c r="C371" s="1" t="n">
        <v>45882</v>
      </c>
      <c r="D371" t="inlineStr">
        <is>
          <t>ÖSTERGÖTLANDS LÄN</t>
        </is>
      </c>
      <c r="E371" t="inlineStr">
        <is>
          <t>LINKÖPING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20469-2025</t>
        </is>
      </c>
      <c r="B372" s="1" t="n">
        <v>45775</v>
      </c>
      <c r="C372" s="1" t="n">
        <v>45882</v>
      </c>
      <c r="D372" t="inlineStr">
        <is>
          <t>ÖSTERGÖTLANDS LÄN</t>
        </is>
      </c>
      <c r="E372" t="inlineStr">
        <is>
          <t>LINKÖPING</t>
        </is>
      </c>
      <c r="F372" t="inlineStr">
        <is>
          <t>Kyrkan</t>
        </is>
      </c>
      <c r="G372" t="n">
        <v>6.1</v>
      </c>
      <c r="H372" t="n">
        <v>0</v>
      </c>
      <c r="I372" t="n">
        <v>0</v>
      </c>
      <c r="J372" t="n">
        <v>0</v>
      </c>
      <c r="K372" t="n">
        <v>0</v>
      </c>
      <c r="L372" t="n">
        <v>0</v>
      </c>
      <c r="M372" t="n">
        <v>0</v>
      </c>
      <c r="N372" t="n">
        <v>0</v>
      </c>
      <c r="O372" t="n">
        <v>0</v>
      </c>
      <c r="P372" t="n">
        <v>0</v>
      </c>
      <c r="Q372" t="n">
        <v>0</v>
      </c>
      <c r="R372" s="2" t="inlineStr"/>
    </row>
    <row r="373" ht="15" customHeight="1">
      <c r="A373" t="inlineStr">
        <is>
          <t>A 38136-2023</t>
        </is>
      </c>
      <c r="B373" s="1" t="n">
        <v>45161.37310185185</v>
      </c>
      <c r="C373" s="1" t="n">
        <v>45882</v>
      </c>
      <c r="D373" t="inlineStr">
        <is>
          <t>ÖSTERGÖTLANDS LÄN</t>
        </is>
      </c>
      <c r="E373" t="inlineStr">
        <is>
          <t>LINKÖPING</t>
        </is>
      </c>
      <c r="G373" t="n">
        <v>5.6</v>
      </c>
      <c r="H373" t="n">
        <v>0</v>
      </c>
      <c r="I373" t="n">
        <v>0</v>
      </c>
      <c r="J373" t="n">
        <v>0</v>
      </c>
      <c r="K373" t="n">
        <v>0</v>
      </c>
      <c r="L373" t="n">
        <v>0</v>
      </c>
      <c r="M373" t="n">
        <v>0</v>
      </c>
      <c r="N373" t="n">
        <v>0</v>
      </c>
      <c r="O373" t="n">
        <v>0</v>
      </c>
      <c r="P373" t="n">
        <v>0</v>
      </c>
      <c r="Q373" t="n">
        <v>0</v>
      </c>
      <c r="R373" s="2" t="inlineStr"/>
    </row>
    <row r="374" ht="15" customHeight="1">
      <c r="A374" t="inlineStr">
        <is>
          <t>A 1844-2025</t>
        </is>
      </c>
      <c r="B374" s="1" t="n">
        <v>45671.57730324074</v>
      </c>
      <c r="C374" s="1" t="n">
        <v>45882</v>
      </c>
      <c r="D374" t="inlineStr">
        <is>
          <t>ÖSTERGÖTLANDS LÄN</t>
        </is>
      </c>
      <c r="E374" t="inlineStr">
        <is>
          <t>LINKÖPING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168-2024</t>
        </is>
      </c>
      <c r="B375" s="1" t="n">
        <v>45294</v>
      </c>
      <c r="C375" s="1" t="n">
        <v>45882</v>
      </c>
      <c r="D375" t="inlineStr">
        <is>
          <t>ÖSTERGÖTLANDS LÄN</t>
        </is>
      </c>
      <c r="E375" t="inlineStr">
        <is>
          <t>LINKÖPING</t>
        </is>
      </c>
      <c r="F375" t="inlineStr">
        <is>
          <t>Allmännings- och besparingsskogar</t>
        </is>
      </c>
      <c r="G375" t="n">
        <v>8.9</v>
      </c>
      <c r="H375" t="n">
        <v>0</v>
      </c>
      <c r="I375" t="n">
        <v>0</v>
      </c>
      <c r="J375" t="n">
        <v>0</v>
      </c>
      <c r="K375" t="n">
        <v>0</v>
      </c>
      <c r="L375" t="n">
        <v>0</v>
      </c>
      <c r="M375" t="n">
        <v>0</v>
      </c>
      <c r="N375" t="n">
        <v>0</v>
      </c>
      <c r="O375" t="n">
        <v>0</v>
      </c>
      <c r="P375" t="n">
        <v>0</v>
      </c>
      <c r="Q375" t="n">
        <v>0</v>
      </c>
      <c r="R375" s="2" t="inlineStr"/>
    </row>
    <row r="376" ht="15" customHeight="1">
      <c r="A376" t="inlineStr">
        <is>
          <t>A 51919-2024</t>
        </is>
      </c>
      <c r="B376" s="1" t="n">
        <v>45607.60791666667</v>
      </c>
      <c r="C376" s="1" t="n">
        <v>45882</v>
      </c>
      <c r="D376" t="inlineStr">
        <is>
          <t>ÖSTERGÖTLANDS LÄN</t>
        </is>
      </c>
      <c r="E376" t="inlineStr">
        <is>
          <t>LINKÖPING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56623-2024</t>
        </is>
      </c>
      <c r="B377" s="1" t="n">
        <v>45625</v>
      </c>
      <c r="C377" s="1" t="n">
        <v>45882</v>
      </c>
      <c r="D377" t="inlineStr">
        <is>
          <t>ÖSTERGÖTLANDS LÄN</t>
        </is>
      </c>
      <c r="E377" t="inlineStr">
        <is>
          <t>LINKÖPING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11330-2023</t>
        </is>
      </c>
      <c r="B378" s="1" t="n">
        <v>44993.24648148148</v>
      </c>
      <c r="C378" s="1" t="n">
        <v>45882</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63304-2021</t>
        </is>
      </c>
      <c r="B379" s="1" t="n">
        <v>44508.4396412037</v>
      </c>
      <c r="C379" s="1" t="n">
        <v>45882</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14528-2025</t>
        </is>
      </c>
      <c r="B380" s="1" t="n">
        <v>45741</v>
      </c>
      <c r="C380" s="1" t="n">
        <v>45882</v>
      </c>
      <c r="D380" t="inlineStr">
        <is>
          <t>ÖSTERGÖTLANDS LÄN</t>
        </is>
      </c>
      <c r="E380" t="inlineStr">
        <is>
          <t>LINKÖPING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21165-2025</t>
        </is>
      </c>
      <c r="B381" s="1" t="n">
        <v>45779.39417824074</v>
      </c>
      <c r="C381" s="1" t="n">
        <v>45882</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12317-2025</t>
        </is>
      </c>
      <c r="B382" s="1" t="n">
        <v>45729.8487037037</v>
      </c>
      <c r="C382" s="1" t="n">
        <v>45882</v>
      </c>
      <c r="D382" t="inlineStr">
        <is>
          <t>ÖSTERGÖTLANDS LÄN</t>
        </is>
      </c>
      <c r="E382" t="inlineStr">
        <is>
          <t>LINKÖPING</t>
        </is>
      </c>
      <c r="G382" t="n">
        <v>8</v>
      </c>
      <c r="H382" t="n">
        <v>0</v>
      </c>
      <c r="I382" t="n">
        <v>0</v>
      </c>
      <c r="J382" t="n">
        <v>0</v>
      </c>
      <c r="K382" t="n">
        <v>0</v>
      </c>
      <c r="L382" t="n">
        <v>0</v>
      </c>
      <c r="M382" t="n">
        <v>0</v>
      </c>
      <c r="N382" t="n">
        <v>0</v>
      </c>
      <c r="O382" t="n">
        <v>0</v>
      </c>
      <c r="P382" t="n">
        <v>0</v>
      </c>
      <c r="Q382" t="n">
        <v>0</v>
      </c>
      <c r="R382" s="2" t="inlineStr"/>
    </row>
    <row r="383" ht="15" customHeight="1">
      <c r="A383" t="inlineStr">
        <is>
          <t>A 21155-2025</t>
        </is>
      </c>
      <c r="B383" s="1" t="n">
        <v>45779.37586805555</v>
      </c>
      <c r="C383" s="1" t="n">
        <v>45882</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21154-2025</t>
        </is>
      </c>
      <c r="B384" s="1" t="n">
        <v>45779.36340277778</v>
      </c>
      <c r="C384" s="1" t="n">
        <v>45882</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21164-2025</t>
        </is>
      </c>
      <c r="B385" s="1" t="n">
        <v>45779.38840277777</v>
      </c>
      <c r="C385" s="1" t="n">
        <v>45882</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36557-2023</t>
        </is>
      </c>
      <c r="B386" s="1" t="n">
        <v>45153</v>
      </c>
      <c r="C386" s="1" t="n">
        <v>45882</v>
      </c>
      <c r="D386" t="inlineStr">
        <is>
          <t>ÖSTERGÖTLANDS LÄN</t>
        </is>
      </c>
      <c r="E386" t="inlineStr">
        <is>
          <t>LINKÖPING</t>
        </is>
      </c>
      <c r="F386" t="inlineStr">
        <is>
          <t>Övriga Aktiebolag</t>
        </is>
      </c>
      <c r="G386" t="n">
        <v>3.1</v>
      </c>
      <c r="H386" t="n">
        <v>0</v>
      </c>
      <c r="I386" t="n">
        <v>0</v>
      </c>
      <c r="J386" t="n">
        <v>0</v>
      </c>
      <c r="K386" t="n">
        <v>0</v>
      </c>
      <c r="L386" t="n">
        <v>0</v>
      </c>
      <c r="M386" t="n">
        <v>0</v>
      </c>
      <c r="N386" t="n">
        <v>0</v>
      </c>
      <c r="O386" t="n">
        <v>0</v>
      </c>
      <c r="P386" t="n">
        <v>0</v>
      </c>
      <c r="Q386" t="n">
        <v>0</v>
      </c>
      <c r="R386" s="2" t="inlineStr"/>
    </row>
    <row r="387" ht="15" customHeight="1">
      <c r="A387" t="inlineStr">
        <is>
          <t>A 3530-2024</t>
        </is>
      </c>
      <c r="B387" s="1" t="n">
        <v>45320.54717592592</v>
      </c>
      <c r="C387" s="1" t="n">
        <v>45882</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62073-2023</t>
        </is>
      </c>
      <c r="B388" s="1" t="n">
        <v>45266.73844907407</v>
      </c>
      <c r="C388" s="1" t="n">
        <v>45882</v>
      </c>
      <c r="D388" t="inlineStr">
        <is>
          <t>ÖSTERGÖTLANDS LÄN</t>
        </is>
      </c>
      <c r="E388" t="inlineStr">
        <is>
          <t>LINKÖPING</t>
        </is>
      </c>
      <c r="F388" t="inlineStr">
        <is>
          <t>Allmännings- och besparingsskogar</t>
        </is>
      </c>
      <c r="G388" t="n">
        <v>1.8</v>
      </c>
      <c r="H388" t="n">
        <v>0</v>
      </c>
      <c r="I388" t="n">
        <v>0</v>
      </c>
      <c r="J388" t="n">
        <v>0</v>
      </c>
      <c r="K388" t="n">
        <v>0</v>
      </c>
      <c r="L388" t="n">
        <v>0</v>
      </c>
      <c r="M388" t="n">
        <v>0</v>
      </c>
      <c r="N388" t="n">
        <v>0</v>
      </c>
      <c r="O388" t="n">
        <v>0</v>
      </c>
      <c r="P388" t="n">
        <v>0</v>
      </c>
      <c r="Q388" t="n">
        <v>0</v>
      </c>
      <c r="R388" s="2" t="inlineStr"/>
    </row>
    <row r="389" ht="15" customHeight="1">
      <c r="A389" t="inlineStr">
        <is>
          <t>A 5872-2025</t>
        </is>
      </c>
      <c r="B389" s="1" t="n">
        <v>45695.36659722222</v>
      </c>
      <c r="C389" s="1" t="n">
        <v>45882</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2085-2024</t>
        </is>
      </c>
      <c r="B390" s="1" t="n">
        <v>45309</v>
      </c>
      <c r="C390" s="1" t="n">
        <v>45882</v>
      </c>
      <c r="D390" t="inlineStr">
        <is>
          <t>ÖSTERGÖTLANDS LÄN</t>
        </is>
      </c>
      <c r="E390" t="inlineStr">
        <is>
          <t>LINKÖPING</t>
        </is>
      </c>
      <c r="G390" t="n">
        <v>4.5</v>
      </c>
      <c r="H390" t="n">
        <v>0</v>
      </c>
      <c r="I390" t="n">
        <v>0</v>
      </c>
      <c r="J390" t="n">
        <v>0</v>
      </c>
      <c r="K390" t="n">
        <v>0</v>
      </c>
      <c r="L390" t="n">
        <v>0</v>
      </c>
      <c r="M390" t="n">
        <v>0</v>
      </c>
      <c r="N390" t="n">
        <v>0</v>
      </c>
      <c r="O390" t="n">
        <v>0</v>
      </c>
      <c r="P390" t="n">
        <v>0</v>
      </c>
      <c r="Q390" t="n">
        <v>0</v>
      </c>
      <c r="R390" s="2" t="inlineStr"/>
    </row>
    <row r="391" ht="15" customHeight="1">
      <c r="A391" t="inlineStr">
        <is>
          <t>A 53814-2023</t>
        </is>
      </c>
      <c r="B391" s="1" t="n">
        <v>45231</v>
      </c>
      <c r="C391" s="1" t="n">
        <v>45882</v>
      </c>
      <c r="D391" t="inlineStr">
        <is>
          <t>ÖSTERGÖTLANDS LÄN</t>
        </is>
      </c>
      <c r="E391" t="inlineStr">
        <is>
          <t>LINKÖPING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30468-2023</t>
        </is>
      </c>
      <c r="B392" s="1" t="n">
        <v>45111.58732638889</v>
      </c>
      <c r="C392" s="1" t="n">
        <v>45882</v>
      </c>
      <c r="D392" t="inlineStr">
        <is>
          <t>ÖSTERGÖTLANDS LÄN</t>
        </is>
      </c>
      <c r="E392" t="inlineStr">
        <is>
          <t>LINKÖPING</t>
        </is>
      </c>
      <c r="G392" t="n">
        <v>10.1</v>
      </c>
      <c r="H392" t="n">
        <v>0</v>
      </c>
      <c r="I392" t="n">
        <v>0</v>
      </c>
      <c r="J392" t="n">
        <v>0</v>
      </c>
      <c r="K392" t="n">
        <v>0</v>
      </c>
      <c r="L392" t="n">
        <v>0</v>
      </c>
      <c r="M392" t="n">
        <v>0</v>
      </c>
      <c r="N392" t="n">
        <v>0</v>
      </c>
      <c r="O392" t="n">
        <v>0</v>
      </c>
      <c r="P392" t="n">
        <v>0</v>
      </c>
      <c r="Q392" t="n">
        <v>0</v>
      </c>
      <c r="R392" s="2" t="inlineStr"/>
    </row>
    <row r="393" ht="15" customHeight="1">
      <c r="A393" t="inlineStr">
        <is>
          <t>A 3432-2023</t>
        </is>
      </c>
      <c r="B393" s="1" t="n">
        <v>44949</v>
      </c>
      <c r="C393" s="1" t="n">
        <v>45882</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47364-2020</t>
        </is>
      </c>
      <c r="B394" s="1" t="n">
        <v>44097</v>
      </c>
      <c r="C394" s="1" t="n">
        <v>45882</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54425-2022</t>
        </is>
      </c>
      <c r="B395" s="1" t="n">
        <v>44882.57453703704</v>
      </c>
      <c r="C395" s="1" t="n">
        <v>45882</v>
      </c>
      <c r="D395" t="inlineStr">
        <is>
          <t>ÖSTERGÖTLANDS LÄN</t>
        </is>
      </c>
      <c r="E395" t="inlineStr">
        <is>
          <t>LINKÖPING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54428-2022</t>
        </is>
      </c>
      <c r="B396" s="1" t="n">
        <v>44882.57643518518</v>
      </c>
      <c r="C396" s="1" t="n">
        <v>45882</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38715-2023</t>
        </is>
      </c>
      <c r="B397" s="1" t="n">
        <v>45160</v>
      </c>
      <c r="C397" s="1" t="n">
        <v>45882</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22264-2025</t>
        </is>
      </c>
      <c r="B398" s="1" t="n">
        <v>45785</v>
      </c>
      <c r="C398" s="1" t="n">
        <v>45882</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34864-2023</t>
        </is>
      </c>
      <c r="B399" s="1" t="n">
        <v>45141</v>
      </c>
      <c r="C399" s="1" t="n">
        <v>45882</v>
      </c>
      <c r="D399" t="inlineStr">
        <is>
          <t>ÖSTERGÖTLANDS LÄN</t>
        </is>
      </c>
      <c r="E399" t="inlineStr">
        <is>
          <t>LINKÖPING</t>
        </is>
      </c>
      <c r="G399" t="n">
        <v>3.3</v>
      </c>
      <c r="H399" t="n">
        <v>0</v>
      </c>
      <c r="I399" t="n">
        <v>0</v>
      </c>
      <c r="J399" t="n">
        <v>0</v>
      </c>
      <c r="K399" t="n">
        <v>0</v>
      </c>
      <c r="L399" t="n">
        <v>0</v>
      </c>
      <c r="M399" t="n">
        <v>0</v>
      </c>
      <c r="N399" t="n">
        <v>0</v>
      </c>
      <c r="O399" t="n">
        <v>0</v>
      </c>
      <c r="P399" t="n">
        <v>0</v>
      </c>
      <c r="Q399" t="n">
        <v>0</v>
      </c>
      <c r="R399" s="2" t="inlineStr"/>
    </row>
    <row r="400" ht="15" customHeight="1">
      <c r="A400" t="inlineStr">
        <is>
          <t>A 660-2023</t>
        </is>
      </c>
      <c r="B400" s="1" t="n">
        <v>44930</v>
      </c>
      <c r="C400" s="1" t="n">
        <v>45882</v>
      </c>
      <c r="D400" t="inlineStr">
        <is>
          <t>ÖSTERGÖTLANDS LÄN</t>
        </is>
      </c>
      <c r="E400" t="inlineStr">
        <is>
          <t>LINKÖPING</t>
        </is>
      </c>
      <c r="F400" t="inlineStr">
        <is>
          <t>Kyrkan</t>
        </is>
      </c>
      <c r="G400" t="n">
        <v>1.6</v>
      </c>
      <c r="H400" t="n">
        <v>0</v>
      </c>
      <c r="I400" t="n">
        <v>0</v>
      </c>
      <c r="J400" t="n">
        <v>0</v>
      </c>
      <c r="K400" t="n">
        <v>0</v>
      </c>
      <c r="L400" t="n">
        <v>0</v>
      </c>
      <c r="M400" t="n">
        <v>0</v>
      </c>
      <c r="N400" t="n">
        <v>0</v>
      </c>
      <c r="O400" t="n">
        <v>0</v>
      </c>
      <c r="P400" t="n">
        <v>0</v>
      </c>
      <c r="Q400" t="n">
        <v>0</v>
      </c>
      <c r="R400" s="2" t="inlineStr"/>
    </row>
    <row r="401" ht="15" customHeight="1">
      <c r="A401" t="inlineStr">
        <is>
          <t>A 62501-2023</t>
        </is>
      </c>
      <c r="B401" s="1" t="n">
        <v>45268</v>
      </c>
      <c r="C401" s="1" t="n">
        <v>45882</v>
      </c>
      <c r="D401" t="inlineStr">
        <is>
          <t>ÖSTERGÖTLANDS LÄN</t>
        </is>
      </c>
      <c r="E401" t="inlineStr">
        <is>
          <t>LINKÖPING</t>
        </is>
      </c>
      <c r="G401" t="n">
        <v>7.4</v>
      </c>
      <c r="H401" t="n">
        <v>0</v>
      </c>
      <c r="I401" t="n">
        <v>0</v>
      </c>
      <c r="J401" t="n">
        <v>0</v>
      </c>
      <c r="K401" t="n">
        <v>0</v>
      </c>
      <c r="L401" t="n">
        <v>0</v>
      </c>
      <c r="M401" t="n">
        <v>0</v>
      </c>
      <c r="N401" t="n">
        <v>0</v>
      </c>
      <c r="O401" t="n">
        <v>0</v>
      </c>
      <c r="P401" t="n">
        <v>0</v>
      </c>
      <c r="Q401" t="n">
        <v>0</v>
      </c>
      <c r="R401" s="2" t="inlineStr"/>
    </row>
    <row r="402" ht="15" customHeight="1">
      <c r="A402" t="inlineStr">
        <is>
          <t>A 46687-2021</t>
        </is>
      </c>
      <c r="B402" s="1" t="n">
        <v>44445</v>
      </c>
      <c r="C402" s="1" t="n">
        <v>45882</v>
      </c>
      <c r="D402" t="inlineStr">
        <is>
          <t>ÖSTERGÖTLANDS LÄN</t>
        </is>
      </c>
      <c r="E402" t="inlineStr">
        <is>
          <t>LINKÖPING</t>
        </is>
      </c>
      <c r="F402" t="inlineStr">
        <is>
          <t>Övriga statliga verk och myndigheter</t>
        </is>
      </c>
      <c r="G402" t="n">
        <v>2.3</v>
      </c>
      <c r="H402" t="n">
        <v>0</v>
      </c>
      <c r="I402" t="n">
        <v>0</v>
      </c>
      <c r="J402" t="n">
        <v>0</v>
      </c>
      <c r="K402" t="n">
        <v>0</v>
      </c>
      <c r="L402" t="n">
        <v>0</v>
      </c>
      <c r="M402" t="n">
        <v>0</v>
      </c>
      <c r="N402" t="n">
        <v>0</v>
      </c>
      <c r="O402" t="n">
        <v>0</v>
      </c>
      <c r="P402" t="n">
        <v>0</v>
      </c>
      <c r="Q402" t="n">
        <v>0</v>
      </c>
      <c r="R402" s="2" t="inlineStr"/>
    </row>
    <row r="403" ht="15" customHeight="1">
      <c r="A403" t="inlineStr">
        <is>
          <t>A 13413-2023</t>
        </is>
      </c>
      <c r="B403" s="1" t="n">
        <v>45005.58341435185</v>
      </c>
      <c r="C403" s="1" t="n">
        <v>45882</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17103-2025</t>
        </is>
      </c>
      <c r="B404" s="1" t="n">
        <v>45755.66143518518</v>
      </c>
      <c r="C404" s="1" t="n">
        <v>45882</v>
      </c>
      <c r="D404" t="inlineStr">
        <is>
          <t>ÖSTERGÖTLANDS LÄN</t>
        </is>
      </c>
      <c r="E404" t="inlineStr">
        <is>
          <t>LINKÖPING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26620-2023</t>
        </is>
      </c>
      <c r="B405" s="1" t="n">
        <v>45092.70390046296</v>
      </c>
      <c r="C405" s="1" t="n">
        <v>45882</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9473-2024</t>
        </is>
      </c>
      <c r="B406" s="1" t="n">
        <v>45359.55474537037</v>
      </c>
      <c r="C406" s="1" t="n">
        <v>45882</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44535-2020</t>
        </is>
      </c>
      <c r="B407" s="1" t="n">
        <v>44085</v>
      </c>
      <c r="C407" s="1" t="n">
        <v>45882</v>
      </c>
      <c r="D407" t="inlineStr">
        <is>
          <t>ÖSTERGÖTLANDS LÄN</t>
        </is>
      </c>
      <c r="E407" t="inlineStr">
        <is>
          <t>LINKÖPING</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62374-2020</t>
        </is>
      </c>
      <c r="B408" s="1" t="n">
        <v>44159</v>
      </c>
      <c r="C408" s="1" t="n">
        <v>45882</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6859-2024</t>
        </is>
      </c>
      <c r="B409" s="1" t="n">
        <v>45342</v>
      </c>
      <c r="C409" s="1" t="n">
        <v>45882</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44287-2024</t>
        </is>
      </c>
      <c r="B410" s="1" t="n">
        <v>45573.50582175926</v>
      </c>
      <c r="C410" s="1" t="n">
        <v>45882</v>
      </c>
      <c r="D410" t="inlineStr">
        <is>
          <t>ÖSTERGÖTLANDS LÄN</t>
        </is>
      </c>
      <c r="E410" t="inlineStr">
        <is>
          <t>LINKÖPING</t>
        </is>
      </c>
      <c r="G410" t="n">
        <v>12.7</v>
      </c>
      <c r="H410" t="n">
        <v>0</v>
      </c>
      <c r="I410" t="n">
        <v>0</v>
      </c>
      <c r="J410" t="n">
        <v>0</v>
      </c>
      <c r="K410" t="n">
        <v>0</v>
      </c>
      <c r="L410" t="n">
        <v>0</v>
      </c>
      <c r="M410" t="n">
        <v>0</v>
      </c>
      <c r="N410" t="n">
        <v>0</v>
      </c>
      <c r="O410" t="n">
        <v>0</v>
      </c>
      <c r="P410" t="n">
        <v>0</v>
      </c>
      <c r="Q410" t="n">
        <v>0</v>
      </c>
      <c r="R410" s="2" t="inlineStr"/>
    </row>
    <row r="411" ht="15" customHeight="1">
      <c r="A411" t="inlineStr">
        <is>
          <t>A 40618-2021</t>
        </is>
      </c>
      <c r="B411" s="1" t="n">
        <v>44420.49575231481</v>
      </c>
      <c r="C411" s="1" t="n">
        <v>45882</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16462-2021</t>
        </is>
      </c>
      <c r="B412" s="1" t="n">
        <v>44293</v>
      </c>
      <c r="C412" s="1" t="n">
        <v>45882</v>
      </c>
      <c r="D412" t="inlineStr">
        <is>
          <t>ÖSTERGÖTLANDS LÄN</t>
        </is>
      </c>
      <c r="E412" t="inlineStr">
        <is>
          <t>LINKÖPING</t>
        </is>
      </c>
      <c r="F412" t="inlineStr">
        <is>
          <t>Allmännings- och besparingsskogar</t>
        </is>
      </c>
      <c r="G412" t="n">
        <v>24.7</v>
      </c>
      <c r="H412" t="n">
        <v>0</v>
      </c>
      <c r="I412" t="n">
        <v>0</v>
      </c>
      <c r="J412" t="n">
        <v>0</v>
      </c>
      <c r="K412" t="n">
        <v>0</v>
      </c>
      <c r="L412" t="n">
        <v>0</v>
      </c>
      <c r="M412" t="n">
        <v>0</v>
      </c>
      <c r="N412" t="n">
        <v>0</v>
      </c>
      <c r="O412" t="n">
        <v>0</v>
      </c>
      <c r="P412" t="n">
        <v>0</v>
      </c>
      <c r="Q412" t="n">
        <v>0</v>
      </c>
      <c r="R412" s="2" t="inlineStr"/>
    </row>
    <row r="413" ht="15" customHeight="1">
      <c r="A413" t="inlineStr">
        <is>
          <t>A 56180-2024</t>
        </is>
      </c>
      <c r="B413" s="1" t="n">
        <v>45624.56611111111</v>
      </c>
      <c r="C413" s="1" t="n">
        <v>45882</v>
      </c>
      <c r="D413" t="inlineStr">
        <is>
          <t>ÖSTERGÖTLANDS LÄN</t>
        </is>
      </c>
      <c r="E413" t="inlineStr">
        <is>
          <t>LINKÖPING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53529-2024</t>
        </is>
      </c>
      <c r="B414" s="1" t="n">
        <v>45614</v>
      </c>
      <c r="C414" s="1" t="n">
        <v>45882</v>
      </c>
      <c r="D414" t="inlineStr">
        <is>
          <t>ÖSTERGÖTLANDS LÄN</t>
        </is>
      </c>
      <c r="E414" t="inlineStr">
        <is>
          <t>LINKÖPING</t>
        </is>
      </c>
      <c r="G414" t="n">
        <v>6.7</v>
      </c>
      <c r="H414" t="n">
        <v>0</v>
      </c>
      <c r="I414" t="n">
        <v>0</v>
      </c>
      <c r="J414" t="n">
        <v>0</v>
      </c>
      <c r="K414" t="n">
        <v>0</v>
      </c>
      <c r="L414" t="n">
        <v>0</v>
      </c>
      <c r="M414" t="n">
        <v>0</v>
      </c>
      <c r="N414" t="n">
        <v>0</v>
      </c>
      <c r="O414" t="n">
        <v>0</v>
      </c>
      <c r="P414" t="n">
        <v>0</v>
      </c>
      <c r="Q414" t="n">
        <v>0</v>
      </c>
      <c r="R414" s="2" t="inlineStr"/>
    </row>
    <row r="415" ht="15" customHeight="1">
      <c r="A415" t="inlineStr">
        <is>
          <t>A 22364-2025</t>
        </is>
      </c>
      <c r="B415" s="1" t="n">
        <v>45786.46930555555</v>
      </c>
      <c r="C415" s="1" t="n">
        <v>45882</v>
      </c>
      <c r="D415" t="inlineStr">
        <is>
          <t>ÖSTERGÖTLANDS LÄN</t>
        </is>
      </c>
      <c r="E415" t="inlineStr">
        <is>
          <t>LINKÖPING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30471-2023</t>
        </is>
      </c>
      <c r="B416" s="1" t="n">
        <v>45111.58931712963</v>
      </c>
      <c r="C416" s="1" t="n">
        <v>45882</v>
      </c>
      <c r="D416" t="inlineStr">
        <is>
          <t>ÖSTERGÖTLANDS LÄN</t>
        </is>
      </c>
      <c r="E416" t="inlineStr">
        <is>
          <t>LINKÖPING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227-2024</t>
        </is>
      </c>
      <c r="B417" s="1" t="n">
        <v>45294.73603009259</v>
      </c>
      <c r="C417" s="1" t="n">
        <v>45882</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572-2025</t>
        </is>
      </c>
      <c r="B418" s="1" t="n">
        <v>45664.56349537037</v>
      </c>
      <c r="C418" s="1" t="n">
        <v>45882</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10797-2024</t>
        </is>
      </c>
      <c r="B419" s="1" t="n">
        <v>45369.6190162037</v>
      </c>
      <c r="C419" s="1" t="n">
        <v>45882</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38580-2024</t>
        </is>
      </c>
      <c r="B420" s="1" t="n">
        <v>45546.64825231482</v>
      </c>
      <c r="C420" s="1" t="n">
        <v>45882</v>
      </c>
      <c r="D420" t="inlineStr">
        <is>
          <t>ÖSTERGÖTLANDS LÄN</t>
        </is>
      </c>
      <c r="E420" t="inlineStr">
        <is>
          <t>LINKÖPING</t>
        </is>
      </c>
      <c r="G420" t="n">
        <v>4.8</v>
      </c>
      <c r="H420" t="n">
        <v>0</v>
      </c>
      <c r="I420" t="n">
        <v>0</v>
      </c>
      <c r="J420" t="n">
        <v>0</v>
      </c>
      <c r="K420" t="n">
        <v>0</v>
      </c>
      <c r="L420" t="n">
        <v>0</v>
      </c>
      <c r="M420" t="n">
        <v>0</v>
      </c>
      <c r="N420" t="n">
        <v>0</v>
      </c>
      <c r="O420" t="n">
        <v>0</v>
      </c>
      <c r="P420" t="n">
        <v>0</v>
      </c>
      <c r="Q420" t="n">
        <v>0</v>
      </c>
      <c r="R420" s="2" t="inlineStr"/>
    </row>
    <row r="421" ht="15" customHeight="1">
      <c r="A421" t="inlineStr">
        <is>
          <t>A 57752-2023</t>
        </is>
      </c>
      <c r="B421" s="1" t="n">
        <v>45246.78474537037</v>
      </c>
      <c r="C421" s="1" t="n">
        <v>45882</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44155-2024</t>
        </is>
      </c>
      <c r="B422" s="1" t="n">
        <v>45572.68226851852</v>
      </c>
      <c r="C422" s="1" t="n">
        <v>45882</v>
      </c>
      <c r="D422" t="inlineStr">
        <is>
          <t>ÖSTERGÖTLANDS LÄN</t>
        </is>
      </c>
      <c r="E422" t="inlineStr">
        <is>
          <t>LINKÖPING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30434-2024</t>
        </is>
      </c>
      <c r="B423" s="1" t="n">
        <v>45491.69811342593</v>
      </c>
      <c r="C423" s="1" t="n">
        <v>45882</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63554-2023</t>
        </is>
      </c>
      <c r="B424" s="1" t="n">
        <v>45275</v>
      </c>
      <c r="C424" s="1" t="n">
        <v>45882</v>
      </c>
      <c r="D424" t="inlineStr">
        <is>
          <t>ÖSTERGÖTLANDS LÄN</t>
        </is>
      </c>
      <c r="E424" t="inlineStr">
        <is>
          <t>LINKÖPING</t>
        </is>
      </c>
      <c r="G424" t="n">
        <v>4.3</v>
      </c>
      <c r="H424" t="n">
        <v>0</v>
      </c>
      <c r="I424" t="n">
        <v>0</v>
      </c>
      <c r="J424" t="n">
        <v>0</v>
      </c>
      <c r="K424" t="n">
        <v>0</v>
      </c>
      <c r="L424" t="n">
        <v>0</v>
      </c>
      <c r="M424" t="n">
        <v>0</v>
      </c>
      <c r="N424" t="n">
        <v>0</v>
      </c>
      <c r="O424" t="n">
        <v>0</v>
      </c>
      <c r="P424" t="n">
        <v>0</v>
      </c>
      <c r="Q424" t="n">
        <v>0</v>
      </c>
      <c r="R424" s="2" t="inlineStr"/>
    </row>
    <row r="425" ht="15" customHeight="1">
      <c r="A425" t="inlineStr">
        <is>
          <t>A 56917-2022</t>
        </is>
      </c>
      <c r="B425" s="1" t="n">
        <v>44894</v>
      </c>
      <c r="C425" s="1" t="n">
        <v>45882</v>
      </c>
      <c r="D425" t="inlineStr">
        <is>
          <t>ÖSTERGÖTLANDS LÄN</t>
        </is>
      </c>
      <c r="E425" t="inlineStr">
        <is>
          <t>LINKÖPING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57766-2023</t>
        </is>
      </c>
      <c r="B426" s="1" t="n">
        <v>45246</v>
      </c>
      <c r="C426" s="1" t="n">
        <v>45882</v>
      </c>
      <c r="D426" t="inlineStr">
        <is>
          <t>ÖSTERGÖTLANDS LÄN</t>
        </is>
      </c>
      <c r="E426" t="inlineStr">
        <is>
          <t>LINKÖPING</t>
        </is>
      </c>
      <c r="F426" t="inlineStr">
        <is>
          <t>Allmännings- och besparingsskogar</t>
        </is>
      </c>
      <c r="G426" t="n">
        <v>12.8</v>
      </c>
      <c r="H426" t="n">
        <v>0</v>
      </c>
      <c r="I426" t="n">
        <v>0</v>
      </c>
      <c r="J426" t="n">
        <v>0</v>
      </c>
      <c r="K426" t="n">
        <v>0</v>
      </c>
      <c r="L426" t="n">
        <v>0</v>
      </c>
      <c r="M426" t="n">
        <v>0</v>
      </c>
      <c r="N426" t="n">
        <v>0</v>
      </c>
      <c r="O426" t="n">
        <v>0</v>
      </c>
      <c r="P426" t="n">
        <v>0</v>
      </c>
      <c r="Q426" t="n">
        <v>0</v>
      </c>
      <c r="R426" s="2" t="inlineStr"/>
    </row>
    <row r="427" ht="15" customHeight="1">
      <c r="A427" t="inlineStr">
        <is>
          <t>A 19352-2025</t>
        </is>
      </c>
      <c r="B427" s="1" t="n">
        <v>45769</v>
      </c>
      <c r="C427" s="1" t="n">
        <v>45882</v>
      </c>
      <c r="D427" t="inlineStr">
        <is>
          <t>ÖSTERGÖTLANDS LÄN</t>
        </is>
      </c>
      <c r="E427" t="inlineStr">
        <is>
          <t>LINKÖPING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63638-2023</t>
        </is>
      </c>
      <c r="B428" s="1" t="n">
        <v>45275</v>
      </c>
      <c r="C428" s="1" t="n">
        <v>45882</v>
      </c>
      <c r="D428" t="inlineStr">
        <is>
          <t>ÖSTERGÖTLANDS LÄN</t>
        </is>
      </c>
      <c r="E428" t="inlineStr">
        <is>
          <t>LINKÖPING</t>
        </is>
      </c>
      <c r="F428" t="inlineStr">
        <is>
          <t>Övriga Aktiebolag</t>
        </is>
      </c>
      <c r="G428" t="n">
        <v>2.4</v>
      </c>
      <c r="H428" t="n">
        <v>0</v>
      </c>
      <c r="I428" t="n">
        <v>0</v>
      </c>
      <c r="J428" t="n">
        <v>0</v>
      </c>
      <c r="K428" t="n">
        <v>0</v>
      </c>
      <c r="L428" t="n">
        <v>0</v>
      </c>
      <c r="M428" t="n">
        <v>0</v>
      </c>
      <c r="N428" t="n">
        <v>0</v>
      </c>
      <c r="O428" t="n">
        <v>0</v>
      </c>
      <c r="P428" t="n">
        <v>0</v>
      </c>
      <c r="Q428" t="n">
        <v>0</v>
      </c>
      <c r="R428" s="2" t="inlineStr"/>
    </row>
    <row r="429" ht="15" customHeight="1">
      <c r="A429" t="inlineStr">
        <is>
          <t>A 63658-2023</t>
        </is>
      </c>
      <c r="B429" s="1" t="n">
        <v>45275</v>
      </c>
      <c r="C429" s="1" t="n">
        <v>45882</v>
      </c>
      <c r="D429" t="inlineStr">
        <is>
          <t>ÖSTERGÖTLANDS LÄN</t>
        </is>
      </c>
      <c r="E429" t="inlineStr">
        <is>
          <t>LINKÖPING</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29312-2024</t>
        </is>
      </c>
      <c r="B430" s="1" t="n">
        <v>45483</v>
      </c>
      <c r="C430" s="1" t="n">
        <v>45882</v>
      </c>
      <c r="D430" t="inlineStr">
        <is>
          <t>ÖSTERGÖTLANDS LÄN</t>
        </is>
      </c>
      <c r="E430" t="inlineStr">
        <is>
          <t>LINKÖPING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23120-2025</t>
        </is>
      </c>
      <c r="B431" s="1" t="n">
        <v>45791.37481481482</v>
      </c>
      <c r="C431" s="1" t="n">
        <v>45882</v>
      </c>
      <c r="D431" t="inlineStr">
        <is>
          <t>ÖSTERGÖTLANDS LÄN</t>
        </is>
      </c>
      <c r="E431" t="inlineStr">
        <is>
          <t>LINKÖPING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16820-2024</t>
        </is>
      </c>
      <c r="B432" s="1" t="n">
        <v>45411.46809027778</v>
      </c>
      <c r="C432" s="1" t="n">
        <v>45882</v>
      </c>
      <c r="D432" t="inlineStr">
        <is>
          <t>ÖSTERGÖTLANDS LÄN</t>
        </is>
      </c>
      <c r="E432" t="inlineStr">
        <is>
          <t>LINKÖPING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4456-2024</t>
        </is>
      </c>
      <c r="B433" s="1" t="n">
        <v>45327.52847222222</v>
      </c>
      <c r="C433" s="1" t="n">
        <v>45882</v>
      </c>
      <c r="D433" t="inlineStr">
        <is>
          <t>ÖSTERGÖTLANDS LÄN</t>
        </is>
      </c>
      <c r="E433" t="inlineStr">
        <is>
          <t>LINKÖPING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25568-2024</t>
        </is>
      </c>
      <c r="B434" s="1" t="n">
        <v>45463.58699074074</v>
      </c>
      <c r="C434" s="1" t="n">
        <v>45882</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20298-2025</t>
        </is>
      </c>
      <c r="B435" s="1" t="n">
        <v>45774.75024305555</v>
      </c>
      <c r="C435" s="1" t="n">
        <v>45882</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23768-2025</t>
        </is>
      </c>
      <c r="B436" s="1" t="n">
        <v>45793.47493055555</v>
      </c>
      <c r="C436" s="1" t="n">
        <v>45882</v>
      </c>
      <c r="D436" t="inlineStr">
        <is>
          <t>ÖSTERGÖTLANDS LÄN</t>
        </is>
      </c>
      <c r="E436" t="inlineStr">
        <is>
          <t>LINKÖPING</t>
        </is>
      </c>
      <c r="G436" t="n">
        <v>3.4</v>
      </c>
      <c r="H436" t="n">
        <v>0</v>
      </c>
      <c r="I436" t="n">
        <v>0</v>
      </c>
      <c r="J436" t="n">
        <v>0</v>
      </c>
      <c r="K436" t="n">
        <v>0</v>
      </c>
      <c r="L436" t="n">
        <v>0</v>
      </c>
      <c r="M436" t="n">
        <v>0</v>
      </c>
      <c r="N436" t="n">
        <v>0</v>
      </c>
      <c r="O436" t="n">
        <v>0</v>
      </c>
      <c r="P436" t="n">
        <v>0</v>
      </c>
      <c r="Q436" t="n">
        <v>0</v>
      </c>
      <c r="R436" s="2" t="inlineStr"/>
    </row>
    <row r="437" ht="15" customHeight="1">
      <c r="A437" t="inlineStr">
        <is>
          <t>A 15121-2022</t>
        </is>
      </c>
      <c r="B437" s="1" t="n">
        <v>44658</v>
      </c>
      <c r="C437" s="1" t="n">
        <v>45882</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50743-2023</t>
        </is>
      </c>
      <c r="B438" s="1" t="n">
        <v>45217</v>
      </c>
      <c r="C438" s="1" t="n">
        <v>45882</v>
      </c>
      <c r="D438" t="inlineStr">
        <is>
          <t>ÖSTERGÖTLANDS LÄN</t>
        </is>
      </c>
      <c r="E438" t="inlineStr">
        <is>
          <t>LINKÖPING</t>
        </is>
      </c>
      <c r="G438" t="n">
        <v>2.7</v>
      </c>
      <c r="H438" t="n">
        <v>0</v>
      </c>
      <c r="I438" t="n">
        <v>0</v>
      </c>
      <c r="J438" t="n">
        <v>0</v>
      </c>
      <c r="K438" t="n">
        <v>0</v>
      </c>
      <c r="L438" t="n">
        <v>0</v>
      </c>
      <c r="M438" t="n">
        <v>0</v>
      </c>
      <c r="N438" t="n">
        <v>0</v>
      </c>
      <c r="O438" t="n">
        <v>0</v>
      </c>
      <c r="P438" t="n">
        <v>0</v>
      </c>
      <c r="Q438" t="n">
        <v>0</v>
      </c>
      <c r="R438" s="2" t="inlineStr"/>
    </row>
    <row r="439" ht="15" customHeight="1">
      <c r="A439" t="inlineStr">
        <is>
          <t>A 1440-2021</t>
        </is>
      </c>
      <c r="B439" s="1" t="n">
        <v>44208</v>
      </c>
      <c r="C439" s="1" t="n">
        <v>45882</v>
      </c>
      <c r="D439" t="inlineStr">
        <is>
          <t>ÖSTERGÖTLANDS LÄN</t>
        </is>
      </c>
      <c r="E439" t="inlineStr">
        <is>
          <t>LINKÖPING</t>
        </is>
      </c>
      <c r="G439" t="n">
        <v>8.4</v>
      </c>
      <c r="H439" t="n">
        <v>0</v>
      </c>
      <c r="I439" t="n">
        <v>0</v>
      </c>
      <c r="J439" t="n">
        <v>0</v>
      </c>
      <c r="K439" t="n">
        <v>0</v>
      </c>
      <c r="L439" t="n">
        <v>0</v>
      </c>
      <c r="M439" t="n">
        <v>0</v>
      </c>
      <c r="N439" t="n">
        <v>0</v>
      </c>
      <c r="O439" t="n">
        <v>0</v>
      </c>
      <c r="P439" t="n">
        <v>0</v>
      </c>
      <c r="Q439" t="n">
        <v>0</v>
      </c>
      <c r="R439" s="2" t="inlineStr"/>
    </row>
    <row r="440" ht="15" customHeight="1">
      <c r="A440" t="inlineStr">
        <is>
          <t>A 13687-2025</t>
        </is>
      </c>
      <c r="B440" s="1" t="n">
        <v>45737.31425925926</v>
      </c>
      <c r="C440" s="1" t="n">
        <v>45882</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13688-2025</t>
        </is>
      </c>
      <c r="B441" s="1" t="n">
        <v>45737.3153125</v>
      </c>
      <c r="C441" s="1" t="n">
        <v>45882</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13695-2025</t>
        </is>
      </c>
      <c r="B442" s="1" t="n">
        <v>45737.32219907407</v>
      </c>
      <c r="C442" s="1" t="n">
        <v>45882</v>
      </c>
      <c r="D442" t="inlineStr">
        <is>
          <t>ÖSTERGÖTLANDS LÄN</t>
        </is>
      </c>
      <c r="E442" t="inlineStr">
        <is>
          <t>LINKÖPING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22833-2023</t>
        </is>
      </c>
      <c r="B443" s="1" t="n">
        <v>45071</v>
      </c>
      <c r="C443" s="1" t="n">
        <v>45882</v>
      </c>
      <c r="D443" t="inlineStr">
        <is>
          <t>ÖSTERGÖTLANDS LÄN</t>
        </is>
      </c>
      <c r="E443" t="inlineStr">
        <is>
          <t>LINKÖPING</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20294-2025</t>
        </is>
      </c>
      <c r="B444" s="1" t="n">
        <v>45774.74667824074</v>
      </c>
      <c r="C444" s="1" t="n">
        <v>45882</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2997-2025</t>
        </is>
      </c>
      <c r="B445" s="1" t="n">
        <v>45678.54631944445</v>
      </c>
      <c r="C445" s="1" t="n">
        <v>45882</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17128-2025</t>
        </is>
      </c>
      <c r="B446" s="1" t="n">
        <v>45755.72622685185</v>
      </c>
      <c r="C446" s="1" t="n">
        <v>45882</v>
      </c>
      <c r="D446" t="inlineStr">
        <is>
          <t>ÖSTERGÖTLANDS LÄN</t>
        </is>
      </c>
      <c r="E446" t="inlineStr">
        <is>
          <t>LINKÖPING</t>
        </is>
      </c>
      <c r="G446" t="n">
        <v>2.9</v>
      </c>
      <c r="H446" t="n">
        <v>0</v>
      </c>
      <c r="I446" t="n">
        <v>0</v>
      </c>
      <c r="J446" t="n">
        <v>0</v>
      </c>
      <c r="K446" t="n">
        <v>0</v>
      </c>
      <c r="L446" t="n">
        <v>0</v>
      </c>
      <c r="M446" t="n">
        <v>0</v>
      </c>
      <c r="N446" t="n">
        <v>0</v>
      </c>
      <c r="O446" t="n">
        <v>0</v>
      </c>
      <c r="P446" t="n">
        <v>0</v>
      </c>
      <c r="Q446" t="n">
        <v>0</v>
      </c>
      <c r="R446" s="2" t="inlineStr"/>
    </row>
    <row r="447" ht="15" customHeight="1">
      <c r="A447" t="inlineStr">
        <is>
          <t>A 52125-2022</t>
        </is>
      </c>
      <c r="B447" s="1" t="n">
        <v>44873</v>
      </c>
      <c r="C447" s="1" t="n">
        <v>45882</v>
      </c>
      <c r="D447" t="inlineStr">
        <is>
          <t>ÖSTERGÖTLANDS LÄN</t>
        </is>
      </c>
      <c r="E447" t="inlineStr">
        <is>
          <t>LINKÖPING</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41345-2021</t>
        </is>
      </c>
      <c r="B448" s="1" t="n">
        <v>44424.61851851852</v>
      </c>
      <c r="C448" s="1" t="n">
        <v>45882</v>
      </c>
      <c r="D448" t="inlineStr">
        <is>
          <t>ÖSTERGÖTLANDS LÄN</t>
        </is>
      </c>
      <c r="E448" t="inlineStr">
        <is>
          <t>LINKÖPING</t>
        </is>
      </c>
      <c r="F448" t="inlineStr">
        <is>
          <t>Sveaskog</t>
        </is>
      </c>
      <c r="G448" t="n">
        <v>6.3</v>
      </c>
      <c r="H448" t="n">
        <v>0</v>
      </c>
      <c r="I448" t="n">
        <v>0</v>
      </c>
      <c r="J448" t="n">
        <v>0</v>
      </c>
      <c r="K448" t="n">
        <v>0</v>
      </c>
      <c r="L448" t="n">
        <v>0</v>
      </c>
      <c r="M448" t="n">
        <v>0</v>
      </c>
      <c r="N448" t="n">
        <v>0</v>
      </c>
      <c r="O448" t="n">
        <v>0</v>
      </c>
      <c r="P448" t="n">
        <v>0</v>
      </c>
      <c r="Q448" t="n">
        <v>0</v>
      </c>
      <c r="R448" s="2" t="inlineStr"/>
    </row>
    <row r="449" ht="15" customHeight="1">
      <c r="A449" t="inlineStr">
        <is>
          <t>A 13266-2025</t>
        </is>
      </c>
      <c r="B449" s="1" t="n">
        <v>45735.53318287037</v>
      </c>
      <c r="C449" s="1" t="n">
        <v>45882</v>
      </c>
      <c r="D449" t="inlineStr">
        <is>
          <t>ÖSTERGÖTLANDS LÄN</t>
        </is>
      </c>
      <c r="E449" t="inlineStr">
        <is>
          <t>LINKÖPING</t>
        </is>
      </c>
      <c r="G449" t="n">
        <v>3.1</v>
      </c>
      <c r="H449" t="n">
        <v>0</v>
      </c>
      <c r="I449" t="n">
        <v>0</v>
      </c>
      <c r="J449" t="n">
        <v>0</v>
      </c>
      <c r="K449" t="n">
        <v>0</v>
      </c>
      <c r="L449" t="n">
        <v>0</v>
      </c>
      <c r="M449" t="n">
        <v>0</v>
      </c>
      <c r="N449" t="n">
        <v>0</v>
      </c>
      <c r="O449" t="n">
        <v>0</v>
      </c>
      <c r="P449" t="n">
        <v>0</v>
      </c>
      <c r="Q449" t="n">
        <v>0</v>
      </c>
      <c r="R449" s="2" t="inlineStr"/>
    </row>
    <row r="450" ht="15" customHeight="1">
      <c r="A450" t="inlineStr">
        <is>
          <t>A 16213-2025</t>
        </is>
      </c>
      <c r="B450" s="1" t="n">
        <v>45750.62740740741</v>
      </c>
      <c r="C450" s="1" t="n">
        <v>45882</v>
      </c>
      <c r="D450" t="inlineStr">
        <is>
          <t>ÖSTERGÖTLANDS LÄN</t>
        </is>
      </c>
      <c r="E450" t="inlineStr">
        <is>
          <t>LINKÖPING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48699-2024</t>
        </is>
      </c>
      <c r="B451" s="1" t="n">
        <v>45593.52091435185</v>
      </c>
      <c r="C451" s="1" t="n">
        <v>45882</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27343-2023</t>
        </is>
      </c>
      <c r="B452" s="1" t="n">
        <v>45096</v>
      </c>
      <c r="C452" s="1" t="n">
        <v>45882</v>
      </c>
      <c r="D452" t="inlineStr">
        <is>
          <t>ÖSTERGÖTLANDS LÄN</t>
        </is>
      </c>
      <c r="E452" t="inlineStr">
        <is>
          <t>LINKÖPING</t>
        </is>
      </c>
      <c r="F452" t="inlineStr">
        <is>
          <t>Allmännings- och besparingsskogar</t>
        </is>
      </c>
      <c r="G452" t="n">
        <v>6.9</v>
      </c>
      <c r="H452" t="n">
        <v>0</v>
      </c>
      <c r="I452" t="n">
        <v>0</v>
      </c>
      <c r="J452" t="n">
        <v>0</v>
      </c>
      <c r="K452" t="n">
        <v>0</v>
      </c>
      <c r="L452" t="n">
        <v>0</v>
      </c>
      <c r="M452" t="n">
        <v>0</v>
      </c>
      <c r="N452" t="n">
        <v>0</v>
      </c>
      <c r="O452" t="n">
        <v>0</v>
      </c>
      <c r="P452" t="n">
        <v>0</v>
      </c>
      <c r="Q452" t="n">
        <v>0</v>
      </c>
      <c r="R452" s="2" t="inlineStr"/>
    </row>
    <row r="453" ht="15" customHeight="1">
      <c r="A453" t="inlineStr">
        <is>
          <t>A 22842-2023</t>
        </is>
      </c>
      <c r="B453" s="1" t="n">
        <v>45071</v>
      </c>
      <c r="C453" s="1" t="n">
        <v>45882</v>
      </c>
      <c r="D453" t="inlineStr">
        <is>
          <t>ÖSTERGÖTLANDS LÄN</t>
        </is>
      </c>
      <c r="E453" t="inlineStr">
        <is>
          <t>LINKÖPING</t>
        </is>
      </c>
      <c r="F453" t="inlineStr">
        <is>
          <t>Kommuner</t>
        </is>
      </c>
      <c r="G453" t="n">
        <v>1.3</v>
      </c>
      <c r="H453" t="n">
        <v>0</v>
      </c>
      <c r="I453" t="n">
        <v>0</v>
      </c>
      <c r="J453" t="n">
        <v>0</v>
      </c>
      <c r="K453" t="n">
        <v>0</v>
      </c>
      <c r="L453" t="n">
        <v>0</v>
      </c>
      <c r="M453" t="n">
        <v>0</v>
      </c>
      <c r="N453" t="n">
        <v>0</v>
      </c>
      <c r="O453" t="n">
        <v>0</v>
      </c>
      <c r="P453" t="n">
        <v>0</v>
      </c>
      <c r="Q453" t="n">
        <v>0</v>
      </c>
      <c r="R453" s="2" t="inlineStr"/>
    </row>
    <row r="454" ht="15" customHeight="1">
      <c r="A454" t="inlineStr">
        <is>
          <t>A 37683-2024</t>
        </is>
      </c>
      <c r="B454" s="1" t="n">
        <v>45541.59120370371</v>
      </c>
      <c r="C454" s="1" t="n">
        <v>45882</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46225-2021</t>
        </is>
      </c>
      <c r="B455" s="1" t="n">
        <v>44442</v>
      </c>
      <c r="C455" s="1" t="n">
        <v>45882</v>
      </c>
      <c r="D455" t="inlineStr">
        <is>
          <t>ÖSTERGÖTLANDS LÄN</t>
        </is>
      </c>
      <c r="E455" t="inlineStr">
        <is>
          <t>LINKÖPING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25776-2021</t>
        </is>
      </c>
      <c r="B456" s="1" t="n">
        <v>44343</v>
      </c>
      <c r="C456" s="1" t="n">
        <v>45882</v>
      </c>
      <c r="D456" t="inlineStr">
        <is>
          <t>ÖSTERGÖTLANDS LÄN</t>
        </is>
      </c>
      <c r="E456" t="inlineStr">
        <is>
          <t>LINKÖPING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14520-2025</t>
        </is>
      </c>
      <c r="B457" s="1" t="n">
        <v>45741</v>
      </c>
      <c r="C457" s="1" t="n">
        <v>45882</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31548-2022</t>
        </is>
      </c>
      <c r="B458" s="1" t="n">
        <v>44775.39832175926</v>
      </c>
      <c r="C458" s="1" t="n">
        <v>45882</v>
      </c>
      <c r="D458" t="inlineStr">
        <is>
          <t>ÖSTERGÖTLANDS LÄN</t>
        </is>
      </c>
      <c r="E458" t="inlineStr">
        <is>
          <t>LINKÖPING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13911-2025</t>
        </is>
      </c>
      <c r="B459" s="1" t="n">
        <v>45737.64784722222</v>
      </c>
      <c r="C459" s="1" t="n">
        <v>45882</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51484-2023</t>
        </is>
      </c>
      <c r="B460" s="1" t="n">
        <v>45222</v>
      </c>
      <c r="C460" s="1" t="n">
        <v>45882</v>
      </c>
      <c r="D460" t="inlineStr">
        <is>
          <t>ÖSTERGÖTLANDS LÄN</t>
        </is>
      </c>
      <c r="E460" t="inlineStr">
        <is>
          <t>LINKÖPING</t>
        </is>
      </c>
      <c r="F460" t="inlineStr">
        <is>
          <t>Övriga Aktiebolag</t>
        </is>
      </c>
      <c r="G460" t="n">
        <v>7.7</v>
      </c>
      <c r="H460" t="n">
        <v>0</v>
      </c>
      <c r="I460" t="n">
        <v>0</v>
      </c>
      <c r="J460" t="n">
        <v>0</v>
      </c>
      <c r="K460" t="n">
        <v>0</v>
      </c>
      <c r="L460" t="n">
        <v>0</v>
      </c>
      <c r="M460" t="n">
        <v>0</v>
      </c>
      <c r="N460" t="n">
        <v>0</v>
      </c>
      <c r="O460" t="n">
        <v>0</v>
      </c>
      <c r="P460" t="n">
        <v>0</v>
      </c>
      <c r="Q460" t="n">
        <v>0</v>
      </c>
      <c r="R460" s="2" t="inlineStr"/>
    </row>
    <row r="461" ht="15" customHeight="1">
      <c r="A461" t="inlineStr">
        <is>
          <t>A 62017-2024</t>
        </is>
      </c>
      <c r="B461" s="1" t="n">
        <v>45655.81140046296</v>
      </c>
      <c r="C461" s="1" t="n">
        <v>45882</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17898-2022</t>
        </is>
      </c>
      <c r="B462" s="1" t="n">
        <v>44683</v>
      </c>
      <c r="C462" s="1" t="n">
        <v>45882</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17785-2023</t>
        </is>
      </c>
      <c r="B463" s="1" t="n">
        <v>45037.55094907407</v>
      </c>
      <c r="C463" s="1" t="n">
        <v>45882</v>
      </c>
      <c r="D463" t="inlineStr">
        <is>
          <t>ÖSTERGÖTLANDS LÄN</t>
        </is>
      </c>
      <c r="E463" t="inlineStr">
        <is>
          <t>LINKÖPING</t>
        </is>
      </c>
      <c r="F463" t="inlineStr">
        <is>
          <t>Allmännings- och besparingsskogar</t>
        </is>
      </c>
      <c r="G463" t="n">
        <v>3.1</v>
      </c>
      <c r="H463" t="n">
        <v>0</v>
      </c>
      <c r="I463" t="n">
        <v>0</v>
      </c>
      <c r="J463" t="n">
        <v>0</v>
      </c>
      <c r="K463" t="n">
        <v>0</v>
      </c>
      <c r="L463" t="n">
        <v>0</v>
      </c>
      <c r="M463" t="n">
        <v>0</v>
      </c>
      <c r="N463" t="n">
        <v>0</v>
      </c>
      <c r="O463" t="n">
        <v>0</v>
      </c>
      <c r="P463" t="n">
        <v>0</v>
      </c>
      <c r="Q463" t="n">
        <v>0</v>
      </c>
      <c r="R463" s="2" t="inlineStr"/>
    </row>
    <row r="464" ht="15" customHeight="1">
      <c r="A464" t="inlineStr">
        <is>
          <t>A 63487-2023</t>
        </is>
      </c>
      <c r="B464" s="1" t="n">
        <v>45274.66712962963</v>
      </c>
      <c r="C464" s="1" t="n">
        <v>45882</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35463-2023</t>
        </is>
      </c>
      <c r="B465" s="1" t="n">
        <v>45146</v>
      </c>
      <c r="C465" s="1" t="n">
        <v>45882</v>
      </c>
      <c r="D465" t="inlineStr">
        <is>
          <t>ÖSTERGÖTLANDS LÄN</t>
        </is>
      </c>
      <c r="E465" t="inlineStr">
        <is>
          <t>LINKÖPING</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44280-2024</t>
        </is>
      </c>
      <c r="B466" s="1" t="n">
        <v>45573.49461805556</v>
      </c>
      <c r="C466" s="1" t="n">
        <v>45882</v>
      </c>
      <c r="D466" t="inlineStr">
        <is>
          <t>ÖSTERGÖTLANDS LÄN</t>
        </is>
      </c>
      <c r="E466" t="inlineStr">
        <is>
          <t>LINKÖPING</t>
        </is>
      </c>
      <c r="G466" t="n">
        <v>5.3</v>
      </c>
      <c r="H466" t="n">
        <v>0</v>
      </c>
      <c r="I466" t="n">
        <v>0</v>
      </c>
      <c r="J466" t="n">
        <v>0</v>
      </c>
      <c r="K466" t="n">
        <v>0</v>
      </c>
      <c r="L466" t="n">
        <v>0</v>
      </c>
      <c r="M466" t="n">
        <v>0</v>
      </c>
      <c r="N466" t="n">
        <v>0</v>
      </c>
      <c r="O466" t="n">
        <v>0</v>
      </c>
      <c r="P466" t="n">
        <v>0</v>
      </c>
      <c r="Q466" t="n">
        <v>0</v>
      </c>
      <c r="R466" s="2" t="inlineStr"/>
    </row>
    <row r="467" ht="15" customHeight="1">
      <c r="A467" t="inlineStr">
        <is>
          <t>A 62686-2023</t>
        </is>
      </c>
      <c r="B467" s="1" t="n">
        <v>45271</v>
      </c>
      <c r="C467" s="1" t="n">
        <v>45882</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42044-2023</t>
        </is>
      </c>
      <c r="B468" s="1" t="n">
        <v>45177</v>
      </c>
      <c r="C468" s="1" t="n">
        <v>45882</v>
      </c>
      <c r="D468" t="inlineStr">
        <is>
          <t>ÖSTERGÖTLANDS LÄN</t>
        </is>
      </c>
      <c r="E468" t="inlineStr">
        <is>
          <t>LINKÖPING</t>
        </is>
      </c>
      <c r="G468" t="n">
        <v>3.9</v>
      </c>
      <c r="H468" t="n">
        <v>0</v>
      </c>
      <c r="I468" t="n">
        <v>0</v>
      </c>
      <c r="J468" t="n">
        <v>0</v>
      </c>
      <c r="K468" t="n">
        <v>0</v>
      </c>
      <c r="L468" t="n">
        <v>0</v>
      </c>
      <c r="M468" t="n">
        <v>0</v>
      </c>
      <c r="N468" t="n">
        <v>0</v>
      </c>
      <c r="O468" t="n">
        <v>0</v>
      </c>
      <c r="P468" t="n">
        <v>0</v>
      </c>
      <c r="Q468" t="n">
        <v>0</v>
      </c>
      <c r="R468" s="2" t="inlineStr"/>
    </row>
    <row r="469" ht="15" customHeight="1">
      <c r="A469" t="inlineStr">
        <is>
          <t>A 5314-2021</t>
        </is>
      </c>
      <c r="B469" s="1" t="n">
        <v>44229</v>
      </c>
      <c r="C469" s="1" t="n">
        <v>45882</v>
      </c>
      <c r="D469" t="inlineStr">
        <is>
          <t>ÖSTERGÖTLANDS LÄN</t>
        </is>
      </c>
      <c r="E469" t="inlineStr">
        <is>
          <t>LINKÖPING</t>
        </is>
      </c>
      <c r="G469" t="n">
        <v>6.2</v>
      </c>
      <c r="H469" t="n">
        <v>0</v>
      </c>
      <c r="I469" t="n">
        <v>0</v>
      </c>
      <c r="J469" t="n">
        <v>0</v>
      </c>
      <c r="K469" t="n">
        <v>0</v>
      </c>
      <c r="L469" t="n">
        <v>0</v>
      </c>
      <c r="M469" t="n">
        <v>0</v>
      </c>
      <c r="N469" t="n">
        <v>0</v>
      </c>
      <c r="O469" t="n">
        <v>0</v>
      </c>
      <c r="P469" t="n">
        <v>0</v>
      </c>
      <c r="Q469" t="n">
        <v>0</v>
      </c>
      <c r="R469" s="2" t="inlineStr"/>
    </row>
    <row r="470" ht="15" customHeight="1">
      <c r="A470" t="inlineStr">
        <is>
          <t>A 53616-2020</t>
        </is>
      </c>
      <c r="B470" s="1" t="n">
        <v>44123</v>
      </c>
      <c r="C470" s="1" t="n">
        <v>45882</v>
      </c>
      <c r="D470" t="inlineStr">
        <is>
          <t>ÖSTERGÖTLANDS LÄN</t>
        </is>
      </c>
      <c r="E470" t="inlineStr">
        <is>
          <t>LINKÖPING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55632-2022</t>
        </is>
      </c>
      <c r="B471" s="1" t="n">
        <v>44888</v>
      </c>
      <c r="C471" s="1" t="n">
        <v>45882</v>
      </c>
      <c r="D471" t="inlineStr">
        <is>
          <t>ÖSTERGÖTLANDS LÄN</t>
        </is>
      </c>
      <c r="E471" t="inlineStr">
        <is>
          <t>LINKÖPING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49656-2021</t>
        </is>
      </c>
      <c r="B472" s="1" t="n">
        <v>44454</v>
      </c>
      <c r="C472" s="1" t="n">
        <v>45882</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63559-2023</t>
        </is>
      </c>
      <c r="B473" s="1" t="n">
        <v>45275.35924768518</v>
      </c>
      <c r="C473" s="1" t="n">
        <v>45882</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58114-2021</t>
        </is>
      </c>
      <c r="B474" s="1" t="n">
        <v>44487</v>
      </c>
      <c r="C474" s="1" t="n">
        <v>45882</v>
      </c>
      <c r="D474" t="inlineStr">
        <is>
          <t>ÖSTERGÖTLANDS LÄN</t>
        </is>
      </c>
      <c r="E474" t="inlineStr">
        <is>
          <t>LINKÖPING</t>
        </is>
      </c>
      <c r="F474" t="inlineStr">
        <is>
          <t>Övriga Aktiebolag</t>
        </is>
      </c>
      <c r="G474" t="n">
        <v>0.8</v>
      </c>
      <c r="H474" t="n">
        <v>0</v>
      </c>
      <c r="I474" t="n">
        <v>0</v>
      </c>
      <c r="J474" t="n">
        <v>0</v>
      </c>
      <c r="K474" t="n">
        <v>0</v>
      </c>
      <c r="L474" t="n">
        <v>0</v>
      </c>
      <c r="M474" t="n">
        <v>0</v>
      </c>
      <c r="N474" t="n">
        <v>0</v>
      </c>
      <c r="O474" t="n">
        <v>0</v>
      </c>
      <c r="P474" t="n">
        <v>0</v>
      </c>
      <c r="Q474" t="n">
        <v>0</v>
      </c>
      <c r="R474" s="2" t="inlineStr"/>
    </row>
    <row r="475" ht="15" customHeight="1">
      <c r="A475" t="inlineStr">
        <is>
          <t>A 38230-2023</t>
        </is>
      </c>
      <c r="B475" s="1" t="n">
        <v>45161.55373842592</v>
      </c>
      <c r="C475" s="1" t="n">
        <v>45882</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45442-2024</t>
        </is>
      </c>
      <c r="B476" s="1" t="n">
        <v>45576.64189814815</v>
      </c>
      <c r="C476" s="1" t="n">
        <v>45882</v>
      </c>
      <c r="D476" t="inlineStr">
        <is>
          <t>ÖSTERGÖTLANDS LÄN</t>
        </is>
      </c>
      <c r="E476" t="inlineStr">
        <is>
          <t>LINKÖPING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4908-2023</t>
        </is>
      </c>
      <c r="B477" s="1" t="n">
        <v>44958</v>
      </c>
      <c r="C477" s="1" t="n">
        <v>45882</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42697-2020</t>
        </is>
      </c>
      <c r="B478" s="1" t="n">
        <v>44077</v>
      </c>
      <c r="C478" s="1" t="n">
        <v>45882</v>
      </c>
      <c r="D478" t="inlineStr">
        <is>
          <t>ÖSTERGÖTLANDS LÄN</t>
        </is>
      </c>
      <c r="E478" t="inlineStr">
        <is>
          <t>LINKÖPING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1265-2023</t>
        </is>
      </c>
      <c r="B479" s="1" t="n">
        <v>44936</v>
      </c>
      <c r="C479" s="1" t="n">
        <v>45882</v>
      </c>
      <c r="D479" t="inlineStr">
        <is>
          <t>ÖSTERGÖTLANDS LÄN</t>
        </is>
      </c>
      <c r="E479" t="inlineStr">
        <is>
          <t>LINKÖPING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55944-2024</t>
        </is>
      </c>
      <c r="B480" s="1" t="n">
        <v>45623.61640046296</v>
      </c>
      <c r="C480" s="1" t="n">
        <v>45882</v>
      </c>
      <c r="D480" t="inlineStr">
        <is>
          <t>ÖSTERGÖTLANDS LÄN</t>
        </is>
      </c>
      <c r="E480" t="inlineStr">
        <is>
          <t>LINKÖPING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55947-2024</t>
        </is>
      </c>
      <c r="B481" s="1" t="n">
        <v>45623</v>
      </c>
      <c r="C481" s="1" t="n">
        <v>45882</v>
      </c>
      <c r="D481" t="inlineStr">
        <is>
          <t>ÖSTERGÖTLANDS LÄN</t>
        </is>
      </c>
      <c r="E481" t="inlineStr">
        <is>
          <t>LINKÖPING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12411-2022</t>
        </is>
      </c>
      <c r="B482" s="1" t="n">
        <v>44638.21601851852</v>
      </c>
      <c r="C482" s="1" t="n">
        <v>45882</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3374-2023</t>
        </is>
      </c>
      <c r="B483" s="1" t="n">
        <v>44949</v>
      </c>
      <c r="C483" s="1" t="n">
        <v>45882</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24151-2024</t>
        </is>
      </c>
      <c r="B484" s="1" t="n">
        <v>45456.67717592593</v>
      </c>
      <c r="C484" s="1" t="n">
        <v>45882</v>
      </c>
      <c r="D484" t="inlineStr">
        <is>
          <t>ÖSTERGÖTLANDS LÄN</t>
        </is>
      </c>
      <c r="E484" t="inlineStr">
        <is>
          <t>LINKÖPING</t>
        </is>
      </c>
      <c r="G484" t="n">
        <v>2.1</v>
      </c>
      <c r="H484" t="n">
        <v>0</v>
      </c>
      <c r="I484" t="n">
        <v>0</v>
      </c>
      <c r="J484" t="n">
        <v>0</v>
      </c>
      <c r="K484" t="n">
        <v>0</v>
      </c>
      <c r="L484" t="n">
        <v>0</v>
      </c>
      <c r="M484" t="n">
        <v>0</v>
      </c>
      <c r="N484" t="n">
        <v>0</v>
      </c>
      <c r="O484" t="n">
        <v>0</v>
      </c>
      <c r="P484" t="n">
        <v>0</v>
      </c>
      <c r="Q484" t="n">
        <v>0</v>
      </c>
      <c r="R484" s="2" t="inlineStr"/>
    </row>
    <row r="485" ht="15" customHeight="1">
      <c r="A485" t="inlineStr">
        <is>
          <t>A 33947-2025</t>
        </is>
      </c>
      <c r="B485" s="1" t="n">
        <v>45842.65444444444</v>
      </c>
      <c r="C485" s="1" t="n">
        <v>45882</v>
      </c>
      <c r="D485" t="inlineStr">
        <is>
          <t>ÖSTERGÖTLANDS LÄN</t>
        </is>
      </c>
      <c r="E485" t="inlineStr">
        <is>
          <t>LINKÖPING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44739-2020</t>
        </is>
      </c>
      <c r="B486" s="1" t="n">
        <v>44085</v>
      </c>
      <c r="C486" s="1" t="n">
        <v>45882</v>
      </c>
      <c r="D486" t="inlineStr">
        <is>
          <t>ÖSTERGÖTLANDS LÄN</t>
        </is>
      </c>
      <c r="E486" t="inlineStr">
        <is>
          <t>LINKÖPING</t>
        </is>
      </c>
      <c r="G486" t="n">
        <v>5</v>
      </c>
      <c r="H486" t="n">
        <v>0</v>
      </c>
      <c r="I486" t="n">
        <v>0</v>
      </c>
      <c r="J486" t="n">
        <v>0</v>
      </c>
      <c r="K486" t="n">
        <v>0</v>
      </c>
      <c r="L486" t="n">
        <v>0</v>
      </c>
      <c r="M486" t="n">
        <v>0</v>
      </c>
      <c r="N486" t="n">
        <v>0</v>
      </c>
      <c r="O486" t="n">
        <v>0</v>
      </c>
      <c r="P486" t="n">
        <v>0</v>
      </c>
      <c r="Q486" t="n">
        <v>0</v>
      </c>
      <c r="R486" s="2" t="inlineStr"/>
    </row>
    <row r="487" ht="15" customHeight="1">
      <c r="A487" t="inlineStr">
        <is>
          <t>A 23491-2024</t>
        </is>
      </c>
      <c r="B487" s="1" t="n">
        <v>45453</v>
      </c>
      <c r="C487" s="1" t="n">
        <v>45882</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25829-2025</t>
        </is>
      </c>
      <c r="B488" s="1" t="n">
        <v>45804.44505787037</v>
      </c>
      <c r="C488" s="1" t="n">
        <v>45882</v>
      </c>
      <c r="D488" t="inlineStr">
        <is>
          <t>ÖSTERGÖTLANDS LÄN</t>
        </is>
      </c>
      <c r="E488" t="inlineStr">
        <is>
          <t>LINKÖPING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70-2024</t>
        </is>
      </c>
      <c r="B489" s="1" t="n">
        <v>45293</v>
      </c>
      <c r="C489" s="1" t="n">
        <v>45882</v>
      </c>
      <c r="D489" t="inlineStr">
        <is>
          <t>ÖSTERGÖTLANDS LÄN</t>
        </is>
      </c>
      <c r="E489" t="inlineStr">
        <is>
          <t>LINKÖPING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6054-2022</t>
        </is>
      </c>
      <c r="B490" s="1" t="n">
        <v>44599.53623842593</v>
      </c>
      <c r="C490" s="1" t="n">
        <v>45882</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31725-2022</t>
        </is>
      </c>
      <c r="B491" s="1" t="n">
        <v>44776.48541666667</v>
      </c>
      <c r="C491" s="1" t="n">
        <v>45882</v>
      </c>
      <c r="D491" t="inlineStr">
        <is>
          <t>ÖSTERGÖTLANDS LÄN</t>
        </is>
      </c>
      <c r="E491" t="inlineStr">
        <is>
          <t>LINKÖPING</t>
        </is>
      </c>
      <c r="G491" t="n">
        <v>2.6</v>
      </c>
      <c r="H491" t="n">
        <v>0</v>
      </c>
      <c r="I491" t="n">
        <v>0</v>
      </c>
      <c r="J491" t="n">
        <v>0</v>
      </c>
      <c r="K491" t="n">
        <v>0</v>
      </c>
      <c r="L491" t="n">
        <v>0</v>
      </c>
      <c r="M491" t="n">
        <v>0</v>
      </c>
      <c r="N491" t="n">
        <v>0</v>
      </c>
      <c r="O491" t="n">
        <v>0</v>
      </c>
      <c r="P491" t="n">
        <v>0</v>
      </c>
      <c r="Q491" t="n">
        <v>0</v>
      </c>
      <c r="R491" s="2" t="inlineStr"/>
    </row>
    <row r="492" ht="15" customHeight="1">
      <c r="A492" t="inlineStr">
        <is>
          <t>A 26002-2025</t>
        </is>
      </c>
      <c r="B492" s="1" t="n">
        <v>45804.66534722222</v>
      </c>
      <c r="C492" s="1" t="n">
        <v>45882</v>
      </c>
      <c r="D492" t="inlineStr">
        <is>
          <t>ÖSTERGÖTLANDS LÄN</t>
        </is>
      </c>
      <c r="E492" t="inlineStr">
        <is>
          <t>LINKÖPING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72567-2021</t>
        </is>
      </c>
      <c r="B493" s="1" t="n">
        <v>44546.45023148148</v>
      </c>
      <c r="C493" s="1" t="n">
        <v>45882</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26007-2025</t>
        </is>
      </c>
      <c r="B494" s="1" t="n">
        <v>45804.67081018518</v>
      </c>
      <c r="C494" s="1" t="n">
        <v>45882</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25996-2025</t>
        </is>
      </c>
      <c r="B495" s="1" t="n">
        <v>45804.65851851852</v>
      </c>
      <c r="C495" s="1" t="n">
        <v>45882</v>
      </c>
      <c r="D495" t="inlineStr">
        <is>
          <t>ÖSTERGÖTLANDS LÄN</t>
        </is>
      </c>
      <c r="E495" t="inlineStr">
        <is>
          <t>LINKÖPING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67123-2020</t>
        </is>
      </c>
      <c r="B496" s="1" t="n">
        <v>44180</v>
      </c>
      <c r="C496" s="1" t="n">
        <v>45882</v>
      </c>
      <c r="D496" t="inlineStr">
        <is>
          <t>ÖSTERGÖTLANDS LÄN</t>
        </is>
      </c>
      <c r="E496" t="inlineStr">
        <is>
          <t>LINKÖPING</t>
        </is>
      </c>
      <c r="F496" t="inlineStr">
        <is>
          <t>Övriga statliga verk och myndigheter</t>
        </is>
      </c>
      <c r="G496" t="n">
        <v>1.3</v>
      </c>
      <c r="H496" t="n">
        <v>0</v>
      </c>
      <c r="I496" t="n">
        <v>0</v>
      </c>
      <c r="J496" t="n">
        <v>0</v>
      </c>
      <c r="K496" t="n">
        <v>0</v>
      </c>
      <c r="L496" t="n">
        <v>0</v>
      </c>
      <c r="M496" t="n">
        <v>0</v>
      </c>
      <c r="N496" t="n">
        <v>0</v>
      </c>
      <c r="O496" t="n">
        <v>0</v>
      </c>
      <c r="P496" t="n">
        <v>0</v>
      </c>
      <c r="Q496" t="n">
        <v>0</v>
      </c>
      <c r="R496" s="2" t="inlineStr"/>
    </row>
    <row r="497" ht="15" customHeight="1">
      <c r="A497" t="inlineStr">
        <is>
          <t>A 14576-2023</t>
        </is>
      </c>
      <c r="B497" s="1" t="n">
        <v>45013</v>
      </c>
      <c r="C497" s="1" t="n">
        <v>45882</v>
      </c>
      <c r="D497" t="inlineStr">
        <is>
          <t>ÖSTERGÖTLANDS LÄN</t>
        </is>
      </c>
      <c r="E497" t="inlineStr">
        <is>
          <t>LINKÖPING</t>
        </is>
      </c>
      <c r="G497" t="n">
        <v>3.2</v>
      </c>
      <c r="H497" t="n">
        <v>0</v>
      </c>
      <c r="I497" t="n">
        <v>0</v>
      </c>
      <c r="J497" t="n">
        <v>0</v>
      </c>
      <c r="K497" t="n">
        <v>0</v>
      </c>
      <c r="L497" t="n">
        <v>0</v>
      </c>
      <c r="M497" t="n">
        <v>0</v>
      </c>
      <c r="N497" t="n">
        <v>0</v>
      </c>
      <c r="O497" t="n">
        <v>0</v>
      </c>
      <c r="P497" t="n">
        <v>0</v>
      </c>
      <c r="Q497" t="n">
        <v>0</v>
      </c>
      <c r="R497" s="2" t="inlineStr"/>
    </row>
    <row r="498" ht="15" customHeight="1">
      <c r="A498" t="inlineStr">
        <is>
          <t>A 74160-2021</t>
        </is>
      </c>
      <c r="B498" s="1" t="n">
        <v>44558</v>
      </c>
      <c r="C498" s="1" t="n">
        <v>45882</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25831-2025</t>
        </is>
      </c>
      <c r="B499" s="1" t="n">
        <v>45804.44638888889</v>
      </c>
      <c r="C499" s="1" t="n">
        <v>45882</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57391-2023</t>
        </is>
      </c>
      <c r="B500" s="1" t="n">
        <v>45245</v>
      </c>
      <c r="C500" s="1" t="n">
        <v>45882</v>
      </c>
      <c r="D500" t="inlineStr">
        <is>
          <t>ÖSTERGÖTLANDS LÄN</t>
        </is>
      </c>
      <c r="E500" t="inlineStr">
        <is>
          <t>LINKÖPING</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7992-2023</t>
        </is>
      </c>
      <c r="B501" s="1" t="n">
        <v>44970</v>
      </c>
      <c r="C501" s="1" t="n">
        <v>45882</v>
      </c>
      <c r="D501" t="inlineStr">
        <is>
          <t>ÖSTERGÖTLANDS LÄN</t>
        </is>
      </c>
      <c r="E501" t="inlineStr">
        <is>
          <t>LINKÖPING</t>
        </is>
      </c>
      <c r="F501" t="inlineStr">
        <is>
          <t>Kommuner</t>
        </is>
      </c>
      <c r="G501" t="n">
        <v>1</v>
      </c>
      <c r="H501" t="n">
        <v>0</v>
      </c>
      <c r="I501" t="n">
        <v>0</v>
      </c>
      <c r="J501" t="n">
        <v>0</v>
      </c>
      <c r="K501" t="n">
        <v>0</v>
      </c>
      <c r="L501" t="n">
        <v>0</v>
      </c>
      <c r="M501" t="n">
        <v>0</v>
      </c>
      <c r="N501" t="n">
        <v>0</v>
      </c>
      <c r="O501" t="n">
        <v>0</v>
      </c>
      <c r="P501" t="n">
        <v>0</v>
      </c>
      <c r="Q501" t="n">
        <v>0</v>
      </c>
      <c r="R501" s="2" t="inlineStr"/>
    </row>
    <row r="502" ht="15" customHeight="1">
      <c r="A502" t="inlineStr">
        <is>
          <t>A 3042-2024</t>
        </is>
      </c>
      <c r="B502" s="1" t="n">
        <v>45316.35028935185</v>
      </c>
      <c r="C502" s="1" t="n">
        <v>45882</v>
      </c>
      <c r="D502" t="inlineStr">
        <is>
          <t>ÖSTERGÖTLANDS LÄN</t>
        </is>
      </c>
      <c r="E502" t="inlineStr">
        <is>
          <t>LINKÖPING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13689-2025</t>
        </is>
      </c>
      <c r="B503" s="1" t="n">
        <v>45737.31590277778</v>
      </c>
      <c r="C503" s="1" t="n">
        <v>45882</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13696-2025</t>
        </is>
      </c>
      <c r="B504" s="1" t="n">
        <v>45737.32273148148</v>
      </c>
      <c r="C504" s="1" t="n">
        <v>45882</v>
      </c>
      <c r="D504" t="inlineStr">
        <is>
          <t>ÖSTERGÖTLANDS LÄN</t>
        </is>
      </c>
      <c r="E504" t="inlineStr">
        <is>
          <t>LINKÖPING</t>
        </is>
      </c>
      <c r="G504" t="n">
        <v>3.5</v>
      </c>
      <c r="H504" t="n">
        <v>0</v>
      </c>
      <c r="I504" t="n">
        <v>0</v>
      </c>
      <c r="J504" t="n">
        <v>0</v>
      </c>
      <c r="K504" t="n">
        <v>0</v>
      </c>
      <c r="L504" t="n">
        <v>0</v>
      </c>
      <c r="M504" t="n">
        <v>0</v>
      </c>
      <c r="N504" t="n">
        <v>0</v>
      </c>
      <c r="O504" t="n">
        <v>0</v>
      </c>
      <c r="P504" t="n">
        <v>0</v>
      </c>
      <c r="Q504" t="n">
        <v>0</v>
      </c>
      <c r="R504" s="2" t="inlineStr"/>
    </row>
    <row r="505" ht="15" customHeight="1">
      <c r="A505" t="inlineStr">
        <is>
          <t>A 61227-2024</t>
        </is>
      </c>
      <c r="B505" s="1" t="n">
        <v>45645.66853009259</v>
      </c>
      <c r="C505" s="1" t="n">
        <v>45882</v>
      </c>
      <c r="D505" t="inlineStr">
        <is>
          <t>ÖSTERGÖTLANDS LÄN</t>
        </is>
      </c>
      <c r="E505" t="inlineStr">
        <is>
          <t>LINKÖPING</t>
        </is>
      </c>
      <c r="G505" t="n">
        <v>6</v>
      </c>
      <c r="H505" t="n">
        <v>0</v>
      </c>
      <c r="I505" t="n">
        <v>0</v>
      </c>
      <c r="J505" t="n">
        <v>0</v>
      </c>
      <c r="K505" t="n">
        <v>0</v>
      </c>
      <c r="L505" t="n">
        <v>0</v>
      </c>
      <c r="M505" t="n">
        <v>0</v>
      </c>
      <c r="N505" t="n">
        <v>0</v>
      </c>
      <c r="O505" t="n">
        <v>0</v>
      </c>
      <c r="P505" t="n">
        <v>0</v>
      </c>
      <c r="Q505" t="n">
        <v>0</v>
      </c>
      <c r="R505" s="2" t="inlineStr"/>
    </row>
    <row r="506" ht="15" customHeight="1">
      <c r="A506" t="inlineStr">
        <is>
          <t>A 1924-2024</t>
        </is>
      </c>
      <c r="B506" s="1" t="n">
        <v>45308</v>
      </c>
      <c r="C506" s="1" t="n">
        <v>45882</v>
      </c>
      <c r="D506" t="inlineStr">
        <is>
          <t>ÖSTERGÖTLANDS LÄN</t>
        </is>
      </c>
      <c r="E506" t="inlineStr">
        <is>
          <t>LINKÖPING</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32346-2023</t>
        </is>
      </c>
      <c r="B507" s="1" t="n">
        <v>45120</v>
      </c>
      <c r="C507" s="1" t="n">
        <v>45882</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50508-2024</t>
        </is>
      </c>
      <c r="B508" s="1" t="n">
        <v>45601.53907407408</v>
      </c>
      <c r="C508" s="1" t="n">
        <v>45882</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7808-2022</t>
        </is>
      </c>
      <c r="B509" s="1" t="n">
        <v>44608</v>
      </c>
      <c r="C509" s="1" t="n">
        <v>45882</v>
      </c>
      <c r="D509" t="inlineStr">
        <is>
          <t>ÖSTERGÖTLANDS LÄN</t>
        </is>
      </c>
      <c r="E509" t="inlineStr">
        <is>
          <t>LINKÖPING</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27844-2024</t>
        </is>
      </c>
      <c r="B510" s="1" t="n">
        <v>45475.63047453704</v>
      </c>
      <c r="C510" s="1" t="n">
        <v>45882</v>
      </c>
      <c r="D510" t="inlineStr">
        <is>
          <t>ÖSTERGÖTLANDS LÄN</t>
        </is>
      </c>
      <c r="E510" t="inlineStr">
        <is>
          <t>LINKÖPING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27766-2022</t>
        </is>
      </c>
      <c r="B511" s="1" t="n">
        <v>44743.53112268518</v>
      </c>
      <c r="C511" s="1" t="n">
        <v>45882</v>
      </c>
      <c r="D511" t="inlineStr">
        <is>
          <t>ÖSTERGÖTLANDS LÄN</t>
        </is>
      </c>
      <c r="E511" t="inlineStr">
        <is>
          <t>LINKÖPING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40810-2022</t>
        </is>
      </c>
      <c r="B512" s="1" t="n">
        <v>44824</v>
      </c>
      <c r="C512" s="1" t="n">
        <v>45882</v>
      </c>
      <c r="D512" t="inlineStr">
        <is>
          <t>ÖSTERGÖTLANDS LÄN</t>
        </is>
      </c>
      <c r="E512" t="inlineStr">
        <is>
          <t>LINKÖPING</t>
        </is>
      </c>
      <c r="G512" t="n">
        <v>2.8</v>
      </c>
      <c r="H512" t="n">
        <v>0</v>
      </c>
      <c r="I512" t="n">
        <v>0</v>
      </c>
      <c r="J512" t="n">
        <v>0</v>
      </c>
      <c r="K512" t="n">
        <v>0</v>
      </c>
      <c r="L512" t="n">
        <v>0</v>
      </c>
      <c r="M512" t="n">
        <v>0</v>
      </c>
      <c r="N512" t="n">
        <v>0</v>
      </c>
      <c r="O512" t="n">
        <v>0</v>
      </c>
      <c r="P512" t="n">
        <v>0</v>
      </c>
      <c r="Q512" t="n">
        <v>0</v>
      </c>
      <c r="R512" s="2" t="inlineStr"/>
    </row>
    <row r="513" ht="15" customHeight="1">
      <c r="A513" t="inlineStr">
        <is>
          <t>A 35174-2025</t>
        </is>
      </c>
      <c r="B513" s="1" t="n">
        <v>45852.90648148148</v>
      </c>
      <c r="C513" s="1" t="n">
        <v>45882</v>
      </c>
      <c r="D513" t="inlineStr">
        <is>
          <t>ÖSTERGÖTLANDS LÄN</t>
        </is>
      </c>
      <c r="E513" t="inlineStr">
        <is>
          <t>LINKÖPING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53641-2023</t>
        </is>
      </c>
      <c r="B514" s="1" t="n">
        <v>45230</v>
      </c>
      <c r="C514" s="1" t="n">
        <v>45882</v>
      </c>
      <c r="D514" t="inlineStr">
        <is>
          <t>ÖSTERGÖTLANDS LÄN</t>
        </is>
      </c>
      <c r="E514" t="inlineStr">
        <is>
          <t>LINKÖPING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35178-2025</t>
        </is>
      </c>
      <c r="B515" s="1" t="n">
        <v>45852.91939814815</v>
      </c>
      <c r="C515" s="1" t="n">
        <v>45882</v>
      </c>
      <c r="D515" t="inlineStr">
        <is>
          <t>ÖSTERGÖTLANDS LÄN</t>
        </is>
      </c>
      <c r="E515" t="inlineStr">
        <is>
          <t>LINKÖPING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35180-2025</t>
        </is>
      </c>
      <c r="B516" s="1" t="n">
        <v>45852.9413425926</v>
      </c>
      <c r="C516" s="1" t="n">
        <v>45882</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33000-2023</t>
        </is>
      </c>
      <c r="B517" s="1" t="n">
        <v>45125</v>
      </c>
      <c r="C517" s="1" t="n">
        <v>45882</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52892-2024</t>
        </is>
      </c>
      <c r="B518" s="1" t="n">
        <v>45610</v>
      </c>
      <c r="C518" s="1" t="n">
        <v>45882</v>
      </c>
      <c r="D518" t="inlineStr">
        <is>
          <t>ÖSTERGÖTLANDS LÄN</t>
        </is>
      </c>
      <c r="E518" t="inlineStr">
        <is>
          <t>LINKÖPING</t>
        </is>
      </c>
      <c r="G518" t="n">
        <v>4.2</v>
      </c>
      <c r="H518" t="n">
        <v>0</v>
      </c>
      <c r="I518" t="n">
        <v>0</v>
      </c>
      <c r="J518" t="n">
        <v>0</v>
      </c>
      <c r="K518" t="n">
        <v>0</v>
      </c>
      <c r="L518" t="n">
        <v>0</v>
      </c>
      <c r="M518" t="n">
        <v>0</v>
      </c>
      <c r="N518" t="n">
        <v>0</v>
      </c>
      <c r="O518" t="n">
        <v>0</v>
      </c>
      <c r="P518" t="n">
        <v>0</v>
      </c>
      <c r="Q518" t="n">
        <v>0</v>
      </c>
      <c r="R518" s="2" t="inlineStr"/>
    </row>
    <row r="519" ht="15" customHeight="1">
      <c r="A519" t="inlineStr">
        <is>
          <t>A 51559-2024</t>
        </is>
      </c>
      <c r="B519" s="1" t="n">
        <v>45604.61431712963</v>
      </c>
      <c r="C519" s="1" t="n">
        <v>45882</v>
      </c>
      <c r="D519" t="inlineStr">
        <is>
          <t>ÖSTERGÖTLANDS LÄN</t>
        </is>
      </c>
      <c r="E519" t="inlineStr">
        <is>
          <t>LINKÖPING</t>
        </is>
      </c>
      <c r="F519" t="inlineStr">
        <is>
          <t>Övriga Aktiebolag</t>
        </is>
      </c>
      <c r="G519" t="n">
        <v>2.4</v>
      </c>
      <c r="H519" t="n">
        <v>0</v>
      </c>
      <c r="I519" t="n">
        <v>0</v>
      </c>
      <c r="J519" t="n">
        <v>0</v>
      </c>
      <c r="K519" t="n">
        <v>0</v>
      </c>
      <c r="L519" t="n">
        <v>0</v>
      </c>
      <c r="M519" t="n">
        <v>0</v>
      </c>
      <c r="N519" t="n">
        <v>0</v>
      </c>
      <c r="O519" t="n">
        <v>0</v>
      </c>
      <c r="P519" t="n">
        <v>0</v>
      </c>
      <c r="Q519" t="n">
        <v>0</v>
      </c>
      <c r="R519" s="2" t="inlineStr"/>
    </row>
    <row r="520" ht="15" customHeight="1">
      <c r="A520" t="inlineStr">
        <is>
          <t>A 1705-2025</t>
        </is>
      </c>
      <c r="B520" s="1" t="n">
        <v>45670.86015046296</v>
      </c>
      <c r="C520" s="1" t="n">
        <v>45882</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49979-2022</t>
        </is>
      </c>
      <c r="B521" s="1" t="n">
        <v>44865</v>
      </c>
      <c r="C521" s="1" t="n">
        <v>45882</v>
      </c>
      <c r="D521" t="inlineStr">
        <is>
          <t>ÖSTERGÖTLANDS LÄN</t>
        </is>
      </c>
      <c r="E521" t="inlineStr">
        <is>
          <t>LINKÖPING</t>
        </is>
      </c>
      <c r="F521" t="inlineStr">
        <is>
          <t>Övriga Aktiebolag</t>
        </is>
      </c>
      <c r="G521" t="n">
        <v>11.4</v>
      </c>
      <c r="H521" t="n">
        <v>0</v>
      </c>
      <c r="I521" t="n">
        <v>0</v>
      </c>
      <c r="J521" t="n">
        <v>0</v>
      </c>
      <c r="K521" t="n">
        <v>0</v>
      </c>
      <c r="L521" t="n">
        <v>0</v>
      </c>
      <c r="M521" t="n">
        <v>0</v>
      </c>
      <c r="N521" t="n">
        <v>0</v>
      </c>
      <c r="O521" t="n">
        <v>0</v>
      </c>
      <c r="P521" t="n">
        <v>0</v>
      </c>
      <c r="Q521" t="n">
        <v>0</v>
      </c>
      <c r="R521" s="2" t="inlineStr"/>
    </row>
    <row r="522" ht="15" customHeight="1">
      <c r="A522" t="inlineStr">
        <is>
          <t>A 39219-2021</t>
        </is>
      </c>
      <c r="B522" s="1" t="n">
        <v>44413</v>
      </c>
      <c r="C522" s="1" t="n">
        <v>45882</v>
      </c>
      <c r="D522" t="inlineStr">
        <is>
          <t>ÖSTERGÖTLANDS LÄN</t>
        </is>
      </c>
      <c r="E522" t="inlineStr">
        <is>
          <t>LINKÖPING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39224-2021</t>
        </is>
      </c>
      <c r="B523" s="1" t="n">
        <v>44413</v>
      </c>
      <c r="C523" s="1" t="n">
        <v>45882</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62495-2023</t>
        </is>
      </c>
      <c r="B524" s="1" t="n">
        <v>45268.59717592593</v>
      </c>
      <c r="C524" s="1" t="n">
        <v>45882</v>
      </c>
      <c r="D524" t="inlineStr">
        <is>
          <t>ÖSTERGÖTLANDS LÄN</t>
        </is>
      </c>
      <c r="E524" t="inlineStr">
        <is>
          <t>LINKÖPING</t>
        </is>
      </c>
      <c r="G524" t="n">
        <v>4.1</v>
      </c>
      <c r="H524" t="n">
        <v>0</v>
      </c>
      <c r="I524" t="n">
        <v>0</v>
      </c>
      <c r="J524" t="n">
        <v>0</v>
      </c>
      <c r="K524" t="n">
        <v>0</v>
      </c>
      <c r="L524" t="n">
        <v>0</v>
      </c>
      <c r="M524" t="n">
        <v>0</v>
      </c>
      <c r="N524" t="n">
        <v>0</v>
      </c>
      <c r="O524" t="n">
        <v>0</v>
      </c>
      <c r="P524" t="n">
        <v>0</v>
      </c>
      <c r="Q524" t="n">
        <v>0</v>
      </c>
      <c r="R524" s="2" t="inlineStr"/>
    </row>
    <row r="525" ht="15" customHeight="1">
      <c r="A525" t="inlineStr">
        <is>
          <t>A 30521-2024</t>
        </is>
      </c>
      <c r="B525" s="1" t="n">
        <v>45492</v>
      </c>
      <c r="C525" s="1" t="n">
        <v>45882</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51191-2022</t>
        </is>
      </c>
      <c r="B526" s="1" t="n">
        <v>44865</v>
      </c>
      <c r="C526" s="1" t="n">
        <v>45882</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49088-2020</t>
        </is>
      </c>
      <c r="B527" s="1" t="n">
        <v>44104</v>
      </c>
      <c r="C527" s="1" t="n">
        <v>45882</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29413-2023</t>
        </is>
      </c>
      <c r="B528" s="1" t="n">
        <v>45106.46465277778</v>
      </c>
      <c r="C528" s="1" t="n">
        <v>45882</v>
      </c>
      <c r="D528" t="inlineStr">
        <is>
          <t>ÖSTERGÖTLANDS LÄN</t>
        </is>
      </c>
      <c r="E528" t="inlineStr">
        <is>
          <t>LINKÖPING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35179-2025</t>
        </is>
      </c>
      <c r="B529" s="1" t="n">
        <v>45852.93737268518</v>
      </c>
      <c r="C529" s="1" t="n">
        <v>45882</v>
      </c>
      <c r="D529" t="inlineStr">
        <is>
          <t>ÖSTERGÖTLANDS LÄN</t>
        </is>
      </c>
      <c r="E529" t="inlineStr">
        <is>
          <t>LINKÖPING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12289-2025</t>
        </is>
      </c>
      <c r="B530" s="1" t="n">
        <v>45729</v>
      </c>
      <c r="C530" s="1" t="n">
        <v>45882</v>
      </c>
      <c r="D530" t="inlineStr">
        <is>
          <t>ÖSTERGÖTLANDS LÄN</t>
        </is>
      </c>
      <c r="E530" t="inlineStr">
        <is>
          <t>LINKÖPING</t>
        </is>
      </c>
      <c r="F530" t="inlineStr">
        <is>
          <t>Övriga statliga verk och myndigheter</t>
        </is>
      </c>
      <c r="G530" t="n">
        <v>6.5</v>
      </c>
      <c r="H530" t="n">
        <v>0</v>
      </c>
      <c r="I530" t="n">
        <v>0</v>
      </c>
      <c r="J530" t="n">
        <v>0</v>
      </c>
      <c r="K530" t="n">
        <v>0</v>
      </c>
      <c r="L530" t="n">
        <v>0</v>
      </c>
      <c r="M530" t="n">
        <v>0</v>
      </c>
      <c r="N530" t="n">
        <v>0</v>
      </c>
      <c r="O530" t="n">
        <v>0</v>
      </c>
      <c r="P530" t="n">
        <v>0</v>
      </c>
      <c r="Q530" t="n">
        <v>0</v>
      </c>
      <c r="R530" s="2" t="inlineStr"/>
    </row>
    <row r="531" ht="15" customHeight="1">
      <c r="A531" t="inlineStr">
        <is>
          <t>A 25948-2023</t>
        </is>
      </c>
      <c r="B531" s="1" t="n">
        <v>45090</v>
      </c>
      <c r="C531" s="1" t="n">
        <v>45882</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9434-2024</t>
        </is>
      </c>
      <c r="B532" s="1" t="n">
        <v>45359</v>
      </c>
      <c r="C532" s="1" t="n">
        <v>45882</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1627-2023</t>
        </is>
      </c>
      <c r="B533" s="1" t="n">
        <v>44937</v>
      </c>
      <c r="C533" s="1" t="n">
        <v>45882</v>
      </c>
      <c r="D533" t="inlineStr">
        <is>
          <t>ÖSTERGÖTLANDS LÄN</t>
        </is>
      </c>
      <c r="E533" t="inlineStr">
        <is>
          <t>LINKÖPING</t>
        </is>
      </c>
      <c r="G533" t="n">
        <v>10.8</v>
      </c>
      <c r="H533" t="n">
        <v>0</v>
      </c>
      <c r="I533" t="n">
        <v>0</v>
      </c>
      <c r="J533" t="n">
        <v>0</v>
      </c>
      <c r="K533" t="n">
        <v>0</v>
      </c>
      <c r="L533" t="n">
        <v>0</v>
      </c>
      <c r="M533" t="n">
        <v>0</v>
      </c>
      <c r="N533" t="n">
        <v>0</v>
      </c>
      <c r="O533" t="n">
        <v>0</v>
      </c>
      <c r="P533" t="n">
        <v>0</v>
      </c>
      <c r="Q533" t="n">
        <v>0</v>
      </c>
      <c r="R533" s="2" t="inlineStr"/>
    </row>
    <row r="534" ht="15" customHeight="1">
      <c r="A534" t="inlineStr">
        <is>
          <t>A 42054-2022</t>
        </is>
      </c>
      <c r="B534" s="1" t="n">
        <v>44830</v>
      </c>
      <c r="C534" s="1" t="n">
        <v>45882</v>
      </c>
      <c r="D534" t="inlineStr">
        <is>
          <t>ÖSTERGÖTLANDS LÄN</t>
        </is>
      </c>
      <c r="E534" t="inlineStr">
        <is>
          <t>LINKÖPING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30481-2023</t>
        </is>
      </c>
      <c r="B535" s="1" t="n">
        <v>45111</v>
      </c>
      <c r="C535" s="1" t="n">
        <v>45882</v>
      </c>
      <c r="D535" t="inlineStr">
        <is>
          <t>ÖSTERGÖTLANDS LÄN</t>
        </is>
      </c>
      <c r="E535" t="inlineStr">
        <is>
          <t>LINKÖPING</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21782-2024</t>
        </is>
      </c>
      <c r="B536" s="1" t="n">
        <v>45442.63368055555</v>
      </c>
      <c r="C536" s="1" t="n">
        <v>45882</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11671-2023</t>
        </is>
      </c>
      <c r="B537" s="1" t="n">
        <v>44994.48125</v>
      </c>
      <c r="C537" s="1" t="n">
        <v>45882</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50182-2023</t>
        </is>
      </c>
      <c r="B538" s="1" t="n">
        <v>45208</v>
      </c>
      <c r="C538" s="1" t="n">
        <v>45882</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3013-2023</t>
        </is>
      </c>
      <c r="B539" s="1" t="n">
        <v>44945.8092824074</v>
      </c>
      <c r="C539" s="1" t="n">
        <v>45882</v>
      </c>
      <c r="D539" t="inlineStr">
        <is>
          <t>ÖSTERGÖTLANDS LÄN</t>
        </is>
      </c>
      <c r="E539" t="inlineStr">
        <is>
          <t>LINKÖPING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49747-2024</t>
        </is>
      </c>
      <c r="B540" s="1" t="n">
        <v>45596</v>
      </c>
      <c r="C540" s="1" t="n">
        <v>45882</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42997-2021</t>
        </is>
      </c>
      <c r="B541" s="1" t="n">
        <v>44431.45556712963</v>
      </c>
      <c r="C541" s="1" t="n">
        <v>45882</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35781-2023</t>
        </is>
      </c>
      <c r="B542" s="1" t="n">
        <v>45147</v>
      </c>
      <c r="C542" s="1" t="n">
        <v>45882</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3011-2023</t>
        </is>
      </c>
      <c r="B543" s="1" t="n">
        <v>44945</v>
      </c>
      <c r="C543" s="1" t="n">
        <v>45882</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23735-2023</t>
        </is>
      </c>
      <c r="B544" s="1" t="n">
        <v>45077</v>
      </c>
      <c r="C544" s="1" t="n">
        <v>45882</v>
      </c>
      <c r="D544" t="inlineStr">
        <is>
          <t>ÖSTERGÖTLANDS LÄN</t>
        </is>
      </c>
      <c r="E544" t="inlineStr">
        <is>
          <t>LINKÖPING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6387-2022</t>
        </is>
      </c>
      <c r="B545" s="1" t="n">
        <v>44600</v>
      </c>
      <c r="C545" s="1" t="n">
        <v>45882</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48707-2023</t>
        </is>
      </c>
      <c r="B546" s="1" t="n">
        <v>45202</v>
      </c>
      <c r="C546" s="1" t="n">
        <v>45882</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45821-2024</t>
        </is>
      </c>
      <c r="B547" s="1" t="n">
        <v>45579.75803240741</v>
      </c>
      <c r="C547" s="1" t="n">
        <v>45882</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38282-2020</t>
        </is>
      </c>
      <c r="B548" s="1" t="n">
        <v>44060</v>
      </c>
      <c r="C548" s="1" t="n">
        <v>45882</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27264-2025</t>
        </is>
      </c>
      <c r="B549" s="1" t="n">
        <v>45812.4794212963</v>
      </c>
      <c r="C549" s="1" t="n">
        <v>45882</v>
      </c>
      <c r="D549" t="inlineStr">
        <is>
          <t>ÖSTERGÖTLANDS LÄN</t>
        </is>
      </c>
      <c r="E549" t="inlineStr">
        <is>
          <t>LINKÖPING</t>
        </is>
      </c>
      <c r="G549" t="n">
        <v>2.6</v>
      </c>
      <c r="H549" t="n">
        <v>0</v>
      </c>
      <c r="I549" t="n">
        <v>0</v>
      </c>
      <c r="J549" t="n">
        <v>0</v>
      </c>
      <c r="K549" t="n">
        <v>0</v>
      </c>
      <c r="L549" t="n">
        <v>0</v>
      </c>
      <c r="M549" t="n">
        <v>0</v>
      </c>
      <c r="N549" t="n">
        <v>0</v>
      </c>
      <c r="O549" t="n">
        <v>0</v>
      </c>
      <c r="P549" t="n">
        <v>0</v>
      </c>
      <c r="Q549" t="n">
        <v>0</v>
      </c>
      <c r="R549" s="2" t="inlineStr"/>
    </row>
    <row r="550" ht="15" customHeight="1">
      <c r="A550" t="inlineStr">
        <is>
          <t>A 47876-2020</t>
        </is>
      </c>
      <c r="B550" s="1" t="n">
        <v>44099</v>
      </c>
      <c r="C550" s="1" t="n">
        <v>45882</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53647-2021</t>
        </is>
      </c>
      <c r="B551" s="1" t="n">
        <v>44469</v>
      </c>
      <c r="C551" s="1" t="n">
        <v>45882</v>
      </c>
      <c r="D551" t="inlineStr">
        <is>
          <t>ÖSTERGÖTLANDS LÄN</t>
        </is>
      </c>
      <c r="E551" t="inlineStr">
        <is>
          <t>LINKÖPING</t>
        </is>
      </c>
      <c r="G551" t="n">
        <v>2.3</v>
      </c>
      <c r="H551" t="n">
        <v>0</v>
      </c>
      <c r="I551" t="n">
        <v>0</v>
      </c>
      <c r="J551" t="n">
        <v>0</v>
      </c>
      <c r="K551" t="n">
        <v>0</v>
      </c>
      <c r="L551" t="n">
        <v>0</v>
      </c>
      <c r="M551" t="n">
        <v>0</v>
      </c>
      <c r="N551" t="n">
        <v>0</v>
      </c>
      <c r="O551" t="n">
        <v>0</v>
      </c>
      <c r="P551" t="n">
        <v>0</v>
      </c>
      <c r="Q551" t="n">
        <v>0</v>
      </c>
      <c r="R551" s="2" t="inlineStr"/>
    </row>
    <row r="552" ht="15" customHeight="1">
      <c r="A552" t="inlineStr">
        <is>
          <t>A 27950-2025</t>
        </is>
      </c>
      <c r="B552" s="1" t="n">
        <v>45817.52960648148</v>
      </c>
      <c r="C552" s="1" t="n">
        <v>45882</v>
      </c>
      <c r="D552" t="inlineStr">
        <is>
          <t>ÖSTERGÖTLANDS LÄN</t>
        </is>
      </c>
      <c r="E552" t="inlineStr">
        <is>
          <t>LINKÖPING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12089-2025</t>
        </is>
      </c>
      <c r="B553" s="1" t="n">
        <v>45729</v>
      </c>
      <c r="C553" s="1" t="n">
        <v>45882</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55265-2020</t>
        </is>
      </c>
      <c r="B554" s="1" t="n">
        <v>44130</v>
      </c>
      <c r="C554" s="1" t="n">
        <v>45882</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6599-2023</t>
        </is>
      </c>
      <c r="B555" s="1" t="n">
        <v>44966.52603009259</v>
      </c>
      <c r="C555" s="1" t="n">
        <v>45882</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15658-2023</t>
        </is>
      </c>
      <c r="B556" s="1" t="n">
        <v>45021.41194444444</v>
      </c>
      <c r="C556" s="1" t="n">
        <v>45882</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55305-2020</t>
        </is>
      </c>
      <c r="B557" s="1" t="n">
        <v>44130</v>
      </c>
      <c r="C557" s="1" t="n">
        <v>45882</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27797-2025</t>
        </is>
      </c>
      <c r="B558" s="1" t="n">
        <v>45816.80521990741</v>
      </c>
      <c r="C558" s="1" t="n">
        <v>45882</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27798-2025</t>
        </is>
      </c>
      <c r="B559" s="1" t="n">
        <v>45816.81532407407</v>
      </c>
      <c r="C559" s="1" t="n">
        <v>45882</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38886-2024</t>
        </is>
      </c>
      <c r="B560" s="1" t="n">
        <v>45547.66443287037</v>
      </c>
      <c r="C560" s="1" t="n">
        <v>45882</v>
      </c>
      <c r="D560" t="inlineStr">
        <is>
          <t>ÖSTERGÖTLANDS LÄN</t>
        </is>
      </c>
      <c r="E560" t="inlineStr">
        <is>
          <t>LINKÖPING</t>
        </is>
      </c>
      <c r="G560" t="n">
        <v>5.3</v>
      </c>
      <c r="H560" t="n">
        <v>0</v>
      </c>
      <c r="I560" t="n">
        <v>0</v>
      </c>
      <c r="J560" t="n">
        <v>0</v>
      </c>
      <c r="K560" t="n">
        <v>0</v>
      </c>
      <c r="L560" t="n">
        <v>0</v>
      </c>
      <c r="M560" t="n">
        <v>0</v>
      </c>
      <c r="N560" t="n">
        <v>0</v>
      </c>
      <c r="O560" t="n">
        <v>0</v>
      </c>
      <c r="P560" t="n">
        <v>0</v>
      </c>
      <c r="Q560" t="n">
        <v>0</v>
      </c>
      <c r="R560" s="2" t="inlineStr"/>
    </row>
    <row r="561" ht="15" customHeight="1">
      <c r="A561" t="inlineStr">
        <is>
          <t>A 35735-2023</t>
        </is>
      </c>
      <c r="B561" s="1" t="n">
        <v>45147</v>
      </c>
      <c r="C561" s="1" t="n">
        <v>45882</v>
      </c>
      <c r="D561" t="inlineStr">
        <is>
          <t>ÖSTERGÖTLANDS LÄN</t>
        </is>
      </c>
      <c r="E561" t="inlineStr">
        <is>
          <t>LINKÖPING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51583-2024</t>
        </is>
      </c>
      <c r="B562" s="1" t="n">
        <v>45604.6397337963</v>
      </c>
      <c r="C562" s="1" t="n">
        <v>45882</v>
      </c>
      <c r="D562" t="inlineStr">
        <is>
          <t>ÖSTERGÖTLANDS LÄN</t>
        </is>
      </c>
      <c r="E562" t="inlineStr">
        <is>
          <t>LINKÖPING</t>
        </is>
      </c>
      <c r="F562" t="inlineStr">
        <is>
          <t>Övriga Aktiebolag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28200-2025</t>
        </is>
      </c>
      <c r="B563" s="1" t="n">
        <v>45818.4428125</v>
      </c>
      <c r="C563" s="1" t="n">
        <v>45882</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58714-2020</t>
        </is>
      </c>
      <c r="B564" s="1" t="n">
        <v>44146</v>
      </c>
      <c r="C564" s="1" t="n">
        <v>45882</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64694-2023</t>
        </is>
      </c>
      <c r="B565" s="1" t="n">
        <v>45281</v>
      </c>
      <c r="C565" s="1" t="n">
        <v>45882</v>
      </c>
      <c r="D565" t="inlineStr">
        <is>
          <t>ÖSTERGÖTLANDS LÄN</t>
        </is>
      </c>
      <c r="E565" t="inlineStr">
        <is>
          <t>LINKÖPING</t>
        </is>
      </c>
      <c r="F565" t="inlineStr">
        <is>
          <t>Övriga statliga verk och myndigheter</t>
        </is>
      </c>
      <c r="G565" t="n">
        <v>4.9</v>
      </c>
      <c r="H565" t="n">
        <v>0</v>
      </c>
      <c r="I565" t="n">
        <v>0</v>
      </c>
      <c r="J565" t="n">
        <v>0</v>
      </c>
      <c r="K565" t="n">
        <v>0</v>
      </c>
      <c r="L565" t="n">
        <v>0</v>
      </c>
      <c r="M565" t="n">
        <v>0</v>
      </c>
      <c r="N565" t="n">
        <v>0</v>
      </c>
      <c r="O565" t="n">
        <v>0</v>
      </c>
      <c r="P565" t="n">
        <v>0</v>
      </c>
      <c r="Q565" t="n">
        <v>0</v>
      </c>
      <c r="R565" s="2" t="inlineStr"/>
    </row>
    <row r="566" ht="15" customHeight="1">
      <c r="A566" t="inlineStr">
        <is>
          <t>A 32602-2022</t>
        </is>
      </c>
      <c r="B566" s="1" t="n">
        <v>44783.43192129629</v>
      </c>
      <c r="C566" s="1" t="n">
        <v>45882</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28204-2025</t>
        </is>
      </c>
      <c r="B567" s="1" t="n">
        <v>45818.4477662037</v>
      </c>
      <c r="C567" s="1" t="n">
        <v>45882</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35757-2025</t>
        </is>
      </c>
      <c r="B568" s="1" t="n">
        <v>45860.59876157407</v>
      </c>
      <c r="C568" s="1" t="n">
        <v>45882</v>
      </c>
      <c r="D568" t="inlineStr">
        <is>
          <t>ÖSTERGÖTLANDS LÄN</t>
        </is>
      </c>
      <c r="E568" t="inlineStr">
        <is>
          <t>LINKÖPING</t>
        </is>
      </c>
      <c r="G568" t="n">
        <v>5.7</v>
      </c>
      <c r="H568" t="n">
        <v>0</v>
      </c>
      <c r="I568" t="n">
        <v>0</v>
      </c>
      <c r="J568" t="n">
        <v>0</v>
      </c>
      <c r="K568" t="n">
        <v>0</v>
      </c>
      <c r="L568" t="n">
        <v>0</v>
      </c>
      <c r="M568" t="n">
        <v>0</v>
      </c>
      <c r="N568" t="n">
        <v>0</v>
      </c>
      <c r="O568" t="n">
        <v>0</v>
      </c>
      <c r="P568" t="n">
        <v>0</v>
      </c>
      <c r="Q568" t="n">
        <v>0</v>
      </c>
      <c r="R568" s="2" t="inlineStr"/>
    </row>
    <row r="569" ht="15" customHeight="1">
      <c r="A569" t="inlineStr">
        <is>
          <t>A 28416-2025</t>
        </is>
      </c>
      <c r="B569" s="1" t="n">
        <v>45819.35346064815</v>
      </c>
      <c r="C569" s="1" t="n">
        <v>45882</v>
      </c>
      <c r="D569" t="inlineStr">
        <is>
          <t>ÖSTERGÖTLANDS LÄN</t>
        </is>
      </c>
      <c r="E569" t="inlineStr">
        <is>
          <t>LINKÖPING</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45882</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17157-2024</t>
        </is>
      </c>
      <c r="B571" s="1" t="n">
        <v>45412.70567129629</v>
      </c>
      <c r="C571" s="1" t="n">
        <v>45882</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62321-2022</t>
        </is>
      </c>
      <c r="B572" s="1" t="n">
        <v>44916</v>
      </c>
      <c r="C572" s="1" t="n">
        <v>45882</v>
      </c>
      <c r="D572" t="inlineStr">
        <is>
          <t>ÖSTERGÖTLANDS LÄN</t>
        </is>
      </c>
      <c r="E572" t="inlineStr">
        <is>
          <t>LINKÖPING</t>
        </is>
      </c>
      <c r="F572" t="inlineStr">
        <is>
          <t>Kommuner</t>
        </is>
      </c>
      <c r="G572" t="n">
        <v>5.3</v>
      </c>
      <c r="H572" t="n">
        <v>0</v>
      </c>
      <c r="I572" t="n">
        <v>0</v>
      </c>
      <c r="J572" t="n">
        <v>0</v>
      </c>
      <c r="K572" t="n">
        <v>0</v>
      </c>
      <c r="L572" t="n">
        <v>0</v>
      </c>
      <c r="M572" t="n">
        <v>0</v>
      </c>
      <c r="N572" t="n">
        <v>0</v>
      </c>
      <c r="O572" t="n">
        <v>0</v>
      </c>
      <c r="P572" t="n">
        <v>0</v>
      </c>
      <c r="Q572" t="n">
        <v>0</v>
      </c>
      <c r="R572" s="2" t="inlineStr"/>
    </row>
    <row r="573" ht="15" customHeight="1">
      <c r="A573" t="inlineStr">
        <is>
          <t>A 35745-2025</t>
        </is>
      </c>
      <c r="B573" s="1" t="n">
        <v>45860.54739583333</v>
      </c>
      <c r="C573" s="1" t="n">
        <v>45882</v>
      </c>
      <c r="D573" t="inlineStr">
        <is>
          <t>ÖSTERGÖTLANDS LÄN</t>
        </is>
      </c>
      <c r="E573" t="inlineStr">
        <is>
          <t>LINKÖPING</t>
        </is>
      </c>
      <c r="G573" t="n">
        <v>4.4</v>
      </c>
      <c r="H573" t="n">
        <v>0</v>
      </c>
      <c r="I573" t="n">
        <v>0</v>
      </c>
      <c r="J573" t="n">
        <v>0</v>
      </c>
      <c r="K573" t="n">
        <v>0</v>
      </c>
      <c r="L573" t="n">
        <v>0</v>
      </c>
      <c r="M573" t="n">
        <v>0</v>
      </c>
      <c r="N573" t="n">
        <v>0</v>
      </c>
      <c r="O573" t="n">
        <v>0</v>
      </c>
      <c r="P573" t="n">
        <v>0</v>
      </c>
      <c r="Q573" t="n">
        <v>0</v>
      </c>
      <c r="R573" s="2" t="inlineStr"/>
    </row>
    <row r="574" ht="15" customHeight="1">
      <c r="A574" t="inlineStr">
        <is>
          <t>A 35747-2025</t>
        </is>
      </c>
      <c r="B574" s="1" t="n">
        <v>45860.56385416666</v>
      </c>
      <c r="C574" s="1" t="n">
        <v>45882</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28398-2025</t>
        </is>
      </c>
      <c r="B575" s="1" t="n">
        <v>45819.34208333334</v>
      </c>
      <c r="C575" s="1" t="n">
        <v>45882</v>
      </c>
      <c r="D575" t="inlineStr">
        <is>
          <t>ÖSTERGÖTLANDS LÄN</t>
        </is>
      </c>
      <c r="E575" t="inlineStr">
        <is>
          <t>LINKÖPING</t>
        </is>
      </c>
      <c r="F575" t="inlineStr">
        <is>
          <t>Sveaskog</t>
        </is>
      </c>
      <c r="G575" t="n">
        <v>7.9</v>
      </c>
      <c r="H575" t="n">
        <v>0</v>
      </c>
      <c r="I575" t="n">
        <v>0</v>
      </c>
      <c r="J575" t="n">
        <v>0</v>
      </c>
      <c r="K575" t="n">
        <v>0</v>
      </c>
      <c r="L575" t="n">
        <v>0</v>
      </c>
      <c r="M575" t="n">
        <v>0</v>
      </c>
      <c r="N575" t="n">
        <v>0</v>
      </c>
      <c r="O575" t="n">
        <v>0</v>
      </c>
      <c r="P575" t="n">
        <v>0</v>
      </c>
      <c r="Q575" t="n">
        <v>0</v>
      </c>
      <c r="R575" s="2" t="inlineStr"/>
    </row>
    <row r="576" ht="15" customHeight="1">
      <c r="A576" t="inlineStr">
        <is>
          <t>A 28209-2025</t>
        </is>
      </c>
      <c r="B576" s="1" t="n">
        <v>45818.45112268518</v>
      </c>
      <c r="C576" s="1" t="n">
        <v>45882</v>
      </c>
      <c r="D576" t="inlineStr">
        <is>
          <t>ÖSTERGÖTLANDS LÄN</t>
        </is>
      </c>
      <c r="E576" t="inlineStr">
        <is>
          <t>LINKÖPING</t>
        </is>
      </c>
      <c r="G576" t="n">
        <v>4.2</v>
      </c>
      <c r="H576" t="n">
        <v>0</v>
      </c>
      <c r="I576" t="n">
        <v>0</v>
      </c>
      <c r="J576" t="n">
        <v>0</v>
      </c>
      <c r="K576" t="n">
        <v>0</v>
      </c>
      <c r="L576" t="n">
        <v>0</v>
      </c>
      <c r="M576" t="n">
        <v>0</v>
      </c>
      <c r="N576" t="n">
        <v>0</v>
      </c>
      <c r="O576" t="n">
        <v>0</v>
      </c>
      <c r="P576" t="n">
        <v>0</v>
      </c>
      <c r="Q576" t="n">
        <v>0</v>
      </c>
      <c r="R576" s="2" t="inlineStr"/>
    </row>
    <row r="577" ht="15" customHeight="1">
      <c r="A577" t="inlineStr">
        <is>
          <t>A 37154-2023</t>
        </is>
      </c>
      <c r="B577" s="1" t="n">
        <v>45155</v>
      </c>
      <c r="C577" s="1" t="n">
        <v>45882</v>
      </c>
      <c r="D577" t="inlineStr">
        <is>
          <t>ÖSTERGÖTLANDS LÄN</t>
        </is>
      </c>
      <c r="E577" t="inlineStr">
        <is>
          <t>LINKÖPING</t>
        </is>
      </c>
      <c r="G577" t="n">
        <v>1.7</v>
      </c>
      <c r="H577" t="n">
        <v>0</v>
      </c>
      <c r="I577" t="n">
        <v>0</v>
      </c>
      <c r="J577" t="n">
        <v>0</v>
      </c>
      <c r="K577" t="n">
        <v>0</v>
      </c>
      <c r="L577" t="n">
        <v>0</v>
      </c>
      <c r="M577" t="n">
        <v>0</v>
      </c>
      <c r="N577" t="n">
        <v>0</v>
      </c>
      <c r="O577" t="n">
        <v>0</v>
      </c>
      <c r="P577" t="n">
        <v>0</v>
      </c>
      <c r="Q577" t="n">
        <v>0</v>
      </c>
      <c r="R577" s="2" t="inlineStr"/>
    </row>
    <row r="578" ht="15" customHeight="1">
      <c r="A578" t="inlineStr">
        <is>
          <t>A 1084-2023</t>
        </is>
      </c>
      <c r="B578" s="1" t="n">
        <v>44929</v>
      </c>
      <c r="C578" s="1" t="n">
        <v>45882</v>
      </c>
      <c r="D578" t="inlineStr">
        <is>
          <t>ÖSTERGÖTLANDS LÄN</t>
        </is>
      </c>
      <c r="E578" t="inlineStr">
        <is>
          <t>LINKÖPING</t>
        </is>
      </c>
      <c r="G578" t="n">
        <v>10.4</v>
      </c>
      <c r="H578" t="n">
        <v>0</v>
      </c>
      <c r="I578" t="n">
        <v>0</v>
      </c>
      <c r="J578" t="n">
        <v>0</v>
      </c>
      <c r="K578" t="n">
        <v>0</v>
      </c>
      <c r="L578" t="n">
        <v>0</v>
      </c>
      <c r="M578" t="n">
        <v>0</v>
      </c>
      <c r="N578" t="n">
        <v>0</v>
      </c>
      <c r="O578" t="n">
        <v>0</v>
      </c>
      <c r="P578" t="n">
        <v>0</v>
      </c>
      <c r="Q578" t="n">
        <v>0</v>
      </c>
      <c r="R578" s="2" t="inlineStr"/>
    </row>
    <row r="579" ht="15" customHeight="1">
      <c r="A579" t="inlineStr">
        <is>
          <t>A 267-2023</t>
        </is>
      </c>
      <c r="B579" s="1" t="n">
        <v>44928.80907407407</v>
      </c>
      <c r="C579" s="1" t="n">
        <v>45882</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29025-2025</t>
        </is>
      </c>
      <c r="B580" s="1" t="n">
        <v>45821.43289351852</v>
      </c>
      <c r="C580" s="1" t="n">
        <v>45882</v>
      </c>
      <c r="D580" t="inlineStr">
        <is>
          <t>ÖSTERGÖTLANDS LÄN</t>
        </is>
      </c>
      <c r="E580" t="inlineStr">
        <is>
          <t>LINKÖPING</t>
        </is>
      </c>
      <c r="G580" t="n">
        <v>0.3</v>
      </c>
      <c r="H580" t="n">
        <v>0</v>
      </c>
      <c r="I580" t="n">
        <v>0</v>
      </c>
      <c r="J580" t="n">
        <v>0</v>
      </c>
      <c r="K580" t="n">
        <v>0</v>
      </c>
      <c r="L580" t="n">
        <v>0</v>
      </c>
      <c r="M580" t="n">
        <v>0</v>
      </c>
      <c r="N580" t="n">
        <v>0</v>
      </c>
      <c r="O580" t="n">
        <v>0</v>
      </c>
      <c r="P580" t="n">
        <v>0</v>
      </c>
      <c r="Q580" t="n">
        <v>0</v>
      </c>
      <c r="R580" s="2" t="inlineStr"/>
    </row>
    <row r="581" ht="15" customHeight="1">
      <c r="A581" t="inlineStr">
        <is>
          <t>A 940-2023</t>
        </is>
      </c>
      <c r="B581" s="1" t="n">
        <v>44933</v>
      </c>
      <c r="C581" s="1" t="n">
        <v>45882</v>
      </c>
      <c r="D581" t="inlineStr">
        <is>
          <t>ÖSTERGÖTLANDS LÄN</t>
        </is>
      </c>
      <c r="E581" t="inlineStr">
        <is>
          <t>LINKÖPING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6369-2023</t>
        </is>
      </c>
      <c r="B582" s="1" t="n">
        <v>44965.61106481482</v>
      </c>
      <c r="C582" s="1" t="n">
        <v>45882</v>
      </c>
      <c r="D582" t="inlineStr">
        <is>
          <t>ÖSTERGÖTLANDS LÄN</t>
        </is>
      </c>
      <c r="E582" t="inlineStr">
        <is>
          <t>LINKÖPING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35759-2025</t>
        </is>
      </c>
      <c r="B583" s="1" t="n">
        <v>45860</v>
      </c>
      <c r="C583" s="1" t="n">
        <v>45882</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29027-2025</t>
        </is>
      </c>
      <c r="B584" s="1" t="n">
        <v>45821.4375462963</v>
      </c>
      <c r="C584" s="1" t="n">
        <v>45882</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30980-2022</t>
        </is>
      </c>
      <c r="B585" s="1" t="n">
        <v>44768</v>
      </c>
      <c r="C585" s="1" t="n">
        <v>45882</v>
      </c>
      <c r="D585" t="inlineStr">
        <is>
          <t>ÖSTERGÖTLANDS LÄN</t>
        </is>
      </c>
      <c r="E585" t="inlineStr">
        <is>
          <t>LINKÖPING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29411-2025</t>
        </is>
      </c>
      <c r="B586" s="1" t="n">
        <v>45824.6219212963</v>
      </c>
      <c r="C586" s="1" t="n">
        <v>45882</v>
      </c>
      <c r="D586" t="inlineStr">
        <is>
          <t>ÖSTERGÖTLANDS LÄN</t>
        </is>
      </c>
      <c r="E586" t="inlineStr">
        <is>
          <t>LINKÖPING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24765-2025</t>
        </is>
      </c>
      <c r="B587" s="1" t="n">
        <v>45799</v>
      </c>
      <c r="C587" s="1" t="n">
        <v>45882</v>
      </c>
      <c r="D587" t="inlineStr">
        <is>
          <t>ÖSTERGÖTLANDS LÄN</t>
        </is>
      </c>
      <c r="E587" t="inlineStr">
        <is>
          <t>LINKÖPING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60007-2022</t>
        </is>
      </c>
      <c r="B588" s="1" t="n">
        <v>44909.47282407407</v>
      </c>
      <c r="C588" s="1" t="n">
        <v>45882</v>
      </c>
      <c r="D588" t="inlineStr">
        <is>
          <t>ÖSTERGÖTLANDS LÄN</t>
        </is>
      </c>
      <c r="E588" t="inlineStr">
        <is>
          <t>LINKÖPING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50799-2022</t>
        </is>
      </c>
      <c r="B589" s="1" t="n">
        <v>44862</v>
      </c>
      <c r="C589" s="1" t="n">
        <v>45882</v>
      </c>
      <c r="D589" t="inlineStr">
        <is>
          <t>ÖSTERGÖTLANDS LÄN</t>
        </is>
      </c>
      <c r="E589" t="inlineStr">
        <is>
          <t>LINKÖPING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53812-2023</t>
        </is>
      </c>
      <c r="B590" s="1" t="n">
        <v>45231.39583333334</v>
      </c>
      <c r="C590" s="1" t="n">
        <v>45882</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53830-2023</t>
        </is>
      </c>
      <c r="B591" s="1" t="n">
        <v>45230</v>
      </c>
      <c r="C591" s="1" t="n">
        <v>45882</v>
      </c>
      <c r="D591" t="inlineStr">
        <is>
          <t>ÖSTERGÖTLANDS LÄN</t>
        </is>
      </c>
      <c r="E591" t="inlineStr">
        <is>
          <t>LINKÖPING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29393-2025</t>
        </is>
      </c>
      <c r="B592" s="1" t="n">
        <v>45824.6057175926</v>
      </c>
      <c r="C592" s="1" t="n">
        <v>45882</v>
      </c>
      <c r="D592" t="inlineStr">
        <is>
          <t>ÖSTERGÖTLANDS LÄN</t>
        </is>
      </c>
      <c r="E592" t="inlineStr">
        <is>
          <t>LINKÖPING</t>
        </is>
      </c>
      <c r="F592" t="inlineStr">
        <is>
          <t>Sveaskog</t>
        </is>
      </c>
      <c r="G592" t="n">
        <v>24.6</v>
      </c>
      <c r="H592" t="n">
        <v>0</v>
      </c>
      <c r="I592" t="n">
        <v>0</v>
      </c>
      <c r="J592" t="n">
        <v>0</v>
      </c>
      <c r="K592" t="n">
        <v>0</v>
      </c>
      <c r="L592" t="n">
        <v>0</v>
      </c>
      <c r="M592" t="n">
        <v>0</v>
      </c>
      <c r="N592" t="n">
        <v>0</v>
      </c>
      <c r="O592" t="n">
        <v>0</v>
      </c>
      <c r="P592" t="n">
        <v>0</v>
      </c>
      <c r="Q592" t="n">
        <v>0</v>
      </c>
      <c r="R592" s="2" t="inlineStr"/>
    </row>
    <row r="593" ht="15" customHeight="1">
      <c r="A593" t="inlineStr">
        <is>
          <t>A 56064-2022</t>
        </is>
      </c>
      <c r="B593" s="1" t="n">
        <v>44889.59107638889</v>
      </c>
      <c r="C593" s="1" t="n">
        <v>45882</v>
      </c>
      <c r="D593" t="inlineStr">
        <is>
          <t>ÖSTERGÖTLANDS LÄN</t>
        </is>
      </c>
      <c r="E593" t="inlineStr">
        <is>
          <t>LINKÖPING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56841-2023</t>
        </is>
      </c>
      <c r="B594" s="1" t="n">
        <v>45244</v>
      </c>
      <c r="C594" s="1" t="n">
        <v>45882</v>
      </c>
      <c r="D594" t="inlineStr">
        <is>
          <t>ÖSTERGÖTLANDS LÄN</t>
        </is>
      </c>
      <c r="E594" t="inlineStr">
        <is>
          <t>LINKÖPING</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47703-2023</t>
        </is>
      </c>
      <c r="B595" s="1" t="n">
        <v>45203</v>
      </c>
      <c r="C595" s="1" t="n">
        <v>45882</v>
      </c>
      <c r="D595" t="inlineStr">
        <is>
          <t>ÖSTERGÖTLANDS LÄN</t>
        </is>
      </c>
      <c r="E595" t="inlineStr">
        <is>
          <t>LINKÖPING</t>
        </is>
      </c>
      <c r="G595" t="n">
        <v>4.1</v>
      </c>
      <c r="H595" t="n">
        <v>0</v>
      </c>
      <c r="I595" t="n">
        <v>0</v>
      </c>
      <c r="J595" t="n">
        <v>0</v>
      </c>
      <c r="K595" t="n">
        <v>0</v>
      </c>
      <c r="L595" t="n">
        <v>0</v>
      </c>
      <c r="M595" t="n">
        <v>0</v>
      </c>
      <c r="N595" t="n">
        <v>0</v>
      </c>
      <c r="O595" t="n">
        <v>0</v>
      </c>
      <c r="P595" t="n">
        <v>0</v>
      </c>
      <c r="Q595" t="n">
        <v>0</v>
      </c>
      <c r="R595" s="2" t="inlineStr"/>
    </row>
    <row r="596" ht="15" customHeight="1">
      <c r="A596" t="inlineStr">
        <is>
          <t>A 56741-2023</t>
        </is>
      </c>
      <c r="B596" s="1" t="n">
        <v>45244</v>
      </c>
      <c r="C596" s="1" t="n">
        <v>45882</v>
      </c>
      <c r="D596" t="inlineStr">
        <is>
          <t>ÖSTERGÖTLANDS LÄN</t>
        </is>
      </c>
      <c r="E596" t="inlineStr">
        <is>
          <t>LINKÖPING</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53816-2023</t>
        </is>
      </c>
      <c r="B597" s="1" t="n">
        <v>45231.40012731482</v>
      </c>
      <c r="C597" s="1" t="n">
        <v>45882</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29599-2025</t>
        </is>
      </c>
      <c r="B598" s="1" t="n">
        <v>45825.41101851852</v>
      </c>
      <c r="C598" s="1" t="n">
        <v>45882</v>
      </c>
      <c r="D598" t="inlineStr">
        <is>
          <t>ÖSTERGÖTLANDS LÄN</t>
        </is>
      </c>
      <c r="E598" t="inlineStr">
        <is>
          <t>LINKÖPING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63935-2021</t>
        </is>
      </c>
      <c r="B599" s="1" t="n">
        <v>44509</v>
      </c>
      <c r="C599" s="1" t="n">
        <v>45882</v>
      </c>
      <c r="D599" t="inlineStr">
        <is>
          <t>ÖSTERGÖTLANDS LÄN</t>
        </is>
      </c>
      <c r="E599" t="inlineStr">
        <is>
          <t>LINKÖPING</t>
        </is>
      </c>
      <c r="F599" t="inlineStr">
        <is>
          <t>Övriga statliga verk och myndigheter</t>
        </is>
      </c>
      <c r="G599" t="n">
        <v>2.8</v>
      </c>
      <c r="H599" t="n">
        <v>0</v>
      </c>
      <c r="I599" t="n">
        <v>0</v>
      </c>
      <c r="J599" t="n">
        <v>0</v>
      </c>
      <c r="K599" t="n">
        <v>0</v>
      </c>
      <c r="L599" t="n">
        <v>0</v>
      </c>
      <c r="M599" t="n">
        <v>0</v>
      </c>
      <c r="N599" t="n">
        <v>0</v>
      </c>
      <c r="O599" t="n">
        <v>0</v>
      </c>
      <c r="P599" t="n">
        <v>0</v>
      </c>
      <c r="Q599" t="n">
        <v>0</v>
      </c>
      <c r="R599" s="2" t="inlineStr"/>
    </row>
    <row r="600" ht="15" customHeight="1">
      <c r="A600" t="inlineStr">
        <is>
          <t>A 16111-2022</t>
        </is>
      </c>
      <c r="B600" s="1" t="n">
        <v>44665</v>
      </c>
      <c r="C600" s="1" t="n">
        <v>45882</v>
      </c>
      <c r="D600" t="inlineStr">
        <is>
          <t>ÖSTERGÖTLANDS LÄN</t>
        </is>
      </c>
      <c r="E600" t="inlineStr">
        <is>
          <t>LINKÖPING</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29293-2025</t>
        </is>
      </c>
      <c r="B601" s="1" t="n">
        <v>45824</v>
      </c>
      <c r="C601" s="1" t="n">
        <v>45882</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48962-2022</t>
        </is>
      </c>
      <c r="B602" s="1" t="n">
        <v>44860.31635416667</v>
      </c>
      <c r="C602" s="1" t="n">
        <v>45882</v>
      </c>
      <c r="D602" t="inlineStr">
        <is>
          <t>ÖSTERGÖTLANDS LÄN</t>
        </is>
      </c>
      <c r="E602" t="inlineStr">
        <is>
          <t>LINKÖPING</t>
        </is>
      </c>
      <c r="G602" t="n">
        <v>2.9</v>
      </c>
      <c r="H602" t="n">
        <v>0</v>
      </c>
      <c r="I602" t="n">
        <v>0</v>
      </c>
      <c r="J602" t="n">
        <v>0</v>
      </c>
      <c r="K602" t="n">
        <v>0</v>
      </c>
      <c r="L602" t="n">
        <v>0</v>
      </c>
      <c r="M602" t="n">
        <v>0</v>
      </c>
      <c r="N602" t="n">
        <v>0</v>
      </c>
      <c r="O602" t="n">
        <v>0</v>
      </c>
      <c r="P602" t="n">
        <v>0</v>
      </c>
      <c r="Q602" t="n">
        <v>0</v>
      </c>
      <c r="R602" s="2" t="inlineStr"/>
    </row>
    <row r="603" ht="15" customHeight="1">
      <c r="A603" t="inlineStr">
        <is>
          <t>A 6726-2024</t>
        </is>
      </c>
      <c r="B603" s="1" t="n">
        <v>45341</v>
      </c>
      <c r="C603" s="1" t="n">
        <v>45882</v>
      </c>
      <c r="D603" t="inlineStr">
        <is>
          <t>ÖSTERGÖTLANDS LÄN</t>
        </is>
      </c>
      <c r="E603" t="inlineStr">
        <is>
          <t>LINKÖPING</t>
        </is>
      </c>
      <c r="G603" t="n">
        <v>2.7</v>
      </c>
      <c r="H603" t="n">
        <v>0</v>
      </c>
      <c r="I603" t="n">
        <v>0</v>
      </c>
      <c r="J603" t="n">
        <v>0</v>
      </c>
      <c r="K603" t="n">
        <v>0</v>
      </c>
      <c r="L603" t="n">
        <v>0</v>
      </c>
      <c r="M603" t="n">
        <v>0</v>
      </c>
      <c r="N603" t="n">
        <v>0</v>
      </c>
      <c r="O603" t="n">
        <v>0</v>
      </c>
      <c r="P603" t="n">
        <v>0</v>
      </c>
      <c r="Q603" t="n">
        <v>0</v>
      </c>
      <c r="R603" s="2" t="inlineStr"/>
    </row>
    <row r="604" ht="15" customHeight="1">
      <c r="A604" t="inlineStr">
        <is>
          <t>A 3007-2023</t>
        </is>
      </c>
      <c r="B604" s="1" t="n">
        <v>44945</v>
      </c>
      <c r="C604" s="1" t="n">
        <v>45882</v>
      </c>
      <c r="D604" t="inlineStr">
        <is>
          <t>ÖSTERGÖTLANDS LÄN</t>
        </is>
      </c>
      <c r="E604" t="inlineStr">
        <is>
          <t>LINKÖPING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18145-2021</t>
        </is>
      </c>
      <c r="B605" s="1" t="n">
        <v>44302</v>
      </c>
      <c r="C605" s="1" t="n">
        <v>45882</v>
      </c>
      <c r="D605" t="inlineStr">
        <is>
          <t>ÖSTERGÖTLANDS LÄN</t>
        </is>
      </c>
      <c r="E605" t="inlineStr">
        <is>
          <t>LINKÖPING</t>
        </is>
      </c>
      <c r="G605" t="n">
        <v>2.4</v>
      </c>
      <c r="H605" t="n">
        <v>0</v>
      </c>
      <c r="I605" t="n">
        <v>0</v>
      </c>
      <c r="J605" t="n">
        <v>0</v>
      </c>
      <c r="K605" t="n">
        <v>0</v>
      </c>
      <c r="L605" t="n">
        <v>0</v>
      </c>
      <c r="M605" t="n">
        <v>0</v>
      </c>
      <c r="N605" t="n">
        <v>0</v>
      </c>
      <c r="O605" t="n">
        <v>0</v>
      </c>
      <c r="P605" t="n">
        <v>0</v>
      </c>
      <c r="Q605" t="n">
        <v>0</v>
      </c>
      <c r="R605" s="2" t="inlineStr"/>
    </row>
    <row r="606" ht="15" customHeight="1">
      <c r="A606" t="inlineStr">
        <is>
          <t>A 27891-2021</t>
        </is>
      </c>
      <c r="B606" s="1" t="n">
        <v>44354.65108796296</v>
      </c>
      <c r="C606" s="1" t="n">
        <v>45882</v>
      </c>
      <c r="D606" t="inlineStr">
        <is>
          <t>ÖSTERGÖTLANDS LÄN</t>
        </is>
      </c>
      <c r="E606" t="inlineStr">
        <is>
          <t>LINKÖPING</t>
        </is>
      </c>
      <c r="G606" t="n">
        <v>1.8</v>
      </c>
      <c r="H606" t="n">
        <v>0</v>
      </c>
      <c r="I606" t="n">
        <v>0</v>
      </c>
      <c r="J606" t="n">
        <v>0</v>
      </c>
      <c r="K606" t="n">
        <v>0</v>
      </c>
      <c r="L606" t="n">
        <v>0</v>
      </c>
      <c r="M606" t="n">
        <v>0</v>
      </c>
      <c r="N606" t="n">
        <v>0</v>
      </c>
      <c r="O606" t="n">
        <v>0</v>
      </c>
      <c r="P606" t="n">
        <v>0</v>
      </c>
      <c r="Q606" t="n">
        <v>0</v>
      </c>
      <c r="R606" s="2" t="inlineStr"/>
    </row>
    <row r="607" ht="15" customHeight="1">
      <c r="A607" t="inlineStr">
        <is>
          <t>A 54491-2020</t>
        </is>
      </c>
      <c r="B607" s="1" t="n">
        <v>44126.64</v>
      </c>
      <c r="C607" s="1" t="n">
        <v>45882</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29309-2024</t>
        </is>
      </c>
      <c r="B608" s="1" t="n">
        <v>45483</v>
      </c>
      <c r="C608" s="1" t="n">
        <v>45882</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30355-2025</t>
        </is>
      </c>
      <c r="B609" s="1" t="n">
        <v>45827</v>
      </c>
      <c r="C609" s="1" t="n">
        <v>45882</v>
      </c>
      <c r="D609" t="inlineStr">
        <is>
          <t>ÖSTERGÖTLANDS LÄN</t>
        </is>
      </c>
      <c r="E609" t="inlineStr">
        <is>
          <t>LINKÖPING</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30353-2025</t>
        </is>
      </c>
      <c r="B610" s="1" t="n">
        <v>45827</v>
      </c>
      <c r="C610" s="1" t="n">
        <v>45882</v>
      </c>
      <c r="D610" t="inlineStr">
        <is>
          <t>ÖSTERGÖTLANDS LÄN</t>
        </is>
      </c>
      <c r="E610" t="inlineStr">
        <is>
          <t>LINKÖPING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1268-2023</t>
        </is>
      </c>
      <c r="B611" s="1" t="n">
        <v>44936</v>
      </c>
      <c r="C611" s="1" t="n">
        <v>45882</v>
      </c>
      <c r="D611" t="inlineStr">
        <is>
          <t>ÖSTERGÖTLANDS LÄN</t>
        </is>
      </c>
      <c r="E611" t="inlineStr">
        <is>
          <t>LINKÖPING</t>
        </is>
      </c>
      <c r="G611" t="n">
        <v>4.6</v>
      </c>
      <c r="H611" t="n">
        <v>0</v>
      </c>
      <c r="I611" t="n">
        <v>0</v>
      </c>
      <c r="J611" t="n">
        <v>0</v>
      </c>
      <c r="K611" t="n">
        <v>0</v>
      </c>
      <c r="L611" t="n">
        <v>0</v>
      </c>
      <c r="M611" t="n">
        <v>0</v>
      </c>
      <c r="N611" t="n">
        <v>0</v>
      </c>
      <c r="O611" t="n">
        <v>0</v>
      </c>
      <c r="P611" t="n">
        <v>0</v>
      </c>
      <c r="Q611" t="n">
        <v>0</v>
      </c>
      <c r="R611" s="2" t="inlineStr"/>
    </row>
    <row r="612" ht="15" customHeight="1">
      <c r="A612" t="inlineStr">
        <is>
          <t>A 62687-2023</t>
        </is>
      </c>
      <c r="B612" s="1" t="n">
        <v>45271</v>
      </c>
      <c r="C612" s="1" t="n">
        <v>45882</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34641-2022</t>
        </is>
      </c>
      <c r="B613" s="1" t="n">
        <v>44795</v>
      </c>
      <c r="C613" s="1" t="n">
        <v>45882</v>
      </c>
      <c r="D613" t="inlineStr">
        <is>
          <t>ÖSTERGÖTLANDS LÄN</t>
        </is>
      </c>
      <c r="E613" t="inlineStr">
        <is>
          <t>LINKÖPING</t>
        </is>
      </c>
      <c r="G613" t="n">
        <v>2.4</v>
      </c>
      <c r="H613" t="n">
        <v>0</v>
      </c>
      <c r="I613" t="n">
        <v>0</v>
      </c>
      <c r="J613" t="n">
        <v>0</v>
      </c>
      <c r="K613" t="n">
        <v>0</v>
      </c>
      <c r="L613" t="n">
        <v>0</v>
      </c>
      <c r="M613" t="n">
        <v>0</v>
      </c>
      <c r="N613" t="n">
        <v>0</v>
      </c>
      <c r="O613" t="n">
        <v>0</v>
      </c>
      <c r="P613" t="n">
        <v>0</v>
      </c>
      <c r="Q613" t="n">
        <v>0</v>
      </c>
      <c r="R613" s="2" t="inlineStr"/>
    </row>
    <row r="614" ht="15" customHeight="1">
      <c r="A614" t="inlineStr">
        <is>
          <t>A 938-2023</t>
        </is>
      </c>
      <c r="B614" s="1" t="n">
        <v>44933</v>
      </c>
      <c r="C614" s="1" t="n">
        <v>45882</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2389-2023</t>
        </is>
      </c>
      <c r="B615" s="1" t="n">
        <v>44942</v>
      </c>
      <c r="C615" s="1" t="n">
        <v>45882</v>
      </c>
      <c r="D615" t="inlineStr">
        <is>
          <t>ÖSTERGÖTLANDS LÄN</t>
        </is>
      </c>
      <c r="E615" t="inlineStr">
        <is>
          <t>LINKÖPING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48-2024</t>
        </is>
      </c>
      <c r="B616" s="1" t="n">
        <v>45293</v>
      </c>
      <c r="C616" s="1" t="n">
        <v>45882</v>
      </c>
      <c r="D616" t="inlineStr">
        <is>
          <t>ÖSTERGÖTLANDS LÄN</t>
        </is>
      </c>
      <c r="E616" t="inlineStr">
        <is>
          <t>LINKÖPING</t>
        </is>
      </c>
      <c r="G616" t="n">
        <v>4.6</v>
      </c>
      <c r="H616" t="n">
        <v>0</v>
      </c>
      <c r="I616" t="n">
        <v>0</v>
      </c>
      <c r="J616" t="n">
        <v>0</v>
      </c>
      <c r="K616" t="n">
        <v>0</v>
      </c>
      <c r="L616" t="n">
        <v>0</v>
      </c>
      <c r="M616" t="n">
        <v>0</v>
      </c>
      <c r="N616" t="n">
        <v>0</v>
      </c>
      <c r="O616" t="n">
        <v>0</v>
      </c>
      <c r="P616" t="n">
        <v>0</v>
      </c>
      <c r="Q616" t="n">
        <v>0</v>
      </c>
      <c r="R616" s="2" t="inlineStr"/>
    </row>
    <row r="617" ht="15" customHeight="1">
      <c r="A617" t="inlineStr">
        <is>
          <t>A 45771-2023</t>
        </is>
      </c>
      <c r="B617" s="1" t="n">
        <v>45195.4384375</v>
      </c>
      <c r="C617" s="1" t="n">
        <v>45882</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30547-2023</t>
        </is>
      </c>
      <c r="B618" s="1" t="n">
        <v>45111.75905092592</v>
      </c>
      <c r="C618" s="1" t="n">
        <v>45882</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40502-2024</t>
        </is>
      </c>
      <c r="B619" s="1" t="n">
        <v>45555.57263888889</v>
      </c>
      <c r="C619" s="1" t="n">
        <v>45882</v>
      </c>
      <c r="D619" t="inlineStr">
        <is>
          <t>ÖSTERGÖTLANDS LÄN</t>
        </is>
      </c>
      <c r="E619" t="inlineStr">
        <is>
          <t>LINKÖPING</t>
        </is>
      </c>
      <c r="F619" t="inlineStr">
        <is>
          <t>Allmännings- och besparingsskogar</t>
        </is>
      </c>
      <c r="G619" t="n">
        <v>17.5</v>
      </c>
      <c r="H619" t="n">
        <v>0</v>
      </c>
      <c r="I619" t="n">
        <v>0</v>
      </c>
      <c r="J619" t="n">
        <v>0</v>
      </c>
      <c r="K619" t="n">
        <v>0</v>
      </c>
      <c r="L619" t="n">
        <v>0</v>
      </c>
      <c r="M619" t="n">
        <v>0</v>
      </c>
      <c r="N619" t="n">
        <v>0</v>
      </c>
      <c r="O619" t="n">
        <v>0</v>
      </c>
      <c r="P619" t="n">
        <v>0</v>
      </c>
      <c r="Q619" t="n">
        <v>0</v>
      </c>
      <c r="R619" s="2" t="inlineStr"/>
    </row>
    <row r="620" ht="15" customHeight="1">
      <c r="A620" t="inlineStr">
        <is>
          <t>A 53411-2023</t>
        </is>
      </c>
      <c r="B620" s="1" t="n">
        <v>45229.81049768518</v>
      </c>
      <c r="C620" s="1" t="n">
        <v>45882</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26788-2022</t>
        </is>
      </c>
      <c r="B621" s="1" t="n">
        <v>44740</v>
      </c>
      <c r="C621" s="1" t="n">
        <v>45882</v>
      </c>
      <c r="D621" t="inlineStr">
        <is>
          <t>ÖSTERGÖTLANDS LÄN</t>
        </is>
      </c>
      <c r="E621" t="inlineStr">
        <is>
          <t>LINKÖPING</t>
        </is>
      </c>
      <c r="G621" t="n">
        <v>3.2</v>
      </c>
      <c r="H621" t="n">
        <v>0</v>
      </c>
      <c r="I621" t="n">
        <v>0</v>
      </c>
      <c r="J621" t="n">
        <v>0</v>
      </c>
      <c r="K621" t="n">
        <v>0</v>
      </c>
      <c r="L621" t="n">
        <v>0</v>
      </c>
      <c r="M621" t="n">
        <v>0</v>
      </c>
      <c r="N621" t="n">
        <v>0</v>
      </c>
      <c r="O621" t="n">
        <v>0</v>
      </c>
      <c r="P621" t="n">
        <v>0</v>
      </c>
      <c r="Q621" t="n">
        <v>0</v>
      </c>
      <c r="R621" s="2" t="inlineStr"/>
    </row>
    <row r="622" ht="15" customHeight="1">
      <c r="A622" t="inlineStr">
        <is>
          <t>A 24462-2023</t>
        </is>
      </c>
      <c r="B622" s="1" t="n">
        <v>45082</v>
      </c>
      <c r="C622" s="1" t="n">
        <v>45882</v>
      </c>
      <c r="D622" t="inlineStr">
        <is>
          <t>ÖSTERGÖTLANDS LÄN</t>
        </is>
      </c>
      <c r="E622" t="inlineStr">
        <is>
          <t>LINKÖPING</t>
        </is>
      </c>
      <c r="G622" t="n">
        <v>3.5</v>
      </c>
      <c r="H622" t="n">
        <v>0</v>
      </c>
      <c r="I622" t="n">
        <v>0</v>
      </c>
      <c r="J622" t="n">
        <v>0</v>
      </c>
      <c r="K622" t="n">
        <v>0</v>
      </c>
      <c r="L622" t="n">
        <v>0</v>
      </c>
      <c r="M622" t="n">
        <v>0</v>
      </c>
      <c r="N622" t="n">
        <v>0</v>
      </c>
      <c r="O622" t="n">
        <v>0</v>
      </c>
      <c r="P622" t="n">
        <v>0</v>
      </c>
      <c r="Q622" t="n">
        <v>0</v>
      </c>
      <c r="R622" s="2" t="inlineStr"/>
    </row>
    <row r="623" ht="15" customHeight="1">
      <c r="A623" t="inlineStr">
        <is>
          <t>A 24464-2023</t>
        </is>
      </c>
      <c r="B623" s="1" t="n">
        <v>45082.58068287037</v>
      </c>
      <c r="C623" s="1" t="n">
        <v>45882</v>
      </c>
      <c r="D623" t="inlineStr">
        <is>
          <t>ÖSTERGÖTLANDS LÄN</t>
        </is>
      </c>
      <c r="E623" t="inlineStr">
        <is>
          <t>LINKÖPING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24467-2023</t>
        </is>
      </c>
      <c r="B624" s="1" t="n">
        <v>45082</v>
      </c>
      <c r="C624" s="1" t="n">
        <v>45882</v>
      </c>
      <c r="D624" t="inlineStr">
        <is>
          <t>ÖSTERGÖTLANDS LÄN</t>
        </is>
      </c>
      <c r="E624" t="inlineStr">
        <is>
          <t>LINKÖPING</t>
        </is>
      </c>
      <c r="G624" t="n">
        <v>2.4</v>
      </c>
      <c r="H624" t="n">
        <v>0</v>
      </c>
      <c r="I624" t="n">
        <v>0</v>
      </c>
      <c r="J624" t="n">
        <v>0</v>
      </c>
      <c r="K624" t="n">
        <v>0</v>
      </c>
      <c r="L624" t="n">
        <v>0</v>
      </c>
      <c r="M624" t="n">
        <v>0</v>
      </c>
      <c r="N624" t="n">
        <v>0</v>
      </c>
      <c r="O624" t="n">
        <v>0</v>
      </c>
      <c r="P624" t="n">
        <v>0</v>
      </c>
      <c r="Q624" t="n">
        <v>0</v>
      </c>
      <c r="R624" s="2" t="inlineStr"/>
    </row>
    <row r="625" ht="15" customHeight="1">
      <c r="A625" t="inlineStr">
        <is>
          <t>A 62012-2024</t>
        </is>
      </c>
      <c r="B625" s="1" t="n">
        <v>45655.79679398148</v>
      </c>
      <c r="C625" s="1" t="n">
        <v>45882</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62015-2024</t>
        </is>
      </c>
      <c r="B626" s="1" t="n">
        <v>45655.80457175926</v>
      </c>
      <c r="C626" s="1" t="n">
        <v>45882</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48389-2024</t>
        </is>
      </c>
      <c r="B627" s="1" t="n">
        <v>45590.59991898148</v>
      </c>
      <c r="C627" s="1" t="n">
        <v>45882</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56792-2023</t>
        </is>
      </c>
      <c r="B628" s="1" t="n">
        <v>45244</v>
      </c>
      <c r="C628" s="1" t="n">
        <v>45882</v>
      </c>
      <c r="D628" t="inlineStr">
        <is>
          <t>ÖSTERGÖTLANDS LÄN</t>
        </is>
      </c>
      <c r="E628" t="inlineStr">
        <is>
          <t>LINKÖPING</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10741-2023</t>
        </is>
      </c>
      <c r="B629" s="1" t="n">
        <v>44988.70084490741</v>
      </c>
      <c r="C629" s="1" t="n">
        <v>45882</v>
      </c>
      <c r="D629" t="inlineStr">
        <is>
          <t>ÖSTERGÖTLANDS LÄN</t>
        </is>
      </c>
      <c r="E629" t="inlineStr">
        <is>
          <t>LINKÖPING</t>
        </is>
      </c>
      <c r="F629" t="inlineStr">
        <is>
          <t>Allmännings- och besparingsskogar</t>
        </is>
      </c>
      <c r="G629" t="n">
        <v>11.2</v>
      </c>
      <c r="H629" t="n">
        <v>0</v>
      </c>
      <c r="I629" t="n">
        <v>0</v>
      </c>
      <c r="J629" t="n">
        <v>0</v>
      </c>
      <c r="K629" t="n">
        <v>0</v>
      </c>
      <c r="L629" t="n">
        <v>0</v>
      </c>
      <c r="M629" t="n">
        <v>0</v>
      </c>
      <c r="N629" t="n">
        <v>0</v>
      </c>
      <c r="O629" t="n">
        <v>0</v>
      </c>
      <c r="P629" t="n">
        <v>0</v>
      </c>
      <c r="Q629" t="n">
        <v>0</v>
      </c>
      <c r="R629" s="2" t="inlineStr"/>
    </row>
    <row r="630" ht="15" customHeight="1">
      <c r="A630" t="inlineStr">
        <is>
          <t>A 37057-2025</t>
        </is>
      </c>
      <c r="B630" s="1" t="n">
        <v>45875.37489583333</v>
      </c>
      <c r="C630" s="1" t="n">
        <v>45882</v>
      </c>
      <c r="D630" t="inlineStr">
        <is>
          <t>ÖSTERGÖTLANDS LÄN</t>
        </is>
      </c>
      <c r="E630" t="inlineStr">
        <is>
          <t>LINKÖPING</t>
        </is>
      </c>
      <c r="G630" t="n">
        <v>3.3</v>
      </c>
      <c r="H630" t="n">
        <v>0</v>
      </c>
      <c r="I630" t="n">
        <v>0</v>
      </c>
      <c r="J630" t="n">
        <v>0</v>
      </c>
      <c r="K630" t="n">
        <v>0</v>
      </c>
      <c r="L630" t="n">
        <v>0</v>
      </c>
      <c r="M630" t="n">
        <v>0</v>
      </c>
      <c r="N630" t="n">
        <v>0</v>
      </c>
      <c r="O630" t="n">
        <v>0</v>
      </c>
      <c r="P630" t="n">
        <v>0</v>
      </c>
      <c r="Q630" t="n">
        <v>0</v>
      </c>
      <c r="R630" s="2" t="inlineStr"/>
    </row>
    <row r="631" ht="15" customHeight="1">
      <c r="A631" t="inlineStr">
        <is>
          <t>A 31581-2025</t>
        </is>
      </c>
      <c r="B631" s="1" t="n">
        <v>45833.6840162037</v>
      </c>
      <c r="C631" s="1" t="n">
        <v>45882</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31585-2025</t>
        </is>
      </c>
      <c r="B632" s="1" t="n">
        <v>45833.68815972222</v>
      </c>
      <c r="C632" s="1" t="n">
        <v>45882</v>
      </c>
      <c r="D632" t="inlineStr">
        <is>
          <t>ÖSTERGÖTLANDS LÄN</t>
        </is>
      </c>
      <c r="E632" t="inlineStr">
        <is>
          <t>LINKÖPING</t>
        </is>
      </c>
      <c r="G632" t="n">
        <v>1.6</v>
      </c>
      <c r="H632" t="n">
        <v>0</v>
      </c>
      <c r="I632" t="n">
        <v>0</v>
      </c>
      <c r="J632" t="n">
        <v>0</v>
      </c>
      <c r="K632" t="n">
        <v>0</v>
      </c>
      <c r="L632" t="n">
        <v>0</v>
      </c>
      <c r="M632" t="n">
        <v>0</v>
      </c>
      <c r="N632" t="n">
        <v>0</v>
      </c>
      <c r="O632" t="n">
        <v>0</v>
      </c>
      <c r="P632" t="n">
        <v>0</v>
      </c>
      <c r="Q632" t="n">
        <v>0</v>
      </c>
      <c r="R632" s="2" t="inlineStr"/>
    </row>
    <row r="633" ht="15" customHeight="1">
      <c r="A633" t="inlineStr">
        <is>
          <t>A 43473-2024</t>
        </is>
      </c>
      <c r="B633" s="1" t="n">
        <v>45568</v>
      </c>
      <c r="C633" s="1" t="n">
        <v>45882</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43475-2024</t>
        </is>
      </c>
      <c r="B634" s="1" t="n">
        <v>45568</v>
      </c>
      <c r="C634" s="1" t="n">
        <v>45882</v>
      </c>
      <c r="D634" t="inlineStr">
        <is>
          <t>ÖSTERGÖTLANDS LÄN</t>
        </is>
      </c>
      <c r="E634" t="inlineStr">
        <is>
          <t>LINKÖPING</t>
        </is>
      </c>
      <c r="G634" t="n">
        <v>3.2</v>
      </c>
      <c r="H634" t="n">
        <v>0</v>
      </c>
      <c r="I634" t="n">
        <v>0</v>
      </c>
      <c r="J634" t="n">
        <v>0</v>
      </c>
      <c r="K634" t="n">
        <v>0</v>
      </c>
      <c r="L634" t="n">
        <v>0</v>
      </c>
      <c r="M634" t="n">
        <v>0</v>
      </c>
      <c r="N634" t="n">
        <v>0</v>
      </c>
      <c r="O634" t="n">
        <v>0</v>
      </c>
      <c r="P634" t="n">
        <v>0</v>
      </c>
      <c r="Q634" t="n">
        <v>0</v>
      </c>
      <c r="R634" s="2" t="inlineStr"/>
    </row>
    <row r="635" ht="15" customHeight="1">
      <c r="A635" t="inlineStr">
        <is>
          <t>A 1207-2023</t>
        </is>
      </c>
      <c r="B635" s="1" t="n">
        <v>44930</v>
      </c>
      <c r="C635" s="1" t="n">
        <v>45882</v>
      </c>
      <c r="D635" t="inlineStr">
        <is>
          <t>ÖSTERGÖTLANDS LÄN</t>
        </is>
      </c>
      <c r="E635" t="inlineStr">
        <is>
          <t>LINKÖPING</t>
        </is>
      </c>
      <c r="F635" t="inlineStr">
        <is>
          <t>Övriga statliga verk och myndigheter</t>
        </is>
      </c>
      <c r="G635" t="n">
        <v>32.8</v>
      </c>
      <c r="H635" t="n">
        <v>0</v>
      </c>
      <c r="I635" t="n">
        <v>0</v>
      </c>
      <c r="J635" t="n">
        <v>0</v>
      </c>
      <c r="K635" t="n">
        <v>0</v>
      </c>
      <c r="L635" t="n">
        <v>0</v>
      </c>
      <c r="M635" t="n">
        <v>0</v>
      </c>
      <c r="N635" t="n">
        <v>0</v>
      </c>
      <c r="O635" t="n">
        <v>0</v>
      </c>
      <c r="P635" t="n">
        <v>0</v>
      </c>
      <c r="Q635" t="n">
        <v>0</v>
      </c>
      <c r="R635" s="2" t="inlineStr"/>
    </row>
    <row r="636" ht="15" customHeight="1">
      <c r="A636" t="inlineStr">
        <is>
          <t>A 29859-2024</t>
        </is>
      </c>
      <c r="B636" s="1" t="n">
        <v>45485.6846412037</v>
      </c>
      <c r="C636" s="1" t="n">
        <v>45882</v>
      </c>
      <c r="D636" t="inlineStr">
        <is>
          <t>ÖSTERGÖTLANDS LÄN</t>
        </is>
      </c>
      <c r="E636" t="inlineStr">
        <is>
          <t>LINKÖPING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25825-2025</t>
        </is>
      </c>
      <c r="B637" s="1" t="n">
        <v>45804</v>
      </c>
      <c r="C637" s="1" t="n">
        <v>45882</v>
      </c>
      <c r="D637" t="inlineStr">
        <is>
          <t>ÖSTERGÖTLANDS LÄN</t>
        </is>
      </c>
      <c r="E637" t="inlineStr">
        <is>
          <t>LINKÖPING</t>
        </is>
      </c>
      <c r="G637" t="n">
        <v>1.7</v>
      </c>
      <c r="H637" t="n">
        <v>0</v>
      </c>
      <c r="I637" t="n">
        <v>0</v>
      </c>
      <c r="J637" t="n">
        <v>0</v>
      </c>
      <c r="K637" t="n">
        <v>0</v>
      </c>
      <c r="L637" t="n">
        <v>0</v>
      </c>
      <c r="M637" t="n">
        <v>0</v>
      </c>
      <c r="N637" t="n">
        <v>0</v>
      </c>
      <c r="O637" t="n">
        <v>0</v>
      </c>
      <c r="P637" t="n">
        <v>0</v>
      </c>
      <c r="Q637" t="n">
        <v>0</v>
      </c>
      <c r="R637" s="2" t="inlineStr"/>
    </row>
    <row r="638" ht="15" customHeight="1">
      <c r="A638" t="inlineStr">
        <is>
          <t>A 39017-2021</t>
        </is>
      </c>
      <c r="B638" s="1" t="n">
        <v>44412</v>
      </c>
      <c r="C638" s="1" t="n">
        <v>45882</v>
      </c>
      <c r="D638" t="inlineStr">
        <is>
          <t>ÖSTERGÖTLANDS LÄN</t>
        </is>
      </c>
      <c r="E638" t="inlineStr">
        <is>
          <t>LINKÖPING</t>
        </is>
      </c>
      <c r="F638" t="inlineStr">
        <is>
          <t>Övriga statliga verk och myndigheter</t>
        </is>
      </c>
      <c r="G638" t="n">
        <v>0.8</v>
      </c>
      <c r="H638" t="n">
        <v>0</v>
      </c>
      <c r="I638" t="n">
        <v>0</v>
      </c>
      <c r="J638" t="n">
        <v>0</v>
      </c>
      <c r="K638" t="n">
        <v>0</v>
      </c>
      <c r="L638" t="n">
        <v>0</v>
      </c>
      <c r="M638" t="n">
        <v>0</v>
      </c>
      <c r="N638" t="n">
        <v>0</v>
      </c>
      <c r="O638" t="n">
        <v>0</v>
      </c>
      <c r="P638" t="n">
        <v>0</v>
      </c>
      <c r="Q638" t="n">
        <v>0</v>
      </c>
      <c r="R638" s="2" t="inlineStr"/>
    </row>
    <row r="639" ht="15" customHeight="1">
      <c r="A639" t="inlineStr">
        <is>
          <t>A 45819-2024</t>
        </is>
      </c>
      <c r="B639" s="1" t="n">
        <v>45579.7454050926</v>
      </c>
      <c r="C639" s="1" t="n">
        <v>45882</v>
      </c>
      <c r="D639" t="inlineStr">
        <is>
          <t>ÖSTERGÖTLANDS LÄN</t>
        </is>
      </c>
      <c r="E639" t="inlineStr">
        <is>
          <t>LINKÖPING</t>
        </is>
      </c>
      <c r="G639" t="n">
        <v>5</v>
      </c>
      <c r="H639" t="n">
        <v>0</v>
      </c>
      <c r="I639" t="n">
        <v>0</v>
      </c>
      <c r="J639" t="n">
        <v>0</v>
      </c>
      <c r="K639" t="n">
        <v>0</v>
      </c>
      <c r="L639" t="n">
        <v>0</v>
      </c>
      <c r="M639" t="n">
        <v>0</v>
      </c>
      <c r="N639" t="n">
        <v>0</v>
      </c>
      <c r="O639" t="n">
        <v>0</v>
      </c>
      <c r="P639" t="n">
        <v>0</v>
      </c>
      <c r="Q639" t="n">
        <v>0</v>
      </c>
      <c r="R639" s="2" t="inlineStr"/>
    </row>
    <row r="640" ht="15" customHeight="1">
      <c r="A640" t="inlineStr">
        <is>
          <t>A 15748-2025</t>
        </is>
      </c>
      <c r="B640" s="1" t="n">
        <v>45748.55282407408</v>
      </c>
      <c r="C640" s="1" t="n">
        <v>45882</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15754-2025</t>
        </is>
      </c>
      <c r="B641" s="1" t="n">
        <v>45748.56105324074</v>
      </c>
      <c r="C641" s="1" t="n">
        <v>45882</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30518-2024</t>
        </is>
      </c>
      <c r="B642" s="1" t="n">
        <v>45492</v>
      </c>
      <c r="C642" s="1" t="n">
        <v>45882</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25292-2021</t>
        </is>
      </c>
      <c r="B643" s="1" t="n">
        <v>44342</v>
      </c>
      <c r="C643" s="1" t="n">
        <v>45882</v>
      </c>
      <c r="D643" t="inlineStr">
        <is>
          <t>ÖSTERGÖTLANDS LÄN</t>
        </is>
      </c>
      <c r="E643" t="inlineStr">
        <is>
          <t>LINKÖPING</t>
        </is>
      </c>
      <c r="F643" t="inlineStr">
        <is>
          <t>Övriga Aktiebolag</t>
        </is>
      </c>
      <c r="G643" t="n">
        <v>12.8</v>
      </c>
      <c r="H643" t="n">
        <v>0</v>
      </c>
      <c r="I643" t="n">
        <v>0</v>
      </c>
      <c r="J643" t="n">
        <v>0</v>
      </c>
      <c r="K643" t="n">
        <v>0</v>
      </c>
      <c r="L643" t="n">
        <v>0</v>
      </c>
      <c r="M643" t="n">
        <v>0</v>
      </c>
      <c r="N643" t="n">
        <v>0</v>
      </c>
      <c r="O643" t="n">
        <v>0</v>
      </c>
      <c r="P643" t="n">
        <v>0</v>
      </c>
      <c r="Q643" t="n">
        <v>0</v>
      </c>
      <c r="R643" s="2" t="inlineStr"/>
    </row>
    <row r="644" ht="15" customHeight="1">
      <c r="A644" t="inlineStr">
        <is>
          <t>A 53797-2023</t>
        </is>
      </c>
      <c r="B644" s="1" t="n">
        <v>45230</v>
      </c>
      <c r="C644" s="1" t="n">
        <v>45882</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1260-2023</t>
        </is>
      </c>
      <c r="B645" s="1" t="n">
        <v>44936</v>
      </c>
      <c r="C645" s="1" t="n">
        <v>45882</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1355-2023</t>
        </is>
      </c>
      <c r="B646" s="1" t="n">
        <v>44931</v>
      </c>
      <c r="C646" s="1" t="n">
        <v>45882</v>
      </c>
      <c r="D646" t="inlineStr">
        <is>
          <t>ÖSTERGÖTLANDS LÄN</t>
        </is>
      </c>
      <c r="E646" t="inlineStr">
        <is>
          <t>LINKÖPING</t>
        </is>
      </c>
      <c r="G646" t="n">
        <v>4</v>
      </c>
      <c r="H646" t="n">
        <v>0</v>
      </c>
      <c r="I646" t="n">
        <v>0</v>
      </c>
      <c r="J646" t="n">
        <v>0</v>
      </c>
      <c r="K646" t="n">
        <v>0</v>
      </c>
      <c r="L646" t="n">
        <v>0</v>
      </c>
      <c r="M646" t="n">
        <v>0</v>
      </c>
      <c r="N646" t="n">
        <v>0</v>
      </c>
      <c r="O646" t="n">
        <v>0</v>
      </c>
      <c r="P646" t="n">
        <v>0</v>
      </c>
      <c r="Q646" t="n">
        <v>0</v>
      </c>
      <c r="R646" s="2" t="inlineStr"/>
    </row>
    <row r="647" ht="15" customHeight="1">
      <c r="A647" t="inlineStr">
        <is>
          <t>A 55345-2021</t>
        </is>
      </c>
      <c r="B647" s="1" t="n">
        <v>44475</v>
      </c>
      <c r="C647" s="1" t="n">
        <v>45882</v>
      </c>
      <c r="D647" t="inlineStr">
        <is>
          <t>ÖSTERGÖTLANDS LÄN</t>
        </is>
      </c>
      <c r="E647" t="inlineStr">
        <is>
          <t>LINKÖPING</t>
        </is>
      </c>
      <c r="G647" t="n">
        <v>5.7</v>
      </c>
      <c r="H647" t="n">
        <v>0</v>
      </c>
      <c r="I647" t="n">
        <v>0</v>
      </c>
      <c r="J647" t="n">
        <v>0</v>
      </c>
      <c r="K647" t="n">
        <v>0</v>
      </c>
      <c r="L647" t="n">
        <v>0</v>
      </c>
      <c r="M647" t="n">
        <v>0</v>
      </c>
      <c r="N647" t="n">
        <v>0</v>
      </c>
      <c r="O647" t="n">
        <v>0</v>
      </c>
      <c r="P647" t="n">
        <v>0</v>
      </c>
      <c r="Q647" t="n">
        <v>0</v>
      </c>
      <c r="R647" s="2" t="inlineStr"/>
    </row>
    <row r="648" ht="15" customHeight="1">
      <c r="A648" t="inlineStr">
        <is>
          <t>A 59954-2020</t>
        </is>
      </c>
      <c r="B648" s="1" t="n">
        <v>44151</v>
      </c>
      <c r="C648" s="1" t="n">
        <v>45882</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59969-2020</t>
        </is>
      </c>
      <c r="B649" s="1" t="n">
        <v>44151</v>
      </c>
      <c r="C649" s="1" t="n">
        <v>45882</v>
      </c>
      <c r="D649" t="inlineStr">
        <is>
          <t>ÖSTERGÖTLANDS LÄN</t>
        </is>
      </c>
      <c r="E649" t="inlineStr">
        <is>
          <t>LINKÖPING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45882</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4298-2023</t>
        </is>
      </c>
      <c r="B651" s="1" t="n">
        <v>44953</v>
      </c>
      <c r="C651" s="1" t="n">
        <v>45882</v>
      </c>
      <c r="D651" t="inlineStr">
        <is>
          <t>ÖSTERGÖTLANDS LÄN</t>
        </is>
      </c>
      <c r="E651" t="inlineStr">
        <is>
          <t>LINKÖPING</t>
        </is>
      </c>
      <c r="G651" t="n">
        <v>2.8</v>
      </c>
      <c r="H651" t="n">
        <v>0</v>
      </c>
      <c r="I651" t="n">
        <v>0</v>
      </c>
      <c r="J651" t="n">
        <v>0</v>
      </c>
      <c r="K651" t="n">
        <v>0</v>
      </c>
      <c r="L651" t="n">
        <v>0</v>
      </c>
      <c r="M651" t="n">
        <v>0</v>
      </c>
      <c r="N651" t="n">
        <v>0</v>
      </c>
      <c r="O651" t="n">
        <v>0</v>
      </c>
      <c r="P651" t="n">
        <v>0</v>
      </c>
      <c r="Q651" t="n">
        <v>0</v>
      </c>
      <c r="R651" s="2" t="inlineStr"/>
    </row>
    <row r="652" ht="15" customHeight="1">
      <c r="A652" t="inlineStr">
        <is>
          <t>A 3007-2025</t>
        </is>
      </c>
      <c r="B652" s="1" t="n">
        <v>45678.56328703704</v>
      </c>
      <c r="C652" s="1" t="n">
        <v>45882</v>
      </c>
      <c r="D652" t="inlineStr">
        <is>
          <t>ÖSTERGÖTLANDS LÄN</t>
        </is>
      </c>
      <c r="E652" t="inlineStr">
        <is>
          <t>LINKÖPING</t>
        </is>
      </c>
      <c r="G652" t="n">
        <v>3.1</v>
      </c>
      <c r="H652" t="n">
        <v>0</v>
      </c>
      <c r="I652" t="n">
        <v>0</v>
      </c>
      <c r="J652" t="n">
        <v>0</v>
      </c>
      <c r="K652" t="n">
        <v>0</v>
      </c>
      <c r="L652" t="n">
        <v>0</v>
      </c>
      <c r="M652" t="n">
        <v>0</v>
      </c>
      <c r="N652" t="n">
        <v>0</v>
      </c>
      <c r="O652" t="n">
        <v>0</v>
      </c>
      <c r="P652" t="n">
        <v>0</v>
      </c>
      <c r="Q652" t="n">
        <v>0</v>
      </c>
      <c r="R652" s="2" t="inlineStr"/>
    </row>
    <row r="653" ht="15" customHeight="1">
      <c r="A653" t="inlineStr">
        <is>
          <t>A 10492-2022</t>
        </is>
      </c>
      <c r="B653" s="1" t="n">
        <v>44623.6377199074</v>
      </c>
      <c r="C653" s="1" t="n">
        <v>45882</v>
      </c>
      <c r="D653" t="inlineStr">
        <is>
          <t>ÖSTERGÖTLANDS LÄN</t>
        </is>
      </c>
      <c r="E653" t="inlineStr">
        <is>
          <t>LINKÖPING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30465-2023</t>
        </is>
      </c>
      <c r="B654" s="1" t="n">
        <v>45111</v>
      </c>
      <c r="C654" s="1" t="n">
        <v>45882</v>
      </c>
      <c r="D654" t="inlineStr">
        <is>
          <t>ÖSTERGÖTLANDS LÄN</t>
        </is>
      </c>
      <c r="E654" t="inlineStr">
        <is>
          <t>LINKÖPING</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12428-2024</t>
        </is>
      </c>
      <c r="B655" s="1" t="n">
        <v>45379</v>
      </c>
      <c r="C655" s="1" t="n">
        <v>45882</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26618-2023</t>
        </is>
      </c>
      <c r="B656" s="1" t="n">
        <v>45092.70306712963</v>
      </c>
      <c r="C656" s="1" t="n">
        <v>45882</v>
      </c>
      <c r="D656" t="inlineStr">
        <is>
          <t>ÖSTERGÖTLANDS LÄN</t>
        </is>
      </c>
      <c r="E656" t="inlineStr">
        <is>
          <t>LINKÖPING</t>
        </is>
      </c>
      <c r="G656" t="n">
        <v>6.9</v>
      </c>
      <c r="H656" t="n">
        <v>0</v>
      </c>
      <c r="I656" t="n">
        <v>0</v>
      </c>
      <c r="J656" t="n">
        <v>0</v>
      </c>
      <c r="K656" t="n">
        <v>0</v>
      </c>
      <c r="L656" t="n">
        <v>0</v>
      </c>
      <c r="M656" t="n">
        <v>0</v>
      </c>
      <c r="N656" t="n">
        <v>0</v>
      </c>
      <c r="O656" t="n">
        <v>0</v>
      </c>
      <c r="P656" t="n">
        <v>0</v>
      </c>
      <c r="Q656" t="n">
        <v>0</v>
      </c>
      <c r="R656" s="2" t="inlineStr"/>
    </row>
    <row r="657" ht="15" customHeight="1">
      <c r="A657" t="inlineStr">
        <is>
          <t>A 39021-2021</t>
        </is>
      </c>
      <c r="B657" s="1" t="n">
        <v>44412</v>
      </c>
      <c r="C657" s="1" t="n">
        <v>45882</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49748-2024</t>
        </is>
      </c>
      <c r="B658" s="1" t="n">
        <v>45596</v>
      </c>
      <c r="C658" s="1" t="n">
        <v>45882</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34930-2023</t>
        </is>
      </c>
      <c r="B659" s="1" t="n">
        <v>45142</v>
      </c>
      <c r="C659" s="1" t="n">
        <v>45882</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62353-2022</t>
        </is>
      </c>
      <c r="B660" s="1" t="n">
        <v>44923</v>
      </c>
      <c r="C660" s="1" t="n">
        <v>45882</v>
      </c>
      <c r="D660" t="inlineStr">
        <is>
          <t>ÖSTERGÖTLANDS LÄN</t>
        </is>
      </c>
      <c r="E660" t="inlineStr">
        <is>
          <t>LINKÖPING</t>
        </is>
      </c>
      <c r="F660" t="inlineStr">
        <is>
          <t>Allmännings- och besparingsskogar</t>
        </is>
      </c>
      <c r="G660" t="n">
        <v>1.7</v>
      </c>
      <c r="H660" t="n">
        <v>0</v>
      </c>
      <c r="I660" t="n">
        <v>0</v>
      </c>
      <c r="J660" t="n">
        <v>0</v>
      </c>
      <c r="K660" t="n">
        <v>0</v>
      </c>
      <c r="L660" t="n">
        <v>0</v>
      </c>
      <c r="M660" t="n">
        <v>0</v>
      </c>
      <c r="N660" t="n">
        <v>0</v>
      </c>
      <c r="O660" t="n">
        <v>0</v>
      </c>
      <c r="P660" t="n">
        <v>0</v>
      </c>
      <c r="Q660" t="n">
        <v>0</v>
      </c>
      <c r="R660" s="2" t="inlineStr"/>
    </row>
    <row r="661" ht="15" customHeight="1">
      <c r="A661" t="inlineStr">
        <is>
          <t>A 670-2024</t>
        </is>
      </c>
      <c r="B661" s="1" t="n">
        <v>45300.3408912037</v>
      </c>
      <c r="C661" s="1" t="n">
        <v>45882</v>
      </c>
      <c r="D661" t="inlineStr">
        <is>
          <t>ÖSTERGÖTLANDS LÄN</t>
        </is>
      </c>
      <c r="E661" t="inlineStr">
        <is>
          <t>LINKÖPING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30111-2024</t>
        </is>
      </c>
      <c r="B662" s="1" t="n">
        <v>45489.46947916667</v>
      </c>
      <c r="C662" s="1" t="n">
        <v>45882</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30119-2024</t>
        </is>
      </c>
      <c r="B663" s="1" t="n">
        <v>45489</v>
      </c>
      <c r="C663" s="1" t="n">
        <v>45882</v>
      </c>
      <c r="D663" t="inlineStr">
        <is>
          <t>ÖSTERGÖTLANDS LÄN</t>
        </is>
      </c>
      <c r="E663" t="inlineStr">
        <is>
          <t>LINKÖPING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63845-2021</t>
        </is>
      </c>
      <c r="B664" s="1" t="n">
        <v>44509</v>
      </c>
      <c r="C664" s="1" t="n">
        <v>45882</v>
      </c>
      <c r="D664" t="inlineStr">
        <is>
          <t>ÖSTERGÖTLANDS LÄN</t>
        </is>
      </c>
      <c r="E664" t="inlineStr">
        <is>
          <t>LINKÖPING</t>
        </is>
      </c>
      <c r="G664" t="n">
        <v>5</v>
      </c>
      <c r="H664" t="n">
        <v>0</v>
      </c>
      <c r="I664" t="n">
        <v>0</v>
      </c>
      <c r="J664" t="n">
        <v>0</v>
      </c>
      <c r="K664" t="n">
        <v>0</v>
      </c>
      <c r="L664" t="n">
        <v>0</v>
      </c>
      <c r="M664" t="n">
        <v>0</v>
      </c>
      <c r="N664" t="n">
        <v>0</v>
      </c>
      <c r="O664" t="n">
        <v>0</v>
      </c>
      <c r="P664" t="n">
        <v>0</v>
      </c>
      <c r="Q664" t="n">
        <v>0</v>
      </c>
      <c r="R664" s="2" t="inlineStr"/>
    </row>
    <row r="665" ht="15" customHeight="1">
      <c r="A665" t="inlineStr">
        <is>
          <t>A 33800-2023</t>
        </is>
      </c>
      <c r="B665" s="1" t="n">
        <v>45121</v>
      </c>
      <c r="C665" s="1" t="n">
        <v>45882</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29411-2023</t>
        </is>
      </c>
      <c r="B666" s="1" t="n">
        <v>45106.46225694445</v>
      </c>
      <c r="C666" s="1" t="n">
        <v>45882</v>
      </c>
      <c r="D666" t="inlineStr">
        <is>
          <t>ÖSTERGÖTLANDS LÄN</t>
        </is>
      </c>
      <c r="E666" t="inlineStr">
        <is>
          <t>LINKÖPING</t>
        </is>
      </c>
      <c r="G666" t="n">
        <v>2.5</v>
      </c>
      <c r="H666" t="n">
        <v>0</v>
      </c>
      <c r="I666" t="n">
        <v>0</v>
      </c>
      <c r="J666" t="n">
        <v>0</v>
      </c>
      <c r="K666" t="n">
        <v>0</v>
      </c>
      <c r="L666" t="n">
        <v>0</v>
      </c>
      <c r="M666" t="n">
        <v>0</v>
      </c>
      <c r="N666" t="n">
        <v>0</v>
      </c>
      <c r="O666" t="n">
        <v>0</v>
      </c>
      <c r="P666" t="n">
        <v>0</v>
      </c>
      <c r="Q666" t="n">
        <v>0</v>
      </c>
      <c r="R666" s="2" t="inlineStr"/>
    </row>
    <row r="667" ht="15" customHeight="1">
      <c r="A667" t="inlineStr">
        <is>
          <t>A 29412-2023</t>
        </is>
      </c>
      <c r="B667" s="1" t="n">
        <v>45106.46359953703</v>
      </c>
      <c r="C667" s="1" t="n">
        <v>45882</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31792-2021</t>
        </is>
      </c>
      <c r="B668" s="1" t="n">
        <v>44369</v>
      </c>
      <c r="C668" s="1" t="n">
        <v>45882</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54034-2022</t>
        </is>
      </c>
      <c r="B669" s="1" t="n">
        <v>44881</v>
      </c>
      <c r="C669" s="1" t="n">
        <v>45882</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32723-2025</t>
        </is>
      </c>
      <c r="B670" s="1" t="n">
        <v>45838</v>
      </c>
      <c r="C670" s="1" t="n">
        <v>45882</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36336-2023</t>
        </is>
      </c>
      <c r="B671" s="1" t="n">
        <v>45152.45078703704</v>
      </c>
      <c r="C671" s="1" t="n">
        <v>45882</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48829-2023</t>
        </is>
      </c>
      <c r="B672" s="1" t="n">
        <v>45209.38177083333</v>
      </c>
      <c r="C672" s="1" t="n">
        <v>45882</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45506-2020</t>
        </is>
      </c>
      <c r="B673" s="1" t="n">
        <v>44089</v>
      </c>
      <c r="C673" s="1" t="n">
        <v>45882</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421-2024</t>
        </is>
      </c>
      <c r="B674" s="1" t="n">
        <v>45296.51877314815</v>
      </c>
      <c r="C674" s="1" t="n">
        <v>45882</v>
      </c>
      <c r="D674" t="inlineStr">
        <is>
          <t>ÖSTERGÖTLANDS LÄN</t>
        </is>
      </c>
      <c r="E674" t="inlineStr">
        <is>
          <t>LINKÖPING</t>
        </is>
      </c>
      <c r="G674" t="n">
        <v>3.7</v>
      </c>
      <c r="H674" t="n">
        <v>0</v>
      </c>
      <c r="I674" t="n">
        <v>0</v>
      </c>
      <c r="J674" t="n">
        <v>0</v>
      </c>
      <c r="K674" t="n">
        <v>0</v>
      </c>
      <c r="L674" t="n">
        <v>0</v>
      </c>
      <c r="M674" t="n">
        <v>0</v>
      </c>
      <c r="N674" t="n">
        <v>0</v>
      </c>
      <c r="O674" t="n">
        <v>0</v>
      </c>
      <c r="P674" t="n">
        <v>0</v>
      </c>
      <c r="Q674" t="n">
        <v>0</v>
      </c>
      <c r="R674" s="2" t="inlineStr"/>
    </row>
    <row r="675" ht="15" customHeight="1">
      <c r="A675" t="inlineStr">
        <is>
          <t>A 22043-2023</t>
        </is>
      </c>
      <c r="B675" s="1" t="n">
        <v>45069.39050925926</v>
      </c>
      <c r="C675" s="1" t="n">
        <v>45882</v>
      </c>
      <c r="D675" t="inlineStr">
        <is>
          <t>ÖSTERGÖTLANDS LÄN</t>
        </is>
      </c>
      <c r="E675" t="inlineStr">
        <is>
          <t>LINKÖPING</t>
        </is>
      </c>
      <c r="G675" t="n">
        <v>5.9</v>
      </c>
      <c r="H675" t="n">
        <v>0</v>
      </c>
      <c r="I675" t="n">
        <v>0</v>
      </c>
      <c r="J675" t="n">
        <v>0</v>
      </c>
      <c r="K675" t="n">
        <v>0</v>
      </c>
      <c r="L675" t="n">
        <v>0</v>
      </c>
      <c r="M675" t="n">
        <v>0</v>
      </c>
      <c r="N675" t="n">
        <v>0</v>
      </c>
      <c r="O675" t="n">
        <v>0</v>
      </c>
      <c r="P675" t="n">
        <v>0</v>
      </c>
      <c r="Q675" t="n">
        <v>0</v>
      </c>
      <c r="R675" s="2" t="inlineStr"/>
    </row>
    <row r="676" ht="15" customHeight="1">
      <c r="A676" t="inlineStr">
        <is>
          <t>A 61532-2021</t>
        </is>
      </c>
      <c r="B676" s="1" t="n">
        <v>44501</v>
      </c>
      <c r="C676" s="1" t="n">
        <v>45882</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14028-2024</t>
        </is>
      </c>
      <c r="B677" s="1" t="n">
        <v>45392</v>
      </c>
      <c r="C677" s="1" t="n">
        <v>45882</v>
      </c>
      <c r="D677" t="inlineStr">
        <is>
          <t>ÖSTERGÖTLANDS LÄN</t>
        </is>
      </c>
      <c r="E677" t="inlineStr">
        <is>
          <t>LINKÖPING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40431-2024</t>
        </is>
      </c>
      <c r="B678" s="1" t="n">
        <v>45555.47070601852</v>
      </c>
      <c r="C678" s="1" t="n">
        <v>45882</v>
      </c>
      <c r="D678" t="inlineStr">
        <is>
          <t>ÖSTERGÖTLANDS LÄN</t>
        </is>
      </c>
      <c r="E678" t="inlineStr">
        <is>
          <t>LINKÖPING</t>
        </is>
      </c>
      <c r="F678" t="inlineStr">
        <is>
          <t>Allmännings- och besparingsskogar</t>
        </is>
      </c>
      <c r="G678" t="n">
        <v>2.9</v>
      </c>
      <c r="H678" t="n">
        <v>0</v>
      </c>
      <c r="I678" t="n">
        <v>0</v>
      </c>
      <c r="J678" t="n">
        <v>0</v>
      </c>
      <c r="K678" t="n">
        <v>0</v>
      </c>
      <c r="L678" t="n">
        <v>0</v>
      </c>
      <c r="M678" t="n">
        <v>0</v>
      </c>
      <c r="N678" t="n">
        <v>0</v>
      </c>
      <c r="O678" t="n">
        <v>0</v>
      </c>
      <c r="P678" t="n">
        <v>0</v>
      </c>
      <c r="Q678" t="n">
        <v>0</v>
      </c>
      <c r="R678" s="2" t="inlineStr"/>
    </row>
    <row r="679" ht="15" customHeight="1">
      <c r="A679" t="inlineStr">
        <is>
          <t>A 60860-2024</t>
        </is>
      </c>
      <c r="B679" s="1" t="n">
        <v>45644.6893287037</v>
      </c>
      <c r="C679" s="1" t="n">
        <v>45882</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48186-2022</t>
        </is>
      </c>
      <c r="B680" s="1" t="n">
        <v>44858</v>
      </c>
      <c r="C680" s="1" t="n">
        <v>45882</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63669-2023</t>
        </is>
      </c>
      <c r="B681" s="1" t="n">
        <v>45275</v>
      </c>
      <c r="C681" s="1" t="n">
        <v>45882</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2697-2023</t>
        </is>
      </c>
      <c r="B682" s="1" t="n">
        <v>44944</v>
      </c>
      <c r="C682" s="1" t="n">
        <v>45882</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24586-2024</t>
        </is>
      </c>
      <c r="B683" s="1" t="n">
        <v>45460.46664351852</v>
      </c>
      <c r="C683" s="1" t="n">
        <v>45882</v>
      </c>
      <c r="D683" t="inlineStr">
        <is>
          <t>ÖSTERGÖTLANDS LÄN</t>
        </is>
      </c>
      <c r="E683" t="inlineStr">
        <is>
          <t>LINKÖPING</t>
        </is>
      </c>
      <c r="G683" t="n">
        <v>4</v>
      </c>
      <c r="H683" t="n">
        <v>0</v>
      </c>
      <c r="I683" t="n">
        <v>0</v>
      </c>
      <c r="J683" t="n">
        <v>0</v>
      </c>
      <c r="K683" t="n">
        <v>0</v>
      </c>
      <c r="L683" t="n">
        <v>0</v>
      </c>
      <c r="M683" t="n">
        <v>0</v>
      </c>
      <c r="N683" t="n">
        <v>0</v>
      </c>
      <c r="O683" t="n">
        <v>0</v>
      </c>
      <c r="P683" t="n">
        <v>0</v>
      </c>
      <c r="Q683" t="n">
        <v>0</v>
      </c>
      <c r="R683" s="2" t="inlineStr"/>
    </row>
    <row r="684" ht="15" customHeight="1">
      <c r="A684" t="inlineStr">
        <is>
          <t>A 59576-2024</t>
        </is>
      </c>
      <c r="B684" s="1" t="n">
        <v>45638.66378472222</v>
      </c>
      <c r="C684" s="1" t="n">
        <v>45882</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59642-2024</t>
        </is>
      </c>
      <c r="B685" s="1" t="n">
        <v>45639.31511574074</v>
      </c>
      <c r="C685" s="1" t="n">
        <v>45882</v>
      </c>
      <c r="D685" t="inlineStr">
        <is>
          <t>ÖSTERGÖTLANDS LÄN</t>
        </is>
      </c>
      <c r="E685" t="inlineStr">
        <is>
          <t>LINKÖPING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59674-2024</t>
        </is>
      </c>
      <c r="B686" s="1" t="n">
        <v>45639</v>
      </c>
      <c r="C686" s="1" t="n">
        <v>45882</v>
      </c>
      <c r="D686" t="inlineStr">
        <is>
          <t>ÖSTERGÖTLANDS LÄN</t>
        </is>
      </c>
      <c r="E686" t="inlineStr">
        <is>
          <t>LINKÖPING</t>
        </is>
      </c>
      <c r="G686" t="n">
        <v>6.3</v>
      </c>
      <c r="H686" t="n">
        <v>0</v>
      </c>
      <c r="I686" t="n">
        <v>0</v>
      </c>
      <c r="J686" t="n">
        <v>0</v>
      </c>
      <c r="K686" t="n">
        <v>0</v>
      </c>
      <c r="L686" t="n">
        <v>0</v>
      </c>
      <c r="M686" t="n">
        <v>0</v>
      </c>
      <c r="N686" t="n">
        <v>0</v>
      </c>
      <c r="O686" t="n">
        <v>0</v>
      </c>
      <c r="P686" t="n">
        <v>0</v>
      </c>
      <c r="Q686" t="n">
        <v>0</v>
      </c>
      <c r="R686" s="2" t="inlineStr"/>
    </row>
    <row r="687" ht="15" customHeight="1">
      <c r="A687" t="inlineStr">
        <is>
          <t>A 3742-2021</t>
        </is>
      </c>
      <c r="B687" s="1" t="n">
        <v>44221</v>
      </c>
      <c r="C687" s="1" t="n">
        <v>45882</v>
      </c>
      <c r="D687" t="inlineStr">
        <is>
          <t>ÖSTERGÖTLANDS LÄN</t>
        </is>
      </c>
      <c r="E687" t="inlineStr">
        <is>
          <t>LINKÖPING</t>
        </is>
      </c>
      <c r="G687" t="n">
        <v>5.5</v>
      </c>
      <c r="H687" t="n">
        <v>0</v>
      </c>
      <c r="I687" t="n">
        <v>0</v>
      </c>
      <c r="J687" t="n">
        <v>0</v>
      </c>
      <c r="K687" t="n">
        <v>0</v>
      </c>
      <c r="L687" t="n">
        <v>0</v>
      </c>
      <c r="M687" t="n">
        <v>0</v>
      </c>
      <c r="N687" t="n">
        <v>0</v>
      </c>
      <c r="O687" t="n">
        <v>0</v>
      </c>
      <c r="P687" t="n">
        <v>0</v>
      </c>
      <c r="Q687" t="n">
        <v>0</v>
      </c>
      <c r="R687" s="2" t="inlineStr"/>
    </row>
    <row r="688" ht="15" customHeight="1">
      <c r="A688" t="inlineStr">
        <is>
          <t>A 18916-2024</t>
        </is>
      </c>
      <c r="B688" s="1" t="n">
        <v>45427.39541666667</v>
      </c>
      <c r="C688" s="1" t="n">
        <v>45882</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11084-2022</t>
        </is>
      </c>
      <c r="B689" s="1" t="n">
        <v>44628</v>
      </c>
      <c r="C689" s="1" t="n">
        <v>45882</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10203-2023</t>
        </is>
      </c>
      <c r="B690" s="1" t="n">
        <v>44986.55711805556</v>
      </c>
      <c r="C690" s="1" t="n">
        <v>45882</v>
      </c>
      <c r="D690" t="inlineStr">
        <is>
          <t>ÖSTERGÖTLANDS LÄN</t>
        </is>
      </c>
      <c r="E690" t="inlineStr">
        <is>
          <t>LINKÖPING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2618-2023</t>
        </is>
      </c>
      <c r="B691" s="1" t="n">
        <v>44944.35847222222</v>
      </c>
      <c r="C691" s="1" t="n">
        <v>45882</v>
      </c>
      <c r="D691" t="inlineStr">
        <is>
          <t>ÖSTERGÖTLANDS LÄN</t>
        </is>
      </c>
      <c r="E691" t="inlineStr">
        <is>
          <t>LINKÖPING</t>
        </is>
      </c>
      <c r="G691" t="n">
        <v>4.3</v>
      </c>
      <c r="H691" t="n">
        <v>0</v>
      </c>
      <c r="I691" t="n">
        <v>0</v>
      </c>
      <c r="J691" t="n">
        <v>0</v>
      </c>
      <c r="K691" t="n">
        <v>0</v>
      </c>
      <c r="L691" t="n">
        <v>0</v>
      </c>
      <c r="M691" t="n">
        <v>0</v>
      </c>
      <c r="N691" t="n">
        <v>0</v>
      </c>
      <c r="O691" t="n">
        <v>0</v>
      </c>
      <c r="P691" t="n">
        <v>0</v>
      </c>
      <c r="Q691" t="n">
        <v>0</v>
      </c>
      <c r="R691" s="2" t="inlineStr"/>
    </row>
    <row r="692" ht="15" customHeight="1">
      <c r="A692" t="inlineStr">
        <is>
          <t>A 62020-2024</t>
        </is>
      </c>
      <c r="B692" s="1" t="n">
        <v>45655.83563657408</v>
      </c>
      <c r="C692" s="1" t="n">
        <v>45882</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62021-2024</t>
        </is>
      </c>
      <c r="B693" s="1" t="n">
        <v>45655.84232638889</v>
      </c>
      <c r="C693" s="1" t="n">
        <v>45882</v>
      </c>
      <c r="D693" t="inlineStr">
        <is>
          <t>ÖSTERGÖTLANDS LÄN</t>
        </is>
      </c>
      <c r="E693" t="inlineStr">
        <is>
          <t>LINKÖPING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39457-2023</t>
        </is>
      </c>
      <c r="B694" s="1" t="n">
        <v>45166</v>
      </c>
      <c r="C694" s="1" t="n">
        <v>45882</v>
      </c>
      <c r="D694" t="inlineStr">
        <is>
          <t>ÖSTERGÖTLANDS LÄN</t>
        </is>
      </c>
      <c r="E694" t="inlineStr">
        <is>
          <t>LINKÖPING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1362-2023</t>
        </is>
      </c>
      <c r="B695" s="1" t="n">
        <v>44931</v>
      </c>
      <c r="C695" s="1" t="n">
        <v>45882</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49928-2024</t>
        </is>
      </c>
      <c r="B696" s="1" t="n">
        <v>45597.57811342592</v>
      </c>
      <c r="C696" s="1" t="n">
        <v>45882</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3627-2023</t>
        </is>
      </c>
      <c r="B697" s="1" t="n">
        <v>44950.64782407408</v>
      </c>
      <c r="C697" s="1" t="n">
        <v>45882</v>
      </c>
      <c r="D697" t="inlineStr">
        <is>
          <t>ÖSTERGÖTLANDS LÄN</t>
        </is>
      </c>
      <c r="E697" t="inlineStr">
        <is>
          <t>LINKÖPING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51405-2023</t>
        </is>
      </c>
      <c r="B698" s="1" t="n">
        <v>45219</v>
      </c>
      <c r="C698" s="1" t="n">
        <v>45882</v>
      </c>
      <c r="D698" t="inlineStr">
        <is>
          <t>ÖSTERGÖTLANDS LÄN</t>
        </is>
      </c>
      <c r="E698" t="inlineStr">
        <is>
          <t>LINKÖPING</t>
        </is>
      </c>
      <c r="F698" t="inlineStr">
        <is>
          <t>Övriga Aktiebolag</t>
        </is>
      </c>
      <c r="G698" t="n">
        <v>3</v>
      </c>
      <c r="H698" t="n">
        <v>0</v>
      </c>
      <c r="I698" t="n">
        <v>0</v>
      </c>
      <c r="J698" t="n">
        <v>0</v>
      </c>
      <c r="K698" t="n">
        <v>0</v>
      </c>
      <c r="L698" t="n">
        <v>0</v>
      </c>
      <c r="M698" t="n">
        <v>0</v>
      </c>
      <c r="N698" t="n">
        <v>0</v>
      </c>
      <c r="O698" t="n">
        <v>0</v>
      </c>
      <c r="P698" t="n">
        <v>0</v>
      </c>
      <c r="Q698" t="n">
        <v>0</v>
      </c>
      <c r="R698" s="2" t="inlineStr"/>
    </row>
    <row r="699">
      <c r="A699" t="inlineStr">
        <is>
          <t>A 11601-2023</t>
        </is>
      </c>
      <c r="B699" s="1" t="n">
        <v>44994</v>
      </c>
      <c r="C699" s="1" t="n">
        <v>45882</v>
      </c>
      <c r="D699" t="inlineStr">
        <is>
          <t>ÖSTERGÖTLANDS LÄN</t>
        </is>
      </c>
      <c r="E699" t="inlineStr">
        <is>
          <t>LINKÖPING</t>
        </is>
      </c>
      <c r="G699" t="n">
        <v>1.7</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2025-08-13T08:28:20Z</dcterms:created>
  <dcterms:modified xmlns:dcterms="http://purl.org/dc/terms/" xmlns:xsi="http://www.w3.org/2001/XMLSchema-instance" xsi:type="dcterms:W3CDTF">2025-08-13T08:28:21Z</dcterms:modified>
</cp:coreProperties>
</file>