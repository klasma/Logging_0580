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46086</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46086</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46086</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46086</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46086</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48329-2025</t>
        </is>
      </c>
      <c r="B15" s="1" t="n">
        <v>45932</v>
      </c>
      <c r="C15" s="1" t="n">
        <v>46086</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46086</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46086</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11048-2026</t>
        </is>
      </c>
      <c r="B18" s="1" t="n">
        <v>46079.58841435185</v>
      </c>
      <c r="C18" s="1" t="n">
        <v>46086</v>
      </c>
      <c r="D18" t="inlineStr">
        <is>
          <t>ÖSTERGÖTLANDS LÄN</t>
        </is>
      </c>
      <c r="E18" t="inlineStr">
        <is>
          <t>LINKÖPING</t>
        </is>
      </c>
      <c r="G18" t="n">
        <v>4.1</v>
      </c>
      <c r="H18" t="n">
        <v>0</v>
      </c>
      <c r="I18" t="n">
        <v>3</v>
      </c>
      <c r="J18" t="n">
        <v>0</v>
      </c>
      <c r="K18" t="n">
        <v>0</v>
      </c>
      <c r="L18" t="n">
        <v>0</v>
      </c>
      <c r="M18" t="n">
        <v>0</v>
      </c>
      <c r="N18" t="n">
        <v>0</v>
      </c>
      <c r="O18" t="n">
        <v>0</v>
      </c>
      <c r="P18" t="n">
        <v>0</v>
      </c>
      <c r="Q18" t="n">
        <v>3</v>
      </c>
      <c r="R18" s="2" t="inlineStr">
        <is>
          <t>Svart trolldruva
Sårläka
Tibast</t>
        </is>
      </c>
      <c r="S18">
        <f>HYPERLINK("https://klasma.github.io/Logging_0580/artfynd/A 11048-2026 artfynd.xlsx", "A 11048-2026")</f>
        <v/>
      </c>
      <c r="T18">
        <f>HYPERLINK("https://klasma.github.io/Logging_0580/kartor/A 11048-2026 karta.png", "A 11048-2026")</f>
        <v/>
      </c>
      <c r="V18">
        <f>HYPERLINK("https://klasma.github.io/Logging_0580/klagomål/A 11048-2026 FSC-klagomål.docx", "A 11048-2026")</f>
        <v/>
      </c>
      <c r="W18">
        <f>HYPERLINK("https://klasma.github.io/Logging_0580/klagomålsmail/A 11048-2026 FSC-klagomål mail.docx", "A 11048-2026")</f>
        <v/>
      </c>
      <c r="X18">
        <f>HYPERLINK("https://klasma.github.io/Logging_0580/tillsyn/A 11048-2026 tillsynsbegäran.docx", "A 11048-2026")</f>
        <v/>
      </c>
      <c r="Y18">
        <f>HYPERLINK("https://klasma.github.io/Logging_0580/tillsynsmail/A 11048-2026 tillsynsbegäran mail.docx", "A 11048-2026")</f>
        <v/>
      </c>
    </row>
    <row r="19" ht="15" customHeight="1">
      <c r="A19" t="inlineStr">
        <is>
          <t>A 11097-2026</t>
        </is>
      </c>
      <c r="B19" s="1" t="n">
        <v>46079.64511574074</v>
      </c>
      <c r="C19" s="1" t="n">
        <v>46086</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49999-2025</t>
        </is>
      </c>
      <c r="B20" s="1" t="n">
        <v>45943.30185185185</v>
      </c>
      <c r="C20" s="1" t="n">
        <v>46086</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46086</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6353-2026</t>
        </is>
      </c>
      <c r="B22" s="1" t="n">
        <v>46055.61385416667</v>
      </c>
      <c r="C22" s="1" t="n">
        <v>46086</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38913-2023</t>
        </is>
      </c>
      <c r="B23" s="1" t="n">
        <v>45163</v>
      </c>
      <c r="C23" s="1" t="n">
        <v>46086</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46086</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46086</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46086</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46086</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46086</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46086</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46086</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46086</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46086</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3912-2026</t>
        </is>
      </c>
      <c r="B33" s="1" t="n">
        <v>46043.71958333333</v>
      </c>
      <c r="C33" s="1" t="n">
        <v>46086</v>
      </c>
      <c r="D33" t="inlineStr">
        <is>
          <t>ÖSTERGÖTLANDS LÄN</t>
        </is>
      </c>
      <c r="E33" t="inlineStr">
        <is>
          <t>LINKÖPING</t>
        </is>
      </c>
      <c r="F33" t="inlineStr">
        <is>
          <t>Kyrkan</t>
        </is>
      </c>
      <c r="G33" t="n">
        <v>6.8</v>
      </c>
      <c r="H33" t="n">
        <v>1</v>
      </c>
      <c r="I33" t="n">
        <v>1</v>
      </c>
      <c r="J33" t="n">
        <v>0</v>
      </c>
      <c r="K33" t="n">
        <v>1</v>
      </c>
      <c r="L33" t="n">
        <v>0</v>
      </c>
      <c r="M33" t="n">
        <v>0</v>
      </c>
      <c r="N33" t="n">
        <v>0</v>
      </c>
      <c r="O33" t="n">
        <v>1</v>
      </c>
      <c r="P33" t="n">
        <v>1</v>
      </c>
      <c r="Q33" t="n">
        <v>2</v>
      </c>
      <c r="R33" s="2" t="inlineStr">
        <is>
          <t>Knärot
Grönpyrola</t>
        </is>
      </c>
      <c r="S33">
        <f>HYPERLINK("https://klasma.github.io/Logging_0580/artfynd/A 3912-2026 artfynd.xlsx", "A 3912-2026")</f>
        <v/>
      </c>
      <c r="T33">
        <f>HYPERLINK("https://klasma.github.io/Logging_0580/kartor/A 3912-2026 karta.png", "A 3912-2026")</f>
        <v/>
      </c>
      <c r="U33">
        <f>HYPERLINK("https://klasma.github.io/Logging_0580/knärot/A 3912-2026 karta knärot.png", "A 3912-2026")</f>
        <v/>
      </c>
      <c r="V33">
        <f>HYPERLINK("https://klasma.github.io/Logging_0580/klagomål/A 3912-2026 FSC-klagomål.docx", "A 3912-2026")</f>
        <v/>
      </c>
      <c r="W33">
        <f>HYPERLINK("https://klasma.github.io/Logging_0580/klagomålsmail/A 3912-2026 FSC-klagomål mail.docx", "A 3912-2026")</f>
        <v/>
      </c>
      <c r="X33">
        <f>HYPERLINK("https://klasma.github.io/Logging_0580/tillsyn/A 3912-2026 tillsynsbegäran.docx", "A 3912-2026")</f>
        <v/>
      </c>
      <c r="Y33">
        <f>HYPERLINK("https://klasma.github.io/Logging_0580/tillsynsmail/A 3912-2026 tillsynsbegäran mail.docx", "A 3912-2026")</f>
        <v/>
      </c>
    </row>
    <row r="34" ht="15" customHeight="1">
      <c r="A34" t="inlineStr">
        <is>
          <t>A 25985-2025</t>
        </is>
      </c>
      <c r="B34" s="1" t="n">
        <v>45804.64479166667</v>
      </c>
      <c r="C34" s="1" t="n">
        <v>46086</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50048-2025</t>
        </is>
      </c>
      <c r="B35" s="1" t="n">
        <v>45941</v>
      </c>
      <c r="C35" s="1" t="n">
        <v>46086</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46086</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58068-2021</t>
        </is>
      </c>
      <c r="B37" s="1" t="n">
        <v>44487</v>
      </c>
      <c r="C37" s="1" t="n">
        <v>46086</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22040-2023</t>
        </is>
      </c>
      <c r="B38" s="1" t="n">
        <v>45068</v>
      </c>
      <c r="C38" s="1" t="n">
        <v>46086</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49188-2024</t>
        </is>
      </c>
      <c r="B39" s="1" t="n">
        <v>45595</v>
      </c>
      <c r="C39" s="1" t="n">
        <v>46086</v>
      </c>
      <c r="D39" t="inlineStr">
        <is>
          <t>ÖSTERGÖTLANDS LÄN</t>
        </is>
      </c>
      <c r="E39" t="inlineStr">
        <is>
          <t>LINKÖPING</t>
        </is>
      </c>
      <c r="G39" t="n">
        <v>3.1</v>
      </c>
      <c r="H39" t="n">
        <v>0</v>
      </c>
      <c r="I39" t="n">
        <v>0</v>
      </c>
      <c r="J39" t="n">
        <v>0</v>
      </c>
      <c r="K39" t="n">
        <v>0</v>
      </c>
      <c r="L39" t="n">
        <v>1</v>
      </c>
      <c r="M39" t="n">
        <v>1</v>
      </c>
      <c r="N39" t="n">
        <v>0</v>
      </c>
      <c r="O39" t="n">
        <v>2</v>
      </c>
      <c r="P39" t="n">
        <v>2</v>
      </c>
      <c r="Q39" t="n">
        <v>2</v>
      </c>
      <c r="R39" s="2" t="inlineStr">
        <is>
          <t>Skogsalm
Ask</t>
        </is>
      </c>
      <c r="S39">
        <f>HYPERLINK("https://klasma.github.io/Logging_0580/artfynd/A 49188-2024 artfynd.xlsx", "A 49188-2024")</f>
        <v/>
      </c>
      <c r="T39">
        <f>HYPERLINK("https://klasma.github.io/Logging_0580/kartor/A 49188-2024 karta.png", "A 49188-2024")</f>
        <v/>
      </c>
      <c r="V39">
        <f>HYPERLINK("https://klasma.github.io/Logging_0580/klagomål/A 49188-2024 FSC-klagomål.docx", "A 49188-2024")</f>
        <v/>
      </c>
      <c r="W39">
        <f>HYPERLINK("https://klasma.github.io/Logging_0580/klagomålsmail/A 49188-2024 FSC-klagomål mail.docx", "A 49188-2024")</f>
        <v/>
      </c>
      <c r="X39">
        <f>HYPERLINK("https://klasma.github.io/Logging_0580/tillsyn/A 49188-2024 tillsynsbegäran.docx", "A 49188-2024")</f>
        <v/>
      </c>
      <c r="Y39">
        <f>HYPERLINK("https://klasma.github.io/Logging_0580/tillsynsmail/A 49188-2024 tillsynsbegäran mail.docx", "A 49188-2024")</f>
        <v/>
      </c>
    </row>
    <row r="40" ht="15" customHeight="1">
      <c r="A40" t="inlineStr">
        <is>
          <t>A 11613-2025</t>
        </is>
      </c>
      <c r="B40" s="1" t="n">
        <v>45727.44623842592</v>
      </c>
      <c r="C40" s="1" t="n">
        <v>46086</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20292-2025</t>
        </is>
      </c>
      <c r="B41" s="1" t="n">
        <v>45774.7449537037</v>
      </c>
      <c r="C41" s="1" t="n">
        <v>46086</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46086</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41751-2023</t>
        </is>
      </c>
      <c r="B43" s="1" t="n">
        <v>45176</v>
      </c>
      <c r="C43" s="1" t="n">
        <v>46086</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46086</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46086</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21326-2025</t>
        </is>
      </c>
      <c r="B46" s="1" t="n">
        <v>45782.35407407407</v>
      </c>
      <c r="C46" s="1" t="n">
        <v>46086</v>
      </c>
      <c r="D46" t="inlineStr">
        <is>
          <t>ÖSTERGÖTLANDS LÄN</t>
        </is>
      </c>
      <c r="E46" t="inlineStr">
        <is>
          <t>LINKÖPING</t>
        </is>
      </c>
      <c r="G46" t="n">
        <v>4.9</v>
      </c>
      <c r="H46" t="n">
        <v>2</v>
      </c>
      <c r="I46" t="n">
        <v>0</v>
      </c>
      <c r="J46" t="n">
        <v>0</v>
      </c>
      <c r="K46" t="n">
        <v>0</v>
      </c>
      <c r="L46" t="n">
        <v>0</v>
      </c>
      <c r="M46" t="n">
        <v>0</v>
      </c>
      <c r="N46" t="n">
        <v>0</v>
      </c>
      <c r="O46" t="n">
        <v>0</v>
      </c>
      <c r="P46" t="n">
        <v>0</v>
      </c>
      <c r="Q46" t="n">
        <v>2</v>
      </c>
      <c r="R46" s="2" t="inlineStr">
        <is>
          <t>Blåsippa
Revlummer</t>
        </is>
      </c>
      <c r="S46">
        <f>HYPERLINK("https://klasma.github.io/Logging_0580/artfynd/A 21326-2025 artfynd.xlsx", "A 21326-2025")</f>
        <v/>
      </c>
      <c r="T46">
        <f>HYPERLINK("https://klasma.github.io/Logging_0580/kartor/A 21326-2025 karta.png", "A 21326-2025")</f>
        <v/>
      </c>
      <c r="V46">
        <f>HYPERLINK("https://klasma.github.io/Logging_0580/klagomål/A 21326-2025 FSC-klagomål.docx", "A 21326-2025")</f>
        <v/>
      </c>
      <c r="W46">
        <f>HYPERLINK("https://klasma.github.io/Logging_0580/klagomålsmail/A 21326-2025 FSC-klagomål mail.docx", "A 21326-2025")</f>
        <v/>
      </c>
      <c r="X46">
        <f>HYPERLINK("https://klasma.github.io/Logging_0580/tillsyn/A 21326-2025 tillsynsbegäran.docx", "A 21326-2025")</f>
        <v/>
      </c>
      <c r="Y46">
        <f>HYPERLINK("https://klasma.github.io/Logging_0580/tillsynsmail/A 21326-2025 tillsynsbegäran mail.docx", "A 21326-2025")</f>
        <v/>
      </c>
    </row>
    <row r="47" ht="15" customHeight="1">
      <c r="A47" t="inlineStr">
        <is>
          <t>A 38129-2021</t>
        </is>
      </c>
      <c r="B47" s="1" t="n">
        <v>44405.37199074074</v>
      </c>
      <c r="C47" s="1" t="n">
        <v>46086</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46086</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46086</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46086</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46086</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46086</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46086</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46086</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46086</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46086</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46086</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59948-2022</t>
        </is>
      </c>
      <c r="B58" s="1" t="n">
        <v>44909</v>
      </c>
      <c r="C58" s="1" t="n">
        <v>46086</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27403-2025</t>
        </is>
      </c>
      <c r="B59" s="1" t="n">
        <v>45812.72518518518</v>
      </c>
      <c r="C59" s="1" t="n">
        <v>46086</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37683-2024</t>
        </is>
      </c>
      <c r="B60" s="1" t="n">
        <v>45541.59120370371</v>
      </c>
      <c r="C60" s="1" t="n">
        <v>46086</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22526-2025</t>
        </is>
      </c>
      <c r="B61" s="1" t="n">
        <v>45786.78096064815</v>
      </c>
      <c r="C61" s="1" t="n">
        <v>46086</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56651-2023</t>
        </is>
      </c>
      <c r="B62" s="1" t="n">
        <v>45243</v>
      </c>
      <c r="C62" s="1" t="n">
        <v>46086</v>
      </c>
      <c r="D62" t="inlineStr">
        <is>
          <t>ÖSTERGÖTLANDS LÄN</t>
        </is>
      </c>
      <c r="E62" t="inlineStr">
        <is>
          <t>LINKÖPING</t>
        </is>
      </c>
      <c r="F62" t="inlineStr">
        <is>
          <t>Övriga Aktiebolag</t>
        </is>
      </c>
      <c r="G62" t="n">
        <v>2.3</v>
      </c>
      <c r="H62" t="n">
        <v>0</v>
      </c>
      <c r="I62" t="n">
        <v>0</v>
      </c>
      <c r="J62" t="n">
        <v>1</v>
      </c>
      <c r="K62" t="n">
        <v>0</v>
      </c>
      <c r="L62" t="n">
        <v>0</v>
      </c>
      <c r="M62" t="n">
        <v>0</v>
      </c>
      <c r="N62" t="n">
        <v>0</v>
      </c>
      <c r="O62" t="n">
        <v>1</v>
      </c>
      <c r="P62" t="n">
        <v>0</v>
      </c>
      <c r="Q62" t="n">
        <v>1</v>
      </c>
      <c r="R62" s="2" t="inlineStr">
        <is>
          <t>Gul dropplav</t>
        </is>
      </c>
      <c r="S62">
        <f>HYPERLINK("https://klasma.github.io/Logging_0580/artfynd/A 56651-2023 artfynd.xlsx", "A 56651-2023")</f>
        <v/>
      </c>
      <c r="T62">
        <f>HYPERLINK("https://klasma.github.io/Logging_0580/kartor/A 56651-2023 karta.png", "A 56651-2023")</f>
        <v/>
      </c>
      <c r="V62">
        <f>HYPERLINK("https://klasma.github.io/Logging_0580/klagomål/A 56651-2023 FSC-klagomål.docx", "A 56651-2023")</f>
        <v/>
      </c>
      <c r="W62">
        <f>HYPERLINK("https://klasma.github.io/Logging_0580/klagomålsmail/A 56651-2023 FSC-klagomål mail.docx", "A 56651-2023")</f>
        <v/>
      </c>
      <c r="X62">
        <f>HYPERLINK("https://klasma.github.io/Logging_0580/tillsyn/A 56651-2023 tillsynsbegäran.docx", "A 56651-2023")</f>
        <v/>
      </c>
      <c r="Y62">
        <f>HYPERLINK("https://klasma.github.io/Logging_0580/tillsynsmail/A 56651-2023 tillsynsbegäran mail.docx", "A 56651-2023")</f>
        <v/>
      </c>
    </row>
    <row r="63" ht="15" customHeight="1">
      <c r="A63" t="inlineStr">
        <is>
          <t>A 17444-2025</t>
        </is>
      </c>
      <c r="B63" s="1" t="n">
        <v>45757.43452546297</v>
      </c>
      <c r="C63" s="1" t="n">
        <v>46086</v>
      </c>
      <c r="D63" t="inlineStr">
        <is>
          <t>ÖSTERGÖTLANDS LÄN</t>
        </is>
      </c>
      <c r="E63" t="inlineStr">
        <is>
          <t>LINKÖPING</t>
        </is>
      </c>
      <c r="G63" t="n">
        <v>1.3</v>
      </c>
      <c r="H63" t="n">
        <v>1</v>
      </c>
      <c r="I63" t="n">
        <v>0</v>
      </c>
      <c r="J63" t="n">
        <v>1</v>
      </c>
      <c r="K63" t="n">
        <v>0</v>
      </c>
      <c r="L63" t="n">
        <v>0</v>
      </c>
      <c r="M63" t="n">
        <v>0</v>
      </c>
      <c r="N63" t="n">
        <v>0</v>
      </c>
      <c r="O63" t="n">
        <v>1</v>
      </c>
      <c r="P63" t="n">
        <v>0</v>
      </c>
      <c r="Q63" t="n">
        <v>1</v>
      </c>
      <c r="R63" s="2" t="inlineStr">
        <is>
          <t>Dårgräsfjäril</t>
        </is>
      </c>
      <c r="S63">
        <f>HYPERLINK("https://klasma.github.io/Logging_0580/artfynd/A 17444-2025 artfynd.xlsx", "A 17444-2025")</f>
        <v/>
      </c>
      <c r="T63">
        <f>HYPERLINK("https://klasma.github.io/Logging_0580/kartor/A 17444-2025 karta.png", "A 17444-2025")</f>
        <v/>
      </c>
      <c r="V63">
        <f>HYPERLINK("https://klasma.github.io/Logging_0580/klagomål/A 17444-2025 FSC-klagomål.docx", "A 17444-2025")</f>
        <v/>
      </c>
      <c r="W63">
        <f>HYPERLINK("https://klasma.github.io/Logging_0580/klagomålsmail/A 17444-2025 FSC-klagomål mail.docx", "A 17444-2025")</f>
        <v/>
      </c>
      <c r="X63">
        <f>HYPERLINK("https://klasma.github.io/Logging_0580/tillsyn/A 17444-2025 tillsynsbegäran.docx", "A 17444-2025")</f>
        <v/>
      </c>
      <c r="Y63">
        <f>HYPERLINK("https://klasma.github.io/Logging_0580/tillsynsmail/A 17444-2025 tillsynsbegäran mail.docx", "A 17444-2025")</f>
        <v/>
      </c>
    </row>
    <row r="64" ht="15" customHeight="1">
      <c r="A64" t="inlineStr">
        <is>
          <t>A 43989-2025</t>
        </is>
      </c>
      <c r="B64" s="1" t="n">
        <v>45915.44128472222</v>
      </c>
      <c r="C64" s="1" t="n">
        <v>46086</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44760-2025</t>
        </is>
      </c>
      <c r="B65" s="1" t="n">
        <v>45917.71873842592</v>
      </c>
      <c r="C65" s="1" t="n">
        <v>46086</v>
      </c>
      <c r="D65" t="inlineStr">
        <is>
          <t>ÖSTERGÖTLANDS LÄN</t>
        </is>
      </c>
      <c r="E65" t="inlineStr">
        <is>
          <t>LINKÖPING</t>
        </is>
      </c>
      <c r="G65" t="n">
        <v>0.9</v>
      </c>
      <c r="H65" t="n">
        <v>0</v>
      </c>
      <c r="I65" t="n">
        <v>0</v>
      </c>
      <c r="J65" t="n">
        <v>1</v>
      </c>
      <c r="K65" t="n">
        <v>0</v>
      </c>
      <c r="L65" t="n">
        <v>0</v>
      </c>
      <c r="M65" t="n">
        <v>0</v>
      </c>
      <c r="N65" t="n">
        <v>0</v>
      </c>
      <c r="O65" t="n">
        <v>1</v>
      </c>
      <c r="P65" t="n">
        <v>0</v>
      </c>
      <c r="Q65" t="n">
        <v>1</v>
      </c>
      <c r="R65" s="2" t="inlineStr">
        <is>
          <t>Tallticka</t>
        </is>
      </c>
      <c r="S65">
        <f>HYPERLINK("https://klasma.github.io/Logging_0580/artfynd/A 44760-2025 artfynd.xlsx", "A 44760-2025")</f>
        <v/>
      </c>
      <c r="T65">
        <f>HYPERLINK("https://klasma.github.io/Logging_0580/kartor/A 44760-2025 karta.png", "A 44760-2025")</f>
        <v/>
      </c>
      <c r="V65">
        <f>HYPERLINK("https://klasma.github.io/Logging_0580/klagomål/A 44760-2025 FSC-klagomål.docx", "A 44760-2025")</f>
        <v/>
      </c>
      <c r="W65">
        <f>HYPERLINK("https://klasma.github.io/Logging_0580/klagomålsmail/A 44760-2025 FSC-klagomål mail.docx", "A 44760-2025")</f>
        <v/>
      </c>
      <c r="X65">
        <f>HYPERLINK("https://klasma.github.io/Logging_0580/tillsyn/A 44760-2025 tillsynsbegäran.docx", "A 44760-2025")</f>
        <v/>
      </c>
      <c r="Y65">
        <f>HYPERLINK("https://klasma.github.io/Logging_0580/tillsynsmail/A 44760-2025 tillsynsbegäran mail.docx", "A 44760-2025")</f>
        <v/>
      </c>
    </row>
    <row r="66" ht="15" customHeight="1">
      <c r="A66" t="inlineStr">
        <is>
          <t>A 5911-2022</t>
        </is>
      </c>
      <c r="B66" s="1" t="n">
        <v>44597</v>
      </c>
      <c r="C66" s="1" t="n">
        <v>46086</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36723-2023</t>
        </is>
      </c>
      <c r="B67" s="1" t="n">
        <v>45153</v>
      </c>
      <c r="C67" s="1" t="n">
        <v>46086</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90-2024</t>
        </is>
      </c>
      <c r="B68" s="1" t="n">
        <v>45293</v>
      </c>
      <c r="C68" s="1" t="n">
        <v>46086</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46086</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48347-2025</t>
        </is>
      </c>
      <c r="B70" s="1" t="n">
        <v>45932</v>
      </c>
      <c r="C70" s="1" t="n">
        <v>46086</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48353-2025</t>
        </is>
      </c>
      <c r="B71" s="1" t="n">
        <v>45932</v>
      </c>
      <c r="C71" s="1" t="n">
        <v>46086</v>
      </c>
      <c r="D71" t="inlineStr">
        <is>
          <t>ÖSTERGÖTLANDS LÄN</t>
        </is>
      </c>
      <c r="E71" t="inlineStr">
        <is>
          <t>LINKÖPING</t>
        </is>
      </c>
      <c r="F71" t="inlineStr">
        <is>
          <t>Övriga Aktiebolag</t>
        </is>
      </c>
      <c r="G71" t="n">
        <v>4.5</v>
      </c>
      <c r="H71" t="n">
        <v>1</v>
      </c>
      <c r="I71" t="n">
        <v>0</v>
      </c>
      <c r="J71" t="n">
        <v>1</v>
      </c>
      <c r="K71" t="n">
        <v>0</v>
      </c>
      <c r="L71" t="n">
        <v>0</v>
      </c>
      <c r="M71" t="n">
        <v>0</v>
      </c>
      <c r="N71" t="n">
        <v>0</v>
      </c>
      <c r="O71" t="n">
        <v>1</v>
      </c>
      <c r="P71" t="n">
        <v>0</v>
      </c>
      <c r="Q71" t="n">
        <v>1</v>
      </c>
      <c r="R71" s="2" t="inlineStr">
        <is>
          <t>Entita</t>
        </is>
      </c>
      <c r="S71">
        <f>HYPERLINK("https://klasma.github.io/Logging_0580/artfynd/A 48353-2025 artfynd.xlsx", "A 48353-2025")</f>
        <v/>
      </c>
      <c r="T71">
        <f>HYPERLINK("https://klasma.github.io/Logging_0580/kartor/A 48353-2025 karta.png", "A 48353-2025")</f>
        <v/>
      </c>
      <c r="V71">
        <f>HYPERLINK("https://klasma.github.io/Logging_0580/klagomål/A 48353-2025 FSC-klagomål.docx", "A 48353-2025")</f>
        <v/>
      </c>
      <c r="W71">
        <f>HYPERLINK("https://klasma.github.io/Logging_0580/klagomålsmail/A 48353-2025 FSC-klagomål mail.docx", "A 48353-2025")</f>
        <v/>
      </c>
      <c r="X71">
        <f>HYPERLINK("https://klasma.github.io/Logging_0580/tillsyn/A 48353-2025 tillsynsbegäran.docx", "A 48353-2025")</f>
        <v/>
      </c>
      <c r="Y71">
        <f>HYPERLINK("https://klasma.github.io/Logging_0580/tillsynsmail/A 48353-2025 tillsynsbegäran mail.docx", "A 48353-2025")</f>
        <v/>
      </c>
      <c r="Z71">
        <f>HYPERLINK("https://klasma.github.io/Logging_0580/fåglar/A 48353-2025 prioriterade fågelarter.docx", "A 48353-2025")</f>
        <v/>
      </c>
    </row>
    <row r="72" ht="15" customHeight="1">
      <c r="A72" t="inlineStr">
        <is>
          <t>A 48273-2025</t>
        </is>
      </c>
      <c r="B72" s="1" t="n">
        <v>45932</v>
      </c>
      <c r="C72" s="1" t="n">
        <v>46086</v>
      </c>
      <c r="D72" t="inlineStr">
        <is>
          <t>ÖSTERGÖTLANDS LÄN</t>
        </is>
      </c>
      <c r="E72" t="inlineStr">
        <is>
          <t>LINKÖPING</t>
        </is>
      </c>
      <c r="F72" t="inlineStr">
        <is>
          <t>Övriga Aktiebolag</t>
        </is>
      </c>
      <c r="G72" t="n">
        <v>4.6</v>
      </c>
      <c r="H72" t="n">
        <v>0</v>
      </c>
      <c r="I72" t="n">
        <v>0</v>
      </c>
      <c r="J72" t="n">
        <v>1</v>
      </c>
      <c r="K72" t="n">
        <v>0</v>
      </c>
      <c r="L72" t="n">
        <v>0</v>
      </c>
      <c r="M72" t="n">
        <v>0</v>
      </c>
      <c r="N72" t="n">
        <v>0</v>
      </c>
      <c r="O72" t="n">
        <v>1</v>
      </c>
      <c r="P72" t="n">
        <v>0</v>
      </c>
      <c r="Q72" t="n">
        <v>1</v>
      </c>
      <c r="R72" s="2" t="inlineStr">
        <is>
          <t>Barrviolspindling</t>
        </is>
      </c>
      <c r="S72">
        <f>HYPERLINK("https://klasma.github.io/Logging_0580/artfynd/A 48273-2025 artfynd.xlsx", "A 48273-2025")</f>
        <v/>
      </c>
      <c r="T72">
        <f>HYPERLINK("https://klasma.github.io/Logging_0580/kartor/A 48273-2025 karta.png", "A 48273-2025")</f>
        <v/>
      </c>
      <c r="V72">
        <f>HYPERLINK("https://klasma.github.io/Logging_0580/klagomål/A 48273-2025 FSC-klagomål.docx", "A 48273-2025")</f>
        <v/>
      </c>
      <c r="W72">
        <f>HYPERLINK("https://klasma.github.io/Logging_0580/klagomålsmail/A 48273-2025 FSC-klagomål mail.docx", "A 48273-2025")</f>
        <v/>
      </c>
      <c r="X72">
        <f>HYPERLINK("https://klasma.github.io/Logging_0580/tillsyn/A 48273-2025 tillsynsbegäran.docx", "A 48273-2025")</f>
        <v/>
      </c>
      <c r="Y72">
        <f>HYPERLINK("https://klasma.github.io/Logging_0580/tillsynsmail/A 48273-2025 tillsynsbegäran mail.docx", "A 48273-2025")</f>
        <v/>
      </c>
    </row>
    <row r="73" ht="15" customHeight="1">
      <c r="A73" t="inlineStr">
        <is>
          <t>A 48298-2025</t>
        </is>
      </c>
      <c r="B73" s="1" t="n">
        <v>45932</v>
      </c>
      <c r="C73" s="1" t="n">
        <v>46086</v>
      </c>
      <c r="D73" t="inlineStr">
        <is>
          <t>ÖSTERGÖTLANDS LÄN</t>
        </is>
      </c>
      <c r="E73" t="inlineStr">
        <is>
          <t>LINKÖPING</t>
        </is>
      </c>
      <c r="F73" t="inlineStr">
        <is>
          <t>Övriga Aktiebolag</t>
        </is>
      </c>
      <c r="G73" t="n">
        <v>1.7</v>
      </c>
      <c r="H73" t="n">
        <v>0</v>
      </c>
      <c r="I73" t="n">
        <v>1</v>
      </c>
      <c r="J73" t="n">
        <v>0</v>
      </c>
      <c r="K73" t="n">
        <v>0</v>
      </c>
      <c r="L73" t="n">
        <v>0</v>
      </c>
      <c r="M73" t="n">
        <v>0</v>
      </c>
      <c r="N73" t="n">
        <v>0</v>
      </c>
      <c r="O73" t="n">
        <v>0</v>
      </c>
      <c r="P73" t="n">
        <v>0</v>
      </c>
      <c r="Q73" t="n">
        <v>1</v>
      </c>
      <c r="R73" s="2" t="inlineStr">
        <is>
          <t>Västlig hakmossa</t>
        </is>
      </c>
      <c r="S73">
        <f>HYPERLINK("https://klasma.github.io/Logging_0580/artfynd/A 48298-2025 artfynd.xlsx", "A 48298-2025")</f>
        <v/>
      </c>
      <c r="T73">
        <f>HYPERLINK("https://klasma.github.io/Logging_0580/kartor/A 48298-2025 karta.png", "A 48298-2025")</f>
        <v/>
      </c>
      <c r="V73">
        <f>HYPERLINK("https://klasma.github.io/Logging_0580/klagomål/A 48298-2025 FSC-klagomål.docx", "A 48298-2025")</f>
        <v/>
      </c>
      <c r="W73">
        <f>HYPERLINK("https://klasma.github.io/Logging_0580/klagomålsmail/A 48298-2025 FSC-klagomål mail.docx", "A 48298-2025")</f>
        <v/>
      </c>
      <c r="X73">
        <f>HYPERLINK("https://klasma.github.io/Logging_0580/tillsyn/A 48298-2025 tillsynsbegäran.docx", "A 48298-2025")</f>
        <v/>
      </c>
      <c r="Y73">
        <f>HYPERLINK("https://klasma.github.io/Logging_0580/tillsynsmail/A 48298-2025 tillsynsbegäran mail.docx", "A 48298-2025")</f>
        <v/>
      </c>
    </row>
    <row r="74" ht="15" customHeight="1">
      <c r="A74" t="inlineStr">
        <is>
          <t>A 50034-2025</t>
        </is>
      </c>
      <c r="B74" s="1" t="n">
        <v>45941</v>
      </c>
      <c r="C74" s="1" t="n">
        <v>46086</v>
      </c>
      <c r="D74" t="inlineStr">
        <is>
          <t>ÖSTERGÖTLANDS LÄN</t>
        </is>
      </c>
      <c r="E74" t="inlineStr">
        <is>
          <t>LINKÖPING</t>
        </is>
      </c>
      <c r="G74" t="n">
        <v>6.2</v>
      </c>
      <c r="H74" t="n">
        <v>0</v>
      </c>
      <c r="I74" t="n">
        <v>0</v>
      </c>
      <c r="J74" t="n">
        <v>0</v>
      </c>
      <c r="K74" t="n">
        <v>0</v>
      </c>
      <c r="L74" t="n">
        <v>0</v>
      </c>
      <c r="M74" t="n">
        <v>1</v>
      </c>
      <c r="N74" t="n">
        <v>0</v>
      </c>
      <c r="O74" t="n">
        <v>1</v>
      </c>
      <c r="P74" t="n">
        <v>1</v>
      </c>
      <c r="Q74" t="n">
        <v>1</v>
      </c>
      <c r="R74" s="2" t="inlineStr">
        <is>
          <t>Skogsalm</t>
        </is>
      </c>
      <c r="S74">
        <f>HYPERLINK("https://klasma.github.io/Logging_0580/artfynd/A 50034-2025 artfynd.xlsx", "A 50034-2025")</f>
        <v/>
      </c>
      <c r="T74">
        <f>HYPERLINK("https://klasma.github.io/Logging_0580/kartor/A 50034-2025 karta.png", "A 50034-2025")</f>
        <v/>
      </c>
      <c r="V74">
        <f>HYPERLINK("https://klasma.github.io/Logging_0580/klagomål/A 50034-2025 FSC-klagomål.docx", "A 50034-2025")</f>
        <v/>
      </c>
      <c r="W74">
        <f>HYPERLINK("https://klasma.github.io/Logging_0580/klagomålsmail/A 50034-2025 FSC-klagomål mail.docx", "A 50034-2025")</f>
        <v/>
      </c>
      <c r="X74">
        <f>HYPERLINK("https://klasma.github.io/Logging_0580/tillsyn/A 50034-2025 tillsynsbegäran.docx", "A 50034-2025")</f>
        <v/>
      </c>
      <c r="Y74">
        <f>HYPERLINK("https://klasma.github.io/Logging_0580/tillsynsmail/A 50034-2025 tillsynsbegäran mail.docx", "A 50034-2025")</f>
        <v/>
      </c>
    </row>
    <row r="75" ht="15" customHeight="1">
      <c r="A75" t="inlineStr">
        <is>
          <t>A 15290-2025</t>
        </is>
      </c>
      <c r="B75" s="1" t="n">
        <v>45745.45288194445</v>
      </c>
      <c r="C75" s="1" t="n">
        <v>46086</v>
      </c>
      <c r="D75" t="inlineStr">
        <is>
          <t>ÖSTERGÖTLANDS LÄN</t>
        </is>
      </c>
      <c r="E75" t="inlineStr">
        <is>
          <t>LINKÖPING</t>
        </is>
      </c>
      <c r="G75" t="n">
        <v>18.4</v>
      </c>
      <c r="H75" t="n">
        <v>1</v>
      </c>
      <c r="I75" t="n">
        <v>0</v>
      </c>
      <c r="J75" t="n">
        <v>1</v>
      </c>
      <c r="K75" t="n">
        <v>0</v>
      </c>
      <c r="L75" t="n">
        <v>0</v>
      </c>
      <c r="M75" t="n">
        <v>0</v>
      </c>
      <c r="N75" t="n">
        <v>0</v>
      </c>
      <c r="O75" t="n">
        <v>1</v>
      </c>
      <c r="P75" t="n">
        <v>0</v>
      </c>
      <c r="Q75" t="n">
        <v>1</v>
      </c>
      <c r="R75" s="2" t="inlineStr">
        <is>
          <t>Havsörn</t>
        </is>
      </c>
      <c r="S75">
        <f>HYPERLINK("https://klasma.github.io/Logging_0580/artfynd/A 15290-2025 artfynd.xlsx", "A 15290-2025")</f>
        <v/>
      </c>
      <c r="T75">
        <f>HYPERLINK("https://klasma.github.io/Logging_0580/kartor/A 15290-2025 karta.png", "A 15290-2025")</f>
        <v/>
      </c>
      <c r="V75">
        <f>HYPERLINK("https://klasma.github.io/Logging_0580/klagomål/A 15290-2025 FSC-klagomål.docx", "A 15290-2025")</f>
        <v/>
      </c>
      <c r="W75">
        <f>HYPERLINK("https://klasma.github.io/Logging_0580/klagomålsmail/A 15290-2025 FSC-klagomål mail.docx", "A 15290-2025")</f>
        <v/>
      </c>
      <c r="X75">
        <f>HYPERLINK("https://klasma.github.io/Logging_0580/tillsyn/A 15290-2025 tillsynsbegäran.docx", "A 15290-2025")</f>
        <v/>
      </c>
      <c r="Y75">
        <f>HYPERLINK("https://klasma.github.io/Logging_0580/tillsynsmail/A 15290-2025 tillsynsbegäran mail.docx", "A 15290-2025")</f>
        <v/>
      </c>
      <c r="Z75">
        <f>HYPERLINK("https://klasma.github.io/Logging_0580/fåglar/A 15290-2025 prioriterade fågelarter.docx", "A 15290-2025")</f>
        <v/>
      </c>
    </row>
    <row r="76" ht="15" customHeight="1">
      <c r="A76" t="inlineStr">
        <is>
          <t>A 34881-2023</t>
        </is>
      </c>
      <c r="B76" s="1" t="n">
        <v>45140</v>
      </c>
      <c r="C76" s="1" t="n">
        <v>46086</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56112-2025</t>
        </is>
      </c>
      <c r="B77" s="1" t="n">
        <v>45973.73625</v>
      </c>
      <c r="C77" s="1" t="n">
        <v>46086</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50471-2024</t>
        </is>
      </c>
      <c r="B78" s="1" t="n">
        <v>45601.47166666666</v>
      </c>
      <c r="C78" s="1" t="n">
        <v>46086</v>
      </c>
      <c r="D78" t="inlineStr">
        <is>
          <t>ÖSTERGÖTLANDS LÄN</t>
        </is>
      </c>
      <c r="E78" t="inlineStr">
        <is>
          <t>LINKÖPING</t>
        </is>
      </c>
      <c r="F78" t="inlineStr">
        <is>
          <t>Övriga Aktiebolag</t>
        </is>
      </c>
      <c r="G78" t="n">
        <v>2</v>
      </c>
      <c r="H78" t="n">
        <v>0</v>
      </c>
      <c r="I78" t="n">
        <v>1</v>
      </c>
      <c r="J78" t="n">
        <v>0</v>
      </c>
      <c r="K78" t="n">
        <v>0</v>
      </c>
      <c r="L78" t="n">
        <v>0</v>
      </c>
      <c r="M78" t="n">
        <v>0</v>
      </c>
      <c r="N78" t="n">
        <v>0</v>
      </c>
      <c r="O78" t="n">
        <v>0</v>
      </c>
      <c r="P78" t="n">
        <v>0</v>
      </c>
      <c r="Q78" t="n">
        <v>1</v>
      </c>
      <c r="R78" s="2" t="inlineStr">
        <is>
          <t>Västlig hakmossa</t>
        </is>
      </c>
      <c r="S78">
        <f>HYPERLINK("https://klasma.github.io/Logging_0580/artfynd/A 50471-2024 artfynd.xlsx", "A 50471-2024")</f>
        <v/>
      </c>
      <c r="T78">
        <f>HYPERLINK("https://klasma.github.io/Logging_0580/kartor/A 50471-2024 karta.png", "A 50471-2024")</f>
        <v/>
      </c>
      <c r="V78">
        <f>HYPERLINK("https://klasma.github.io/Logging_0580/klagomål/A 50471-2024 FSC-klagomål.docx", "A 50471-2024")</f>
        <v/>
      </c>
      <c r="W78">
        <f>HYPERLINK("https://klasma.github.io/Logging_0580/klagomålsmail/A 50471-2024 FSC-klagomål mail.docx", "A 50471-2024")</f>
        <v/>
      </c>
      <c r="X78">
        <f>HYPERLINK("https://klasma.github.io/Logging_0580/tillsyn/A 50471-2024 tillsynsbegäran.docx", "A 50471-2024")</f>
        <v/>
      </c>
      <c r="Y78">
        <f>HYPERLINK("https://klasma.github.io/Logging_0580/tillsynsmail/A 50471-2024 tillsynsbegäran mail.docx", "A 50471-2024")</f>
        <v/>
      </c>
    </row>
    <row r="79" ht="15" customHeight="1">
      <c r="A79" t="inlineStr">
        <is>
          <t>A 17389-2021</t>
        </is>
      </c>
      <c r="B79" s="1" t="n">
        <v>44298.96792824074</v>
      </c>
      <c r="C79" s="1" t="n">
        <v>46086</v>
      </c>
      <c r="D79" t="inlineStr">
        <is>
          <t>ÖSTERGÖTLANDS LÄN</t>
        </is>
      </c>
      <c r="E79" t="inlineStr">
        <is>
          <t>LINKÖPING</t>
        </is>
      </c>
      <c r="G79" t="n">
        <v>5.1</v>
      </c>
      <c r="H79" t="n">
        <v>0</v>
      </c>
      <c r="I79" t="n">
        <v>1</v>
      </c>
      <c r="J79" t="n">
        <v>0</v>
      </c>
      <c r="K79" t="n">
        <v>0</v>
      </c>
      <c r="L79" t="n">
        <v>0</v>
      </c>
      <c r="M79" t="n">
        <v>0</v>
      </c>
      <c r="N79" t="n">
        <v>0</v>
      </c>
      <c r="O79" t="n">
        <v>0</v>
      </c>
      <c r="P79" t="n">
        <v>0</v>
      </c>
      <c r="Q79" t="n">
        <v>1</v>
      </c>
      <c r="R79" s="2" t="inlineStr">
        <is>
          <t>Blomkålssvamp</t>
        </is>
      </c>
      <c r="S79">
        <f>HYPERLINK("https://klasma.github.io/Logging_0580/artfynd/A 17389-2021 artfynd.xlsx", "A 17389-2021")</f>
        <v/>
      </c>
      <c r="T79">
        <f>HYPERLINK("https://klasma.github.io/Logging_0580/kartor/A 17389-2021 karta.png", "A 17389-2021")</f>
        <v/>
      </c>
      <c r="V79">
        <f>HYPERLINK("https://klasma.github.io/Logging_0580/klagomål/A 17389-2021 FSC-klagomål.docx", "A 17389-2021")</f>
        <v/>
      </c>
      <c r="W79">
        <f>HYPERLINK("https://klasma.github.io/Logging_0580/klagomålsmail/A 17389-2021 FSC-klagomål mail.docx", "A 17389-2021")</f>
        <v/>
      </c>
      <c r="X79">
        <f>HYPERLINK("https://klasma.github.io/Logging_0580/tillsyn/A 17389-2021 tillsynsbegäran.docx", "A 17389-2021")</f>
        <v/>
      </c>
      <c r="Y79">
        <f>HYPERLINK("https://klasma.github.io/Logging_0580/tillsynsmail/A 17389-2021 tillsynsbegäran mail.docx", "A 17389-2021")</f>
        <v/>
      </c>
    </row>
    <row r="80" ht="15" customHeight="1">
      <c r="A80" t="inlineStr">
        <is>
          <t>A 56128-2022</t>
        </is>
      </c>
      <c r="B80" s="1" t="n">
        <v>44889</v>
      </c>
      <c r="C80" s="1" t="n">
        <v>46086</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46086</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59474-2025</t>
        </is>
      </c>
      <c r="B82" s="1" t="n">
        <v>45989.58512731481</v>
      </c>
      <c r="C82" s="1" t="n">
        <v>46086</v>
      </c>
      <c r="D82" t="inlineStr">
        <is>
          <t>ÖSTERGÖTLANDS LÄN</t>
        </is>
      </c>
      <c r="E82" t="inlineStr">
        <is>
          <t>LINKÖPING</t>
        </is>
      </c>
      <c r="G82" t="n">
        <v>8</v>
      </c>
      <c r="H82" t="n">
        <v>0</v>
      </c>
      <c r="I82" t="n">
        <v>1</v>
      </c>
      <c r="J82" t="n">
        <v>0</v>
      </c>
      <c r="K82" t="n">
        <v>0</v>
      </c>
      <c r="L82" t="n">
        <v>0</v>
      </c>
      <c r="M82" t="n">
        <v>0</v>
      </c>
      <c r="N82" t="n">
        <v>0</v>
      </c>
      <c r="O82" t="n">
        <v>0</v>
      </c>
      <c r="P82" t="n">
        <v>0</v>
      </c>
      <c r="Q82" t="n">
        <v>1</v>
      </c>
      <c r="R82" s="2" t="inlineStr">
        <is>
          <t>Fällmossa</t>
        </is>
      </c>
      <c r="S82">
        <f>HYPERLINK("https://klasma.github.io/Logging_0580/artfynd/A 59474-2025 artfynd.xlsx", "A 59474-2025")</f>
        <v/>
      </c>
      <c r="T82">
        <f>HYPERLINK("https://klasma.github.io/Logging_0580/kartor/A 59474-2025 karta.png", "A 59474-2025")</f>
        <v/>
      </c>
      <c r="V82">
        <f>HYPERLINK("https://klasma.github.io/Logging_0580/klagomål/A 59474-2025 FSC-klagomål.docx", "A 59474-2025")</f>
        <v/>
      </c>
      <c r="W82">
        <f>HYPERLINK("https://klasma.github.io/Logging_0580/klagomålsmail/A 59474-2025 FSC-klagomål mail.docx", "A 59474-2025")</f>
        <v/>
      </c>
      <c r="X82">
        <f>HYPERLINK("https://klasma.github.io/Logging_0580/tillsyn/A 59474-2025 tillsynsbegäran.docx", "A 59474-2025")</f>
        <v/>
      </c>
      <c r="Y82">
        <f>HYPERLINK("https://klasma.github.io/Logging_0580/tillsynsmail/A 59474-2025 tillsynsbegäran mail.docx", "A 59474-2025")</f>
        <v/>
      </c>
    </row>
    <row r="83" ht="15" customHeight="1">
      <c r="A83" t="inlineStr">
        <is>
          <t>A 54835-2023</t>
        </is>
      </c>
      <c r="B83" s="1" t="n">
        <v>45236</v>
      </c>
      <c r="C83" s="1" t="n">
        <v>46086</v>
      </c>
      <c r="D83" t="inlineStr">
        <is>
          <t>ÖSTERGÖTLANDS LÄN</t>
        </is>
      </c>
      <c r="E83" t="inlineStr">
        <is>
          <t>LINKÖPING</t>
        </is>
      </c>
      <c r="G83" t="n">
        <v>2</v>
      </c>
      <c r="H83" t="n">
        <v>1</v>
      </c>
      <c r="I83" t="n">
        <v>0</v>
      </c>
      <c r="J83" t="n">
        <v>0</v>
      </c>
      <c r="K83" t="n">
        <v>0</v>
      </c>
      <c r="L83" t="n">
        <v>0</v>
      </c>
      <c r="M83" t="n">
        <v>0</v>
      </c>
      <c r="N83" t="n">
        <v>0</v>
      </c>
      <c r="O83" t="n">
        <v>0</v>
      </c>
      <c r="P83" t="n">
        <v>0</v>
      </c>
      <c r="Q83" t="n">
        <v>1</v>
      </c>
      <c r="R83" s="2" t="inlineStr">
        <is>
          <t>Sparvuggla</t>
        </is>
      </c>
      <c r="S83">
        <f>HYPERLINK("https://klasma.github.io/Logging_0580/artfynd/A 54835-2023 artfynd.xlsx", "A 54835-2023")</f>
        <v/>
      </c>
      <c r="T83">
        <f>HYPERLINK("https://klasma.github.io/Logging_0580/kartor/A 54835-2023 karta.png", "A 54835-2023")</f>
        <v/>
      </c>
      <c r="V83">
        <f>HYPERLINK("https://klasma.github.io/Logging_0580/klagomål/A 54835-2023 FSC-klagomål.docx", "A 54835-2023")</f>
        <v/>
      </c>
      <c r="W83">
        <f>HYPERLINK("https://klasma.github.io/Logging_0580/klagomålsmail/A 54835-2023 FSC-klagomål mail.docx", "A 54835-2023")</f>
        <v/>
      </c>
      <c r="X83">
        <f>HYPERLINK("https://klasma.github.io/Logging_0580/tillsyn/A 54835-2023 tillsynsbegäran.docx", "A 54835-2023")</f>
        <v/>
      </c>
      <c r="Y83">
        <f>HYPERLINK("https://klasma.github.io/Logging_0580/tillsynsmail/A 54835-2023 tillsynsbegäran mail.docx", "A 54835-2023")</f>
        <v/>
      </c>
      <c r="Z83">
        <f>HYPERLINK("https://klasma.github.io/Logging_0580/fåglar/A 54835-2023 prioriterade fågelarter.docx", "A 54835-2023")</f>
        <v/>
      </c>
    </row>
    <row r="84" ht="15" customHeight="1">
      <c r="A84" t="inlineStr">
        <is>
          <t>A 60311-2025</t>
        </is>
      </c>
      <c r="B84" s="1" t="n">
        <v>45994</v>
      </c>
      <c r="C84" s="1" t="n">
        <v>46086</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126-2024</t>
        </is>
      </c>
      <c r="B85" s="1" t="n">
        <v>45294</v>
      </c>
      <c r="C85" s="1" t="n">
        <v>46086</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46086</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19103-2021</t>
        </is>
      </c>
      <c r="B87" s="1" t="n">
        <v>44308</v>
      </c>
      <c r="C87" s="1" t="n">
        <v>46086</v>
      </c>
      <c r="D87" t="inlineStr">
        <is>
          <t>ÖSTERGÖTLANDS LÄN</t>
        </is>
      </c>
      <c r="E87" t="inlineStr">
        <is>
          <t>LINKÖPING</t>
        </is>
      </c>
      <c r="G87" t="n">
        <v>4.7</v>
      </c>
      <c r="H87" t="n">
        <v>0</v>
      </c>
      <c r="I87" t="n">
        <v>0</v>
      </c>
      <c r="J87" t="n">
        <v>1</v>
      </c>
      <c r="K87" t="n">
        <v>0</v>
      </c>
      <c r="L87" t="n">
        <v>0</v>
      </c>
      <c r="M87" t="n">
        <v>0</v>
      </c>
      <c r="N87" t="n">
        <v>0</v>
      </c>
      <c r="O87" t="n">
        <v>1</v>
      </c>
      <c r="P87" t="n">
        <v>0</v>
      </c>
      <c r="Q87" t="n">
        <v>1</v>
      </c>
      <c r="R87" s="2" t="inlineStr">
        <is>
          <t>Tallticka</t>
        </is>
      </c>
      <c r="S87">
        <f>HYPERLINK("https://klasma.github.io/Logging_0580/artfynd/A 19103-2021 artfynd.xlsx", "A 19103-2021")</f>
        <v/>
      </c>
      <c r="T87">
        <f>HYPERLINK("https://klasma.github.io/Logging_0580/kartor/A 19103-2021 karta.png", "A 19103-2021")</f>
        <v/>
      </c>
      <c r="V87">
        <f>HYPERLINK("https://klasma.github.io/Logging_0580/klagomål/A 19103-2021 FSC-klagomål.docx", "A 19103-2021")</f>
        <v/>
      </c>
      <c r="W87">
        <f>HYPERLINK("https://klasma.github.io/Logging_0580/klagomålsmail/A 19103-2021 FSC-klagomål mail.docx", "A 19103-2021")</f>
        <v/>
      </c>
      <c r="X87">
        <f>HYPERLINK("https://klasma.github.io/Logging_0580/tillsyn/A 19103-2021 tillsynsbegäran.docx", "A 19103-2021")</f>
        <v/>
      </c>
      <c r="Y87">
        <f>HYPERLINK("https://klasma.github.io/Logging_0580/tillsynsmail/A 19103-2021 tillsynsbegäran mail.docx", "A 19103-2021")</f>
        <v/>
      </c>
    </row>
    <row r="88" ht="15" customHeight="1">
      <c r="A88" t="inlineStr">
        <is>
          <t>A 50806-2023</t>
        </is>
      </c>
      <c r="B88" s="1" t="n">
        <v>45217</v>
      </c>
      <c r="C88" s="1" t="n">
        <v>46086</v>
      </c>
      <c r="D88" t="inlineStr">
        <is>
          <t>ÖSTERGÖTLANDS LÄN</t>
        </is>
      </c>
      <c r="E88" t="inlineStr">
        <is>
          <t>LINKÖPING</t>
        </is>
      </c>
      <c r="F88" t="inlineStr">
        <is>
          <t>Övriga Aktiebolag</t>
        </is>
      </c>
      <c r="G88" t="n">
        <v>0.7</v>
      </c>
      <c r="H88" t="n">
        <v>1</v>
      </c>
      <c r="I88" t="n">
        <v>0</v>
      </c>
      <c r="J88" t="n">
        <v>0</v>
      </c>
      <c r="K88" t="n">
        <v>0</v>
      </c>
      <c r="L88" t="n">
        <v>0</v>
      </c>
      <c r="M88" t="n">
        <v>0</v>
      </c>
      <c r="N88" t="n">
        <v>0</v>
      </c>
      <c r="O88" t="n">
        <v>0</v>
      </c>
      <c r="P88" t="n">
        <v>0</v>
      </c>
      <c r="Q88" t="n">
        <v>1</v>
      </c>
      <c r="R88" s="2" t="inlineStr">
        <is>
          <t>Gullviva</t>
        </is>
      </c>
      <c r="S88">
        <f>HYPERLINK("https://klasma.github.io/Logging_0580/artfynd/A 50806-2023 artfynd.xlsx", "A 50806-2023")</f>
        <v/>
      </c>
      <c r="T88">
        <f>HYPERLINK("https://klasma.github.io/Logging_0580/kartor/A 50806-2023 karta.png", "A 50806-2023")</f>
        <v/>
      </c>
      <c r="V88">
        <f>HYPERLINK("https://klasma.github.io/Logging_0580/klagomål/A 50806-2023 FSC-klagomål.docx", "A 50806-2023")</f>
        <v/>
      </c>
      <c r="W88">
        <f>HYPERLINK("https://klasma.github.io/Logging_0580/klagomålsmail/A 50806-2023 FSC-klagomål mail.docx", "A 50806-2023")</f>
        <v/>
      </c>
      <c r="X88">
        <f>HYPERLINK("https://klasma.github.io/Logging_0580/tillsyn/A 50806-2023 tillsynsbegäran.docx", "A 50806-2023")</f>
        <v/>
      </c>
      <c r="Y88">
        <f>HYPERLINK("https://klasma.github.io/Logging_0580/tillsynsmail/A 50806-2023 tillsynsbegäran mail.docx", "A 50806-2023")</f>
        <v/>
      </c>
    </row>
    <row r="89" ht="15" customHeight="1">
      <c r="A89" t="inlineStr">
        <is>
          <t>A 39457-2023</t>
        </is>
      </c>
      <c r="B89" s="1" t="n">
        <v>45166</v>
      </c>
      <c r="C89" s="1" t="n">
        <v>46086</v>
      </c>
      <c r="D89" t="inlineStr">
        <is>
          <t>ÖSTERGÖTLANDS LÄN</t>
        </is>
      </c>
      <c r="E89" t="inlineStr">
        <is>
          <t>LINKÖPING</t>
        </is>
      </c>
      <c r="G89" t="n">
        <v>2.1</v>
      </c>
      <c r="H89" t="n">
        <v>1</v>
      </c>
      <c r="I89" t="n">
        <v>0</v>
      </c>
      <c r="J89" t="n">
        <v>0</v>
      </c>
      <c r="K89" t="n">
        <v>0</v>
      </c>
      <c r="L89" t="n">
        <v>0</v>
      </c>
      <c r="M89" t="n">
        <v>0</v>
      </c>
      <c r="N89" t="n">
        <v>0</v>
      </c>
      <c r="O89" t="n">
        <v>0</v>
      </c>
      <c r="P89" t="n">
        <v>0</v>
      </c>
      <c r="Q89" t="n">
        <v>1</v>
      </c>
      <c r="R89" s="2" t="inlineStr">
        <is>
          <t>Sparvuggla</t>
        </is>
      </c>
      <c r="S89">
        <f>HYPERLINK("https://klasma.github.io/Logging_0580/artfynd/A 39457-2023 artfynd.xlsx", "A 39457-2023")</f>
        <v/>
      </c>
      <c r="T89">
        <f>HYPERLINK("https://klasma.github.io/Logging_0580/kartor/A 39457-2023 karta.png", "A 39457-2023")</f>
        <v/>
      </c>
      <c r="V89">
        <f>HYPERLINK("https://klasma.github.io/Logging_0580/klagomål/A 39457-2023 FSC-klagomål.docx", "A 39457-2023")</f>
        <v/>
      </c>
      <c r="W89">
        <f>HYPERLINK("https://klasma.github.io/Logging_0580/klagomålsmail/A 39457-2023 FSC-klagomål mail.docx", "A 39457-2023")</f>
        <v/>
      </c>
      <c r="X89">
        <f>HYPERLINK("https://klasma.github.io/Logging_0580/tillsyn/A 39457-2023 tillsynsbegäran.docx", "A 39457-2023")</f>
        <v/>
      </c>
      <c r="Y89">
        <f>HYPERLINK("https://klasma.github.io/Logging_0580/tillsynsmail/A 39457-2023 tillsynsbegäran mail.docx", "A 39457-2023")</f>
        <v/>
      </c>
      <c r="Z89">
        <f>HYPERLINK("https://klasma.github.io/Logging_0580/fåglar/A 39457-2023 prioriterade fågelarter.docx", "A 39457-2023")</f>
        <v/>
      </c>
    </row>
    <row r="90" ht="15" customHeight="1">
      <c r="A90" t="inlineStr">
        <is>
          <t>A 35948-2023</t>
        </is>
      </c>
      <c r="B90" s="1" t="n">
        <v>45148</v>
      </c>
      <c r="C90" s="1" t="n">
        <v>46086</v>
      </c>
      <c r="D90" t="inlineStr">
        <is>
          <t>ÖSTERGÖTLANDS LÄN</t>
        </is>
      </c>
      <c r="E90" t="inlineStr">
        <is>
          <t>LINKÖPING</t>
        </is>
      </c>
      <c r="G90" t="n">
        <v>1.9</v>
      </c>
      <c r="H90" t="n">
        <v>0</v>
      </c>
      <c r="I90" t="n">
        <v>1</v>
      </c>
      <c r="J90" t="n">
        <v>0</v>
      </c>
      <c r="K90" t="n">
        <v>0</v>
      </c>
      <c r="L90" t="n">
        <v>0</v>
      </c>
      <c r="M90" t="n">
        <v>0</v>
      </c>
      <c r="N90" t="n">
        <v>0</v>
      </c>
      <c r="O90" t="n">
        <v>0</v>
      </c>
      <c r="P90" t="n">
        <v>0</v>
      </c>
      <c r="Q90" t="n">
        <v>1</v>
      </c>
      <c r="R90" s="2" t="inlineStr">
        <is>
          <t>Brun nållav</t>
        </is>
      </c>
      <c r="S90">
        <f>HYPERLINK("https://klasma.github.io/Logging_0580/artfynd/A 35948-2023 artfynd.xlsx", "A 35948-2023")</f>
        <v/>
      </c>
      <c r="T90">
        <f>HYPERLINK("https://klasma.github.io/Logging_0580/kartor/A 35948-2023 karta.png", "A 35948-2023")</f>
        <v/>
      </c>
      <c r="V90">
        <f>HYPERLINK("https://klasma.github.io/Logging_0580/klagomål/A 35948-2023 FSC-klagomål.docx", "A 35948-2023")</f>
        <v/>
      </c>
      <c r="W90">
        <f>HYPERLINK("https://klasma.github.io/Logging_0580/klagomålsmail/A 35948-2023 FSC-klagomål mail.docx", "A 35948-2023")</f>
        <v/>
      </c>
      <c r="X90">
        <f>HYPERLINK("https://klasma.github.io/Logging_0580/tillsyn/A 35948-2023 tillsynsbegäran.docx", "A 35948-2023")</f>
        <v/>
      </c>
      <c r="Y90">
        <f>HYPERLINK("https://klasma.github.io/Logging_0580/tillsynsmail/A 35948-2023 tillsynsbegäran mail.docx", "A 35948-2023")</f>
        <v/>
      </c>
    </row>
    <row r="91" ht="15" customHeight="1">
      <c r="A91" t="inlineStr">
        <is>
          <t>A 62071-2023</t>
        </is>
      </c>
      <c r="B91" s="1" t="n">
        <v>45266.73542824074</v>
      </c>
      <c r="C91" s="1" t="n">
        <v>46086</v>
      </c>
      <c r="D91" t="inlineStr">
        <is>
          <t>ÖSTERGÖTLANDS LÄN</t>
        </is>
      </c>
      <c r="E91" t="inlineStr">
        <is>
          <t>LINKÖPING</t>
        </is>
      </c>
      <c r="G91" t="n">
        <v>6.5</v>
      </c>
      <c r="H91" t="n">
        <v>0</v>
      </c>
      <c r="I91" t="n">
        <v>0</v>
      </c>
      <c r="J91" t="n">
        <v>1</v>
      </c>
      <c r="K91" t="n">
        <v>0</v>
      </c>
      <c r="L91" t="n">
        <v>0</v>
      </c>
      <c r="M91" t="n">
        <v>0</v>
      </c>
      <c r="N91" t="n">
        <v>0</v>
      </c>
      <c r="O91" t="n">
        <v>1</v>
      </c>
      <c r="P91" t="n">
        <v>0</v>
      </c>
      <c r="Q91" t="n">
        <v>1</v>
      </c>
      <c r="R91" s="2" t="inlineStr">
        <is>
          <t>Svinrot</t>
        </is>
      </c>
      <c r="S91">
        <f>HYPERLINK("https://klasma.github.io/Logging_0580/artfynd/A 62071-2023 artfynd.xlsx", "A 62071-2023")</f>
        <v/>
      </c>
      <c r="T91">
        <f>HYPERLINK("https://klasma.github.io/Logging_0580/kartor/A 62071-2023 karta.png", "A 62071-2023")</f>
        <v/>
      </c>
      <c r="V91">
        <f>HYPERLINK("https://klasma.github.io/Logging_0580/klagomål/A 62071-2023 FSC-klagomål.docx", "A 62071-2023")</f>
        <v/>
      </c>
      <c r="W91">
        <f>HYPERLINK("https://klasma.github.io/Logging_0580/klagomålsmail/A 62071-2023 FSC-klagomål mail.docx", "A 62071-2023")</f>
        <v/>
      </c>
      <c r="X91">
        <f>HYPERLINK("https://klasma.github.io/Logging_0580/tillsyn/A 62071-2023 tillsynsbegäran.docx", "A 62071-2023")</f>
        <v/>
      </c>
      <c r="Y91">
        <f>HYPERLINK("https://klasma.github.io/Logging_0580/tillsynsmail/A 62071-2023 tillsynsbegäran mail.docx", "A 62071-2023")</f>
        <v/>
      </c>
    </row>
    <row r="92" ht="15" customHeight="1">
      <c r="A92" t="inlineStr">
        <is>
          <t>A 3397-2023</t>
        </is>
      </c>
      <c r="B92" s="1" t="n">
        <v>44949</v>
      </c>
      <c r="C92" s="1" t="n">
        <v>46086</v>
      </c>
      <c r="D92" t="inlineStr">
        <is>
          <t>ÖSTERGÖTLANDS LÄN</t>
        </is>
      </c>
      <c r="E92" t="inlineStr">
        <is>
          <t>LINKÖPING</t>
        </is>
      </c>
      <c r="G92" t="n">
        <v>4.1</v>
      </c>
      <c r="H92" t="n">
        <v>0</v>
      </c>
      <c r="I92" t="n">
        <v>0</v>
      </c>
      <c r="J92" t="n">
        <v>1</v>
      </c>
      <c r="K92" t="n">
        <v>0</v>
      </c>
      <c r="L92" t="n">
        <v>0</v>
      </c>
      <c r="M92" t="n">
        <v>0</v>
      </c>
      <c r="N92" t="n">
        <v>0</v>
      </c>
      <c r="O92" t="n">
        <v>1</v>
      </c>
      <c r="P92" t="n">
        <v>0</v>
      </c>
      <c r="Q92" t="n">
        <v>1</v>
      </c>
      <c r="R92" s="2" t="inlineStr">
        <is>
          <t>Svinrot</t>
        </is>
      </c>
      <c r="S92">
        <f>HYPERLINK("https://klasma.github.io/Logging_0580/artfynd/A 3397-2023 artfynd.xlsx", "A 3397-2023")</f>
        <v/>
      </c>
      <c r="T92">
        <f>HYPERLINK("https://klasma.github.io/Logging_0580/kartor/A 3397-2023 karta.png", "A 3397-2023")</f>
        <v/>
      </c>
      <c r="V92">
        <f>HYPERLINK("https://klasma.github.io/Logging_0580/klagomål/A 3397-2023 FSC-klagomål.docx", "A 3397-2023")</f>
        <v/>
      </c>
      <c r="W92">
        <f>HYPERLINK("https://klasma.github.io/Logging_0580/klagomålsmail/A 3397-2023 FSC-klagomål mail.docx", "A 3397-2023")</f>
        <v/>
      </c>
      <c r="X92">
        <f>HYPERLINK("https://klasma.github.io/Logging_0580/tillsyn/A 3397-2023 tillsynsbegäran.docx", "A 3397-2023")</f>
        <v/>
      </c>
      <c r="Y92">
        <f>HYPERLINK("https://klasma.github.io/Logging_0580/tillsynsmail/A 3397-2023 tillsynsbegäran mail.docx", "A 3397-2023")</f>
        <v/>
      </c>
    </row>
    <row r="93" ht="15" customHeight="1">
      <c r="A93" t="inlineStr">
        <is>
          <t>A 20295-2025</t>
        </is>
      </c>
      <c r="B93" s="1" t="n">
        <v>45774.74846064814</v>
      </c>
      <c r="C93" s="1" t="n">
        <v>46086</v>
      </c>
      <c r="D93" t="inlineStr">
        <is>
          <t>ÖSTERGÖTLANDS LÄN</t>
        </is>
      </c>
      <c r="E93" t="inlineStr">
        <is>
          <t>LINKÖPING</t>
        </is>
      </c>
      <c r="G93" t="n">
        <v>3</v>
      </c>
      <c r="H93" t="n">
        <v>0</v>
      </c>
      <c r="I93" t="n">
        <v>0</v>
      </c>
      <c r="J93" t="n">
        <v>1</v>
      </c>
      <c r="K93" t="n">
        <v>0</v>
      </c>
      <c r="L93" t="n">
        <v>0</v>
      </c>
      <c r="M93" t="n">
        <v>0</v>
      </c>
      <c r="N93" t="n">
        <v>0</v>
      </c>
      <c r="O93" t="n">
        <v>1</v>
      </c>
      <c r="P93" t="n">
        <v>0</v>
      </c>
      <c r="Q93" t="n">
        <v>1</v>
      </c>
      <c r="R93" s="2" t="inlineStr">
        <is>
          <t>Tallticka</t>
        </is>
      </c>
      <c r="S93">
        <f>HYPERLINK("https://klasma.github.io/Logging_0580/artfynd/A 20295-2025 artfynd.xlsx", "A 20295-2025")</f>
        <v/>
      </c>
      <c r="T93">
        <f>HYPERLINK("https://klasma.github.io/Logging_0580/kartor/A 20295-2025 karta.png", "A 20295-2025")</f>
        <v/>
      </c>
      <c r="V93">
        <f>HYPERLINK("https://klasma.github.io/Logging_0580/klagomål/A 20295-2025 FSC-klagomål.docx", "A 20295-2025")</f>
        <v/>
      </c>
      <c r="W93">
        <f>HYPERLINK("https://klasma.github.io/Logging_0580/klagomålsmail/A 20295-2025 FSC-klagomål mail.docx", "A 20295-2025")</f>
        <v/>
      </c>
      <c r="X93">
        <f>HYPERLINK("https://klasma.github.io/Logging_0580/tillsyn/A 20295-2025 tillsynsbegäran.docx", "A 20295-2025")</f>
        <v/>
      </c>
      <c r="Y93">
        <f>HYPERLINK("https://klasma.github.io/Logging_0580/tillsynsmail/A 20295-2025 tillsynsbegäran mail.docx", "A 20295-2025")</f>
        <v/>
      </c>
    </row>
    <row r="94" ht="15" customHeight="1">
      <c r="A94" t="inlineStr">
        <is>
          <t>A 60573-2021</t>
        </is>
      </c>
      <c r="B94" s="1" t="n">
        <v>44496</v>
      </c>
      <c r="C94" s="1" t="n">
        <v>46086</v>
      </c>
      <c r="D94" t="inlineStr">
        <is>
          <t>ÖSTERGÖTLANDS LÄN</t>
        </is>
      </c>
      <c r="E94" t="inlineStr">
        <is>
          <t>LINKÖPING</t>
        </is>
      </c>
      <c r="F94" t="inlineStr">
        <is>
          <t>Övriga Aktiebolag</t>
        </is>
      </c>
      <c r="G94" t="n">
        <v>5.6</v>
      </c>
      <c r="H94" t="n">
        <v>0</v>
      </c>
      <c r="I94" t="n">
        <v>0</v>
      </c>
      <c r="J94" t="n">
        <v>1</v>
      </c>
      <c r="K94" t="n">
        <v>0</v>
      </c>
      <c r="L94" t="n">
        <v>0</v>
      </c>
      <c r="M94" t="n">
        <v>0</v>
      </c>
      <c r="N94" t="n">
        <v>0</v>
      </c>
      <c r="O94" t="n">
        <v>1</v>
      </c>
      <c r="P94" t="n">
        <v>0</v>
      </c>
      <c r="Q94" t="n">
        <v>1</v>
      </c>
      <c r="R94" s="2" t="inlineStr">
        <is>
          <t>Sommarfibbla</t>
        </is>
      </c>
      <c r="S94">
        <f>HYPERLINK("https://klasma.github.io/Logging_0580/artfynd/A 60573-2021 artfynd.xlsx", "A 60573-2021")</f>
        <v/>
      </c>
      <c r="T94">
        <f>HYPERLINK("https://klasma.github.io/Logging_0580/kartor/A 60573-2021 karta.png", "A 60573-2021")</f>
        <v/>
      </c>
      <c r="V94">
        <f>HYPERLINK("https://klasma.github.io/Logging_0580/klagomål/A 60573-2021 FSC-klagomål.docx", "A 60573-2021")</f>
        <v/>
      </c>
      <c r="W94">
        <f>HYPERLINK("https://klasma.github.io/Logging_0580/klagomålsmail/A 60573-2021 FSC-klagomål mail.docx", "A 60573-2021")</f>
        <v/>
      </c>
      <c r="X94">
        <f>HYPERLINK("https://klasma.github.io/Logging_0580/tillsyn/A 60573-2021 tillsynsbegäran.docx", "A 60573-2021")</f>
        <v/>
      </c>
      <c r="Y94">
        <f>HYPERLINK("https://klasma.github.io/Logging_0580/tillsynsmail/A 60573-2021 tillsynsbegäran mail.docx", "A 60573-2021")</f>
        <v/>
      </c>
    </row>
    <row r="95" ht="15" customHeight="1">
      <c r="A95" t="inlineStr">
        <is>
          <t>A 41749-2023</t>
        </is>
      </c>
      <c r="B95" s="1" t="n">
        <v>45176</v>
      </c>
      <c r="C95" s="1" t="n">
        <v>46086</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41749-2023 artfynd.xlsx", "A 41749-2023")</f>
        <v/>
      </c>
      <c r="T95">
        <f>HYPERLINK("https://klasma.github.io/Logging_0580/kartor/A 41749-2023 karta.png", "A 41749-2023")</f>
        <v/>
      </c>
      <c r="V95">
        <f>HYPERLINK("https://klasma.github.io/Logging_0580/klagomål/A 41749-2023 FSC-klagomål.docx", "A 41749-2023")</f>
        <v/>
      </c>
      <c r="W95">
        <f>HYPERLINK("https://klasma.github.io/Logging_0580/klagomålsmail/A 41749-2023 FSC-klagomål mail.docx", "A 41749-2023")</f>
        <v/>
      </c>
      <c r="X95">
        <f>HYPERLINK("https://klasma.github.io/Logging_0580/tillsyn/A 41749-2023 tillsynsbegäran.docx", "A 41749-2023")</f>
        <v/>
      </c>
      <c r="Y95">
        <f>HYPERLINK("https://klasma.github.io/Logging_0580/tillsynsmail/A 41749-2023 tillsynsbegäran mail.docx", "A 41749-2023")</f>
        <v/>
      </c>
    </row>
    <row r="96" ht="15" customHeight="1">
      <c r="A96" t="inlineStr">
        <is>
          <t>A 38881-2021</t>
        </is>
      </c>
      <c r="B96" s="1" t="n">
        <v>44411.46893518518</v>
      </c>
      <c r="C96" s="1" t="n">
        <v>46086</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46086</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46086</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46086</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46086</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46086</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46086</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46086</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46086</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46086</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46086</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46086</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46086</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46086</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46086</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46086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46086</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46086</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46086</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46086</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46086</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46086</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31703-2022</t>
        </is>
      </c>
      <c r="B118" s="1" t="n">
        <v>44776</v>
      </c>
      <c r="C118" s="1" t="n">
        <v>46086</v>
      </c>
      <c r="D118" t="inlineStr">
        <is>
          <t>ÖSTERGÖTLANDS LÄN</t>
        </is>
      </c>
      <c r="E118" t="inlineStr">
        <is>
          <t>LINKÖPING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46086</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46086</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46086</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46086</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46086</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46086</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46086</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46086</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46086</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46086</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46086</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46086</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46086</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46086</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46086</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46086</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46086</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46086</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46086</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46086</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46086</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46086</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46086</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46086</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46086</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46086</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46086</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46086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46086</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46086</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46086</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46086</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46086</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46086</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46086</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46086</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46086</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46086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46086</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46086</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46086</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46086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46086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46086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46086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46086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46086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46086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46086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46086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46086</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46086</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46086</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46086</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46086</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46086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46086</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46086</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46086</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46086</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46086</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46086</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46086</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46086</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46086</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46086</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46086</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46086</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46086</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46086</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46086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46086</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46086</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46086</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46086</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46086</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46086</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46086</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46086</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34558-2022</t>
        </is>
      </c>
      <c r="B198" s="1" t="n">
        <v>44794.57594907407</v>
      </c>
      <c r="C198" s="1" t="n">
        <v>46086</v>
      </c>
      <c r="D198" t="inlineStr">
        <is>
          <t>ÖSTERGÖTLANDS LÄN</t>
        </is>
      </c>
      <c r="E198" t="inlineStr">
        <is>
          <t>LINKÖPING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63489-2023</t>
        </is>
      </c>
      <c r="B199" s="1" t="n">
        <v>45274.66761574074</v>
      </c>
      <c r="C199" s="1" t="n">
        <v>46086</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22772-2024</t>
        </is>
      </c>
      <c r="B200" s="1" t="n">
        <v>45448.46712962963</v>
      </c>
      <c r="C200" s="1" t="n">
        <v>46086</v>
      </c>
      <c r="D200" t="inlineStr">
        <is>
          <t>ÖSTERGÖTLANDS LÄN</t>
        </is>
      </c>
      <c r="E200" t="inlineStr">
        <is>
          <t>LINKÖPING</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54845-2023</t>
        </is>
      </c>
      <c r="B201" s="1" t="n">
        <v>45236</v>
      </c>
      <c r="C201" s="1" t="n">
        <v>46086</v>
      </c>
      <c r="D201" t="inlineStr">
        <is>
          <t>ÖSTERGÖTLANDS LÄN</t>
        </is>
      </c>
      <c r="E201" t="inlineStr">
        <is>
          <t>LINKÖPING</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46086</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28266-2024</t>
        </is>
      </c>
      <c r="B203" s="1" t="n">
        <v>45477.43600694444</v>
      </c>
      <c r="C203" s="1" t="n">
        <v>46086</v>
      </c>
      <c r="D203" t="inlineStr">
        <is>
          <t>ÖSTERGÖTLANDS LÄN</t>
        </is>
      </c>
      <c r="E203" t="inlineStr">
        <is>
          <t>LINKÖPING</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24351-2024</t>
        </is>
      </c>
      <c r="B204" s="1" t="n">
        <v>45457.59011574074</v>
      </c>
      <c r="C204" s="1" t="n">
        <v>46086</v>
      </c>
      <c r="D204" t="inlineStr">
        <is>
          <t>ÖSTERGÖTLANDS LÄN</t>
        </is>
      </c>
      <c r="E204" t="inlineStr">
        <is>
          <t>LINKÖPING</t>
        </is>
      </c>
      <c r="G204" t="n">
        <v>11.9</v>
      </c>
      <c r="H204" t="n">
        <v>0</v>
      </c>
      <c r="I204" t="n">
        <v>0</v>
      </c>
      <c r="J204" t="n">
        <v>0</v>
      </c>
      <c r="K204" t="n">
        <v>0</v>
      </c>
      <c r="L204" t="n">
        <v>0</v>
      </c>
      <c r="M204" t="n">
        <v>0</v>
      </c>
      <c r="N204" t="n">
        <v>0</v>
      </c>
      <c r="O204" t="n">
        <v>0</v>
      </c>
      <c r="P204" t="n">
        <v>0</v>
      </c>
      <c r="Q204" t="n">
        <v>0</v>
      </c>
      <c r="R204" s="2" t="inlineStr"/>
    </row>
    <row r="205" ht="15" customHeight="1">
      <c r="A205" t="inlineStr">
        <is>
          <t>A 20455-2024</t>
        </is>
      </c>
      <c r="B205" s="1" t="n">
        <v>45435.65314814815</v>
      </c>
      <c r="C205" s="1" t="n">
        <v>46086</v>
      </c>
      <c r="D205" t="inlineStr">
        <is>
          <t>ÖSTERGÖTLANDS LÄN</t>
        </is>
      </c>
      <c r="E205" t="inlineStr">
        <is>
          <t>LINKÖPING</t>
        </is>
      </c>
      <c r="G205" t="n">
        <v>2.6</v>
      </c>
      <c r="H205" t="n">
        <v>0</v>
      </c>
      <c r="I205" t="n">
        <v>0</v>
      </c>
      <c r="J205" t="n">
        <v>0</v>
      </c>
      <c r="K205" t="n">
        <v>0</v>
      </c>
      <c r="L205" t="n">
        <v>0</v>
      </c>
      <c r="M205" t="n">
        <v>0</v>
      </c>
      <c r="N205" t="n">
        <v>0</v>
      </c>
      <c r="O205" t="n">
        <v>0</v>
      </c>
      <c r="P205" t="n">
        <v>0</v>
      </c>
      <c r="Q205" t="n">
        <v>0</v>
      </c>
      <c r="R205" s="2" t="inlineStr"/>
    </row>
    <row r="206" ht="15" customHeight="1">
      <c r="A206" t="inlineStr">
        <is>
          <t>A 224-2024</t>
        </is>
      </c>
      <c r="B206" s="1" t="n">
        <v>45294</v>
      </c>
      <c r="C206" s="1" t="n">
        <v>46086</v>
      </c>
      <c r="D206" t="inlineStr">
        <is>
          <t>ÖSTERGÖTLANDS LÄN</t>
        </is>
      </c>
      <c r="E206" t="inlineStr">
        <is>
          <t>LINKÖPING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46086</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34877-2023</t>
        </is>
      </c>
      <c r="B208" s="1" t="n">
        <v>45140</v>
      </c>
      <c r="C208" s="1" t="n">
        <v>46086</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46086</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30856-2022</t>
        </is>
      </c>
      <c r="B210" s="1" t="n">
        <v>44767</v>
      </c>
      <c r="C210" s="1" t="n">
        <v>46086</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46086</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57745-2022</t>
        </is>
      </c>
      <c r="B212" s="1" t="n">
        <v>44897.58119212963</v>
      </c>
      <c r="C212" s="1" t="n">
        <v>46086</v>
      </c>
      <c r="D212" t="inlineStr">
        <is>
          <t>ÖSTERGÖTLANDS LÄN</t>
        </is>
      </c>
      <c r="E212" t="inlineStr">
        <is>
          <t>LINKÖPING</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1993-2023</t>
        </is>
      </c>
      <c r="B213" s="1" t="n">
        <v>44939</v>
      </c>
      <c r="C213" s="1" t="n">
        <v>46086</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46086</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22771-2024</t>
        </is>
      </c>
      <c r="B215" s="1" t="n">
        <v>45448.46574074074</v>
      </c>
      <c r="C215" s="1" t="n">
        <v>46086</v>
      </c>
      <c r="D215" t="inlineStr">
        <is>
          <t>ÖSTERGÖTLANDS LÄN</t>
        </is>
      </c>
      <c r="E215" t="inlineStr">
        <is>
          <t>LINKÖPING</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46086</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46086</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42832-2023</t>
        </is>
      </c>
      <c r="B218" s="1" t="n">
        <v>45182.38091435185</v>
      </c>
      <c r="C218" s="1" t="n">
        <v>46086</v>
      </c>
      <c r="D218" t="inlineStr">
        <is>
          <t>ÖSTERGÖTLANDS LÄN</t>
        </is>
      </c>
      <c r="E218" t="inlineStr">
        <is>
          <t>LINKÖPING</t>
        </is>
      </c>
      <c r="G218" t="n">
        <v>2.5</v>
      </c>
      <c r="H218" t="n">
        <v>0</v>
      </c>
      <c r="I218" t="n">
        <v>0</v>
      </c>
      <c r="J218" t="n">
        <v>0</v>
      </c>
      <c r="K218" t="n">
        <v>0</v>
      </c>
      <c r="L218" t="n">
        <v>0</v>
      </c>
      <c r="M218" t="n">
        <v>0</v>
      </c>
      <c r="N218" t="n">
        <v>0</v>
      </c>
      <c r="O218" t="n">
        <v>0</v>
      </c>
      <c r="P218" t="n">
        <v>0</v>
      </c>
      <c r="Q218" t="n">
        <v>0</v>
      </c>
      <c r="R218" s="2" t="inlineStr"/>
    </row>
    <row r="219" ht="15" customHeight="1">
      <c r="A219" t="inlineStr">
        <is>
          <t>A 56560-2023</t>
        </is>
      </c>
      <c r="B219" s="1" t="n">
        <v>45238</v>
      </c>
      <c r="C219" s="1" t="n">
        <v>46086</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52412-2023</t>
        </is>
      </c>
      <c r="B220" s="1" t="n">
        <v>45225.27888888889</v>
      </c>
      <c r="C220" s="1" t="n">
        <v>46086</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52413-2023</t>
        </is>
      </c>
      <c r="B221" s="1" t="n">
        <v>45225.27950231481</v>
      </c>
      <c r="C221" s="1" t="n">
        <v>46086</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7354-2025</t>
        </is>
      </c>
      <c r="B222" s="1" t="n">
        <v>45704.41174768518</v>
      </c>
      <c r="C222" s="1" t="n">
        <v>46086</v>
      </c>
      <c r="D222" t="inlineStr">
        <is>
          <t>ÖSTERGÖTLANDS LÄN</t>
        </is>
      </c>
      <c r="E222" t="inlineStr">
        <is>
          <t>LINKÖPING</t>
        </is>
      </c>
      <c r="G222" t="n">
        <v>4.8</v>
      </c>
      <c r="H222" t="n">
        <v>0</v>
      </c>
      <c r="I222" t="n">
        <v>0</v>
      </c>
      <c r="J222" t="n">
        <v>0</v>
      </c>
      <c r="K222" t="n">
        <v>0</v>
      </c>
      <c r="L222" t="n">
        <v>0</v>
      </c>
      <c r="M222" t="n">
        <v>0</v>
      </c>
      <c r="N222" t="n">
        <v>0</v>
      </c>
      <c r="O222" t="n">
        <v>0</v>
      </c>
      <c r="P222" t="n">
        <v>0</v>
      </c>
      <c r="Q222" t="n">
        <v>0</v>
      </c>
      <c r="R222" s="2" t="inlineStr"/>
    </row>
    <row r="223" ht="15" customHeight="1">
      <c r="A223" t="inlineStr">
        <is>
          <t>A 34928-2023</t>
        </is>
      </c>
      <c r="B223" s="1" t="n">
        <v>45142</v>
      </c>
      <c r="C223" s="1" t="n">
        <v>46086</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1263-2024</t>
        </is>
      </c>
      <c r="B224" s="1" t="n">
        <v>45302</v>
      </c>
      <c r="C224" s="1" t="n">
        <v>46086</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52531-2023</t>
        </is>
      </c>
      <c r="B225" s="1" t="n">
        <v>45225</v>
      </c>
      <c r="C225" s="1" t="n">
        <v>46086</v>
      </c>
      <c r="D225" t="inlineStr">
        <is>
          <t>ÖSTERGÖTLANDS LÄN</t>
        </is>
      </c>
      <c r="E225" t="inlineStr">
        <is>
          <t>LINKÖPING</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20291-2025</t>
        </is>
      </c>
      <c r="B226" s="1" t="n">
        <v>45774.74288194445</v>
      </c>
      <c r="C226" s="1" t="n">
        <v>46086</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20293-2025</t>
        </is>
      </c>
      <c r="B227" s="1" t="n">
        <v>45774.74611111111</v>
      </c>
      <c r="C227" s="1" t="n">
        <v>46086</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3008-2023</t>
        </is>
      </c>
      <c r="B228" s="1" t="n">
        <v>44945.79784722222</v>
      </c>
      <c r="C228" s="1" t="n">
        <v>46086</v>
      </c>
      <c r="D228" t="inlineStr">
        <is>
          <t>ÖSTERGÖTLANDS LÄN</t>
        </is>
      </c>
      <c r="E228" t="inlineStr">
        <is>
          <t>LINKÖPING</t>
        </is>
      </c>
      <c r="G228" t="n">
        <v>19.3</v>
      </c>
      <c r="H228" t="n">
        <v>0</v>
      </c>
      <c r="I228" t="n">
        <v>0</v>
      </c>
      <c r="J228" t="n">
        <v>0</v>
      </c>
      <c r="K228" t="n">
        <v>0</v>
      </c>
      <c r="L228" t="n">
        <v>0</v>
      </c>
      <c r="M228" t="n">
        <v>0</v>
      </c>
      <c r="N228" t="n">
        <v>0</v>
      </c>
      <c r="O228" t="n">
        <v>0</v>
      </c>
      <c r="P228" t="n">
        <v>0</v>
      </c>
      <c r="Q228" t="n">
        <v>0</v>
      </c>
      <c r="R228" s="2" t="inlineStr"/>
    </row>
    <row r="229" ht="15" customHeight="1">
      <c r="A229" t="inlineStr">
        <is>
          <t>A 12035-2025</t>
        </is>
      </c>
      <c r="B229" s="1" t="n">
        <v>45728.64946759259</v>
      </c>
      <c r="C229" s="1" t="n">
        <v>46086</v>
      </c>
      <c r="D229" t="inlineStr">
        <is>
          <t>ÖSTERGÖTLANDS LÄN</t>
        </is>
      </c>
      <c r="E229" t="inlineStr">
        <is>
          <t>LINKÖPING</t>
        </is>
      </c>
      <c r="G229" t="n">
        <v>3.7</v>
      </c>
      <c r="H229" t="n">
        <v>0</v>
      </c>
      <c r="I229" t="n">
        <v>0</v>
      </c>
      <c r="J229" t="n">
        <v>0</v>
      </c>
      <c r="K229" t="n">
        <v>0</v>
      </c>
      <c r="L229" t="n">
        <v>0</v>
      </c>
      <c r="M229" t="n">
        <v>0</v>
      </c>
      <c r="N229" t="n">
        <v>0</v>
      </c>
      <c r="O229" t="n">
        <v>0</v>
      </c>
      <c r="P229" t="n">
        <v>0</v>
      </c>
      <c r="Q229" t="n">
        <v>0</v>
      </c>
      <c r="R229" s="2" t="inlineStr"/>
    </row>
    <row r="230" ht="15" customHeight="1">
      <c r="A230" t="inlineStr">
        <is>
          <t>A 55945-2024</t>
        </is>
      </c>
      <c r="B230" s="1" t="n">
        <v>45623.61754629629</v>
      </c>
      <c r="C230" s="1" t="n">
        <v>46086</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46086</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33867-2023</t>
        </is>
      </c>
      <c r="B232" s="1" t="n">
        <v>45133.94640046296</v>
      </c>
      <c r="C232" s="1" t="n">
        <v>46086</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46086</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46086</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46086</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46086</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30985-2022</t>
        </is>
      </c>
      <c r="B237" s="1" t="n">
        <v>44768</v>
      </c>
      <c r="C237" s="1" t="n">
        <v>46086</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46086</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58947-2022</t>
        </is>
      </c>
      <c r="B239" s="1" t="n">
        <v>44903.64769675926</v>
      </c>
      <c r="C239" s="1" t="n">
        <v>46086</v>
      </c>
      <c r="D239" t="inlineStr">
        <is>
          <t>ÖSTERGÖTLANDS LÄN</t>
        </is>
      </c>
      <c r="E239" t="inlineStr">
        <is>
          <t>LINKÖPING</t>
        </is>
      </c>
      <c r="G239" t="n">
        <v>4</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46086</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46086</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1211-2023</t>
        </is>
      </c>
      <c r="B242" s="1" t="n">
        <v>44930</v>
      </c>
      <c r="C242" s="1" t="n">
        <v>46086</v>
      </c>
      <c r="D242" t="inlineStr">
        <is>
          <t>ÖSTERGÖTLANDS LÄN</t>
        </is>
      </c>
      <c r="E242" t="inlineStr">
        <is>
          <t>LINKÖPING</t>
        </is>
      </c>
      <c r="F242" t="inlineStr">
        <is>
          <t>Övriga statliga verk och myndigheter</t>
        </is>
      </c>
      <c r="G242" t="n">
        <v>7.9</v>
      </c>
      <c r="H242" t="n">
        <v>0</v>
      </c>
      <c r="I242" t="n">
        <v>0</v>
      </c>
      <c r="J242" t="n">
        <v>0</v>
      </c>
      <c r="K242" t="n">
        <v>0</v>
      </c>
      <c r="L242" t="n">
        <v>0</v>
      </c>
      <c r="M242" t="n">
        <v>0</v>
      </c>
      <c r="N242" t="n">
        <v>0</v>
      </c>
      <c r="O242" t="n">
        <v>0</v>
      </c>
      <c r="P242" t="n">
        <v>0</v>
      </c>
      <c r="Q242" t="n">
        <v>0</v>
      </c>
      <c r="R242" s="2" t="inlineStr"/>
    </row>
    <row r="243" ht="15" customHeight="1">
      <c r="A243" t="inlineStr">
        <is>
          <t>A 16665-2023</t>
        </is>
      </c>
      <c r="B243" s="1" t="n">
        <v>45030.5583912037</v>
      </c>
      <c r="C243" s="1" t="n">
        <v>46086</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46086</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2085-2024</t>
        </is>
      </c>
      <c r="B245" s="1" t="n">
        <v>45309</v>
      </c>
      <c r="C245" s="1" t="n">
        <v>46086</v>
      </c>
      <c r="D245" t="inlineStr">
        <is>
          <t>ÖSTERGÖTLANDS LÄN</t>
        </is>
      </c>
      <c r="E245" t="inlineStr">
        <is>
          <t>LINKÖPING</t>
        </is>
      </c>
      <c r="G245" t="n">
        <v>4.5</v>
      </c>
      <c r="H245" t="n">
        <v>0</v>
      </c>
      <c r="I245" t="n">
        <v>0</v>
      </c>
      <c r="J245" t="n">
        <v>0</v>
      </c>
      <c r="K245" t="n">
        <v>0</v>
      </c>
      <c r="L245" t="n">
        <v>0</v>
      </c>
      <c r="M245" t="n">
        <v>0</v>
      </c>
      <c r="N245" t="n">
        <v>0</v>
      </c>
      <c r="O245" t="n">
        <v>0</v>
      </c>
      <c r="P245" t="n">
        <v>0</v>
      </c>
      <c r="Q245" t="n">
        <v>0</v>
      </c>
      <c r="R245" s="2" t="inlineStr"/>
    </row>
    <row r="246" ht="15" customHeight="1">
      <c r="A246" t="inlineStr">
        <is>
          <t>A 38715-2023</t>
        </is>
      </c>
      <c r="B246" s="1" t="n">
        <v>45160</v>
      </c>
      <c r="C246" s="1" t="n">
        <v>46086</v>
      </c>
      <c r="D246" t="inlineStr">
        <is>
          <t>ÖSTERGÖTLANDS LÄN</t>
        </is>
      </c>
      <c r="E246" t="inlineStr">
        <is>
          <t>LINKÖPING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30468-2023</t>
        </is>
      </c>
      <c r="B247" s="1" t="n">
        <v>45111.58732638889</v>
      </c>
      <c r="C247" s="1" t="n">
        <v>46086</v>
      </c>
      <c r="D247" t="inlineStr">
        <is>
          <t>ÖSTERGÖTLANDS LÄN</t>
        </is>
      </c>
      <c r="E247" t="inlineStr">
        <is>
          <t>LINKÖPING</t>
        </is>
      </c>
      <c r="G247" t="n">
        <v>10.1</v>
      </c>
      <c r="H247" t="n">
        <v>0</v>
      </c>
      <c r="I247" t="n">
        <v>0</v>
      </c>
      <c r="J247" t="n">
        <v>0</v>
      </c>
      <c r="K247" t="n">
        <v>0</v>
      </c>
      <c r="L247" t="n">
        <v>0</v>
      </c>
      <c r="M247" t="n">
        <v>0</v>
      </c>
      <c r="N247" t="n">
        <v>0</v>
      </c>
      <c r="O247" t="n">
        <v>0</v>
      </c>
      <c r="P247" t="n">
        <v>0</v>
      </c>
      <c r="Q247" t="n">
        <v>0</v>
      </c>
      <c r="R247" s="2" t="inlineStr"/>
    </row>
    <row r="248" ht="15" customHeight="1">
      <c r="A248" t="inlineStr">
        <is>
          <t>A 34864-2023</t>
        </is>
      </c>
      <c r="B248" s="1" t="n">
        <v>45141</v>
      </c>
      <c r="C248" s="1" t="n">
        <v>46086</v>
      </c>
      <c r="D248" t="inlineStr">
        <is>
          <t>ÖSTERGÖTLANDS LÄN</t>
        </is>
      </c>
      <c r="E248" t="inlineStr">
        <is>
          <t>LINKÖPING</t>
        </is>
      </c>
      <c r="G248" t="n">
        <v>3.3</v>
      </c>
      <c r="H248" t="n">
        <v>0</v>
      </c>
      <c r="I248" t="n">
        <v>0</v>
      </c>
      <c r="J248" t="n">
        <v>0</v>
      </c>
      <c r="K248" t="n">
        <v>0</v>
      </c>
      <c r="L248" t="n">
        <v>0</v>
      </c>
      <c r="M248" t="n">
        <v>0</v>
      </c>
      <c r="N248" t="n">
        <v>0</v>
      </c>
      <c r="O248" t="n">
        <v>0</v>
      </c>
      <c r="P248" t="n">
        <v>0</v>
      </c>
      <c r="Q248" t="n">
        <v>0</v>
      </c>
      <c r="R248" s="2" t="inlineStr"/>
    </row>
    <row r="249" ht="15" customHeight="1">
      <c r="A249" t="inlineStr">
        <is>
          <t>A 12317-2025</t>
        </is>
      </c>
      <c r="B249" s="1" t="n">
        <v>45729.8487037037</v>
      </c>
      <c r="C249" s="1" t="n">
        <v>46086</v>
      </c>
      <c r="D249" t="inlineStr">
        <is>
          <t>ÖSTERGÖTLANDS LÄN</t>
        </is>
      </c>
      <c r="E249" t="inlineStr">
        <is>
          <t>LINKÖPING</t>
        </is>
      </c>
      <c r="G249" t="n">
        <v>8</v>
      </c>
      <c r="H249" t="n">
        <v>0</v>
      </c>
      <c r="I249" t="n">
        <v>0</v>
      </c>
      <c r="J249" t="n">
        <v>0</v>
      </c>
      <c r="K249" t="n">
        <v>0</v>
      </c>
      <c r="L249" t="n">
        <v>0</v>
      </c>
      <c r="M249" t="n">
        <v>0</v>
      </c>
      <c r="N249" t="n">
        <v>0</v>
      </c>
      <c r="O249" t="n">
        <v>0</v>
      </c>
      <c r="P249" t="n">
        <v>0</v>
      </c>
      <c r="Q249" t="n">
        <v>0</v>
      </c>
      <c r="R249" s="2" t="inlineStr"/>
    </row>
    <row r="250" ht="15" customHeight="1">
      <c r="A250" t="inlineStr">
        <is>
          <t>A 17103-2025</t>
        </is>
      </c>
      <c r="B250" s="1" t="n">
        <v>45755.66143518518</v>
      </c>
      <c r="C250" s="1" t="n">
        <v>46086</v>
      </c>
      <c r="D250" t="inlineStr">
        <is>
          <t>ÖSTERGÖTLANDS LÄN</t>
        </is>
      </c>
      <c r="E250" t="inlineStr">
        <is>
          <t>LINKÖPING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46687-2021</t>
        </is>
      </c>
      <c r="B251" s="1" t="n">
        <v>44445</v>
      </c>
      <c r="C251" s="1" t="n">
        <v>46086</v>
      </c>
      <c r="D251" t="inlineStr">
        <is>
          <t>ÖSTERGÖTLANDS LÄN</t>
        </is>
      </c>
      <c r="E251" t="inlineStr">
        <is>
          <t>LINKÖPING</t>
        </is>
      </c>
      <c r="F251" t="inlineStr">
        <is>
          <t>Övriga statliga verk och myndigheter</t>
        </is>
      </c>
      <c r="G251" t="n">
        <v>2.3</v>
      </c>
      <c r="H251" t="n">
        <v>0</v>
      </c>
      <c r="I251" t="n">
        <v>0</v>
      </c>
      <c r="J251" t="n">
        <v>0</v>
      </c>
      <c r="K251" t="n">
        <v>0</v>
      </c>
      <c r="L251" t="n">
        <v>0</v>
      </c>
      <c r="M251" t="n">
        <v>0</v>
      </c>
      <c r="N251" t="n">
        <v>0</v>
      </c>
      <c r="O251" t="n">
        <v>0</v>
      </c>
      <c r="P251" t="n">
        <v>0</v>
      </c>
      <c r="Q251" t="n">
        <v>0</v>
      </c>
      <c r="R251" s="2" t="inlineStr"/>
    </row>
    <row r="252" ht="15" customHeight="1">
      <c r="A252" t="inlineStr">
        <is>
          <t>A 40618-2021</t>
        </is>
      </c>
      <c r="B252" s="1" t="n">
        <v>44420.49575231481</v>
      </c>
      <c r="C252" s="1" t="n">
        <v>46086</v>
      </c>
      <c r="D252" t="inlineStr">
        <is>
          <t>ÖSTERGÖTLANDS LÄN</t>
        </is>
      </c>
      <c r="E252" t="inlineStr">
        <is>
          <t>LINKÖPING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227-2024</t>
        </is>
      </c>
      <c r="B253" s="1" t="n">
        <v>45294.73603009259</v>
      </c>
      <c r="C253" s="1" t="n">
        <v>46086</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56180-2024</t>
        </is>
      </c>
      <c r="B254" s="1" t="n">
        <v>45624.56611111111</v>
      </c>
      <c r="C254" s="1" t="n">
        <v>46086</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30471-2023</t>
        </is>
      </c>
      <c r="B255" s="1" t="n">
        <v>45111.58931712963</v>
      </c>
      <c r="C255" s="1" t="n">
        <v>46086</v>
      </c>
      <c r="D255" t="inlineStr">
        <is>
          <t>ÖSTERGÖTLANDS LÄN</t>
        </is>
      </c>
      <c r="E255" t="inlineStr">
        <is>
          <t>LINKÖPING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44155-2024</t>
        </is>
      </c>
      <c r="B256" s="1" t="n">
        <v>45572.68226851852</v>
      </c>
      <c r="C256" s="1" t="n">
        <v>46086</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30434-2024</t>
        </is>
      </c>
      <c r="B257" s="1" t="n">
        <v>45491.69811342593</v>
      </c>
      <c r="C257" s="1" t="n">
        <v>46086</v>
      </c>
      <c r="D257" t="inlineStr">
        <is>
          <t>ÖSTERGÖTLANDS LÄN</t>
        </is>
      </c>
      <c r="E257" t="inlineStr">
        <is>
          <t>LINKÖPING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46086</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57766-2023</t>
        </is>
      </c>
      <c r="B259" s="1" t="n">
        <v>45246</v>
      </c>
      <c r="C259" s="1" t="n">
        <v>46086</v>
      </c>
      <c r="D259" t="inlineStr">
        <is>
          <t>ÖSTERGÖTLANDS LÄN</t>
        </is>
      </c>
      <c r="E259" t="inlineStr">
        <is>
          <t>LINKÖPING</t>
        </is>
      </c>
      <c r="F259" t="inlineStr">
        <is>
          <t>Allmännings- och besparingsskogar</t>
        </is>
      </c>
      <c r="G259" t="n">
        <v>12.8</v>
      </c>
      <c r="H259" t="n">
        <v>0</v>
      </c>
      <c r="I259" t="n">
        <v>0</v>
      </c>
      <c r="J259" t="n">
        <v>0</v>
      </c>
      <c r="K259" t="n">
        <v>0</v>
      </c>
      <c r="L259" t="n">
        <v>0</v>
      </c>
      <c r="M259" t="n">
        <v>0</v>
      </c>
      <c r="N259" t="n">
        <v>0</v>
      </c>
      <c r="O259" t="n">
        <v>0</v>
      </c>
      <c r="P259" t="n">
        <v>0</v>
      </c>
      <c r="Q259" t="n">
        <v>0</v>
      </c>
      <c r="R259" s="2" t="inlineStr"/>
    </row>
    <row r="260" ht="15" customHeight="1">
      <c r="A260" t="inlineStr">
        <is>
          <t>A 36557-2023</t>
        </is>
      </c>
      <c r="B260" s="1" t="n">
        <v>45153</v>
      </c>
      <c r="C260" s="1" t="n">
        <v>46086</v>
      </c>
      <c r="D260" t="inlineStr">
        <is>
          <t>ÖSTERGÖTLANDS LÄN</t>
        </is>
      </c>
      <c r="E260" t="inlineStr">
        <is>
          <t>LINKÖPING</t>
        </is>
      </c>
      <c r="F260" t="inlineStr">
        <is>
          <t>Övriga Aktiebolag</t>
        </is>
      </c>
      <c r="G260" t="n">
        <v>3.1</v>
      </c>
      <c r="H260" t="n">
        <v>0</v>
      </c>
      <c r="I260" t="n">
        <v>0</v>
      </c>
      <c r="J260" t="n">
        <v>0</v>
      </c>
      <c r="K260" t="n">
        <v>0</v>
      </c>
      <c r="L260" t="n">
        <v>0</v>
      </c>
      <c r="M260" t="n">
        <v>0</v>
      </c>
      <c r="N260" t="n">
        <v>0</v>
      </c>
      <c r="O260" t="n">
        <v>0</v>
      </c>
      <c r="P260" t="n">
        <v>0</v>
      </c>
      <c r="Q260" t="n">
        <v>0</v>
      </c>
      <c r="R260" s="2" t="inlineStr"/>
    </row>
    <row r="261" ht="15" customHeight="1">
      <c r="A261" t="inlineStr">
        <is>
          <t>A 11033-2026</t>
        </is>
      </c>
      <c r="B261" s="1" t="n">
        <v>46079.57361111111</v>
      </c>
      <c r="C261" s="1" t="n">
        <v>46086</v>
      </c>
      <c r="D261" t="inlineStr">
        <is>
          <t>ÖSTERGÖTLANDS LÄN</t>
        </is>
      </c>
      <c r="E261" t="inlineStr">
        <is>
          <t>LINKÖPING</t>
        </is>
      </c>
      <c r="G261" t="n">
        <v>7.9</v>
      </c>
      <c r="H261" t="n">
        <v>0</v>
      </c>
      <c r="I261" t="n">
        <v>0</v>
      </c>
      <c r="J261" t="n">
        <v>0</v>
      </c>
      <c r="K261" t="n">
        <v>0</v>
      </c>
      <c r="L261" t="n">
        <v>0</v>
      </c>
      <c r="M261" t="n">
        <v>0</v>
      </c>
      <c r="N261" t="n">
        <v>0</v>
      </c>
      <c r="O261" t="n">
        <v>0</v>
      </c>
      <c r="P261" t="n">
        <v>0</v>
      </c>
      <c r="Q261" t="n">
        <v>0</v>
      </c>
      <c r="R261" s="2" t="inlineStr"/>
    </row>
    <row r="262" ht="15" customHeight="1">
      <c r="A262" t="inlineStr">
        <is>
          <t>A 25568-2024</t>
        </is>
      </c>
      <c r="B262" s="1" t="n">
        <v>45463.58699074074</v>
      </c>
      <c r="C262" s="1" t="n">
        <v>46086</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22833-2023</t>
        </is>
      </c>
      <c r="B263" s="1" t="n">
        <v>45071</v>
      </c>
      <c r="C263" s="1" t="n">
        <v>46086</v>
      </c>
      <c r="D263" t="inlineStr">
        <is>
          <t>ÖSTERGÖTLANDS LÄN</t>
        </is>
      </c>
      <c r="E263" t="inlineStr">
        <is>
          <t>LINKÖPING</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2997-2025</t>
        </is>
      </c>
      <c r="B264" s="1" t="n">
        <v>45678.54631944445</v>
      </c>
      <c r="C264" s="1" t="n">
        <v>46086</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27950-2025</t>
        </is>
      </c>
      <c r="B265" s="1" t="n">
        <v>45817.52960648148</v>
      </c>
      <c r="C265" s="1" t="n">
        <v>46086</v>
      </c>
      <c r="D265" t="inlineStr">
        <is>
          <t>ÖSTERGÖTLANDS LÄN</t>
        </is>
      </c>
      <c r="E265" t="inlineStr">
        <is>
          <t>LINKÖPING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41345-2021</t>
        </is>
      </c>
      <c r="B266" s="1" t="n">
        <v>44424.61851851852</v>
      </c>
      <c r="C266" s="1" t="n">
        <v>46086</v>
      </c>
      <c r="D266" t="inlineStr">
        <is>
          <t>ÖSTERGÖTLANDS LÄN</t>
        </is>
      </c>
      <c r="E266" t="inlineStr">
        <is>
          <t>LINKÖPING</t>
        </is>
      </c>
      <c r="F266" t="inlineStr">
        <is>
          <t>Sveaskog</t>
        </is>
      </c>
      <c r="G266" t="n">
        <v>6.3</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46086</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10756-2026</t>
        </is>
      </c>
      <c r="B268" s="1" t="n">
        <v>46078.55412037037</v>
      </c>
      <c r="C268" s="1" t="n">
        <v>46086</v>
      </c>
      <c r="D268" t="inlineStr">
        <is>
          <t>ÖSTERGÖTLANDS LÄN</t>
        </is>
      </c>
      <c r="E268" t="inlineStr">
        <is>
          <t>LINKÖPING</t>
        </is>
      </c>
      <c r="F268" t="inlineStr">
        <is>
          <t>Övriga Aktiebolag</t>
        </is>
      </c>
      <c r="G268" t="n">
        <v>1.2</v>
      </c>
      <c r="H268" t="n">
        <v>0</v>
      </c>
      <c r="I268" t="n">
        <v>0</v>
      </c>
      <c r="J268" t="n">
        <v>0</v>
      </c>
      <c r="K268" t="n">
        <v>0</v>
      </c>
      <c r="L268" t="n">
        <v>0</v>
      </c>
      <c r="M268" t="n">
        <v>0</v>
      </c>
      <c r="N268" t="n">
        <v>0</v>
      </c>
      <c r="O268" t="n">
        <v>0</v>
      </c>
      <c r="P268" t="n">
        <v>0</v>
      </c>
      <c r="Q268" t="n">
        <v>0</v>
      </c>
      <c r="R268" s="2" t="inlineStr"/>
    </row>
    <row r="269" ht="15" customHeight="1">
      <c r="A269" t="inlineStr">
        <is>
          <t>A 27797-2025</t>
        </is>
      </c>
      <c r="B269" s="1" t="n">
        <v>45816.80521990741</v>
      </c>
      <c r="C269" s="1" t="n">
        <v>46086</v>
      </c>
      <c r="D269" t="inlineStr">
        <is>
          <t>ÖSTERGÖTLANDS LÄN</t>
        </is>
      </c>
      <c r="E269" t="inlineStr">
        <is>
          <t>LINKÖPING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27798-2025</t>
        </is>
      </c>
      <c r="B270" s="1" t="n">
        <v>45816.81532407407</v>
      </c>
      <c r="C270" s="1" t="n">
        <v>46086</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16213-2025</t>
        </is>
      </c>
      <c r="B271" s="1" t="n">
        <v>45750.62740740741</v>
      </c>
      <c r="C271" s="1" t="n">
        <v>46086</v>
      </c>
      <c r="D271" t="inlineStr">
        <is>
          <t>ÖSTERGÖTLANDS LÄN</t>
        </is>
      </c>
      <c r="E271" t="inlineStr">
        <is>
          <t>LINKÖPING</t>
        </is>
      </c>
      <c r="G271" t="n">
        <v>3.4</v>
      </c>
      <c r="H271" t="n">
        <v>0</v>
      </c>
      <c r="I271" t="n">
        <v>0</v>
      </c>
      <c r="J271" t="n">
        <v>0</v>
      </c>
      <c r="K271" t="n">
        <v>0</v>
      </c>
      <c r="L271" t="n">
        <v>0</v>
      </c>
      <c r="M271" t="n">
        <v>0</v>
      </c>
      <c r="N271" t="n">
        <v>0</v>
      </c>
      <c r="O271" t="n">
        <v>0</v>
      </c>
      <c r="P271" t="n">
        <v>0</v>
      </c>
      <c r="Q271" t="n">
        <v>0</v>
      </c>
      <c r="R271" s="2" t="inlineStr"/>
    </row>
    <row r="272" ht="15" customHeight="1">
      <c r="A272" t="inlineStr">
        <is>
          <t>A 3008-2023</t>
        </is>
      </c>
      <c r="B272" s="1" t="n">
        <v>44945.79784722222</v>
      </c>
      <c r="C272" s="1" t="n">
        <v>46086</v>
      </c>
      <c r="D272" t="inlineStr">
        <is>
          <t>ÖSTERGÖTLANDS LÄN</t>
        </is>
      </c>
      <c r="E272" t="inlineStr">
        <is>
          <t>LINKÖPING</t>
        </is>
      </c>
      <c r="G272" t="n">
        <v>19.3</v>
      </c>
      <c r="H272" t="n">
        <v>0</v>
      </c>
      <c r="I272" t="n">
        <v>0</v>
      </c>
      <c r="J272" t="n">
        <v>0</v>
      </c>
      <c r="K272" t="n">
        <v>0</v>
      </c>
      <c r="L272" t="n">
        <v>0</v>
      </c>
      <c r="M272" t="n">
        <v>0</v>
      </c>
      <c r="N272" t="n">
        <v>0</v>
      </c>
      <c r="O272" t="n">
        <v>0</v>
      </c>
      <c r="P272" t="n">
        <v>0</v>
      </c>
      <c r="Q272" t="n">
        <v>0</v>
      </c>
      <c r="R272" s="2" t="inlineStr"/>
    </row>
    <row r="273" ht="15" customHeight="1">
      <c r="A273" t="inlineStr">
        <is>
          <t>A 28200-2025</t>
        </is>
      </c>
      <c r="B273" s="1" t="n">
        <v>45818.4428125</v>
      </c>
      <c r="C273" s="1" t="n">
        <v>46086</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28204-2025</t>
        </is>
      </c>
      <c r="B274" s="1" t="n">
        <v>45818.4477662037</v>
      </c>
      <c r="C274" s="1" t="n">
        <v>46086</v>
      </c>
      <c r="D274" t="inlineStr">
        <is>
          <t>ÖSTERGÖTLANDS LÄN</t>
        </is>
      </c>
      <c r="E274" t="inlineStr">
        <is>
          <t>LINKÖPING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28416-2025</t>
        </is>
      </c>
      <c r="B275" s="1" t="n">
        <v>45819.35346064815</v>
      </c>
      <c r="C275" s="1" t="n">
        <v>46086</v>
      </c>
      <c r="D275" t="inlineStr">
        <is>
          <t>ÖSTERGÖTLANDS LÄN</t>
        </is>
      </c>
      <c r="E275" t="inlineStr">
        <is>
          <t>LINKÖPING</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46225-2021</t>
        </is>
      </c>
      <c r="B276" s="1" t="n">
        <v>44442</v>
      </c>
      <c r="C276" s="1" t="n">
        <v>46086</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28398-2025</t>
        </is>
      </c>
      <c r="B277" s="1" t="n">
        <v>45819.34208333334</v>
      </c>
      <c r="C277" s="1" t="n">
        <v>46086</v>
      </c>
      <c r="D277" t="inlineStr">
        <is>
          <t>ÖSTERGÖTLANDS LÄN</t>
        </is>
      </c>
      <c r="E277" t="inlineStr">
        <is>
          <t>LINKÖPING</t>
        </is>
      </c>
      <c r="F277" t="inlineStr">
        <is>
          <t>Sveaskog</t>
        </is>
      </c>
      <c r="G277" t="n">
        <v>7.9</v>
      </c>
      <c r="H277" t="n">
        <v>0</v>
      </c>
      <c r="I277" t="n">
        <v>0</v>
      </c>
      <c r="J277" t="n">
        <v>0</v>
      </c>
      <c r="K277" t="n">
        <v>0</v>
      </c>
      <c r="L277" t="n">
        <v>0</v>
      </c>
      <c r="M277" t="n">
        <v>0</v>
      </c>
      <c r="N277" t="n">
        <v>0</v>
      </c>
      <c r="O277" t="n">
        <v>0</v>
      </c>
      <c r="P277" t="n">
        <v>0</v>
      </c>
      <c r="Q277" t="n">
        <v>0</v>
      </c>
      <c r="R277" s="2" t="inlineStr"/>
    </row>
    <row r="278" ht="15" customHeight="1">
      <c r="A278" t="inlineStr">
        <is>
          <t>A 25776-2021</t>
        </is>
      </c>
      <c r="B278" s="1" t="n">
        <v>44343</v>
      </c>
      <c r="C278" s="1" t="n">
        <v>46086</v>
      </c>
      <c r="D278" t="inlineStr">
        <is>
          <t>ÖSTERGÖTLANDS LÄN</t>
        </is>
      </c>
      <c r="E278" t="inlineStr">
        <is>
          <t>LINKÖPING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28209-2025</t>
        </is>
      </c>
      <c r="B279" s="1" t="n">
        <v>45818.45112268518</v>
      </c>
      <c r="C279" s="1" t="n">
        <v>46086</v>
      </c>
      <c r="D279" t="inlineStr">
        <is>
          <t>ÖSTERGÖTLANDS LÄN</t>
        </is>
      </c>
      <c r="E279" t="inlineStr">
        <is>
          <t>LINKÖPING</t>
        </is>
      </c>
      <c r="G279" t="n">
        <v>4.2</v>
      </c>
      <c r="H279" t="n">
        <v>0</v>
      </c>
      <c r="I279" t="n">
        <v>0</v>
      </c>
      <c r="J279" t="n">
        <v>0</v>
      </c>
      <c r="K279" t="n">
        <v>0</v>
      </c>
      <c r="L279" t="n">
        <v>0</v>
      </c>
      <c r="M279" t="n">
        <v>0</v>
      </c>
      <c r="N279" t="n">
        <v>0</v>
      </c>
      <c r="O279" t="n">
        <v>0</v>
      </c>
      <c r="P279" t="n">
        <v>0</v>
      </c>
      <c r="Q279" t="n">
        <v>0</v>
      </c>
      <c r="R279" s="2" t="inlineStr"/>
    </row>
    <row r="280" ht="15" customHeight="1">
      <c r="A280" t="inlineStr">
        <is>
          <t>A 39438-2025</t>
        </is>
      </c>
      <c r="B280" s="1" t="n">
        <v>45889.68641203704</v>
      </c>
      <c r="C280" s="1" t="n">
        <v>46086</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27264-2025</t>
        </is>
      </c>
      <c r="B281" s="1" t="n">
        <v>45812.4794212963</v>
      </c>
      <c r="C281" s="1" t="n">
        <v>46086</v>
      </c>
      <c r="D281" t="inlineStr">
        <is>
          <t>ÖSTERGÖTLANDS LÄN</t>
        </is>
      </c>
      <c r="E281" t="inlineStr">
        <is>
          <t>LINKÖPING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51484-2023</t>
        </is>
      </c>
      <c r="B282" s="1" t="n">
        <v>45222</v>
      </c>
      <c r="C282" s="1" t="n">
        <v>46086</v>
      </c>
      <c r="D282" t="inlineStr">
        <is>
          <t>ÖSTERGÖTLANDS LÄN</t>
        </is>
      </c>
      <c r="E282" t="inlineStr">
        <is>
          <t>LINKÖPING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17898-2022</t>
        </is>
      </c>
      <c r="B283" s="1" t="n">
        <v>44683</v>
      </c>
      <c r="C283" s="1" t="n">
        <v>46086</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29027-2025</t>
        </is>
      </c>
      <c r="B284" s="1" t="n">
        <v>45821.4375462963</v>
      </c>
      <c r="C284" s="1" t="n">
        <v>46086</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39074-2025</t>
        </is>
      </c>
      <c r="B285" s="1" t="n">
        <v>45888</v>
      </c>
      <c r="C285" s="1" t="n">
        <v>46086</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72567-2021</t>
        </is>
      </c>
      <c r="B286" s="1" t="n">
        <v>44546.45023148148</v>
      </c>
      <c r="C286" s="1" t="n">
        <v>46086</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29411-2025</t>
        </is>
      </c>
      <c r="B287" s="1" t="n">
        <v>45824.6219212963</v>
      </c>
      <c r="C287" s="1" t="n">
        <v>46086</v>
      </c>
      <c r="D287" t="inlineStr">
        <is>
          <t>ÖSTERGÖTLANDS LÄN</t>
        </is>
      </c>
      <c r="E287" t="inlineStr">
        <is>
          <t>LINKÖPING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63487-2023</t>
        </is>
      </c>
      <c r="B288" s="1" t="n">
        <v>45274.66712962963</v>
      </c>
      <c r="C288" s="1" t="n">
        <v>46086</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35463-2023</t>
        </is>
      </c>
      <c r="B289" s="1" t="n">
        <v>45146</v>
      </c>
      <c r="C289" s="1" t="n">
        <v>46086</v>
      </c>
      <c r="D289" t="inlineStr">
        <is>
          <t>ÖSTERGÖTLANDS LÄN</t>
        </is>
      </c>
      <c r="E289" t="inlineStr">
        <is>
          <t>LINKÖPING</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29393-2025</t>
        </is>
      </c>
      <c r="B290" s="1" t="n">
        <v>45824.6057175926</v>
      </c>
      <c r="C290" s="1" t="n">
        <v>46086</v>
      </c>
      <c r="D290" t="inlineStr">
        <is>
          <t>ÖSTERGÖTLANDS LÄN</t>
        </is>
      </c>
      <c r="E290" t="inlineStr">
        <is>
          <t>LINKÖPING</t>
        </is>
      </c>
      <c r="F290" t="inlineStr">
        <is>
          <t>Sveaskog</t>
        </is>
      </c>
      <c r="G290" t="n">
        <v>24.6</v>
      </c>
      <c r="H290" t="n">
        <v>0</v>
      </c>
      <c r="I290" t="n">
        <v>0</v>
      </c>
      <c r="J290" t="n">
        <v>0</v>
      </c>
      <c r="K290" t="n">
        <v>0</v>
      </c>
      <c r="L290" t="n">
        <v>0</v>
      </c>
      <c r="M290" t="n">
        <v>0</v>
      </c>
      <c r="N290" t="n">
        <v>0</v>
      </c>
      <c r="O290" t="n">
        <v>0</v>
      </c>
      <c r="P290" t="n">
        <v>0</v>
      </c>
      <c r="Q290" t="n">
        <v>0</v>
      </c>
      <c r="R290" s="2" t="inlineStr"/>
    </row>
    <row r="291" ht="15" customHeight="1">
      <c r="A291" t="inlineStr">
        <is>
          <t>A 11057-2026</t>
        </is>
      </c>
      <c r="B291" s="1" t="n">
        <v>46079.59515046296</v>
      </c>
      <c r="C291" s="1" t="n">
        <v>46086</v>
      </c>
      <c r="D291" t="inlineStr">
        <is>
          <t>ÖSTERGÖTLANDS LÄN</t>
        </is>
      </c>
      <c r="E291" t="inlineStr">
        <is>
          <t>LINKÖPING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29599-2025</t>
        </is>
      </c>
      <c r="B292" s="1" t="n">
        <v>45825.41101851852</v>
      </c>
      <c r="C292" s="1" t="n">
        <v>46086</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55632-2022</t>
        </is>
      </c>
      <c r="B293" s="1" t="n">
        <v>44888</v>
      </c>
      <c r="C293" s="1" t="n">
        <v>46086</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63559-2023</t>
        </is>
      </c>
      <c r="B294" s="1" t="n">
        <v>45275.35924768518</v>
      </c>
      <c r="C294" s="1" t="n">
        <v>46086</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40169-2025</t>
        </is>
      </c>
      <c r="B295" s="1" t="n">
        <v>45894.62824074074</v>
      </c>
      <c r="C295" s="1" t="n">
        <v>46086</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58114-2021</t>
        </is>
      </c>
      <c r="B296" s="1" t="n">
        <v>44487</v>
      </c>
      <c r="C296" s="1" t="n">
        <v>46086</v>
      </c>
      <c r="D296" t="inlineStr">
        <is>
          <t>ÖSTERGÖTLANDS LÄN</t>
        </is>
      </c>
      <c r="E296" t="inlineStr">
        <is>
          <t>LINKÖPING</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30355-2025</t>
        </is>
      </c>
      <c r="B297" s="1" t="n">
        <v>45827</v>
      </c>
      <c r="C297" s="1" t="n">
        <v>46086</v>
      </c>
      <c r="D297" t="inlineStr">
        <is>
          <t>ÖSTERGÖTLANDS LÄN</t>
        </is>
      </c>
      <c r="E297" t="inlineStr">
        <is>
          <t>LINKÖPING</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30353-2025</t>
        </is>
      </c>
      <c r="B298" s="1" t="n">
        <v>45827</v>
      </c>
      <c r="C298" s="1" t="n">
        <v>46086</v>
      </c>
      <c r="D298" t="inlineStr">
        <is>
          <t>ÖSTERGÖTLANDS LÄN</t>
        </is>
      </c>
      <c r="E298" t="inlineStr">
        <is>
          <t>LINKÖPING</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55944-2024</t>
        </is>
      </c>
      <c r="B299" s="1" t="n">
        <v>45623.61640046296</v>
      </c>
      <c r="C299" s="1" t="n">
        <v>46086</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55947-2024</t>
        </is>
      </c>
      <c r="B300" s="1" t="n">
        <v>45623</v>
      </c>
      <c r="C300" s="1" t="n">
        <v>46086</v>
      </c>
      <c r="D300" t="inlineStr">
        <is>
          <t>ÖSTERGÖTLANDS LÄN</t>
        </is>
      </c>
      <c r="E300" t="inlineStr">
        <is>
          <t>LINKÖPING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3374-2023</t>
        </is>
      </c>
      <c r="B301" s="1" t="n">
        <v>44949</v>
      </c>
      <c r="C301" s="1" t="n">
        <v>46086</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24151-2024</t>
        </is>
      </c>
      <c r="B302" s="1" t="n">
        <v>45456.67717592593</v>
      </c>
      <c r="C302" s="1" t="n">
        <v>46086</v>
      </c>
      <c r="D302" t="inlineStr">
        <is>
          <t>ÖSTERGÖTLANDS LÄN</t>
        </is>
      </c>
      <c r="E302" t="inlineStr">
        <is>
          <t>LINKÖPING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14576-2023</t>
        </is>
      </c>
      <c r="B303" s="1" t="n">
        <v>45013</v>
      </c>
      <c r="C303" s="1" t="n">
        <v>46086</v>
      </c>
      <c r="D303" t="inlineStr">
        <is>
          <t>ÖSTERGÖTLANDS LÄN</t>
        </is>
      </c>
      <c r="E303" t="inlineStr">
        <is>
          <t>LINKÖPING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31581-2025</t>
        </is>
      </c>
      <c r="B304" s="1" t="n">
        <v>45833.6840162037</v>
      </c>
      <c r="C304" s="1" t="n">
        <v>46086</v>
      </c>
      <c r="D304" t="inlineStr">
        <is>
          <t>ÖSTERGÖTLANDS LÄN</t>
        </is>
      </c>
      <c r="E304" t="inlineStr">
        <is>
          <t>LINKÖPING</t>
        </is>
      </c>
      <c r="G304" t="n">
        <v>2.6</v>
      </c>
      <c r="H304" t="n">
        <v>0</v>
      </c>
      <c r="I304" t="n">
        <v>0</v>
      </c>
      <c r="J304" t="n">
        <v>0</v>
      </c>
      <c r="K304" t="n">
        <v>0</v>
      </c>
      <c r="L304" t="n">
        <v>0</v>
      </c>
      <c r="M304" t="n">
        <v>0</v>
      </c>
      <c r="N304" t="n">
        <v>0</v>
      </c>
      <c r="O304" t="n">
        <v>0</v>
      </c>
      <c r="P304" t="n">
        <v>0</v>
      </c>
      <c r="Q304" t="n">
        <v>0</v>
      </c>
      <c r="R304" s="2" t="inlineStr"/>
    </row>
    <row r="305" ht="15" customHeight="1">
      <c r="A305" t="inlineStr">
        <is>
          <t>A 31585-2025</t>
        </is>
      </c>
      <c r="B305" s="1" t="n">
        <v>45833.68815972222</v>
      </c>
      <c r="C305" s="1" t="n">
        <v>46086</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11036-2026</t>
        </is>
      </c>
      <c r="B306" s="1" t="n">
        <v>46079.57836805555</v>
      </c>
      <c r="C306" s="1" t="n">
        <v>46086</v>
      </c>
      <c r="D306" t="inlineStr">
        <is>
          <t>ÖSTERGÖTLANDS LÄN</t>
        </is>
      </c>
      <c r="E306" t="inlineStr">
        <is>
          <t>LINKÖPING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41511-2025</t>
        </is>
      </c>
      <c r="B307" s="1" t="n">
        <v>45901.53839120371</v>
      </c>
      <c r="C307" s="1" t="n">
        <v>46086</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74160-2021</t>
        </is>
      </c>
      <c r="B308" s="1" t="n">
        <v>44558</v>
      </c>
      <c r="C308" s="1" t="n">
        <v>46086</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3045-2026</t>
        </is>
      </c>
      <c r="B309" s="1" t="n">
        <v>46038.74047453704</v>
      </c>
      <c r="C309" s="1" t="n">
        <v>46086</v>
      </c>
      <c r="D309" t="inlineStr">
        <is>
          <t>ÖSTERGÖTLANDS LÄN</t>
        </is>
      </c>
      <c r="E309" t="inlineStr">
        <is>
          <t>LINKÖPING</t>
        </is>
      </c>
      <c r="G309" t="n">
        <v>2</v>
      </c>
      <c r="H309" t="n">
        <v>0</v>
      </c>
      <c r="I309" t="n">
        <v>0</v>
      </c>
      <c r="J309" t="n">
        <v>0</v>
      </c>
      <c r="K309" t="n">
        <v>0</v>
      </c>
      <c r="L309" t="n">
        <v>0</v>
      </c>
      <c r="M309" t="n">
        <v>0</v>
      </c>
      <c r="N309" t="n">
        <v>0</v>
      </c>
      <c r="O309" t="n">
        <v>0</v>
      </c>
      <c r="P309" t="n">
        <v>0</v>
      </c>
      <c r="Q309" t="n">
        <v>0</v>
      </c>
      <c r="R309" s="2" t="inlineStr"/>
    </row>
    <row r="310" ht="15" customHeight="1">
      <c r="A310" t="inlineStr">
        <is>
          <t>A 41706-2025</t>
        </is>
      </c>
      <c r="B310" s="1" t="n">
        <v>45902.42209490741</v>
      </c>
      <c r="C310" s="1" t="n">
        <v>46086</v>
      </c>
      <c r="D310" t="inlineStr">
        <is>
          <t>ÖSTERGÖTLANDS LÄN</t>
        </is>
      </c>
      <c r="E310" t="inlineStr">
        <is>
          <t>LINKÖPING</t>
        </is>
      </c>
      <c r="G310" t="n">
        <v>1.9</v>
      </c>
      <c r="H310" t="n">
        <v>0</v>
      </c>
      <c r="I310" t="n">
        <v>0</v>
      </c>
      <c r="J310" t="n">
        <v>0</v>
      </c>
      <c r="K310" t="n">
        <v>0</v>
      </c>
      <c r="L310" t="n">
        <v>0</v>
      </c>
      <c r="M310" t="n">
        <v>0</v>
      </c>
      <c r="N310" t="n">
        <v>0</v>
      </c>
      <c r="O310" t="n">
        <v>0</v>
      </c>
      <c r="P310" t="n">
        <v>0</v>
      </c>
      <c r="Q310" t="n">
        <v>0</v>
      </c>
      <c r="R310" s="2" t="inlineStr"/>
    </row>
    <row r="311" ht="15" customHeight="1">
      <c r="A311" t="inlineStr">
        <is>
          <t>A 11169-2026</t>
        </is>
      </c>
      <c r="B311" s="1" t="n">
        <v>46080.37020833333</v>
      </c>
      <c r="C311" s="1" t="n">
        <v>46086</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46086</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27766-2022</t>
        </is>
      </c>
      <c r="B313" s="1" t="n">
        <v>44743.53112268518</v>
      </c>
      <c r="C313" s="1" t="n">
        <v>46086</v>
      </c>
      <c r="D313" t="inlineStr">
        <is>
          <t>ÖSTERGÖTLANDS LÄN</t>
        </is>
      </c>
      <c r="E313" t="inlineStr">
        <is>
          <t>LINKÖPING</t>
        </is>
      </c>
      <c r="G313" t="n">
        <v>2</v>
      </c>
      <c r="H313" t="n">
        <v>0</v>
      </c>
      <c r="I313" t="n">
        <v>0</v>
      </c>
      <c r="J313" t="n">
        <v>0</v>
      </c>
      <c r="K313" t="n">
        <v>0</v>
      </c>
      <c r="L313" t="n">
        <v>0</v>
      </c>
      <c r="M313" t="n">
        <v>0</v>
      </c>
      <c r="N313" t="n">
        <v>0</v>
      </c>
      <c r="O313" t="n">
        <v>0</v>
      </c>
      <c r="P313" t="n">
        <v>0</v>
      </c>
      <c r="Q313" t="n">
        <v>0</v>
      </c>
      <c r="R313" s="2" t="inlineStr"/>
    </row>
    <row r="314" ht="15" customHeight="1">
      <c r="A314" t="inlineStr">
        <is>
          <t>A 29293-2025</t>
        </is>
      </c>
      <c r="B314" s="1" t="n">
        <v>45824</v>
      </c>
      <c r="C314" s="1" t="n">
        <v>46086</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53641-2023</t>
        </is>
      </c>
      <c r="B315" s="1" t="n">
        <v>45230</v>
      </c>
      <c r="C315" s="1" t="n">
        <v>46086</v>
      </c>
      <c r="D315" t="inlineStr">
        <is>
          <t>ÖSTERGÖTLANDS LÄN</t>
        </is>
      </c>
      <c r="E315" t="inlineStr">
        <is>
          <t>LINKÖPING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42624-2025</t>
        </is>
      </c>
      <c r="B316" s="1" t="n">
        <v>45905</v>
      </c>
      <c r="C316" s="1" t="n">
        <v>46086</v>
      </c>
      <c r="D316" t="inlineStr">
        <is>
          <t>ÖSTERGÖTLANDS LÄN</t>
        </is>
      </c>
      <c r="E316" t="inlineStr">
        <is>
          <t>LINKÖPING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42626-2025</t>
        </is>
      </c>
      <c r="B317" s="1" t="n">
        <v>45905</v>
      </c>
      <c r="C317" s="1" t="n">
        <v>46086</v>
      </c>
      <c r="D317" t="inlineStr">
        <is>
          <t>ÖSTERGÖTLANDS LÄN</t>
        </is>
      </c>
      <c r="E317" t="inlineStr">
        <is>
          <t>LINKÖPING</t>
        </is>
      </c>
      <c r="G317" t="n">
        <v>3.6</v>
      </c>
      <c r="H317" t="n">
        <v>0</v>
      </c>
      <c r="I317" t="n">
        <v>0</v>
      </c>
      <c r="J317" t="n">
        <v>0</v>
      </c>
      <c r="K317" t="n">
        <v>0</v>
      </c>
      <c r="L317" t="n">
        <v>0</v>
      </c>
      <c r="M317" t="n">
        <v>0</v>
      </c>
      <c r="N317" t="n">
        <v>0</v>
      </c>
      <c r="O317" t="n">
        <v>0</v>
      </c>
      <c r="P317" t="n">
        <v>0</v>
      </c>
      <c r="Q317" t="n">
        <v>0</v>
      </c>
      <c r="R317" s="2" t="inlineStr"/>
    </row>
    <row r="318" ht="15" customHeight="1">
      <c r="A318" t="inlineStr">
        <is>
          <t>A 33000-2023</t>
        </is>
      </c>
      <c r="B318" s="1" t="n">
        <v>45125</v>
      </c>
      <c r="C318" s="1" t="n">
        <v>46086</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52892-2024</t>
        </is>
      </c>
      <c r="B319" s="1" t="n">
        <v>45610</v>
      </c>
      <c r="C319" s="1" t="n">
        <v>46086</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42623-2025</t>
        </is>
      </c>
      <c r="B320" s="1" t="n">
        <v>45905</v>
      </c>
      <c r="C320" s="1" t="n">
        <v>46086</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32723-2025</t>
        </is>
      </c>
      <c r="B321" s="1" t="n">
        <v>45838</v>
      </c>
      <c r="C321" s="1" t="n">
        <v>46086</v>
      </c>
      <c r="D321" t="inlineStr">
        <is>
          <t>ÖSTERGÖTLANDS LÄN</t>
        </is>
      </c>
      <c r="E321" t="inlineStr">
        <is>
          <t>LINKÖPING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38886-2024</t>
        </is>
      </c>
      <c r="B322" s="1" t="n">
        <v>45547.66443287037</v>
      </c>
      <c r="C322" s="1" t="n">
        <v>46086</v>
      </c>
      <c r="D322" t="inlineStr">
        <is>
          <t>ÖSTERGÖTLANDS LÄN</t>
        </is>
      </c>
      <c r="E322" t="inlineStr">
        <is>
          <t>LINKÖPING</t>
        </is>
      </c>
      <c r="G322" t="n">
        <v>5.3</v>
      </c>
      <c r="H322" t="n">
        <v>0</v>
      </c>
      <c r="I322" t="n">
        <v>0</v>
      </c>
      <c r="J322" t="n">
        <v>0</v>
      </c>
      <c r="K322" t="n">
        <v>0</v>
      </c>
      <c r="L322" t="n">
        <v>0</v>
      </c>
      <c r="M322" t="n">
        <v>0</v>
      </c>
      <c r="N322" t="n">
        <v>0</v>
      </c>
      <c r="O322" t="n">
        <v>0</v>
      </c>
      <c r="P322" t="n">
        <v>0</v>
      </c>
      <c r="Q322" t="n">
        <v>0</v>
      </c>
      <c r="R322" s="2" t="inlineStr"/>
    </row>
    <row r="323" ht="15" customHeight="1">
      <c r="A323" t="inlineStr">
        <is>
          <t>A 3043-2026</t>
        </is>
      </c>
      <c r="B323" s="1" t="n">
        <v>46038.73675925926</v>
      </c>
      <c r="C323" s="1" t="n">
        <v>46086</v>
      </c>
      <c r="D323" t="inlineStr">
        <is>
          <t>ÖSTERGÖTLANDS LÄN</t>
        </is>
      </c>
      <c r="E323" t="inlineStr">
        <is>
          <t>LINKÖPING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30521-2024</t>
        </is>
      </c>
      <c r="B324" s="1" t="n">
        <v>45492</v>
      </c>
      <c r="C324" s="1" t="n">
        <v>46086</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51191-2022</t>
        </is>
      </c>
      <c r="B325" s="1" t="n">
        <v>44865</v>
      </c>
      <c r="C325" s="1" t="n">
        <v>46086</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3044-2026</t>
        </is>
      </c>
      <c r="B326" s="1" t="n">
        <v>46038.73855324074</v>
      </c>
      <c r="C326" s="1" t="n">
        <v>46086</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12289-2025</t>
        </is>
      </c>
      <c r="B327" s="1" t="n">
        <v>45729</v>
      </c>
      <c r="C327" s="1" t="n">
        <v>46086</v>
      </c>
      <c r="D327" t="inlineStr">
        <is>
          <t>ÖSTERGÖTLANDS LÄN</t>
        </is>
      </c>
      <c r="E327" t="inlineStr">
        <is>
          <t>LINKÖPING</t>
        </is>
      </c>
      <c r="F327" t="inlineStr">
        <is>
          <t>Övriga statliga verk och myndigheter</t>
        </is>
      </c>
      <c r="G327" t="n">
        <v>6.5</v>
      </c>
      <c r="H327" t="n">
        <v>0</v>
      </c>
      <c r="I327" t="n">
        <v>0</v>
      </c>
      <c r="J327" t="n">
        <v>0</v>
      </c>
      <c r="K327" t="n">
        <v>0</v>
      </c>
      <c r="L327" t="n">
        <v>0</v>
      </c>
      <c r="M327" t="n">
        <v>0</v>
      </c>
      <c r="N327" t="n">
        <v>0</v>
      </c>
      <c r="O327" t="n">
        <v>0</v>
      </c>
      <c r="P327" t="n">
        <v>0</v>
      </c>
      <c r="Q327" t="n">
        <v>0</v>
      </c>
      <c r="R327" s="2" t="inlineStr"/>
    </row>
    <row r="328" ht="15" customHeight="1">
      <c r="A328" t="inlineStr">
        <is>
          <t>A 9434-2024</t>
        </is>
      </c>
      <c r="B328" s="1" t="n">
        <v>45359</v>
      </c>
      <c r="C328" s="1" t="n">
        <v>46086</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42054-2022</t>
        </is>
      </c>
      <c r="B329" s="1" t="n">
        <v>44830</v>
      </c>
      <c r="C329" s="1" t="n">
        <v>46086</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50182-2023</t>
        </is>
      </c>
      <c r="B330" s="1" t="n">
        <v>45208</v>
      </c>
      <c r="C330" s="1" t="n">
        <v>46086</v>
      </c>
      <c r="D330" t="inlineStr">
        <is>
          <t>ÖSTERGÖTLANDS LÄN</t>
        </is>
      </c>
      <c r="E330" t="inlineStr">
        <is>
          <t>LINKÖPING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10764-2026</t>
        </is>
      </c>
      <c r="B331" s="1" t="n">
        <v>46078</v>
      </c>
      <c r="C331" s="1" t="n">
        <v>46086</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35781-2023</t>
        </is>
      </c>
      <c r="B332" s="1" t="n">
        <v>45147</v>
      </c>
      <c r="C332" s="1" t="n">
        <v>46086</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33947-2025</t>
        </is>
      </c>
      <c r="B333" s="1" t="n">
        <v>45842.65444444444</v>
      </c>
      <c r="C333" s="1" t="n">
        <v>46086</v>
      </c>
      <c r="D333" t="inlineStr">
        <is>
          <t>ÖSTERGÖTLANDS LÄN</t>
        </is>
      </c>
      <c r="E333" t="inlineStr">
        <is>
          <t>LINKÖPING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53529-2024</t>
        </is>
      </c>
      <c r="B334" s="1" t="n">
        <v>45614</v>
      </c>
      <c r="C334" s="1" t="n">
        <v>46086</v>
      </c>
      <c r="D334" t="inlineStr">
        <is>
          <t>ÖSTERGÖTLANDS LÄN</t>
        </is>
      </c>
      <c r="E334" t="inlineStr">
        <is>
          <t>LINKÖPING</t>
        </is>
      </c>
      <c r="G334" t="n">
        <v>6.7</v>
      </c>
      <c r="H334" t="n">
        <v>0</v>
      </c>
      <c r="I334" t="n">
        <v>0</v>
      </c>
      <c r="J334" t="n">
        <v>0</v>
      </c>
      <c r="K334" t="n">
        <v>0</v>
      </c>
      <c r="L334" t="n">
        <v>0</v>
      </c>
      <c r="M334" t="n">
        <v>0</v>
      </c>
      <c r="N334" t="n">
        <v>0</v>
      </c>
      <c r="O334" t="n">
        <v>0</v>
      </c>
      <c r="P334" t="n">
        <v>0</v>
      </c>
      <c r="Q334" t="n">
        <v>0</v>
      </c>
      <c r="R334" s="2" t="inlineStr"/>
    </row>
    <row r="335" ht="15" customHeight="1">
      <c r="A335" t="inlineStr">
        <is>
          <t>A 62012-2024</t>
        </is>
      </c>
      <c r="B335" s="1" t="n">
        <v>45655.79679398148</v>
      </c>
      <c r="C335" s="1" t="n">
        <v>46086</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6387-2022</t>
        </is>
      </c>
      <c r="B336" s="1" t="n">
        <v>44600</v>
      </c>
      <c r="C336" s="1" t="n">
        <v>46086</v>
      </c>
      <c r="D336" t="inlineStr">
        <is>
          <t>ÖSTERGÖTLANDS LÄN</t>
        </is>
      </c>
      <c r="E336" t="inlineStr">
        <is>
          <t>LINKÖPING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48707-2023</t>
        </is>
      </c>
      <c r="B337" s="1" t="n">
        <v>45202</v>
      </c>
      <c r="C337" s="1" t="n">
        <v>46086</v>
      </c>
      <c r="D337" t="inlineStr">
        <is>
          <t>ÖSTERGÖTLANDS LÄN</t>
        </is>
      </c>
      <c r="E337" t="inlineStr">
        <is>
          <t>LINKÖPING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44170-2025</t>
        </is>
      </c>
      <c r="B338" s="1" t="n">
        <v>45915.59864583334</v>
      </c>
      <c r="C338" s="1" t="n">
        <v>46086</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20469-2025</t>
        </is>
      </c>
      <c r="B339" s="1" t="n">
        <v>45775</v>
      </c>
      <c r="C339" s="1" t="n">
        <v>46086</v>
      </c>
      <c r="D339" t="inlineStr">
        <is>
          <t>ÖSTERGÖTLANDS LÄN</t>
        </is>
      </c>
      <c r="E339" t="inlineStr">
        <is>
          <t>LINKÖPING</t>
        </is>
      </c>
      <c r="F339" t="inlineStr">
        <is>
          <t>Kyrkan</t>
        </is>
      </c>
      <c r="G339" t="n">
        <v>6.1</v>
      </c>
      <c r="H339" t="n">
        <v>0</v>
      </c>
      <c r="I339" t="n">
        <v>0</v>
      </c>
      <c r="J339" t="n">
        <v>0</v>
      </c>
      <c r="K339" t="n">
        <v>0</v>
      </c>
      <c r="L339" t="n">
        <v>0</v>
      </c>
      <c r="M339" t="n">
        <v>0</v>
      </c>
      <c r="N339" t="n">
        <v>0</v>
      </c>
      <c r="O339" t="n">
        <v>0</v>
      </c>
      <c r="P339" t="n">
        <v>0</v>
      </c>
      <c r="Q339" t="n">
        <v>0</v>
      </c>
      <c r="R339" s="2" t="inlineStr"/>
    </row>
    <row r="340" ht="15" customHeight="1">
      <c r="A340" t="inlineStr">
        <is>
          <t>A 43755-2025</t>
        </is>
      </c>
      <c r="B340" s="1" t="n">
        <v>45912.47329861111</v>
      </c>
      <c r="C340" s="1" t="n">
        <v>46086</v>
      </c>
      <c r="D340" t="inlineStr">
        <is>
          <t>ÖSTERGÖTLANDS LÄN</t>
        </is>
      </c>
      <c r="E340" t="inlineStr">
        <is>
          <t>LINKÖPING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43758-2025</t>
        </is>
      </c>
      <c r="B341" s="1" t="n">
        <v>45912.47711805555</v>
      </c>
      <c r="C341" s="1" t="n">
        <v>46086</v>
      </c>
      <c r="D341" t="inlineStr">
        <is>
          <t>ÖSTERGÖTLANDS LÄN</t>
        </is>
      </c>
      <c r="E341" t="inlineStr">
        <is>
          <t>LINKÖPING</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46086</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44759-2025</t>
        </is>
      </c>
      <c r="B343" s="1" t="n">
        <v>45917.7152662037</v>
      </c>
      <c r="C343" s="1" t="n">
        <v>46086</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3046-2026</t>
        </is>
      </c>
      <c r="B344" s="1" t="n">
        <v>46038.74182870371</v>
      </c>
      <c r="C344" s="1" t="n">
        <v>46086</v>
      </c>
      <c r="D344" t="inlineStr">
        <is>
          <t>ÖSTERGÖTLANDS LÄN</t>
        </is>
      </c>
      <c r="E344" t="inlineStr">
        <is>
          <t>LINKÖPING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11888-2026</t>
        </is>
      </c>
      <c r="B345" s="1" t="n">
        <v>46085.51813657407</v>
      </c>
      <c r="C345" s="1" t="n">
        <v>46086</v>
      </c>
      <c r="D345" t="inlineStr">
        <is>
          <t>ÖSTERGÖTLANDS LÄN</t>
        </is>
      </c>
      <c r="E345" t="inlineStr">
        <is>
          <t>LINKÖPING</t>
        </is>
      </c>
      <c r="G345" t="n">
        <v>3.6</v>
      </c>
      <c r="H345" t="n">
        <v>0</v>
      </c>
      <c r="I345" t="n">
        <v>0</v>
      </c>
      <c r="J345" t="n">
        <v>0</v>
      </c>
      <c r="K345" t="n">
        <v>0</v>
      </c>
      <c r="L345" t="n">
        <v>0</v>
      </c>
      <c r="M345" t="n">
        <v>0</v>
      </c>
      <c r="N345" t="n">
        <v>0</v>
      </c>
      <c r="O345" t="n">
        <v>0</v>
      </c>
      <c r="P345" t="n">
        <v>0</v>
      </c>
      <c r="Q345" t="n">
        <v>0</v>
      </c>
      <c r="R345" s="2" t="inlineStr"/>
    </row>
    <row r="346" ht="15" customHeight="1">
      <c r="A346" t="inlineStr">
        <is>
          <t>A 44764-2025</t>
        </is>
      </c>
      <c r="B346" s="1" t="n">
        <v>45917.72821759259</v>
      </c>
      <c r="C346" s="1" t="n">
        <v>46086</v>
      </c>
      <c r="D346" t="inlineStr">
        <is>
          <t>ÖSTERGÖTLANDS LÄN</t>
        </is>
      </c>
      <c r="E346" t="inlineStr">
        <is>
          <t>LINKÖPING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33800-2023</t>
        </is>
      </c>
      <c r="B347" s="1" t="n">
        <v>45121</v>
      </c>
      <c r="C347" s="1" t="n">
        <v>46086</v>
      </c>
      <c r="D347" t="inlineStr">
        <is>
          <t>ÖSTERGÖTLANDS LÄN</t>
        </is>
      </c>
      <c r="E347" t="inlineStr">
        <is>
          <t>LINKÖPING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12089-2025</t>
        </is>
      </c>
      <c r="B348" s="1" t="n">
        <v>45729</v>
      </c>
      <c r="C348" s="1" t="n">
        <v>46086</v>
      </c>
      <c r="D348" t="inlineStr">
        <is>
          <t>ÖSTERGÖTLANDS LÄN</t>
        </is>
      </c>
      <c r="E348" t="inlineStr">
        <is>
          <t>LINKÖPING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26007-2025</t>
        </is>
      </c>
      <c r="B349" s="1" t="n">
        <v>45804.67081018518</v>
      </c>
      <c r="C349" s="1" t="n">
        <v>46086</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35174-2025</t>
        </is>
      </c>
      <c r="B350" s="1" t="n">
        <v>45852.90648148148</v>
      </c>
      <c r="C350" s="1" t="n">
        <v>46086</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15658-2023</t>
        </is>
      </c>
      <c r="B351" s="1" t="n">
        <v>45021.41194444444</v>
      </c>
      <c r="C351" s="1" t="n">
        <v>46086</v>
      </c>
      <c r="D351" t="inlineStr">
        <is>
          <t>ÖSTERGÖTLANDS LÄN</t>
        </is>
      </c>
      <c r="E351" t="inlineStr">
        <is>
          <t>LINKÖPING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45112-2025</t>
        </is>
      </c>
      <c r="B352" s="1" t="n">
        <v>45919</v>
      </c>
      <c r="C352" s="1" t="n">
        <v>46086</v>
      </c>
      <c r="D352" t="inlineStr">
        <is>
          <t>ÖSTERGÖTLANDS LÄN</t>
        </is>
      </c>
      <c r="E352" t="inlineStr">
        <is>
          <t>LINKÖPING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47991-2023</t>
        </is>
      </c>
      <c r="B353" s="1" t="n">
        <v>45204.62655092592</v>
      </c>
      <c r="C353" s="1" t="n">
        <v>46086</v>
      </c>
      <c r="D353" t="inlineStr">
        <is>
          <t>ÖSTERGÖTLANDS LÄN</t>
        </is>
      </c>
      <c r="E353" t="inlineStr">
        <is>
          <t>LINKÖPING</t>
        </is>
      </c>
      <c r="F353" t="inlineStr">
        <is>
          <t>Allmännings- och besparingsskogar</t>
        </is>
      </c>
      <c r="G353" t="n">
        <v>7.3</v>
      </c>
      <c r="H353" t="n">
        <v>0</v>
      </c>
      <c r="I353" t="n">
        <v>0</v>
      </c>
      <c r="J353" t="n">
        <v>0</v>
      </c>
      <c r="K353" t="n">
        <v>0</v>
      </c>
      <c r="L353" t="n">
        <v>0</v>
      </c>
      <c r="M353" t="n">
        <v>0</v>
      </c>
      <c r="N353" t="n">
        <v>0</v>
      </c>
      <c r="O353" t="n">
        <v>0</v>
      </c>
      <c r="P353" t="n">
        <v>0</v>
      </c>
      <c r="Q353" t="n">
        <v>0</v>
      </c>
      <c r="R353" s="2" t="inlineStr"/>
    </row>
    <row r="354" ht="15" customHeight="1">
      <c r="A354" t="inlineStr">
        <is>
          <t>A 35179-2025</t>
        </is>
      </c>
      <c r="B354" s="1" t="n">
        <v>45852.93737268518</v>
      </c>
      <c r="C354" s="1" t="n">
        <v>46086</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35180-2025</t>
        </is>
      </c>
      <c r="B355" s="1" t="n">
        <v>45852.9413425926</v>
      </c>
      <c r="C355" s="1" t="n">
        <v>46086</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35178-2025</t>
        </is>
      </c>
      <c r="B356" s="1" t="n">
        <v>45852.91939814815</v>
      </c>
      <c r="C356" s="1" t="n">
        <v>46086</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45634-2025</t>
        </is>
      </c>
      <c r="B357" s="1" t="n">
        <v>45922.85089120371</v>
      </c>
      <c r="C357" s="1" t="n">
        <v>46086</v>
      </c>
      <c r="D357" t="inlineStr">
        <is>
          <t>ÖSTERGÖTLANDS LÄN</t>
        </is>
      </c>
      <c r="E357" t="inlineStr">
        <is>
          <t>LINKÖPING</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51583-2024</t>
        </is>
      </c>
      <c r="B358" s="1" t="n">
        <v>45604.6397337963</v>
      </c>
      <c r="C358" s="1" t="n">
        <v>46086</v>
      </c>
      <c r="D358" t="inlineStr">
        <is>
          <t>ÖSTERGÖTLANDS LÄN</t>
        </is>
      </c>
      <c r="E358" t="inlineStr">
        <is>
          <t>LINKÖPING</t>
        </is>
      </c>
      <c r="F358" t="inlineStr">
        <is>
          <t>Övriga Aktiebolag</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64694-2023</t>
        </is>
      </c>
      <c r="B359" s="1" t="n">
        <v>45281</v>
      </c>
      <c r="C359" s="1" t="n">
        <v>46086</v>
      </c>
      <c r="D359" t="inlineStr">
        <is>
          <t>ÖSTERGÖTLANDS LÄN</t>
        </is>
      </c>
      <c r="E359" t="inlineStr">
        <is>
          <t>LINKÖPING</t>
        </is>
      </c>
      <c r="F359" t="inlineStr">
        <is>
          <t>Övriga statliga verk och myndigheter</t>
        </is>
      </c>
      <c r="G359" t="n">
        <v>4.9</v>
      </c>
      <c r="H359" t="n">
        <v>0</v>
      </c>
      <c r="I359" t="n">
        <v>0</v>
      </c>
      <c r="J359" t="n">
        <v>0</v>
      </c>
      <c r="K359" t="n">
        <v>0</v>
      </c>
      <c r="L359" t="n">
        <v>0</v>
      </c>
      <c r="M359" t="n">
        <v>0</v>
      </c>
      <c r="N359" t="n">
        <v>0</v>
      </c>
      <c r="O359" t="n">
        <v>0</v>
      </c>
      <c r="P359" t="n">
        <v>0</v>
      </c>
      <c r="Q359" t="n">
        <v>0</v>
      </c>
      <c r="R359" s="2" t="inlineStr"/>
    </row>
    <row r="360" ht="15" customHeight="1">
      <c r="A360" t="inlineStr">
        <is>
          <t>A 11891-2026</t>
        </is>
      </c>
      <c r="B360" s="1" t="n">
        <v>46085.5197800926</v>
      </c>
      <c r="C360" s="1" t="n">
        <v>46086</v>
      </c>
      <c r="D360" t="inlineStr">
        <is>
          <t>ÖSTERGÖTLANDS LÄN</t>
        </is>
      </c>
      <c r="E360" t="inlineStr">
        <is>
          <t>LINKÖPING</t>
        </is>
      </c>
      <c r="G360" t="n">
        <v>2.8</v>
      </c>
      <c r="H360" t="n">
        <v>0</v>
      </c>
      <c r="I360" t="n">
        <v>0</v>
      </c>
      <c r="J360" t="n">
        <v>0</v>
      </c>
      <c r="K360" t="n">
        <v>0</v>
      </c>
      <c r="L360" t="n">
        <v>0</v>
      </c>
      <c r="M360" t="n">
        <v>0</v>
      </c>
      <c r="N360" t="n">
        <v>0</v>
      </c>
      <c r="O360" t="n">
        <v>0</v>
      </c>
      <c r="P360" t="n">
        <v>0</v>
      </c>
      <c r="Q360" t="n">
        <v>0</v>
      </c>
      <c r="R360" s="2" t="inlineStr"/>
    </row>
    <row r="361" ht="15" customHeight="1">
      <c r="A361" t="inlineStr">
        <is>
          <t>A 32602-2022</t>
        </is>
      </c>
      <c r="B361" s="1" t="n">
        <v>44783.43192129629</v>
      </c>
      <c r="C361" s="1" t="n">
        <v>46086</v>
      </c>
      <c r="D361" t="inlineStr">
        <is>
          <t>ÖSTERGÖTLANDS LÄN</t>
        </is>
      </c>
      <c r="E361" t="inlineStr">
        <is>
          <t>LINKÖPING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45792-2025</t>
        </is>
      </c>
      <c r="B362" s="1" t="n">
        <v>45923.56998842592</v>
      </c>
      <c r="C362" s="1" t="n">
        <v>46086</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45804-2025</t>
        </is>
      </c>
      <c r="B363" s="1" t="n">
        <v>45923.5819675926</v>
      </c>
      <c r="C363" s="1" t="n">
        <v>46086</v>
      </c>
      <c r="D363" t="inlineStr">
        <is>
          <t>ÖSTERGÖTLANDS LÄN</t>
        </is>
      </c>
      <c r="E363" t="inlineStr">
        <is>
          <t>LINKÖPING</t>
        </is>
      </c>
      <c r="G363" t="n">
        <v>3.3</v>
      </c>
      <c r="H363" t="n">
        <v>0</v>
      </c>
      <c r="I363" t="n">
        <v>0</v>
      </c>
      <c r="J363" t="n">
        <v>0</v>
      </c>
      <c r="K363" t="n">
        <v>0</v>
      </c>
      <c r="L363" t="n">
        <v>0</v>
      </c>
      <c r="M363" t="n">
        <v>0</v>
      </c>
      <c r="N363" t="n">
        <v>0</v>
      </c>
      <c r="O363" t="n">
        <v>0</v>
      </c>
      <c r="P363" t="n">
        <v>0</v>
      </c>
      <c r="Q363" t="n">
        <v>0</v>
      </c>
      <c r="R363" s="2" t="inlineStr"/>
    </row>
    <row r="364" ht="15" customHeight="1">
      <c r="A364" t="inlineStr">
        <is>
          <t>A 62321-2022</t>
        </is>
      </c>
      <c r="B364" s="1" t="n">
        <v>44916</v>
      </c>
      <c r="C364" s="1" t="n">
        <v>46086</v>
      </c>
      <c r="D364" t="inlineStr">
        <is>
          <t>ÖSTERGÖTLANDS LÄN</t>
        </is>
      </c>
      <c r="E364" t="inlineStr">
        <is>
          <t>LINKÖPING</t>
        </is>
      </c>
      <c r="F364" t="inlineStr">
        <is>
          <t>Kommuner</t>
        </is>
      </c>
      <c r="G364" t="n">
        <v>5.3</v>
      </c>
      <c r="H364" t="n">
        <v>0</v>
      </c>
      <c r="I364" t="n">
        <v>0</v>
      </c>
      <c r="J364" t="n">
        <v>0</v>
      </c>
      <c r="K364" t="n">
        <v>0</v>
      </c>
      <c r="L364" t="n">
        <v>0</v>
      </c>
      <c r="M364" t="n">
        <v>0</v>
      </c>
      <c r="N364" t="n">
        <v>0</v>
      </c>
      <c r="O364" t="n">
        <v>0</v>
      </c>
      <c r="P364" t="n">
        <v>0</v>
      </c>
      <c r="Q364" t="n">
        <v>0</v>
      </c>
      <c r="R364" s="2" t="inlineStr"/>
    </row>
    <row r="365" ht="15" customHeight="1">
      <c r="A365" t="inlineStr">
        <is>
          <t>A 46426-2025</t>
        </is>
      </c>
      <c r="B365" s="1" t="n">
        <v>45925.6012962963</v>
      </c>
      <c r="C365" s="1" t="n">
        <v>46086</v>
      </c>
      <c r="D365" t="inlineStr">
        <is>
          <t>ÖSTERGÖTLANDS LÄN</t>
        </is>
      </c>
      <c r="E365" t="inlineStr">
        <is>
          <t>LINKÖPING</t>
        </is>
      </c>
      <c r="G365" t="n">
        <v>4.4</v>
      </c>
      <c r="H365" t="n">
        <v>0</v>
      </c>
      <c r="I365" t="n">
        <v>0</v>
      </c>
      <c r="J365" t="n">
        <v>0</v>
      </c>
      <c r="K365" t="n">
        <v>0</v>
      </c>
      <c r="L365" t="n">
        <v>0</v>
      </c>
      <c r="M365" t="n">
        <v>0</v>
      </c>
      <c r="N365" t="n">
        <v>0</v>
      </c>
      <c r="O365" t="n">
        <v>0</v>
      </c>
      <c r="P365" t="n">
        <v>0</v>
      </c>
      <c r="Q365" t="n">
        <v>0</v>
      </c>
      <c r="R365" s="2" t="inlineStr"/>
    </row>
    <row r="366" ht="15" customHeight="1">
      <c r="A366" t="inlineStr">
        <is>
          <t>A 35757-2025</t>
        </is>
      </c>
      <c r="B366" s="1" t="n">
        <v>45860.59876157407</v>
      </c>
      <c r="C366" s="1" t="n">
        <v>46086</v>
      </c>
      <c r="D366" t="inlineStr">
        <is>
          <t>ÖSTERGÖTLANDS LÄN</t>
        </is>
      </c>
      <c r="E366" t="inlineStr">
        <is>
          <t>LINKÖPING</t>
        </is>
      </c>
      <c r="G366" t="n">
        <v>5.7</v>
      </c>
      <c r="H366" t="n">
        <v>0</v>
      </c>
      <c r="I366" t="n">
        <v>0</v>
      </c>
      <c r="J366" t="n">
        <v>0</v>
      </c>
      <c r="K366" t="n">
        <v>0</v>
      </c>
      <c r="L366" t="n">
        <v>0</v>
      </c>
      <c r="M366" t="n">
        <v>0</v>
      </c>
      <c r="N366" t="n">
        <v>0</v>
      </c>
      <c r="O366" t="n">
        <v>0</v>
      </c>
      <c r="P366" t="n">
        <v>0</v>
      </c>
      <c r="Q366" t="n">
        <v>0</v>
      </c>
      <c r="R366" s="2" t="inlineStr"/>
    </row>
    <row r="367" ht="15" customHeight="1">
      <c r="A367" t="inlineStr">
        <is>
          <t>A 35745-2025</t>
        </is>
      </c>
      <c r="B367" s="1" t="n">
        <v>45860.54739583333</v>
      </c>
      <c r="C367" s="1" t="n">
        <v>46086</v>
      </c>
      <c r="D367" t="inlineStr">
        <is>
          <t>ÖSTERGÖTLANDS LÄN</t>
        </is>
      </c>
      <c r="E367" t="inlineStr">
        <is>
          <t>LINKÖPING</t>
        </is>
      </c>
      <c r="G367" t="n">
        <v>4.4</v>
      </c>
      <c r="H367" t="n">
        <v>0</v>
      </c>
      <c r="I367" t="n">
        <v>0</v>
      </c>
      <c r="J367" t="n">
        <v>0</v>
      </c>
      <c r="K367" t="n">
        <v>0</v>
      </c>
      <c r="L367" t="n">
        <v>0</v>
      </c>
      <c r="M367" t="n">
        <v>0</v>
      </c>
      <c r="N367" t="n">
        <v>0</v>
      </c>
      <c r="O367" t="n">
        <v>0</v>
      </c>
      <c r="P367" t="n">
        <v>0</v>
      </c>
      <c r="Q367" t="n">
        <v>0</v>
      </c>
      <c r="R367" s="2" t="inlineStr"/>
    </row>
    <row r="368" ht="15" customHeight="1">
      <c r="A368" t="inlineStr">
        <is>
          <t>A 35747-2025</t>
        </is>
      </c>
      <c r="B368" s="1" t="n">
        <v>45860.56385416666</v>
      </c>
      <c r="C368" s="1" t="n">
        <v>46086</v>
      </c>
      <c r="D368" t="inlineStr">
        <is>
          <t>ÖSTERGÖTLANDS LÄN</t>
        </is>
      </c>
      <c r="E368" t="inlineStr">
        <is>
          <t>LINKÖPING</t>
        </is>
      </c>
      <c r="G368" t="n">
        <v>2.4</v>
      </c>
      <c r="H368" t="n">
        <v>0</v>
      </c>
      <c r="I368" t="n">
        <v>0</v>
      </c>
      <c r="J368" t="n">
        <v>0</v>
      </c>
      <c r="K368" t="n">
        <v>0</v>
      </c>
      <c r="L368" t="n">
        <v>0</v>
      </c>
      <c r="M368" t="n">
        <v>0</v>
      </c>
      <c r="N368" t="n">
        <v>0</v>
      </c>
      <c r="O368" t="n">
        <v>0</v>
      </c>
      <c r="P368" t="n">
        <v>0</v>
      </c>
      <c r="Q368" t="n">
        <v>0</v>
      </c>
      <c r="R368" s="2" t="inlineStr"/>
    </row>
    <row r="369" ht="15" customHeight="1">
      <c r="A369" t="inlineStr">
        <is>
          <t>A 46428-2025</t>
        </is>
      </c>
      <c r="B369" s="1" t="n">
        <v>45925.60758101852</v>
      </c>
      <c r="C369" s="1" t="n">
        <v>46086</v>
      </c>
      <c r="D369" t="inlineStr">
        <is>
          <t>ÖSTERGÖTLANDS LÄN</t>
        </is>
      </c>
      <c r="E369" t="inlineStr">
        <is>
          <t>LINKÖPING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1084-2023</t>
        </is>
      </c>
      <c r="B370" s="1" t="n">
        <v>44929</v>
      </c>
      <c r="C370" s="1" t="n">
        <v>46086</v>
      </c>
      <c r="D370" t="inlineStr">
        <is>
          <t>ÖSTERGÖTLANDS LÄN</t>
        </is>
      </c>
      <c r="E370" t="inlineStr">
        <is>
          <t>LINKÖPING</t>
        </is>
      </c>
      <c r="G370" t="n">
        <v>10.4</v>
      </c>
      <c r="H370" t="n">
        <v>0</v>
      </c>
      <c r="I370" t="n">
        <v>0</v>
      </c>
      <c r="J370" t="n">
        <v>0</v>
      </c>
      <c r="K370" t="n">
        <v>0</v>
      </c>
      <c r="L370" t="n">
        <v>0</v>
      </c>
      <c r="M370" t="n">
        <v>0</v>
      </c>
      <c r="N370" t="n">
        <v>0</v>
      </c>
      <c r="O370" t="n">
        <v>0</v>
      </c>
      <c r="P370" t="n">
        <v>0</v>
      </c>
      <c r="Q370" t="n">
        <v>0</v>
      </c>
      <c r="R370" s="2" t="inlineStr"/>
    </row>
    <row r="371" ht="15" customHeight="1">
      <c r="A371" t="inlineStr">
        <is>
          <t>A 267-2023</t>
        </is>
      </c>
      <c r="B371" s="1" t="n">
        <v>44928.80907407407</v>
      </c>
      <c r="C371" s="1" t="n">
        <v>46086</v>
      </c>
      <c r="D371" t="inlineStr">
        <is>
          <t>ÖSTERGÖTLANDS LÄN</t>
        </is>
      </c>
      <c r="E371" t="inlineStr">
        <is>
          <t>LINKÖPING</t>
        </is>
      </c>
      <c r="G371" t="n">
        <v>2.7</v>
      </c>
      <c r="H371" t="n">
        <v>0</v>
      </c>
      <c r="I371" t="n">
        <v>0</v>
      </c>
      <c r="J371" t="n">
        <v>0</v>
      </c>
      <c r="K371" t="n">
        <v>0</v>
      </c>
      <c r="L371" t="n">
        <v>0</v>
      </c>
      <c r="M371" t="n">
        <v>0</v>
      </c>
      <c r="N371" t="n">
        <v>0</v>
      </c>
      <c r="O371" t="n">
        <v>0</v>
      </c>
      <c r="P371" t="n">
        <v>0</v>
      </c>
      <c r="Q371" t="n">
        <v>0</v>
      </c>
      <c r="R371" s="2" t="inlineStr"/>
    </row>
    <row r="372" ht="15" customHeight="1">
      <c r="A372" t="inlineStr">
        <is>
          <t>A 940-2023</t>
        </is>
      </c>
      <c r="B372" s="1" t="n">
        <v>44933</v>
      </c>
      <c r="C372" s="1" t="n">
        <v>46086</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35759-2025</t>
        </is>
      </c>
      <c r="B373" s="1" t="n">
        <v>45860</v>
      </c>
      <c r="C373" s="1" t="n">
        <v>46086</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6369-2023</t>
        </is>
      </c>
      <c r="B374" s="1" t="n">
        <v>44965.61106481482</v>
      </c>
      <c r="C374" s="1" t="n">
        <v>46086</v>
      </c>
      <c r="D374" t="inlineStr">
        <is>
          <t>ÖSTERGÖTLANDS LÄN</t>
        </is>
      </c>
      <c r="E374" t="inlineStr">
        <is>
          <t>LINKÖPING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46377-2025</t>
        </is>
      </c>
      <c r="B375" s="1" t="n">
        <v>45925.51773148148</v>
      </c>
      <c r="C375" s="1" t="n">
        <v>46086</v>
      </c>
      <c r="D375" t="inlineStr">
        <is>
          <t>ÖSTERGÖTLANDS LÄN</t>
        </is>
      </c>
      <c r="E375" t="inlineStr">
        <is>
          <t>LINKÖPING</t>
        </is>
      </c>
      <c r="G375" t="n">
        <v>3.1</v>
      </c>
      <c r="H375" t="n">
        <v>0</v>
      </c>
      <c r="I375" t="n">
        <v>0</v>
      </c>
      <c r="J375" t="n">
        <v>0</v>
      </c>
      <c r="K375" t="n">
        <v>0</v>
      </c>
      <c r="L375" t="n">
        <v>0</v>
      </c>
      <c r="M375" t="n">
        <v>0</v>
      </c>
      <c r="N375" t="n">
        <v>0</v>
      </c>
      <c r="O375" t="n">
        <v>0</v>
      </c>
      <c r="P375" t="n">
        <v>0</v>
      </c>
      <c r="Q375" t="n">
        <v>0</v>
      </c>
      <c r="R375" s="2" t="inlineStr"/>
    </row>
    <row r="376" ht="15" customHeight="1">
      <c r="A376" t="inlineStr">
        <is>
          <t>A 30980-2022</t>
        </is>
      </c>
      <c r="B376" s="1" t="n">
        <v>44768</v>
      </c>
      <c r="C376" s="1" t="n">
        <v>46086</v>
      </c>
      <c r="D376" t="inlineStr">
        <is>
          <t>ÖSTERGÖTLANDS LÄN</t>
        </is>
      </c>
      <c r="E376" t="inlineStr">
        <is>
          <t>LINKÖPING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60007-2022</t>
        </is>
      </c>
      <c r="B377" s="1" t="n">
        <v>44909.47282407407</v>
      </c>
      <c r="C377" s="1" t="n">
        <v>46086</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50799-2022</t>
        </is>
      </c>
      <c r="B378" s="1" t="n">
        <v>44862</v>
      </c>
      <c r="C378" s="1" t="n">
        <v>46086</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56064-2022</t>
        </is>
      </c>
      <c r="B379" s="1" t="n">
        <v>44889.59107638889</v>
      </c>
      <c r="C379" s="1" t="n">
        <v>46086</v>
      </c>
      <c r="D379" t="inlineStr">
        <is>
          <t>ÖSTERGÖTLANDS LÄN</t>
        </is>
      </c>
      <c r="E379" t="inlineStr">
        <is>
          <t>LINKÖPING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47703-2023</t>
        </is>
      </c>
      <c r="B380" s="1" t="n">
        <v>45203</v>
      </c>
      <c r="C380" s="1" t="n">
        <v>46086</v>
      </c>
      <c r="D380" t="inlineStr">
        <is>
          <t>ÖSTERGÖTLANDS LÄN</t>
        </is>
      </c>
      <c r="E380" t="inlineStr">
        <is>
          <t>LINKÖPING</t>
        </is>
      </c>
      <c r="G380" t="n">
        <v>4.1</v>
      </c>
      <c r="H380" t="n">
        <v>0</v>
      </c>
      <c r="I380" t="n">
        <v>0</v>
      </c>
      <c r="J380" t="n">
        <v>0</v>
      </c>
      <c r="K380" t="n">
        <v>0</v>
      </c>
      <c r="L380" t="n">
        <v>0</v>
      </c>
      <c r="M380" t="n">
        <v>0</v>
      </c>
      <c r="N380" t="n">
        <v>0</v>
      </c>
      <c r="O380" t="n">
        <v>0</v>
      </c>
      <c r="P380" t="n">
        <v>0</v>
      </c>
      <c r="Q380" t="n">
        <v>0</v>
      </c>
      <c r="R380" s="2" t="inlineStr"/>
    </row>
    <row r="381" ht="15" customHeight="1">
      <c r="A381" t="inlineStr">
        <is>
          <t>A 46847-2025</t>
        </is>
      </c>
      <c r="B381" s="1" t="n">
        <v>45928.69971064815</v>
      </c>
      <c r="C381" s="1" t="n">
        <v>46086</v>
      </c>
      <c r="D381" t="inlineStr">
        <is>
          <t>ÖSTERGÖTLANDS LÄN</t>
        </is>
      </c>
      <c r="E381" t="inlineStr">
        <is>
          <t>LINKÖPING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16111-2022</t>
        </is>
      </c>
      <c r="B382" s="1" t="n">
        <v>44665</v>
      </c>
      <c r="C382" s="1" t="n">
        <v>46086</v>
      </c>
      <c r="D382" t="inlineStr">
        <is>
          <t>ÖSTERGÖTLANDS LÄN</t>
        </is>
      </c>
      <c r="E382" t="inlineStr">
        <is>
          <t>LINKÖPING</t>
        </is>
      </c>
      <c r="F382" t="inlineStr">
        <is>
          <t>Övriga Aktiebolag</t>
        </is>
      </c>
      <c r="G382" t="n">
        <v>2.9</v>
      </c>
      <c r="H382" t="n">
        <v>0</v>
      </c>
      <c r="I382" t="n">
        <v>0</v>
      </c>
      <c r="J382" t="n">
        <v>0</v>
      </c>
      <c r="K382" t="n">
        <v>0</v>
      </c>
      <c r="L382" t="n">
        <v>0</v>
      </c>
      <c r="M382" t="n">
        <v>0</v>
      </c>
      <c r="N382" t="n">
        <v>0</v>
      </c>
      <c r="O382" t="n">
        <v>0</v>
      </c>
      <c r="P382" t="n">
        <v>0</v>
      </c>
      <c r="Q382" t="n">
        <v>0</v>
      </c>
      <c r="R382" s="2" t="inlineStr"/>
    </row>
    <row r="383" ht="15" customHeight="1">
      <c r="A383" t="inlineStr">
        <is>
          <t>A 47233-2025</t>
        </is>
      </c>
      <c r="B383" s="1" t="n">
        <v>45930.40612268518</v>
      </c>
      <c r="C383" s="1" t="n">
        <v>46086</v>
      </c>
      <c r="D383" t="inlineStr">
        <is>
          <t>ÖSTERGÖTLANDS LÄN</t>
        </is>
      </c>
      <c r="E383" t="inlineStr">
        <is>
          <t>LINKÖPING</t>
        </is>
      </c>
      <c r="G383" t="n">
        <v>4.3</v>
      </c>
      <c r="H383" t="n">
        <v>0</v>
      </c>
      <c r="I383" t="n">
        <v>0</v>
      </c>
      <c r="J383" t="n">
        <v>0</v>
      </c>
      <c r="K383" t="n">
        <v>0</v>
      </c>
      <c r="L383" t="n">
        <v>0</v>
      </c>
      <c r="M383" t="n">
        <v>0</v>
      </c>
      <c r="N383" t="n">
        <v>0</v>
      </c>
      <c r="O383" t="n">
        <v>0</v>
      </c>
      <c r="P383" t="n">
        <v>0</v>
      </c>
      <c r="Q383" t="n">
        <v>0</v>
      </c>
      <c r="R383" s="2" t="inlineStr"/>
    </row>
    <row r="384" ht="15" customHeight="1">
      <c r="A384" t="inlineStr">
        <is>
          <t>A 47606-2025</t>
        </is>
      </c>
      <c r="B384" s="1" t="n">
        <v>45931.46402777778</v>
      </c>
      <c r="C384" s="1" t="n">
        <v>46086</v>
      </c>
      <c r="D384" t="inlineStr">
        <is>
          <t>ÖSTERGÖTLANDS LÄN</t>
        </is>
      </c>
      <c r="E384" t="inlineStr">
        <is>
          <t>LINKÖPING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48962-2022</t>
        </is>
      </c>
      <c r="B385" s="1" t="n">
        <v>44860.31635416667</v>
      </c>
      <c r="C385" s="1" t="n">
        <v>46086</v>
      </c>
      <c r="D385" t="inlineStr">
        <is>
          <t>ÖSTERGÖTLANDS LÄN</t>
        </is>
      </c>
      <c r="E385" t="inlineStr">
        <is>
          <t>LINKÖPING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47304-2025</t>
        </is>
      </c>
      <c r="B386" s="1" t="n">
        <v>45930.52037037037</v>
      </c>
      <c r="C386" s="1" t="n">
        <v>46086</v>
      </c>
      <c r="D386" t="inlineStr">
        <is>
          <t>ÖSTERGÖTLANDS LÄN</t>
        </is>
      </c>
      <c r="E386" t="inlineStr">
        <is>
          <t>LINKÖPING</t>
        </is>
      </c>
      <c r="G386" t="n">
        <v>2.7</v>
      </c>
      <c r="H386" t="n">
        <v>0</v>
      </c>
      <c r="I386" t="n">
        <v>0</v>
      </c>
      <c r="J386" t="n">
        <v>0</v>
      </c>
      <c r="K386" t="n">
        <v>0</v>
      </c>
      <c r="L386" t="n">
        <v>0</v>
      </c>
      <c r="M386" t="n">
        <v>0</v>
      </c>
      <c r="N386" t="n">
        <v>0</v>
      </c>
      <c r="O386" t="n">
        <v>0</v>
      </c>
      <c r="P386" t="n">
        <v>0</v>
      </c>
      <c r="Q386" t="n">
        <v>0</v>
      </c>
      <c r="R386" s="2" t="inlineStr"/>
    </row>
    <row r="387" ht="15" customHeight="1">
      <c r="A387" t="inlineStr">
        <is>
          <t>A 27891-2021</t>
        </is>
      </c>
      <c r="B387" s="1" t="n">
        <v>44354.65108796296</v>
      </c>
      <c r="C387" s="1" t="n">
        <v>46086</v>
      </c>
      <c r="D387" t="inlineStr">
        <is>
          <t>ÖSTERGÖTLANDS LÄN</t>
        </is>
      </c>
      <c r="E387" t="inlineStr">
        <is>
          <t>LINKÖPING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1268-2023</t>
        </is>
      </c>
      <c r="B388" s="1" t="n">
        <v>44936</v>
      </c>
      <c r="C388" s="1" t="n">
        <v>46086</v>
      </c>
      <c r="D388" t="inlineStr">
        <is>
          <t>ÖSTERGÖTLANDS LÄN</t>
        </is>
      </c>
      <c r="E388" t="inlineStr">
        <is>
          <t>LINKÖPING</t>
        </is>
      </c>
      <c r="G388" t="n">
        <v>4.6</v>
      </c>
      <c r="H388" t="n">
        <v>0</v>
      </c>
      <c r="I388" t="n">
        <v>0</v>
      </c>
      <c r="J388" t="n">
        <v>0</v>
      </c>
      <c r="K388" t="n">
        <v>0</v>
      </c>
      <c r="L388" t="n">
        <v>0</v>
      </c>
      <c r="M388" t="n">
        <v>0</v>
      </c>
      <c r="N388" t="n">
        <v>0</v>
      </c>
      <c r="O388" t="n">
        <v>0</v>
      </c>
      <c r="P388" t="n">
        <v>0</v>
      </c>
      <c r="Q388" t="n">
        <v>0</v>
      </c>
      <c r="R388" s="2" t="inlineStr"/>
    </row>
    <row r="389" ht="15" customHeight="1">
      <c r="A389" t="inlineStr">
        <is>
          <t>A 62687-2023</t>
        </is>
      </c>
      <c r="B389" s="1" t="n">
        <v>45271</v>
      </c>
      <c r="C389" s="1" t="n">
        <v>46086</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48343-2025</t>
        </is>
      </c>
      <c r="B390" s="1" t="n">
        <v>45932</v>
      </c>
      <c r="C390" s="1" t="n">
        <v>46086</v>
      </c>
      <c r="D390" t="inlineStr">
        <is>
          <t>ÖSTERGÖTLANDS LÄN</t>
        </is>
      </c>
      <c r="E390" t="inlineStr">
        <is>
          <t>LINKÖPING</t>
        </is>
      </c>
      <c r="F390" t="inlineStr">
        <is>
          <t>Övriga Aktiebolag</t>
        </is>
      </c>
      <c r="G390" t="n">
        <v>2</v>
      </c>
      <c r="H390" t="n">
        <v>0</v>
      </c>
      <c r="I390" t="n">
        <v>0</v>
      </c>
      <c r="J390" t="n">
        <v>0</v>
      </c>
      <c r="K390" t="n">
        <v>0</v>
      </c>
      <c r="L390" t="n">
        <v>0</v>
      </c>
      <c r="M390" t="n">
        <v>0</v>
      </c>
      <c r="N390" t="n">
        <v>0</v>
      </c>
      <c r="O390" t="n">
        <v>0</v>
      </c>
      <c r="P390" t="n">
        <v>0</v>
      </c>
      <c r="Q390" t="n">
        <v>0</v>
      </c>
      <c r="R390" s="2" t="inlineStr"/>
    </row>
    <row r="391" ht="15" customHeight="1">
      <c r="A391" t="inlineStr">
        <is>
          <t>A 48266-2025</t>
        </is>
      </c>
      <c r="B391" s="1" t="n">
        <v>45932</v>
      </c>
      <c r="C391" s="1" t="n">
        <v>46086</v>
      </c>
      <c r="D391" t="inlineStr">
        <is>
          <t>ÖSTERGÖTLANDS LÄN</t>
        </is>
      </c>
      <c r="E391" t="inlineStr">
        <is>
          <t>LINKÖPING</t>
        </is>
      </c>
      <c r="F391" t="inlineStr">
        <is>
          <t>Övriga Aktiebolag</t>
        </is>
      </c>
      <c r="G391" t="n">
        <v>0.5</v>
      </c>
      <c r="H391" t="n">
        <v>0</v>
      </c>
      <c r="I391" t="n">
        <v>0</v>
      </c>
      <c r="J391" t="n">
        <v>0</v>
      </c>
      <c r="K391" t="n">
        <v>0</v>
      </c>
      <c r="L391" t="n">
        <v>0</v>
      </c>
      <c r="M391" t="n">
        <v>0</v>
      </c>
      <c r="N391" t="n">
        <v>0</v>
      </c>
      <c r="O391" t="n">
        <v>0</v>
      </c>
      <c r="P391" t="n">
        <v>0</v>
      </c>
      <c r="Q391" t="n">
        <v>0</v>
      </c>
      <c r="R391" s="2" t="inlineStr"/>
    </row>
    <row r="392" ht="15" customHeight="1">
      <c r="A392" t="inlineStr">
        <is>
          <t>A 34641-2022</t>
        </is>
      </c>
      <c r="B392" s="1" t="n">
        <v>44795</v>
      </c>
      <c r="C392" s="1" t="n">
        <v>46086</v>
      </c>
      <c r="D392" t="inlineStr">
        <is>
          <t>ÖSTERGÖTLANDS LÄN</t>
        </is>
      </c>
      <c r="E392" t="inlineStr">
        <is>
          <t>LINKÖPING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938-2023</t>
        </is>
      </c>
      <c r="B393" s="1" t="n">
        <v>44933</v>
      </c>
      <c r="C393" s="1" t="n">
        <v>46086</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2389-2023</t>
        </is>
      </c>
      <c r="B394" s="1" t="n">
        <v>44942</v>
      </c>
      <c r="C394" s="1" t="n">
        <v>46086</v>
      </c>
      <c r="D394" t="inlineStr">
        <is>
          <t>ÖSTERGÖTLANDS LÄN</t>
        </is>
      </c>
      <c r="E394" t="inlineStr">
        <is>
          <t>LINKÖPING</t>
        </is>
      </c>
      <c r="G394" t="n">
        <v>3.3</v>
      </c>
      <c r="H394" t="n">
        <v>0</v>
      </c>
      <c r="I394" t="n">
        <v>0</v>
      </c>
      <c r="J394" t="n">
        <v>0</v>
      </c>
      <c r="K394" t="n">
        <v>0</v>
      </c>
      <c r="L394" t="n">
        <v>0</v>
      </c>
      <c r="M394" t="n">
        <v>0</v>
      </c>
      <c r="N394" t="n">
        <v>0</v>
      </c>
      <c r="O394" t="n">
        <v>0</v>
      </c>
      <c r="P394" t="n">
        <v>0</v>
      </c>
      <c r="Q394" t="n">
        <v>0</v>
      </c>
      <c r="R394" s="2" t="inlineStr"/>
    </row>
    <row r="395" ht="15" customHeight="1">
      <c r="A395" t="inlineStr">
        <is>
          <t>A 48-2024</t>
        </is>
      </c>
      <c r="B395" s="1" t="n">
        <v>45293</v>
      </c>
      <c r="C395" s="1" t="n">
        <v>46086</v>
      </c>
      <c r="D395" t="inlineStr">
        <is>
          <t>ÖSTERGÖTLANDS LÄN</t>
        </is>
      </c>
      <c r="E395" t="inlineStr">
        <is>
          <t>LINKÖPING</t>
        </is>
      </c>
      <c r="G395" t="n">
        <v>4.6</v>
      </c>
      <c r="H395" t="n">
        <v>0</v>
      </c>
      <c r="I395" t="n">
        <v>0</v>
      </c>
      <c r="J395" t="n">
        <v>0</v>
      </c>
      <c r="K395" t="n">
        <v>0</v>
      </c>
      <c r="L395" t="n">
        <v>0</v>
      </c>
      <c r="M395" t="n">
        <v>0</v>
      </c>
      <c r="N395" t="n">
        <v>0</v>
      </c>
      <c r="O395" t="n">
        <v>0</v>
      </c>
      <c r="P395" t="n">
        <v>0</v>
      </c>
      <c r="Q395" t="n">
        <v>0</v>
      </c>
      <c r="R395" s="2" t="inlineStr"/>
    </row>
    <row r="396" ht="15" customHeight="1">
      <c r="A396" t="inlineStr">
        <is>
          <t>A 37057-2025</t>
        </is>
      </c>
      <c r="B396" s="1" t="n">
        <v>45875.37489583333</v>
      </c>
      <c r="C396" s="1" t="n">
        <v>46086</v>
      </c>
      <c r="D396" t="inlineStr">
        <is>
          <t>ÖSTERGÖTLANDS LÄN</t>
        </is>
      </c>
      <c r="E396" t="inlineStr">
        <is>
          <t>LINKÖPING</t>
        </is>
      </c>
      <c r="G396" t="n">
        <v>3.3</v>
      </c>
      <c r="H396" t="n">
        <v>0</v>
      </c>
      <c r="I396" t="n">
        <v>0</v>
      </c>
      <c r="J396" t="n">
        <v>0</v>
      </c>
      <c r="K396" t="n">
        <v>0</v>
      </c>
      <c r="L396" t="n">
        <v>0</v>
      </c>
      <c r="M396" t="n">
        <v>0</v>
      </c>
      <c r="N396" t="n">
        <v>0</v>
      </c>
      <c r="O396" t="n">
        <v>0</v>
      </c>
      <c r="P396" t="n">
        <v>0</v>
      </c>
      <c r="Q396" t="n">
        <v>0</v>
      </c>
      <c r="R396" s="2" t="inlineStr"/>
    </row>
    <row r="397" ht="15" customHeight="1">
      <c r="A397" t="inlineStr">
        <is>
          <t>A 48254-2025</t>
        </is>
      </c>
      <c r="B397" s="1" t="n">
        <v>45932</v>
      </c>
      <c r="C397" s="1" t="n">
        <v>46086</v>
      </c>
      <c r="D397" t="inlineStr">
        <is>
          <t>ÖSTERGÖTLANDS LÄN</t>
        </is>
      </c>
      <c r="E397" t="inlineStr">
        <is>
          <t>LINKÖPING</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45771-2023</t>
        </is>
      </c>
      <c r="B398" s="1" t="n">
        <v>45195.4384375</v>
      </c>
      <c r="C398" s="1" t="n">
        <v>46086</v>
      </c>
      <c r="D398" t="inlineStr">
        <is>
          <t>ÖSTERGÖTLANDS LÄN</t>
        </is>
      </c>
      <c r="E398" t="inlineStr">
        <is>
          <t>LINKÖPING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30547-2023</t>
        </is>
      </c>
      <c r="B399" s="1" t="n">
        <v>45111.75905092592</v>
      </c>
      <c r="C399" s="1" t="n">
        <v>46086</v>
      </c>
      <c r="D399" t="inlineStr">
        <is>
          <t>ÖSTERGÖTLANDS LÄN</t>
        </is>
      </c>
      <c r="E399" t="inlineStr">
        <is>
          <t>LINKÖPING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40502-2024</t>
        </is>
      </c>
      <c r="B400" s="1" t="n">
        <v>45555.57263888889</v>
      </c>
      <c r="C400" s="1" t="n">
        <v>46086</v>
      </c>
      <c r="D400" t="inlineStr">
        <is>
          <t>ÖSTERGÖTLANDS LÄN</t>
        </is>
      </c>
      <c r="E400" t="inlineStr">
        <is>
          <t>LINKÖPING</t>
        </is>
      </c>
      <c r="F400" t="inlineStr">
        <is>
          <t>Allmännings- och besparingsskogar</t>
        </is>
      </c>
      <c r="G400" t="n">
        <v>17.5</v>
      </c>
      <c r="H400" t="n">
        <v>0</v>
      </c>
      <c r="I400" t="n">
        <v>0</v>
      </c>
      <c r="J400" t="n">
        <v>0</v>
      </c>
      <c r="K400" t="n">
        <v>0</v>
      </c>
      <c r="L400" t="n">
        <v>0</v>
      </c>
      <c r="M400" t="n">
        <v>0</v>
      </c>
      <c r="N400" t="n">
        <v>0</v>
      </c>
      <c r="O400" t="n">
        <v>0</v>
      </c>
      <c r="P400" t="n">
        <v>0</v>
      </c>
      <c r="Q400" t="n">
        <v>0</v>
      </c>
      <c r="R400" s="2" t="inlineStr"/>
    </row>
    <row r="401" ht="15" customHeight="1">
      <c r="A401" t="inlineStr">
        <is>
          <t>A 24464-2023</t>
        </is>
      </c>
      <c r="B401" s="1" t="n">
        <v>45082.58068287037</v>
      </c>
      <c r="C401" s="1" t="n">
        <v>46086</v>
      </c>
      <c r="D401" t="inlineStr">
        <is>
          <t>ÖSTERGÖTLANDS LÄN</t>
        </is>
      </c>
      <c r="E401" t="inlineStr">
        <is>
          <t>LINKÖPING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24467-2023</t>
        </is>
      </c>
      <c r="B402" s="1" t="n">
        <v>45082</v>
      </c>
      <c r="C402" s="1" t="n">
        <v>46086</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48389-2024</t>
        </is>
      </c>
      <c r="B403" s="1" t="n">
        <v>45590.59991898148</v>
      </c>
      <c r="C403" s="1" t="n">
        <v>46086</v>
      </c>
      <c r="D403" t="inlineStr">
        <is>
          <t>ÖSTERGÖTLANDS LÄN</t>
        </is>
      </c>
      <c r="E403" t="inlineStr">
        <is>
          <t>LINKÖPING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49455-2025</t>
        </is>
      </c>
      <c r="B404" s="1" t="n">
        <v>45938</v>
      </c>
      <c r="C404" s="1" t="n">
        <v>46086</v>
      </c>
      <c r="D404" t="inlineStr">
        <is>
          <t>ÖSTERGÖTLANDS LÄN</t>
        </is>
      </c>
      <c r="E404" t="inlineStr">
        <is>
          <t>LINKÖPING</t>
        </is>
      </c>
      <c r="F404" t="inlineStr">
        <is>
          <t>Övriga Aktiebolag</t>
        </is>
      </c>
      <c r="G404" t="n">
        <v>5.9</v>
      </c>
      <c r="H404" t="n">
        <v>0</v>
      </c>
      <c r="I404" t="n">
        <v>0</v>
      </c>
      <c r="J404" t="n">
        <v>0</v>
      </c>
      <c r="K404" t="n">
        <v>0</v>
      </c>
      <c r="L404" t="n">
        <v>0</v>
      </c>
      <c r="M404" t="n">
        <v>0</v>
      </c>
      <c r="N404" t="n">
        <v>0</v>
      </c>
      <c r="O404" t="n">
        <v>0</v>
      </c>
      <c r="P404" t="n">
        <v>0</v>
      </c>
      <c r="Q404" t="n">
        <v>0</v>
      </c>
      <c r="R404" s="2" t="inlineStr"/>
    </row>
    <row r="405" ht="15" customHeight="1">
      <c r="A405" t="inlineStr">
        <is>
          <t>A 49605-2025</t>
        </is>
      </c>
      <c r="B405" s="1" t="n">
        <v>45938</v>
      </c>
      <c r="C405" s="1" t="n">
        <v>46086</v>
      </c>
      <c r="D405" t="inlineStr">
        <is>
          <t>ÖSTERGÖTLANDS LÄN</t>
        </is>
      </c>
      <c r="E405" t="inlineStr">
        <is>
          <t>LINKÖPING</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49663-2025</t>
        </is>
      </c>
      <c r="B406" s="1" t="n">
        <v>45938</v>
      </c>
      <c r="C406" s="1" t="n">
        <v>46086</v>
      </c>
      <c r="D406" t="inlineStr">
        <is>
          <t>ÖSTERGÖTLANDS LÄN</t>
        </is>
      </c>
      <c r="E406" t="inlineStr">
        <is>
          <t>LINKÖPING</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49632-2025</t>
        </is>
      </c>
      <c r="B407" s="1" t="n">
        <v>45938</v>
      </c>
      <c r="C407" s="1" t="n">
        <v>46086</v>
      </c>
      <c r="D407" t="inlineStr">
        <is>
          <t>ÖSTERGÖTLANDS LÄN</t>
        </is>
      </c>
      <c r="E407" t="inlineStr">
        <is>
          <t>LINKÖPING</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49647-2025</t>
        </is>
      </c>
      <c r="B408" s="1" t="n">
        <v>45938</v>
      </c>
      <c r="C408" s="1" t="n">
        <v>46086</v>
      </c>
      <c r="D408" t="inlineStr">
        <is>
          <t>ÖSTERGÖTLANDS LÄN</t>
        </is>
      </c>
      <c r="E408" t="inlineStr">
        <is>
          <t>LINKÖPING</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49652-2025</t>
        </is>
      </c>
      <c r="B409" s="1" t="n">
        <v>45938</v>
      </c>
      <c r="C409" s="1" t="n">
        <v>46086</v>
      </c>
      <c r="D409" t="inlineStr">
        <is>
          <t>ÖSTERGÖTLANDS LÄN</t>
        </is>
      </c>
      <c r="E409" t="inlineStr">
        <is>
          <t>LINKÖPING</t>
        </is>
      </c>
      <c r="F409" t="inlineStr">
        <is>
          <t>Övriga Aktiebolag</t>
        </is>
      </c>
      <c r="G409" t="n">
        <v>1.8</v>
      </c>
      <c r="H409" t="n">
        <v>0</v>
      </c>
      <c r="I409" t="n">
        <v>0</v>
      </c>
      <c r="J409" t="n">
        <v>0</v>
      </c>
      <c r="K409" t="n">
        <v>0</v>
      </c>
      <c r="L409" t="n">
        <v>0</v>
      </c>
      <c r="M409" t="n">
        <v>0</v>
      </c>
      <c r="N409" t="n">
        <v>0</v>
      </c>
      <c r="O409" t="n">
        <v>0</v>
      </c>
      <c r="P409" t="n">
        <v>0</v>
      </c>
      <c r="Q409" t="n">
        <v>0</v>
      </c>
      <c r="R409" s="2" t="inlineStr"/>
    </row>
    <row r="410" ht="15" customHeight="1">
      <c r="A410" t="inlineStr">
        <is>
          <t>A 49654-2025</t>
        </is>
      </c>
      <c r="B410" s="1" t="n">
        <v>45938</v>
      </c>
      <c r="C410" s="1" t="n">
        <v>46086</v>
      </c>
      <c r="D410" t="inlineStr">
        <is>
          <t>ÖSTERGÖTLANDS LÄN</t>
        </is>
      </c>
      <c r="E410" t="inlineStr">
        <is>
          <t>LINKÖPING</t>
        </is>
      </c>
      <c r="F410" t="inlineStr">
        <is>
          <t>Övriga Aktiebolag</t>
        </is>
      </c>
      <c r="G410" t="n">
        <v>3.1</v>
      </c>
      <c r="H410" t="n">
        <v>0</v>
      </c>
      <c r="I410" t="n">
        <v>0</v>
      </c>
      <c r="J410" t="n">
        <v>0</v>
      </c>
      <c r="K410" t="n">
        <v>0</v>
      </c>
      <c r="L410" t="n">
        <v>0</v>
      </c>
      <c r="M410" t="n">
        <v>0</v>
      </c>
      <c r="N410" t="n">
        <v>0</v>
      </c>
      <c r="O410" t="n">
        <v>0</v>
      </c>
      <c r="P410" t="n">
        <v>0</v>
      </c>
      <c r="Q410" t="n">
        <v>0</v>
      </c>
      <c r="R410" s="2" t="inlineStr"/>
    </row>
    <row r="411" ht="15" customHeight="1">
      <c r="A411" t="inlineStr">
        <is>
          <t>A 49615-2025</t>
        </is>
      </c>
      <c r="B411" s="1" t="n">
        <v>45938</v>
      </c>
      <c r="C411" s="1" t="n">
        <v>46086</v>
      </c>
      <c r="D411" t="inlineStr">
        <is>
          <t>ÖSTERGÖTLANDS LÄN</t>
        </is>
      </c>
      <c r="E411" t="inlineStr">
        <is>
          <t>LINKÖPING</t>
        </is>
      </c>
      <c r="F411" t="inlineStr">
        <is>
          <t>Övriga Aktiebolag</t>
        </is>
      </c>
      <c r="G411" t="n">
        <v>1.6</v>
      </c>
      <c r="H411" t="n">
        <v>0</v>
      </c>
      <c r="I411" t="n">
        <v>0</v>
      </c>
      <c r="J411" t="n">
        <v>0</v>
      </c>
      <c r="K411" t="n">
        <v>0</v>
      </c>
      <c r="L411" t="n">
        <v>0</v>
      </c>
      <c r="M411" t="n">
        <v>0</v>
      </c>
      <c r="N411" t="n">
        <v>0</v>
      </c>
      <c r="O411" t="n">
        <v>0</v>
      </c>
      <c r="P411" t="n">
        <v>0</v>
      </c>
      <c r="Q411" t="n">
        <v>0</v>
      </c>
      <c r="R411" s="2" t="inlineStr"/>
    </row>
    <row r="412" ht="15" customHeight="1">
      <c r="A412" t="inlineStr">
        <is>
          <t>A 49619-2025</t>
        </is>
      </c>
      <c r="B412" s="1" t="n">
        <v>45938</v>
      </c>
      <c r="C412" s="1" t="n">
        <v>46086</v>
      </c>
      <c r="D412" t="inlineStr">
        <is>
          <t>ÖSTERGÖTLANDS LÄN</t>
        </is>
      </c>
      <c r="E412" t="inlineStr">
        <is>
          <t>LINKÖPING</t>
        </is>
      </c>
      <c r="F412" t="inlineStr">
        <is>
          <t>Övriga Aktiebolag</t>
        </is>
      </c>
      <c r="G412" t="n">
        <v>2.3</v>
      </c>
      <c r="H412" t="n">
        <v>0</v>
      </c>
      <c r="I412" t="n">
        <v>0</v>
      </c>
      <c r="J412" t="n">
        <v>0</v>
      </c>
      <c r="K412" t="n">
        <v>0</v>
      </c>
      <c r="L412" t="n">
        <v>0</v>
      </c>
      <c r="M412" t="n">
        <v>0</v>
      </c>
      <c r="N412" t="n">
        <v>0</v>
      </c>
      <c r="O412" t="n">
        <v>0</v>
      </c>
      <c r="P412" t="n">
        <v>0</v>
      </c>
      <c r="Q412" t="n">
        <v>0</v>
      </c>
      <c r="R412" s="2" t="inlineStr"/>
    </row>
    <row r="413" ht="15" customHeight="1">
      <c r="A413" t="inlineStr">
        <is>
          <t>A 49629-2025</t>
        </is>
      </c>
      <c r="B413" s="1" t="n">
        <v>45938</v>
      </c>
      <c r="C413" s="1" t="n">
        <v>46086</v>
      </c>
      <c r="D413" t="inlineStr">
        <is>
          <t>ÖSTERGÖTLANDS LÄN</t>
        </is>
      </c>
      <c r="E413" t="inlineStr">
        <is>
          <t>LINKÖPING</t>
        </is>
      </c>
      <c r="F413" t="inlineStr">
        <is>
          <t>Övriga Aktiebolag</t>
        </is>
      </c>
      <c r="G413" t="n">
        <v>4.5</v>
      </c>
      <c r="H413" t="n">
        <v>0</v>
      </c>
      <c r="I413" t="n">
        <v>0</v>
      </c>
      <c r="J413" t="n">
        <v>0</v>
      </c>
      <c r="K413" t="n">
        <v>0</v>
      </c>
      <c r="L413" t="n">
        <v>0</v>
      </c>
      <c r="M413" t="n">
        <v>0</v>
      </c>
      <c r="N413" t="n">
        <v>0</v>
      </c>
      <c r="O413" t="n">
        <v>0</v>
      </c>
      <c r="P413" t="n">
        <v>0</v>
      </c>
      <c r="Q413" t="n">
        <v>0</v>
      </c>
      <c r="R413" s="2" t="inlineStr"/>
    </row>
    <row r="414" ht="15" customHeight="1">
      <c r="A414" t="inlineStr">
        <is>
          <t>A 49650-2025</t>
        </is>
      </c>
      <c r="B414" s="1" t="n">
        <v>45938</v>
      </c>
      <c r="C414" s="1" t="n">
        <v>46086</v>
      </c>
      <c r="D414" t="inlineStr">
        <is>
          <t>ÖSTERGÖTLANDS LÄN</t>
        </is>
      </c>
      <c r="E414" t="inlineStr">
        <is>
          <t>LINKÖPING</t>
        </is>
      </c>
      <c r="F414" t="inlineStr">
        <is>
          <t>Övriga Aktiebolag</t>
        </is>
      </c>
      <c r="G414" t="n">
        <v>1.5</v>
      </c>
      <c r="H414" t="n">
        <v>0</v>
      </c>
      <c r="I414" t="n">
        <v>0</v>
      </c>
      <c r="J414" t="n">
        <v>0</v>
      </c>
      <c r="K414" t="n">
        <v>0</v>
      </c>
      <c r="L414" t="n">
        <v>0</v>
      </c>
      <c r="M414" t="n">
        <v>0</v>
      </c>
      <c r="N414" t="n">
        <v>0</v>
      </c>
      <c r="O414" t="n">
        <v>0</v>
      </c>
      <c r="P414" t="n">
        <v>0</v>
      </c>
      <c r="Q414" t="n">
        <v>0</v>
      </c>
      <c r="R414" s="2" t="inlineStr"/>
    </row>
    <row r="415" ht="15" customHeight="1">
      <c r="A415" t="inlineStr">
        <is>
          <t>A 49633-2025</t>
        </is>
      </c>
      <c r="B415" s="1" t="n">
        <v>45938</v>
      </c>
      <c r="C415" s="1" t="n">
        <v>46086</v>
      </c>
      <c r="D415" t="inlineStr">
        <is>
          <t>ÖSTERGÖTLANDS LÄN</t>
        </is>
      </c>
      <c r="E415" t="inlineStr">
        <is>
          <t>LINKÖPING</t>
        </is>
      </c>
      <c r="F415" t="inlineStr">
        <is>
          <t>Övriga Aktiebolag</t>
        </is>
      </c>
      <c r="G415" t="n">
        <v>0.7</v>
      </c>
      <c r="H415" t="n">
        <v>0</v>
      </c>
      <c r="I415" t="n">
        <v>0</v>
      </c>
      <c r="J415" t="n">
        <v>0</v>
      </c>
      <c r="K415" t="n">
        <v>0</v>
      </c>
      <c r="L415" t="n">
        <v>0</v>
      </c>
      <c r="M415" t="n">
        <v>0</v>
      </c>
      <c r="N415" t="n">
        <v>0</v>
      </c>
      <c r="O415" t="n">
        <v>0</v>
      </c>
      <c r="P415" t="n">
        <v>0</v>
      </c>
      <c r="Q415" t="n">
        <v>0</v>
      </c>
      <c r="R415" s="2" t="inlineStr"/>
    </row>
    <row r="416" ht="15" customHeight="1">
      <c r="A416" t="inlineStr">
        <is>
          <t>A 25829-2025</t>
        </is>
      </c>
      <c r="B416" s="1" t="n">
        <v>45804.44505787037</v>
      </c>
      <c r="C416" s="1" t="n">
        <v>46086</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38046-2025</t>
        </is>
      </c>
      <c r="B417" s="1" t="n">
        <v>45882.39939814815</v>
      </c>
      <c r="C417" s="1" t="n">
        <v>46086</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56792-2023</t>
        </is>
      </c>
      <c r="B418" s="1" t="n">
        <v>45244</v>
      </c>
      <c r="C418" s="1" t="n">
        <v>46086</v>
      </c>
      <c r="D418" t="inlineStr">
        <is>
          <t>ÖSTERGÖTLANDS LÄN</t>
        </is>
      </c>
      <c r="E418" t="inlineStr">
        <is>
          <t>LINKÖPING</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39017-2021</t>
        </is>
      </c>
      <c r="B419" s="1" t="n">
        <v>44412</v>
      </c>
      <c r="C419" s="1" t="n">
        <v>46086</v>
      </c>
      <c r="D419" t="inlineStr">
        <is>
          <t>ÖSTERGÖTLANDS LÄN</t>
        </is>
      </c>
      <c r="E419" t="inlineStr">
        <is>
          <t>LINKÖPING</t>
        </is>
      </c>
      <c r="F419" t="inlineStr">
        <is>
          <t>Övriga statliga verk och myndigheter</t>
        </is>
      </c>
      <c r="G419" t="n">
        <v>0.8</v>
      </c>
      <c r="H419" t="n">
        <v>0</v>
      </c>
      <c r="I419" t="n">
        <v>0</v>
      </c>
      <c r="J419" t="n">
        <v>0</v>
      </c>
      <c r="K419" t="n">
        <v>0</v>
      </c>
      <c r="L419" t="n">
        <v>0</v>
      </c>
      <c r="M419" t="n">
        <v>0</v>
      </c>
      <c r="N419" t="n">
        <v>0</v>
      </c>
      <c r="O419" t="n">
        <v>0</v>
      </c>
      <c r="P419" t="n">
        <v>0</v>
      </c>
      <c r="Q419" t="n">
        <v>0</v>
      </c>
      <c r="R419" s="2" t="inlineStr"/>
    </row>
    <row r="420" ht="15" customHeight="1">
      <c r="A420" t="inlineStr">
        <is>
          <t>A 40983-2025</t>
        </is>
      </c>
      <c r="B420" s="1" t="n">
        <v>45898</v>
      </c>
      <c r="C420" s="1" t="n">
        <v>46086</v>
      </c>
      <c r="D420" t="inlineStr">
        <is>
          <t>ÖSTERGÖTLANDS LÄN</t>
        </is>
      </c>
      <c r="E420" t="inlineStr">
        <is>
          <t>LINKÖPING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50056-2025</t>
        </is>
      </c>
      <c r="B421" s="1" t="n">
        <v>45941</v>
      </c>
      <c r="C421" s="1" t="n">
        <v>46086</v>
      </c>
      <c r="D421" t="inlineStr">
        <is>
          <t>ÖSTERGÖTLANDS LÄN</t>
        </is>
      </c>
      <c r="E421" t="inlineStr">
        <is>
          <t>LINKÖPING</t>
        </is>
      </c>
      <c r="G421" t="n">
        <v>0.3</v>
      </c>
      <c r="H421" t="n">
        <v>0</v>
      </c>
      <c r="I421" t="n">
        <v>0</v>
      </c>
      <c r="J421" t="n">
        <v>0</v>
      </c>
      <c r="K421" t="n">
        <v>0</v>
      </c>
      <c r="L421" t="n">
        <v>0</v>
      </c>
      <c r="M421" t="n">
        <v>0</v>
      </c>
      <c r="N421" t="n">
        <v>0</v>
      </c>
      <c r="O421" t="n">
        <v>0</v>
      </c>
      <c r="P421" t="n">
        <v>0</v>
      </c>
      <c r="Q421" t="n">
        <v>0</v>
      </c>
      <c r="R421" s="2" t="inlineStr"/>
    </row>
    <row r="422" ht="15" customHeight="1">
      <c r="A422" t="inlineStr">
        <is>
          <t>A 50667-2025</t>
        </is>
      </c>
      <c r="B422" s="1" t="n">
        <v>45945</v>
      </c>
      <c r="C422" s="1" t="n">
        <v>46086</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61281-2021</t>
        </is>
      </c>
      <c r="B423" s="1" t="n">
        <v>44498.60736111111</v>
      </c>
      <c r="C423" s="1" t="n">
        <v>46086</v>
      </c>
      <c r="D423" t="inlineStr">
        <is>
          <t>ÖSTERGÖTLANDS LÄN</t>
        </is>
      </c>
      <c r="E423" t="inlineStr">
        <is>
          <t>LINKÖPING</t>
        </is>
      </c>
      <c r="G423" t="n">
        <v>4.5</v>
      </c>
      <c r="H423" t="n">
        <v>0</v>
      </c>
      <c r="I423" t="n">
        <v>0</v>
      </c>
      <c r="J423" t="n">
        <v>0</v>
      </c>
      <c r="K423" t="n">
        <v>0</v>
      </c>
      <c r="L423" t="n">
        <v>0</v>
      </c>
      <c r="M423" t="n">
        <v>0</v>
      </c>
      <c r="N423" t="n">
        <v>0</v>
      </c>
      <c r="O423" t="n">
        <v>0</v>
      </c>
      <c r="P423" t="n">
        <v>0</v>
      </c>
      <c r="Q423" t="n">
        <v>0</v>
      </c>
      <c r="R423" s="2" t="inlineStr"/>
    </row>
    <row r="424" ht="15" customHeight="1">
      <c r="A424" t="inlineStr">
        <is>
          <t>A 25292-2021</t>
        </is>
      </c>
      <c r="B424" s="1" t="n">
        <v>44342</v>
      </c>
      <c r="C424" s="1" t="n">
        <v>46086</v>
      </c>
      <c r="D424" t="inlineStr">
        <is>
          <t>ÖSTERGÖTLANDS LÄN</t>
        </is>
      </c>
      <c r="E424" t="inlineStr">
        <is>
          <t>LINKÖPING</t>
        </is>
      </c>
      <c r="F424" t="inlineStr">
        <is>
          <t>Övriga Aktiebolag</t>
        </is>
      </c>
      <c r="G424" t="n">
        <v>12.8</v>
      </c>
      <c r="H424" t="n">
        <v>0</v>
      </c>
      <c r="I424" t="n">
        <v>0</v>
      </c>
      <c r="J424" t="n">
        <v>0</v>
      </c>
      <c r="K424" t="n">
        <v>0</v>
      </c>
      <c r="L424" t="n">
        <v>0</v>
      </c>
      <c r="M424" t="n">
        <v>0</v>
      </c>
      <c r="N424" t="n">
        <v>0</v>
      </c>
      <c r="O424" t="n">
        <v>0</v>
      </c>
      <c r="P424" t="n">
        <v>0</v>
      </c>
      <c r="Q424" t="n">
        <v>0</v>
      </c>
      <c r="R424" s="2" t="inlineStr"/>
    </row>
    <row r="425" ht="15" customHeight="1">
      <c r="A425" t="inlineStr">
        <is>
          <t>A 63935-2021</t>
        </is>
      </c>
      <c r="B425" s="1" t="n">
        <v>44509</v>
      </c>
      <c r="C425" s="1" t="n">
        <v>46086</v>
      </c>
      <c r="D425" t="inlineStr">
        <is>
          <t>ÖSTERGÖTLANDS LÄN</t>
        </is>
      </c>
      <c r="E425" t="inlineStr">
        <is>
          <t>LINKÖPING</t>
        </is>
      </c>
      <c r="F425" t="inlineStr">
        <is>
          <t>Övriga statliga verk och myndigheter</t>
        </is>
      </c>
      <c r="G425" t="n">
        <v>2.8</v>
      </c>
      <c r="H425" t="n">
        <v>0</v>
      </c>
      <c r="I425" t="n">
        <v>0</v>
      </c>
      <c r="J425" t="n">
        <v>0</v>
      </c>
      <c r="K425" t="n">
        <v>0</v>
      </c>
      <c r="L425" t="n">
        <v>0</v>
      </c>
      <c r="M425" t="n">
        <v>0</v>
      </c>
      <c r="N425" t="n">
        <v>0</v>
      </c>
      <c r="O425" t="n">
        <v>0</v>
      </c>
      <c r="P425" t="n">
        <v>0</v>
      </c>
      <c r="Q425" t="n">
        <v>0</v>
      </c>
      <c r="R425" s="2" t="inlineStr"/>
    </row>
    <row r="426" ht="15" customHeight="1">
      <c r="A426" t="inlineStr">
        <is>
          <t>A 38971-2025</t>
        </is>
      </c>
      <c r="B426" s="1" t="n">
        <v>45887.71827546296</v>
      </c>
      <c r="C426" s="1" t="n">
        <v>46086</v>
      </c>
      <c r="D426" t="inlineStr">
        <is>
          <t>ÖSTERGÖTLANDS LÄN</t>
        </is>
      </c>
      <c r="E426" t="inlineStr">
        <is>
          <t>LINKÖPING</t>
        </is>
      </c>
      <c r="G426" t="n">
        <v>3.9</v>
      </c>
      <c r="H426" t="n">
        <v>0</v>
      </c>
      <c r="I426" t="n">
        <v>0</v>
      </c>
      <c r="J426" t="n">
        <v>0</v>
      </c>
      <c r="K426" t="n">
        <v>0</v>
      </c>
      <c r="L426" t="n">
        <v>0</v>
      </c>
      <c r="M426" t="n">
        <v>0</v>
      </c>
      <c r="N426" t="n">
        <v>0</v>
      </c>
      <c r="O426" t="n">
        <v>0</v>
      </c>
      <c r="P426" t="n">
        <v>0</v>
      </c>
      <c r="Q426" t="n">
        <v>0</v>
      </c>
      <c r="R426" s="2" t="inlineStr"/>
    </row>
    <row r="427" ht="15" customHeight="1">
      <c r="A427" t="inlineStr">
        <is>
          <t>A 51802-2025</t>
        </is>
      </c>
      <c r="B427" s="1" t="n">
        <v>45950</v>
      </c>
      <c r="C427" s="1" t="n">
        <v>46086</v>
      </c>
      <c r="D427" t="inlineStr">
        <is>
          <t>ÖSTERGÖTLANDS LÄN</t>
        </is>
      </c>
      <c r="E427" t="inlineStr">
        <is>
          <t>LINKÖPING</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55345-2021</t>
        </is>
      </c>
      <c r="B428" s="1" t="n">
        <v>44475</v>
      </c>
      <c r="C428" s="1" t="n">
        <v>46086</v>
      </c>
      <c r="D428" t="inlineStr">
        <is>
          <t>ÖSTERGÖTLANDS LÄN</t>
        </is>
      </c>
      <c r="E428" t="inlineStr">
        <is>
          <t>LINKÖPING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1260-2023</t>
        </is>
      </c>
      <c r="B429" s="1" t="n">
        <v>44936</v>
      </c>
      <c r="C429" s="1" t="n">
        <v>46086</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52111-2025</t>
        </is>
      </c>
      <c r="B430" s="1" t="n">
        <v>45952.69527777778</v>
      </c>
      <c r="C430" s="1" t="n">
        <v>46086</v>
      </c>
      <c r="D430" t="inlineStr">
        <is>
          <t>ÖSTERGÖTLANDS LÄN</t>
        </is>
      </c>
      <c r="E430" t="inlineStr">
        <is>
          <t>LINKÖPING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1355-2023</t>
        </is>
      </c>
      <c r="B431" s="1" t="n">
        <v>44931</v>
      </c>
      <c r="C431" s="1" t="n">
        <v>46086</v>
      </c>
      <c r="D431" t="inlineStr">
        <is>
          <t>ÖSTERGÖTLANDS LÄN</t>
        </is>
      </c>
      <c r="E431" t="inlineStr">
        <is>
          <t>LINKÖPING</t>
        </is>
      </c>
      <c r="G431" t="n">
        <v>4</v>
      </c>
      <c r="H431" t="n">
        <v>0</v>
      </c>
      <c r="I431" t="n">
        <v>0</v>
      </c>
      <c r="J431" t="n">
        <v>0</v>
      </c>
      <c r="K431" t="n">
        <v>0</v>
      </c>
      <c r="L431" t="n">
        <v>0</v>
      </c>
      <c r="M431" t="n">
        <v>0</v>
      </c>
      <c r="N431" t="n">
        <v>0</v>
      </c>
      <c r="O431" t="n">
        <v>0</v>
      </c>
      <c r="P431" t="n">
        <v>0</v>
      </c>
      <c r="Q431" t="n">
        <v>0</v>
      </c>
      <c r="R431" s="2" t="inlineStr"/>
    </row>
    <row r="432" ht="15" customHeight="1">
      <c r="A432" t="inlineStr">
        <is>
          <t>A 3007-2025</t>
        </is>
      </c>
      <c r="B432" s="1" t="n">
        <v>45678.56328703704</v>
      </c>
      <c r="C432" s="1" t="n">
        <v>46086</v>
      </c>
      <c r="D432" t="inlineStr">
        <is>
          <t>ÖSTERGÖTLANDS LÄN</t>
        </is>
      </c>
      <c r="E432" t="inlineStr">
        <is>
          <t>LINKÖPING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10492-2022</t>
        </is>
      </c>
      <c r="B433" s="1" t="n">
        <v>44623.6377199074</v>
      </c>
      <c r="C433" s="1" t="n">
        <v>46086</v>
      </c>
      <c r="D433" t="inlineStr">
        <is>
          <t>ÖSTERGÖTLANDS LÄN</t>
        </is>
      </c>
      <c r="E433" t="inlineStr">
        <is>
          <t>LINKÖPING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52740-2025</t>
        </is>
      </c>
      <c r="B434" s="1" t="n">
        <v>45957.37747685185</v>
      </c>
      <c r="C434" s="1" t="n">
        <v>46086</v>
      </c>
      <c r="D434" t="inlineStr">
        <is>
          <t>ÖSTERGÖTLANDS LÄN</t>
        </is>
      </c>
      <c r="E434" t="inlineStr">
        <is>
          <t>LINKÖPING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30465-2023</t>
        </is>
      </c>
      <c r="B435" s="1" t="n">
        <v>45111</v>
      </c>
      <c r="C435" s="1" t="n">
        <v>46086</v>
      </c>
      <c r="D435" t="inlineStr">
        <is>
          <t>ÖSTERGÖTLANDS LÄN</t>
        </is>
      </c>
      <c r="E435" t="inlineStr">
        <is>
          <t>LINKÖPING</t>
        </is>
      </c>
      <c r="F435" t="inlineStr">
        <is>
          <t>Övriga Aktiebolag</t>
        </is>
      </c>
      <c r="G435" t="n">
        <v>0.7</v>
      </c>
      <c r="H435" t="n">
        <v>0</v>
      </c>
      <c r="I435" t="n">
        <v>0</v>
      </c>
      <c r="J435" t="n">
        <v>0</v>
      </c>
      <c r="K435" t="n">
        <v>0</v>
      </c>
      <c r="L435" t="n">
        <v>0</v>
      </c>
      <c r="M435" t="n">
        <v>0</v>
      </c>
      <c r="N435" t="n">
        <v>0</v>
      </c>
      <c r="O435" t="n">
        <v>0</v>
      </c>
      <c r="P435" t="n">
        <v>0</v>
      </c>
      <c r="Q435" t="n">
        <v>0</v>
      </c>
      <c r="R435" s="2" t="inlineStr"/>
    </row>
    <row r="436" ht="15" customHeight="1">
      <c r="A436" t="inlineStr">
        <is>
          <t>A 39021-2021</t>
        </is>
      </c>
      <c r="B436" s="1" t="n">
        <v>44412</v>
      </c>
      <c r="C436" s="1" t="n">
        <v>46086</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52800-2025</t>
        </is>
      </c>
      <c r="B437" s="1" t="n">
        <v>45957.44152777778</v>
      </c>
      <c r="C437" s="1" t="n">
        <v>46086</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52802-2025</t>
        </is>
      </c>
      <c r="B438" s="1" t="n">
        <v>45957.44295138889</v>
      </c>
      <c r="C438" s="1" t="n">
        <v>46086</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62353-2022</t>
        </is>
      </c>
      <c r="B439" s="1" t="n">
        <v>44923</v>
      </c>
      <c r="C439" s="1" t="n">
        <v>46086</v>
      </c>
      <c r="D439" t="inlineStr">
        <is>
          <t>ÖSTERGÖTLANDS LÄN</t>
        </is>
      </c>
      <c r="E439" t="inlineStr">
        <is>
          <t>LINKÖPING</t>
        </is>
      </c>
      <c r="F439" t="inlineStr">
        <is>
          <t>Allmännings- och besparingsskogar</t>
        </is>
      </c>
      <c r="G439" t="n">
        <v>1.7</v>
      </c>
      <c r="H439" t="n">
        <v>0</v>
      </c>
      <c r="I439" t="n">
        <v>0</v>
      </c>
      <c r="J439" t="n">
        <v>0</v>
      </c>
      <c r="K439" t="n">
        <v>0</v>
      </c>
      <c r="L439" t="n">
        <v>0</v>
      </c>
      <c r="M439" t="n">
        <v>0</v>
      </c>
      <c r="N439" t="n">
        <v>0</v>
      </c>
      <c r="O439" t="n">
        <v>0</v>
      </c>
      <c r="P439" t="n">
        <v>0</v>
      </c>
      <c r="Q439" t="n">
        <v>0</v>
      </c>
      <c r="R439" s="2" t="inlineStr"/>
    </row>
    <row r="440" ht="15" customHeight="1">
      <c r="A440" t="inlineStr">
        <is>
          <t>A 52743-2025</t>
        </is>
      </c>
      <c r="B440" s="1" t="n">
        <v>45957.38039351852</v>
      </c>
      <c r="C440" s="1" t="n">
        <v>46086</v>
      </c>
      <c r="D440" t="inlineStr">
        <is>
          <t>ÖSTERGÖTLANDS LÄN</t>
        </is>
      </c>
      <c r="E440" t="inlineStr">
        <is>
          <t>LINKÖPING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52807-2025</t>
        </is>
      </c>
      <c r="B441" s="1" t="n">
        <v>45957.44837962963</v>
      </c>
      <c r="C441" s="1" t="n">
        <v>46086</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30111-2024</t>
        </is>
      </c>
      <c r="B442" s="1" t="n">
        <v>45489.46947916667</v>
      </c>
      <c r="C442" s="1" t="n">
        <v>46086</v>
      </c>
      <c r="D442" t="inlineStr">
        <is>
          <t>ÖSTERGÖTLANDS LÄN</t>
        </is>
      </c>
      <c r="E442" t="inlineStr">
        <is>
          <t>LINKÖPING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30119-2024</t>
        </is>
      </c>
      <c r="B443" s="1" t="n">
        <v>45489</v>
      </c>
      <c r="C443" s="1" t="n">
        <v>46086</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29411-2023</t>
        </is>
      </c>
      <c r="B444" s="1" t="n">
        <v>45106.46225694445</v>
      </c>
      <c r="C444" s="1" t="n">
        <v>46086</v>
      </c>
      <c r="D444" t="inlineStr">
        <is>
          <t>ÖSTERGÖTLANDS LÄN</t>
        </is>
      </c>
      <c r="E444" t="inlineStr">
        <is>
          <t>LINKÖPING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29412-2023</t>
        </is>
      </c>
      <c r="B445" s="1" t="n">
        <v>45106.46359953703</v>
      </c>
      <c r="C445" s="1" t="n">
        <v>46086</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31792-2021</t>
        </is>
      </c>
      <c r="B446" s="1" t="n">
        <v>44369</v>
      </c>
      <c r="C446" s="1" t="n">
        <v>46086</v>
      </c>
      <c r="D446" t="inlineStr">
        <is>
          <t>ÖSTERGÖTLANDS LÄN</t>
        </is>
      </c>
      <c r="E446" t="inlineStr">
        <is>
          <t>LINKÖPING</t>
        </is>
      </c>
      <c r="G446" t="n">
        <v>1.9</v>
      </c>
      <c r="H446" t="n">
        <v>0</v>
      </c>
      <c r="I446" t="n">
        <v>0</v>
      </c>
      <c r="J446" t="n">
        <v>0</v>
      </c>
      <c r="K446" t="n">
        <v>0</v>
      </c>
      <c r="L446" t="n">
        <v>0</v>
      </c>
      <c r="M446" t="n">
        <v>0</v>
      </c>
      <c r="N446" t="n">
        <v>0</v>
      </c>
      <c r="O446" t="n">
        <v>0</v>
      </c>
      <c r="P446" t="n">
        <v>0</v>
      </c>
      <c r="Q446" t="n">
        <v>0</v>
      </c>
      <c r="R446" s="2" t="inlineStr"/>
    </row>
    <row r="447" ht="15" customHeight="1">
      <c r="A447" t="inlineStr">
        <is>
          <t>A 421-2024</t>
        </is>
      </c>
      <c r="B447" s="1" t="n">
        <v>45296.51877314815</v>
      </c>
      <c r="C447" s="1" t="n">
        <v>46086</v>
      </c>
      <c r="D447" t="inlineStr">
        <is>
          <t>ÖSTERGÖTLANDS LÄN</t>
        </is>
      </c>
      <c r="E447" t="inlineStr">
        <is>
          <t>LINKÖPING</t>
        </is>
      </c>
      <c r="G447" t="n">
        <v>3.7</v>
      </c>
      <c r="H447" t="n">
        <v>0</v>
      </c>
      <c r="I447" t="n">
        <v>0</v>
      </c>
      <c r="J447" t="n">
        <v>0</v>
      </c>
      <c r="K447" t="n">
        <v>0</v>
      </c>
      <c r="L447" t="n">
        <v>0</v>
      </c>
      <c r="M447" t="n">
        <v>0</v>
      </c>
      <c r="N447" t="n">
        <v>0</v>
      </c>
      <c r="O447" t="n">
        <v>0</v>
      </c>
      <c r="P447" t="n">
        <v>0</v>
      </c>
      <c r="Q447" t="n">
        <v>0</v>
      </c>
      <c r="R447" s="2" t="inlineStr"/>
    </row>
    <row r="448" ht="15" customHeight="1">
      <c r="A448" t="inlineStr">
        <is>
          <t>A 22043-2023</t>
        </is>
      </c>
      <c r="B448" s="1" t="n">
        <v>45069.39050925926</v>
      </c>
      <c r="C448" s="1" t="n">
        <v>46086</v>
      </c>
      <c r="D448" t="inlineStr">
        <is>
          <t>ÖSTERGÖTLANDS LÄN</t>
        </is>
      </c>
      <c r="E448" t="inlineStr">
        <is>
          <t>LINKÖPING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61532-2021</t>
        </is>
      </c>
      <c r="B449" s="1" t="n">
        <v>44501</v>
      </c>
      <c r="C449" s="1" t="n">
        <v>46086</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14028-2024</t>
        </is>
      </c>
      <c r="B450" s="1" t="n">
        <v>45392</v>
      </c>
      <c r="C450" s="1" t="n">
        <v>46086</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40431-2024</t>
        </is>
      </c>
      <c r="B451" s="1" t="n">
        <v>45555.47070601852</v>
      </c>
      <c r="C451" s="1" t="n">
        <v>46086</v>
      </c>
      <c r="D451" t="inlineStr">
        <is>
          <t>ÖSTERGÖTLANDS LÄN</t>
        </is>
      </c>
      <c r="E451" t="inlineStr">
        <is>
          <t>LINKÖPING</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60860-2024</t>
        </is>
      </c>
      <c r="B452" s="1" t="n">
        <v>45644.6893287037</v>
      </c>
      <c r="C452" s="1" t="n">
        <v>46086</v>
      </c>
      <c r="D452" t="inlineStr">
        <is>
          <t>ÖSTERGÖTLANDS LÄN</t>
        </is>
      </c>
      <c r="E452" t="inlineStr">
        <is>
          <t>LINKÖPING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54332-2025</t>
        </is>
      </c>
      <c r="B453" s="1" t="n">
        <v>45965.34915509259</v>
      </c>
      <c r="C453" s="1" t="n">
        <v>46086</v>
      </c>
      <c r="D453" t="inlineStr">
        <is>
          <t>ÖSTERGÖTLANDS LÄN</t>
        </is>
      </c>
      <c r="E453" t="inlineStr">
        <is>
          <t>LINKÖPING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54329-2025</t>
        </is>
      </c>
      <c r="B454" s="1" t="n">
        <v>45965.34706018519</v>
      </c>
      <c r="C454" s="1" t="n">
        <v>46086</v>
      </c>
      <c r="D454" t="inlineStr">
        <is>
          <t>ÖSTERGÖTLANDS LÄN</t>
        </is>
      </c>
      <c r="E454" t="inlineStr">
        <is>
          <t>LINKÖPING</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2697-2023</t>
        </is>
      </c>
      <c r="B455" s="1" t="n">
        <v>44944</v>
      </c>
      <c r="C455" s="1" t="n">
        <v>46086</v>
      </c>
      <c r="D455" t="inlineStr">
        <is>
          <t>ÖSTERGÖTLANDS LÄN</t>
        </is>
      </c>
      <c r="E455" t="inlineStr">
        <is>
          <t>LINKÖPING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45806-2024</t>
        </is>
      </c>
      <c r="B456" s="1" t="n">
        <v>45579.69619212963</v>
      </c>
      <c r="C456" s="1" t="n">
        <v>46086</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56756-2023</t>
        </is>
      </c>
      <c r="B457" s="1" t="n">
        <v>45244</v>
      </c>
      <c r="C457" s="1" t="n">
        <v>46086</v>
      </c>
      <c r="D457" t="inlineStr">
        <is>
          <t>ÖSTERGÖTLANDS LÄN</t>
        </is>
      </c>
      <c r="E457" t="inlineStr">
        <is>
          <t>LINKÖPING</t>
        </is>
      </c>
      <c r="F457" t="inlineStr">
        <is>
          <t>Övriga Aktiebolag</t>
        </is>
      </c>
      <c r="G457" t="n">
        <v>0.8</v>
      </c>
      <c r="H457" t="n">
        <v>0</v>
      </c>
      <c r="I457" t="n">
        <v>0</v>
      </c>
      <c r="J457" t="n">
        <v>0</v>
      </c>
      <c r="K457" t="n">
        <v>0</v>
      </c>
      <c r="L457" t="n">
        <v>0</v>
      </c>
      <c r="M457" t="n">
        <v>0</v>
      </c>
      <c r="N457" t="n">
        <v>0</v>
      </c>
      <c r="O457" t="n">
        <v>0</v>
      </c>
      <c r="P457" t="n">
        <v>0</v>
      </c>
      <c r="Q457" t="n">
        <v>0</v>
      </c>
      <c r="R457" s="2" t="inlineStr"/>
    </row>
    <row r="458" ht="15" customHeight="1">
      <c r="A458" t="inlineStr">
        <is>
          <t>A 54333-2025</t>
        </is>
      </c>
      <c r="B458" s="1" t="n">
        <v>45965.35090277778</v>
      </c>
      <c r="C458" s="1" t="n">
        <v>46086</v>
      </c>
      <c r="D458" t="inlineStr">
        <is>
          <t>ÖSTERGÖTLANDS LÄN</t>
        </is>
      </c>
      <c r="E458" t="inlineStr">
        <is>
          <t>LINKÖPING</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60985-2023</t>
        </is>
      </c>
      <c r="B459" s="1" t="n">
        <v>45261.48429398148</v>
      </c>
      <c r="C459" s="1" t="n">
        <v>46086</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24904-2024</t>
        </is>
      </c>
      <c r="B460" s="1" t="n">
        <v>45461</v>
      </c>
      <c r="C460" s="1" t="n">
        <v>46086</v>
      </c>
      <c r="D460" t="inlineStr">
        <is>
          <t>ÖSTERGÖTLANDS LÄN</t>
        </is>
      </c>
      <c r="E460" t="inlineStr">
        <is>
          <t>LINKÖPING</t>
        </is>
      </c>
      <c r="G460" t="n">
        <v>3.8</v>
      </c>
      <c r="H460" t="n">
        <v>0</v>
      </c>
      <c r="I460" t="n">
        <v>0</v>
      </c>
      <c r="J460" t="n">
        <v>0</v>
      </c>
      <c r="K460" t="n">
        <v>0</v>
      </c>
      <c r="L460" t="n">
        <v>0</v>
      </c>
      <c r="M460" t="n">
        <v>0</v>
      </c>
      <c r="N460" t="n">
        <v>0</v>
      </c>
      <c r="O460" t="n">
        <v>0</v>
      </c>
      <c r="P460" t="n">
        <v>0</v>
      </c>
      <c r="Q460" t="n">
        <v>0</v>
      </c>
      <c r="R460" s="2" t="inlineStr"/>
    </row>
    <row r="461" ht="15" customHeight="1">
      <c r="A461" t="inlineStr">
        <is>
          <t>A 55009-2023</t>
        </is>
      </c>
      <c r="B461" s="1" t="n">
        <v>45237</v>
      </c>
      <c r="C461" s="1" t="n">
        <v>46086</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34872-2023</t>
        </is>
      </c>
      <c r="B462" s="1" t="n">
        <v>45140</v>
      </c>
      <c r="C462" s="1" t="n">
        <v>46086</v>
      </c>
      <c r="D462" t="inlineStr">
        <is>
          <t>ÖSTERGÖTLANDS LÄN</t>
        </is>
      </c>
      <c r="E462" t="inlineStr">
        <is>
          <t>LINKÖPING</t>
        </is>
      </c>
      <c r="G462" t="n">
        <v>4.8</v>
      </c>
      <c r="H462" t="n">
        <v>0</v>
      </c>
      <c r="I462" t="n">
        <v>0</v>
      </c>
      <c r="J462" t="n">
        <v>0</v>
      </c>
      <c r="K462" t="n">
        <v>0</v>
      </c>
      <c r="L462" t="n">
        <v>0</v>
      </c>
      <c r="M462" t="n">
        <v>0</v>
      </c>
      <c r="N462" t="n">
        <v>0</v>
      </c>
      <c r="O462" t="n">
        <v>0</v>
      </c>
      <c r="P462" t="n">
        <v>0</v>
      </c>
      <c r="Q462" t="n">
        <v>0</v>
      </c>
      <c r="R462" s="2" t="inlineStr"/>
    </row>
    <row r="463" ht="15" customHeight="1">
      <c r="A463" t="inlineStr">
        <is>
          <t>A 55102-2025</t>
        </is>
      </c>
      <c r="B463" s="1" t="n">
        <v>45968.35410879629</v>
      </c>
      <c r="C463" s="1" t="n">
        <v>46086</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55132-2025</t>
        </is>
      </c>
      <c r="B464" s="1" t="n">
        <v>45968.41912037037</v>
      </c>
      <c r="C464" s="1" t="n">
        <v>46086</v>
      </c>
      <c r="D464" t="inlineStr">
        <is>
          <t>ÖSTERGÖTLANDS LÄN</t>
        </is>
      </c>
      <c r="E464" t="inlineStr">
        <is>
          <t>LINKÖPING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55109-2025</t>
        </is>
      </c>
      <c r="B465" s="1" t="n">
        <v>45968.37731481482</v>
      </c>
      <c r="C465" s="1" t="n">
        <v>46086</v>
      </c>
      <c r="D465" t="inlineStr">
        <is>
          <t>ÖSTERGÖTLANDS LÄN</t>
        </is>
      </c>
      <c r="E465" t="inlineStr">
        <is>
          <t>LINKÖPING</t>
        </is>
      </c>
      <c r="G465" t="n">
        <v>3.2</v>
      </c>
      <c r="H465" t="n">
        <v>0</v>
      </c>
      <c r="I465" t="n">
        <v>0</v>
      </c>
      <c r="J465" t="n">
        <v>0</v>
      </c>
      <c r="K465" t="n">
        <v>0</v>
      </c>
      <c r="L465" t="n">
        <v>0</v>
      </c>
      <c r="M465" t="n">
        <v>0</v>
      </c>
      <c r="N465" t="n">
        <v>0</v>
      </c>
      <c r="O465" t="n">
        <v>0</v>
      </c>
      <c r="P465" t="n">
        <v>0</v>
      </c>
      <c r="Q465" t="n">
        <v>0</v>
      </c>
      <c r="R465" s="2" t="inlineStr"/>
    </row>
    <row r="466" ht="15" customHeight="1">
      <c r="A466" t="inlineStr">
        <is>
          <t>A 55165-2025</t>
        </is>
      </c>
      <c r="B466" s="1" t="n">
        <v>45968.48194444444</v>
      </c>
      <c r="C466" s="1" t="n">
        <v>46086</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36336-2022</t>
        </is>
      </c>
      <c r="B467" s="1" t="n">
        <v>44803</v>
      </c>
      <c r="C467" s="1" t="n">
        <v>46086</v>
      </c>
      <c r="D467" t="inlineStr">
        <is>
          <t>ÖSTERGÖTLANDS LÄN</t>
        </is>
      </c>
      <c r="E467" t="inlineStr">
        <is>
          <t>LINKÖPING</t>
        </is>
      </c>
      <c r="G467" t="n">
        <v>1.1</v>
      </c>
      <c r="H467" t="n">
        <v>0</v>
      </c>
      <c r="I467" t="n">
        <v>0</v>
      </c>
      <c r="J467" t="n">
        <v>0</v>
      </c>
      <c r="K467" t="n">
        <v>0</v>
      </c>
      <c r="L467" t="n">
        <v>0</v>
      </c>
      <c r="M467" t="n">
        <v>0</v>
      </c>
      <c r="N467" t="n">
        <v>0</v>
      </c>
      <c r="O467" t="n">
        <v>0</v>
      </c>
      <c r="P467" t="n">
        <v>0</v>
      </c>
      <c r="Q467" t="n">
        <v>0</v>
      </c>
      <c r="R467" s="2" t="inlineStr"/>
    </row>
    <row r="468" ht="15" customHeight="1">
      <c r="A468" t="inlineStr">
        <is>
          <t>A 25097-2023</t>
        </is>
      </c>
      <c r="B468" s="1" t="n">
        <v>45086</v>
      </c>
      <c r="C468" s="1" t="n">
        <v>46086</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56113-2025</t>
        </is>
      </c>
      <c r="B469" s="1" t="n">
        <v>45973.73924768518</v>
      </c>
      <c r="C469" s="1" t="n">
        <v>46086</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56105-2025</t>
        </is>
      </c>
      <c r="B470" s="1" t="n">
        <v>45973.72855324074</v>
      </c>
      <c r="C470" s="1" t="n">
        <v>46086</v>
      </c>
      <c r="D470" t="inlineStr">
        <is>
          <t>ÖSTERGÖTLANDS LÄN</t>
        </is>
      </c>
      <c r="E470" t="inlineStr">
        <is>
          <t>LINKÖPING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56403-2025</t>
        </is>
      </c>
      <c r="B471" s="1" t="n">
        <v>45974</v>
      </c>
      <c r="C471" s="1" t="n">
        <v>46086</v>
      </c>
      <c r="D471" t="inlineStr">
        <is>
          <t>ÖSTERGÖTLANDS LÄN</t>
        </is>
      </c>
      <c r="E471" t="inlineStr">
        <is>
          <t>LINKÖPING</t>
        </is>
      </c>
      <c r="G471" t="n">
        <v>3.3</v>
      </c>
      <c r="H471" t="n">
        <v>0</v>
      </c>
      <c r="I471" t="n">
        <v>0</v>
      </c>
      <c r="J471" t="n">
        <v>0</v>
      </c>
      <c r="K471" t="n">
        <v>0</v>
      </c>
      <c r="L471" t="n">
        <v>0</v>
      </c>
      <c r="M471" t="n">
        <v>0</v>
      </c>
      <c r="N471" t="n">
        <v>0</v>
      </c>
      <c r="O471" t="n">
        <v>0</v>
      </c>
      <c r="P471" t="n">
        <v>0</v>
      </c>
      <c r="Q471" t="n">
        <v>0</v>
      </c>
      <c r="R471" s="2" t="inlineStr"/>
    </row>
    <row r="472" ht="15" customHeight="1">
      <c r="A472" t="inlineStr">
        <is>
          <t>A 10461-2023</t>
        </is>
      </c>
      <c r="B472" s="1" t="n">
        <v>44987.5969212963</v>
      </c>
      <c r="C472" s="1" t="n">
        <v>46086</v>
      </c>
      <c r="D472" t="inlineStr">
        <is>
          <t>ÖSTERGÖTLANDS LÄN</t>
        </is>
      </c>
      <c r="E472" t="inlineStr">
        <is>
          <t>LINKÖPING</t>
        </is>
      </c>
      <c r="G472" t="n">
        <v>7.8</v>
      </c>
      <c r="H472" t="n">
        <v>0</v>
      </c>
      <c r="I472" t="n">
        <v>0</v>
      </c>
      <c r="J472" t="n">
        <v>0</v>
      </c>
      <c r="K472" t="n">
        <v>0</v>
      </c>
      <c r="L472" t="n">
        <v>0</v>
      </c>
      <c r="M472" t="n">
        <v>0</v>
      </c>
      <c r="N472" t="n">
        <v>0</v>
      </c>
      <c r="O472" t="n">
        <v>0</v>
      </c>
      <c r="P472" t="n">
        <v>0</v>
      </c>
      <c r="Q472" t="n">
        <v>0</v>
      </c>
      <c r="R472" s="2" t="inlineStr"/>
    </row>
    <row r="473" ht="15" customHeight="1">
      <c r="A473" t="inlineStr">
        <is>
          <t>A 50386-2021</t>
        </is>
      </c>
      <c r="B473" s="1" t="n">
        <v>44459</v>
      </c>
      <c r="C473" s="1" t="n">
        <v>46086</v>
      </c>
      <c r="D473" t="inlineStr">
        <is>
          <t>ÖSTERGÖTLANDS LÄN</t>
        </is>
      </c>
      <c r="E473" t="inlineStr">
        <is>
          <t>LINKÖPING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350-2022</t>
        </is>
      </c>
      <c r="B474" s="1" t="n">
        <v>44565</v>
      </c>
      <c r="C474" s="1" t="n">
        <v>46086</v>
      </c>
      <c r="D474" t="inlineStr">
        <is>
          <t>ÖSTERGÖTLANDS LÄN</t>
        </is>
      </c>
      <c r="E474" t="inlineStr">
        <is>
          <t>LINKÖPING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56704-2025</t>
        </is>
      </c>
      <c r="B475" s="1" t="n">
        <v>45977.50608796296</v>
      </c>
      <c r="C475" s="1" t="n">
        <v>46086</v>
      </c>
      <c r="D475" t="inlineStr">
        <is>
          <t>ÖSTERGÖTLANDS LÄN</t>
        </is>
      </c>
      <c r="E475" t="inlineStr">
        <is>
          <t>LINKÖPING</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18891-2022</t>
        </is>
      </c>
      <c r="B476" s="1" t="n">
        <v>44690</v>
      </c>
      <c r="C476" s="1" t="n">
        <v>46086</v>
      </c>
      <c r="D476" t="inlineStr">
        <is>
          <t>ÖSTERGÖTLANDS LÄN</t>
        </is>
      </c>
      <c r="E476" t="inlineStr">
        <is>
          <t>LINKÖPING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30976-2022</t>
        </is>
      </c>
      <c r="B477" s="1" t="n">
        <v>44768</v>
      </c>
      <c r="C477" s="1" t="n">
        <v>46086</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55736-2022</t>
        </is>
      </c>
      <c r="B478" s="1" t="n">
        <v>44888</v>
      </c>
      <c r="C478" s="1" t="n">
        <v>46086</v>
      </c>
      <c r="D478" t="inlineStr">
        <is>
          <t>ÖSTERGÖTLANDS LÄN</t>
        </is>
      </c>
      <c r="E478" t="inlineStr">
        <is>
          <t>LINKÖPING</t>
        </is>
      </c>
      <c r="G478" t="n">
        <v>5.5</v>
      </c>
      <c r="H478" t="n">
        <v>0</v>
      </c>
      <c r="I478" t="n">
        <v>0</v>
      </c>
      <c r="J478" t="n">
        <v>0</v>
      </c>
      <c r="K478" t="n">
        <v>0</v>
      </c>
      <c r="L478" t="n">
        <v>0</v>
      </c>
      <c r="M478" t="n">
        <v>0</v>
      </c>
      <c r="N478" t="n">
        <v>0</v>
      </c>
      <c r="O478" t="n">
        <v>0</v>
      </c>
      <c r="P478" t="n">
        <v>0</v>
      </c>
      <c r="Q478" t="n">
        <v>0</v>
      </c>
      <c r="R478" s="2" t="inlineStr"/>
    </row>
    <row r="479" ht="15" customHeight="1">
      <c r="A479" t="inlineStr">
        <is>
          <t>A 10194-2023</t>
        </is>
      </c>
      <c r="B479" s="1" t="n">
        <v>44986.52277777778</v>
      </c>
      <c r="C479" s="1" t="n">
        <v>46086</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58802-2025</t>
        </is>
      </c>
      <c r="B480" s="1" t="n">
        <v>45986.8768287037</v>
      </c>
      <c r="C480" s="1" t="n">
        <v>46086</v>
      </c>
      <c r="D480" t="inlineStr">
        <is>
          <t>ÖSTERGÖTLANDS LÄN</t>
        </is>
      </c>
      <c r="E480" t="inlineStr">
        <is>
          <t>LINKÖPING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55004-2025</t>
        </is>
      </c>
      <c r="B481" s="1" t="n">
        <v>45967</v>
      </c>
      <c r="C481" s="1" t="n">
        <v>46086</v>
      </c>
      <c r="D481" t="inlineStr">
        <is>
          <t>ÖSTERGÖTLANDS LÄN</t>
        </is>
      </c>
      <c r="E481" t="inlineStr">
        <is>
          <t>LINKÖPING</t>
        </is>
      </c>
      <c r="G481" t="n">
        <v>2.5</v>
      </c>
      <c r="H481" t="n">
        <v>0</v>
      </c>
      <c r="I481" t="n">
        <v>0</v>
      </c>
      <c r="J481" t="n">
        <v>0</v>
      </c>
      <c r="K481" t="n">
        <v>0</v>
      </c>
      <c r="L481" t="n">
        <v>0</v>
      </c>
      <c r="M481" t="n">
        <v>0</v>
      </c>
      <c r="N481" t="n">
        <v>0</v>
      </c>
      <c r="O481" t="n">
        <v>0</v>
      </c>
      <c r="P481" t="n">
        <v>0</v>
      </c>
      <c r="Q481" t="n">
        <v>0</v>
      </c>
      <c r="R481" s="2" t="inlineStr"/>
    </row>
    <row r="482" ht="15" customHeight="1">
      <c r="A482" t="inlineStr">
        <is>
          <t>A 7702-2023</t>
        </is>
      </c>
      <c r="B482" s="1" t="n">
        <v>44967</v>
      </c>
      <c r="C482" s="1" t="n">
        <v>46086</v>
      </c>
      <c r="D482" t="inlineStr">
        <is>
          <t>ÖSTERGÖTLANDS LÄN</t>
        </is>
      </c>
      <c r="E482" t="inlineStr">
        <is>
          <t>LINKÖPING</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59205-2025</t>
        </is>
      </c>
      <c r="B483" s="1" t="n">
        <v>45988.60721064815</v>
      </c>
      <c r="C483" s="1" t="n">
        <v>46086</v>
      </c>
      <c r="D483" t="inlineStr">
        <is>
          <t>ÖSTERGÖTLANDS LÄN</t>
        </is>
      </c>
      <c r="E483" t="inlineStr">
        <is>
          <t>LINKÖPING</t>
        </is>
      </c>
      <c r="F483" t="inlineStr">
        <is>
          <t>Sveaskog</t>
        </is>
      </c>
      <c r="G483" t="n">
        <v>11.3</v>
      </c>
      <c r="H483" t="n">
        <v>0</v>
      </c>
      <c r="I483" t="n">
        <v>0</v>
      </c>
      <c r="J483" t="n">
        <v>0</v>
      </c>
      <c r="K483" t="n">
        <v>0</v>
      </c>
      <c r="L483" t="n">
        <v>0</v>
      </c>
      <c r="M483" t="n">
        <v>0</v>
      </c>
      <c r="N483" t="n">
        <v>0</v>
      </c>
      <c r="O483" t="n">
        <v>0</v>
      </c>
      <c r="P483" t="n">
        <v>0</v>
      </c>
      <c r="Q483" t="n">
        <v>0</v>
      </c>
      <c r="R483" s="2" t="inlineStr"/>
    </row>
    <row r="484" ht="15" customHeight="1">
      <c r="A484" t="inlineStr">
        <is>
          <t>A 42000-2023</t>
        </is>
      </c>
      <c r="B484" s="1" t="n">
        <v>45177</v>
      </c>
      <c r="C484" s="1" t="n">
        <v>46086</v>
      </c>
      <c r="D484" t="inlineStr">
        <is>
          <t>ÖSTERGÖTLANDS LÄN</t>
        </is>
      </c>
      <c r="E484" t="inlineStr">
        <is>
          <t>LINKÖPING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59472-2025</t>
        </is>
      </c>
      <c r="B485" s="1" t="n">
        <v>45989.58321759259</v>
      </c>
      <c r="C485" s="1" t="n">
        <v>46086</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31534-2023</t>
        </is>
      </c>
      <c r="B486" s="1" t="n">
        <v>45116</v>
      </c>
      <c r="C486" s="1" t="n">
        <v>46086</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35427-2023</t>
        </is>
      </c>
      <c r="B487" s="1" t="n">
        <v>45146</v>
      </c>
      <c r="C487" s="1" t="n">
        <v>46086</v>
      </c>
      <c r="D487" t="inlineStr">
        <is>
          <t>ÖSTERGÖTLANDS LÄN</t>
        </is>
      </c>
      <c r="E487" t="inlineStr">
        <is>
          <t>LINKÖPING</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36725-2023</t>
        </is>
      </c>
      <c r="B488" s="1" t="n">
        <v>45153.68471064815</v>
      </c>
      <c r="C488" s="1" t="n">
        <v>46086</v>
      </c>
      <c r="D488" t="inlineStr">
        <is>
          <t>ÖSTERGÖTLANDS LÄN</t>
        </is>
      </c>
      <c r="E488" t="inlineStr">
        <is>
          <t>LINKÖPING</t>
        </is>
      </c>
      <c r="F488" t="inlineStr">
        <is>
          <t>Allmännings- och besparingsskogar</t>
        </is>
      </c>
      <c r="G488" t="n">
        <v>2.6</v>
      </c>
      <c r="H488" t="n">
        <v>0</v>
      </c>
      <c r="I488" t="n">
        <v>0</v>
      </c>
      <c r="J488" t="n">
        <v>0</v>
      </c>
      <c r="K488" t="n">
        <v>0</v>
      </c>
      <c r="L488" t="n">
        <v>0</v>
      </c>
      <c r="M488" t="n">
        <v>0</v>
      </c>
      <c r="N488" t="n">
        <v>0</v>
      </c>
      <c r="O488" t="n">
        <v>0</v>
      </c>
      <c r="P488" t="n">
        <v>0</v>
      </c>
      <c r="Q488" t="n">
        <v>0</v>
      </c>
      <c r="R488" s="2" t="inlineStr"/>
    </row>
    <row r="489" ht="15" customHeight="1">
      <c r="A489" t="inlineStr">
        <is>
          <t>A 60087-2025</t>
        </is>
      </c>
      <c r="B489" s="1" t="n">
        <v>45993.71726851852</v>
      </c>
      <c r="C489" s="1" t="n">
        <v>46086</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53639-2023</t>
        </is>
      </c>
      <c r="B490" s="1" t="n">
        <v>45230.59686342593</v>
      </c>
      <c r="C490" s="1" t="n">
        <v>46086</v>
      </c>
      <c r="D490" t="inlineStr">
        <is>
          <t>ÖSTERGÖTLANDS LÄN</t>
        </is>
      </c>
      <c r="E490" t="inlineStr">
        <is>
          <t>LINKÖPING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1657-2024</t>
        </is>
      </c>
      <c r="B491" s="1" t="n">
        <v>45306.82501157407</v>
      </c>
      <c r="C491" s="1" t="n">
        <v>46086</v>
      </c>
      <c r="D491" t="inlineStr">
        <is>
          <t>ÖSTERGÖTLANDS LÄN</t>
        </is>
      </c>
      <c r="E491" t="inlineStr">
        <is>
          <t>LINKÖPING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50784-2022</t>
        </is>
      </c>
      <c r="B492" s="1" t="n">
        <v>44862</v>
      </c>
      <c r="C492" s="1" t="n">
        <v>46086</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60306-2025</t>
        </is>
      </c>
      <c r="B493" s="1" t="n">
        <v>45994.68326388889</v>
      </c>
      <c r="C493" s="1" t="n">
        <v>46086</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26803-2024</t>
        </is>
      </c>
      <c r="B494" s="1" t="n">
        <v>45470</v>
      </c>
      <c r="C494" s="1" t="n">
        <v>46086</v>
      </c>
      <c r="D494" t="inlineStr">
        <is>
          <t>ÖSTERGÖTLANDS LÄN</t>
        </is>
      </c>
      <c r="E494" t="inlineStr">
        <is>
          <t>LINKÖPING</t>
        </is>
      </c>
      <c r="F494" t="inlineStr">
        <is>
          <t>Allmännings- och besparingsskogar</t>
        </is>
      </c>
      <c r="G494" t="n">
        <v>4.5</v>
      </c>
      <c r="H494" t="n">
        <v>0</v>
      </c>
      <c r="I494" t="n">
        <v>0</v>
      </c>
      <c r="J494" t="n">
        <v>0</v>
      </c>
      <c r="K494" t="n">
        <v>0</v>
      </c>
      <c r="L494" t="n">
        <v>0</v>
      </c>
      <c r="M494" t="n">
        <v>0</v>
      </c>
      <c r="N494" t="n">
        <v>0</v>
      </c>
      <c r="O494" t="n">
        <v>0</v>
      </c>
      <c r="P494" t="n">
        <v>0</v>
      </c>
      <c r="Q494" t="n">
        <v>0</v>
      </c>
      <c r="R494" s="2" t="inlineStr"/>
    </row>
    <row r="495" ht="15" customHeight="1">
      <c r="A495" t="inlineStr">
        <is>
          <t>A 60284-2025</t>
        </is>
      </c>
      <c r="B495" s="1" t="n">
        <v>45994.64373842593</v>
      </c>
      <c r="C495" s="1" t="n">
        <v>46086</v>
      </c>
      <c r="D495" t="inlineStr">
        <is>
          <t>ÖSTERGÖTLANDS LÄN</t>
        </is>
      </c>
      <c r="E495" t="inlineStr">
        <is>
          <t>LINKÖPING</t>
        </is>
      </c>
      <c r="G495" t="n">
        <v>3.5</v>
      </c>
      <c r="H495" t="n">
        <v>0</v>
      </c>
      <c r="I495" t="n">
        <v>0</v>
      </c>
      <c r="J495" t="n">
        <v>0</v>
      </c>
      <c r="K495" t="n">
        <v>0</v>
      </c>
      <c r="L495" t="n">
        <v>0</v>
      </c>
      <c r="M495" t="n">
        <v>0</v>
      </c>
      <c r="N495" t="n">
        <v>0</v>
      </c>
      <c r="O495" t="n">
        <v>0</v>
      </c>
      <c r="P495" t="n">
        <v>0</v>
      </c>
      <c r="Q495" t="n">
        <v>0</v>
      </c>
      <c r="R495" s="2" t="inlineStr"/>
    </row>
    <row r="496" ht="15" customHeight="1">
      <c r="A496" t="inlineStr">
        <is>
          <t>A 19187-2021</t>
        </is>
      </c>
      <c r="B496" s="1" t="n">
        <v>44308</v>
      </c>
      <c r="C496" s="1" t="n">
        <v>46086</v>
      </c>
      <c r="D496" t="inlineStr">
        <is>
          <t>ÖSTERGÖTLANDS LÄN</t>
        </is>
      </c>
      <c r="E496" t="inlineStr">
        <is>
          <t>LINKÖPING</t>
        </is>
      </c>
      <c r="F496" t="inlineStr">
        <is>
          <t>Allmännings- och besparingsskogar</t>
        </is>
      </c>
      <c r="G496" t="n">
        <v>20</v>
      </c>
      <c r="H496" t="n">
        <v>0</v>
      </c>
      <c r="I496" t="n">
        <v>0</v>
      </c>
      <c r="J496" t="n">
        <v>0</v>
      </c>
      <c r="K496" t="n">
        <v>0</v>
      </c>
      <c r="L496" t="n">
        <v>0</v>
      </c>
      <c r="M496" t="n">
        <v>0</v>
      </c>
      <c r="N496" t="n">
        <v>0</v>
      </c>
      <c r="O496" t="n">
        <v>0</v>
      </c>
      <c r="P496" t="n">
        <v>0</v>
      </c>
      <c r="Q496" t="n">
        <v>0</v>
      </c>
      <c r="R496" s="2" t="inlineStr"/>
    </row>
    <row r="497" ht="15" customHeight="1">
      <c r="A497" t="inlineStr">
        <is>
          <t>A 60472-2022</t>
        </is>
      </c>
      <c r="B497" s="1" t="n">
        <v>44911.41037037037</v>
      </c>
      <c r="C497" s="1" t="n">
        <v>46086</v>
      </c>
      <c r="D497" t="inlineStr">
        <is>
          <t>ÖSTERGÖTLANDS LÄN</t>
        </is>
      </c>
      <c r="E497" t="inlineStr">
        <is>
          <t>LINKÖPING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60703-2025</t>
        </is>
      </c>
      <c r="B498" s="1" t="n">
        <v>45996.6052662037</v>
      </c>
      <c r="C498" s="1" t="n">
        <v>46086</v>
      </c>
      <c r="D498" t="inlineStr">
        <is>
          <t>ÖSTERGÖTLANDS LÄN</t>
        </is>
      </c>
      <c r="E498" t="inlineStr">
        <is>
          <t>LINKÖPING</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60866-2025</t>
        </is>
      </c>
      <c r="B499" s="1" t="n">
        <v>45999</v>
      </c>
      <c r="C499" s="1" t="n">
        <v>46086</v>
      </c>
      <c r="D499" t="inlineStr">
        <is>
          <t>ÖSTERGÖTLANDS LÄN</t>
        </is>
      </c>
      <c r="E499" t="inlineStr">
        <is>
          <t>LINKÖPING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43934-2023</t>
        </is>
      </c>
      <c r="B500" s="1" t="n">
        <v>45187</v>
      </c>
      <c r="C500" s="1" t="n">
        <v>46086</v>
      </c>
      <c r="D500" t="inlineStr">
        <is>
          <t>ÖSTERGÖTLANDS LÄN</t>
        </is>
      </c>
      <c r="E500" t="inlineStr">
        <is>
          <t>LINKÖPING</t>
        </is>
      </c>
      <c r="F500" t="inlineStr">
        <is>
          <t>Övriga Aktiebolag</t>
        </is>
      </c>
      <c r="G500" t="n">
        <v>3.8</v>
      </c>
      <c r="H500" t="n">
        <v>0</v>
      </c>
      <c r="I500" t="n">
        <v>0</v>
      </c>
      <c r="J500" t="n">
        <v>0</v>
      </c>
      <c r="K500" t="n">
        <v>0</v>
      </c>
      <c r="L500" t="n">
        <v>0</v>
      </c>
      <c r="M500" t="n">
        <v>0</v>
      </c>
      <c r="N500" t="n">
        <v>0</v>
      </c>
      <c r="O500" t="n">
        <v>0</v>
      </c>
      <c r="P500" t="n">
        <v>0</v>
      </c>
      <c r="Q500" t="n">
        <v>0</v>
      </c>
      <c r="R500" s="2" t="inlineStr"/>
    </row>
    <row r="501" ht="15" customHeight="1">
      <c r="A501" t="inlineStr">
        <is>
          <t>A 22774-2024</t>
        </is>
      </c>
      <c r="B501" s="1" t="n">
        <v>45448.46924768519</v>
      </c>
      <c r="C501" s="1" t="n">
        <v>46086</v>
      </c>
      <c r="D501" t="inlineStr">
        <is>
          <t>ÖSTERGÖTLANDS LÄN</t>
        </is>
      </c>
      <c r="E501" t="inlineStr">
        <is>
          <t>LINKÖPING</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22778-2024</t>
        </is>
      </c>
      <c r="B502" s="1" t="n">
        <v>45448.47233796296</v>
      </c>
      <c r="C502" s="1" t="n">
        <v>46086</v>
      </c>
      <c r="D502" t="inlineStr">
        <is>
          <t>ÖSTERGÖTLANDS LÄN</t>
        </is>
      </c>
      <c r="E502" t="inlineStr">
        <is>
          <t>LINKÖPING</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1209-2023</t>
        </is>
      </c>
      <c r="B503" s="1" t="n">
        <v>44930</v>
      </c>
      <c r="C503" s="1" t="n">
        <v>46086</v>
      </c>
      <c r="D503" t="inlineStr">
        <is>
          <t>ÖSTERGÖTLANDS LÄN</t>
        </is>
      </c>
      <c r="E503" t="inlineStr">
        <is>
          <t>LINKÖPING</t>
        </is>
      </c>
      <c r="F503" t="inlineStr">
        <is>
          <t>Övriga statliga verk och myndigheter</t>
        </is>
      </c>
      <c r="G503" t="n">
        <v>25.8</v>
      </c>
      <c r="H503" t="n">
        <v>0</v>
      </c>
      <c r="I503" t="n">
        <v>0</v>
      </c>
      <c r="J503" t="n">
        <v>0</v>
      </c>
      <c r="K503" t="n">
        <v>0</v>
      </c>
      <c r="L503" t="n">
        <v>0</v>
      </c>
      <c r="M503" t="n">
        <v>0</v>
      </c>
      <c r="N503" t="n">
        <v>0</v>
      </c>
      <c r="O503" t="n">
        <v>0</v>
      </c>
      <c r="P503" t="n">
        <v>0</v>
      </c>
      <c r="Q503" t="n">
        <v>0</v>
      </c>
      <c r="R503" s="2" t="inlineStr"/>
    </row>
    <row r="504" ht="15" customHeight="1">
      <c r="A504" t="inlineStr">
        <is>
          <t>A 61230-2025</t>
        </is>
      </c>
      <c r="B504" s="1" t="n">
        <v>46000.63111111111</v>
      </c>
      <c r="C504" s="1" t="n">
        <v>46086</v>
      </c>
      <c r="D504" t="inlineStr">
        <is>
          <t>ÖSTERGÖTLANDS LÄN</t>
        </is>
      </c>
      <c r="E504" t="inlineStr">
        <is>
          <t>LINKÖPING</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10407-2025</t>
        </is>
      </c>
      <c r="B505" s="1" t="n">
        <v>45720.62863425926</v>
      </c>
      <c r="C505" s="1" t="n">
        <v>46086</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11590-2023</t>
        </is>
      </c>
      <c r="B506" s="1" t="n">
        <v>44994.36689814815</v>
      </c>
      <c r="C506" s="1" t="n">
        <v>46086</v>
      </c>
      <c r="D506" t="inlineStr">
        <is>
          <t>ÖSTERGÖTLANDS LÄN</t>
        </is>
      </c>
      <c r="E506" t="inlineStr">
        <is>
          <t>LINKÖPING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19169-2023</t>
        </is>
      </c>
      <c r="B507" s="1" t="n">
        <v>45044</v>
      </c>
      <c r="C507" s="1" t="n">
        <v>46086</v>
      </c>
      <c r="D507" t="inlineStr">
        <is>
          <t>ÖSTERGÖTLANDS LÄN</t>
        </is>
      </c>
      <c r="E507" t="inlineStr">
        <is>
          <t>LINKÖPING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672-2024</t>
        </is>
      </c>
      <c r="B508" s="1" t="n">
        <v>45300</v>
      </c>
      <c r="C508" s="1" t="n">
        <v>46086</v>
      </c>
      <c r="D508" t="inlineStr">
        <is>
          <t>ÖSTERGÖTLANDS LÄN</t>
        </is>
      </c>
      <c r="E508" t="inlineStr">
        <is>
          <t>LINKÖPING</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55493-2021</t>
        </is>
      </c>
      <c r="B509" s="1" t="n">
        <v>44475.61988425926</v>
      </c>
      <c r="C509" s="1" t="n">
        <v>46086</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61447-2025</t>
        </is>
      </c>
      <c r="B510" s="1" t="n">
        <v>46001.57554398148</v>
      </c>
      <c r="C510" s="1" t="n">
        <v>46086</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4469-2026</t>
        </is>
      </c>
      <c r="B511" s="1" t="n">
        <v>46045.65662037037</v>
      </c>
      <c r="C511" s="1" t="n">
        <v>46086</v>
      </c>
      <c r="D511" t="inlineStr">
        <is>
          <t>ÖSTERGÖTLANDS LÄN</t>
        </is>
      </c>
      <c r="E511" t="inlineStr">
        <is>
          <t>LINKÖPING</t>
        </is>
      </c>
      <c r="F511" t="inlineStr">
        <is>
          <t>Övriga Aktiebolag</t>
        </is>
      </c>
      <c r="G511" t="n">
        <v>3.8</v>
      </c>
      <c r="H511" t="n">
        <v>0</v>
      </c>
      <c r="I511" t="n">
        <v>0</v>
      </c>
      <c r="J511" t="n">
        <v>0</v>
      </c>
      <c r="K511" t="n">
        <v>0</v>
      </c>
      <c r="L511" t="n">
        <v>0</v>
      </c>
      <c r="M511" t="n">
        <v>0</v>
      </c>
      <c r="N511" t="n">
        <v>0</v>
      </c>
      <c r="O511" t="n">
        <v>0</v>
      </c>
      <c r="P511" t="n">
        <v>0</v>
      </c>
      <c r="Q511" t="n">
        <v>0</v>
      </c>
      <c r="R511" s="2" t="inlineStr"/>
    </row>
    <row r="512" ht="15" customHeight="1">
      <c r="A512" t="inlineStr">
        <is>
          <t>A 14093-2024</t>
        </is>
      </c>
      <c r="B512" s="1" t="n">
        <v>45392.60278935185</v>
      </c>
      <c r="C512" s="1" t="n">
        <v>46086</v>
      </c>
      <c r="D512" t="inlineStr">
        <is>
          <t>ÖSTERGÖTLANDS LÄN</t>
        </is>
      </c>
      <c r="E512" t="inlineStr">
        <is>
          <t>LINKÖPING</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62019-2024</t>
        </is>
      </c>
      <c r="B513" s="1" t="n">
        <v>45655.82</v>
      </c>
      <c r="C513" s="1" t="n">
        <v>46086</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61899-2025</t>
        </is>
      </c>
      <c r="B514" s="1" t="n">
        <v>46003.46635416667</v>
      </c>
      <c r="C514" s="1" t="n">
        <v>46086</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25119-2023</t>
        </is>
      </c>
      <c r="B515" s="1" t="n">
        <v>45086.42326388889</v>
      </c>
      <c r="C515" s="1" t="n">
        <v>46086</v>
      </c>
      <c r="D515" t="inlineStr">
        <is>
          <t>ÖSTERGÖTLANDS LÄN</t>
        </is>
      </c>
      <c r="E515" t="inlineStr">
        <is>
          <t>LINKÖPING</t>
        </is>
      </c>
      <c r="G515" t="n">
        <v>3.2</v>
      </c>
      <c r="H515" t="n">
        <v>0</v>
      </c>
      <c r="I515" t="n">
        <v>0</v>
      </c>
      <c r="J515" t="n">
        <v>0</v>
      </c>
      <c r="K515" t="n">
        <v>0</v>
      </c>
      <c r="L515" t="n">
        <v>0</v>
      </c>
      <c r="M515" t="n">
        <v>0</v>
      </c>
      <c r="N515" t="n">
        <v>0</v>
      </c>
      <c r="O515" t="n">
        <v>0</v>
      </c>
      <c r="P515" t="n">
        <v>0</v>
      </c>
      <c r="Q515" t="n">
        <v>0</v>
      </c>
      <c r="R515" s="2" t="inlineStr"/>
    </row>
    <row r="516" ht="15" customHeight="1">
      <c r="A516" t="inlineStr">
        <is>
          <t>A 57396-2021</t>
        </is>
      </c>
      <c r="B516" s="1" t="n">
        <v>44483.56151620371</v>
      </c>
      <c r="C516" s="1" t="n">
        <v>46086</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51571-2024</t>
        </is>
      </c>
      <c r="B517" s="1" t="n">
        <v>45604</v>
      </c>
      <c r="C517" s="1" t="n">
        <v>46086</v>
      </c>
      <c r="D517" t="inlineStr">
        <is>
          <t>ÖSTERGÖTLANDS LÄN</t>
        </is>
      </c>
      <c r="E517" t="inlineStr">
        <is>
          <t>LINKÖPING</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17143-2025</t>
        </is>
      </c>
      <c r="B518" s="1" t="n">
        <v>45755.92731481481</v>
      </c>
      <c r="C518" s="1" t="n">
        <v>46086</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17124-2025</t>
        </is>
      </c>
      <c r="B519" s="1" t="n">
        <v>45755.69678240741</v>
      </c>
      <c r="C519" s="1" t="n">
        <v>46086</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17126-2025</t>
        </is>
      </c>
      <c r="B520" s="1" t="n">
        <v>45755.70814814815</v>
      </c>
      <c r="C520" s="1" t="n">
        <v>46086</v>
      </c>
      <c r="D520" t="inlineStr">
        <is>
          <t>ÖSTERGÖTLANDS LÄN</t>
        </is>
      </c>
      <c r="E520" t="inlineStr">
        <is>
          <t>LINKÖPING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31640-2023</t>
        </is>
      </c>
      <c r="B521" s="1" t="n">
        <v>45117</v>
      </c>
      <c r="C521" s="1" t="n">
        <v>46086</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61643-2025</t>
        </is>
      </c>
      <c r="B522" s="1" t="n">
        <v>46002.43575231481</v>
      </c>
      <c r="C522" s="1" t="n">
        <v>46086</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61645-2025</t>
        </is>
      </c>
      <c r="B523" s="1" t="n">
        <v>46002.43697916667</v>
      </c>
      <c r="C523" s="1" t="n">
        <v>46086</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5099-2026</t>
        </is>
      </c>
      <c r="B524" s="1" t="n">
        <v>46049.56158564815</v>
      </c>
      <c r="C524" s="1" t="n">
        <v>46086</v>
      </c>
      <c r="D524" t="inlineStr">
        <is>
          <t>ÖSTERGÖTLANDS LÄN</t>
        </is>
      </c>
      <c r="E524" t="inlineStr">
        <is>
          <t>LINKÖPING</t>
        </is>
      </c>
      <c r="G524" t="n">
        <v>5</v>
      </c>
      <c r="H524" t="n">
        <v>0</v>
      </c>
      <c r="I524" t="n">
        <v>0</v>
      </c>
      <c r="J524" t="n">
        <v>0</v>
      </c>
      <c r="K524" t="n">
        <v>0</v>
      </c>
      <c r="L524" t="n">
        <v>0</v>
      </c>
      <c r="M524" t="n">
        <v>0</v>
      </c>
      <c r="N524" t="n">
        <v>0</v>
      </c>
      <c r="O524" t="n">
        <v>0</v>
      </c>
      <c r="P524" t="n">
        <v>0</v>
      </c>
      <c r="Q524" t="n">
        <v>0</v>
      </c>
      <c r="R524" s="2" t="inlineStr"/>
    </row>
    <row r="525" ht="15" customHeight="1">
      <c r="A525" t="inlineStr">
        <is>
          <t>A 62515-2025</t>
        </is>
      </c>
      <c r="B525" s="1" t="n">
        <v>46007.60548611111</v>
      </c>
      <c r="C525" s="1" t="n">
        <v>46086</v>
      </c>
      <c r="D525" t="inlineStr">
        <is>
          <t>ÖSTERGÖTLANDS LÄN</t>
        </is>
      </c>
      <c r="E525" t="inlineStr">
        <is>
          <t>LINKÖPING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11790-2024</t>
        </is>
      </c>
      <c r="B526" s="1" t="n">
        <v>45374</v>
      </c>
      <c r="C526" s="1" t="n">
        <v>46086</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61281-2021</t>
        </is>
      </c>
      <c r="B527" s="1" t="n">
        <v>44498.60736111111</v>
      </c>
      <c r="C527" s="1" t="n">
        <v>46086</v>
      </c>
      <c r="D527" t="inlineStr">
        <is>
          <t>ÖSTERGÖTLANDS LÄN</t>
        </is>
      </c>
      <c r="E527" t="inlineStr">
        <is>
          <t>LINKÖPING</t>
        </is>
      </c>
      <c r="G527" t="n">
        <v>4.5</v>
      </c>
      <c r="H527" t="n">
        <v>0</v>
      </c>
      <c r="I527" t="n">
        <v>0</v>
      </c>
      <c r="J527" t="n">
        <v>0</v>
      </c>
      <c r="K527" t="n">
        <v>0</v>
      </c>
      <c r="L527" t="n">
        <v>0</v>
      </c>
      <c r="M527" t="n">
        <v>0</v>
      </c>
      <c r="N527" t="n">
        <v>0</v>
      </c>
      <c r="O527" t="n">
        <v>0</v>
      </c>
      <c r="P527" t="n">
        <v>0</v>
      </c>
      <c r="Q527" t="n">
        <v>0</v>
      </c>
      <c r="R527" s="2" t="inlineStr"/>
    </row>
    <row r="528" ht="15" customHeight="1">
      <c r="A528" t="inlineStr">
        <is>
          <t>A 5545-2026</t>
        </is>
      </c>
      <c r="B528" s="1" t="n">
        <v>46050.70089120371</v>
      </c>
      <c r="C528" s="1" t="n">
        <v>46086</v>
      </c>
      <c r="D528" t="inlineStr">
        <is>
          <t>ÖSTERGÖTLANDS LÄN</t>
        </is>
      </c>
      <c r="E528" t="inlineStr">
        <is>
          <t>LINKÖPING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6206-2024</t>
        </is>
      </c>
      <c r="B529" s="1" t="n">
        <v>45337.5977662037</v>
      </c>
      <c r="C529" s="1" t="n">
        <v>46086</v>
      </c>
      <c r="D529" t="inlineStr">
        <is>
          <t>ÖSTERGÖTLANDS LÄN</t>
        </is>
      </c>
      <c r="E529" t="inlineStr">
        <is>
          <t>LINKÖPING</t>
        </is>
      </c>
      <c r="G529" t="n">
        <v>2</v>
      </c>
      <c r="H529" t="n">
        <v>0</v>
      </c>
      <c r="I529" t="n">
        <v>0</v>
      </c>
      <c r="J529" t="n">
        <v>0</v>
      </c>
      <c r="K529" t="n">
        <v>0</v>
      </c>
      <c r="L529" t="n">
        <v>0</v>
      </c>
      <c r="M529" t="n">
        <v>0</v>
      </c>
      <c r="N529" t="n">
        <v>0</v>
      </c>
      <c r="O529" t="n">
        <v>0</v>
      </c>
      <c r="P529" t="n">
        <v>0</v>
      </c>
      <c r="Q529" t="n">
        <v>0</v>
      </c>
      <c r="R529" s="2" t="inlineStr"/>
    </row>
    <row r="530" ht="15" customHeight="1">
      <c r="A530" t="inlineStr">
        <is>
          <t>A 62791-2025</t>
        </is>
      </c>
      <c r="B530" s="1" t="n">
        <v>46008.63266203704</v>
      </c>
      <c r="C530" s="1" t="n">
        <v>46086</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168-2024</t>
        </is>
      </c>
      <c r="B531" s="1" t="n">
        <v>45294</v>
      </c>
      <c r="C531" s="1" t="n">
        <v>46086</v>
      </c>
      <c r="D531" t="inlineStr">
        <is>
          <t>ÖSTERGÖTLANDS LÄN</t>
        </is>
      </c>
      <c r="E531" t="inlineStr">
        <is>
          <t>LINKÖPING</t>
        </is>
      </c>
      <c r="F531" t="inlineStr">
        <is>
          <t>Allmännings- och besparingsskogar</t>
        </is>
      </c>
      <c r="G531" t="n">
        <v>8.9</v>
      </c>
      <c r="H531" t="n">
        <v>0</v>
      </c>
      <c r="I531" t="n">
        <v>0</v>
      </c>
      <c r="J531" t="n">
        <v>0</v>
      </c>
      <c r="K531" t="n">
        <v>0</v>
      </c>
      <c r="L531" t="n">
        <v>0</v>
      </c>
      <c r="M531" t="n">
        <v>0</v>
      </c>
      <c r="N531" t="n">
        <v>0</v>
      </c>
      <c r="O531" t="n">
        <v>0</v>
      </c>
      <c r="P531" t="n">
        <v>0</v>
      </c>
      <c r="Q531" t="n">
        <v>0</v>
      </c>
      <c r="R531" s="2" t="inlineStr"/>
    </row>
    <row r="532" ht="15" customHeight="1">
      <c r="A532" t="inlineStr">
        <is>
          <t>A 62686-2025</t>
        </is>
      </c>
      <c r="B532" s="1" t="n">
        <v>46008.46769675926</v>
      </c>
      <c r="C532" s="1" t="n">
        <v>46086</v>
      </c>
      <c r="D532" t="inlineStr">
        <is>
          <t>ÖSTERGÖTLANDS LÄN</t>
        </is>
      </c>
      <c r="E532" t="inlineStr">
        <is>
          <t>LINKÖPING</t>
        </is>
      </c>
      <c r="G532" t="n">
        <v>7.6</v>
      </c>
      <c r="H532" t="n">
        <v>0</v>
      </c>
      <c r="I532" t="n">
        <v>0</v>
      </c>
      <c r="J532" t="n">
        <v>0</v>
      </c>
      <c r="K532" t="n">
        <v>0</v>
      </c>
      <c r="L532" t="n">
        <v>0</v>
      </c>
      <c r="M532" t="n">
        <v>0</v>
      </c>
      <c r="N532" t="n">
        <v>0</v>
      </c>
      <c r="O532" t="n">
        <v>0</v>
      </c>
      <c r="P532" t="n">
        <v>0</v>
      </c>
      <c r="Q532" t="n">
        <v>0</v>
      </c>
      <c r="R532" s="2" t="inlineStr"/>
    </row>
    <row r="533" ht="15" customHeight="1">
      <c r="A533" t="inlineStr">
        <is>
          <t>A 51919-2024</t>
        </is>
      </c>
      <c r="B533" s="1" t="n">
        <v>45607.60791666667</v>
      </c>
      <c r="C533" s="1" t="n">
        <v>46086</v>
      </c>
      <c r="D533" t="inlineStr">
        <is>
          <t>ÖSTERGÖTLANDS LÄN</t>
        </is>
      </c>
      <c r="E533" t="inlineStr">
        <is>
          <t>LINKÖPING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56623-2024</t>
        </is>
      </c>
      <c r="B534" s="1" t="n">
        <v>45625</v>
      </c>
      <c r="C534" s="1" t="n">
        <v>46086</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11330-2023</t>
        </is>
      </c>
      <c r="B535" s="1" t="n">
        <v>44993.24648148148</v>
      </c>
      <c r="C535" s="1" t="n">
        <v>46086</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63304-2021</t>
        </is>
      </c>
      <c r="B536" s="1" t="n">
        <v>44508.4396412037</v>
      </c>
      <c r="C536" s="1" t="n">
        <v>46086</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63147-2025</t>
        </is>
      </c>
      <c r="B537" s="1" t="n">
        <v>46010.35003472222</v>
      </c>
      <c r="C537" s="1" t="n">
        <v>46086</v>
      </c>
      <c r="D537" t="inlineStr">
        <is>
          <t>ÖSTERGÖTLANDS LÄN</t>
        </is>
      </c>
      <c r="E537" t="inlineStr">
        <is>
          <t>LINKÖPING</t>
        </is>
      </c>
      <c r="G537" t="n">
        <v>4</v>
      </c>
      <c r="H537" t="n">
        <v>0</v>
      </c>
      <c r="I537" t="n">
        <v>0</v>
      </c>
      <c r="J537" t="n">
        <v>0</v>
      </c>
      <c r="K537" t="n">
        <v>0</v>
      </c>
      <c r="L537" t="n">
        <v>0</v>
      </c>
      <c r="M537" t="n">
        <v>0</v>
      </c>
      <c r="N537" t="n">
        <v>0</v>
      </c>
      <c r="O537" t="n">
        <v>0</v>
      </c>
      <c r="P537" t="n">
        <v>0</v>
      </c>
      <c r="Q537" t="n">
        <v>0</v>
      </c>
      <c r="R537" s="2" t="inlineStr"/>
    </row>
    <row r="538" ht="15" customHeight="1">
      <c r="A538" t="inlineStr">
        <is>
          <t>A 14528-2025</t>
        </is>
      </c>
      <c r="B538" s="1" t="n">
        <v>45741</v>
      </c>
      <c r="C538" s="1" t="n">
        <v>46086</v>
      </c>
      <c r="D538" t="inlineStr">
        <is>
          <t>ÖSTERGÖTLANDS LÄN</t>
        </is>
      </c>
      <c r="E538" t="inlineStr">
        <is>
          <t>LINKÖPING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6164-2026</t>
        </is>
      </c>
      <c r="B539" s="1" t="n">
        <v>46055.32596064815</v>
      </c>
      <c r="C539" s="1" t="n">
        <v>46086</v>
      </c>
      <c r="D539" t="inlineStr">
        <is>
          <t>ÖSTERGÖTLANDS LÄN</t>
        </is>
      </c>
      <c r="E539" t="inlineStr">
        <is>
          <t>LINKÖPING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3530-2024</t>
        </is>
      </c>
      <c r="B540" s="1" t="n">
        <v>45320.54717592592</v>
      </c>
      <c r="C540" s="1" t="n">
        <v>46086</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62073-2023</t>
        </is>
      </c>
      <c r="B541" s="1" t="n">
        <v>45266.73844907407</v>
      </c>
      <c r="C541" s="1" t="n">
        <v>46086</v>
      </c>
      <c r="D541" t="inlineStr">
        <is>
          <t>ÖSTERGÖTLANDS LÄN</t>
        </is>
      </c>
      <c r="E541" t="inlineStr">
        <is>
          <t>LINKÖPING</t>
        </is>
      </c>
      <c r="F541" t="inlineStr">
        <is>
          <t>Allmännings- och besparingsskogar</t>
        </is>
      </c>
      <c r="G541" t="n">
        <v>1.8</v>
      </c>
      <c r="H541" t="n">
        <v>0</v>
      </c>
      <c r="I541" t="n">
        <v>0</v>
      </c>
      <c r="J541" t="n">
        <v>0</v>
      </c>
      <c r="K541" t="n">
        <v>0</v>
      </c>
      <c r="L541" t="n">
        <v>0</v>
      </c>
      <c r="M541" t="n">
        <v>0</v>
      </c>
      <c r="N541" t="n">
        <v>0</v>
      </c>
      <c r="O541" t="n">
        <v>0</v>
      </c>
      <c r="P541" t="n">
        <v>0</v>
      </c>
      <c r="Q541" t="n">
        <v>0</v>
      </c>
      <c r="R541" s="2" t="inlineStr"/>
    </row>
    <row r="542" ht="15" customHeight="1">
      <c r="A542" t="inlineStr">
        <is>
          <t>A 5872-2025</t>
        </is>
      </c>
      <c r="B542" s="1" t="n">
        <v>45695.36659722222</v>
      </c>
      <c r="C542" s="1" t="n">
        <v>46086</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53814-2023</t>
        </is>
      </c>
      <c r="B543" s="1" t="n">
        <v>45231</v>
      </c>
      <c r="C543" s="1" t="n">
        <v>46086</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3432-2023</t>
        </is>
      </c>
      <c r="B544" s="1" t="n">
        <v>44949</v>
      </c>
      <c r="C544" s="1" t="n">
        <v>46086</v>
      </c>
      <c r="D544" t="inlineStr">
        <is>
          <t>ÖSTERGÖTLANDS LÄN</t>
        </is>
      </c>
      <c r="E544" t="inlineStr">
        <is>
          <t>LINKÖPING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6384-2026</t>
        </is>
      </c>
      <c r="B545" s="1" t="n">
        <v>46055.63732638889</v>
      </c>
      <c r="C545" s="1" t="n">
        <v>46086</v>
      </c>
      <c r="D545" t="inlineStr">
        <is>
          <t>ÖSTERGÖTLANDS LÄN</t>
        </is>
      </c>
      <c r="E545" t="inlineStr">
        <is>
          <t>LINKÖPING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54425-2022</t>
        </is>
      </c>
      <c r="B546" s="1" t="n">
        <v>44882.57453703704</v>
      </c>
      <c r="C546" s="1" t="n">
        <v>46086</v>
      </c>
      <c r="D546" t="inlineStr">
        <is>
          <t>ÖSTERGÖTLANDS LÄN</t>
        </is>
      </c>
      <c r="E546" t="inlineStr">
        <is>
          <t>LINKÖPING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54428-2022</t>
        </is>
      </c>
      <c r="B547" s="1" t="n">
        <v>44882.57643518518</v>
      </c>
      <c r="C547" s="1" t="n">
        <v>46086</v>
      </c>
      <c r="D547" t="inlineStr">
        <is>
          <t>ÖSTERGÖTLANDS LÄN</t>
        </is>
      </c>
      <c r="E547" t="inlineStr">
        <is>
          <t>LINKÖPING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63144-2025</t>
        </is>
      </c>
      <c r="B548" s="1" t="n">
        <v>46010.34716435185</v>
      </c>
      <c r="C548" s="1" t="n">
        <v>46086</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660-2023</t>
        </is>
      </c>
      <c r="B549" s="1" t="n">
        <v>44930</v>
      </c>
      <c r="C549" s="1" t="n">
        <v>46086</v>
      </c>
      <c r="D549" t="inlineStr">
        <is>
          <t>ÖSTERGÖTLANDS LÄN</t>
        </is>
      </c>
      <c r="E549" t="inlineStr">
        <is>
          <t>LINKÖPING</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62501-2023</t>
        </is>
      </c>
      <c r="B550" s="1" t="n">
        <v>45268</v>
      </c>
      <c r="C550" s="1" t="n">
        <v>46086</v>
      </c>
      <c r="D550" t="inlineStr">
        <is>
          <t>ÖSTERGÖTLANDS LÄN</t>
        </is>
      </c>
      <c r="E550" t="inlineStr">
        <is>
          <t>LINKÖPING</t>
        </is>
      </c>
      <c r="G550" t="n">
        <v>7.4</v>
      </c>
      <c r="H550" t="n">
        <v>0</v>
      </c>
      <c r="I550" t="n">
        <v>0</v>
      </c>
      <c r="J550" t="n">
        <v>0</v>
      </c>
      <c r="K550" t="n">
        <v>0</v>
      </c>
      <c r="L550" t="n">
        <v>0</v>
      </c>
      <c r="M550" t="n">
        <v>0</v>
      </c>
      <c r="N550" t="n">
        <v>0</v>
      </c>
      <c r="O550" t="n">
        <v>0</v>
      </c>
      <c r="P550" t="n">
        <v>0</v>
      </c>
      <c r="Q550" t="n">
        <v>0</v>
      </c>
      <c r="R550" s="2" t="inlineStr"/>
    </row>
    <row r="551" ht="15" customHeight="1">
      <c r="A551" t="inlineStr">
        <is>
          <t>A 13413-2023</t>
        </is>
      </c>
      <c r="B551" s="1" t="n">
        <v>45005.58341435185</v>
      </c>
      <c r="C551" s="1" t="n">
        <v>46086</v>
      </c>
      <c r="D551" t="inlineStr">
        <is>
          <t>ÖSTERGÖTLANDS LÄN</t>
        </is>
      </c>
      <c r="E551" t="inlineStr">
        <is>
          <t>LINKÖPING</t>
        </is>
      </c>
      <c r="G551" t="n">
        <v>2.4</v>
      </c>
      <c r="H551" t="n">
        <v>0</v>
      </c>
      <c r="I551" t="n">
        <v>0</v>
      </c>
      <c r="J551" t="n">
        <v>0</v>
      </c>
      <c r="K551" t="n">
        <v>0</v>
      </c>
      <c r="L551" t="n">
        <v>0</v>
      </c>
      <c r="M551" t="n">
        <v>0</v>
      </c>
      <c r="N551" t="n">
        <v>0</v>
      </c>
      <c r="O551" t="n">
        <v>0</v>
      </c>
      <c r="P551" t="n">
        <v>0</v>
      </c>
      <c r="Q551" t="n">
        <v>0</v>
      </c>
      <c r="R551" s="2" t="inlineStr"/>
    </row>
    <row r="552" ht="15" customHeight="1">
      <c r="A552" t="inlineStr">
        <is>
          <t>A 26620-2023</t>
        </is>
      </c>
      <c r="B552" s="1" t="n">
        <v>45092.70390046296</v>
      </c>
      <c r="C552" s="1" t="n">
        <v>46086</v>
      </c>
      <c r="D552" t="inlineStr">
        <is>
          <t>ÖSTERGÖTLANDS LÄN</t>
        </is>
      </c>
      <c r="E552" t="inlineStr">
        <is>
          <t>LINKÖPING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7133-2026</t>
        </is>
      </c>
      <c r="B553" s="1" t="n">
        <v>46057</v>
      </c>
      <c r="C553" s="1" t="n">
        <v>46086</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16462-2021</t>
        </is>
      </c>
      <c r="B554" s="1" t="n">
        <v>44293</v>
      </c>
      <c r="C554" s="1" t="n">
        <v>46086</v>
      </c>
      <c r="D554" t="inlineStr">
        <is>
          <t>ÖSTERGÖTLANDS LÄN</t>
        </is>
      </c>
      <c r="E554" t="inlineStr">
        <is>
          <t>LINKÖPING</t>
        </is>
      </c>
      <c r="F554" t="inlineStr">
        <is>
          <t>Allmännings- och besparingsskogar</t>
        </is>
      </c>
      <c r="G554" t="n">
        <v>24.7</v>
      </c>
      <c r="H554" t="n">
        <v>0</v>
      </c>
      <c r="I554" t="n">
        <v>0</v>
      </c>
      <c r="J554" t="n">
        <v>0</v>
      </c>
      <c r="K554" t="n">
        <v>0</v>
      </c>
      <c r="L554" t="n">
        <v>0</v>
      </c>
      <c r="M554" t="n">
        <v>0</v>
      </c>
      <c r="N554" t="n">
        <v>0</v>
      </c>
      <c r="O554" t="n">
        <v>0</v>
      </c>
      <c r="P554" t="n">
        <v>0</v>
      </c>
      <c r="Q554" t="n">
        <v>0</v>
      </c>
      <c r="R554" s="2" t="inlineStr"/>
    </row>
    <row r="555" ht="15" customHeight="1">
      <c r="A555" t="inlineStr">
        <is>
          <t>A 63554-2023</t>
        </is>
      </c>
      <c r="B555" s="1" t="n">
        <v>45275</v>
      </c>
      <c r="C555" s="1" t="n">
        <v>46086</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63638-2023</t>
        </is>
      </c>
      <c r="B556" s="1" t="n">
        <v>45275</v>
      </c>
      <c r="C556" s="1" t="n">
        <v>46086</v>
      </c>
      <c r="D556" t="inlineStr">
        <is>
          <t>ÖSTERGÖTLANDS LÄN</t>
        </is>
      </c>
      <c r="E556" t="inlineStr">
        <is>
          <t>LINKÖPING</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63658-2023</t>
        </is>
      </c>
      <c r="B557" s="1" t="n">
        <v>45275</v>
      </c>
      <c r="C557" s="1" t="n">
        <v>46086</v>
      </c>
      <c r="D557" t="inlineStr">
        <is>
          <t>ÖSTERGÖTLANDS LÄN</t>
        </is>
      </c>
      <c r="E557" t="inlineStr">
        <is>
          <t>LINKÖPING</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16820-2024</t>
        </is>
      </c>
      <c r="B558" s="1" t="n">
        <v>45411.46809027778</v>
      </c>
      <c r="C558" s="1" t="n">
        <v>46086</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4456-2024</t>
        </is>
      </c>
      <c r="B559" s="1" t="n">
        <v>45327.52847222222</v>
      </c>
      <c r="C559" s="1" t="n">
        <v>46086</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20298-2025</t>
        </is>
      </c>
      <c r="B560" s="1" t="n">
        <v>45774.75024305555</v>
      </c>
      <c r="C560" s="1" t="n">
        <v>46086</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15121-2022</t>
        </is>
      </c>
      <c r="B561" s="1" t="n">
        <v>44658</v>
      </c>
      <c r="C561" s="1" t="n">
        <v>46086</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50743-2023</t>
        </is>
      </c>
      <c r="B562" s="1" t="n">
        <v>45217</v>
      </c>
      <c r="C562" s="1" t="n">
        <v>46086</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13687-2025</t>
        </is>
      </c>
      <c r="B563" s="1" t="n">
        <v>45737.31425925926</v>
      </c>
      <c r="C563" s="1" t="n">
        <v>46086</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13695-2025</t>
        </is>
      </c>
      <c r="B564" s="1" t="n">
        <v>45737.32219907407</v>
      </c>
      <c r="C564" s="1" t="n">
        <v>46086</v>
      </c>
      <c r="D564" t="inlineStr">
        <is>
          <t>ÖSTERGÖTLANDS LÄN</t>
        </is>
      </c>
      <c r="E564" t="inlineStr">
        <is>
          <t>LINKÖPING</t>
        </is>
      </c>
      <c r="G564" t="n">
        <v>5.3</v>
      </c>
      <c r="H564" t="n">
        <v>0</v>
      </c>
      <c r="I564" t="n">
        <v>0</v>
      </c>
      <c r="J564" t="n">
        <v>0</v>
      </c>
      <c r="K564" t="n">
        <v>0</v>
      </c>
      <c r="L564" t="n">
        <v>0</v>
      </c>
      <c r="M564" t="n">
        <v>0</v>
      </c>
      <c r="N564" t="n">
        <v>0</v>
      </c>
      <c r="O564" t="n">
        <v>0</v>
      </c>
      <c r="P564" t="n">
        <v>0</v>
      </c>
      <c r="Q564" t="n">
        <v>0</v>
      </c>
      <c r="R564" s="2" t="inlineStr"/>
    </row>
    <row r="565" ht="15" customHeight="1">
      <c r="A565" t="inlineStr">
        <is>
          <t>A 20294-2025</t>
        </is>
      </c>
      <c r="B565" s="1" t="n">
        <v>45774.74667824074</v>
      </c>
      <c r="C565" s="1" t="n">
        <v>46086</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17128-2025</t>
        </is>
      </c>
      <c r="B566" s="1" t="n">
        <v>45755.72622685185</v>
      </c>
      <c r="C566" s="1" t="n">
        <v>46086</v>
      </c>
      <c r="D566" t="inlineStr">
        <is>
          <t>ÖSTERGÖTLANDS LÄN</t>
        </is>
      </c>
      <c r="E566" t="inlineStr">
        <is>
          <t>LINKÖPING</t>
        </is>
      </c>
      <c r="G566" t="n">
        <v>2.9</v>
      </c>
      <c r="H566" t="n">
        <v>0</v>
      </c>
      <c r="I566" t="n">
        <v>0</v>
      </c>
      <c r="J566" t="n">
        <v>0</v>
      </c>
      <c r="K566" t="n">
        <v>0</v>
      </c>
      <c r="L566" t="n">
        <v>0</v>
      </c>
      <c r="M566" t="n">
        <v>0</v>
      </c>
      <c r="N566" t="n">
        <v>0</v>
      </c>
      <c r="O566" t="n">
        <v>0</v>
      </c>
      <c r="P566" t="n">
        <v>0</v>
      </c>
      <c r="Q566" t="n">
        <v>0</v>
      </c>
      <c r="R566" s="2" t="inlineStr"/>
    </row>
    <row r="567" ht="15" customHeight="1">
      <c r="A567" t="inlineStr">
        <is>
          <t>A 52125-2022</t>
        </is>
      </c>
      <c r="B567" s="1" t="n">
        <v>44873</v>
      </c>
      <c r="C567" s="1" t="n">
        <v>46086</v>
      </c>
      <c r="D567" t="inlineStr">
        <is>
          <t>ÖSTERGÖTLANDS LÄN</t>
        </is>
      </c>
      <c r="E567" t="inlineStr">
        <is>
          <t>LINKÖPING</t>
        </is>
      </c>
      <c r="F567" t="inlineStr">
        <is>
          <t>Övriga Aktiebolag</t>
        </is>
      </c>
      <c r="G567" t="n">
        <v>0.7</v>
      </c>
      <c r="H567" t="n">
        <v>0</v>
      </c>
      <c r="I567" t="n">
        <v>0</v>
      </c>
      <c r="J567" t="n">
        <v>0</v>
      </c>
      <c r="K567" t="n">
        <v>0</v>
      </c>
      <c r="L567" t="n">
        <v>0</v>
      </c>
      <c r="M567" t="n">
        <v>0</v>
      </c>
      <c r="N567" t="n">
        <v>0</v>
      </c>
      <c r="O567" t="n">
        <v>0</v>
      </c>
      <c r="P567" t="n">
        <v>0</v>
      </c>
      <c r="Q567" t="n">
        <v>0</v>
      </c>
      <c r="R567" s="2" t="inlineStr"/>
    </row>
    <row r="568" ht="15" customHeight="1">
      <c r="A568" t="inlineStr">
        <is>
          <t>A 27343-2023</t>
        </is>
      </c>
      <c r="B568" s="1" t="n">
        <v>45096</v>
      </c>
      <c r="C568" s="1" t="n">
        <v>46086</v>
      </c>
      <c r="D568" t="inlineStr">
        <is>
          <t>ÖSTERGÖTLANDS LÄN</t>
        </is>
      </c>
      <c r="E568" t="inlineStr">
        <is>
          <t>LINKÖPING</t>
        </is>
      </c>
      <c r="F568" t="inlineStr">
        <is>
          <t>Allmännings- och besparingsskogar</t>
        </is>
      </c>
      <c r="G568" t="n">
        <v>6.9</v>
      </c>
      <c r="H568" t="n">
        <v>0</v>
      </c>
      <c r="I568" t="n">
        <v>0</v>
      </c>
      <c r="J568" t="n">
        <v>0</v>
      </c>
      <c r="K568" t="n">
        <v>0</v>
      </c>
      <c r="L568" t="n">
        <v>0</v>
      </c>
      <c r="M568" t="n">
        <v>0</v>
      </c>
      <c r="N568" t="n">
        <v>0</v>
      </c>
      <c r="O568" t="n">
        <v>0</v>
      </c>
      <c r="P568" t="n">
        <v>0</v>
      </c>
      <c r="Q568" t="n">
        <v>0</v>
      </c>
      <c r="R568" s="2" t="inlineStr"/>
    </row>
    <row r="569" ht="15" customHeight="1">
      <c r="A569" t="inlineStr">
        <is>
          <t>A 22842-2023</t>
        </is>
      </c>
      <c r="B569" s="1" t="n">
        <v>45071</v>
      </c>
      <c r="C569" s="1" t="n">
        <v>46086</v>
      </c>
      <c r="D569" t="inlineStr">
        <is>
          <t>ÖSTERGÖTLANDS LÄN</t>
        </is>
      </c>
      <c r="E569" t="inlineStr">
        <is>
          <t>LINKÖPING</t>
        </is>
      </c>
      <c r="F569" t="inlineStr">
        <is>
          <t>Kommuner</t>
        </is>
      </c>
      <c r="G569" t="n">
        <v>1.3</v>
      </c>
      <c r="H569" t="n">
        <v>0</v>
      </c>
      <c r="I569" t="n">
        <v>0</v>
      </c>
      <c r="J569" t="n">
        <v>0</v>
      </c>
      <c r="K569" t="n">
        <v>0</v>
      </c>
      <c r="L569" t="n">
        <v>0</v>
      </c>
      <c r="M569" t="n">
        <v>0</v>
      </c>
      <c r="N569" t="n">
        <v>0</v>
      </c>
      <c r="O569" t="n">
        <v>0</v>
      </c>
      <c r="P569" t="n">
        <v>0</v>
      </c>
      <c r="Q569" t="n">
        <v>0</v>
      </c>
      <c r="R569" s="2" t="inlineStr"/>
    </row>
    <row r="570" ht="15" customHeight="1">
      <c r="A570" t="inlineStr">
        <is>
          <t>A 14520-2025</t>
        </is>
      </c>
      <c r="B570" s="1" t="n">
        <v>45741</v>
      </c>
      <c r="C570" s="1" t="n">
        <v>46086</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31548-2022</t>
        </is>
      </c>
      <c r="B571" s="1" t="n">
        <v>44775.39832175926</v>
      </c>
      <c r="C571" s="1" t="n">
        <v>46086</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62017-2024</t>
        </is>
      </c>
      <c r="B572" s="1" t="n">
        <v>45655.81140046296</v>
      </c>
      <c r="C572" s="1" t="n">
        <v>46086</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17785-2023</t>
        </is>
      </c>
      <c r="B573" s="1" t="n">
        <v>45037.55094907407</v>
      </c>
      <c r="C573" s="1" t="n">
        <v>46086</v>
      </c>
      <c r="D573" t="inlineStr">
        <is>
          <t>ÖSTERGÖTLANDS LÄN</t>
        </is>
      </c>
      <c r="E573" t="inlineStr">
        <is>
          <t>LINKÖPING</t>
        </is>
      </c>
      <c r="F573" t="inlineStr">
        <is>
          <t>Allmännings- och besparingsskogar</t>
        </is>
      </c>
      <c r="G573" t="n">
        <v>3.1</v>
      </c>
      <c r="H573" t="n">
        <v>0</v>
      </c>
      <c r="I573" t="n">
        <v>0</v>
      </c>
      <c r="J573" t="n">
        <v>0</v>
      </c>
      <c r="K573" t="n">
        <v>0</v>
      </c>
      <c r="L573" t="n">
        <v>0</v>
      </c>
      <c r="M573" t="n">
        <v>0</v>
      </c>
      <c r="N573" t="n">
        <v>0</v>
      </c>
      <c r="O573" t="n">
        <v>0</v>
      </c>
      <c r="P573" t="n">
        <v>0</v>
      </c>
      <c r="Q573" t="n">
        <v>0</v>
      </c>
      <c r="R573" s="2" t="inlineStr"/>
    </row>
    <row r="574" ht="15" customHeight="1">
      <c r="A574" t="inlineStr">
        <is>
          <t>A 1223-2026</t>
        </is>
      </c>
      <c r="B574" s="1" t="n">
        <v>46031.40233796297</v>
      </c>
      <c r="C574" s="1" t="n">
        <v>46086</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858-2026</t>
        </is>
      </c>
      <c r="B575" s="1" t="n">
        <v>46030.41200231481</v>
      </c>
      <c r="C575" s="1" t="n">
        <v>46086</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873-2026</t>
        </is>
      </c>
      <c r="B576" s="1" t="n">
        <v>46030.43818287037</v>
      </c>
      <c r="C576" s="1" t="n">
        <v>46086</v>
      </c>
      <c r="D576" t="inlineStr">
        <is>
          <t>ÖSTERGÖTLANDS LÄN</t>
        </is>
      </c>
      <c r="E576" t="inlineStr">
        <is>
          <t>LINKÖPING</t>
        </is>
      </c>
      <c r="G576" t="n">
        <v>4.1</v>
      </c>
      <c r="H576" t="n">
        <v>0</v>
      </c>
      <c r="I576" t="n">
        <v>0</v>
      </c>
      <c r="J576" t="n">
        <v>0</v>
      </c>
      <c r="K576" t="n">
        <v>0</v>
      </c>
      <c r="L576" t="n">
        <v>0</v>
      </c>
      <c r="M576" t="n">
        <v>0</v>
      </c>
      <c r="N576" t="n">
        <v>0</v>
      </c>
      <c r="O576" t="n">
        <v>0</v>
      </c>
      <c r="P576" t="n">
        <v>0</v>
      </c>
      <c r="Q576" t="n">
        <v>0</v>
      </c>
      <c r="R576" s="2" t="inlineStr"/>
    </row>
    <row r="577" ht="15" customHeight="1">
      <c r="A577" t="inlineStr">
        <is>
          <t>A 856-2026</t>
        </is>
      </c>
      <c r="B577" s="1" t="n">
        <v>46030.40644675926</v>
      </c>
      <c r="C577" s="1" t="n">
        <v>46086</v>
      </c>
      <c r="D577" t="inlineStr">
        <is>
          <t>ÖSTERGÖTLANDS LÄN</t>
        </is>
      </c>
      <c r="E577" t="inlineStr">
        <is>
          <t>LINKÖPING</t>
        </is>
      </c>
      <c r="G577" t="n">
        <v>6.4</v>
      </c>
      <c r="H577" t="n">
        <v>0</v>
      </c>
      <c r="I577" t="n">
        <v>0</v>
      </c>
      <c r="J577" t="n">
        <v>0</v>
      </c>
      <c r="K577" t="n">
        <v>0</v>
      </c>
      <c r="L577" t="n">
        <v>0</v>
      </c>
      <c r="M577" t="n">
        <v>0</v>
      </c>
      <c r="N577" t="n">
        <v>0</v>
      </c>
      <c r="O577" t="n">
        <v>0</v>
      </c>
      <c r="P577" t="n">
        <v>0</v>
      </c>
      <c r="Q577" t="n">
        <v>0</v>
      </c>
      <c r="R577" s="2" t="inlineStr"/>
    </row>
    <row r="578" ht="15" customHeight="1">
      <c r="A578" t="inlineStr">
        <is>
          <t>A 62686-2023</t>
        </is>
      </c>
      <c r="B578" s="1" t="n">
        <v>45271</v>
      </c>
      <c r="C578" s="1" t="n">
        <v>46086</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860-2026</t>
        </is>
      </c>
      <c r="B579" s="1" t="n">
        <v>46030.41974537037</v>
      </c>
      <c r="C579" s="1" t="n">
        <v>46086</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42044-2023</t>
        </is>
      </c>
      <c r="B580" s="1" t="n">
        <v>45177</v>
      </c>
      <c r="C580" s="1" t="n">
        <v>46086</v>
      </c>
      <c r="D580" t="inlineStr">
        <is>
          <t>ÖSTERGÖTLANDS LÄN</t>
        </is>
      </c>
      <c r="E580" t="inlineStr">
        <is>
          <t>LINKÖPING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940-2026</t>
        </is>
      </c>
      <c r="B581" s="1" t="n">
        <v>46030.53052083333</v>
      </c>
      <c r="C581" s="1" t="n">
        <v>46086</v>
      </c>
      <c r="D581" t="inlineStr">
        <is>
          <t>ÖSTERGÖTLANDS LÄN</t>
        </is>
      </c>
      <c r="E581" t="inlineStr">
        <is>
          <t>LINKÖPING</t>
        </is>
      </c>
      <c r="F581" t="inlineStr">
        <is>
          <t>Allmännings- och besparingsskogar</t>
        </is>
      </c>
      <c r="G581" t="n">
        <v>2.9</v>
      </c>
      <c r="H581" t="n">
        <v>0</v>
      </c>
      <c r="I581" t="n">
        <v>0</v>
      </c>
      <c r="J581" t="n">
        <v>0</v>
      </c>
      <c r="K581" t="n">
        <v>0</v>
      </c>
      <c r="L581" t="n">
        <v>0</v>
      </c>
      <c r="M581" t="n">
        <v>0</v>
      </c>
      <c r="N581" t="n">
        <v>0</v>
      </c>
      <c r="O581" t="n">
        <v>0</v>
      </c>
      <c r="P581" t="n">
        <v>0</v>
      </c>
      <c r="Q581" t="n">
        <v>0</v>
      </c>
      <c r="R581" s="2" t="inlineStr"/>
    </row>
    <row r="582" ht="15" customHeight="1">
      <c r="A582" t="inlineStr">
        <is>
          <t>A 944-2026</t>
        </is>
      </c>
      <c r="B582" s="1" t="n">
        <v>46030.53461805556</v>
      </c>
      <c r="C582" s="1" t="n">
        <v>46086</v>
      </c>
      <c r="D582" t="inlineStr">
        <is>
          <t>ÖSTERGÖTLANDS LÄN</t>
        </is>
      </c>
      <c r="E582" t="inlineStr">
        <is>
          <t>LINKÖPING</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49656-2021</t>
        </is>
      </c>
      <c r="B583" s="1" t="n">
        <v>44454</v>
      </c>
      <c r="C583" s="1" t="n">
        <v>46086</v>
      </c>
      <c r="D583" t="inlineStr">
        <is>
          <t>ÖSTERGÖTLANDS LÄN</t>
        </is>
      </c>
      <c r="E583" t="inlineStr">
        <is>
          <t>LINKÖPING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927-2026</t>
        </is>
      </c>
      <c r="B584" s="1" t="n">
        <v>46030.50560185185</v>
      </c>
      <c r="C584" s="1" t="n">
        <v>46086</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859-2026</t>
        </is>
      </c>
      <c r="B585" s="1" t="n">
        <v>46030.41450231482</v>
      </c>
      <c r="C585" s="1" t="n">
        <v>46086</v>
      </c>
      <c r="D585" t="inlineStr">
        <is>
          <t>ÖSTERGÖTLANDS LÄN</t>
        </is>
      </c>
      <c r="E585" t="inlineStr">
        <is>
          <t>LINKÖPING</t>
        </is>
      </c>
      <c r="G585" t="n">
        <v>0.2</v>
      </c>
      <c r="H585" t="n">
        <v>0</v>
      </c>
      <c r="I585" t="n">
        <v>0</v>
      </c>
      <c r="J585" t="n">
        <v>0</v>
      </c>
      <c r="K585" t="n">
        <v>0</v>
      </c>
      <c r="L585" t="n">
        <v>0</v>
      </c>
      <c r="M585" t="n">
        <v>0</v>
      </c>
      <c r="N585" t="n">
        <v>0</v>
      </c>
      <c r="O585" t="n">
        <v>0</v>
      </c>
      <c r="P585" t="n">
        <v>0</v>
      </c>
      <c r="Q585" t="n">
        <v>0</v>
      </c>
      <c r="R585" s="2" t="inlineStr"/>
    </row>
    <row r="586" ht="15" customHeight="1">
      <c r="A586" t="inlineStr">
        <is>
          <t>A 38230-2023</t>
        </is>
      </c>
      <c r="B586" s="1" t="n">
        <v>45161.55373842592</v>
      </c>
      <c r="C586" s="1" t="n">
        <v>46086</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45442-2024</t>
        </is>
      </c>
      <c r="B587" s="1" t="n">
        <v>45576.64189814815</v>
      </c>
      <c r="C587" s="1" t="n">
        <v>46086</v>
      </c>
      <c r="D587" t="inlineStr">
        <is>
          <t>ÖSTERGÖTLANDS LÄN</t>
        </is>
      </c>
      <c r="E587" t="inlineStr">
        <is>
          <t>LINKÖPING</t>
        </is>
      </c>
      <c r="G587" t="n">
        <v>1.8</v>
      </c>
      <c r="H587" t="n">
        <v>0</v>
      </c>
      <c r="I587" t="n">
        <v>0</v>
      </c>
      <c r="J587" t="n">
        <v>0</v>
      </c>
      <c r="K587" t="n">
        <v>0</v>
      </c>
      <c r="L587" t="n">
        <v>0</v>
      </c>
      <c r="M587" t="n">
        <v>0</v>
      </c>
      <c r="N587" t="n">
        <v>0</v>
      </c>
      <c r="O587" t="n">
        <v>0</v>
      </c>
      <c r="P587" t="n">
        <v>0</v>
      </c>
      <c r="Q587" t="n">
        <v>0</v>
      </c>
      <c r="R587" s="2" t="inlineStr"/>
    </row>
    <row r="588" ht="15" customHeight="1">
      <c r="A588" t="inlineStr">
        <is>
          <t>A 4908-2023</t>
        </is>
      </c>
      <c r="B588" s="1" t="n">
        <v>44958</v>
      </c>
      <c r="C588" s="1" t="n">
        <v>46086</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1265-2023</t>
        </is>
      </c>
      <c r="B589" s="1" t="n">
        <v>44936</v>
      </c>
      <c r="C589" s="1" t="n">
        <v>46086</v>
      </c>
      <c r="D589" t="inlineStr">
        <is>
          <t>ÖSTERGÖTLANDS LÄN</t>
        </is>
      </c>
      <c r="E589" t="inlineStr">
        <is>
          <t>LINKÖPING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2030-2026</t>
        </is>
      </c>
      <c r="B590" s="1" t="n">
        <v>46035.73590277778</v>
      </c>
      <c r="C590" s="1" t="n">
        <v>46086</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10477-2026</t>
        </is>
      </c>
      <c r="B591" s="1" t="n">
        <v>46077.4871875</v>
      </c>
      <c r="C591" s="1" t="n">
        <v>46086</v>
      </c>
      <c r="D591" t="inlineStr">
        <is>
          <t>ÖSTERGÖTLANDS LÄN</t>
        </is>
      </c>
      <c r="E591" t="inlineStr">
        <is>
          <t>LINKÖPING</t>
        </is>
      </c>
      <c r="G591" t="n">
        <v>9.6</v>
      </c>
      <c r="H591" t="n">
        <v>0</v>
      </c>
      <c r="I591" t="n">
        <v>0</v>
      </c>
      <c r="J591" t="n">
        <v>0</v>
      </c>
      <c r="K591" t="n">
        <v>0</v>
      </c>
      <c r="L591" t="n">
        <v>0</v>
      </c>
      <c r="M591" t="n">
        <v>0</v>
      </c>
      <c r="N591" t="n">
        <v>0</v>
      </c>
      <c r="O591" t="n">
        <v>0</v>
      </c>
      <c r="P591" t="n">
        <v>0</v>
      </c>
      <c r="Q591" t="n">
        <v>0</v>
      </c>
      <c r="R591" s="2" t="inlineStr"/>
    </row>
    <row r="592" ht="15" customHeight="1">
      <c r="A592" t="inlineStr">
        <is>
          <t>A 10479-2026</t>
        </is>
      </c>
      <c r="B592" s="1" t="n">
        <v>46077.49231481482</v>
      </c>
      <c r="C592" s="1" t="n">
        <v>46086</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12411-2022</t>
        </is>
      </c>
      <c r="B593" s="1" t="n">
        <v>44638.21601851852</v>
      </c>
      <c r="C593" s="1" t="n">
        <v>46086</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2031-2026</t>
        </is>
      </c>
      <c r="B594" s="1" t="n">
        <v>46035.74182870371</v>
      </c>
      <c r="C594" s="1" t="n">
        <v>46086</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23491-2024</t>
        </is>
      </c>
      <c r="B595" s="1" t="n">
        <v>45453</v>
      </c>
      <c r="C595" s="1" t="n">
        <v>46086</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70-2024</t>
        </is>
      </c>
      <c r="B596" s="1" t="n">
        <v>45293</v>
      </c>
      <c r="C596" s="1" t="n">
        <v>46086</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6054-2022</t>
        </is>
      </c>
      <c r="B597" s="1" t="n">
        <v>44599.53623842593</v>
      </c>
      <c r="C597" s="1" t="n">
        <v>46086</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31725-2022</t>
        </is>
      </c>
      <c r="B598" s="1" t="n">
        <v>44776.48541666667</v>
      </c>
      <c r="C598" s="1" t="n">
        <v>46086</v>
      </c>
      <c r="D598" t="inlineStr">
        <is>
          <t>ÖSTERGÖTLANDS LÄN</t>
        </is>
      </c>
      <c r="E598" t="inlineStr">
        <is>
          <t>LINKÖPING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57391-2023</t>
        </is>
      </c>
      <c r="B599" s="1" t="n">
        <v>45245</v>
      </c>
      <c r="C599" s="1" t="n">
        <v>46086</v>
      </c>
      <c r="D599" t="inlineStr">
        <is>
          <t>ÖSTERGÖTLANDS LÄN</t>
        </is>
      </c>
      <c r="E599" t="inlineStr">
        <is>
          <t>LINKÖPING</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7992-2023</t>
        </is>
      </c>
      <c r="B600" s="1" t="n">
        <v>44970</v>
      </c>
      <c r="C600" s="1" t="n">
        <v>46086</v>
      </c>
      <c r="D600" t="inlineStr">
        <is>
          <t>ÖSTERGÖTLANDS LÄN</t>
        </is>
      </c>
      <c r="E600" t="inlineStr">
        <is>
          <t>LINKÖPING</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13689-2025</t>
        </is>
      </c>
      <c r="B601" s="1" t="n">
        <v>45737.31590277778</v>
      </c>
      <c r="C601" s="1" t="n">
        <v>46086</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13696-2025</t>
        </is>
      </c>
      <c r="B602" s="1" t="n">
        <v>45737.32273148148</v>
      </c>
      <c r="C602" s="1" t="n">
        <v>46086</v>
      </c>
      <c r="D602" t="inlineStr">
        <is>
          <t>ÖSTERGÖTLANDS LÄN</t>
        </is>
      </c>
      <c r="E602" t="inlineStr">
        <is>
          <t>LINKÖPING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1924-2024</t>
        </is>
      </c>
      <c r="B603" s="1" t="n">
        <v>45308</v>
      </c>
      <c r="C603" s="1" t="n">
        <v>46086</v>
      </c>
      <c r="D603" t="inlineStr">
        <is>
          <t>ÖSTERGÖTLANDS LÄN</t>
        </is>
      </c>
      <c r="E603" t="inlineStr">
        <is>
          <t>LINKÖPING</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32346-2023</t>
        </is>
      </c>
      <c r="B604" s="1" t="n">
        <v>45120</v>
      </c>
      <c r="C604" s="1" t="n">
        <v>46086</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50508-2024</t>
        </is>
      </c>
      <c r="B605" s="1" t="n">
        <v>45601.53907407408</v>
      </c>
      <c r="C605" s="1" t="n">
        <v>46086</v>
      </c>
      <c r="D605" t="inlineStr">
        <is>
          <t>ÖSTERGÖTLANDS LÄN</t>
        </is>
      </c>
      <c r="E605" t="inlineStr">
        <is>
          <t>LINKÖPING</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7808-2022</t>
        </is>
      </c>
      <c r="B606" s="1" t="n">
        <v>44608</v>
      </c>
      <c r="C606" s="1" t="n">
        <v>46086</v>
      </c>
      <c r="D606" t="inlineStr">
        <is>
          <t>ÖSTERGÖTLANDS LÄN</t>
        </is>
      </c>
      <c r="E606" t="inlineStr">
        <is>
          <t>LINKÖPING</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27844-2024</t>
        </is>
      </c>
      <c r="B607" s="1" t="n">
        <v>45475.63047453704</v>
      </c>
      <c r="C607" s="1" t="n">
        <v>46086</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40810-2022</t>
        </is>
      </c>
      <c r="B608" s="1" t="n">
        <v>44824</v>
      </c>
      <c r="C608" s="1" t="n">
        <v>46086</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51559-2024</t>
        </is>
      </c>
      <c r="B609" s="1" t="n">
        <v>45604.61431712963</v>
      </c>
      <c r="C609" s="1" t="n">
        <v>46086</v>
      </c>
      <c r="D609" t="inlineStr">
        <is>
          <t>ÖSTERGÖTLANDS LÄN</t>
        </is>
      </c>
      <c r="E609" t="inlineStr">
        <is>
          <t>LINKÖPING</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49979-2022</t>
        </is>
      </c>
      <c r="B610" s="1" t="n">
        <v>44865</v>
      </c>
      <c r="C610" s="1" t="n">
        <v>46086</v>
      </c>
      <c r="D610" t="inlineStr">
        <is>
          <t>ÖSTERGÖTLANDS LÄN</t>
        </is>
      </c>
      <c r="E610" t="inlineStr">
        <is>
          <t>LINKÖPING</t>
        </is>
      </c>
      <c r="F610" t="inlineStr">
        <is>
          <t>Övriga Aktiebolag</t>
        </is>
      </c>
      <c r="G610" t="n">
        <v>11.4</v>
      </c>
      <c r="H610" t="n">
        <v>0</v>
      </c>
      <c r="I610" t="n">
        <v>0</v>
      </c>
      <c r="J610" t="n">
        <v>0</v>
      </c>
      <c r="K610" t="n">
        <v>0</v>
      </c>
      <c r="L610" t="n">
        <v>0</v>
      </c>
      <c r="M610" t="n">
        <v>0</v>
      </c>
      <c r="N610" t="n">
        <v>0</v>
      </c>
      <c r="O610" t="n">
        <v>0</v>
      </c>
      <c r="P610" t="n">
        <v>0</v>
      </c>
      <c r="Q610" t="n">
        <v>0</v>
      </c>
      <c r="R610" s="2" t="inlineStr"/>
    </row>
    <row r="611" ht="15" customHeight="1">
      <c r="A611" t="inlineStr">
        <is>
          <t>A 39219-2021</t>
        </is>
      </c>
      <c r="B611" s="1" t="n">
        <v>44413</v>
      </c>
      <c r="C611" s="1" t="n">
        <v>46086</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39224-2021</t>
        </is>
      </c>
      <c r="B612" s="1" t="n">
        <v>44413</v>
      </c>
      <c r="C612" s="1" t="n">
        <v>46086</v>
      </c>
      <c r="D612" t="inlineStr">
        <is>
          <t>ÖSTERGÖTLANDS LÄN</t>
        </is>
      </c>
      <c r="E612" t="inlineStr">
        <is>
          <t>LINKÖPING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62495-2023</t>
        </is>
      </c>
      <c r="B613" s="1" t="n">
        <v>45268.59717592593</v>
      </c>
      <c r="C613" s="1" t="n">
        <v>46086</v>
      </c>
      <c r="D613" t="inlineStr">
        <is>
          <t>ÖSTERGÖTLANDS LÄN</t>
        </is>
      </c>
      <c r="E613" t="inlineStr">
        <is>
          <t>LINKÖPING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29413-2023</t>
        </is>
      </c>
      <c r="B614" s="1" t="n">
        <v>45106.46465277778</v>
      </c>
      <c r="C614" s="1" t="n">
        <v>46086</v>
      </c>
      <c r="D614" t="inlineStr">
        <is>
          <t>ÖSTERGÖTLANDS LÄN</t>
        </is>
      </c>
      <c r="E614" t="inlineStr">
        <is>
          <t>LINKÖPING</t>
        </is>
      </c>
      <c r="G614" t="n">
        <v>8</v>
      </c>
      <c r="H614" t="n">
        <v>0</v>
      </c>
      <c r="I614" t="n">
        <v>0</v>
      </c>
      <c r="J614" t="n">
        <v>0</v>
      </c>
      <c r="K614" t="n">
        <v>0</v>
      </c>
      <c r="L614" t="n">
        <v>0</v>
      </c>
      <c r="M614" t="n">
        <v>0</v>
      </c>
      <c r="N614" t="n">
        <v>0</v>
      </c>
      <c r="O614" t="n">
        <v>0</v>
      </c>
      <c r="P614" t="n">
        <v>0</v>
      </c>
      <c r="Q614" t="n">
        <v>0</v>
      </c>
      <c r="R614" s="2" t="inlineStr"/>
    </row>
    <row r="615" ht="15" customHeight="1">
      <c r="A615" t="inlineStr">
        <is>
          <t>A 25948-2023</t>
        </is>
      </c>
      <c r="B615" s="1" t="n">
        <v>45090</v>
      </c>
      <c r="C615" s="1" t="n">
        <v>46086</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1627-2023</t>
        </is>
      </c>
      <c r="B616" s="1" t="n">
        <v>44937</v>
      </c>
      <c r="C616" s="1" t="n">
        <v>46086</v>
      </c>
      <c r="D616" t="inlineStr">
        <is>
          <t>ÖSTERGÖTLANDS LÄN</t>
        </is>
      </c>
      <c r="E616" t="inlineStr">
        <is>
          <t>LINKÖPING</t>
        </is>
      </c>
      <c r="G616" t="n">
        <v>10.8</v>
      </c>
      <c r="H616" t="n">
        <v>0</v>
      </c>
      <c r="I616" t="n">
        <v>0</v>
      </c>
      <c r="J616" t="n">
        <v>0</v>
      </c>
      <c r="K616" t="n">
        <v>0</v>
      </c>
      <c r="L616" t="n">
        <v>0</v>
      </c>
      <c r="M616" t="n">
        <v>0</v>
      </c>
      <c r="N616" t="n">
        <v>0</v>
      </c>
      <c r="O616" t="n">
        <v>0</v>
      </c>
      <c r="P616" t="n">
        <v>0</v>
      </c>
      <c r="Q616" t="n">
        <v>0</v>
      </c>
      <c r="R616" s="2" t="inlineStr"/>
    </row>
    <row r="617" ht="15" customHeight="1">
      <c r="A617" t="inlineStr">
        <is>
          <t>A 30481-2023</t>
        </is>
      </c>
      <c r="B617" s="1" t="n">
        <v>45111</v>
      </c>
      <c r="C617" s="1" t="n">
        <v>46086</v>
      </c>
      <c r="D617" t="inlineStr">
        <is>
          <t>ÖSTERGÖTLANDS LÄN</t>
        </is>
      </c>
      <c r="E617" t="inlineStr">
        <is>
          <t>LINKÖPING</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21782-2024</t>
        </is>
      </c>
      <c r="B618" s="1" t="n">
        <v>45442.63368055555</v>
      </c>
      <c r="C618" s="1" t="n">
        <v>46086</v>
      </c>
      <c r="D618" t="inlineStr">
        <is>
          <t>ÖSTERGÖTLANDS LÄN</t>
        </is>
      </c>
      <c r="E618" t="inlineStr">
        <is>
          <t>LINKÖPING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11671-2023</t>
        </is>
      </c>
      <c r="B619" s="1" t="n">
        <v>44994.48125</v>
      </c>
      <c r="C619" s="1" t="n">
        <v>46086</v>
      </c>
      <c r="D619" t="inlineStr">
        <is>
          <t>ÖSTERGÖTLANDS LÄN</t>
        </is>
      </c>
      <c r="E619" t="inlineStr">
        <is>
          <t>LINKÖPING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3013-2023</t>
        </is>
      </c>
      <c r="B620" s="1" t="n">
        <v>44945.8092824074</v>
      </c>
      <c r="C620" s="1" t="n">
        <v>46086</v>
      </c>
      <c r="D620" t="inlineStr">
        <is>
          <t>ÖSTERGÖTLANDS LÄN</t>
        </is>
      </c>
      <c r="E620" t="inlineStr">
        <is>
          <t>LINKÖPING</t>
        </is>
      </c>
      <c r="G620" t="n">
        <v>5.2</v>
      </c>
      <c r="H620" t="n">
        <v>0</v>
      </c>
      <c r="I620" t="n">
        <v>0</v>
      </c>
      <c r="J620" t="n">
        <v>0</v>
      </c>
      <c r="K620" t="n">
        <v>0</v>
      </c>
      <c r="L620" t="n">
        <v>0</v>
      </c>
      <c r="M620" t="n">
        <v>0</v>
      </c>
      <c r="N620" t="n">
        <v>0</v>
      </c>
      <c r="O620" t="n">
        <v>0</v>
      </c>
      <c r="P620" t="n">
        <v>0</v>
      </c>
      <c r="Q620" t="n">
        <v>0</v>
      </c>
      <c r="R620" s="2" t="inlineStr"/>
    </row>
    <row r="621" ht="15" customHeight="1">
      <c r="A621" t="inlineStr">
        <is>
          <t>A 49747-2024</t>
        </is>
      </c>
      <c r="B621" s="1" t="n">
        <v>45596</v>
      </c>
      <c r="C621" s="1" t="n">
        <v>46086</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42997-2021</t>
        </is>
      </c>
      <c r="B622" s="1" t="n">
        <v>44431.45556712963</v>
      </c>
      <c r="C622" s="1" t="n">
        <v>46086</v>
      </c>
      <c r="D622" t="inlineStr">
        <is>
          <t>ÖSTERGÖTLANDS LÄN</t>
        </is>
      </c>
      <c r="E622" t="inlineStr">
        <is>
          <t>LINKÖPING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3011-2023</t>
        </is>
      </c>
      <c r="B623" s="1" t="n">
        <v>44945</v>
      </c>
      <c r="C623" s="1" t="n">
        <v>46086</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23735-2023</t>
        </is>
      </c>
      <c r="B624" s="1" t="n">
        <v>45077</v>
      </c>
      <c r="C624" s="1" t="n">
        <v>46086</v>
      </c>
      <c r="D624" t="inlineStr">
        <is>
          <t>ÖSTERGÖTLANDS LÄN</t>
        </is>
      </c>
      <c r="E624" t="inlineStr">
        <is>
          <t>LINKÖPING</t>
        </is>
      </c>
      <c r="G624" t="n">
        <v>1.7</v>
      </c>
      <c r="H624" t="n">
        <v>0</v>
      </c>
      <c r="I624" t="n">
        <v>0</v>
      </c>
      <c r="J624" t="n">
        <v>0</v>
      </c>
      <c r="K624" t="n">
        <v>0</v>
      </c>
      <c r="L624" t="n">
        <v>0</v>
      </c>
      <c r="M624" t="n">
        <v>0</v>
      </c>
      <c r="N624" t="n">
        <v>0</v>
      </c>
      <c r="O624" t="n">
        <v>0</v>
      </c>
      <c r="P624" t="n">
        <v>0</v>
      </c>
      <c r="Q624" t="n">
        <v>0</v>
      </c>
      <c r="R624" s="2" t="inlineStr"/>
    </row>
    <row r="625" ht="15" customHeight="1">
      <c r="A625" t="inlineStr">
        <is>
          <t>A 45821-2024</t>
        </is>
      </c>
      <c r="B625" s="1" t="n">
        <v>45579.75803240741</v>
      </c>
      <c r="C625" s="1" t="n">
        <v>46086</v>
      </c>
      <c r="D625" t="inlineStr">
        <is>
          <t>ÖSTERGÖTLANDS LÄN</t>
        </is>
      </c>
      <c r="E625" t="inlineStr">
        <is>
          <t>LINKÖPING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53647-2021</t>
        </is>
      </c>
      <c r="B626" s="1" t="n">
        <v>44469</v>
      </c>
      <c r="C626" s="1" t="n">
        <v>46086</v>
      </c>
      <c r="D626" t="inlineStr">
        <is>
          <t>ÖSTERGÖTLANDS LÄN</t>
        </is>
      </c>
      <c r="E626" t="inlineStr">
        <is>
          <t>LINKÖPING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6599-2023</t>
        </is>
      </c>
      <c r="B627" s="1" t="n">
        <v>44966.52603009259</v>
      </c>
      <c r="C627" s="1" t="n">
        <v>46086</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35735-2023</t>
        </is>
      </c>
      <c r="B628" s="1" t="n">
        <v>45147</v>
      </c>
      <c r="C628" s="1" t="n">
        <v>46086</v>
      </c>
      <c r="D628" t="inlineStr">
        <is>
          <t>ÖSTERGÖTLANDS LÄN</t>
        </is>
      </c>
      <c r="E628" t="inlineStr">
        <is>
          <t>LINKÖPING</t>
        </is>
      </c>
      <c r="G628" t="n">
        <v>2.8</v>
      </c>
      <c r="H628" t="n">
        <v>0</v>
      </c>
      <c r="I628" t="n">
        <v>0</v>
      </c>
      <c r="J628" t="n">
        <v>0</v>
      </c>
      <c r="K628" t="n">
        <v>0</v>
      </c>
      <c r="L628" t="n">
        <v>0</v>
      </c>
      <c r="M628" t="n">
        <v>0</v>
      </c>
      <c r="N628" t="n">
        <v>0</v>
      </c>
      <c r="O628" t="n">
        <v>0</v>
      </c>
      <c r="P628" t="n">
        <v>0</v>
      </c>
      <c r="Q628" t="n">
        <v>0</v>
      </c>
      <c r="R628" s="2" t="inlineStr"/>
    </row>
    <row r="629" ht="15" customHeight="1">
      <c r="A629" t="inlineStr">
        <is>
          <t>A 45831-2024</t>
        </is>
      </c>
      <c r="B629" s="1" t="n">
        <v>45579.90508101852</v>
      </c>
      <c r="C629" s="1" t="n">
        <v>46086</v>
      </c>
      <c r="D629" t="inlineStr">
        <is>
          <t>ÖSTERGÖTLANDS LÄN</t>
        </is>
      </c>
      <c r="E629" t="inlineStr">
        <is>
          <t>LINKÖPING</t>
        </is>
      </c>
      <c r="G629" t="n">
        <v>1.9</v>
      </c>
      <c r="H629" t="n">
        <v>0</v>
      </c>
      <c r="I629" t="n">
        <v>0</v>
      </c>
      <c r="J629" t="n">
        <v>0</v>
      </c>
      <c r="K629" t="n">
        <v>0</v>
      </c>
      <c r="L629" t="n">
        <v>0</v>
      </c>
      <c r="M629" t="n">
        <v>0</v>
      </c>
      <c r="N629" t="n">
        <v>0</v>
      </c>
      <c r="O629" t="n">
        <v>0</v>
      </c>
      <c r="P629" t="n">
        <v>0</v>
      </c>
      <c r="Q629" t="n">
        <v>0</v>
      </c>
      <c r="R629" s="2" t="inlineStr"/>
    </row>
    <row r="630" ht="15" customHeight="1">
      <c r="A630" t="inlineStr">
        <is>
          <t>A 17157-2024</t>
        </is>
      </c>
      <c r="B630" s="1" t="n">
        <v>45412.70567129629</v>
      </c>
      <c r="C630" s="1" t="n">
        <v>46086</v>
      </c>
      <c r="D630" t="inlineStr">
        <is>
          <t>ÖSTERGÖTLANDS LÄN</t>
        </is>
      </c>
      <c r="E630" t="inlineStr">
        <is>
          <t>LINKÖPING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37154-2023</t>
        </is>
      </c>
      <c r="B631" s="1" t="n">
        <v>45155</v>
      </c>
      <c r="C631" s="1" t="n">
        <v>46086</v>
      </c>
      <c r="D631" t="inlineStr">
        <is>
          <t>ÖSTERGÖTLANDS LÄN</t>
        </is>
      </c>
      <c r="E631" t="inlineStr">
        <is>
          <t>LINKÖPING</t>
        </is>
      </c>
      <c r="G631" t="n">
        <v>1.7</v>
      </c>
      <c r="H631" t="n">
        <v>0</v>
      </c>
      <c r="I631" t="n">
        <v>0</v>
      </c>
      <c r="J631" t="n">
        <v>0</v>
      </c>
      <c r="K631" t="n">
        <v>0</v>
      </c>
      <c r="L631" t="n">
        <v>0</v>
      </c>
      <c r="M631" t="n">
        <v>0</v>
      </c>
      <c r="N631" t="n">
        <v>0</v>
      </c>
      <c r="O631" t="n">
        <v>0</v>
      </c>
      <c r="P631" t="n">
        <v>0</v>
      </c>
      <c r="Q631" t="n">
        <v>0</v>
      </c>
      <c r="R631" s="2" t="inlineStr"/>
    </row>
    <row r="632" ht="15" customHeight="1">
      <c r="A632" t="inlineStr">
        <is>
          <t>A 53812-2023</t>
        </is>
      </c>
      <c r="B632" s="1" t="n">
        <v>45231.39583333334</v>
      </c>
      <c r="C632" s="1" t="n">
        <v>46086</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53830-2023</t>
        </is>
      </c>
      <c r="B633" s="1" t="n">
        <v>45230</v>
      </c>
      <c r="C633" s="1" t="n">
        <v>46086</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56841-2023</t>
        </is>
      </c>
      <c r="B634" s="1" t="n">
        <v>45244</v>
      </c>
      <c r="C634" s="1" t="n">
        <v>46086</v>
      </c>
      <c r="D634" t="inlineStr">
        <is>
          <t>ÖSTERGÖTLANDS LÄN</t>
        </is>
      </c>
      <c r="E634" t="inlineStr">
        <is>
          <t>LINKÖPING</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56741-2023</t>
        </is>
      </c>
      <c r="B635" s="1" t="n">
        <v>45244</v>
      </c>
      <c r="C635" s="1" t="n">
        <v>46086</v>
      </c>
      <c r="D635" t="inlineStr">
        <is>
          <t>ÖSTERGÖTLANDS LÄN</t>
        </is>
      </c>
      <c r="E635" t="inlineStr">
        <is>
          <t>LINKÖPING</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53816-2023</t>
        </is>
      </c>
      <c r="B636" s="1" t="n">
        <v>45231.40012731482</v>
      </c>
      <c r="C636" s="1" t="n">
        <v>46086</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63935-2021</t>
        </is>
      </c>
      <c r="B637" s="1" t="n">
        <v>44509</v>
      </c>
      <c r="C637" s="1" t="n">
        <v>46086</v>
      </c>
      <c r="D637" t="inlineStr">
        <is>
          <t>ÖSTERGÖTLANDS LÄN</t>
        </is>
      </c>
      <c r="E637" t="inlineStr">
        <is>
          <t>LINKÖPING</t>
        </is>
      </c>
      <c r="F637" t="inlineStr">
        <is>
          <t>Övriga statliga verk och myndigheter</t>
        </is>
      </c>
      <c r="G637" t="n">
        <v>2.8</v>
      </c>
      <c r="H637" t="n">
        <v>0</v>
      </c>
      <c r="I637" t="n">
        <v>0</v>
      </c>
      <c r="J637" t="n">
        <v>0</v>
      </c>
      <c r="K637" t="n">
        <v>0</v>
      </c>
      <c r="L637" t="n">
        <v>0</v>
      </c>
      <c r="M637" t="n">
        <v>0</v>
      </c>
      <c r="N637" t="n">
        <v>0</v>
      </c>
      <c r="O637" t="n">
        <v>0</v>
      </c>
      <c r="P637" t="n">
        <v>0</v>
      </c>
      <c r="Q637" t="n">
        <v>0</v>
      </c>
      <c r="R637" s="2" t="inlineStr"/>
    </row>
    <row r="638" ht="15" customHeight="1">
      <c r="A638" t="inlineStr">
        <is>
          <t>A 6726-2024</t>
        </is>
      </c>
      <c r="B638" s="1" t="n">
        <v>45341</v>
      </c>
      <c r="C638" s="1" t="n">
        <v>46086</v>
      </c>
      <c r="D638" t="inlineStr">
        <is>
          <t>ÖSTERGÖTLANDS LÄN</t>
        </is>
      </c>
      <c r="E638" t="inlineStr">
        <is>
          <t>LINKÖPING</t>
        </is>
      </c>
      <c r="G638" t="n">
        <v>2.7</v>
      </c>
      <c r="H638" t="n">
        <v>0</v>
      </c>
      <c r="I638" t="n">
        <v>0</v>
      </c>
      <c r="J638" t="n">
        <v>0</v>
      </c>
      <c r="K638" t="n">
        <v>0</v>
      </c>
      <c r="L638" t="n">
        <v>0</v>
      </c>
      <c r="M638" t="n">
        <v>0</v>
      </c>
      <c r="N638" t="n">
        <v>0</v>
      </c>
      <c r="O638" t="n">
        <v>0</v>
      </c>
      <c r="P638" t="n">
        <v>0</v>
      </c>
      <c r="Q638" t="n">
        <v>0</v>
      </c>
      <c r="R638" s="2" t="inlineStr"/>
    </row>
    <row r="639" ht="15" customHeight="1">
      <c r="A639" t="inlineStr">
        <is>
          <t>A 3007-2023</t>
        </is>
      </c>
      <c r="B639" s="1" t="n">
        <v>44945</v>
      </c>
      <c r="C639" s="1" t="n">
        <v>46086</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18145-2021</t>
        </is>
      </c>
      <c r="B640" s="1" t="n">
        <v>44302</v>
      </c>
      <c r="C640" s="1" t="n">
        <v>46086</v>
      </c>
      <c r="D640" t="inlineStr">
        <is>
          <t>ÖSTERGÖTLANDS LÄN</t>
        </is>
      </c>
      <c r="E640" t="inlineStr">
        <is>
          <t>LINKÖPING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29309-2024</t>
        </is>
      </c>
      <c r="B641" s="1" t="n">
        <v>45483</v>
      </c>
      <c r="C641" s="1" t="n">
        <v>46086</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53411-2023</t>
        </is>
      </c>
      <c r="B642" s="1" t="n">
        <v>45229.81049768518</v>
      </c>
      <c r="C642" s="1" t="n">
        <v>46086</v>
      </c>
      <c r="D642" t="inlineStr">
        <is>
          <t>ÖSTERGÖTLANDS LÄN</t>
        </is>
      </c>
      <c r="E642" t="inlineStr">
        <is>
          <t>LINKÖPING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26788-2022</t>
        </is>
      </c>
      <c r="B643" s="1" t="n">
        <v>44740</v>
      </c>
      <c r="C643" s="1" t="n">
        <v>46086</v>
      </c>
      <c r="D643" t="inlineStr">
        <is>
          <t>ÖSTERGÖTLANDS LÄN</t>
        </is>
      </c>
      <c r="E643" t="inlineStr">
        <is>
          <t>LINKÖPING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24462-2023</t>
        </is>
      </c>
      <c r="B644" s="1" t="n">
        <v>45082</v>
      </c>
      <c r="C644" s="1" t="n">
        <v>46086</v>
      </c>
      <c r="D644" t="inlineStr">
        <is>
          <t>ÖSTERGÖTLANDS LÄN</t>
        </is>
      </c>
      <c r="E644" t="inlineStr">
        <is>
          <t>LINKÖPING</t>
        </is>
      </c>
      <c r="G644" t="n">
        <v>3.5</v>
      </c>
      <c r="H644" t="n">
        <v>0</v>
      </c>
      <c r="I644" t="n">
        <v>0</v>
      </c>
      <c r="J644" t="n">
        <v>0</v>
      </c>
      <c r="K644" t="n">
        <v>0</v>
      </c>
      <c r="L644" t="n">
        <v>0</v>
      </c>
      <c r="M644" t="n">
        <v>0</v>
      </c>
      <c r="N644" t="n">
        <v>0</v>
      </c>
      <c r="O644" t="n">
        <v>0</v>
      </c>
      <c r="P644" t="n">
        <v>0</v>
      </c>
      <c r="Q644" t="n">
        <v>0</v>
      </c>
      <c r="R644" s="2" t="inlineStr"/>
    </row>
    <row r="645" ht="15" customHeight="1">
      <c r="A645" t="inlineStr">
        <is>
          <t>A 62015-2024</t>
        </is>
      </c>
      <c r="B645" s="1" t="n">
        <v>45655.80457175926</v>
      </c>
      <c r="C645" s="1" t="n">
        <v>46086</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10741-2023</t>
        </is>
      </c>
      <c r="B646" s="1" t="n">
        <v>44988.70084490741</v>
      </c>
      <c r="C646" s="1" t="n">
        <v>46086</v>
      </c>
      <c r="D646" t="inlineStr">
        <is>
          <t>ÖSTERGÖTLANDS LÄN</t>
        </is>
      </c>
      <c r="E646" t="inlineStr">
        <is>
          <t>LINKÖPING</t>
        </is>
      </c>
      <c r="F646" t="inlineStr">
        <is>
          <t>Allmännings- och besparingsskogar</t>
        </is>
      </c>
      <c r="G646" t="n">
        <v>11.2</v>
      </c>
      <c r="H646" t="n">
        <v>0</v>
      </c>
      <c r="I646" t="n">
        <v>0</v>
      </c>
      <c r="J646" t="n">
        <v>0</v>
      </c>
      <c r="K646" t="n">
        <v>0</v>
      </c>
      <c r="L646" t="n">
        <v>0</v>
      </c>
      <c r="M646" t="n">
        <v>0</v>
      </c>
      <c r="N646" t="n">
        <v>0</v>
      </c>
      <c r="O646" t="n">
        <v>0</v>
      </c>
      <c r="P646" t="n">
        <v>0</v>
      </c>
      <c r="Q646" t="n">
        <v>0</v>
      </c>
      <c r="R646" s="2" t="inlineStr"/>
    </row>
    <row r="647" ht="15" customHeight="1">
      <c r="A647" t="inlineStr">
        <is>
          <t>A 43473-2024</t>
        </is>
      </c>
      <c r="B647" s="1" t="n">
        <v>45568</v>
      </c>
      <c r="C647" s="1" t="n">
        <v>46086</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43475-2024</t>
        </is>
      </c>
      <c r="B648" s="1" t="n">
        <v>45568</v>
      </c>
      <c r="C648" s="1" t="n">
        <v>46086</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1207-2023</t>
        </is>
      </c>
      <c r="B649" s="1" t="n">
        <v>44930</v>
      </c>
      <c r="C649" s="1" t="n">
        <v>46086</v>
      </c>
      <c r="D649" t="inlineStr">
        <is>
          <t>ÖSTERGÖTLANDS LÄN</t>
        </is>
      </c>
      <c r="E649" t="inlineStr">
        <is>
          <t>LINKÖPING</t>
        </is>
      </c>
      <c r="F649" t="inlineStr">
        <is>
          <t>Övriga statliga verk och myndigheter</t>
        </is>
      </c>
      <c r="G649" t="n">
        <v>32.8</v>
      </c>
      <c r="H649" t="n">
        <v>0</v>
      </c>
      <c r="I649" t="n">
        <v>0</v>
      </c>
      <c r="J649" t="n">
        <v>0</v>
      </c>
      <c r="K649" t="n">
        <v>0</v>
      </c>
      <c r="L649" t="n">
        <v>0</v>
      </c>
      <c r="M649" t="n">
        <v>0</v>
      </c>
      <c r="N649" t="n">
        <v>0</v>
      </c>
      <c r="O649" t="n">
        <v>0</v>
      </c>
      <c r="P649" t="n">
        <v>0</v>
      </c>
      <c r="Q649" t="n">
        <v>0</v>
      </c>
      <c r="R649" s="2" t="inlineStr"/>
    </row>
    <row r="650" ht="15" customHeight="1">
      <c r="A650" t="inlineStr">
        <is>
          <t>A 29859-2024</t>
        </is>
      </c>
      <c r="B650" s="1" t="n">
        <v>45485.6846412037</v>
      </c>
      <c r="C650" s="1" t="n">
        <v>46086</v>
      </c>
      <c r="D650" t="inlineStr">
        <is>
          <t>ÖSTERGÖTLANDS LÄN</t>
        </is>
      </c>
      <c r="E650" t="inlineStr">
        <is>
          <t>LINKÖPING</t>
        </is>
      </c>
      <c r="G650" t="n">
        <v>0.4</v>
      </c>
      <c r="H650" t="n">
        <v>0</v>
      </c>
      <c r="I650" t="n">
        <v>0</v>
      </c>
      <c r="J650" t="n">
        <v>0</v>
      </c>
      <c r="K650" t="n">
        <v>0</v>
      </c>
      <c r="L650" t="n">
        <v>0</v>
      </c>
      <c r="M650" t="n">
        <v>0</v>
      </c>
      <c r="N650" t="n">
        <v>0</v>
      </c>
      <c r="O650" t="n">
        <v>0</v>
      </c>
      <c r="P650" t="n">
        <v>0</v>
      </c>
      <c r="Q650" t="n">
        <v>0</v>
      </c>
      <c r="R650" s="2" t="inlineStr"/>
    </row>
    <row r="651" ht="15" customHeight="1">
      <c r="A651" t="inlineStr">
        <is>
          <t>A 45819-2024</t>
        </is>
      </c>
      <c r="B651" s="1" t="n">
        <v>45579.7454050926</v>
      </c>
      <c r="C651" s="1" t="n">
        <v>46086</v>
      </c>
      <c r="D651" t="inlineStr">
        <is>
          <t>ÖSTERGÖTLANDS LÄN</t>
        </is>
      </c>
      <c r="E651" t="inlineStr">
        <is>
          <t>LINKÖPING</t>
        </is>
      </c>
      <c r="G651" t="n">
        <v>5</v>
      </c>
      <c r="H651" t="n">
        <v>0</v>
      </c>
      <c r="I651" t="n">
        <v>0</v>
      </c>
      <c r="J651" t="n">
        <v>0</v>
      </c>
      <c r="K651" t="n">
        <v>0</v>
      </c>
      <c r="L651" t="n">
        <v>0</v>
      </c>
      <c r="M651" t="n">
        <v>0</v>
      </c>
      <c r="N651" t="n">
        <v>0</v>
      </c>
      <c r="O651" t="n">
        <v>0</v>
      </c>
      <c r="P651" t="n">
        <v>0</v>
      </c>
      <c r="Q651" t="n">
        <v>0</v>
      </c>
      <c r="R651" s="2" t="inlineStr"/>
    </row>
    <row r="652" ht="15" customHeight="1">
      <c r="A652" t="inlineStr">
        <is>
          <t>A 15748-2025</t>
        </is>
      </c>
      <c r="B652" s="1" t="n">
        <v>45748.55282407408</v>
      </c>
      <c r="C652" s="1" t="n">
        <v>46086</v>
      </c>
      <c r="D652" t="inlineStr">
        <is>
          <t>ÖSTERGÖTLANDS LÄN</t>
        </is>
      </c>
      <c r="E652" t="inlineStr">
        <is>
          <t>LINKÖPING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15754-2025</t>
        </is>
      </c>
      <c r="B653" s="1" t="n">
        <v>45748.56105324074</v>
      </c>
      <c r="C653" s="1" t="n">
        <v>46086</v>
      </c>
      <c r="D653" t="inlineStr">
        <is>
          <t>ÖSTERGÖTLANDS LÄN</t>
        </is>
      </c>
      <c r="E653" t="inlineStr">
        <is>
          <t>LINKÖPING</t>
        </is>
      </c>
      <c r="G653" t="n">
        <v>1.7</v>
      </c>
      <c r="H653" t="n">
        <v>0</v>
      </c>
      <c r="I653" t="n">
        <v>0</v>
      </c>
      <c r="J653" t="n">
        <v>0</v>
      </c>
      <c r="K653" t="n">
        <v>0</v>
      </c>
      <c r="L653" t="n">
        <v>0</v>
      </c>
      <c r="M653" t="n">
        <v>0</v>
      </c>
      <c r="N653" t="n">
        <v>0</v>
      </c>
      <c r="O653" t="n">
        <v>0</v>
      </c>
      <c r="P653" t="n">
        <v>0</v>
      </c>
      <c r="Q653" t="n">
        <v>0</v>
      </c>
      <c r="R653" s="2" t="inlineStr"/>
    </row>
    <row r="654" ht="15" customHeight="1">
      <c r="A654" t="inlineStr">
        <is>
          <t>A 30518-2024</t>
        </is>
      </c>
      <c r="B654" s="1" t="n">
        <v>45492</v>
      </c>
      <c r="C654" s="1" t="n">
        <v>46086</v>
      </c>
      <c r="D654" t="inlineStr">
        <is>
          <t>ÖSTERGÖTLANDS LÄN</t>
        </is>
      </c>
      <c r="E654" t="inlineStr">
        <is>
          <t>LINKÖPING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53797-2023</t>
        </is>
      </c>
      <c r="B655" s="1" t="n">
        <v>45230</v>
      </c>
      <c r="C655" s="1" t="n">
        <v>46086</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55345-2021</t>
        </is>
      </c>
      <c r="B656" s="1" t="n">
        <v>44475</v>
      </c>
      <c r="C656" s="1" t="n">
        <v>46086</v>
      </c>
      <c r="D656" t="inlineStr">
        <is>
          <t>ÖSTERGÖTLANDS LÄN</t>
        </is>
      </c>
      <c r="E656" t="inlineStr">
        <is>
          <t>LINKÖPING</t>
        </is>
      </c>
      <c r="G656" t="n">
        <v>5.7</v>
      </c>
      <c r="H656" t="n">
        <v>0</v>
      </c>
      <c r="I656" t="n">
        <v>0</v>
      </c>
      <c r="J656" t="n">
        <v>0</v>
      </c>
      <c r="K656" t="n">
        <v>0</v>
      </c>
      <c r="L656" t="n">
        <v>0</v>
      </c>
      <c r="M656" t="n">
        <v>0</v>
      </c>
      <c r="N656" t="n">
        <v>0</v>
      </c>
      <c r="O656" t="n">
        <v>0</v>
      </c>
      <c r="P656" t="n">
        <v>0</v>
      </c>
      <c r="Q656" t="n">
        <v>0</v>
      </c>
      <c r="R656" s="2" t="inlineStr"/>
    </row>
    <row r="657" ht="15" customHeight="1">
      <c r="A657" t="inlineStr">
        <is>
          <t>A 10198-2023</t>
        </is>
      </c>
      <c r="B657" s="1" t="n">
        <v>44986.54665509259</v>
      </c>
      <c r="C657" s="1" t="n">
        <v>46086</v>
      </c>
      <c r="D657" t="inlineStr">
        <is>
          <t>ÖSTERGÖTLANDS LÄN</t>
        </is>
      </c>
      <c r="E657" t="inlineStr">
        <is>
          <t>LINKÖPING</t>
        </is>
      </c>
      <c r="G657" t="n">
        <v>4.6</v>
      </c>
      <c r="H657" t="n">
        <v>0</v>
      </c>
      <c r="I657" t="n">
        <v>0</v>
      </c>
      <c r="J657" t="n">
        <v>0</v>
      </c>
      <c r="K657" t="n">
        <v>0</v>
      </c>
      <c r="L657" t="n">
        <v>0</v>
      </c>
      <c r="M657" t="n">
        <v>0</v>
      </c>
      <c r="N657" t="n">
        <v>0</v>
      </c>
      <c r="O657" t="n">
        <v>0</v>
      </c>
      <c r="P657" t="n">
        <v>0</v>
      </c>
      <c r="Q657" t="n">
        <v>0</v>
      </c>
      <c r="R657" s="2" t="inlineStr"/>
    </row>
    <row r="658" ht="15" customHeight="1">
      <c r="A658" t="inlineStr">
        <is>
          <t>A 4298-2023</t>
        </is>
      </c>
      <c r="B658" s="1" t="n">
        <v>44953</v>
      </c>
      <c r="C658" s="1" t="n">
        <v>46086</v>
      </c>
      <c r="D658" t="inlineStr">
        <is>
          <t>ÖSTERGÖTLANDS LÄN</t>
        </is>
      </c>
      <c r="E658" t="inlineStr">
        <is>
          <t>LINKÖPING</t>
        </is>
      </c>
      <c r="G658" t="n">
        <v>2.8</v>
      </c>
      <c r="H658" t="n">
        <v>0</v>
      </c>
      <c r="I658" t="n">
        <v>0</v>
      </c>
      <c r="J658" t="n">
        <v>0</v>
      </c>
      <c r="K658" t="n">
        <v>0</v>
      </c>
      <c r="L658" t="n">
        <v>0</v>
      </c>
      <c r="M658" t="n">
        <v>0</v>
      </c>
      <c r="N658" t="n">
        <v>0</v>
      </c>
      <c r="O658" t="n">
        <v>0</v>
      </c>
      <c r="P658" t="n">
        <v>0</v>
      </c>
      <c r="Q658" t="n">
        <v>0</v>
      </c>
      <c r="R658" s="2" t="inlineStr"/>
    </row>
    <row r="659" ht="15" customHeight="1">
      <c r="A659" t="inlineStr">
        <is>
          <t>A 12428-2024</t>
        </is>
      </c>
      <c r="B659" s="1" t="n">
        <v>45379</v>
      </c>
      <c r="C659" s="1" t="n">
        <v>46086</v>
      </c>
      <c r="D659" t="inlineStr">
        <is>
          <t>ÖSTERGÖTLANDS LÄN</t>
        </is>
      </c>
      <c r="E659" t="inlineStr">
        <is>
          <t>LINKÖPING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26618-2023</t>
        </is>
      </c>
      <c r="B660" s="1" t="n">
        <v>45092.70306712963</v>
      </c>
      <c r="C660" s="1" t="n">
        <v>46086</v>
      </c>
      <c r="D660" t="inlineStr">
        <is>
          <t>ÖSTERGÖTLANDS LÄN</t>
        </is>
      </c>
      <c r="E660" t="inlineStr">
        <is>
          <t>LINKÖPING</t>
        </is>
      </c>
      <c r="G660" t="n">
        <v>6.9</v>
      </c>
      <c r="H660" t="n">
        <v>0</v>
      </c>
      <c r="I660" t="n">
        <v>0</v>
      </c>
      <c r="J660" t="n">
        <v>0</v>
      </c>
      <c r="K660" t="n">
        <v>0</v>
      </c>
      <c r="L660" t="n">
        <v>0</v>
      </c>
      <c r="M660" t="n">
        <v>0</v>
      </c>
      <c r="N660" t="n">
        <v>0</v>
      </c>
      <c r="O660" t="n">
        <v>0</v>
      </c>
      <c r="P660" t="n">
        <v>0</v>
      </c>
      <c r="Q660" t="n">
        <v>0</v>
      </c>
      <c r="R660" s="2" t="inlineStr"/>
    </row>
    <row r="661" ht="15" customHeight="1">
      <c r="A661" t="inlineStr">
        <is>
          <t>A 34930-2023</t>
        </is>
      </c>
      <c r="B661" s="1" t="n">
        <v>45142</v>
      </c>
      <c r="C661" s="1" t="n">
        <v>46086</v>
      </c>
      <c r="D661" t="inlineStr">
        <is>
          <t>ÖSTERGÖTLANDS LÄN</t>
        </is>
      </c>
      <c r="E661" t="inlineStr">
        <is>
          <t>LINKÖPING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670-2024</t>
        </is>
      </c>
      <c r="B662" s="1" t="n">
        <v>45300.3408912037</v>
      </c>
      <c r="C662" s="1" t="n">
        <v>46086</v>
      </c>
      <c r="D662" t="inlineStr">
        <is>
          <t>ÖSTERGÖTLANDS LÄN</t>
        </is>
      </c>
      <c r="E662" t="inlineStr">
        <is>
          <t>LINKÖPING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63845-2021</t>
        </is>
      </c>
      <c r="B663" s="1" t="n">
        <v>44509</v>
      </c>
      <c r="C663" s="1" t="n">
        <v>46086</v>
      </c>
      <c r="D663" t="inlineStr">
        <is>
          <t>ÖSTERGÖTLANDS LÄN</t>
        </is>
      </c>
      <c r="E663" t="inlineStr">
        <is>
          <t>LINKÖPING</t>
        </is>
      </c>
      <c r="G663" t="n">
        <v>5</v>
      </c>
      <c r="H663" t="n">
        <v>0</v>
      </c>
      <c r="I663" t="n">
        <v>0</v>
      </c>
      <c r="J663" t="n">
        <v>0</v>
      </c>
      <c r="K663" t="n">
        <v>0</v>
      </c>
      <c r="L663" t="n">
        <v>0</v>
      </c>
      <c r="M663" t="n">
        <v>0</v>
      </c>
      <c r="N663" t="n">
        <v>0</v>
      </c>
      <c r="O663" t="n">
        <v>0</v>
      </c>
      <c r="P663" t="n">
        <v>0</v>
      </c>
      <c r="Q663" t="n">
        <v>0</v>
      </c>
      <c r="R663" s="2" t="inlineStr"/>
    </row>
    <row r="664" ht="15" customHeight="1">
      <c r="A664" t="inlineStr">
        <is>
          <t>A 54034-2022</t>
        </is>
      </c>
      <c r="B664" s="1" t="n">
        <v>44881</v>
      </c>
      <c r="C664" s="1" t="n">
        <v>46086</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36336-2023</t>
        </is>
      </c>
      <c r="B665" s="1" t="n">
        <v>45152.45078703704</v>
      </c>
      <c r="C665" s="1" t="n">
        <v>46086</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48829-2023</t>
        </is>
      </c>
      <c r="B666" s="1" t="n">
        <v>45209.38177083333</v>
      </c>
      <c r="C666" s="1" t="n">
        <v>46086</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48186-2022</t>
        </is>
      </c>
      <c r="B667" s="1" t="n">
        <v>44858</v>
      </c>
      <c r="C667" s="1" t="n">
        <v>46086</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63669-2023</t>
        </is>
      </c>
      <c r="B668" s="1" t="n">
        <v>45275</v>
      </c>
      <c r="C668" s="1" t="n">
        <v>46086</v>
      </c>
      <c r="D668" t="inlineStr">
        <is>
          <t>ÖSTERGÖTLANDS LÄN</t>
        </is>
      </c>
      <c r="E668" t="inlineStr">
        <is>
          <t>LINKÖPING</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24586-2024</t>
        </is>
      </c>
      <c r="B669" s="1" t="n">
        <v>45460.46664351852</v>
      </c>
      <c r="C669" s="1" t="n">
        <v>46086</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59576-2024</t>
        </is>
      </c>
      <c r="B670" s="1" t="n">
        <v>45638.66378472222</v>
      </c>
      <c r="C670" s="1" t="n">
        <v>46086</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59642-2024</t>
        </is>
      </c>
      <c r="B671" s="1" t="n">
        <v>45639.31511574074</v>
      </c>
      <c r="C671" s="1" t="n">
        <v>46086</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59674-2024</t>
        </is>
      </c>
      <c r="B672" s="1" t="n">
        <v>45639</v>
      </c>
      <c r="C672" s="1" t="n">
        <v>46086</v>
      </c>
      <c r="D672" t="inlineStr">
        <is>
          <t>ÖSTERGÖTLANDS LÄN</t>
        </is>
      </c>
      <c r="E672" t="inlineStr">
        <is>
          <t>LINKÖPING</t>
        </is>
      </c>
      <c r="G672" t="n">
        <v>6.3</v>
      </c>
      <c r="H672" t="n">
        <v>0</v>
      </c>
      <c r="I672" t="n">
        <v>0</v>
      </c>
      <c r="J672" t="n">
        <v>0</v>
      </c>
      <c r="K672" t="n">
        <v>0</v>
      </c>
      <c r="L672" t="n">
        <v>0</v>
      </c>
      <c r="M672" t="n">
        <v>0</v>
      </c>
      <c r="N672" t="n">
        <v>0</v>
      </c>
      <c r="O672" t="n">
        <v>0</v>
      </c>
      <c r="P672" t="n">
        <v>0</v>
      </c>
      <c r="Q672" t="n">
        <v>0</v>
      </c>
      <c r="R672" s="2" t="inlineStr"/>
    </row>
    <row r="673" ht="15" customHeight="1">
      <c r="A673" t="inlineStr">
        <is>
          <t>A 18916-2024</t>
        </is>
      </c>
      <c r="B673" s="1" t="n">
        <v>45427.39541666667</v>
      </c>
      <c r="C673" s="1" t="n">
        <v>46086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11084-2022</t>
        </is>
      </c>
      <c r="B674" s="1" t="n">
        <v>44628</v>
      </c>
      <c r="C674" s="1" t="n">
        <v>46086</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10203-2023</t>
        </is>
      </c>
      <c r="B675" s="1" t="n">
        <v>44986.55711805556</v>
      </c>
      <c r="C675" s="1" t="n">
        <v>46086</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2618-2023</t>
        </is>
      </c>
      <c r="B676" s="1" t="n">
        <v>44944.35847222222</v>
      </c>
      <c r="C676" s="1" t="n">
        <v>46086</v>
      </c>
      <c r="D676" t="inlineStr">
        <is>
          <t>ÖSTERGÖTLANDS LÄN</t>
        </is>
      </c>
      <c r="E676" t="inlineStr">
        <is>
          <t>LINKÖPING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62020-2024</t>
        </is>
      </c>
      <c r="B677" s="1" t="n">
        <v>45655.83563657408</v>
      </c>
      <c r="C677" s="1" t="n">
        <v>46086</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62021-2024</t>
        </is>
      </c>
      <c r="B678" s="1" t="n">
        <v>45655.84232638889</v>
      </c>
      <c r="C678" s="1" t="n">
        <v>46086</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46086</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46086</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3627-2023</t>
        </is>
      </c>
      <c r="B681" s="1" t="n">
        <v>44950.64782407408</v>
      </c>
      <c r="C681" s="1" t="n">
        <v>46086</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46086</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11601-2023</t>
        </is>
      </c>
      <c r="B683" s="1" t="n">
        <v>44994</v>
      </c>
      <c r="C683" s="1" t="n">
        <v>46086</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40338-2024</t>
        </is>
      </c>
      <c r="B684" s="1" t="n">
        <v>45555.32940972222</v>
      </c>
      <c r="C684" s="1" t="n">
        <v>46086</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167-2024</t>
        </is>
      </c>
      <c r="B685" s="1" t="n">
        <v>45294</v>
      </c>
      <c r="C685" s="1" t="n">
        <v>46086</v>
      </c>
      <c r="D685" t="inlineStr">
        <is>
          <t>ÖSTERGÖTLANDS LÄN</t>
        </is>
      </c>
      <c r="E685" t="inlineStr">
        <is>
          <t>LINKÖPING</t>
        </is>
      </c>
      <c r="F685" t="inlineStr">
        <is>
          <t>Allmännings- och besparingsskogar</t>
        </is>
      </c>
      <c r="G685" t="n">
        <v>11.6</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46086</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7343-2025</t>
        </is>
      </c>
      <c r="B687" s="1" t="n">
        <v>45703.67853009259</v>
      </c>
      <c r="C687" s="1" t="n">
        <v>46086</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48271-2023</t>
        </is>
      </c>
      <c r="B688" s="1" t="n">
        <v>45205</v>
      </c>
      <c r="C688" s="1" t="n">
        <v>46086</v>
      </c>
      <c r="D688" t="inlineStr">
        <is>
          <t>ÖSTERGÖTLANDS LÄN</t>
        </is>
      </c>
      <c r="E688" t="inlineStr">
        <is>
          <t>LINKÖPING</t>
        </is>
      </c>
      <c r="G688" t="n">
        <v>3</v>
      </c>
      <c r="H688" t="n">
        <v>0</v>
      </c>
      <c r="I688" t="n">
        <v>0</v>
      </c>
      <c r="J688" t="n">
        <v>0</v>
      </c>
      <c r="K688" t="n">
        <v>0</v>
      </c>
      <c r="L688" t="n">
        <v>0</v>
      </c>
      <c r="M688" t="n">
        <v>0</v>
      </c>
      <c r="N688" t="n">
        <v>0</v>
      </c>
      <c r="O688" t="n">
        <v>0</v>
      </c>
      <c r="P688" t="n">
        <v>0</v>
      </c>
      <c r="Q688" t="n">
        <v>0</v>
      </c>
      <c r="R688" s="2" t="inlineStr"/>
    </row>
    <row r="689" ht="15" customHeight="1">
      <c r="A689" t="inlineStr">
        <is>
          <t>A 12720-2022</t>
        </is>
      </c>
      <c r="B689" s="1" t="n">
        <v>44641</v>
      </c>
      <c r="C689" s="1" t="n">
        <v>46086</v>
      </c>
      <c r="D689" t="inlineStr">
        <is>
          <t>ÖSTERGÖTLANDS LÄN</t>
        </is>
      </c>
      <c r="E689" t="inlineStr">
        <is>
          <t>LINKÖPING</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46086</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30551-2023</t>
        </is>
      </c>
      <c r="B691" s="1" t="n">
        <v>45111</v>
      </c>
      <c r="C691" s="1" t="n">
        <v>46086</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30860-2022</t>
        </is>
      </c>
      <c r="B692" s="1" t="n">
        <v>44767</v>
      </c>
      <c r="C692" s="1" t="n">
        <v>46086</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60004-2022</t>
        </is>
      </c>
      <c r="B693" s="1" t="n">
        <v>44909.47206018519</v>
      </c>
      <c r="C693" s="1" t="n">
        <v>46086</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60010-2022</t>
        </is>
      </c>
      <c r="B694" s="1" t="n">
        <v>44909.4740625</v>
      </c>
      <c r="C694" s="1" t="n">
        <v>46086</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53827-2023</t>
        </is>
      </c>
      <c r="B695" s="1" t="n">
        <v>45230</v>
      </c>
      <c r="C695" s="1" t="n">
        <v>46086</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4256-2022</t>
        </is>
      </c>
      <c r="B696" s="1" t="n">
        <v>44588</v>
      </c>
      <c r="C696" s="1" t="n">
        <v>46086</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46086</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223-2024</t>
        </is>
      </c>
      <c r="B698" s="1" t="n">
        <v>45294.72739583333</v>
      </c>
      <c r="C698" s="1" t="n">
        <v>46086</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19464-2024</t>
        </is>
      </c>
      <c r="B699" s="1" t="n">
        <v>45429</v>
      </c>
      <c r="C699" s="1" t="n">
        <v>46086</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46086</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46086</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63528-2023</t>
        </is>
      </c>
      <c r="B702" s="1" t="n">
        <v>45274.94810185185</v>
      </c>
      <c r="C702" s="1" t="n">
        <v>46086</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61936-2023</t>
        </is>
      </c>
      <c r="B703" s="1" t="n">
        <v>45266.54534722222</v>
      </c>
      <c r="C703" s="1" t="n">
        <v>46086</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62492-2023</t>
        </is>
      </c>
      <c r="B704" s="1" t="n">
        <v>45268.58987268519</v>
      </c>
      <c r="C704" s="1" t="n">
        <v>46086</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674-2024</t>
        </is>
      </c>
      <c r="B705" s="1" t="n">
        <v>45300.34408564815</v>
      </c>
      <c r="C705" s="1" t="n">
        <v>46086</v>
      </c>
      <c r="D705" t="inlineStr">
        <is>
          <t>ÖSTERGÖTLANDS LÄN</t>
        </is>
      </c>
      <c r="E705" t="inlineStr">
        <is>
          <t>LINKÖPING</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6782-2024</t>
        </is>
      </c>
      <c r="B706" s="1" t="n">
        <v>45342</v>
      </c>
      <c r="C706" s="1" t="n">
        <v>46086</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10094-2024</t>
        </is>
      </c>
      <c r="B707" s="1" t="n">
        <v>45364</v>
      </c>
      <c r="C707" s="1" t="n">
        <v>46086</v>
      </c>
      <c r="D707" t="inlineStr">
        <is>
          <t>ÖSTERGÖTLANDS LÄN</t>
        </is>
      </c>
      <c r="E707" t="inlineStr">
        <is>
          <t>LINKÖPING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63684-2023</t>
        </is>
      </c>
      <c r="B708" s="1" t="n">
        <v>45275</v>
      </c>
      <c r="C708" s="1" t="n">
        <v>46086</v>
      </c>
      <c r="D708" t="inlineStr">
        <is>
          <t>ÖSTERGÖTLANDS LÄN</t>
        </is>
      </c>
      <c r="E708" t="inlineStr">
        <is>
          <t>LINKÖPING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63688-2023</t>
        </is>
      </c>
      <c r="B709" s="1" t="n">
        <v>45275</v>
      </c>
      <c r="C709" s="1" t="n">
        <v>46086</v>
      </c>
      <c r="D709" t="inlineStr">
        <is>
          <t>ÖSTERGÖTLANDS LÄN</t>
        </is>
      </c>
      <c r="E709" t="inlineStr">
        <is>
          <t>LINKÖPING</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63691-2023</t>
        </is>
      </c>
      <c r="B710" s="1" t="n">
        <v>45275</v>
      </c>
      <c r="C710" s="1" t="n">
        <v>46086</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36657-2023</t>
        </is>
      </c>
      <c r="B711" s="1" t="n">
        <v>45153.5702662037</v>
      </c>
      <c r="C711" s="1" t="n">
        <v>46086</v>
      </c>
      <c r="D711" t="inlineStr">
        <is>
          <t>ÖSTERGÖTLANDS LÄN</t>
        </is>
      </c>
      <c r="E711" t="inlineStr">
        <is>
          <t>LINKÖPING</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14667-2024</t>
        </is>
      </c>
      <c r="B712" s="1" t="n">
        <v>45397.42005787037</v>
      </c>
      <c r="C712" s="1" t="n">
        <v>46086</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15714-2024</t>
        </is>
      </c>
      <c r="B713" s="1" t="n">
        <v>45404.48288194444</v>
      </c>
      <c r="C713" s="1" t="n">
        <v>46086</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37715-2022</t>
        </is>
      </c>
      <c r="B714" s="1" t="n">
        <v>44810</v>
      </c>
      <c r="C714" s="1" t="n">
        <v>46086</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30429-2024</t>
        </is>
      </c>
      <c r="B715" s="1" t="n">
        <v>45491.68972222223</v>
      </c>
      <c r="C715" s="1" t="n">
        <v>46086</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30435-2024</t>
        </is>
      </c>
      <c r="B716" s="1" t="n">
        <v>45491.69962962963</v>
      </c>
      <c r="C716" s="1" t="n">
        <v>46086</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38231-2022</t>
        </is>
      </c>
      <c r="B717" s="1" t="n">
        <v>44812</v>
      </c>
      <c r="C717" s="1" t="n">
        <v>46086</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34557-2022</t>
        </is>
      </c>
      <c r="B718" s="1" t="n">
        <v>44794.57074074074</v>
      </c>
      <c r="C718" s="1" t="n">
        <v>46086</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13011-2022</t>
        </is>
      </c>
      <c r="B719" s="1" t="n">
        <v>44643</v>
      </c>
      <c r="C719" s="1" t="n">
        <v>46086</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617-2024</t>
        </is>
      </c>
      <c r="B720" s="1" t="n">
        <v>45299.66028935185</v>
      </c>
      <c r="C720" s="1" t="n">
        <v>46086</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19362-2023</t>
        </is>
      </c>
      <c r="B721" s="1" t="n">
        <v>45049</v>
      </c>
      <c r="C721" s="1" t="n">
        <v>46086</v>
      </c>
      <c r="D721" t="inlineStr">
        <is>
          <t>ÖSTERGÖTLANDS LÄN</t>
        </is>
      </c>
      <c r="E721" t="inlineStr">
        <is>
          <t>LINKÖPING</t>
        </is>
      </c>
      <c r="G721" t="n">
        <v>0.1</v>
      </c>
      <c r="H721" t="n">
        <v>0</v>
      </c>
      <c r="I721" t="n">
        <v>0</v>
      </c>
      <c r="J721" t="n">
        <v>0</v>
      </c>
      <c r="K721" t="n">
        <v>0</v>
      </c>
      <c r="L721" t="n">
        <v>0</v>
      </c>
      <c r="M721" t="n">
        <v>0</v>
      </c>
      <c r="N721" t="n">
        <v>0</v>
      </c>
      <c r="O721" t="n">
        <v>0</v>
      </c>
      <c r="P721" t="n">
        <v>0</v>
      </c>
      <c r="Q721" t="n">
        <v>0</v>
      </c>
      <c r="R721" s="2" t="inlineStr"/>
    </row>
    <row r="722" ht="15" customHeight="1">
      <c r="A722" t="inlineStr">
        <is>
          <t>A 19132-2023</t>
        </is>
      </c>
      <c r="B722" s="1" t="n">
        <v>45048.54754629629</v>
      </c>
      <c r="C722" s="1" t="n">
        <v>46086</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31635-2023</t>
        </is>
      </c>
      <c r="B723" s="1" t="n">
        <v>45105</v>
      </c>
      <c r="C723" s="1" t="n">
        <v>46086</v>
      </c>
      <c r="D723" t="inlineStr">
        <is>
          <t>ÖSTERGÖTLANDS LÄN</t>
        </is>
      </c>
      <c r="E723" t="inlineStr">
        <is>
          <t>LINKÖPING</t>
        </is>
      </c>
      <c r="F723" t="inlineStr">
        <is>
          <t>Övriga statliga verk och myndigheter</t>
        </is>
      </c>
      <c r="G723" t="n">
        <v>4.6</v>
      </c>
      <c r="H723" t="n">
        <v>0</v>
      </c>
      <c r="I723" t="n">
        <v>0</v>
      </c>
      <c r="J723" t="n">
        <v>0</v>
      </c>
      <c r="K723" t="n">
        <v>0</v>
      </c>
      <c r="L723" t="n">
        <v>0</v>
      </c>
      <c r="M723" t="n">
        <v>0</v>
      </c>
      <c r="N723" t="n">
        <v>0</v>
      </c>
      <c r="O723" t="n">
        <v>0</v>
      </c>
      <c r="P723" t="n">
        <v>0</v>
      </c>
      <c r="Q723" t="n">
        <v>0</v>
      </c>
      <c r="R723" s="2" t="inlineStr"/>
    </row>
    <row r="724" ht="15" customHeight="1">
      <c r="A724" t="inlineStr">
        <is>
          <t>A 20296-2025</t>
        </is>
      </c>
      <c r="B724" s="1" t="n">
        <v>45774.74922453704</v>
      </c>
      <c r="C724" s="1" t="n">
        <v>46086</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22770-2024</t>
        </is>
      </c>
      <c r="B725" s="1" t="n">
        <v>45448.4634375</v>
      </c>
      <c r="C725" s="1" t="n">
        <v>46086</v>
      </c>
      <c r="D725" t="inlineStr">
        <is>
          <t>ÖSTERGÖTLANDS LÄN</t>
        </is>
      </c>
      <c r="E725" t="inlineStr">
        <is>
          <t>LINKÖPING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11595-2025</t>
        </is>
      </c>
      <c r="B726" s="1" t="n">
        <v>45727.41893518518</v>
      </c>
      <c r="C726" s="1" t="n">
        <v>46086</v>
      </c>
      <c r="D726" t="inlineStr">
        <is>
          <t>ÖSTERGÖTLANDS LÄN</t>
        </is>
      </c>
      <c r="E726" t="inlineStr">
        <is>
          <t>LINKÖPING</t>
        </is>
      </c>
      <c r="G726" t="n">
        <v>6.6</v>
      </c>
      <c r="H726" t="n">
        <v>0</v>
      </c>
      <c r="I726" t="n">
        <v>0</v>
      </c>
      <c r="J726" t="n">
        <v>0</v>
      </c>
      <c r="K726" t="n">
        <v>0</v>
      </c>
      <c r="L726" t="n">
        <v>0</v>
      </c>
      <c r="M726" t="n">
        <v>0</v>
      </c>
      <c r="N726" t="n">
        <v>0</v>
      </c>
      <c r="O726" t="n">
        <v>0</v>
      </c>
      <c r="P726" t="n">
        <v>0</v>
      </c>
      <c r="Q726" t="n">
        <v>0</v>
      </c>
      <c r="R726" s="2" t="inlineStr"/>
    </row>
    <row r="727" ht="15" customHeight="1">
      <c r="A727" t="inlineStr">
        <is>
          <t>A 48839-2022</t>
        </is>
      </c>
      <c r="B727" s="1" t="n">
        <v>44859</v>
      </c>
      <c r="C727" s="1" t="n">
        <v>46086</v>
      </c>
      <c r="D727" t="inlineStr">
        <is>
          <t>ÖSTERGÖTLANDS LÄN</t>
        </is>
      </c>
      <c r="E727" t="inlineStr">
        <is>
          <t>LINKÖPING</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8967-2025</t>
        </is>
      </c>
      <c r="B728" s="1" t="n">
        <v>45712</v>
      </c>
      <c r="C728" s="1" t="n">
        <v>46086</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63678-2023</t>
        </is>
      </c>
      <c r="B729" s="1" t="n">
        <v>45275.64769675926</v>
      </c>
      <c r="C729" s="1" t="n">
        <v>46086</v>
      </c>
      <c r="D729" t="inlineStr">
        <is>
          <t>ÖSTERGÖTLANDS LÄN</t>
        </is>
      </c>
      <c r="E729" t="inlineStr">
        <is>
          <t>LINKÖPING</t>
        </is>
      </c>
      <c r="F729" t="inlineStr">
        <is>
          <t>Övriga Aktiebolag</t>
        </is>
      </c>
      <c r="G729" t="n">
        <v>0.4</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46086</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46086</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21155-2025</t>
        </is>
      </c>
      <c r="B732" s="1" t="n">
        <v>45779.37586805555</v>
      </c>
      <c r="C732" s="1" t="n">
        <v>46086</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22264-2025</t>
        </is>
      </c>
      <c r="B733" s="1" t="n">
        <v>45785</v>
      </c>
      <c r="C733" s="1" t="n">
        <v>46086</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46086</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6859-2024</t>
        </is>
      </c>
      <c r="B735" s="1" t="n">
        <v>45342</v>
      </c>
      <c r="C735" s="1" t="n">
        <v>46086</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44287-2024</t>
        </is>
      </c>
      <c r="B736" s="1" t="n">
        <v>45573.50582175926</v>
      </c>
      <c r="C736" s="1" t="n">
        <v>46086</v>
      </c>
      <c r="D736" t="inlineStr">
        <is>
          <t>ÖSTERGÖTLANDS LÄN</t>
        </is>
      </c>
      <c r="E736" t="inlineStr">
        <is>
          <t>LINKÖPING</t>
        </is>
      </c>
      <c r="G736" t="n">
        <v>12.7</v>
      </c>
      <c r="H736" t="n">
        <v>0</v>
      </c>
      <c r="I736" t="n">
        <v>0</v>
      </c>
      <c r="J736" t="n">
        <v>0</v>
      </c>
      <c r="K736" t="n">
        <v>0</v>
      </c>
      <c r="L736" t="n">
        <v>0</v>
      </c>
      <c r="M736" t="n">
        <v>0</v>
      </c>
      <c r="N736" t="n">
        <v>0</v>
      </c>
      <c r="O736" t="n">
        <v>0</v>
      </c>
      <c r="P736" t="n">
        <v>0</v>
      </c>
      <c r="Q736" t="n">
        <v>0</v>
      </c>
      <c r="R736" s="2" t="inlineStr"/>
    </row>
    <row r="737" ht="15" customHeight="1">
      <c r="A737" t="inlineStr">
        <is>
          <t>A 22364-2025</t>
        </is>
      </c>
      <c r="B737" s="1" t="n">
        <v>45786.46930555555</v>
      </c>
      <c r="C737" s="1" t="n">
        <v>46086</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46086</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10797-2024</t>
        </is>
      </c>
      <c r="B739" s="1" t="n">
        <v>45369.6190162037</v>
      </c>
      <c r="C739" s="1" t="n">
        <v>46086</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38580-2024</t>
        </is>
      </c>
      <c r="B740" s="1" t="n">
        <v>45546.64825231482</v>
      </c>
      <c r="C740" s="1" t="n">
        <v>46086</v>
      </c>
      <c r="D740" t="inlineStr">
        <is>
          <t>ÖSTERGÖTLANDS LÄN</t>
        </is>
      </c>
      <c r="E740" t="inlineStr">
        <is>
          <t>LINKÖPING</t>
        </is>
      </c>
      <c r="G740" t="n">
        <v>4.8</v>
      </c>
      <c r="H740" t="n">
        <v>0</v>
      </c>
      <c r="I740" t="n">
        <v>0</v>
      </c>
      <c r="J740" t="n">
        <v>0</v>
      </c>
      <c r="K740" t="n">
        <v>0</v>
      </c>
      <c r="L740" t="n">
        <v>0</v>
      </c>
      <c r="M740" t="n">
        <v>0</v>
      </c>
      <c r="N740" t="n">
        <v>0</v>
      </c>
      <c r="O740" t="n">
        <v>0</v>
      </c>
      <c r="P740" t="n">
        <v>0</v>
      </c>
      <c r="Q740" t="n">
        <v>0</v>
      </c>
      <c r="R740" s="2" t="inlineStr"/>
    </row>
    <row r="741" ht="15" customHeight="1">
      <c r="A741" t="inlineStr">
        <is>
          <t>A 57752-2023</t>
        </is>
      </c>
      <c r="B741" s="1" t="n">
        <v>45246.78474537037</v>
      </c>
      <c r="C741" s="1" t="n">
        <v>46086</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46086</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46086</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23768-2025</t>
        </is>
      </c>
      <c r="B744" s="1" t="n">
        <v>45793.47493055555</v>
      </c>
      <c r="C744" s="1" t="n">
        <v>46086</v>
      </c>
      <c r="D744" t="inlineStr">
        <is>
          <t>ÖSTERGÖTLANDS LÄN</t>
        </is>
      </c>
      <c r="E744" t="inlineStr">
        <is>
          <t>LINKÖPING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48699-2024</t>
        </is>
      </c>
      <c r="B745" s="1" t="n">
        <v>45593.52091435185</v>
      </c>
      <c r="C745" s="1" t="n">
        <v>46086</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13911-2025</t>
        </is>
      </c>
      <c r="B746" s="1" t="n">
        <v>45737.64784722222</v>
      </c>
      <c r="C746" s="1" t="n">
        <v>46086</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46086</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ht="15" customHeight="1">
      <c r="A748" t="inlineStr">
        <is>
          <t>A 26002-2025</t>
        </is>
      </c>
      <c r="B748" s="1" t="n">
        <v>45804.66534722222</v>
      </c>
      <c r="C748" s="1" t="n">
        <v>46086</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c r="A749" t="inlineStr">
        <is>
          <t>A 25996-2025</t>
        </is>
      </c>
      <c r="B749" s="1" t="n">
        <v>45804.65851851852</v>
      </c>
      <c r="C749" s="1" t="n">
        <v>46086</v>
      </c>
      <c r="D749" t="inlineStr">
        <is>
          <t>ÖSTERGÖTLANDS LÄN</t>
        </is>
      </c>
      <c r="E749" t="inlineStr">
        <is>
          <t>LINKÖPING</t>
        </is>
      </c>
      <c r="G749" t="n">
        <v>3.2</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2026-03-05T11:13:47Z</dcterms:created>
  <dcterms:modified xmlns:dcterms="http://purl.org/dc/terms/" xmlns:xsi="http://www.w3.org/2001/XMLSchema-instance" xsi:type="dcterms:W3CDTF">2026-03-05T11:13:48Z</dcterms:modified>
</cp:coreProperties>
</file>