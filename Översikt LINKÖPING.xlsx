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46002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46002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46002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46002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46002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46002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46002</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46002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46002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46002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46002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46002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46002</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46002</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46002</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46002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46002</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46002</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46002</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46002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46002</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46002</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46002</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46002</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46002</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46002</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46002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46002</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50048-2025</t>
        </is>
      </c>
      <c r="B31" s="1" t="n">
        <v>45941</v>
      </c>
      <c r="C31" s="1" t="n">
        <v>46002</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22040-2023</t>
        </is>
      </c>
      <c r="B32" s="1" t="n">
        <v>45068</v>
      </c>
      <c r="C32" s="1" t="n">
        <v>46002</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46002</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46002</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46002</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46002</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46002</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46002</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46002</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46002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46002</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46002</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46002</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46002</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46002</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46002</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46002</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46002</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46002</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46002</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46002</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46002</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46002</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46002</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46002</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46002</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43989-2025</t>
        </is>
      </c>
      <c r="B57" s="1" t="n">
        <v>45915.44128472222</v>
      </c>
      <c r="C57" s="1" t="n">
        <v>46002</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46002</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56651-2023</t>
        </is>
      </c>
      <c r="B59" s="1" t="n">
        <v>45243</v>
      </c>
      <c r="C59" s="1" t="n">
        <v>46002</v>
      </c>
      <c r="D59" t="inlineStr">
        <is>
          <t>ÖSTERGÖTLANDS LÄN</t>
        </is>
      </c>
      <c r="E59" t="inlineStr">
        <is>
          <t>LINKÖPING</t>
        </is>
      </c>
      <c r="F59" t="inlineStr">
        <is>
          <t>Övriga Aktiebolag</t>
        </is>
      </c>
      <c r="G59" t="n">
        <v>2.3</v>
      </c>
      <c r="H59" t="n">
        <v>0</v>
      </c>
      <c r="I59" t="n">
        <v>0</v>
      </c>
      <c r="J59" t="n">
        <v>1</v>
      </c>
      <c r="K59" t="n">
        <v>0</v>
      </c>
      <c r="L59" t="n">
        <v>0</v>
      </c>
      <c r="M59" t="n">
        <v>0</v>
      </c>
      <c r="N59" t="n">
        <v>0</v>
      </c>
      <c r="O59" t="n">
        <v>1</v>
      </c>
      <c r="P59" t="n">
        <v>0</v>
      </c>
      <c r="Q59" t="n">
        <v>1</v>
      </c>
      <c r="R59" s="2" t="inlineStr">
        <is>
          <t>Gul dropplav</t>
        </is>
      </c>
      <c r="S59">
        <f>HYPERLINK("https://klasma.github.io/Logging_0580/artfynd/A 56651-2023 artfynd.xlsx", "A 56651-2023")</f>
        <v/>
      </c>
      <c r="T59">
        <f>HYPERLINK("https://klasma.github.io/Logging_0580/kartor/A 56651-2023 karta.png", "A 56651-2023")</f>
        <v/>
      </c>
      <c r="V59">
        <f>HYPERLINK("https://klasma.github.io/Logging_0580/klagomål/A 56651-2023 FSC-klagomål.docx", "A 56651-2023")</f>
        <v/>
      </c>
      <c r="W59">
        <f>HYPERLINK("https://klasma.github.io/Logging_0580/klagomålsmail/A 56651-2023 FSC-klagomål mail.docx", "A 56651-2023")</f>
        <v/>
      </c>
      <c r="X59">
        <f>HYPERLINK("https://klasma.github.io/Logging_0580/tillsyn/A 56651-2023 tillsynsbegäran.docx", "A 56651-2023")</f>
        <v/>
      </c>
      <c r="Y59">
        <f>HYPERLINK("https://klasma.github.io/Logging_0580/tillsynsmail/A 56651-2023 tillsynsbegäran mail.docx", "A 56651-2023")</f>
        <v/>
      </c>
    </row>
    <row r="60" ht="15" customHeight="1">
      <c r="A60" t="inlineStr">
        <is>
          <t>A 17444-2025</t>
        </is>
      </c>
      <c r="B60" s="1" t="n">
        <v>45757.43452546297</v>
      </c>
      <c r="C60" s="1" t="n">
        <v>46002</v>
      </c>
      <c r="D60" t="inlineStr">
        <is>
          <t>ÖSTERGÖTLANDS LÄN</t>
        </is>
      </c>
      <c r="E60" t="inlineStr">
        <is>
          <t>LINKÖPING</t>
        </is>
      </c>
      <c r="G60" t="n">
        <v>1.3</v>
      </c>
      <c r="H60" t="n">
        <v>1</v>
      </c>
      <c r="I60" t="n">
        <v>0</v>
      </c>
      <c r="J60" t="n">
        <v>1</v>
      </c>
      <c r="K60" t="n">
        <v>0</v>
      </c>
      <c r="L60" t="n">
        <v>0</v>
      </c>
      <c r="M60" t="n">
        <v>0</v>
      </c>
      <c r="N60" t="n">
        <v>0</v>
      </c>
      <c r="O60" t="n">
        <v>1</v>
      </c>
      <c r="P60" t="n">
        <v>0</v>
      </c>
      <c r="Q60" t="n">
        <v>1</v>
      </c>
      <c r="R60" s="2" t="inlineStr">
        <is>
          <t>Dårgräsfjäril</t>
        </is>
      </c>
      <c r="S60">
        <f>HYPERLINK("https://klasma.github.io/Logging_0580/artfynd/A 17444-2025 artfynd.xlsx", "A 17444-2025")</f>
        <v/>
      </c>
      <c r="T60">
        <f>HYPERLINK("https://klasma.github.io/Logging_0580/kartor/A 17444-2025 karta.png", "A 17444-2025")</f>
        <v/>
      </c>
      <c r="V60">
        <f>HYPERLINK("https://klasma.github.io/Logging_0580/klagomål/A 17444-2025 FSC-klagomål.docx", "A 17444-2025")</f>
        <v/>
      </c>
      <c r="W60">
        <f>HYPERLINK("https://klasma.github.io/Logging_0580/klagomålsmail/A 17444-2025 FSC-klagomål mail.docx", "A 17444-2025")</f>
        <v/>
      </c>
      <c r="X60">
        <f>HYPERLINK("https://klasma.github.io/Logging_0580/tillsyn/A 17444-2025 tillsynsbegäran.docx", "A 17444-2025")</f>
        <v/>
      </c>
      <c r="Y60">
        <f>HYPERLINK("https://klasma.github.io/Logging_0580/tillsynsmail/A 17444-2025 tillsynsbegäran mail.docx", "A 17444-2025")</f>
        <v/>
      </c>
    </row>
    <row r="61" ht="15" customHeight="1">
      <c r="A61" t="inlineStr">
        <is>
          <t>A 36723-2023</t>
        </is>
      </c>
      <c r="B61" s="1" t="n">
        <v>45153</v>
      </c>
      <c r="C61" s="1" t="n">
        <v>46002</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5911-2022</t>
        </is>
      </c>
      <c r="B62" s="1" t="n">
        <v>44597</v>
      </c>
      <c r="C62" s="1" t="n">
        <v>46002</v>
      </c>
      <c r="D62" t="inlineStr">
        <is>
          <t>ÖSTERGÖTLANDS LÄN</t>
        </is>
      </c>
      <c r="E62" t="inlineStr">
        <is>
          <t>LINKÖPING</t>
        </is>
      </c>
      <c r="G62" t="n">
        <v>3.5</v>
      </c>
      <c r="H62" t="n">
        <v>0</v>
      </c>
      <c r="I62" t="n">
        <v>0</v>
      </c>
      <c r="J62" t="n">
        <v>1</v>
      </c>
      <c r="K62" t="n">
        <v>0</v>
      </c>
      <c r="L62" t="n">
        <v>0</v>
      </c>
      <c r="M62" t="n">
        <v>0</v>
      </c>
      <c r="N62" t="n">
        <v>0</v>
      </c>
      <c r="O62" t="n">
        <v>1</v>
      </c>
      <c r="P62" t="n">
        <v>0</v>
      </c>
      <c r="Q62" t="n">
        <v>1</v>
      </c>
      <c r="R62" s="2" t="inlineStr">
        <is>
          <t>Spindelört</t>
        </is>
      </c>
      <c r="S62">
        <f>HYPERLINK("https://klasma.github.io/Logging_0580/artfynd/A 5911-2022 artfynd.xlsx", "A 5911-2022")</f>
        <v/>
      </c>
      <c r="T62">
        <f>HYPERLINK("https://klasma.github.io/Logging_0580/kartor/A 5911-2022 karta.png", "A 5911-2022")</f>
        <v/>
      </c>
      <c r="V62">
        <f>HYPERLINK("https://klasma.github.io/Logging_0580/klagomål/A 5911-2022 FSC-klagomål.docx", "A 5911-2022")</f>
        <v/>
      </c>
      <c r="W62">
        <f>HYPERLINK("https://klasma.github.io/Logging_0580/klagomålsmail/A 5911-2022 FSC-klagomål mail.docx", "A 5911-2022")</f>
        <v/>
      </c>
      <c r="X62">
        <f>HYPERLINK("https://klasma.github.io/Logging_0580/tillsyn/A 5911-2022 tillsynsbegäran.docx", "A 5911-2022")</f>
        <v/>
      </c>
      <c r="Y62">
        <f>HYPERLINK("https://klasma.github.io/Logging_0580/tillsynsmail/A 5911-2022 tillsynsbegäran mail.docx", "A 5911-2022")</f>
        <v/>
      </c>
    </row>
    <row r="63" ht="15" customHeight="1">
      <c r="A63" t="inlineStr">
        <is>
          <t>A 56112-2025</t>
        </is>
      </c>
      <c r="B63" s="1" t="n">
        <v>45973.73625</v>
      </c>
      <c r="C63" s="1" t="n">
        <v>46002</v>
      </c>
      <c r="D63" t="inlineStr">
        <is>
          <t>ÖSTERGÖTLANDS LÄN</t>
        </is>
      </c>
      <c r="E63" t="inlineStr">
        <is>
          <t>LINKÖPING</t>
        </is>
      </c>
      <c r="G63" t="n">
        <v>0.6</v>
      </c>
      <c r="H63" t="n">
        <v>0</v>
      </c>
      <c r="I63" t="n">
        <v>0</v>
      </c>
      <c r="J63" t="n">
        <v>1</v>
      </c>
      <c r="K63" t="n">
        <v>0</v>
      </c>
      <c r="L63" t="n">
        <v>0</v>
      </c>
      <c r="M63" t="n">
        <v>0</v>
      </c>
      <c r="N63" t="n">
        <v>0</v>
      </c>
      <c r="O63" t="n">
        <v>1</v>
      </c>
      <c r="P63" t="n">
        <v>0</v>
      </c>
      <c r="Q63" t="n">
        <v>1</v>
      </c>
      <c r="R63" s="2" t="inlineStr">
        <is>
          <t>Solvända</t>
        </is>
      </c>
      <c r="S63">
        <f>HYPERLINK("https://klasma.github.io/Logging_0580/artfynd/A 56112-2025 artfynd.xlsx", "A 56112-2025")</f>
        <v/>
      </c>
      <c r="T63">
        <f>HYPERLINK("https://klasma.github.io/Logging_0580/kartor/A 56112-2025 karta.png", "A 56112-2025")</f>
        <v/>
      </c>
      <c r="V63">
        <f>HYPERLINK("https://klasma.github.io/Logging_0580/klagomål/A 56112-2025 FSC-klagomål.docx", "A 56112-2025")</f>
        <v/>
      </c>
      <c r="W63">
        <f>HYPERLINK("https://klasma.github.io/Logging_0580/klagomålsmail/A 56112-2025 FSC-klagomål mail.docx", "A 56112-2025")</f>
        <v/>
      </c>
      <c r="X63">
        <f>HYPERLINK("https://klasma.github.io/Logging_0580/tillsyn/A 56112-2025 tillsynsbegäran.docx", "A 56112-2025")</f>
        <v/>
      </c>
      <c r="Y63">
        <f>HYPERLINK("https://klasma.github.io/Logging_0580/tillsynsmail/A 56112-2025 tillsynsbegäran mail.docx", "A 56112-2025")</f>
        <v/>
      </c>
    </row>
    <row r="64" ht="15" customHeight="1">
      <c r="A64" t="inlineStr">
        <is>
          <t>A 48347-2025</t>
        </is>
      </c>
      <c r="B64" s="1" t="n">
        <v>45932</v>
      </c>
      <c r="C64" s="1" t="n">
        <v>46002</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90-2024</t>
        </is>
      </c>
      <c r="B65" s="1" t="n">
        <v>45293</v>
      </c>
      <c r="C65" s="1" t="n">
        <v>46002</v>
      </c>
      <c r="D65" t="inlineStr">
        <is>
          <t>ÖSTERGÖTLANDS LÄN</t>
        </is>
      </c>
      <c r="E65" t="inlineStr">
        <is>
          <t>LINKÖPING</t>
        </is>
      </c>
      <c r="G65" t="n">
        <v>1.8</v>
      </c>
      <c r="H65" t="n">
        <v>0</v>
      </c>
      <c r="I65" t="n">
        <v>1</v>
      </c>
      <c r="J65" t="n">
        <v>0</v>
      </c>
      <c r="K65" t="n">
        <v>0</v>
      </c>
      <c r="L65" t="n">
        <v>0</v>
      </c>
      <c r="M65" t="n">
        <v>0</v>
      </c>
      <c r="N65" t="n">
        <v>0</v>
      </c>
      <c r="O65" t="n">
        <v>0</v>
      </c>
      <c r="P65" t="n">
        <v>0</v>
      </c>
      <c r="Q65" t="n">
        <v>1</v>
      </c>
      <c r="R65" s="2" t="inlineStr">
        <is>
          <t>Grov fjädermossa</t>
        </is>
      </c>
      <c r="S65">
        <f>HYPERLINK("https://klasma.github.io/Logging_0580/artfynd/A 90-2024 artfynd.xlsx", "A 90-2024")</f>
        <v/>
      </c>
      <c r="T65">
        <f>HYPERLINK("https://klasma.github.io/Logging_0580/kartor/A 90-2024 karta.png", "A 90-2024")</f>
        <v/>
      </c>
      <c r="V65">
        <f>HYPERLINK("https://klasma.github.io/Logging_0580/klagomål/A 90-2024 FSC-klagomål.docx", "A 90-2024")</f>
        <v/>
      </c>
      <c r="W65">
        <f>HYPERLINK("https://klasma.github.io/Logging_0580/klagomålsmail/A 90-2024 FSC-klagomål mail.docx", "A 90-2024")</f>
        <v/>
      </c>
      <c r="X65">
        <f>HYPERLINK("https://klasma.github.io/Logging_0580/tillsyn/A 90-2024 tillsynsbegäran.docx", "A 90-2024")</f>
        <v/>
      </c>
      <c r="Y65">
        <f>HYPERLINK("https://klasma.github.io/Logging_0580/tillsynsmail/A 90-2024 tillsynsbegäran mail.docx", "A 90-2024")</f>
        <v/>
      </c>
    </row>
    <row r="66" ht="15" customHeight="1">
      <c r="A66" t="inlineStr">
        <is>
          <t>A 48353-2025</t>
        </is>
      </c>
      <c r="B66" s="1" t="n">
        <v>45932</v>
      </c>
      <c r="C66" s="1" t="n">
        <v>46002</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48273-2025</t>
        </is>
      </c>
      <c r="B67" s="1" t="n">
        <v>45932</v>
      </c>
      <c r="C67" s="1" t="n">
        <v>46002</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40315-2024</t>
        </is>
      </c>
      <c r="B68" s="1" t="n">
        <v>45554.7571875</v>
      </c>
      <c r="C68" s="1" t="n">
        <v>46002</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48298-2025</t>
        </is>
      </c>
      <c r="B69" s="1" t="n">
        <v>45932</v>
      </c>
      <c r="C69" s="1" t="n">
        <v>46002</v>
      </c>
      <c r="D69" t="inlineStr">
        <is>
          <t>ÖSTERGÖTLANDS LÄN</t>
        </is>
      </c>
      <c r="E69" t="inlineStr">
        <is>
          <t>LINKÖPING</t>
        </is>
      </c>
      <c r="F69" t="inlineStr">
        <is>
          <t>Övriga Aktiebolag</t>
        </is>
      </c>
      <c r="G69" t="n">
        <v>1.7</v>
      </c>
      <c r="H69" t="n">
        <v>0</v>
      </c>
      <c r="I69" t="n">
        <v>1</v>
      </c>
      <c r="J69" t="n">
        <v>0</v>
      </c>
      <c r="K69" t="n">
        <v>0</v>
      </c>
      <c r="L69" t="n">
        <v>0</v>
      </c>
      <c r="M69" t="n">
        <v>0</v>
      </c>
      <c r="N69" t="n">
        <v>0</v>
      </c>
      <c r="O69" t="n">
        <v>0</v>
      </c>
      <c r="P69" t="n">
        <v>0</v>
      </c>
      <c r="Q69" t="n">
        <v>1</v>
      </c>
      <c r="R69" s="2" t="inlineStr">
        <is>
          <t>Västlig hakmossa</t>
        </is>
      </c>
      <c r="S69">
        <f>HYPERLINK("https://klasma.github.io/Logging_0580/artfynd/A 48298-2025 artfynd.xlsx", "A 48298-2025")</f>
        <v/>
      </c>
      <c r="T69">
        <f>HYPERLINK("https://klasma.github.io/Logging_0580/kartor/A 48298-2025 karta.png", "A 48298-2025")</f>
        <v/>
      </c>
      <c r="V69">
        <f>HYPERLINK("https://klasma.github.io/Logging_0580/klagomål/A 48298-2025 FSC-klagomål.docx", "A 48298-2025")</f>
        <v/>
      </c>
      <c r="W69">
        <f>HYPERLINK("https://klasma.github.io/Logging_0580/klagomålsmail/A 48298-2025 FSC-klagomål mail.docx", "A 48298-2025")</f>
        <v/>
      </c>
      <c r="X69">
        <f>HYPERLINK("https://klasma.github.io/Logging_0580/tillsyn/A 48298-2025 tillsynsbegäran.docx", "A 48298-2025")</f>
        <v/>
      </c>
      <c r="Y69">
        <f>HYPERLINK("https://klasma.github.io/Logging_0580/tillsynsmail/A 48298-2025 tillsynsbegäran mail.docx", "A 48298-2025")</f>
        <v/>
      </c>
    </row>
    <row r="70" ht="15" customHeight="1">
      <c r="A70" t="inlineStr">
        <is>
          <t>A 50034-2025</t>
        </is>
      </c>
      <c r="B70" s="1" t="n">
        <v>45941</v>
      </c>
      <c r="C70" s="1" t="n">
        <v>46002</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15290-2025</t>
        </is>
      </c>
      <c r="B71" s="1" t="n">
        <v>45745.45288194445</v>
      </c>
      <c r="C71" s="1" t="n">
        <v>46002</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46002</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46002</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59474-2025</t>
        </is>
      </c>
      <c r="B74" s="1" t="n">
        <v>45989.58512731481</v>
      </c>
      <c r="C74" s="1" t="n">
        <v>46002</v>
      </c>
      <c r="D74" t="inlineStr">
        <is>
          <t>ÖSTERGÖTLANDS LÄN</t>
        </is>
      </c>
      <c r="E74" t="inlineStr">
        <is>
          <t>LINKÖPING</t>
        </is>
      </c>
      <c r="G74" t="n">
        <v>8</v>
      </c>
      <c r="H74" t="n">
        <v>0</v>
      </c>
      <c r="I74" t="n">
        <v>1</v>
      </c>
      <c r="J74" t="n">
        <v>0</v>
      </c>
      <c r="K74" t="n">
        <v>0</v>
      </c>
      <c r="L74" t="n">
        <v>0</v>
      </c>
      <c r="M74" t="n">
        <v>0</v>
      </c>
      <c r="N74" t="n">
        <v>0</v>
      </c>
      <c r="O74" t="n">
        <v>0</v>
      </c>
      <c r="P74" t="n">
        <v>0</v>
      </c>
      <c r="Q74" t="n">
        <v>1</v>
      </c>
      <c r="R74" s="2" t="inlineStr">
        <is>
          <t>Fällmossa</t>
        </is>
      </c>
      <c r="S74">
        <f>HYPERLINK("https://klasma.github.io/Logging_0580/artfynd/A 59474-2025 artfynd.xlsx", "A 59474-2025")</f>
        <v/>
      </c>
      <c r="T74">
        <f>HYPERLINK("https://klasma.github.io/Logging_0580/kartor/A 59474-2025 karta.png", "A 59474-2025")</f>
        <v/>
      </c>
      <c r="V74">
        <f>HYPERLINK("https://klasma.github.io/Logging_0580/klagomål/A 59474-2025 FSC-klagomål.docx", "A 59474-2025")</f>
        <v/>
      </c>
      <c r="W74">
        <f>HYPERLINK("https://klasma.github.io/Logging_0580/klagomålsmail/A 59474-2025 FSC-klagomål mail.docx", "A 59474-2025")</f>
        <v/>
      </c>
      <c r="X74">
        <f>HYPERLINK("https://klasma.github.io/Logging_0580/tillsyn/A 59474-2025 tillsynsbegäran.docx", "A 59474-2025")</f>
        <v/>
      </c>
      <c r="Y74">
        <f>HYPERLINK("https://klasma.github.io/Logging_0580/tillsynsmail/A 59474-2025 tillsynsbegäran mail.docx", "A 59474-2025")</f>
        <v/>
      </c>
    </row>
    <row r="75" ht="15" customHeight="1">
      <c r="A75" t="inlineStr">
        <is>
          <t>A 17389-2021</t>
        </is>
      </c>
      <c r="B75" s="1" t="n">
        <v>44298.96792824074</v>
      </c>
      <c r="C75" s="1" t="n">
        <v>46002</v>
      </c>
      <c r="D75" t="inlineStr">
        <is>
          <t>ÖSTERGÖTLANDS LÄN</t>
        </is>
      </c>
      <c r="E75" t="inlineStr">
        <is>
          <t>LINKÖPING</t>
        </is>
      </c>
      <c r="G75" t="n">
        <v>5.1</v>
      </c>
      <c r="H75" t="n">
        <v>0</v>
      </c>
      <c r="I75" t="n">
        <v>1</v>
      </c>
      <c r="J75" t="n">
        <v>0</v>
      </c>
      <c r="K75" t="n">
        <v>0</v>
      </c>
      <c r="L75" t="n">
        <v>0</v>
      </c>
      <c r="M75" t="n">
        <v>0</v>
      </c>
      <c r="N75" t="n">
        <v>0</v>
      </c>
      <c r="O75" t="n">
        <v>0</v>
      </c>
      <c r="P75" t="n">
        <v>0</v>
      </c>
      <c r="Q75" t="n">
        <v>1</v>
      </c>
      <c r="R75" s="2" t="inlineStr">
        <is>
          <t>Blomkålssvamp</t>
        </is>
      </c>
      <c r="S75">
        <f>HYPERLINK("https://klasma.github.io/Logging_0580/artfynd/A 17389-2021 artfynd.xlsx", "A 17389-2021")</f>
        <v/>
      </c>
      <c r="T75">
        <f>HYPERLINK("https://klasma.github.io/Logging_0580/kartor/A 17389-2021 karta.png", "A 17389-2021")</f>
        <v/>
      </c>
      <c r="V75">
        <f>HYPERLINK("https://klasma.github.io/Logging_0580/klagomål/A 17389-2021 FSC-klagomål.docx", "A 17389-2021")</f>
        <v/>
      </c>
      <c r="W75">
        <f>HYPERLINK("https://klasma.github.io/Logging_0580/klagomålsmail/A 17389-2021 FSC-klagomål mail.docx", "A 17389-2021")</f>
        <v/>
      </c>
      <c r="X75">
        <f>HYPERLINK("https://klasma.github.io/Logging_0580/tillsyn/A 17389-2021 tillsynsbegäran.docx", "A 17389-2021")</f>
        <v/>
      </c>
      <c r="Y75">
        <f>HYPERLINK("https://klasma.github.io/Logging_0580/tillsynsmail/A 17389-2021 tillsynsbegäran mail.docx", "A 17389-2021")</f>
        <v/>
      </c>
    </row>
    <row r="76" ht="15" customHeight="1">
      <c r="A76" t="inlineStr">
        <is>
          <t>A 56128-2022</t>
        </is>
      </c>
      <c r="B76" s="1" t="n">
        <v>44889</v>
      </c>
      <c r="C76" s="1" t="n">
        <v>46002</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46002</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60311-2025</t>
        </is>
      </c>
      <c r="B78" s="1" t="n">
        <v>45994.69293981481</v>
      </c>
      <c r="C78" s="1" t="n">
        <v>46002</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Gammelekslav</t>
        </is>
      </c>
      <c r="S78">
        <f>HYPERLINK("https://klasma.github.io/Logging_0580/artfynd/A 60311-2025 artfynd.xlsx", "A 60311-2025")</f>
        <v/>
      </c>
      <c r="T78">
        <f>HYPERLINK("https://klasma.github.io/Logging_0580/kartor/A 60311-2025 karta.png", "A 60311-2025")</f>
        <v/>
      </c>
      <c r="V78">
        <f>HYPERLINK("https://klasma.github.io/Logging_0580/klagomål/A 60311-2025 FSC-klagomål.docx", "A 60311-2025")</f>
        <v/>
      </c>
      <c r="W78">
        <f>HYPERLINK("https://klasma.github.io/Logging_0580/klagomålsmail/A 60311-2025 FSC-klagomål mail.docx", "A 60311-2025")</f>
        <v/>
      </c>
      <c r="X78">
        <f>HYPERLINK("https://klasma.github.io/Logging_0580/tillsyn/A 60311-2025 tillsynsbegäran.docx", "A 60311-2025")</f>
        <v/>
      </c>
      <c r="Y78">
        <f>HYPERLINK("https://klasma.github.io/Logging_0580/tillsynsmail/A 60311-2025 tillsynsbegäran mail.docx", "A 60311-2025")</f>
        <v/>
      </c>
    </row>
    <row r="79" ht="15" customHeight="1">
      <c r="A79" t="inlineStr">
        <is>
          <t>A 54835-2023</t>
        </is>
      </c>
      <c r="B79" s="1" t="n">
        <v>45236</v>
      </c>
      <c r="C79" s="1" t="n">
        <v>46002</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126-2024</t>
        </is>
      </c>
      <c r="B80" s="1" t="n">
        <v>45294</v>
      </c>
      <c r="C80" s="1" t="n">
        <v>46002</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3395-2023</t>
        </is>
      </c>
      <c r="B81" s="1" t="n">
        <v>44949</v>
      </c>
      <c r="C81" s="1" t="n">
        <v>46002</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19103-2021</t>
        </is>
      </c>
      <c r="B82" s="1" t="n">
        <v>44308</v>
      </c>
      <c r="C82" s="1" t="n">
        <v>46002</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50806-2023</t>
        </is>
      </c>
      <c r="B83" s="1" t="n">
        <v>45217</v>
      </c>
      <c r="C83" s="1" t="n">
        <v>46002</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39457-2023</t>
        </is>
      </c>
      <c r="B84" s="1" t="n">
        <v>45166</v>
      </c>
      <c r="C84" s="1" t="n">
        <v>46002</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35948-2023</t>
        </is>
      </c>
      <c r="B85" s="1" t="n">
        <v>45148</v>
      </c>
      <c r="C85" s="1" t="n">
        <v>46002</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62071-2023</t>
        </is>
      </c>
      <c r="B86" s="1" t="n">
        <v>45266.73542824074</v>
      </c>
      <c r="C86" s="1" t="n">
        <v>46002</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3397-2023</t>
        </is>
      </c>
      <c r="B87" s="1" t="n">
        <v>44949</v>
      </c>
      <c r="C87" s="1" t="n">
        <v>46002</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20295-2025</t>
        </is>
      </c>
      <c r="B88" s="1" t="n">
        <v>45774.74846064814</v>
      </c>
      <c r="C88" s="1" t="n">
        <v>46002</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60573-2021</t>
        </is>
      </c>
      <c r="B89" s="1" t="n">
        <v>44496</v>
      </c>
      <c r="C89" s="1" t="n">
        <v>46002</v>
      </c>
      <c r="D89" t="inlineStr">
        <is>
          <t>ÖSTERGÖTLANDS LÄN</t>
        </is>
      </c>
      <c r="E89" t="inlineStr">
        <is>
          <t>LINKÖPING</t>
        </is>
      </c>
      <c r="F89" t="inlineStr">
        <is>
          <t>Övriga Aktiebolag</t>
        </is>
      </c>
      <c r="G89" t="n">
        <v>5.6</v>
      </c>
      <c r="H89" t="n">
        <v>0</v>
      </c>
      <c r="I89" t="n">
        <v>0</v>
      </c>
      <c r="J89" t="n">
        <v>1</v>
      </c>
      <c r="K89" t="n">
        <v>0</v>
      </c>
      <c r="L89" t="n">
        <v>0</v>
      </c>
      <c r="M89" t="n">
        <v>0</v>
      </c>
      <c r="N89" t="n">
        <v>0</v>
      </c>
      <c r="O89" t="n">
        <v>1</v>
      </c>
      <c r="P89" t="n">
        <v>0</v>
      </c>
      <c r="Q89" t="n">
        <v>1</v>
      </c>
      <c r="R89" s="2" t="inlineStr">
        <is>
          <t>Sommarfibbla</t>
        </is>
      </c>
      <c r="S89">
        <f>HYPERLINK("https://klasma.github.io/Logging_0580/artfynd/A 60573-2021 artfynd.xlsx", "A 60573-2021")</f>
        <v/>
      </c>
      <c r="T89">
        <f>HYPERLINK("https://klasma.github.io/Logging_0580/kartor/A 60573-2021 karta.png", "A 60573-2021")</f>
        <v/>
      </c>
      <c r="V89">
        <f>HYPERLINK("https://klasma.github.io/Logging_0580/klagomål/A 60573-2021 FSC-klagomål.docx", "A 60573-2021")</f>
        <v/>
      </c>
      <c r="W89">
        <f>HYPERLINK("https://klasma.github.io/Logging_0580/klagomålsmail/A 60573-2021 FSC-klagomål mail.docx", "A 60573-2021")</f>
        <v/>
      </c>
      <c r="X89">
        <f>HYPERLINK("https://klasma.github.io/Logging_0580/tillsyn/A 60573-2021 tillsynsbegäran.docx", "A 60573-2021")</f>
        <v/>
      </c>
      <c r="Y89">
        <f>HYPERLINK("https://klasma.github.io/Logging_0580/tillsynsmail/A 60573-2021 tillsynsbegäran mail.docx", "A 60573-2021")</f>
        <v/>
      </c>
    </row>
    <row r="90" ht="15" customHeight="1">
      <c r="A90" t="inlineStr">
        <is>
          <t>A 41749-2023</t>
        </is>
      </c>
      <c r="B90" s="1" t="n">
        <v>45176</v>
      </c>
      <c r="C90" s="1" t="n">
        <v>46002</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46002</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46002</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46002</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46002</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46002</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46002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46002</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398-2021</t>
        </is>
      </c>
      <c r="B98" s="1" t="n">
        <v>44201</v>
      </c>
      <c r="C98" s="1" t="n">
        <v>46002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46002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46002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46002</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46002</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46002</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46002</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46002</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46002</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46002</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46002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46002</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46002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46002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46002</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46002</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46002</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46002</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46002</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46002</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67120-2020</t>
        </is>
      </c>
      <c r="B118" s="1" t="n">
        <v>44180</v>
      </c>
      <c r="C118" s="1" t="n">
        <v>46002</v>
      </c>
      <c r="D118" t="inlineStr">
        <is>
          <t>ÖSTERGÖTLANDS LÄN</t>
        </is>
      </c>
      <c r="E118" t="inlineStr">
        <is>
          <t>LINKÖPING</t>
        </is>
      </c>
      <c r="F118" t="inlineStr">
        <is>
          <t>Övriga statliga verk och myndigheter</t>
        </is>
      </c>
      <c r="G118" t="n">
        <v>1.4</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46002</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46002</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3679-2021</t>
        </is>
      </c>
      <c r="B121" s="1" t="n">
        <v>44221</v>
      </c>
      <c r="C121" s="1" t="n">
        <v>46002</v>
      </c>
      <c r="D121" t="inlineStr">
        <is>
          <t>ÖSTERGÖTLANDS LÄN</t>
        </is>
      </c>
      <c r="E121" t="inlineStr">
        <is>
          <t>LINKÖPING</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46002</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46002</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46002</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46002</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46002</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46002</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46002</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46002</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46002</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37012-2021</t>
        </is>
      </c>
      <c r="B131" s="1" t="n">
        <v>44393</v>
      </c>
      <c r="C131" s="1" t="n">
        <v>46002</v>
      </c>
      <c r="D131" t="inlineStr">
        <is>
          <t>ÖSTERGÖTLANDS LÄN</t>
        </is>
      </c>
      <c r="E131" t="inlineStr">
        <is>
          <t>LINKÖPING</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27185-2021</t>
        </is>
      </c>
      <c r="B132" s="1" t="n">
        <v>44350</v>
      </c>
      <c r="C132" s="1" t="n">
        <v>46002</v>
      </c>
      <c r="D132" t="inlineStr">
        <is>
          <t>ÖSTERGÖTLANDS LÄN</t>
        </is>
      </c>
      <c r="E132" t="inlineStr">
        <is>
          <t>LINKÖPING</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46002</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46002</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26197-2021</t>
        </is>
      </c>
      <c r="B135" s="1" t="n">
        <v>44347.39319444444</v>
      </c>
      <c r="C135" s="1" t="n">
        <v>46002</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46002</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16469-2021</t>
        </is>
      </c>
      <c r="B137" s="1" t="n">
        <v>44293.54331018519</v>
      </c>
      <c r="C137" s="1" t="n">
        <v>46002</v>
      </c>
      <c r="D137" t="inlineStr">
        <is>
          <t>ÖSTERGÖTLANDS LÄN</t>
        </is>
      </c>
      <c r="E137" t="inlineStr">
        <is>
          <t>LINKÖPING</t>
        </is>
      </c>
      <c r="F137" t="inlineStr">
        <is>
          <t>Allmännings- och besparingsskogar</t>
        </is>
      </c>
      <c r="G137" t="n">
        <v>33.5</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46002</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46002</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27313-2021</t>
        </is>
      </c>
      <c r="B140" s="1" t="n">
        <v>44350</v>
      </c>
      <c r="C140" s="1" t="n">
        <v>46002</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46416-2021</t>
        </is>
      </c>
      <c r="B141" s="1" t="n">
        <v>44442</v>
      </c>
      <c r="C141" s="1" t="n">
        <v>46002</v>
      </c>
      <c r="D141" t="inlineStr">
        <is>
          <t>ÖSTERGÖTLANDS LÄN</t>
        </is>
      </c>
      <c r="E141" t="inlineStr">
        <is>
          <t>LINKÖPING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58258-2021</t>
        </is>
      </c>
      <c r="B142" s="1" t="n">
        <v>44487</v>
      </c>
      <c r="C142" s="1" t="n">
        <v>46002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58287-2021</t>
        </is>
      </c>
      <c r="B143" s="1" t="n">
        <v>44487</v>
      </c>
      <c r="C143" s="1" t="n">
        <v>46002</v>
      </c>
      <c r="D143" t="inlineStr">
        <is>
          <t>ÖSTERGÖTLANDS LÄN</t>
        </is>
      </c>
      <c r="E143" t="inlineStr">
        <is>
          <t>LINKÖPING</t>
        </is>
      </c>
      <c r="F143" t="inlineStr">
        <is>
          <t>Övriga Aktiebolag</t>
        </is>
      </c>
      <c r="G143" t="n">
        <v>1.5</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46002</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52966-2021</t>
        </is>
      </c>
      <c r="B145" s="1" t="n">
        <v>44467</v>
      </c>
      <c r="C145" s="1" t="n">
        <v>46002</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46002</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384-2021</t>
        </is>
      </c>
      <c r="B147" s="1" t="n">
        <v>44201.57689814815</v>
      </c>
      <c r="C147" s="1" t="n">
        <v>46002</v>
      </c>
      <c r="D147" t="inlineStr">
        <is>
          <t>ÖSTERGÖTLANDS LÄN</t>
        </is>
      </c>
      <c r="E147" t="inlineStr">
        <is>
          <t>LINKÖPING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46002</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40527-2022</t>
        </is>
      </c>
      <c r="B149" s="1" t="n">
        <v>44823</v>
      </c>
      <c r="C149" s="1" t="n">
        <v>46002</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46002</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65395-2021</t>
        </is>
      </c>
      <c r="B151" s="1" t="n">
        <v>44515</v>
      </c>
      <c r="C151" s="1" t="n">
        <v>46002</v>
      </c>
      <c r="D151" t="inlineStr">
        <is>
          <t>ÖSTERGÖTLANDS LÄN</t>
        </is>
      </c>
      <c r="E151" t="inlineStr">
        <is>
          <t>LINKÖPING</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46002</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46002</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46002</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46002</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46002</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46002</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9935-2021</t>
        </is>
      </c>
      <c r="B158" s="1" t="n">
        <v>44253</v>
      </c>
      <c r="C158" s="1" t="n">
        <v>46002</v>
      </c>
      <c r="D158" t="inlineStr">
        <is>
          <t>ÖSTERGÖTLANDS LÄN</t>
        </is>
      </c>
      <c r="E158" t="inlineStr">
        <is>
          <t>LINKÖPING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46002</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46002</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36341-2022</t>
        </is>
      </c>
      <c r="B161" s="1" t="n">
        <v>44803</v>
      </c>
      <c r="C161" s="1" t="n">
        <v>46002</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46002</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46891-2021</t>
        </is>
      </c>
      <c r="B163" s="1" t="n">
        <v>44446.44587962963</v>
      </c>
      <c r="C163" s="1" t="n">
        <v>46002</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46002</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46002</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46002</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46002</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46002</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37014-2021</t>
        </is>
      </c>
      <c r="B169" s="1" t="n">
        <v>44393</v>
      </c>
      <c r="C169" s="1" t="n">
        <v>46002</v>
      </c>
      <c r="D169" t="inlineStr">
        <is>
          <t>ÖSTERGÖTLANDS LÄN</t>
        </is>
      </c>
      <c r="E169" t="inlineStr">
        <is>
          <t>LINKÖPING</t>
        </is>
      </c>
      <c r="F169" t="inlineStr">
        <is>
          <t>Allmännings- och besparingsskogar</t>
        </is>
      </c>
      <c r="G169" t="n">
        <v>7.7</v>
      </c>
      <c r="H169" t="n">
        <v>0</v>
      </c>
      <c r="I169" t="n">
        <v>0</v>
      </c>
      <c r="J169" t="n">
        <v>0</v>
      </c>
      <c r="K169" t="n">
        <v>0</v>
      </c>
      <c r="L169" t="n">
        <v>0</v>
      </c>
      <c r="M169" t="n">
        <v>0</v>
      </c>
      <c r="N169" t="n">
        <v>0</v>
      </c>
      <c r="O169" t="n">
        <v>0</v>
      </c>
      <c r="P169" t="n">
        <v>0</v>
      </c>
      <c r="Q169" t="n">
        <v>0</v>
      </c>
      <c r="R169" s="2" t="inlineStr"/>
    </row>
    <row r="170" ht="15" customHeight="1">
      <c r="A170" t="inlineStr">
        <is>
          <t>A 38134-2021</t>
        </is>
      </c>
      <c r="B170" s="1" t="n">
        <v>44405.3794212963</v>
      </c>
      <c r="C170" s="1" t="n">
        <v>46002</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44849-2022</t>
        </is>
      </c>
      <c r="B171" s="1" t="n">
        <v>44841</v>
      </c>
      <c r="C171" s="1" t="n">
        <v>46002</v>
      </c>
      <c r="D171" t="inlineStr">
        <is>
          <t>ÖSTERGÖTLANDS LÄN</t>
        </is>
      </c>
      <c r="E171" t="inlineStr">
        <is>
          <t>LINKÖPING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70835-2021</t>
        </is>
      </c>
      <c r="B172" s="1" t="n">
        <v>44537</v>
      </c>
      <c r="C172" s="1" t="n">
        <v>46002</v>
      </c>
      <c r="D172" t="inlineStr">
        <is>
          <t>ÖSTERGÖTLANDS LÄN</t>
        </is>
      </c>
      <c r="E172" t="inlineStr">
        <is>
          <t>LINKÖPING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37934-2022</t>
        </is>
      </c>
      <c r="B173" s="1" t="n">
        <v>44809</v>
      </c>
      <c r="C173" s="1" t="n">
        <v>46002</v>
      </c>
      <c r="D173" t="inlineStr">
        <is>
          <t>ÖSTERGÖTLANDS LÄN</t>
        </is>
      </c>
      <c r="E173" t="inlineStr">
        <is>
          <t>LINKÖPING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54854-2022</t>
        </is>
      </c>
      <c r="B174" s="1" t="n">
        <v>44884</v>
      </c>
      <c r="C174" s="1" t="n">
        <v>46002</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54855-2022</t>
        </is>
      </c>
      <c r="B175" s="1" t="n">
        <v>44884.59502314815</v>
      </c>
      <c r="C175" s="1" t="n">
        <v>46002</v>
      </c>
      <c r="D175" t="inlineStr">
        <is>
          <t>ÖSTERGÖTLANDS LÄN</t>
        </is>
      </c>
      <c r="E175" t="inlineStr">
        <is>
          <t>LINKÖPING</t>
        </is>
      </c>
      <c r="G175" t="n">
        <v>2.9</v>
      </c>
      <c r="H175" t="n">
        <v>0</v>
      </c>
      <c r="I175" t="n">
        <v>0</v>
      </c>
      <c r="J175" t="n">
        <v>0</v>
      </c>
      <c r="K175" t="n">
        <v>0</v>
      </c>
      <c r="L175" t="n">
        <v>0</v>
      </c>
      <c r="M175" t="n">
        <v>0</v>
      </c>
      <c r="N175" t="n">
        <v>0</v>
      </c>
      <c r="O175" t="n">
        <v>0</v>
      </c>
      <c r="P175" t="n">
        <v>0</v>
      </c>
      <c r="Q175" t="n">
        <v>0</v>
      </c>
      <c r="R175" s="2" t="inlineStr"/>
    </row>
    <row r="176" ht="15" customHeight="1">
      <c r="A176" t="inlineStr">
        <is>
          <t>A 11079-2022</t>
        </is>
      </c>
      <c r="B176" s="1" t="n">
        <v>44628</v>
      </c>
      <c r="C176" s="1" t="n">
        <v>46002</v>
      </c>
      <c r="D176" t="inlineStr">
        <is>
          <t>ÖSTERGÖTLANDS LÄN</t>
        </is>
      </c>
      <c r="E176" t="inlineStr">
        <is>
          <t>LINKÖPING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20901-2021</t>
        </is>
      </c>
      <c r="B177" s="1" t="n">
        <v>44319</v>
      </c>
      <c r="C177" s="1" t="n">
        <v>46002</v>
      </c>
      <c r="D177" t="inlineStr">
        <is>
          <t>ÖSTERGÖTLANDS LÄN</t>
        </is>
      </c>
      <c r="E177" t="inlineStr">
        <is>
          <t>LINKÖPING</t>
        </is>
      </c>
      <c r="G177" t="n">
        <v>1.4</v>
      </c>
      <c r="H177" t="n">
        <v>0</v>
      </c>
      <c r="I177" t="n">
        <v>0</v>
      </c>
      <c r="J177" t="n">
        <v>0</v>
      </c>
      <c r="K177" t="n">
        <v>0</v>
      </c>
      <c r="L177" t="n">
        <v>0</v>
      </c>
      <c r="M177" t="n">
        <v>0</v>
      </c>
      <c r="N177" t="n">
        <v>0</v>
      </c>
      <c r="O177" t="n">
        <v>0</v>
      </c>
      <c r="P177" t="n">
        <v>0</v>
      </c>
      <c r="Q177" t="n">
        <v>0</v>
      </c>
      <c r="R177" s="2" t="inlineStr"/>
    </row>
    <row r="178" ht="15" customHeight="1">
      <c r="A178" t="inlineStr">
        <is>
          <t>A 65398-2021</t>
        </is>
      </c>
      <c r="B178" s="1" t="n">
        <v>44515</v>
      </c>
      <c r="C178" s="1" t="n">
        <v>46002</v>
      </c>
      <c r="D178" t="inlineStr">
        <is>
          <t>ÖSTERGÖTLANDS LÄN</t>
        </is>
      </c>
      <c r="E178" t="inlineStr">
        <is>
          <t>LINKÖPING</t>
        </is>
      </c>
      <c r="F178" t="inlineStr">
        <is>
          <t>Övriga statliga verk och myndigheter</t>
        </is>
      </c>
      <c r="G178" t="n">
        <v>2.4</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46002</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46002</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46002</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33134-2022</t>
        </is>
      </c>
      <c r="B182" s="1" t="n">
        <v>44785</v>
      </c>
      <c r="C182" s="1" t="n">
        <v>46002</v>
      </c>
      <c r="D182" t="inlineStr">
        <is>
          <t>ÖSTERGÖTLANDS LÄN</t>
        </is>
      </c>
      <c r="E182" t="inlineStr">
        <is>
          <t>LINKÖPING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13075-2022</t>
        </is>
      </c>
      <c r="B183" s="1" t="n">
        <v>44643</v>
      </c>
      <c r="C183" s="1" t="n">
        <v>46002</v>
      </c>
      <c r="D183" t="inlineStr">
        <is>
          <t>ÖSTERGÖTLANDS LÄN</t>
        </is>
      </c>
      <c r="E183" t="inlineStr">
        <is>
          <t>LINKÖPING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46002</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23416-2022</t>
        </is>
      </c>
      <c r="B185" s="1" t="n">
        <v>44720.78243055556</v>
      </c>
      <c r="C185" s="1" t="n">
        <v>46002</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46002</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27769-2022</t>
        </is>
      </c>
      <c r="B187" s="1" t="n">
        <v>44743.53200231482</v>
      </c>
      <c r="C187" s="1" t="n">
        <v>46002</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4929-2021</t>
        </is>
      </c>
      <c r="B188" s="1" t="n">
        <v>44227.57533564815</v>
      </c>
      <c r="C188" s="1" t="n">
        <v>46002</v>
      </c>
      <c r="D188" t="inlineStr">
        <is>
          <t>ÖSTERGÖTLANDS LÄN</t>
        </is>
      </c>
      <c r="E188" t="inlineStr">
        <is>
          <t>LINKÖPING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33891-2021</t>
        </is>
      </c>
      <c r="B189" s="1" t="n">
        <v>44378</v>
      </c>
      <c r="C189" s="1" t="n">
        <v>46002</v>
      </c>
      <c r="D189" t="inlineStr">
        <is>
          <t>ÖSTERGÖTLANDS LÄN</t>
        </is>
      </c>
      <c r="E189" t="inlineStr">
        <is>
          <t>LINKÖPING</t>
        </is>
      </c>
      <c r="G189" t="n">
        <v>5.1</v>
      </c>
      <c r="H189" t="n">
        <v>0</v>
      </c>
      <c r="I189" t="n">
        <v>0</v>
      </c>
      <c r="J189" t="n">
        <v>0</v>
      </c>
      <c r="K189" t="n">
        <v>0</v>
      </c>
      <c r="L189" t="n">
        <v>0</v>
      </c>
      <c r="M189" t="n">
        <v>0</v>
      </c>
      <c r="N189" t="n">
        <v>0</v>
      </c>
      <c r="O189" t="n">
        <v>0</v>
      </c>
      <c r="P189" t="n">
        <v>0</v>
      </c>
      <c r="Q189" t="n">
        <v>0</v>
      </c>
      <c r="R189" s="2" t="inlineStr"/>
    </row>
    <row r="190" ht="15" customHeight="1">
      <c r="A190" t="inlineStr">
        <is>
          <t>A 19254-2021</t>
        </is>
      </c>
      <c r="B190" s="1" t="n">
        <v>44309.38962962963</v>
      </c>
      <c r="C190" s="1" t="n">
        <v>46002</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46002</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61153-2021</t>
        </is>
      </c>
      <c r="B192" s="1" t="n">
        <v>44497</v>
      </c>
      <c r="C192" s="1" t="n">
        <v>46002</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46002</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46002</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46002</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34486-2021</t>
        </is>
      </c>
      <c r="B196" s="1" t="n">
        <v>44382.29295138889</v>
      </c>
      <c r="C196" s="1" t="n">
        <v>46002</v>
      </c>
      <c r="D196" t="inlineStr">
        <is>
          <t>ÖSTERGÖTLANDS LÄN</t>
        </is>
      </c>
      <c r="E196" t="inlineStr">
        <is>
          <t>LINKÖPING</t>
        </is>
      </c>
      <c r="G196" t="n">
        <v>4.4</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46002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61302-2021</t>
        </is>
      </c>
      <c r="B198" s="1" t="n">
        <v>44498.63189814815</v>
      </c>
      <c r="C198" s="1" t="n">
        <v>46002</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41426-2022</t>
        </is>
      </c>
      <c r="B199" s="1" t="n">
        <v>44826</v>
      </c>
      <c r="C199" s="1" t="n">
        <v>46002</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34162-2022</t>
        </is>
      </c>
      <c r="B200" s="1" t="n">
        <v>44791</v>
      </c>
      <c r="C200" s="1" t="n">
        <v>46002</v>
      </c>
      <c r="D200" t="inlineStr">
        <is>
          <t>ÖSTERGÖTLANDS LÄN</t>
        </is>
      </c>
      <c r="E200" t="inlineStr">
        <is>
          <t>LINKÖPING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61298-2021</t>
        </is>
      </c>
      <c r="B201" s="1" t="n">
        <v>44498.62533564815</v>
      </c>
      <c r="C201" s="1" t="n">
        <v>46002</v>
      </c>
      <c r="D201" t="inlineStr">
        <is>
          <t>ÖSTERGÖTLANDS LÄN</t>
        </is>
      </c>
      <c r="E201" t="inlineStr">
        <is>
          <t>LINKÖPING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61333-2021</t>
        </is>
      </c>
      <c r="B202" s="1" t="n">
        <v>44498.6764699074</v>
      </c>
      <c r="C202" s="1" t="n">
        <v>46002</v>
      </c>
      <c r="D202" t="inlineStr">
        <is>
          <t>ÖSTERGÖTLANDS LÄN</t>
        </is>
      </c>
      <c r="E202" t="inlineStr">
        <is>
          <t>LINKÖPING</t>
        </is>
      </c>
      <c r="G202" t="n">
        <v>7.5</v>
      </c>
      <c r="H202" t="n">
        <v>0</v>
      </c>
      <c r="I202" t="n">
        <v>0</v>
      </c>
      <c r="J202" t="n">
        <v>0</v>
      </c>
      <c r="K202" t="n">
        <v>0</v>
      </c>
      <c r="L202" t="n">
        <v>0</v>
      </c>
      <c r="M202" t="n">
        <v>0</v>
      </c>
      <c r="N202" t="n">
        <v>0</v>
      </c>
      <c r="O202" t="n">
        <v>0</v>
      </c>
      <c r="P202" t="n">
        <v>0</v>
      </c>
      <c r="Q202" t="n">
        <v>0</v>
      </c>
      <c r="R202" s="2" t="inlineStr"/>
    </row>
    <row r="203" ht="15" customHeight="1">
      <c r="A203" t="inlineStr">
        <is>
          <t>A 12412-2022</t>
        </is>
      </c>
      <c r="B203" s="1" t="n">
        <v>44638</v>
      </c>
      <c r="C203" s="1" t="n">
        <v>46002</v>
      </c>
      <c r="D203" t="inlineStr">
        <is>
          <t>ÖSTERGÖTLANDS LÄN</t>
        </is>
      </c>
      <c r="E203" t="inlineStr">
        <is>
          <t>LINKÖPING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32255-2021</t>
        </is>
      </c>
      <c r="B204" s="1" t="n">
        <v>44371.45949074074</v>
      </c>
      <c r="C204" s="1" t="n">
        <v>46002</v>
      </c>
      <c r="D204" t="inlineStr">
        <is>
          <t>ÖSTERGÖTLANDS LÄN</t>
        </is>
      </c>
      <c r="E204" t="inlineStr">
        <is>
          <t>LINKÖPING</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46002</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34880-2022</t>
        </is>
      </c>
      <c r="B206" s="1" t="n">
        <v>44796</v>
      </c>
      <c r="C206" s="1" t="n">
        <v>46002</v>
      </c>
      <c r="D206" t="inlineStr">
        <is>
          <t>ÖSTERGÖTLANDS LÄN</t>
        </is>
      </c>
      <c r="E206" t="inlineStr">
        <is>
          <t>LINKÖPING</t>
        </is>
      </c>
      <c r="F206" t="inlineStr">
        <is>
          <t>Övriga statliga verk och myndigheter</t>
        </is>
      </c>
      <c r="G206" t="n">
        <v>4</v>
      </c>
      <c r="H206" t="n">
        <v>0</v>
      </c>
      <c r="I206" t="n">
        <v>0</v>
      </c>
      <c r="J206" t="n">
        <v>0</v>
      </c>
      <c r="K206" t="n">
        <v>0</v>
      </c>
      <c r="L206" t="n">
        <v>0</v>
      </c>
      <c r="M206" t="n">
        <v>0</v>
      </c>
      <c r="N206" t="n">
        <v>0</v>
      </c>
      <c r="O206" t="n">
        <v>0</v>
      </c>
      <c r="P206" t="n">
        <v>0</v>
      </c>
      <c r="Q206" t="n">
        <v>0</v>
      </c>
      <c r="R206" s="2" t="inlineStr"/>
    </row>
    <row r="207" ht="15" customHeight="1">
      <c r="A207" t="inlineStr">
        <is>
          <t>A 48042-2022</t>
        </is>
      </c>
      <c r="B207" s="1" t="n">
        <v>44855</v>
      </c>
      <c r="C207" s="1" t="n">
        <v>46002</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22772-2024</t>
        </is>
      </c>
      <c r="B208" s="1" t="n">
        <v>45448.46712962963</v>
      </c>
      <c r="C208" s="1" t="n">
        <v>46002</v>
      </c>
      <c r="D208" t="inlineStr">
        <is>
          <t>ÖSTERGÖTLANDS LÄN</t>
        </is>
      </c>
      <c r="E208" t="inlineStr">
        <is>
          <t>LINKÖPING</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46002</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34558-2022</t>
        </is>
      </c>
      <c r="B210" s="1" t="n">
        <v>44794.57594907407</v>
      </c>
      <c r="C210" s="1" t="n">
        <v>46002</v>
      </c>
      <c r="D210" t="inlineStr">
        <is>
          <t>ÖSTERGÖTLANDS LÄN</t>
        </is>
      </c>
      <c r="E210" t="inlineStr">
        <is>
          <t>LINKÖPING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63489-2023</t>
        </is>
      </c>
      <c r="B211" s="1" t="n">
        <v>45274.66761574074</v>
      </c>
      <c r="C211" s="1" t="n">
        <v>46002</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46002</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3008-2023</t>
        </is>
      </c>
      <c r="B213" s="1" t="n">
        <v>44945.79784722222</v>
      </c>
      <c r="C213" s="1" t="n">
        <v>46002</v>
      </c>
      <c r="D213" t="inlineStr">
        <is>
          <t>ÖSTERGÖTLANDS LÄN</t>
        </is>
      </c>
      <c r="E213" t="inlineStr">
        <is>
          <t>LINKÖPING</t>
        </is>
      </c>
      <c r="G213" t="n">
        <v>19.3</v>
      </c>
      <c r="H213" t="n">
        <v>0</v>
      </c>
      <c r="I213" t="n">
        <v>0</v>
      </c>
      <c r="J213" t="n">
        <v>0</v>
      </c>
      <c r="K213" t="n">
        <v>0</v>
      </c>
      <c r="L213" t="n">
        <v>0</v>
      </c>
      <c r="M213" t="n">
        <v>0</v>
      </c>
      <c r="N213" t="n">
        <v>0</v>
      </c>
      <c r="O213" t="n">
        <v>0</v>
      </c>
      <c r="P213" t="n">
        <v>0</v>
      </c>
      <c r="Q213" t="n">
        <v>0</v>
      </c>
      <c r="R213" s="2" t="inlineStr"/>
    </row>
    <row r="214" ht="15" customHeight="1">
      <c r="A214" t="inlineStr">
        <is>
          <t>A 24351-2024</t>
        </is>
      </c>
      <c r="B214" s="1" t="n">
        <v>45457.59011574074</v>
      </c>
      <c r="C214" s="1" t="n">
        <v>46002</v>
      </c>
      <c r="D214" t="inlineStr">
        <is>
          <t>ÖSTERGÖTLANDS LÄN</t>
        </is>
      </c>
      <c r="E214" t="inlineStr">
        <is>
          <t>LINKÖPING</t>
        </is>
      </c>
      <c r="G214" t="n">
        <v>11.9</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46002</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20455-2024</t>
        </is>
      </c>
      <c r="B216" s="1" t="n">
        <v>45435.65314814815</v>
      </c>
      <c r="C216" s="1" t="n">
        <v>46002</v>
      </c>
      <c r="D216" t="inlineStr">
        <is>
          <t>ÖSTERGÖTLANDS LÄN</t>
        </is>
      </c>
      <c r="E216" t="inlineStr">
        <is>
          <t>LINKÖPING</t>
        </is>
      </c>
      <c r="G216" t="n">
        <v>2.6</v>
      </c>
      <c r="H216" t="n">
        <v>0</v>
      </c>
      <c r="I216" t="n">
        <v>0</v>
      </c>
      <c r="J216" t="n">
        <v>0</v>
      </c>
      <c r="K216" t="n">
        <v>0</v>
      </c>
      <c r="L216" t="n">
        <v>0</v>
      </c>
      <c r="M216" t="n">
        <v>0</v>
      </c>
      <c r="N216" t="n">
        <v>0</v>
      </c>
      <c r="O216" t="n">
        <v>0</v>
      </c>
      <c r="P216" t="n">
        <v>0</v>
      </c>
      <c r="Q216" t="n">
        <v>0</v>
      </c>
      <c r="R216" s="2" t="inlineStr"/>
    </row>
    <row r="217" ht="15" customHeight="1">
      <c r="A217" t="inlineStr">
        <is>
          <t>A 224-2024</t>
        </is>
      </c>
      <c r="B217" s="1" t="n">
        <v>45294</v>
      </c>
      <c r="C217" s="1" t="n">
        <v>46002</v>
      </c>
      <c r="D217" t="inlineStr">
        <is>
          <t>ÖSTERGÖTLANDS LÄN</t>
        </is>
      </c>
      <c r="E217" t="inlineStr">
        <is>
          <t>LINKÖPING</t>
        </is>
      </c>
      <c r="G217" t="n">
        <v>2.8</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46002</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46002</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28266-2024</t>
        </is>
      </c>
      <c r="B220" s="1" t="n">
        <v>45477.43600694444</v>
      </c>
      <c r="C220" s="1" t="n">
        <v>46002</v>
      </c>
      <c r="D220" t="inlineStr">
        <is>
          <t>ÖSTERGÖTLANDS LÄN</t>
        </is>
      </c>
      <c r="E220" t="inlineStr">
        <is>
          <t>LINKÖPING</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30856-2022</t>
        </is>
      </c>
      <c r="B221" s="1" t="n">
        <v>44767</v>
      </c>
      <c r="C221" s="1" t="n">
        <v>46002</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30855-2022</t>
        </is>
      </c>
      <c r="B222" s="1" t="n">
        <v>44767</v>
      </c>
      <c r="C222" s="1" t="n">
        <v>46002</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57745-2022</t>
        </is>
      </c>
      <c r="B223" s="1" t="n">
        <v>44897.58119212963</v>
      </c>
      <c r="C223" s="1" t="n">
        <v>46002</v>
      </c>
      <c r="D223" t="inlineStr">
        <is>
          <t>ÖSTERGÖTLANDS LÄN</t>
        </is>
      </c>
      <c r="E223" t="inlineStr">
        <is>
          <t>LINKÖPING</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1993-2023</t>
        </is>
      </c>
      <c r="B224" s="1" t="n">
        <v>44939</v>
      </c>
      <c r="C224" s="1" t="n">
        <v>46002</v>
      </c>
      <c r="D224" t="inlineStr">
        <is>
          <t>ÖSTERGÖTLANDS LÄN</t>
        </is>
      </c>
      <c r="E224" t="inlineStr">
        <is>
          <t>LINKÖPING</t>
        </is>
      </c>
      <c r="G224" t="n">
        <v>3.7</v>
      </c>
      <c r="H224" t="n">
        <v>0</v>
      </c>
      <c r="I224" t="n">
        <v>0</v>
      </c>
      <c r="J224" t="n">
        <v>0</v>
      </c>
      <c r="K224" t="n">
        <v>0</v>
      </c>
      <c r="L224" t="n">
        <v>0</v>
      </c>
      <c r="M224" t="n">
        <v>0</v>
      </c>
      <c r="N224" t="n">
        <v>0</v>
      </c>
      <c r="O224" t="n">
        <v>0</v>
      </c>
      <c r="P224" t="n">
        <v>0</v>
      </c>
      <c r="Q224" t="n">
        <v>0</v>
      </c>
      <c r="R224" s="2" t="inlineStr"/>
    </row>
    <row r="225" ht="15" customHeight="1">
      <c r="A225" t="inlineStr">
        <is>
          <t>A 34889-2023</t>
        </is>
      </c>
      <c r="B225" s="1" t="n">
        <v>45140</v>
      </c>
      <c r="C225" s="1" t="n">
        <v>46002</v>
      </c>
      <c r="D225" t="inlineStr">
        <is>
          <t>ÖSTERGÖTLANDS LÄN</t>
        </is>
      </c>
      <c r="E225" t="inlineStr">
        <is>
          <t>LINKÖPING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52220-2023</t>
        </is>
      </c>
      <c r="B226" s="1" t="n">
        <v>45217</v>
      </c>
      <c r="C226" s="1" t="n">
        <v>46002</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52225-2023</t>
        </is>
      </c>
      <c r="B227" s="1" t="n">
        <v>45217</v>
      </c>
      <c r="C227" s="1" t="n">
        <v>46002</v>
      </c>
      <c r="D227" t="inlineStr">
        <is>
          <t>ÖSTERGÖTLANDS LÄN</t>
        </is>
      </c>
      <c r="E227" t="inlineStr">
        <is>
          <t>LINKÖPING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46002</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42832-2023</t>
        </is>
      </c>
      <c r="B229" s="1" t="n">
        <v>45182.38091435185</v>
      </c>
      <c r="C229" s="1" t="n">
        <v>46002</v>
      </c>
      <c r="D229" t="inlineStr">
        <is>
          <t>ÖSTERGÖTLANDS LÄN</t>
        </is>
      </c>
      <c r="E229" t="inlineStr">
        <is>
          <t>LINKÖPING</t>
        </is>
      </c>
      <c r="G229" t="n">
        <v>2.5</v>
      </c>
      <c r="H229" t="n">
        <v>0</v>
      </c>
      <c r="I229" t="n">
        <v>0</v>
      </c>
      <c r="J229" t="n">
        <v>0</v>
      </c>
      <c r="K229" t="n">
        <v>0</v>
      </c>
      <c r="L229" t="n">
        <v>0</v>
      </c>
      <c r="M229" t="n">
        <v>0</v>
      </c>
      <c r="N229" t="n">
        <v>0</v>
      </c>
      <c r="O229" t="n">
        <v>0</v>
      </c>
      <c r="P229" t="n">
        <v>0</v>
      </c>
      <c r="Q229" t="n">
        <v>0</v>
      </c>
      <c r="R229" s="2" t="inlineStr"/>
    </row>
    <row r="230" ht="15" customHeight="1">
      <c r="A230" t="inlineStr">
        <is>
          <t>A 56560-2023</t>
        </is>
      </c>
      <c r="B230" s="1" t="n">
        <v>45238</v>
      </c>
      <c r="C230" s="1" t="n">
        <v>46002</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52412-2023</t>
        </is>
      </c>
      <c r="B231" s="1" t="n">
        <v>45225.27888888889</v>
      </c>
      <c r="C231" s="1" t="n">
        <v>46002</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52413-2023</t>
        </is>
      </c>
      <c r="B232" s="1" t="n">
        <v>45225.27950231481</v>
      </c>
      <c r="C232" s="1" t="n">
        <v>46002</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7354-2025</t>
        </is>
      </c>
      <c r="B233" s="1" t="n">
        <v>45704.41174768518</v>
      </c>
      <c r="C233" s="1" t="n">
        <v>46002</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34928-2023</t>
        </is>
      </c>
      <c r="B234" s="1" t="n">
        <v>45142</v>
      </c>
      <c r="C234" s="1" t="n">
        <v>46002</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1263-2024</t>
        </is>
      </c>
      <c r="B235" s="1" t="n">
        <v>45302</v>
      </c>
      <c r="C235" s="1" t="n">
        <v>46002</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20291-2025</t>
        </is>
      </c>
      <c r="B236" s="1" t="n">
        <v>45774.74288194445</v>
      </c>
      <c r="C236" s="1" t="n">
        <v>46002</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20293-2025</t>
        </is>
      </c>
      <c r="B237" s="1" t="n">
        <v>45774.74611111111</v>
      </c>
      <c r="C237" s="1" t="n">
        <v>46002</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52531-2023</t>
        </is>
      </c>
      <c r="B238" s="1" t="n">
        <v>45225</v>
      </c>
      <c r="C238" s="1" t="n">
        <v>46002</v>
      </c>
      <c r="D238" t="inlineStr">
        <is>
          <t>ÖSTERGÖTLANDS LÄN</t>
        </is>
      </c>
      <c r="E238" t="inlineStr">
        <is>
          <t>LINKÖPING</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55945-2024</t>
        </is>
      </c>
      <c r="B239" s="1" t="n">
        <v>45623.61754629629</v>
      </c>
      <c r="C239" s="1" t="n">
        <v>46002</v>
      </c>
      <c r="D239" t="inlineStr">
        <is>
          <t>ÖSTERGÖTLANDS LÄN</t>
        </is>
      </c>
      <c r="E239" t="inlineStr">
        <is>
          <t>LINKÖPING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25418-2023</t>
        </is>
      </c>
      <c r="B240" s="1" t="n">
        <v>45089</v>
      </c>
      <c r="C240" s="1" t="n">
        <v>46002</v>
      </c>
      <c r="D240" t="inlineStr">
        <is>
          <t>ÖSTERGÖTLANDS LÄN</t>
        </is>
      </c>
      <c r="E240" t="inlineStr">
        <is>
          <t>LINKÖPING</t>
        </is>
      </c>
      <c r="F240" t="inlineStr">
        <is>
          <t>Övriga Aktiebolag</t>
        </is>
      </c>
      <c r="G240" t="n">
        <v>2.4</v>
      </c>
      <c r="H240" t="n">
        <v>0</v>
      </c>
      <c r="I240" t="n">
        <v>0</v>
      </c>
      <c r="J240" t="n">
        <v>0</v>
      </c>
      <c r="K240" t="n">
        <v>0</v>
      </c>
      <c r="L240" t="n">
        <v>0</v>
      </c>
      <c r="M240" t="n">
        <v>0</v>
      </c>
      <c r="N240" t="n">
        <v>0</v>
      </c>
      <c r="O240" t="n">
        <v>0</v>
      </c>
      <c r="P240" t="n">
        <v>0</v>
      </c>
      <c r="Q240" t="n">
        <v>0</v>
      </c>
      <c r="R240" s="2" t="inlineStr"/>
    </row>
    <row r="241" ht="15" customHeight="1">
      <c r="A241" t="inlineStr">
        <is>
          <t>A 63665-2023</t>
        </is>
      </c>
      <c r="B241" s="1" t="n">
        <v>45275</v>
      </c>
      <c r="C241" s="1" t="n">
        <v>46002</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3041-2024</t>
        </is>
      </c>
      <c r="B242" s="1" t="n">
        <v>45316.34875</v>
      </c>
      <c r="C242" s="1" t="n">
        <v>46002</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33867-2023</t>
        </is>
      </c>
      <c r="B243" s="1" t="n">
        <v>45133.94640046296</v>
      </c>
      <c r="C243" s="1" t="n">
        <v>46002</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50963-2021</t>
        </is>
      </c>
      <c r="B244" s="1" t="n">
        <v>44460</v>
      </c>
      <c r="C244" s="1" t="n">
        <v>46002</v>
      </c>
      <c r="D244" t="inlineStr">
        <is>
          <t>ÖSTERGÖTLANDS LÄN</t>
        </is>
      </c>
      <c r="E244" t="inlineStr">
        <is>
          <t>LINKÖPING</t>
        </is>
      </c>
      <c r="G244" t="n">
        <v>4.4</v>
      </c>
      <c r="H244" t="n">
        <v>0</v>
      </c>
      <c r="I244" t="n">
        <v>0</v>
      </c>
      <c r="J244" t="n">
        <v>0</v>
      </c>
      <c r="K244" t="n">
        <v>0</v>
      </c>
      <c r="L244" t="n">
        <v>0</v>
      </c>
      <c r="M244" t="n">
        <v>0</v>
      </c>
      <c r="N244" t="n">
        <v>0</v>
      </c>
      <c r="O244" t="n">
        <v>0</v>
      </c>
      <c r="P244" t="n">
        <v>0</v>
      </c>
      <c r="Q244" t="n">
        <v>0</v>
      </c>
      <c r="R244" s="2" t="inlineStr"/>
    </row>
    <row r="245" ht="15" customHeight="1">
      <c r="A245" t="inlineStr">
        <is>
          <t>A 61307-2021</t>
        </is>
      </c>
      <c r="B245" s="1" t="n">
        <v>44498.63928240741</v>
      </c>
      <c r="C245" s="1" t="n">
        <v>46002</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61325-2021</t>
        </is>
      </c>
      <c r="B246" s="1" t="n">
        <v>44498.66814814815</v>
      </c>
      <c r="C246" s="1" t="n">
        <v>46002</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23768-2025</t>
        </is>
      </c>
      <c r="B247" s="1" t="n">
        <v>45793.47493055555</v>
      </c>
      <c r="C247" s="1" t="n">
        <v>46002</v>
      </c>
      <c r="D247" t="inlineStr">
        <is>
          <t>ÖSTERGÖTLANDS LÄN</t>
        </is>
      </c>
      <c r="E247" t="inlineStr">
        <is>
          <t>LINKÖPING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58947-2022</t>
        </is>
      </c>
      <c r="B248" s="1" t="n">
        <v>44903.64769675926</v>
      </c>
      <c r="C248" s="1" t="n">
        <v>46002</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30985-2022</t>
        </is>
      </c>
      <c r="B249" s="1" t="n">
        <v>44768</v>
      </c>
      <c r="C249" s="1" t="n">
        <v>46002</v>
      </c>
      <c r="D249" t="inlineStr">
        <is>
          <t>ÖSTERGÖTLANDS LÄN</t>
        </is>
      </c>
      <c r="E249" t="inlineStr">
        <is>
          <t>LINKÖPING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38317-2024</t>
        </is>
      </c>
      <c r="B250" s="1" t="n">
        <v>45545.65766203704</v>
      </c>
      <c r="C250" s="1" t="n">
        <v>46002</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45030.5583912037</v>
      </c>
      <c r="C251" s="1" t="n">
        <v>46002</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48699-2024</t>
        </is>
      </c>
      <c r="B252" s="1" t="n">
        <v>45593.52091435185</v>
      </c>
      <c r="C252" s="1" t="n">
        <v>46002</v>
      </c>
      <c r="D252" t="inlineStr">
        <is>
          <t>ÖSTERGÖTLANDS LÄN</t>
        </is>
      </c>
      <c r="E252" t="inlineStr">
        <is>
          <t>LINKÖPING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60001-2022</t>
        </is>
      </c>
      <c r="B253" s="1" t="n">
        <v>44909.47087962963</v>
      </c>
      <c r="C253" s="1" t="n">
        <v>46002</v>
      </c>
      <c r="D253" t="inlineStr">
        <is>
          <t>ÖSTERGÖTLANDS LÄN</t>
        </is>
      </c>
      <c r="E253" t="inlineStr">
        <is>
          <t>LINKÖPING</t>
        </is>
      </c>
      <c r="G253" t="n">
        <v>0.9</v>
      </c>
      <c r="H253" t="n">
        <v>0</v>
      </c>
      <c r="I253" t="n">
        <v>0</v>
      </c>
      <c r="J253" t="n">
        <v>0</v>
      </c>
      <c r="K253" t="n">
        <v>0</v>
      </c>
      <c r="L253" t="n">
        <v>0</v>
      </c>
      <c r="M253" t="n">
        <v>0</v>
      </c>
      <c r="N253" t="n">
        <v>0</v>
      </c>
      <c r="O253" t="n">
        <v>0</v>
      </c>
      <c r="P253" t="n">
        <v>0</v>
      </c>
      <c r="Q253" t="n">
        <v>0</v>
      </c>
      <c r="R253" s="2" t="inlineStr"/>
    </row>
    <row r="254" ht="15" customHeight="1">
      <c r="A254" t="inlineStr">
        <is>
          <t>A 60013-2022</t>
        </is>
      </c>
      <c r="B254" s="1" t="n">
        <v>44909.47482638889</v>
      </c>
      <c r="C254" s="1" t="n">
        <v>46002</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1211-2023</t>
        </is>
      </c>
      <c r="B255" s="1" t="n">
        <v>44930</v>
      </c>
      <c r="C255" s="1" t="n">
        <v>46002</v>
      </c>
      <c r="D255" t="inlineStr">
        <is>
          <t>ÖSTERGÖTLANDS LÄN</t>
        </is>
      </c>
      <c r="E255" t="inlineStr">
        <is>
          <t>LINKÖPING</t>
        </is>
      </c>
      <c r="F255" t="inlineStr">
        <is>
          <t>Övriga statliga verk och myndigheter</t>
        </is>
      </c>
      <c r="G255" t="n">
        <v>7.9</v>
      </c>
      <c r="H255" t="n">
        <v>0</v>
      </c>
      <c r="I255" t="n">
        <v>0</v>
      </c>
      <c r="J255" t="n">
        <v>0</v>
      </c>
      <c r="K255" t="n">
        <v>0</v>
      </c>
      <c r="L255" t="n">
        <v>0</v>
      </c>
      <c r="M255" t="n">
        <v>0</v>
      </c>
      <c r="N255" t="n">
        <v>0</v>
      </c>
      <c r="O255" t="n">
        <v>0</v>
      </c>
      <c r="P255" t="n">
        <v>0</v>
      </c>
      <c r="Q255" t="n">
        <v>0</v>
      </c>
      <c r="R255" s="2" t="inlineStr"/>
    </row>
    <row r="256" ht="15" customHeight="1">
      <c r="A256" t="inlineStr">
        <is>
          <t>A 38136-2023</t>
        </is>
      </c>
      <c r="B256" s="1" t="n">
        <v>45161.37310185185</v>
      </c>
      <c r="C256" s="1" t="n">
        <v>46002</v>
      </c>
      <c r="D256" t="inlineStr">
        <is>
          <t>ÖSTERGÖTLANDS LÄN</t>
        </is>
      </c>
      <c r="E256" t="inlineStr">
        <is>
          <t>LINKÖPING</t>
        </is>
      </c>
      <c r="G256" t="n">
        <v>5.6</v>
      </c>
      <c r="H256" t="n">
        <v>0</v>
      </c>
      <c r="I256" t="n">
        <v>0</v>
      </c>
      <c r="J256" t="n">
        <v>0</v>
      </c>
      <c r="K256" t="n">
        <v>0</v>
      </c>
      <c r="L256" t="n">
        <v>0</v>
      </c>
      <c r="M256" t="n">
        <v>0</v>
      </c>
      <c r="N256" t="n">
        <v>0</v>
      </c>
      <c r="O256" t="n">
        <v>0</v>
      </c>
      <c r="P256" t="n">
        <v>0</v>
      </c>
      <c r="Q256" t="n">
        <v>0</v>
      </c>
      <c r="R256" s="2" t="inlineStr"/>
    </row>
    <row r="257" ht="15" customHeight="1">
      <c r="A257" t="inlineStr">
        <is>
          <t>A 13911-2025</t>
        </is>
      </c>
      <c r="B257" s="1" t="n">
        <v>45737.64784722222</v>
      </c>
      <c r="C257" s="1" t="n">
        <v>46002</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44280-2024</t>
        </is>
      </c>
      <c r="B258" s="1" t="n">
        <v>45573.49461805556</v>
      </c>
      <c r="C258" s="1" t="n">
        <v>46002</v>
      </c>
      <c r="D258" t="inlineStr">
        <is>
          <t>ÖSTERGÖTLANDS LÄN</t>
        </is>
      </c>
      <c r="E258" t="inlineStr">
        <is>
          <t>LINKÖPING</t>
        </is>
      </c>
      <c r="G258" t="n">
        <v>5.3</v>
      </c>
      <c r="H258" t="n">
        <v>0</v>
      </c>
      <c r="I258" t="n">
        <v>0</v>
      </c>
      <c r="J258" t="n">
        <v>0</v>
      </c>
      <c r="K258" t="n">
        <v>0</v>
      </c>
      <c r="L258" t="n">
        <v>0</v>
      </c>
      <c r="M258" t="n">
        <v>0</v>
      </c>
      <c r="N258" t="n">
        <v>0</v>
      </c>
      <c r="O258" t="n">
        <v>0</v>
      </c>
      <c r="P258" t="n">
        <v>0</v>
      </c>
      <c r="Q258" t="n">
        <v>0</v>
      </c>
      <c r="R258" s="2" t="inlineStr"/>
    </row>
    <row r="259" ht="15" customHeight="1">
      <c r="A259" t="inlineStr">
        <is>
          <t>A 12317-2025</t>
        </is>
      </c>
      <c r="B259" s="1" t="n">
        <v>45729.8487037037</v>
      </c>
      <c r="C259" s="1" t="n">
        <v>46002</v>
      </c>
      <c r="D259" t="inlineStr">
        <is>
          <t>ÖSTERGÖTLANDS LÄN</t>
        </is>
      </c>
      <c r="E259" t="inlineStr">
        <is>
          <t>LINKÖPING</t>
        </is>
      </c>
      <c r="G259" t="n">
        <v>8</v>
      </c>
      <c r="H259" t="n">
        <v>0</v>
      </c>
      <c r="I259" t="n">
        <v>0</v>
      </c>
      <c r="J259" t="n">
        <v>0</v>
      </c>
      <c r="K259" t="n">
        <v>0</v>
      </c>
      <c r="L259" t="n">
        <v>0</v>
      </c>
      <c r="M259" t="n">
        <v>0</v>
      </c>
      <c r="N259" t="n">
        <v>0</v>
      </c>
      <c r="O259" t="n">
        <v>0</v>
      </c>
      <c r="P259" t="n">
        <v>0</v>
      </c>
      <c r="Q259" t="n">
        <v>0</v>
      </c>
      <c r="R259" s="2" t="inlineStr"/>
    </row>
    <row r="260" ht="15" customHeight="1">
      <c r="A260" t="inlineStr">
        <is>
          <t>A 3008-2023</t>
        </is>
      </c>
      <c r="B260" s="1" t="n">
        <v>44945.79784722222</v>
      </c>
      <c r="C260" s="1" t="n">
        <v>46002</v>
      </c>
      <c r="D260" t="inlineStr">
        <is>
          <t>ÖSTERGÖTLANDS LÄN</t>
        </is>
      </c>
      <c r="E260" t="inlineStr">
        <is>
          <t>LINKÖPING</t>
        </is>
      </c>
      <c r="G260" t="n">
        <v>19.3</v>
      </c>
      <c r="H260" t="n">
        <v>0</v>
      </c>
      <c r="I260" t="n">
        <v>0</v>
      </c>
      <c r="J260" t="n">
        <v>0</v>
      </c>
      <c r="K260" t="n">
        <v>0</v>
      </c>
      <c r="L260" t="n">
        <v>0</v>
      </c>
      <c r="M260" t="n">
        <v>0</v>
      </c>
      <c r="N260" t="n">
        <v>0</v>
      </c>
      <c r="O260" t="n">
        <v>0</v>
      </c>
      <c r="P260" t="n">
        <v>0</v>
      </c>
      <c r="Q260" t="n">
        <v>0</v>
      </c>
      <c r="R260" s="2" t="inlineStr"/>
    </row>
    <row r="261" ht="15" customHeight="1">
      <c r="A261" t="inlineStr">
        <is>
          <t>A 36557-2023</t>
        </is>
      </c>
      <c r="B261" s="1" t="n">
        <v>45153</v>
      </c>
      <c r="C261" s="1" t="n">
        <v>46002</v>
      </c>
      <c r="D261" t="inlineStr">
        <is>
          <t>ÖSTERGÖTLANDS LÄN</t>
        </is>
      </c>
      <c r="E261" t="inlineStr">
        <is>
          <t>LINKÖPING</t>
        </is>
      </c>
      <c r="F261" t="inlineStr">
        <is>
          <t>Övriga Aktiebolag</t>
        </is>
      </c>
      <c r="G261" t="n">
        <v>3.1</v>
      </c>
      <c r="H261" t="n">
        <v>0</v>
      </c>
      <c r="I261" t="n">
        <v>0</v>
      </c>
      <c r="J261" t="n">
        <v>0</v>
      </c>
      <c r="K261" t="n">
        <v>0</v>
      </c>
      <c r="L261" t="n">
        <v>0</v>
      </c>
      <c r="M261" t="n">
        <v>0</v>
      </c>
      <c r="N261" t="n">
        <v>0</v>
      </c>
      <c r="O261" t="n">
        <v>0</v>
      </c>
      <c r="P261" t="n">
        <v>0</v>
      </c>
      <c r="Q261" t="n">
        <v>0</v>
      </c>
      <c r="R261" s="2" t="inlineStr"/>
    </row>
    <row r="262" ht="15" customHeight="1">
      <c r="A262" t="inlineStr">
        <is>
          <t>A 2085-2024</t>
        </is>
      </c>
      <c r="B262" s="1" t="n">
        <v>45309</v>
      </c>
      <c r="C262" s="1" t="n">
        <v>46002</v>
      </c>
      <c r="D262" t="inlineStr">
        <is>
          <t>ÖSTERGÖTLANDS LÄN</t>
        </is>
      </c>
      <c r="E262" t="inlineStr">
        <is>
          <t>LINKÖPING</t>
        </is>
      </c>
      <c r="G262" t="n">
        <v>4.5</v>
      </c>
      <c r="H262" t="n">
        <v>0</v>
      </c>
      <c r="I262" t="n">
        <v>0</v>
      </c>
      <c r="J262" t="n">
        <v>0</v>
      </c>
      <c r="K262" t="n">
        <v>0</v>
      </c>
      <c r="L262" t="n">
        <v>0</v>
      </c>
      <c r="M262" t="n">
        <v>0</v>
      </c>
      <c r="N262" t="n">
        <v>0</v>
      </c>
      <c r="O262" t="n">
        <v>0</v>
      </c>
      <c r="P262" t="n">
        <v>0</v>
      </c>
      <c r="Q262" t="n">
        <v>0</v>
      </c>
      <c r="R262" s="2" t="inlineStr"/>
    </row>
    <row r="263" ht="15" customHeight="1">
      <c r="A263" t="inlineStr">
        <is>
          <t>A 30468-2023</t>
        </is>
      </c>
      <c r="B263" s="1" t="n">
        <v>45111.58732638889</v>
      </c>
      <c r="C263" s="1" t="n">
        <v>46002</v>
      </c>
      <c r="D263" t="inlineStr">
        <is>
          <t>ÖSTERGÖTLANDS LÄN</t>
        </is>
      </c>
      <c r="E263" t="inlineStr">
        <is>
          <t>LINKÖPING</t>
        </is>
      </c>
      <c r="G263" t="n">
        <v>10.1</v>
      </c>
      <c r="H263" t="n">
        <v>0</v>
      </c>
      <c r="I263" t="n">
        <v>0</v>
      </c>
      <c r="J263" t="n">
        <v>0</v>
      </c>
      <c r="K263" t="n">
        <v>0</v>
      </c>
      <c r="L263" t="n">
        <v>0</v>
      </c>
      <c r="M263" t="n">
        <v>0</v>
      </c>
      <c r="N263" t="n">
        <v>0</v>
      </c>
      <c r="O263" t="n">
        <v>0</v>
      </c>
      <c r="P263" t="n">
        <v>0</v>
      </c>
      <c r="Q263" t="n">
        <v>0</v>
      </c>
      <c r="R263" s="2" t="inlineStr"/>
    </row>
    <row r="264" ht="15" customHeight="1">
      <c r="A264" t="inlineStr">
        <is>
          <t>A 38715-2023</t>
        </is>
      </c>
      <c r="B264" s="1" t="n">
        <v>45160</v>
      </c>
      <c r="C264" s="1" t="n">
        <v>46002</v>
      </c>
      <c r="D264" t="inlineStr">
        <is>
          <t>ÖSTERGÖTLANDS LÄN</t>
        </is>
      </c>
      <c r="E264" t="inlineStr">
        <is>
          <t>LINKÖPING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39438-2025</t>
        </is>
      </c>
      <c r="B265" s="1" t="n">
        <v>45889.68641203704</v>
      </c>
      <c r="C265" s="1" t="n">
        <v>46002</v>
      </c>
      <c r="D265" t="inlineStr">
        <is>
          <t>ÖSTERGÖTLANDS LÄN</t>
        </is>
      </c>
      <c r="E265" t="inlineStr">
        <is>
          <t>LINKÖPING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27264-2025</t>
        </is>
      </c>
      <c r="B266" s="1" t="n">
        <v>45812.4794212963</v>
      </c>
      <c r="C266" s="1" t="n">
        <v>46002</v>
      </c>
      <c r="D266" t="inlineStr">
        <is>
          <t>ÖSTERGÖTLANDS LÄN</t>
        </is>
      </c>
      <c r="E266" t="inlineStr">
        <is>
          <t>LINKÖPING</t>
        </is>
      </c>
      <c r="G266" t="n">
        <v>2.6</v>
      </c>
      <c r="H266" t="n">
        <v>0</v>
      </c>
      <c r="I266" t="n">
        <v>0</v>
      </c>
      <c r="J266" t="n">
        <v>0</v>
      </c>
      <c r="K266" t="n">
        <v>0</v>
      </c>
      <c r="L266" t="n">
        <v>0</v>
      </c>
      <c r="M266" t="n">
        <v>0</v>
      </c>
      <c r="N266" t="n">
        <v>0</v>
      </c>
      <c r="O266" t="n">
        <v>0</v>
      </c>
      <c r="P266" t="n">
        <v>0</v>
      </c>
      <c r="Q266" t="n">
        <v>0</v>
      </c>
      <c r="R266" s="2" t="inlineStr"/>
    </row>
    <row r="267" ht="15" customHeight="1">
      <c r="A267" t="inlineStr">
        <is>
          <t>A 34864-2023</t>
        </is>
      </c>
      <c r="B267" s="1" t="n">
        <v>45141</v>
      </c>
      <c r="C267" s="1" t="n">
        <v>46002</v>
      </c>
      <c r="D267" t="inlineStr">
        <is>
          <t>ÖSTERGÖTLANDS LÄN</t>
        </is>
      </c>
      <c r="E267" t="inlineStr">
        <is>
          <t>LINKÖPING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46687-2021</t>
        </is>
      </c>
      <c r="B268" s="1" t="n">
        <v>44445</v>
      </c>
      <c r="C268" s="1" t="n">
        <v>46002</v>
      </c>
      <c r="D268" t="inlineStr">
        <is>
          <t>ÖSTERGÖTLANDS LÄN</t>
        </is>
      </c>
      <c r="E268" t="inlineStr">
        <is>
          <t>LINKÖPING</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26002-2025</t>
        </is>
      </c>
      <c r="B269" s="1" t="n">
        <v>45804.66534722222</v>
      </c>
      <c r="C269" s="1" t="n">
        <v>46002</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46002</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46002</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17103-2025</t>
        </is>
      </c>
      <c r="B272" s="1" t="n">
        <v>45755.66143518518</v>
      </c>
      <c r="C272" s="1" t="n">
        <v>46002</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25996-2025</t>
        </is>
      </c>
      <c r="B273" s="1" t="n">
        <v>45804.65851851852</v>
      </c>
      <c r="C273" s="1" t="n">
        <v>46002</v>
      </c>
      <c r="D273" t="inlineStr">
        <is>
          <t>ÖSTERGÖTLANDS LÄN</t>
        </is>
      </c>
      <c r="E273" t="inlineStr">
        <is>
          <t>LINKÖPING</t>
        </is>
      </c>
      <c r="G273" t="n">
        <v>3.2</v>
      </c>
      <c r="H273" t="n">
        <v>0</v>
      </c>
      <c r="I273" t="n">
        <v>0</v>
      </c>
      <c r="J273" t="n">
        <v>0</v>
      </c>
      <c r="K273" t="n">
        <v>0</v>
      </c>
      <c r="L273" t="n">
        <v>0</v>
      </c>
      <c r="M273" t="n">
        <v>0</v>
      </c>
      <c r="N273" t="n">
        <v>0</v>
      </c>
      <c r="O273" t="n">
        <v>0</v>
      </c>
      <c r="P273" t="n">
        <v>0</v>
      </c>
      <c r="Q273" t="n">
        <v>0</v>
      </c>
      <c r="R273" s="2" t="inlineStr"/>
    </row>
    <row r="274" ht="15" customHeight="1">
      <c r="A274" t="inlineStr">
        <is>
          <t>A 40618-2021</t>
        </is>
      </c>
      <c r="B274" s="1" t="n">
        <v>44420.49575231481</v>
      </c>
      <c r="C274" s="1" t="n">
        <v>46002</v>
      </c>
      <c r="D274" t="inlineStr">
        <is>
          <t>ÖSTERGÖTLANDS LÄN</t>
        </is>
      </c>
      <c r="E274" t="inlineStr">
        <is>
          <t>LINKÖPING</t>
        </is>
      </c>
      <c r="G274" t="n">
        <v>2.3</v>
      </c>
      <c r="H274" t="n">
        <v>0</v>
      </c>
      <c r="I274" t="n">
        <v>0</v>
      </c>
      <c r="J274" t="n">
        <v>0</v>
      </c>
      <c r="K274" t="n">
        <v>0</v>
      </c>
      <c r="L274" t="n">
        <v>0</v>
      </c>
      <c r="M274" t="n">
        <v>0</v>
      </c>
      <c r="N274" t="n">
        <v>0</v>
      </c>
      <c r="O274" t="n">
        <v>0</v>
      </c>
      <c r="P274" t="n">
        <v>0</v>
      </c>
      <c r="Q274" t="n">
        <v>0</v>
      </c>
      <c r="R274" s="2" t="inlineStr"/>
    </row>
    <row r="275" ht="15" customHeight="1">
      <c r="A275" t="inlineStr">
        <is>
          <t>A 56180-2024</t>
        </is>
      </c>
      <c r="B275" s="1" t="n">
        <v>45624.56611111111</v>
      </c>
      <c r="C275" s="1" t="n">
        <v>46002</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30471-2023</t>
        </is>
      </c>
      <c r="B276" s="1" t="n">
        <v>45111.58931712963</v>
      </c>
      <c r="C276" s="1" t="n">
        <v>46002</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40169-2025</t>
        </is>
      </c>
      <c r="B277" s="1" t="n">
        <v>45894.62824074074</v>
      </c>
      <c r="C277" s="1" t="n">
        <v>46002</v>
      </c>
      <c r="D277" t="inlineStr">
        <is>
          <t>ÖSTERGÖTLANDS LÄN</t>
        </is>
      </c>
      <c r="E277" t="inlineStr">
        <is>
          <t>LINKÖPING</t>
        </is>
      </c>
      <c r="G277" t="n">
        <v>2.8</v>
      </c>
      <c r="H277" t="n">
        <v>0</v>
      </c>
      <c r="I277" t="n">
        <v>0</v>
      </c>
      <c r="J277" t="n">
        <v>0</v>
      </c>
      <c r="K277" t="n">
        <v>0</v>
      </c>
      <c r="L277" t="n">
        <v>0</v>
      </c>
      <c r="M277" t="n">
        <v>0</v>
      </c>
      <c r="N277" t="n">
        <v>0</v>
      </c>
      <c r="O277" t="n">
        <v>0</v>
      </c>
      <c r="P277" t="n">
        <v>0</v>
      </c>
      <c r="Q277" t="n">
        <v>0</v>
      </c>
      <c r="R277" s="2" t="inlineStr"/>
    </row>
    <row r="278" ht="15" customHeight="1">
      <c r="A278" t="inlineStr">
        <is>
          <t>A 227-2024</t>
        </is>
      </c>
      <c r="B278" s="1" t="n">
        <v>45294.73603009259</v>
      </c>
      <c r="C278" s="1" t="n">
        <v>46002</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44155-2024</t>
        </is>
      </c>
      <c r="B279" s="1" t="n">
        <v>45572.68226851852</v>
      </c>
      <c r="C279" s="1" t="n">
        <v>46002</v>
      </c>
      <c r="D279" t="inlineStr">
        <is>
          <t>ÖSTERGÖTLANDS LÄN</t>
        </is>
      </c>
      <c r="E279" t="inlineStr">
        <is>
          <t>LINKÖPING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30434-2024</t>
        </is>
      </c>
      <c r="B280" s="1" t="n">
        <v>45491.69811342593</v>
      </c>
      <c r="C280" s="1" t="n">
        <v>46002</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56917-2022</t>
        </is>
      </c>
      <c r="B281" s="1" t="n">
        <v>44894</v>
      </c>
      <c r="C281" s="1" t="n">
        <v>46002</v>
      </c>
      <c r="D281" t="inlineStr">
        <is>
          <t>ÖSTERGÖTLANDS LÄN</t>
        </is>
      </c>
      <c r="E281" t="inlineStr">
        <is>
          <t>LINKÖPING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57766-2023</t>
        </is>
      </c>
      <c r="B282" s="1" t="n">
        <v>45246</v>
      </c>
      <c r="C282" s="1" t="n">
        <v>46002</v>
      </c>
      <c r="D282" t="inlineStr">
        <is>
          <t>ÖSTERGÖTLANDS LÄN</t>
        </is>
      </c>
      <c r="E282" t="inlineStr">
        <is>
          <t>LINKÖPING</t>
        </is>
      </c>
      <c r="F282" t="inlineStr">
        <is>
          <t>Allmännings- och besparingsskogar</t>
        </is>
      </c>
      <c r="G282" t="n">
        <v>12.8</v>
      </c>
      <c r="H282" t="n">
        <v>0</v>
      </c>
      <c r="I282" t="n">
        <v>0</v>
      </c>
      <c r="J282" t="n">
        <v>0</v>
      </c>
      <c r="K282" t="n">
        <v>0</v>
      </c>
      <c r="L282" t="n">
        <v>0</v>
      </c>
      <c r="M282" t="n">
        <v>0</v>
      </c>
      <c r="N282" t="n">
        <v>0</v>
      </c>
      <c r="O282" t="n">
        <v>0</v>
      </c>
      <c r="P282" t="n">
        <v>0</v>
      </c>
      <c r="Q282" t="n">
        <v>0</v>
      </c>
      <c r="R282" s="2" t="inlineStr"/>
    </row>
    <row r="283" ht="15" customHeight="1">
      <c r="A283" t="inlineStr">
        <is>
          <t>A 25568-2024</t>
        </is>
      </c>
      <c r="B283" s="1" t="n">
        <v>45463.58699074074</v>
      </c>
      <c r="C283" s="1" t="n">
        <v>46002</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27950-2025</t>
        </is>
      </c>
      <c r="B284" s="1" t="n">
        <v>45817.52960648148</v>
      </c>
      <c r="C284" s="1" t="n">
        <v>46002</v>
      </c>
      <c r="D284" t="inlineStr">
        <is>
          <t>ÖSTERGÖTLANDS LÄN</t>
        </is>
      </c>
      <c r="E284" t="inlineStr">
        <is>
          <t>LINKÖPING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27797-2025</t>
        </is>
      </c>
      <c r="B285" s="1" t="n">
        <v>45816.80521990741</v>
      </c>
      <c r="C285" s="1" t="n">
        <v>46002</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27798-2025</t>
        </is>
      </c>
      <c r="B286" s="1" t="n">
        <v>45816.81532407407</v>
      </c>
      <c r="C286" s="1" t="n">
        <v>46002</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22833-2023</t>
        </is>
      </c>
      <c r="B287" s="1" t="n">
        <v>45071</v>
      </c>
      <c r="C287" s="1" t="n">
        <v>46002</v>
      </c>
      <c r="D287" t="inlineStr">
        <is>
          <t>ÖSTERGÖTLANDS LÄN</t>
        </is>
      </c>
      <c r="E287" t="inlineStr">
        <is>
          <t>LINKÖPING</t>
        </is>
      </c>
      <c r="F287" t="inlineStr">
        <is>
          <t>Kommuner</t>
        </is>
      </c>
      <c r="G287" t="n">
        <v>1</v>
      </c>
      <c r="H287" t="n">
        <v>0</v>
      </c>
      <c r="I287" t="n">
        <v>0</v>
      </c>
      <c r="J287" t="n">
        <v>0</v>
      </c>
      <c r="K287" t="n">
        <v>0</v>
      </c>
      <c r="L287" t="n">
        <v>0</v>
      </c>
      <c r="M287" t="n">
        <v>0</v>
      </c>
      <c r="N287" t="n">
        <v>0</v>
      </c>
      <c r="O287" t="n">
        <v>0</v>
      </c>
      <c r="P287" t="n">
        <v>0</v>
      </c>
      <c r="Q287" t="n">
        <v>0</v>
      </c>
      <c r="R287" s="2" t="inlineStr"/>
    </row>
    <row r="288" ht="15" customHeight="1">
      <c r="A288" t="inlineStr">
        <is>
          <t>A 28200-2025</t>
        </is>
      </c>
      <c r="B288" s="1" t="n">
        <v>45818.4428125</v>
      </c>
      <c r="C288" s="1" t="n">
        <v>46002</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41511-2025</t>
        </is>
      </c>
      <c r="B289" s="1" t="n">
        <v>45901.53839120371</v>
      </c>
      <c r="C289" s="1" t="n">
        <v>46002</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28204-2025</t>
        </is>
      </c>
      <c r="B290" s="1" t="n">
        <v>45818.4477662037</v>
      </c>
      <c r="C290" s="1" t="n">
        <v>46002</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28416-2025</t>
        </is>
      </c>
      <c r="B291" s="1" t="n">
        <v>45819.35346064815</v>
      </c>
      <c r="C291" s="1" t="n">
        <v>46002</v>
      </c>
      <c r="D291" t="inlineStr">
        <is>
          <t>ÖSTERGÖTLANDS LÄN</t>
        </is>
      </c>
      <c r="E291" t="inlineStr">
        <is>
          <t>LINKÖPING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2997-2025</t>
        </is>
      </c>
      <c r="B292" s="1" t="n">
        <v>45678.54631944445</v>
      </c>
      <c r="C292" s="1" t="n">
        <v>46002</v>
      </c>
      <c r="D292" t="inlineStr">
        <is>
          <t>ÖSTERGÖTLANDS LÄN</t>
        </is>
      </c>
      <c r="E292" t="inlineStr">
        <is>
          <t>LINKÖPING</t>
        </is>
      </c>
      <c r="G292" t="n">
        <v>2.7</v>
      </c>
      <c r="H292" t="n">
        <v>0</v>
      </c>
      <c r="I292" t="n">
        <v>0</v>
      </c>
      <c r="J292" t="n">
        <v>0</v>
      </c>
      <c r="K292" t="n">
        <v>0</v>
      </c>
      <c r="L292" t="n">
        <v>0</v>
      </c>
      <c r="M292" t="n">
        <v>0</v>
      </c>
      <c r="N292" t="n">
        <v>0</v>
      </c>
      <c r="O292" t="n">
        <v>0</v>
      </c>
      <c r="P292" t="n">
        <v>0</v>
      </c>
      <c r="Q292" t="n">
        <v>0</v>
      </c>
      <c r="R292" s="2" t="inlineStr"/>
    </row>
    <row r="293" ht="15" customHeight="1">
      <c r="A293" t="inlineStr">
        <is>
          <t>A 41345-2021</t>
        </is>
      </c>
      <c r="B293" s="1" t="n">
        <v>44424.61851851852</v>
      </c>
      <c r="C293" s="1" t="n">
        <v>46002</v>
      </c>
      <c r="D293" t="inlineStr">
        <is>
          <t>ÖSTERGÖTLANDS LÄN</t>
        </is>
      </c>
      <c r="E293" t="inlineStr">
        <is>
          <t>LINKÖPING</t>
        </is>
      </c>
      <c r="F293" t="inlineStr">
        <is>
          <t>Sveaskog</t>
        </is>
      </c>
      <c r="G293" t="n">
        <v>6.3</v>
      </c>
      <c r="H293" t="n">
        <v>0</v>
      </c>
      <c r="I293" t="n">
        <v>0</v>
      </c>
      <c r="J293" t="n">
        <v>0</v>
      </c>
      <c r="K293" t="n">
        <v>0</v>
      </c>
      <c r="L293" t="n">
        <v>0</v>
      </c>
      <c r="M293" t="n">
        <v>0</v>
      </c>
      <c r="N293" t="n">
        <v>0</v>
      </c>
      <c r="O293" t="n">
        <v>0</v>
      </c>
      <c r="P293" t="n">
        <v>0</v>
      </c>
      <c r="Q293" t="n">
        <v>0</v>
      </c>
      <c r="R293" s="2" t="inlineStr"/>
    </row>
    <row r="294" ht="15" customHeight="1">
      <c r="A294" t="inlineStr">
        <is>
          <t>A 41706-2025</t>
        </is>
      </c>
      <c r="B294" s="1" t="n">
        <v>45902.42209490741</v>
      </c>
      <c r="C294" s="1" t="n">
        <v>46002</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28398-2025</t>
        </is>
      </c>
      <c r="B295" s="1" t="n">
        <v>45819.34208333334</v>
      </c>
      <c r="C295" s="1" t="n">
        <v>46002</v>
      </c>
      <c r="D295" t="inlineStr">
        <is>
          <t>ÖSTERGÖTLANDS LÄN</t>
        </is>
      </c>
      <c r="E295" t="inlineStr">
        <is>
          <t>LINKÖPING</t>
        </is>
      </c>
      <c r="F295" t="inlineStr">
        <is>
          <t>Sveaskog</t>
        </is>
      </c>
      <c r="G295" t="n">
        <v>7.9</v>
      </c>
      <c r="H295" t="n">
        <v>0</v>
      </c>
      <c r="I295" t="n">
        <v>0</v>
      </c>
      <c r="J295" t="n">
        <v>0</v>
      </c>
      <c r="K295" t="n">
        <v>0</v>
      </c>
      <c r="L295" t="n">
        <v>0</v>
      </c>
      <c r="M295" t="n">
        <v>0</v>
      </c>
      <c r="N295" t="n">
        <v>0</v>
      </c>
      <c r="O295" t="n">
        <v>0</v>
      </c>
      <c r="P295" t="n">
        <v>0</v>
      </c>
      <c r="Q295" t="n">
        <v>0</v>
      </c>
      <c r="R295" s="2" t="inlineStr"/>
    </row>
    <row r="296" ht="15" customHeight="1">
      <c r="A296" t="inlineStr">
        <is>
          <t>A 28209-2025</t>
        </is>
      </c>
      <c r="B296" s="1" t="n">
        <v>45818.45112268518</v>
      </c>
      <c r="C296" s="1" t="n">
        <v>46002</v>
      </c>
      <c r="D296" t="inlineStr">
        <is>
          <t>ÖSTERGÖTLANDS LÄN</t>
        </is>
      </c>
      <c r="E296" t="inlineStr">
        <is>
          <t>LINKÖPING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13266-2025</t>
        </is>
      </c>
      <c r="B297" s="1" t="n">
        <v>45735.53318287037</v>
      </c>
      <c r="C297" s="1" t="n">
        <v>46002</v>
      </c>
      <c r="D297" t="inlineStr">
        <is>
          <t>ÖSTERGÖTLANDS LÄN</t>
        </is>
      </c>
      <c r="E297" t="inlineStr">
        <is>
          <t>LINKÖPING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16213-2025</t>
        </is>
      </c>
      <c r="B298" s="1" t="n">
        <v>45750.62740740741</v>
      </c>
      <c r="C298" s="1" t="n">
        <v>46002</v>
      </c>
      <c r="D298" t="inlineStr">
        <is>
          <t>ÖSTERGÖTLANDS LÄN</t>
        </is>
      </c>
      <c r="E298" t="inlineStr">
        <is>
          <t>LINKÖPING</t>
        </is>
      </c>
      <c r="G298" t="n">
        <v>3.4</v>
      </c>
      <c r="H298" t="n">
        <v>0</v>
      </c>
      <c r="I298" t="n">
        <v>0</v>
      </c>
      <c r="J298" t="n">
        <v>0</v>
      </c>
      <c r="K298" t="n">
        <v>0</v>
      </c>
      <c r="L298" t="n">
        <v>0</v>
      </c>
      <c r="M298" t="n">
        <v>0</v>
      </c>
      <c r="N298" t="n">
        <v>0</v>
      </c>
      <c r="O298" t="n">
        <v>0</v>
      </c>
      <c r="P298" t="n">
        <v>0</v>
      </c>
      <c r="Q298" t="n">
        <v>0</v>
      </c>
      <c r="R298" s="2" t="inlineStr"/>
    </row>
    <row r="299" ht="15" customHeight="1">
      <c r="A299" t="inlineStr">
        <is>
          <t>A 3042-2024</t>
        </is>
      </c>
      <c r="B299" s="1" t="n">
        <v>45316.35028935185</v>
      </c>
      <c r="C299" s="1" t="n">
        <v>46002</v>
      </c>
      <c r="D299" t="inlineStr">
        <is>
          <t>ÖSTERGÖTLANDS LÄN</t>
        </is>
      </c>
      <c r="E299" t="inlineStr">
        <is>
          <t>LINKÖPING</t>
        </is>
      </c>
      <c r="G299" t="n">
        <v>3.1</v>
      </c>
      <c r="H299" t="n">
        <v>0</v>
      </c>
      <c r="I299" t="n">
        <v>0</v>
      </c>
      <c r="J299" t="n">
        <v>0</v>
      </c>
      <c r="K299" t="n">
        <v>0</v>
      </c>
      <c r="L299" t="n">
        <v>0</v>
      </c>
      <c r="M299" t="n">
        <v>0</v>
      </c>
      <c r="N299" t="n">
        <v>0</v>
      </c>
      <c r="O299" t="n">
        <v>0</v>
      </c>
      <c r="P299" t="n">
        <v>0</v>
      </c>
      <c r="Q299" t="n">
        <v>0</v>
      </c>
      <c r="R299" s="2" t="inlineStr"/>
    </row>
    <row r="300" ht="15" customHeight="1">
      <c r="A300" t="inlineStr">
        <is>
          <t>A 29027-2025</t>
        </is>
      </c>
      <c r="B300" s="1" t="n">
        <v>45821.4375462963</v>
      </c>
      <c r="C300" s="1" t="n">
        <v>46002</v>
      </c>
      <c r="D300" t="inlineStr">
        <is>
          <t>ÖSTERGÖTLANDS LÄN</t>
        </is>
      </c>
      <c r="E300" t="inlineStr">
        <is>
          <t>LINKÖPING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29411-2025</t>
        </is>
      </c>
      <c r="B301" s="1" t="n">
        <v>45824.6219212963</v>
      </c>
      <c r="C301" s="1" t="n">
        <v>46002</v>
      </c>
      <c r="D301" t="inlineStr">
        <is>
          <t>ÖSTERGÖTLANDS LÄN</t>
        </is>
      </c>
      <c r="E301" t="inlineStr">
        <is>
          <t>LINKÖPING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29293-2025</t>
        </is>
      </c>
      <c r="B302" s="1" t="n">
        <v>45824</v>
      </c>
      <c r="C302" s="1" t="n">
        <v>46002</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42624-2025</t>
        </is>
      </c>
      <c r="B303" s="1" t="n">
        <v>45905</v>
      </c>
      <c r="C303" s="1" t="n">
        <v>46002</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42626-2025</t>
        </is>
      </c>
      <c r="B304" s="1" t="n">
        <v>45905</v>
      </c>
      <c r="C304" s="1" t="n">
        <v>46002</v>
      </c>
      <c r="D304" t="inlineStr">
        <is>
          <t>ÖSTERGÖTLANDS LÄN</t>
        </is>
      </c>
      <c r="E304" t="inlineStr">
        <is>
          <t>LINKÖPING</t>
        </is>
      </c>
      <c r="G304" t="n">
        <v>3.6</v>
      </c>
      <c r="H304" t="n">
        <v>0</v>
      </c>
      <c r="I304" t="n">
        <v>0</v>
      </c>
      <c r="J304" t="n">
        <v>0</v>
      </c>
      <c r="K304" t="n">
        <v>0</v>
      </c>
      <c r="L304" t="n">
        <v>0</v>
      </c>
      <c r="M304" t="n">
        <v>0</v>
      </c>
      <c r="N304" t="n">
        <v>0</v>
      </c>
      <c r="O304" t="n">
        <v>0</v>
      </c>
      <c r="P304" t="n">
        <v>0</v>
      </c>
      <c r="Q304" t="n">
        <v>0</v>
      </c>
      <c r="R304" s="2" t="inlineStr"/>
    </row>
    <row r="305" ht="15" customHeight="1">
      <c r="A305" t="inlineStr">
        <is>
          <t>A 29393-2025</t>
        </is>
      </c>
      <c r="B305" s="1" t="n">
        <v>45824.6057175926</v>
      </c>
      <c r="C305" s="1" t="n">
        <v>46002</v>
      </c>
      <c r="D305" t="inlineStr">
        <is>
          <t>ÖSTERGÖTLANDS LÄN</t>
        </is>
      </c>
      <c r="E305" t="inlineStr">
        <is>
          <t>LINKÖPING</t>
        </is>
      </c>
      <c r="F305" t="inlineStr">
        <is>
          <t>Sveaskog</t>
        </is>
      </c>
      <c r="G305" t="n">
        <v>24.6</v>
      </c>
      <c r="H305" t="n">
        <v>0</v>
      </c>
      <c r="I305" t="n">
        <v>0</v>
      </c>
      <c r="J305" t="n">
        <v>0</v>
      </c>
      <c r="K305" t="n">
        <v>0</v>
      </c>
      <c r="L305" t="n">
        <v>0</v>
      </c>
      <c r="M305" t="n">
        <v>0</v>
      </c>
      <c r="N305" t="n">
        <v>0</v>
      </c>
      <c r="O305" t="n">
        <v>0</v>
      </c>
      <c r="P305" t="n">
        <v>0</v>
      </c>
      <c r="Q305" t="n">
        <v>0</v>
      </c>
      <c r="R305" s="2" t="inlineStr"/>
    </row>
    <row r="306" ht="15" customHeight="1">
      <c r="A306" t="inlineStr">
        <is>
          <t>A 42623-2025</t>
        </is>
      </c>
      <c r="B306" s="1" t="n">
        <v>45905</v>
      </c>
      <c r="C306" s="1" t="n">
        <v>46002</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46225-2021</t>
        </is>
      </c>
      <c r="B307" s="1" t="n">
        <v>44442</v>
      </c>
      <c r="C307" s="1" t="n">
        <v>46002</v>
      </c>
      <c r="D307" t="inlineStr">
        <is>
          <t>ÖSTERGÖTLANDS LÄN</t>
        </is>
      </c>
      <c r="E307" t="inlineStr">
        <is>
          <t>LINKÖPING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25776-2021</t>
        </is>
      </c>
      <c r="B308" s="1" t="n">
        <v>44343</v>
      </c>
      <c r="C308" s="1" t="n">
        <v>46002</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46002</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51484-2023</t>
        </is>
      </c>
      <c r="B310" s="1" t="n">
        <v>45222</v>
      </c>
      <c r="C310" s="1" t="n">
        <v>46002</v>
      </c>
      <c r="D310" t="inlineStr">
        <is>
          <t>ÖSTERGÖTLANDS LÄN</t>
        </is>
      </c>
      <c r="E310" t="inlineStr">
        <is>
          <t>LINKÖPING</t>
        </is>
      </c>
      <c r="F310" t="inlineStr">
        <is>
          <t>Övriga Aktiebolag</t>
        </is>
      </c>
      <c r="G310" t="n">
        <v>7.7</v>
      </c>
      <c r="H310" t="n">
        <v>0</v>
      </c>
      <c r="I310" t="n">
        <v>0</v>
      </c>
      <c r="J310" t="n">
        <v>0</v>
      </c>
      <c r="K310" t="n">
        <v>0</v>
      </c>
      <c r="L310" t="n">
        <v>0</v>
      </c>
      <c r="M310" t="n">
        <v>0</v>
      </c>
      <c r="N310" t="n">
        <v>0</v>
      </c>
      <c r="O310" t="n">
        <v>0</v>
      </c>
      <c r="P310" t="n">
        <v>0</v>
      </c>
      <c r="Q310" t="n">
        <v>0</v>
      </c>
      <c r="R310" s="2" t="inlineStr"/>
    </row>
    <row r="311" ht="15" customHeight="1">
      <c r="A311" t="inlineStr">
        <is>
          <t>A 17898-2022</t>
        </is>
      </c>
      <c r="B311" s="1" t="n">
        <v>44683</v>
      </c>
      <c r="C311" s="1" t="n">
        <v>46002</v>
      </c>
      <c r="D311" t="inlineStr">
        <is>
          <t>ÖSTERGÖTLANDS LÄN</t>
        </is>
      </c>
      <c r="E311" t="inlineStr">
        <is>
          <t>LINKÖPING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63487-2023</t>
        </is>
      </c>
      <c r="B312" s="1" t="n">
        <v>45274.66712962963</v>
      </c>
      <c r="C312" s="1" t="n">
        <v>46002</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35463-2023</t>
        </is>
      </c>
      <c r="B313" s="1" t="n">
        <v>45146</v>
      </c>
      <c r="C313" s="1" t="n">
        <v>46002</v>
      </c>
      <c r="D313" t="inlineStr">
        <is>
          <t>ÖSTERGÖTLANDS LÄN</t>
        </is>
      </c>
      <c r="E313" t="inlineStr">
        <is>
          <t>LINKÖPING</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46002</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46002</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55632-2022</t>
        </is>
      </c>
      <c r="B316" s="1" t="n">
        <v>44888</v>
      </c>
      <c r="C316" s="1" t="n">
        <v>46002</v>
      </c>
      <c r="D316" t="inlineStr">
        <is>
          <t>ÖSTERGÖTLANDS LÄN</t>
        </is>
      </c>
      <c r="E316" t="inlineStr">
        <is>
          <t>LINKÖPING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63559-2023</t>
        </is>
      </c>
      <c r="B317" s="1" t="n">
        <v>45275.35924768518</v>
      </c>
      <c r="C317" s="1" t="n">
        <v>46002</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58114-2021</t>
        </is>
      </c>
      <c r="B318" s="1" t="n">
        <v>44487</v>
      </c>
      <c r="C318" s="1" t="n">
        <v>46002</v>
      </c>
      <c r="D318" t="inlineStr">
        <is>
          <t>ÖSTERGÖTLANDS LÄN</t>
        </is>
      </c>
      <c r="E318" t="inlineStr">
        <is>
          <t>LINKÖPING</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44170-2025</t>
        </is>
      </c>
      <c r="B319" s="1" t="n">
        <v>45915.59864583334</v>
      </c>
      <c r="C319" s="1" t="n">
        <v>46002</v>
      </c>
      <c r="D319" t="inlineStr">
        <is>
          <t>ÖSTERGÖTLANDS LÄN</t>
        </is>
      </c>
      <c r="E319" t="inlineStr">
        <is>
          <t>LINKÖPING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43755-2025</t>
        </is>
      </c>
      <c r="B320" s="1" t="n">
        <v>45912.47329861111</v>
      </c>
      <c r="C320" s="1" t="n">
        <v>46002</v>
      </c>
      <c r="D320" t="inlineStr">
        <is>
          <t>ÖSTERGÖTLANDS LÄN</t>
        </is>
      </c>
      <c r="E320" t="inlineStr">
        <is>
          <t>LINKÖPING</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31581-2025</t>
        </is>
      </c>
      <c r="B321" s="1" t="n">
        <v>45833.6840162037</v>
      </c>
      <c r="C321" s="1" t="n">
        <v>46002</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31585-2025</t>
        </is>
      </c>
      <c r="B322" s="1" t="n">
        <v>45833.68815972222</v>
      </c>
      <c r="C322" s="1" t="n">
        <v>46002</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43758-2025</t>
        </is>
      </c>
      <c r="B323" s="1" t="n">
        <v>45912.47711805555</v>
      </c>
      <c r="C323" s="1" t="n">
        <v>46002</v>
      </c>
      <c r="D323" t="inlineStr">
        <is>
          <t>ÖSTERGÖTLANDS LÄN</t>
        </is>
      </c>
      <c r="E323" t="inlineStr">
        <is>
          <t>LINKÖPING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43753-2025</t>
        </is>
      </c>
      <c r="B324" s="1" t="n">
        <v>45912.4715625</v>
      </c>
      <c r="C324" s="1" t="n">
        <v>46002</v>
      </c>
      <c r="D324" t="inlineStr">
        <is>
          <t>ÖSTERGÖTLANDS LÄN</t>
        </is>
      </c>
      <c r="E324" t="inlineStr">
        <is>
          <t>LINKÖPING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55944-2024</t>
        </is>
      </c>
      <c r="B325" s="1" t="n">
        <v>45623.61640046296</v>
      </c>
      <c r="C325" s="1" t="n">
        <v>46002</v>
      </c>
      <c r="D325" t="inlineStr">
        <is>
          <t>ÖSTERGÖTLANDS LÄN</t>
        </is>
      </c>
      <c r="E325" t="inlineStr">
        <is>
          <t>LINKÖPING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55947-2024</t>
        </is>
      </c>
      <c r="B326" s="1" t="n">
        <v>45623</v>
      </c>
      <c r="C326" s="1" t="n">
        <v>46002</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3374-2023</t>
        </is>
      </c>
      <c r="B327" s="1" t="n">
        <v>44949</v>
      </c>
      <c r="C327" s="1" t="n">
        <v>46002</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24151-2024</t>
        </is>
      </c>
      <c r="B328" s="1" t="n">
        <v>45456.67717592593</v>
      </c>
      <c r="C328" s="1" t="n">
        <v>46002</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44759-2025</t>
        </is>
      </c>
      <c r="B329" s="1" t="n">
        <v>45917.7152662037</v>
      </c>
      <c r="C329" s="1" t="n">
        <v>46002</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67123-2020</t>
        </is>
      </c>
      <c r="B330" s="1" t="n">
        <v>44180</v>
      </c>
      <c r="C330" s="1" t="n">
        <v>46002</v>
      </c>
      <c r="D330" t="inlineStr">
        <is>
          <t>ÖSTERGÖTLANDS LÄN</t>
        </is>
      </c>
      <c r="E330" t="inlineStr">
        <is>
          <t>LINKÖPING</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44764-2025</t>
        </is>
      </c>
      <c r="B331" s="1" t="n">
        <v>45917.72821759259</v>
      </c>
      <c r="C331" s="1" t="n">
        <v>46002</v>
      </c>
      <c r="D331" t="inlineStr">
        <is>
          <t>ÖSTERGÖTLANDS LÄN</t>
        </is>
      </c>
      <c r="E331" t="inlineStr">
        <is>
          <t>LINKÖPING</t>
        </is>
      </c>
      <c r="G331" t="n">
        <v>0.9</v>
      </c>
      <c r="H331" t="n">
        <v>0</v>
      </c>
      <c r="I331" t="n">
        <v>0</v>
      </c>
      <c r="J331" t="n">
        <v>0</v>
      </c>
      <c r="K331" t="n">
        <v>0</v>
      </c>
      <c r="L331" t="n">
        <v>0</v>
      </c>
      <c r="M331" t="n">
        <v>0</v>
      </c>
      <c r="N331" t="n">
        <v>0</v>
      </c>
      <c r="O331" t="n">
        <v>0</v>
      </c>
      <c r="P331" t="n">
        <v>0</v>
      </c>
      <c r="Q331" t="n">
        <v>0</v>
      </c>
      <c r="R331" s="2" t="inlineStr"/>
    </row>
    <row r="332" ht="15" customHeight="1">
      <c r="A332" t="inlineStr">
        <is>
          <t>A 14576-2023</t>
        </is>
      </c>
      <c r="B332" s="1" t="n">
        <v>45013</v>
      </c>
      <c r="C332" s="1" t="n">
        <v>46002</v>
      </c>
      <c r="D332" t="inlineStr">
        <is>
          <t>ÖSTERGÖTLANDS LÄN</t>
        </is>
      </c>
      <c r="E332" t="inlineStr">
        <is>
          <t>LINKÖPING</t>
        </is>
      </c>
      <c r="G332" t="n">
        <v>3.2</v>
      </c>
      <c r="H332" t="n">
        <v>0</v>
      </c>
      <c r="I332" t="n">
        <v>0</v>
      </c>
      <c r="J332" t="n">
        <v>0</v>
      </c>
      <c r="K332" t="n">
        <v>0</v>
      </c>
      <c r="L332" t="n">
        <v>0</v>
      </c>
      <c r="M332" t="n">
        <v>0</v>
      </c>
      <c r="N332" t="n">
        <v>0</v>
      </c>
      <c r="O332" t="n">
        <v>0</v>
      </c>
      <c r="P332" t="n">
        <v>0</v>
      </c>
      <c r="Q332" t="n">
        <v>0</v>
      </c>
      <c r="R332" s="2" t="inlineStr"/>
    </row>
    <row r="333" ht="15" customHeight="1">
      <c r="A333" t="inlineStr">
        <is>
          <t>A 45112-2025</t>
        </is>
      </c>
      <c r="B333" s="1" t="n">
        <v>45919</v>
      </c>
      <c r="C333" s="1" t="n">
        <v>46002</v>
      </c>
      <c r="D333" t="inlineStr">
        <is>
          <t>ÖSTERGÖTLANDS LÄN</t>
        </is>
      </c>
      <c r="E333" t="inlineStr">
        <is>
          <t>LINKÖPING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74160-2021</t>
        </is>
      </c>
      <c r="B334" s="1" t="n">
        <v>44558</v>
      </c>
      <c r="C334" s="1" t="n">
        <v>46002</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32723-2025</t>
        </is>
      </c>
      <c r="B335" s="1" t="n">
        <v>45838</v>
      </c>
      <c r="C335" s="1" t="n">
        <v>46002</v>
      </c>
      <c r="D335" t="inlineStr">
        <is>
          <t>ÖSTERGÖTLANDS LÄN</t>
        </is>
      </c>
      <c r="E335" t="inlineStr">
        <is>
          <t>LINKÖPING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45634-2025</t>
        </is>
      </c>
      <c r="B336" s="1" t="n">
        <v>45922.85089120371</v>
      </c>
      <c r="C336" s="1" t="n">
        <v>46002</v>
      </c>
      <c r="D336" t="inlineStr">
        <is>
          <t>ÖSTERGÖTLANDS LÄN</t>
        </is>
      </c>
      <c r="E336" t="inlineStr">
        <is>
          <t>LINKÖPING</t>
        </is>
      </c>
      <c r="F336" t="inlineStr">
        <is>
          <t>Övriga Aktiebolag</t>
        </is>
      </c>
      <c r="G336" t="n">
        <v>0.3</v>
      </c>
      <c r="H336" t="n">
        <v>0</v>
      </c>
      <c r="I336" t="n">
        <v>0</v>
      </c>
      <c r="J336" t="n">
        <v>0</v>
      </c>
      <c r="K336" t="n">
        <v>0</v>
      </c>
      <c r="L336" t="n">
        <v>0</v>
      </c>
      <c r="M336" t="n">
        <v>0</v>
      </c>
      <c r="N336" t="n">
        <v>0</v>
      </c>
      <c r="O336" t="n">
        <v>0</v>
      </c>
      <c r="P336" t="n">
        <v>0</v>
      </c>
      <c r="Q336" t="n">
        <v>0</v>
      </c>
      <c r="R336" s="2" t="inlineStr"/>
    </row>
    <row r="337" ht="15" customHeight="1">
      <c r="A337" t="inlineStr">
        <is>
          <t>A 27766-2022</t>
        </is>
      </c>
      <c r="B337" s="1" t="n">
        <v>44743.53112268518</v>
      </c>
      <c r="C337" s="1" t="n">
        <v>46002</v>
      </c>
      <c r="D337" t="inlineStr">
        <is>
          <t>ÖSTERGÖTLANDS LÄN</t>
        </is>
      </c>
      <c r="E337" t="inlineStr">
        <is>
          <t>LINKÖPING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53641-2023</t>
        </is>
      </c>
      <c r="B338" s="1" t="n">
        <v>45230</v>
      </c>
      <c r="C338" s="1" t="n">
        <v>46002</v>
      </c>
      <c r="D338" t="inlineStr">
        <is>
          <t>ÖSTERGÖTLANDS LÄN</t>
        </is>
      </c>
      <c r="E338" t="inlineStr">
        <is>
          <t>LINKÖPING</t>
        </is>
      </c>
      <c r="G338" t="n">
        <v>1.7</v>
      </c>
      <c r="H338" t="n">
        <v>0</v>
      </c>
      <c r="I338" t="n">
        <v>0</v>
      </c>
      <c r="J338" t="n">
        <v>0</v>
      </c>
      <c r="K338" t="n">
        <v>0</v>
      </c>
      <c r="L338" t="n">
        <v>0</v>
      </c>
      <c r="M338" t="n">
        <v>0</v>
      </c>
      <c r="N338" t="n">
        <v>0</v>
      </c>
      <c r="O338" t="n">
        <v>0</v>
      </c>
      <c r="P338" t="n">
        <v>0</v>
      </c>
      <c r="Q338" t="n">
        <v>0</v>
      </c>
      <c r="R338" s="2" t="inlineStr"/>
    </row>
    <row r="339" ht="15" customHeight="1">
      <c r="A339" t="inlineStr">
        <is>
          <t>A 33000-2023</t>
        </is>
      </c>
      <c r="B339" s="1" t="n">
        <v>45125</v>
      </c>
      <c r="C339" s="1" t="n">
        <v>46002</v>
      </c>
      <c r="D339" t="inlineStr">
        <is>
          <t>ÖSTERGÖTLANDS LÄN</t>
        </is>
      </c>
      <c r="E339" t="inlineStr">
        <is>
          <t>LINKÖPING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52892-2024</t>
        </is>
      </c>
      <c r="B340" s="1" t="n">
        <v>45610</v>
      </c>
      <c r="C340" s="1" t="n">
        <v>46002</v>
      </c>
      <c r="D340" t="inlineStr">
        <is>
          <t>ÖSTERGÖTLANDS LÄN</t>
        </is>
      </c>
      <c r="E340" t="inlineStr">
        <is>
          <t>LINKÖPING</t>
        </is>
      </c>
      <c r="G340" t="n">
        <v>4.2</v>
      </c>
      <c r="H340" t="n">
        <v>0</v>
      </c>
      <c r="I340" t="n">
        <v>0</v>
      </c>
      <c r="J340" t="n">
        <v>0</v>
      </c>
      <c r="K340" t="n">
        <v>0</v>
      </c>
      <c r="L340" t="n">
        <v>0</v>
      </c>
      <c r="M340" t="n">
        <v>0</v>
      </c>
      <c r="N340" t="n">
        <v>0</v>
      </c>
      <c r="O340" t="n">
        <v>0</v>
      </c>
      <c r="P340" t="n">
        <v>0</v>
      </c>
      <c r="Q340" t="n">
        <v>0</v>
      </c>
      <c r="R340" s="2" t="inlineStr"/>
    </row>
    <row r="341" ht="15" customHeight="1">
      <c r="A341" t="inlineStr">
        <is>
          <t>A 30521-2024</t>
        </is>
      </c>
      <c r="B341" s="1" t="n">
        <v>45492</v>
      </c>
      <c r="C341" s="1" t="n">
        <v>46002</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51191-2022</t>
        </is>
      </c>
      <c r="B342" s="1" t="n">
        <v>44865</v>
      </c>
      <c r="C342" s="1" t="n">
        <v>46002</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33947-2025</t>
        </is>
      </c>
      <c r="B343" s="1" t="n">
        <v>45842.65444444444</v>
      </c>
      <c r="C343" s="1" t="n">
        <v>46002</v>
      </c>
      <c r="D343" t="inlineStr">
        <is>
          <t>ÖSTERGÖTLANDS LÄN</t>
        </is>
      </c>
      <c r="E343" t="inlineStr">
        <is>
          <t>LINKÖPING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53529-2024</t>
        </is>
      </c>
      <c r="B344" s="1" t="n">
        <v>45614</v>
      </c>
      <c r="C344" s="1" t="n">
        <v>46002</v>
      </c>
      <c r="D344" t="inlineStr">
        <is>
          <t>ÖSTERGÖTLANDS LÄN</t>
        </is>
      </c>
      <c r="E344" t="inlineStr">
        <is>
          <t>LINKÖPING</t>
        </is>
      </c>
      <c r="G344" t="n">
        <v>6.7</v>
      </c>
      <c r="H344" t="n">
        <v>0</v>
      </c>
      <c r="I344" t="n">
        <v>0</v>
      </c>
      <c r="J344" t="n">
        <v>0</v>
      </c>
      <c r="K344" t="n">
        <v>0</v>
      </c>
      <c r="L344" t="n">
        <v>0</v>
      </c>
      <c r="M344" t="n">
        <v>0</v>
      </c>
      <c r="N344" t="n">
        <v>0</v>
      </c>
      <c r="O344" t="n">
        <v>0</v>
      </c>
      <c r="P344" t="n">
        <v>0</v>
      </c>
      <c r="Q344" t="n">
        <v>0</v>
      </c>
      <c r="R344" s="2" t="inlineStr"/>
    </row>
    <row r="345" ht="15" customHeight="1">
      <c r="A345" t="inlineStr">
        <is>
          <t>A 54333-2025</t>
        </is>
      </c>
      <c r="B345" s="1" t="n">
        <v>45965.35090277778</v>
      </c>
      <c r="C345" s="1" t="n">
        <v>46002</v>
      </c>
      <c r="D345" t="inlineStr">
        <is>
          <t>ÖSTERGÖTLANDS LÄN</t>
        </is>
      </c>
      <c r="E345" t="inlineStr">
        <is>
          <t>LINKÖPING</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62012-2024</t>
        </is>
      </c>
      <c r="B346" s="1" t="n">
        <v>45655.79679398148</v>
      </c>
      <c r="C346" s="1" t="n">
        <v>46002</v>
      </c>
      <c r="D346" t="inlineStr">
        <is>
          <t>ÖSTERGÖTLANDS LÄN</t>
        </is>
      </c>
      <c r="E346" t="inlineStr">
        <is>
          <t>LINKÖPING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45792-2025</t>
        </is>
      </c>
      <c r="B347" s="1" t="n">
        <v>45923.56998842592</v>
      </c>
      <c r="C347" s="1" t="n">
        <v>46002</v>
      </c>
      <c r="D347" t="inlineStr">
        <is>
          <t>ÖSTERGÖTLANDS LÄN</t>
        </is>
      </c>
      <c r="E347" t="inlineStr">
        <is>
          <t>LINKÖPING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45804-2025</t>
        </is>
      </c>
      <c r="B348" s="1" t="n">
        <v>45923.5819675926</v>
      </c>
      <c r="C348" s="1" t="n">
        <v>46002</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46426-2025</t>
        </is>
      </c>
      <c r="B349" s="1" t="n">
        <v>45925.6012962963</v>
      </c>
      <c r="C349" s="1" t="n">
        <v>46002</v>
      </c>
      <c r="D349" t="inlineStr">
        <is>
          <t>ÖSTERGÖTLANDS LÄN</t>
        </is>
      </c>
      <c r="E349" t="inlineStr">
        <is>
          <t>LINKÖPING</t>
        </is>
      </c>
      <c r="G349" t="n">
        <v>4.4</v>
      </c>
      <c r="H349" t="n">
        <v>0</v>
      </c>
      <c r="I349" t="n">
        <v>0</v>
      </c>
      <c r="J349" t="n">
        <v>0</v>
      </c>
      <c r="K349" t="n">
        <v>0</v>
      </c>
      <c r="L349" t="n">
        <v>0</v>
      </c>
      <c r="M349" t="n">
        <v>0</v>
      </c>
      <c r="N349" t="n">
        <v>0</v>
      </c>
      <c r="O349" t="n">
        <v>0</v>
      </c>
      <c r="P349" t="n">
        <v>0</v>
      </c>
      <c r="Q349" t="n">
        <v>0</v>
      </c>
      <c r="R349" s="2" t="inlineStr"/>
    </row>
    <row r="350" ht="15" customHeight="1">
      <c r="A350" t="inlineStr">
        <is>
          <t>A 12289-2025</t>
        </is>
      </c>
      <c r="B350" s="1" t="n">
        <v>45729</v>
      </c>
      <c r="C350" s="1" t="n">
        <v>46002</v>
      </c>
      <c r="D350" t="inlineStr">
        <is>
          <t>ÖSTERGÖTLANDS LÄN</t>
        </is>
      </c>
      <c r="E350" t="inlineStr">
        <is>
          <t>LINKÖPING</t>
        </is>
      </c>
      <c r="F350" t="inlineStr">
        <is>
          <t>Övriga statliga verk och myndigheter</t>
        </is>
      </c>
      <c r="G350" t="n">
        <v>6.5</v>
      </c>
      <c r="H350" t="n">
        <v>0</v>
      </c>
      <c r="I350" t="n">
        <v>0</v>
      </c>
      <c r="J350" t="n">
        <v>0</v>
      </c>
      <c r="K350" t="n">
        <v>0</v>
      </c>
      <c r="L350" t="n">
        <v>0</v>
      </c>
      <c r="M350" t="n">
        <v>0</v>
      </c>
      <c r="N350" t="n">
        <v>0</v>
      </c>
      <c r="O350" t="n">
        <v>0</v>
      </c>
      <c r="P350" t="n">
        <v>0</v>
      </c>
      <c r="Q350" t="n">
        <v>0</v>
      </c>
      <c r="R350" s="2" t="inlineStr"/>
    </row>
    <row r="351" ht="15" customHeight="1">
      <c r="A351" t="inlineStr">
        <is>
          <t>A 20469-2025</t>
        </is>
      </c>
      <c r="B351" s="1" t="n">
        <v>45775</v>
      </c>
      <c r="C351" s="1" t="n">
        <v>46002</v>
      </c>
      <c r="D351" t="inlineStr">
        <is>
          <t>ÖSTERGÖTLANDS LÄN</t>
        </is>
      </c>
      <c r="E351" t="inlineStr">
        <is>
          <t>LINKÖPING</t>
        </is>
      </c>
      <c r="F351" t="inlineStr">
        <is>
          <t>Kyrkan</t>
        </is>
      </c>
      <c r="G351" t="n">
        <v>6.1</v>
      </c>
      <c r="H351" t="n">
        <v>0</v>
      </c>
      <c r="I351" t="n">
        <v>0</v>
      </c>
      <c r="J351" t="n">
        <v>0</v>
      </c>
      <c r="K351" t="n">
        <v>0</v>
      </c>
      <c r="L351" t="n">
        <v>0</v>
      </c>
      <c r="M351" t="n">
        <v>0</v>
      </c>
      <c r="N351" t="n">
        <v>0</v>
      </c>
      <c r="O351" t="n">
        <v>0</v>
      </c>
      <c r="P351" t="n">
        <v>0</v>
      </c>
      <c r="Q351" t="n">
        <v>0</v>
      </c>
      <c r="R351" s="2" t="inlineStr"/>
    </row>
    <row r="352" ht="15" customHeight="1">
      <c r="A352" t="inlineStr">
        <is>
          <t>A 9434-2024</t>
        </is>
      </c>
      <c r="B352" s="1" t="n">
        <v>45359</v>
      </c>
      <c r="C352" s="1" t="n">
        <v>46002</v>
      </c>
      <c r="D352" t="inlineStr">
        <is>
          <t>ÖSTERGÖTLANDS LÄN</t>
        </is>
      </c>
      <c r="E352" t="inlineStr">
        <is>
          <t>LINKÖPING</t>
        </is>
      </c>
      <c r="G352" t="n">
        <v>1.2</v>
      </c>
      <c r="H352" t="n">
        <v>0</v>
      </c>
      <c r="I352" t="n">
        <v>0</v>
      </c>
      <c r="J352" t="n">
        <v>0</v>
      </c>
      <c r="K352" t="n">
        <v>0</v>
      </c>
      <c r="L352" t="n">
        <v>0</v>
      </c>
      <c r="M352" t="n">
        <v>0</v>
      </c>
      <c r="N352" t="n">
        <v>0</v>
      </c>
      <c r="O352" t="n">
        <v>0</v>
      </c>
      <c r="P352" t="n">
        <v>0</v>
      </c>
      <c r="Q352" t="n">
        <v>0</v>
      </c>
      <c r="R352" s="2" t="inlineStr"/>
    </row>
    <row r="353" ht="15" customHeight="1">
      <c r="A353" t="inlineStr">
        <is>
          <t>A 42054-2022</t>
        </is>
      </c>
      <c r="B353" s="1" t="n">
        <v>44830</v>
      </c>
      <c r="C353" s="1" t="n">
        <v>46002</v>
      </c>
      <c r="D353" t="inlineStr">
        <is>
          <t>ÖSTERGÖTLANDS LÄN</t>
        </is>
      </c>
      <c r="E353" t="inlineStr">
        <is>
          <t>LINKÖPING</t>
        </is>
      </c>
      <c r="G353" t="n">
        <v>1.7</v>
      </c>
      <c r="H353" t="n">
        <v>0</v>
      </c>
      <c r="I353" t="n">
        <v>0</v>
      </c>
      <c r="J353" t="n">
        <v>0</v>
      </c>
      <c r="K353" t="n">
        <v>0</v>
      </c>
      <c r="L353" t="n">
        <v>0</v>
      </c>
      <c r="M353" t="n">
        <v>0</v>
      </c>
      <c r="N353" t="n">
        <v>0</v>
      </c>
      <c r="O353" t="n">
        <v>0</v>
      </c>
      <c r="P353" t="n">
        <v>0</v>
      </c>
      <c r="Q353" t="n">
        <v>0</v>
      </c>
      <c r="R353" s="2" t="inlineStr"/>
    </row>
    <row r="354" ht="15" customHeight="1">
      <c r="A354" t="inlineStr">
        <is>
          <t>A 46428-2025</t>
        </is>
      </c>
      <c r="B354" s="1" t="n">
        <v>45925.60758101852</v>
      </c>
      <c r="C354" s="1" t="n">
        <v>46002</v>
      </c>
      <c r="D354" t="inlineStr">
        <is>
          <t>ÖSTERGÖTLANDS LÄN</t>
        </is>
      </c>
      <c r="E354" t="inlineStr">
        <is>
          <t>LINKÖPING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50182-2023</t>
        </is>
      </c>
      <c r="B355" s="1" t="n">
        <v>45208</v>
      </c>
      <c r="C355" s="1" t="n">
        <v>46002</v>
      </c>
      <c r="D355" t="inlineStr">
        <is>
          <t>ÖSTERGÖTLANDS LÄN</t>
        </is>
      </c>
      <c r="E355" t="inlineStr">
        <is>
          <t>LINKÖPING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33800-2023</t>
        </is>
      </c>
      <c r="B356" s="1" t="n">
        <v>45121</v>
      </c>
      <c r="C356" s="1" t="n">
        <v>46002</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35781-2023</t>
        </is>
      </c>
      <c r="B357" s="1" t="n">
        <v>45147</v>
      </c>
      <c r="C357" s="1" t="n">
        <v>46002</v>
      </c>
      <c r="D357" t="inlineStr">
        <is>
          <t>ÖSTERGÖTLANDS LÄN</t>
        </is>
      </c>
      <c r="E357" t="inlineStr">
        <is>
          <t>LINKÖPING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26007-2025</t>
        </is>
      </c>
      <c r="B358" s="1" t="n">
        <v>45804.67081018518</v>
      </c>
      <c r="C358" s="1" t="n">
        <v>46002</v>
      </c>
      <c r="D358" t="inlineStr">
        <is>
          <t>ÖSTERGÖTLANDS LÄN</t>
        </is>
      </c>
      <c r="E358" t="inlineStr">
        <is>
          <t>LINKÖPING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35174-2025</t>
        </is>
      </c>
      <c r="B359" s="1" t="n">
        <v>45852.90648148148</v>
      </c>
      <c r="C359" s="1" t="n">
        <v>46002</v>
      </c>
      <c r="D359" t="inlineStr">
        <is>
          <t>ÖSTERGÖTLANDS LÄN</t>
        </is>
      </c>
      <c r="E359" t="inlineStr">
        <is>
          <t>LINKÖPING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47991-2023</t>
        </is>
      </c>
      <c r="B360" s="1" t="n">
        <v>45204.62655092592</v>
      </c>
      <c r="C360" s="1" t="n">
        <v>46002</v>
      </c>
      <c r="D360" t="inlineStr">
        <is>
          <t>ÖSTERGÖTLANDS LÄN</t>
        </is>
      </c>
      <c r="E360" t="inlineStr">
        <is>
          <t>LINKÖPING</t>
        </is>
      </c>
      <c r="F360" t="inlineStr">
        <is>
          <t>Allmännings- och besparingsskogar</t>
        </is>
      </c>
      <c r="G360" t="n">
        <v>7.3</v>
      </c>
      <c r="H360" t="n">
        <v>0</v>
      </c>
      <c r="I360" t="n">
        <v>0</v>
      </c>
      <c r="J360" t="n">
        <v>0</v>
      </c>
      <c r="K360" t="n">
        <v>0</v>
      </c>
      <c r="L360" t="n">
        <v>0</v>
      </c>
      <c r="M360" t="n">
        <v>0</v>
      </c>
      <c r="N360" t="n">
        <v>0</v>
      </c>
      <c r="O360" t="n">
        <v>0</v>
      </c>
      <c r="P360" t="n">
        <v>0</v>
      </c>
      <c r="Q360" t="n">
        <v>0</v>
      </c>
      <c r="R360" s="2" t="inlineStr"/>
    </row>
    <row r="361" ht="15" customHeight="1">
      <c r="A361" t="inlineStr">
        <is>
          <t>A 35179-2025</t>
        </is>
      </c>
      <c r="B361" s="1" t="n">
        <v>45852.93737268518</v>
      </c>
      <c r="C361" s="1" t="n">
        <v>46002</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35180-2025</t>
        </is>
      </c>
      <c r="B362" s="1" t="n">
        <v>45852.9413425926</v>
      </c>
      <c r="C362" s="1" t="n">
        <v>46002</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46377-2025</t>
        </is>
      </c>
      <c r="B363" s="1" t="n">
        <v>45925.51773148148</v>
      </c>
      <c r="C363" s="1" t="n">
        <v>46002</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35178-2025</t>
        </is>
      </c>
      <c r="B364" s="1" t="n">
        <v>45852.91939814815</v>
      </c>
      <c r="C364" s="1" t="n">
        <v>46002</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6387-2022</t>
        </is>
      </c>
      <c r="B365" s="1" t="n">
        <v>44600</v>
      </c>
      <c r="C365" s="1" t="n">
        <v>46002</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48707-2023</t>
        </is>
      </c>
      <c r="B366" s="1" t="n">
        <v>45202</v>
      </c>
      <c r="C366" s="1" t="n">
        <v>46002</v>
      </c>
      <c r="D366" t="inlineStr">
        <is>
          <t>ÖSTERGÖTLANDS LÄN</t>
        </is>
      </c>
      <c r="E366" t="inlineStr">
        <is>
          <t>LINKÖPING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55132-2025</t>
        </is>
      </c>
      <c r="B367" s="1" t="n">
        <v>45968.41912037037</v>
      </c>
      <c r="C367" s="1" t="n">
        <v>46002</v>
      </c>
      <c r="D367" t="inlineStr">
        <is>
          <t>ÖSTERGÖTLANDS LÄN</t>
        </is>
      </c>
      <c r="E367" t="inlineStr">
        <is>
          <t>LINKÖPING</t>
        </is>
      </c>
      <c r="G367" t="n">
        <v>2.4</v>
      </c>
      <c r="H367" t="n">
        <v>0</v>
      </c>
      <c r="I367" t="n">
        <v>0</v>
      </c>
      <c r="J367" t="n">
        <v>0</v>
      </c>
      <c r="K367" t="n">
        <v>0</v>
      </c>
      <c r="L367" t="n">
        <v>0</v>
      </c>
      <c r="M367" t="n">
        <v>0</v>
      </c>
      <c r="N367" t="n">
        <v>0</v>
      </c>
      <c r="O367" t="n">
        <v>0</v>
      </c>
      <c r="P367" t="n">
        <v>0</v>
      </c>
      <c r="Q367" t="n">
        <v>0</v>
      </c>
      <c r="R367" s="2" t="inlineStr"/>
    </row>
    <row r="368" ht="15" customHeight="1">
      <c r="A368" t="inlineStr">
        <is>
          <t>A 35757-2025</t>
        </is>
      </c>
      <c r="B368" s="1" t="n">
        <v>45860.59876157407</v>
      </c>
      <c r="C368" s="1" t="n">
        <v>46002</v>
      </c>
      <c r="D368" t="inlineStr">
        <is>
          <t>ÖSTERGÖTLANDS LÄN</t>
        </is>
      </c>
      <c r="E368" t="inlineStr">
        <is>
          <t>LINKÖPING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12089-2025</t>
        </is>
      </c>
      <c r="B369" s="1" t="n">
        <v>45729</v>
      </c>
      <c r="C369" s="1" t="n">
        <v>46002</v>
      </c>
      <c r="D369" t="inlineStr">
        <is>
          <t>ÖSTERGÖTLANDS LÄN</t>
        </is>
      </c>
      <c r="E369" t="inlineStr">
        <is>
          <t>LINKÖPING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35745-2025</t>
        </is>
      </c>
      <c r="B370" s="1" t="n">
        <v>45860.54739583333</v>
      </c>
      <c r="C370" s="1" t="n">
        <v>46002</v>
      </c>
      <c r="D370" t="inlineStr">
        <is>
          <t>ÖSTERGÖTLANDS LÄN</t>
        </is>
      </c>
      <c r="E370" t="inlineStr">
        <is>
          <t>LINKÖPING</t>
        </is>
      </c>
      <c r="G370" t="n">
        <v>4.4</v>
      </c>
      <c r="H370" t="n">
        <v>0</v>
      </c>
      <c r="I370" t="n">
        <v>0</v>
      </c>
      <c r="J370" t="n">
        <v>0</v>
      </c>
      <c r="K370" t="n">
        <v>0</v>
      </c>
      <c r="L370" t="n">
        <v>0</v>
      </c>
      <c r="M370" t="n">
        <v>0</v>
      </c>
      <c r="N370" t="n">
        <v>0</v>
      </c>
      <c r="O370" t="n">
        <v>0</v>
      </c>
      <c r="P370" t="n">
        <v>0</v>
      </c>
      <c r="Q370" t="n">
        <v>0</v>
      </c>
      <c r="R370" s="2" t="inlineStr"/>
    </row>
    <row r="371" ht="15" customHeight="1">
      <c r="A371" t="inlineStr">
        <is>
          <t>A 55102-2025</t>
        </is>
      </c>
      <c r="B371" s="1" t="n">
        <v>45968.35410879629</v>
      </c>
      <c r="C371" s="1" t="n">
        <v>46002</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35747-2025</t>
        </is>
      </c>
      <c r="B372" s="1" t="n">
        <v>45860.56385416666</v>
      </c>
      <c r="C372" s="1" t="n">
        <v>46002</v>
      </c>
      <c r="D372" t="inlineStr">
        <is>
          <t>ÖSTERGÖTLANDS LÄN</t>
        </is>
      </c>
      <c r="E372" t="inlineStr">
        <is>
          <t>LINKÖPING</t>
        </is>
      </c>
      <c r="G372" t="n">
        <v>2.4</v>
      </c>
      <c r="H372" t="n">
        <v>0</v>
      </c>
      <c r="I372" t="n">
        <v>0</v>
      </c>
      <c r="J372" t="n">
        <v>0</v>
      </c>
      <c r="K372" t="n">
        <v>0</v>
      </c>
      <c r="L372" t="n">
        <v>0</v>
      </c>
      <c r="M372" t="n">
        <v>0</v>
      </c>
      <c r="N372" t="n">
        <v>0</v>
      </c>
      <c r="O372" t="n">
        <v>0</v>
      </c>
      <c r="P372" t="n">
        <v>0</v>
      </c>
      <c r="Q372" t="n">
        <v>0</v>
      </c>
      <c r="R372" s="2" t="inlineStr"/>
    </row>
    <row r="373" ht="15" customHeight="1">
      <c r="A373" t="inlineStr">
        <is>
          <t>A 55109-2025</t>
        </is>
      </c>
      <c r="B373" s="1" t="n">
        <v>45968.37731481482</v>
      </c>
      <c r="C373" s="1" t="n">
        <v>46002</v>
      </c>
      <c r="D373" t="inlineStr">
        <is>
          <t>ÖSTERGÖTLANDS LÄN</t>
        </is>
      </c>
      <c r="E373" t="inlineStr">
        <is>
          <t>LINKÖPING</t>
        </is>
      </c>
      <c r="G373" t="n">
        <v>3.2</v>
      </c>
      <c r="H373" t="n">
        <v>0</v>
      </c>
      <c r="I373" t="n">
        <v>0</v>
      </c>
      <c r="J373" t="n">
        <v>0</v>
      </c>
      <c r="K373" t="n">
        <v>0</v>
      </c>
      <c r="L373" t="n">
        <v>0</v>
      </c>
      <c r="M373" t="n">
        <v>0</v>
      </c>
      <c r="N373" t="n">
        <v>0</v>
      </c>
      <c r="O373" t="n">
        <v>0</v>
      </c>
      <c r="P373" t="n">
        <v>0</v>
      </c>
      <c r="Q373" t="n">
        <v>0</v>
      </c>
      <c r="R373" s="2" t="inlineStr"/>
    </row>
    <row r="374" ht="15" customHeight="1">
      <c r="A374" t="inlineStr">
        <is>
          <t>A 15658-2023</t>
        </is>
      </c>
      <c r="B374" s="1" t="n">
        <v>45021.41194444444</v>
      </c>
      <c r="C374" s="1" t="n">
        <v>46002</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55165-2025</t>
        </is>
      </c>
      <c r="B375" s="1" t="n">
        <v>45968.48194444444</v>
      </c>
      <c r="C375" s="1" t="n">
        <v>46002</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35759-2025</t>
        </is>
      </c>
      <c r="B376" s="1" t="n">
        <v>45860</v>
      </c>
      <c r="C376" s="1" t="n">
        <v>46002</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46847-2025</t>
        </is>
      </c>
      <c r="B377" s="1" t="n">
        <v>45928.69971064815</v>
      </c>
      <c r="C377" s="1" t="n">
        <v>46002</v>
      </c>
      <c r="D377" t="inlineStr">
        <is>
          <t>ÖSTERGÖTLANDS LÄN</t>
        </is>
      </c>
      <c r="E377" t="inlineStr">
        <is>
          <t>LINKÖPING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38886-2024</t>
        </is>
      </c>
      <c r="B378" s="1" t="n">
        <v>45547.66443287037</v>
      </c>
      <c r="C378" s="1" t="n">
        <v>46002</v>
      </c>
      <c r="D378" t="inlineStr">
        <is>
          <t>ÖSTERGÖTLANDS LÄN</t>
        </is>
      </c>
      <c r="E378" t="inlineStr">
        <is>
          <t>LINKÖPING</t>
        </is>
      </c>
      <c r="G378" t="n">
        <v>5.3</v>
      </c>
      <c r="H378" t="n">
        <v>0</v>
      </c>
      <c r="I378" t="n">
        <v>0</v>
      </c>
      <c r="J378" t="n">
        <v>0</v>
      </c>
      <c r="K378" t="n">
        <v>0</v>
      </c>
      <c r="L378" t="n">
        <v>0</v>
      </c>
      <c r="M378" t="n">
        <v>0</v>
      </c>
      <c r="N378" t="n">
        <v>0</v>
      </c>
      <c r="O378" t="n">
        <v>0</v>
      </c>
      <c r="P378" t="n">
        <v>0</v>
      </c>
      <c r="Q378" t="n">
        <v>0</v>
      </c>
      <c r="R378" s="2" t="inlineStr"/>
    </row>
    <row r="379" ht="15" customHeight="1">
      <c r="A379" t="inlineStr">
        <is>
          <t>A 51583-2024</t>
        </is>
      </c>
      <c r="B379" s="1" t="n">
        <v>45604.6397337963</v>
      </c>
      <c r="C379" s="1" t="n">
        <v>46002</v>
      </c>
      <c r="D379" t="inlineStr">
        <is>
          <t>ÖSTERGÖTLANDS LÄN</t>
        </is>
      </c>
      <c r="E379" t="inlineStr">
        <is>
          <t>LINKÖPING</t>
        </is>
      </c>
      <c r="F379" t="inlineStr">
        <is>
          <t>Övriga Aktiebolag</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56113-2025</t>
        </is>
      </c>
      <c r="B380" s="1" t="n">
        <v>45973.73924768518</v>
      </c>
      <c r="C380" s="1" t="n">
        <v>46002</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64694-2023</t>
        </is>
      </c>
      <c r="B381" s="1" t="n">
        <v>45281</v>
      </c>
      <c r="C381" s="1" t="n">
        <v>46002</v>
      </c>
      <c r="D381" t="inlineStr">
        <is>
          <t>ÖSTERGÖTLANDS LÄN</t>
        </is>
      </c>
      <c r="E381" t="inlineStr">
        <is>
          <t>LINKÖPING</t>
        </is>
      </c>
      <c r="F381" t="inlineStr">
        <is>
          <t>Övriga statliga verk och myndigheter</t>
        </is>
      </c>
      <c r="G381" t="n">
        <v>4.9</v>
      </c>
      <c r="H381" t="n">
        <v>0</v>
      </c>
      <c r="I381" t="n">
        <v>0</v>
      </c>
      <c r="J381" t="n">
        <v>0</v>
      </c>
      <c r="K381" t="n">
        <v>0</v>
      </c>
      <c r="L381" t="n">
        <v>0</v>
      </c>
      <c r="M381" t="n">
        <v>0</v>
      </c>
      <c r="N381" t="n">
        <v>0</v>
      </c>
      <c r="O381" t="n">
        <v>0</v>
      </c>
      <c r="P381" t="n">
        <v>0</v>
      </c>
      <c r="Q381" t="n">
        <v>0</v>
      </c>
      <c r="R381" s="2" t="inlineStr"/>
    </row>
    <row r="382" ht="15" customHeight="1">
      <c r="A382" t="inlineStr">
        <is>
          <t>A 47233-2025</t>
        </is>
      </c>
      <c r="B382" s="1" t="n">
        <v>45930.40612268518</v>
      </c>
      <c r="C382" s="1" t="n">
        <v>46002</v>
      </c>
      <c r="D382" t="inlineStr">
        <is>
          <t>ÖSTERGÖTLANDS LÄN</t>
        </is>
      </c>
      <c r="E382" t="inlineStr">
        <is>
          <t>LINKÖPING</t>
        </is>
      </c>
      <c r="G382" t="n">
        <v>4.3</v>
      </c>
      <c r="H382" t="n">
        <v>0</v>
      </c>
      <c r="I382" t="n">
        <v>0</v>
      </c>
      <c r="J382" t="n">
        <v>0</v>
      </c>
      <c r="K382" t="n">
        <v>0</v>
      </c>
      <c r="L382" t="n">
        <v>0</v>
      </c>
      <c r="M382" t="n">
        <v>0</v>
      </c>
      <c r="N382" t="n">
        <v>0</v>
      </c>
      <c r="O382" t="n">
        <v>0</v>
      </c>
      <c r="P382" t="n">
        <v>0</v>
      </c>
      <c r="Q382" t="n">
        <v>0</v>
      </c>
      <c r="R382" s="2" t="inlineStr"/>
    </row>
    <row r="383" ht="15" customHeight="1">
      <c r="A383" t="inlineStr">
        <is>
          <t>A 32602-2022</t>
        </is>
      </c>
      <c r="B383" s="1" t="n">
        <v>44783.43192129629</v>
      </c>
      <c r="C383" s="1" t="n">
        <v>46002</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47606-2025</t>
        </is>
      </c>
      <c r="B384" s="1" t="n">
        <v>45931.46402777778</v>
      </c>
      <c r="C384" s="1" t="n">
        <v>46002</v>
      </c>
      <c r="D384" t="inlineStr">
        <is>
          <t>ÖSTERGÖTLANDS LÄN</t>
        </is>
      </c>
      <c r="E384" t="inlineStr">
        <is>
          <t>LINKÖPING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55683-2025</t>
        </is>
      </c>
      <c r="B385" s="1" t="n">
        <v>45972.4255324074</v>
      </c>
      <c r="C385" s="1" t="n">
        <v>46002</v>
      </c>
      <c r="D385" t="inlineStr">
        <is>
          <t>ÖSTERGÖTLANDS LÄN</t>
        </is>
      </c>
      <c r="E385" t="inlineStr">
        <is>
          <t>LINKÖPING</t>
        </is>
      </c>
      <c r="G385" t="n">
        <v>3.3</v>
      </c>
      <c r="H385" t="n">
        <v>0</v>
      </c>
      <c r="I385" t="n">
        <v>0</v>
      </c>
      <c r="J385" t="n">
        <v>0</v>
      </c>
      <c r="K385" t="n">
        <v>0</v>
      </c>
      <c r="L385" t="n">
        <v>0</v>
      </c>
      <c r="M385" t="n">
        <v>0</v>
      </c>
      <c r="N385" t="n">
        <v>0</v>
      </c>
      <c r="O385" t="n">
        <v>0</v>
      </c>
      <c r="P385" t="n">
        <v>0</v>
      </c>
      <c r="Q385" t="n">
        <v>0</v>
      </c>
      <c r="R385" s="2" t="inlineStr"/>
    </row>
    <row r="386" ht="15" customHeight="1">
      <c r="A386" t="inlineStr">
        <is>
          <t>A 47304-2025</t>
        </is>
      </c>
      <c r="B386" s="1" t="n">
        <v>45930.52037037037</v>
      </c>
      <c r="C386" s="1" t="n">
        <v>46002</v>
      </c>
      <c r="D386" t="inlineStr">
        <is>
          <t>ÖSTERGÖTLANDS LÄN</t>
        </is>
      </c>
      <c r="E386" t="inlineStr">
        <is>
          <t>LINKÖPING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56105-2025</t>
        </is>
      </c>
      <c r="B387" s="1" t="n">
        <v>45973.72855324074</v>
      </c>
      <c r="C387" s="1" t="n">
        <v>46002</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62321-2022</t>
        </is>
      </c>
      <c r="B388" s="1" t="n">
        <v>44916</v>
      </c>
      <c r="C388" s="1" t="n">
        <v>46002</v>
      </c>
      <c r="D388" t="inlineStr">
        <is>
          <t>ÖSTERGÖTLANDS LÄN</t>
        </is>
      </c>
      <c r="E388" t="inlineStr">
        <is>
          <t>LINKÖPING</t>
        </is>
      </c>
      <c r="F388" t="inlineStr">
        <is>
          <t>Kommuner</t>
        </is>
      </c>
      <c r="G388" t="n">
        <v>5.3</v>
      </c>
      <c r="H388" t="n">
        <v>0</v>
      </c>
      <c r="I388" t="n">
        <v>0</v>
      </c>
      <c r="J388" t="n">
        <v>0</v>
      </c>
      <c r="K388" t="n">
        <v>0</v>
      </c>
      <c r="L388" t="n">
        <v>0</v>
      </c>
      <c r="M388" t="n">
        <v>0</v>
      </c>
      <c r="N388" t="n">
        <v>0</v>
      </c>
      <c r="O388" t="n">
        <v>0</v>
      </c>
      <c r="P388" t="n">
        <v>0</v>
      </c>
      <c r="Q388" t="n">
        <v>0</v>
      </c>
      <c r="R388" s="2" t="inlineStr"/>
    </row>
    <row r="389" ht="15" customHeight="1">
      <c r="A389" t="inlineStr">
        <is>
          <t>A 1084-2023</t>
        </is>
      </c>
      <c r="B389" s="1" t="n">
        <v>44929</v>
      </c>
      <c r="C389" s="1" t="n">
        <v>46002</v>
      </c>
      <c r="D389" t="inlineStr">
        <is>
          <t>ÖSTERGÖTLANDS LÄN</t>
        </is>
      </c>
      <c r="E389" t="inlineStr">
        <is>
          <t>LINKÖPING</t>
        </is>
      </c>
      <c r="G389" t="n">
        <v>10.4</v>
      </c>
      <c r="H389" t="n">
        <v>0</v>
      </c>
      <c r="I389" t="n">
        <v>0</v>
      </c>
      <c r="J389" t="n">
        <v>0</v>
      </c>
      <c r="K389" t="n">
        <v>0</v>
      </c>
      <c r="L389" t="n">
        <v>0</v>
      </c>
      <c r="M389" t="n">
        <v>0</v>
      </c>
      <c r="N389" t="n">
        <v>0</v>
      </c>
      <c r="O389" t="n">
        <v>0</v>
      </c>
      <c r="P389" t="n">
        <v>0</v>
      </c>
      <c r="Q389" t="n">
        <v>0</v>
      </c>
      <c r="R389" s="2" t="inlineStr"/>
    </row>
    <row r="390" ht="15" customHeight="1">
      <c r="A390" t="inlineStr">
        <is>
          <t>A 267-2023</t>
        </is>
      </c>
      <c r="B390" s="1" t="n">
        <v>44928.80907407407</v>
      </c>
      <c r="C390" s="1" t="n">
        <v>46002</v>
      </c>
      <c r="D390" t="inlineStr">
        <is>
          <t>ÖSTERGÖTLANDS LÄN</t>
        </is>
      </c>
      <c r="E390" t="inlineStr">
        <is>
          <t>LINKÖPING</t>
        </is>
      </c>
      <c r="G390" t="n">
        <v>2.7</v>
      </c>
      <c r="H390" t="n">
        <v>0</v>
      </c>
      <c r="I390" t="n">
        <v>0</v>
      </c>
      <c r="J390" t="n">
        <v>0</v>
      </c>
      <c r="K390" t="n">
        <v>0</v>
      </c>
      <c r="L390" t="n">
        <v>0</v>
      </c>
      <c r="M390" t="n">
        <v>0</v>
      </c>
      <c r="N390" t="n">
        <v>0</v>
      </c>
      <c r="O390" t="n">
        <v>0</v>
      </c>
      <c r="P390" t="n">
        <v>0</v>
      </c>
      <c r="Q390" t="n">
        <v>0</v>
      </c>
      <c r="R390" s="2" t="inlineStr"/>
    </row>
    <row r="391" ht="15" customHeight="1">
      <c r="A391" t="inlineStr">
        <is>
          <t>A 940-2023</t>
        </is>
      </c>
      <c r="B391" s="1" t="n">
        <v>44933</v>
      </c>
      <c r="C391" s="1" t="n">
        <v>46002</v>
      </c>
      <c r="D391" t="inlineStr">
        <is>
          <t>ÖSTERGÖTLANDS LÄN</t>
        </is>
      </c>
      <c r="E391" t="inlineStr">
        <is>
          <t>LINKÖPING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6369-2023</t>
        </is>
      </c>
      <c r="B392" s="1" t="n">
        <v>44965.61106481482</v>
      </c>
      <c r="C392" s="1" t="n">
        <v>46002</v>
      </c>
      <c r="D392" t="inlineStr">
        <is>
          <t>ÖSTERGÖTLANDS LÄN</t>
        </is>
      </c>
      <c r="E392" t="inlineStr">
        <is>
          <t>LINKÖPING</t>
        </is>
      </c>
      <c r="G392" t="n">
        <v>4</v>
      </c>
      <c r="H392" t="n">
        <v>0</v>
      </c>
      <c r="I392" t="n">
        <v>0</v>
      </c>
      <c r="J392" t="n">
        <v>0</v>
      </c>
      <c r="K392" t="n">
        <v>0</v>
      </c>
      <c r="L392" t="n">
        <v>0</v>
      </c>
      <c r="M392" t="n">
        <v>0</v>
      </c>
      <c r="N392" t="n">
        <v>0</v>
      </c>
      <c r="O392" t="n">
        <v>0</v>
      </c>
      <c r="P392" t="n">
        <v>0</v>
      </c>
      <c r="Q392" t="n">
        <v>0</v>
      </c>
      <c r="R392" s="2" t="inlineStr"/>
    </row>
    <row r="393" ht="15" customHeight="1">
      <c r="A393" t="inlineStr">
        <is>
          <t>A 30980-2022</t>
        </is>
      </c>
      <c r="B393" s="1" t="n">
        <v>44768</v>
      </c>
      <c r="C393" s="1" t="n">
        <v>46002</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60007-2022</t>
        </is>
      </c>
      <c r="B394" s="1" t="n">
        <v>44909.47282407407</v>
      </c>
      <c r="C394" s="1" t="n">
        <v>46002</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50799-2022</t>
        </is>
      </c>
      <c r="B395" s="1" t="n">
        <v>44862</v>
      </c>
      <c r="C395" s="1" t="n">
        <v>46002</v>
      </c>
      <c r="D395" t="inlineStr">
        <is>
          <t>ÖSTERGÖTLANDS LÄN</t>
        </is>
      </c>
      <c r="E395" t="inlineStr">
        <is>
          <t>LINKÖPING</t>
        </is>
      </c>
      <c r="G395" t="n">
        <v>0.9</v>
      </c>
      <c r="H395" t="n">
        <v>0</v>
      </c>
      <c r="I395" t="n">
        <v>0</v>
      </c>
      <c r="J395" t="n">
        <v>0</v>
      </c>
      <c r="K395" t="n">
        <v>0</v>
      </c>
      <c r="L395" t="n">
        <v>0</v>
      </c>
      <c r="M395" t="n">
        <v>0</v>
      </c>
      <c r="N395" t="n">
        <v>0</v>
      </c>
      <c r="O395" t="n">
        <v>0</v>
      </c>
      <c r="P395" t="n">
        <v>0</v>
      </c>
      <c r="Q395" t="n">
        <v>0</v>
      </c>
      <c r="R395" s="2" t="inlineStr"/>
    </row>
    <row r="396" ht="15" customHeight="1">
      <c r="A396" t="inlineStr">
        <is>
          <t>A 56064-2022</t>
        </is>
      </c>
      <c r="B396" s="1" t="n">
        <v>44889.59107638889</v>
      </c>
      <c r="C396" s="1" t="n">
        <v>46002</v>
      </c>
      <c r="D396" t="inlineStr">
        <is>
          <t>ÖSTERGÖTLANDS LÄN</t>
        </is>
      </c>
      <c r="E396" t="inlineStr">
        <is>
          <t>LINKÖPING</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47703-2023</t>
        </is>
      </c>
      <c r="B397" s="1" t="n">
        <v>45203</v>
      </c>
      <c r="C397" s="1" t="n">
        <v>46002</v>
      </c>
      <c r="D397" t="inlineStr">
        <is>
          <t>ÖSTERGÖTLANDS LÄN</t>
        </is>
      </c>
      <c r="E397" t="inlineStr">
        <is>
          <t>LINKÖPING</t>
        </is>
      </c>
      <c r="G397" t="n">
        <v>4.1</v>
      </c>
      <c r="H397" t="n">
        <v>0</v>
      </c>
      <c r="I397" t="n">
        <v>0</v>
      </c>
      <c r="J397" t="n">
        <v>0</v>
      </c>
      <c r="K397" t="n">
        <v>0</v>
      </c>
      <c r="L397" t="n">
        <v>0</v>
      </c>
      <c r="M397" t="n">
        <v>0</v>
      </c>
      <c r="N397" t="n">
        <v>0</v>
      </c>
      <c r="O397" t="n">
        <v>0</v>
      </c>
      <c r="P397" t="n">
        <v>0</v>
      </c>
      <c r="Q397" t="n">
        <v>0</v>
      </c>
      <c r="R397" s="2" t="inlineStr"/>
    </row>
    <row r="398" ht="15" customHeight="1">
      <c r="A398" t="inlineStr">
        <is>
          <t>A 54332-2025</t>
        </is>
      </c>
      <c r="B398" s="1" t="n">
        <v>45965.34915509259</v>
      </c>
      <c r="C398" s="1" t="n">
        <v>46002</v>
      </c>
      <c r="D398" t="inlineStr">
        <is>
          <t>ÖSTERGÖTLANDS LÄN</t>
        </is>
      </c>
      <c r="E398" t="inlineStr">
        <is>
          <t>LINKÖPING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16111-2022</t>
        </is>
      </c>
      <c r="B399" s="1" t="n">
        <v>44665</v>
      </c>
      <c r="C399" s="1" t="n">
        <v>46002</v>
      </c>
      <c r="D399" t="inlineStr">
        <is>
          <t>ÖSTERGÖTLANDS LÄN</t>
        </is>
      </c>
      <c r="E399" t="inlineStr">
        <is>
          <t>LINKÖPING</t>
        </is>
      </c>
      <c r="F399" t="inlineStr">
        <is>
          <t>Övriga Aktiebolag</t>
        </is>
      </c>
      <c r="G399" t="n">
        <v>2.9</v>
      </c>
      <c r="H399" t="n">
        <v>0</v>
      </c>
      <c r="I399" t="n">
        <v>0</v>
      </c>
      <c r="J399" t="n">
        <v>0</v>
      </c>
      <c r="K399" t="n">
        <v>0</v>
      </c>
      <c r="L399" t="n">
        <v>0</v>
      </c>
      <c r="M399" t="n">
        <v>0</v>
      </c>
      <c r="N399" t="n">
        <v>0</v>
      </c>
      <c r="O399" t="n">
        <v>0</v>
      </c>
      <c r="P399" t="n">
        <v>0</v>
      </c>
      <c r="Q399" t="n">
        <v>0</v>
      </c>
      <c r="R399" s="2" t="inlineStr"/>
    </row>
    <row r="400" ht="15" customHeight="1">
      <c r="A400" t="inlineStr">
        <is>
          <t>A 48343-2025</t>
        </is>
      </c>
      <c r="B400" s="1" t="n">
        <v>45932</v>
      </c>
      <c r="C400" s="1" t="n">
        <v>46002</v>
      </c>
      <c r="D400" t="inlineStr">
        <is>
          <t>ÖSTERGÖTLANDS LÄN</t>
        </is>
      </c>
      <c r="E400" t="inlineStr">
        <is>
          <t>LINKÖPING</t>
        </is>
      </c>
      <c r="F400" t="inlineStr">
        <is>
          <t>Övriga Aktiebolag</t>
        </is>
      </c>
      <c r="G400" t="n">
        <v>2</v>
      </c>
      <c r="H400" t="n">
        <v>0</v>
      </c>
      <c r="I400" t="n">
        <v>0</v>
      </c>
      <c r="J400" t="n">
        <v>0</v>
      </c>
      <c r="K400" t="n">
        <v>0</v>
      </c>
      <c r="L400" t="n">
        <v>0</v>
      </c>
      <c r="M400" t="n">
        <v>0</v>
      </c>
      <c r="N400" t="n">
        <v>0</v>
      </c>
      <c r="O400" t="n">
        <v>0</v>
      </c>
      <c r="P400" t="n">
        <v>0</v>
      </c>
      <c r="Q400" t="n">
        <v>0</v>
      </c>
      <c r="R400" s="2" t="inlineStr"/>
    </row>
    <row r="401" ht="15" customHeight="1">
      <c r="A401" t="inlineStr">
        <is>
          <t>A 37057-2025</t>
        </is>
      </c>
      <c r="B401" s="1" t="n">
        <v>45875.37489583333</v>
      </c>
      <c r="C401" s="1" t="n">
        <v>46002</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48266-2025</t>
        </is>
      </c>
      <c r="B402" s="1" t="n">
        <v>45932</v>
      </c>
      <c r="C402" s="1" t="n">
        <v>46002</v>
      </c>
      <c r="D402" t="inlineStr">
        <is>
          <t>ÖSTERGÖTLANDS LÄN</t>
        </is>
      </c>
      <c r="E402" t="inlineStr">
        <is>
          <t>LINKÖPING</t>
        </is>
      </c>
      <c r="F402" t="inlineStr">
        <is>
          <t>Övriga Aktiebolag</t>
        </is>
      </c>
      <c r="G402" t="n">
        <v>0.5</v>
      </c>
      <c r="H402" t="n">
        <v>0</v>
      </c>
      <c r="I402" t="n">
        <v>0</v>
      </c>
      <c r="J402" t="n">
        <v>0</v>
      </c>
      <c r="K402" t="n">
        <v>0</v>
      </c>
      <c r="L402" t="n">
        <v>0</v>
      </c>
      <c r="M402" t="n">
        <v>0</v>
      </c>
      <c r="N402" t="n">
        <v>0</v>
      </c>
      <c r="O402" t="n">
        <v>0</v>
      </c>
      <c r="P402" t="n">
        <v>0</v>
      </c>
      <c r="Q402" t="n">
        <v>0</v>
      </c>
      <c r="R402" s="2" t="inlineStr"/>
    </row>
    <row r="403" ht="15" customHeight="1">
      <c r="A403" t="inlineStr">
        <is>
          <t>A 48962-2022</t>
        </is>
      </c>
      <c r="B403" s="1" t="n">
        <v>44860.31635416667</v>
      </c>
      <c r="C403" s="1" t="n">
        <v>46002</v>
      </c>
      <c r="D403" t="inlineStr">
        <is>
          <t>ÖSTERGÖTLANDS LÄN</t>
        </is>
      </c>
      <c r="E403" t="inlineStr">
        <is>
          <t>LINKÖPING</t>
        </is>
      </c>
      <c r="G403" t="n">
        <v>2.9</v>
      </c>
      <c r="H403" t="n">
        <v>0</v>
      </c>
      <c r="I403" t="n">
        <v>0</v>
      </c>
      <c r="J403" t="n">
        <v>0</v>
      </c>
      <c r="K403" t="n">
        <v>0</v>
      </c>
      <c r="L403" t="n">
        <v>0</v>
      </c>
      <c r="M403" t="n">
        <v>0</v>
      </c>
      <c r="N403" t="n">
        <v>0</v>
      </c>
      <c r="O403" t="n">
        <v>0</v>
      </c>
      <c r="P403" t="n">
        <v>0</v>
      </c>
      <c r="Q403" t="n">
        <v>0</v>
      </c>
      <c r="R403" s="2" t="inlineStr"/>
    </row>
    <row r="404" ht="15" customHeight="1">
      <c r="A404" t="inlineStr">
        <is>
          <t>A 27891-2021</t>
        </is>
      </c>
      <c r="B404" s="1" t="n">
        <v>44354.65108796296</v>
      </c>
      <c r="C404" s="1" t="n">
        <v>46002</v>
      </c>
      <c r="D404" t="inlineStr">
        <is>
          <t>ÖSTERGÖTLANDS LÄN</t>
        </is>
      </c>
      <c r="E404" t="inlineStr">
        <is>
          <t>LINKÖPING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54329-2025</t>
        </is>
      </c>
      <c r="B405" s="1" t="n">
        <v>45965.34706018519</v>
      </c>
      <c r="C405" s="1" t="n">
        <v>46002</v>
      </c>
      <c r="D405" t="inlineStr">
        <is>
          <t>ÖSTERGÖTLANDS LÄN</t>
        </is>
      </c>
      <c r="E405" t="inlineStr">
        <is>
          <t>LINKÖPING</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1268-2023</t>
        </is>
      </c>
      <c r="B406" s="1" t="n">
        <v>44936</v>
      </c>
      <c r="C406" s="1" t="n">
        <v>46002</v>
      </c>
      <c r="D406" t="inlineStr">
        <is>
          <t>ÖSTERGÖTLANDS LÄN</t>
        </is>
      </c>
      <c r="E406" t="inlineStr">
        <is>
          <t>LINKÖPING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48254-2025</t>
        </is>
      </c>
      <c r="B407" s="1" t="n">
        <v>45932</v>
      </c>
      <c r="C407" s="1" t="n">
        <v>46002</v>
      </c>
      <c r="D407" t="inlineStr">
        <is>
          <t>ÖSTERGÖTLANDS LÄN</t>
        </is>
      </c>
      <c r="E407" t="inlineStr">
        <is>
          <t>LINKÖPING</t>
        </is>
      </c>
      <c r="F407" t="inlineStr">
        <is>
          <t>Övriga Aktiebolag</t>
        </is>
      </c>
      <c r="G407" t="n">
        <v>0.8</v>
      </c>
      <c r="H407" t="n">
        <v>0</v>
      </c>
      <c r="I407" t="n">
        <v>0</v>
      </c>
      <c r="J407" t="n">
        <v>0</v>
      </c>
      <c r="K407" t="n">
        <v>0</v>
      </c>
      <c r="L407" t="n">
        <v>0</v>
      </c>
      <c r="M407" t="n">
        <v>0</v>
      </c>
      <c r="N407" t="n">
        <v>0</v>
      </c>
      <c r="O407" t="n">
        <v>0</v>
      </c>
      <c r="P407" t="n">
        <v>0</v>
      </c>
      <c r="Q407" t="n">
        <v>0</v>
      </c>
      <c r="R407" s="2" t="inlineStr"/>
    </row>
    <row r="408" ht="15" customHeight="1">
      <c r="A408" t="inlineStr">
        <is>
          <t>A 62687-2023</t>
        </is>
      </c>
      <c r="B408" s="1" t="n">
        <v>45271</v>
      </c>
      <c r="C408" s="1" t="n">
        <v>46002</v>
      </c>
      <c r="D408" t="inlineStr">
        <is>
          <t>ÖSTERGÖTLANDS LÄN</t>
        </is>
      </c>
      <c r="E408" t="inlineStr">
        <is>
          <t>LINKÖPING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34641-2022</t>
        </is>
      </c>
      <c r="B409" s="1" t="n">
        <v>44795</v>
      </c>
      <c r="C409" s="1" t="n">
        <v>46002</v>
      </c>
      <c r="D409" t="inlineStr">
        <is>
          <t>ÖSTERGÖTLANDS LÄN</t>
        </is>
      </c>
      <c r="E409" t="inlineStr">
        <is>
          <t>LINKÖPING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56403-2025</t>
        </is>
      </c>
      <c r="B410" s="1" t="n">
        <v>45974</v>
      </c>
      <c r="C410" s="1" t="n">
        <v>46002</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938-2023</t>
        </is>
      </c>
      <c r="B411" s="1" t="n">
        <v>44933</v>
      </c>
      <c r="C411" s="1" t="n">
        <v>46002</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2389-2023</t>
        </is>
      </c>
      <c r="B412" s="1" t="n">
        <v>44942</v>
      </c>
      <c r="C412" s="1" t="n">
        <v>46002</v>
      </c>
      <c r="D412" t="inlineStr">
        <is>
          <t>ÖSTERGÖTLANDS LÄN</t>
        </is>
      </c>
      <c r="E412" t="inlineStr">
        <is>
          <t>LINKÖPING</t>
        </is>
      </c>
      <c r="G412" t="n">
        <v>3.3</v>
      </c>
      <c r="H412" t="n">
        <v>0</v>
      </c>
      <c r="I412" t="n">
        <v>0</v>
      </c>
      <c r="J412" t="n">
        <v>0</v>
      </c>
      <c r="K412" t="n">
        <v>0</v>
      </c>
      <c r="L412" t="n">
        <v>0</v>
      </c>
      <c r="M412" t="n">
        <v>0</v>
      </c>
      <c r="N412" t="n">
        <v>0</v>
      </c>
      <c r="O412" t="n">
        <v>0</v>
      </c>
      <c r="P412" t="n">
        <v>0</v>
      </c>
      <c r="Q412" t="n">
        <v>0</v>
      </c>
      <c r="R412" s="2" t="inlineStr"/>
    </row>
    <row r="413" ht="15" customHeight="1">
      <c r="A413" t="inlineStr">
        <is>
          <t>A 56704-2025</t>
        </is>
      </c>
      <c r="B413" s="1" t="n">
        <v>45977.50608796296</v>
      </c>
      <c r="C413" s="1" t="n">
        <v>46002</v>
      </c>
      <c r="D413" t="inlineStr">
        <is>
          <t>ÖSTERGÖTLANDS LÄN</t>
        </is>
      </c>
      <c r="E413" t="inlineStr">
        <is>
          <t>LINKÖPING</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48-2024</t>
        </is>
      </c>
      <c r="B414" s="1" t="n">
        <v>45293</v>
      </c>
      <c r="C414" s="1" t="n">
        <v>46002</v>
      </c>
      <c r="D414" t="inlineStr">
        <is>
          <t>ÖSTERGÖTLANDS LÄN</t>
        </is>
      </c>
      <c r="E414" t="inlineStr">
        <is>
          <t>LINKÖPING</t>
        </is>
      </c>
      <c r="G414" t="n">
        <v>4.6</v>
      </c>
      <c r="H414" t="n">
        <v>0</v>
      </c>
      <c r="I414" t="n">
        <v>0</v>
      </c>
      <c r="J414" t="n">
        <v>0</v>
      </c>
      <c r="K414" t="n">
        <v>0</v>
      </c>
      <c r="L414" t="n">
        <v>0</v>
      </c>
      <c r="M414" t="n">
        <v>0</v>
      </c>
      <c r="N414" t="n">
        <v>0</v>
      </c>
      <c r="O414" t="n">
        <v>0</v>
      </c>
      <c r="P414" t="n">
        <v>0</v>
      </c>
      <c r="Q414" t="n">
        <v>0</v>
      </c>
      <c r="R414" s="2" t="inlineStr"/>
    </row>
    <row r="415" ht="15" customHeight="1">
      <c r="A415" t="inlineStr">
        <is>
          <t>A 45771-2023</t>
        </is>
      </c>
      <c r="B415" s="1" t="n">
        <v>45195.4384375</v>
      </c>
      <c r="C415" s="1" t="n">
        <v>46002</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30547-2023</t>
        </is>
      </c>
      <c r="B416" s="1" t="n">
        <v>45111.75905092592</v>
      </c>
      <c r="C416" s="1" t="n">
        <v>46002</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40502-2024</t>
        </is>
      </c>
      <c r="B417" s="1" t="n">
        <v>45555.57263888889</v>
      </c>
      <c r="C417" s="1" t="n">
        <v>46002</v>
      </c>
      <c r="D417" t="inlineStr">
        <is>
          <t>ÖSTERGÖTLANDS LÄN</t>
        </is>
      </c>
      <c r="E417" t="inlineStr">
        <is>
          <t>LINKÖPING</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25829-2025</t>
        </is>
      </c>
      <c r="B418" s="1" t="n">
        <v>45804.44505787037</v>
      </c>
      <c r="C418" s="1" t="n">
        <v>46002</v>
      </c>
      <c r="D418" t="inlineStr">
        <is>
          <t>ÖSTERGÖTLANDS LÄN</t>
        </is>
      </c>
      <c r="E418" t="inlineStr">
        <is>
          <t>LINKÖPING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38046-2025</t>
        </is>
      </c>
      <c r="B419" s="1" t="n">
        <v>45882.39939814815</v>
      </c>
      <c r="C419" s="1" t="n">
        <v>46002</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24464-2023</t>
        </is>
      </c>
      <c r="B420" s="1" t="n">
        <v>45082.58068287037</v>
      </c>
      <c r="C420" s="1" t="n">
        <v>46002</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24467-2023</t>
        </is>
      </c>
      <c r="B421" s="1" t="n">
        <v>45082</v>
      </c>
      <c r="C421" s="1" t="n">
        <v>46002</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48389-2024</t>
        </is>
      </c>
      <c r="B422" s="1" t="n">
        <v>45590.59991898148</v>
      </c>
      <c r="C422" s="1" t="n">
        <v>46002</v>
      </c>
      <c r="D422" t="inlineStr">
        <is>
          <t>ÖSTERGÖTLANDS LÄN</t>
        </is>
      </c>
      <c r="E422" t="inlineStr">
        <is>
          <t>LINKÖPING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56792-2023</t>
        </is>
      </c>
      <c r="B423" s="1" t="n">
        <v>45244</v>
      </c>
      <c r="C423" s="1" t="n">
        <v>46002</v>
      </c>
      <c r="D423" t="inlineStr">
        <is>
          <t>ÖSTERGÖTLANDS LÄN</t>
        </is>
      </c>
      <c r="E423" t="inlineStr">
        <is>
          <t>LINKÖPING</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49455-2025</t>
        </is>
      </c>
      <c r="B424" s="1" t="n">
        <v>45938</v>
      </c>
      <c r="C424" s="1" t="n">
        <v>46002</v>
      </c>
      <c r="D424" t="inlineStr">
        <is>
          <t>ÖSTERGÖTLANDS LÄN</t>
        </is>
      </c>
      <c r="E424" t="inlineStr">
        <is>
          <t>LINKÖPING</t>
        </is>
      </c>
      <c r="F424" t="inlineStr">
        <is>
          <t>Övriga Aktiebolag</t>
        </is>
      </c>
      <c r="G424" t="n">
        <v>5.9</v>
      </c>
      <c r="H424" t="n">
        <v>0</v>
      </c>
      <c r="I424" t="n">
        <v>0</v>
      </c>
      <c r="J424" t="n">
        <v>0</v>
      </c>
      <c r="K424" t="n">
        <v>0</v>
      </c>
      <c r="L424" t="n">
        <v>0</v>
      </c>
      <c r="M424" t="n">
        <v>0</v>
      </c>
      <c r="N424" t="n">
        <v>0</v>
      </c>
      <c r="O424" t="n">
        <v>0</v>
      </c>
      <c r="P424" t="n">
        <v>0</v>
      </c>
      <c r="Q424" t="n">
        <v>0</v>
      </c>
      <c r="R424" s="2" t="inlineStr"/>
    </row>
    <row r="425" ht="15" customHeight="1">
      <c r="A425" t="inlineStr">
        <is>
          <t>A 61281-2021</t>
        </is>
      </c>
      <c r="B425" s="1" t="n">
        <v>44498.60736111111</v>
      </c>
      <c r="C425" s="1" t="n">
        <v>46002</v>
      </c>
      <c r="D425" t="inlineStr">
        <is>
          <t>ÖSTERGÖTLANDS LÄN</t>
        </is>
      </c>
      <c r="E425" t="inlineStr">
        <is>
          <t>LINKÖPING</t>
        </is>
      </c>
      <c r="G425" t="n">
        <v>4.5</v>
      </c>
      <c r="H425" t="n">
        <v>0</v>
      </c>
      <c r="I425" t="n">
        <v>0</v>
      </c>
      <c r="J425" t="n">
        <v>0</v>
      </c>
      <c r="K425" t="n">
        <v>0</v>
      </c>
      <c r="L425" t="n">
        <v>0</v>
      </c>
      <c r="M425" t="n">
        <v>0</v>
      </c>
      <c r="N425" t="n">
        <v>0</v>
      </c>
      <c r="O425" t="n">
        <v>0</v>
      </c>
      <c r="P425" t="n">
        <v>0</v>
      </c>
      <c r="Q425" t="n">
        <v>0</v>
      </c>
      <c r="R425" s="2" t="inlineStr"/>
    </row>
    <row r="426" ht="15" customHeight="1">
      <c r="A426" t="inlineStr">
        <is>
          <t>A 25292-2021</t>
        </is>
      </c>
      <c r="B426" s="1" t="n">
        <v>44342</v>
      </c>
      <c r="C426" s="1" t="n">
        <v>46002</v>
      </c>
      <c r="D426" t="inlineStr">
        <is>
          <t>ÖSTERGÖTLANDS LÄN</t>
        </is>
      </c>
      <c r="E426" t="inlineStr">
        <is>
          <t>LINKÖPING</t>
        </is>
      </c>
      <c r="F426" t="inlineStr">
        <is>
          <t>Övriga Aktiebolag</t>
        </is>
      </c>
      <c r="G426" t="n">
        <v>12.8</v>
      </c>
      <c r="H426" t="n">
        <v>0</v>
      </c>
      <c r="I426" t="n">
        <v>0</v>
      </c>
      <c r="J426" t="n">
        <v>0</v>
      </c>
      <c r="K426" t="n">
        <v>0</v>
      </c>
      <c r="L426" t="n">
        <v>0</v>
      </c>
      <c r="M426" t="n">
        <v>0</v>
      </c>
      <c r="N426" t="n">
        <v>0</v>
      </c>
      <c r="O426" t="n">
        <v>0</v>
      </c>
      <c r="P426" t="n">
        <v>0</v>
      </c>
      <c r="Q426" t="n">
        <v>0</v>
      </c>
      <c r="R426" s="2" t="inlineStr"/>
    </row>
    <row r="427" ht="15" customHeight="1">
      <c r="A427" t="inlineStr">
        <is>
          <t>A 63935-2021</t>
        </is>
      </c>
      <c r="B427" s="1" t="n">
        <v>44509</v>
      </c>
      <c r="C427" s="1" t="n">
        <v>46002</v>
      </c>
      <c r="D427" t="inlineStr">
        <is>
          <t>ÖSTERGÖTLANDS LÄN</t>
        </is>
      </c>
      <c r="E427" t="inlineStr">
        <is>
          <t>LINKÖPING</t>
        </is>
      </c>
      <c r="F427" t="inlineStr">
        <is>
          <t>Övriga statliga verk och myndigheter</t>
        </is>
      </c>
      <c r="G427" t="n">
        <v>2.8</v>
      </c>
      <c r="H427" t="n">
        <v>0</v>
      </c>
      <c r="I427" t="n">
        <v>0</v>
      </c>
      <c r="J427" t="n">
        <v>0</v>
      </c>
      <c r="K427" t="n">
        <v>0</v>
      </c>
      <c r="L427" t="n">
        <v>0</v>
      </c>
      <c r="M427" t="n">
        <v>0</v>
      </c>
      <c r="N427" t="n">
        <v>0</v>
      </c>
      <c r="O427" t="n">
        <v>0</v>
      </c>
      <c r="P427" t="n">
        <v>0</v>
      </c>
      <c r="Q427" t="n">
        <v>0</v>
      </c>
      <c r="R427" s="2" t="inlineStr"/>
    </row>
    <row r="428" ht="15" customHeight="1">
      <c r="A428" t="inlineStr">
        <is>
          <t>A 38971-2025</t>
        </is>
      </c>
      <c r="B428" s="1" t="n">
        <v>45887.71827546296</v>
      </c>
      <c r="C428" s="1" t="n">
        <v>46002</v>
      </c>
      <c r="D428" t="inlineStr">
        <is>
          <t>ÖSTERGÖTLANDS LÄN</t>
        </is>
      </c>
      <c r="E428" t="inlineStr">
        <is>
          <t>LINKÖPING</t>
        </is>
      </c>
      <c r="G428" t="n">
        <v>3.9</v>
      </c>
      <c r="H428" t="n">
        <v>0</v>
      </c>
      <c r="I428" t="n">
        <v>0</v>
      </c>
      <c r="J428" t="n">
        <v>0</v>
      </c>
      <c r="K428" t="n">
        <v>0</v>
      </c>
      <c r="L428" t="n">
        <v>0</v>
      </c>
      <c r="M428" t="n">
        <v>0</v>
      </c>
      <c r="N428" t="n">
        <v>0</v>
      </c>
      <c r="O428" t="n">
        <v>0</v>
      </c>
      <c r="P428" t="n">
        <v>0</v>
      </c>
      <c r="Q428" t="n">
        <v>0</v>
      </c>
      <c r="R428" s="2" t="inlineStr"/>
    </row>
    <row r="429" ht="15" customHeight="1">
      <c r="A429" t="inlineStr">
        <is>
          <t>A 39017-2021</t>
        </is>
      </c>
      <c r="B429" s="1" t="n">
        <v>44412</v>
      </c>
      <c r="C429" s="1" t="n">
        <v>46002</v>
      </c>
      <c r="D429" t="inlineStr">
        <is>
          <t>ÖSTERGÖTLANDS LÄN</t>
        </is>
      </c>
      <c r="E429" t="inlineStr">
        <is>
          <t>LINKÖPING</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55345-2021</t>
        </is>
      </c>
      <c r="B430" s="1" t="n">
        <v>44475</v>
      </c>
      <c r="C430" s="1" t="n">
        <v>46002</v>
      </c>
      <c r="D430" t="inlineStr">
        <is>
          <t>ÖSTERGÖTLANDS LÄN</t>
        </is>
      </c>
      <c r="E430" t="inlineStr">
        <is>
          <t>LINKÖPING</t>
        </is>
      </c>
      <c r="G430" t="n">
        <v>5.7</v>
      </c>
      <c r="H430" t="n">
        <v>0</v>
      </c>
      <c r="I430" t="n">
        <v>0</v>
      </c>
      <c r="J430" t="n">
        <v>0</v>
      </c>
      <c r="K430" t="n">
        <v>0</v>
      </c>
      <c r="L430" t="n">
        <v>0</v>
      </c>
      <c r="M430" t="n">
        <v>0</v>
      </c>
      <c r="N430" t="n">
        <v>0</v>
      </c>
      <c r="O430" t="n">
        <v>0</v>
      </c>
      <c r="P430" t="n">
        <v>0</v>
      </c>
      <c r="Q430" t="n">
        <v>0</v>
      </c>
      <c r="R430" s="2" t="inlineStr"/>
    </row>
    <row r="431" ht="15" customHeight="1">
      <c r="A431" t="inlineStr">
        <is>
          <t>A 49605-2025</t>
        </is>
      </c>
      <c r="B431" s="1" t="n">
        <v>45938</v>
      </c>
      <c r="C431" s="1" t="n">
        <v>46002</v>
      </c>
      <c r="D431" t="inlineStr">
        <is>
          <t>ÖSTERGÖTLANDS LÄN</t>
        </is>
      </c>
      <c r="E431" t="inlineStr">
        <is>
          <t>LINKÖPING</t>
        </is>
      </c>
      <c r="F431" t="inlineStr">
        <is>
          <t>Övriga Aktiebolag</t>
        </is>
      </c>
      <c r="G431" t="n">
        <v>3.3</v>
      </c>
      <c r="H431" t="n">
        <v>0</v>
      </c>
      <c r="I431" t="n">
        <v>0</v>
      </c>
      <c r="J431" t="n">
        <v>0</v>
      </c>
      <c r="K431" t="n">
        <v>0</v>
      </c>
      <c r="L431" t="n">
        <v>0</v>
      </c>
      <c r="M431" t="n">
        <v>0</v>
      </c>
      <c r="N431" t="n">
        <v>0</v>
      </c>
      <c r="O431" t="n">
        <v>0</v>
      </c>
      <c r="P431" t="n">
        <v>0</v>
      </c>
      <c r="Q431" t="n">
        <v>0</v>
      </c>
      <c r="R431" s="2" t="inlineStr"/>
    </row>
    <row r="432" ht="15" customHeight="1">
      <c r="A432" t="inlineStr">
        <is>
          <t>A 49663-2025</t>
        </is>
      </c>
      <c r="B432" s="1" t="n">
        <v>45938</v>
      </c>
      <c r="C432" s="1" t="n">
        <v>46002</v>
      </c>
      <c r="D432" t="inlineStr">
        <is>
          <t>ÖSTERGÖTLANDS LÄN</t>
        </is>
      </c>
      <c r="E432" t="inlineStr">
        <is>
          <t>LINKÖPING</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1260-2023</t>
        </is>
      </c>
      <c r="B433" s="1" t="n">
        <v>44936</v>
      </c>
      <c r="C433" s="1" t="n">
        <v>46002</v>
      </c>
      <c r="D433" t="inlineStr">
        <is>
          <t>ÖSTERGÖTLANDS LÄN</t>
        </is>
      </c>
      <c r="E433" t="inlineStr">
        <is>
          <t>LINKÖPING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1355-2023</t>
        </is>
      </c>
      <c r="B434" s="1" t="n">
        <v>44931</v>
      </c>
      <c r="C434" s="1" t="n">
        <v>46002</v>
      </c>
      <c r="D434" t="inlineStr">
        <is>
          <t>ÖSTERGÖTLANDS LÄN</t>
        </is>
      </c>
      <c r="E434" t="inlineStr">
        <is>
          <t>LINKÖPING</t>
        </is>
      </c>
      <c r="G434" t="n">
        <v>4</v>
      </c>
      <c r="H434" t="n">
        <v>0</v>
      </c>
      <c r="I434" t="n">
        <v>0</v>
      </c>
      <c r="J434" t="n">
        <v>0</v>
      </c>
      <c r="K434" t="n">
        <v>0</v>
      </c>
      <c r="L434" t="n">
        <v>0</v>
      </c>
      <c r="M434" t="n">
        <v>0</v>
      </c>
      <c r="N434" t="n">
        <v>0</v>
      </c>
      <c r="O434" t="n">
        <v>0</v>
      </c>
      <c r="P434" t="n">
        <v>0</v>
      </c>
      <c r="Q434" t="n">
        <v>0</v>
      </c>
      <c r="R434" s="2" t="inlineStr"/>
    </row>
    <row r="435" ht="15" customHeight="1">
      <c r="A435" t="inlineStr">
        <is>
          <t>A 49632-2025</t>
        </is>
      </c>
      <c r="B435" s="1" t="n">
        <v>45938</v>
      </c>
      <c r="C435" s="1" t="n">
        <v>46002</v>
      </c>
      <c r="D435" t="inlineStr">
        <is>
          <t>ÖSTERGÖTLANDS LÄN</t>
        </is>
      </c>
      <c r="E435" t="inlineStr">
        <is>
          <t>LINKÖPING</t>
        </is>
      </c>
      <c r="F435" t="inlineStr">
        <is>
          <t>Övriga Aktiebolag</t>
        </is>
      </c>
      <c r="G435" t="n">
        <v>1.6</v>
      </c>
      <c r="H435" t="n">
        <v>0</v>
      </c>
      <c r="I435" t="n">
        <v>0</v>
      </c>
      <c r="J435" t="n">
        <v>0</v>
      </c>
      <c r="K435" t="n">
        <v>0</v>
      </c>
      <c r="L435" t="n">
        <v>0</v>
      </c>
      <c r="M435" t="n">
        <v>0</v>
      </c>
      <c r="N435" t="n">
        <v>0</v>
      </c>
      <c r="O435" t="n">
        <v>0</v>
      </c>
      <c r="P435" t="n">
        <v>0</v>
      </c>
      <c r="Q435" t="n">
        <v>0</v>
      </c>
      <c r="R435" s="2" t="inlineStr"/>
    </row>
    <row r="436" ht="15" customHeight="1">
      <c r="A436" t="inlineStr">
        <is>
          <t>A 49647-2025</t>
        </is>
      </c>
      <c r="B436" s="1" t="n">
        <v>45938</v>
      </c>
      <c r="C436" s="1" t="n">
        <v>46002</v>
      </c>
      <c r="D436" t="inlineStr">
        <is>
          <t>ÖSTERGÖTLANDS LÄN</t>
        </is>
      </c>
      <c r="E436" t="inlineStr">
        <is>
          <t>LINKÖPING</t>
        </is>
      </c>
      <c r="F436" t="inlineStr">
        <is>
          <t>Övriga Aktiebolag</t>
        </is>
      </c>
      <c r="G436" t="n">
        <v>0.6</v>
      </c>
      <c r="H436" t="n">
        <v>0</v>
      </c>
      <c r="I436" t="n">
        <v>0</v>
      </c>
      <c r="J436" t="n">
        <v>0</v>
      </c>
      <c r="K436" t="n">
        <v>0</v>
      </c>
      <c r="L436" t="n">
        <v>0</v>
      </c>
      <c r="M436" t="n">
        <v>0</v>
      </c>
      <c r="N436" t="n">
        <v>0</v>
      </c>
      <c r="O436" t="n">
        <v>0</v>
      </c>
      <c r="P436" t="n">
        <v>0</v>
      </c>
      <c r="Q436" t="n">
        <v>0</v>
      </c>
      <c r="R436" s="2" t="inlineStr"/>
    </row>
    <row r="437" ht="15" customHeight="1">
      <c r="A437" t="inlineStr">
        <is>
          <t>A 49652-2025</t>
        </is>
      </c>
      <c r="B437" s="1" t="n">
        <v>45938</v>
      </c>
      <c r="C437" s="1" t="n">
        <v>46002</v>
      </c>
      <c r="D437" t="inlineStr">
        <is>
          <t>ÖSTERGÖTLANDS LÄN</t>
        </is>
      </c>
      <c r="E437" t="inlineStr">
        <is>
          <t>LINKÖPING</t>
        </is>
      </c>
      <c r="F437" t="inlineStr">
        <is>
          <t>Övriga Aktiebolag</t>
        </is>
      </c>
      <c r="G437" t="n">
        <v>1.8</v>
      </c>
      <c r="H437" t="n">
        <v>0</v>
      </c>
      <c r="I437" t="n">
        <v>0</v>
      </c>
      <c r="J437" t="n">
        <v>0</v>
      </c>
      <c r="K437" t="n">
        <v>0</v>
      </c>
      <c r="L437" t="n">
        <v>0</v>
      </c>
      <c r="M437" t="n">
        <v>0</v>
      </c>
      <c r="N437" t="n">
        <v>0</v>
      </c>
      <c r="O437" t="n">
        <v>0</v>
      </c>
      <c r="P437" t="n">
        <v>0</v>
      </c>
      <c r="Q437" t="n">
        <v>0</v>
      </c>
      <c r="R437" s="2" t="inlineStr"/>
    </row>
    <row r="438" ht="15" customHeight="1">
      <c r="A438" t="inlineStr">
        <is>
          <t>A 49654-2025</t>
        </is>
      </c>
      <c r="B438" s="1" t="n">
        <v>45938</v>
      </c>
      <c r="C438" s="1" t="n">
        <v>46002</v>
      </c>
      <c r="D438" t="inlineStr">
        <is>
          <t>ÖSTERGÖTLANDS LÄN</t>
        </is>
      </c>
      <c r="E438" t="inlineStr">
        <is>
          <t>LINKÖPING</t>
        </is>
      </c>
      <c r="F438" t="inlineStr">
        <is>
          <t>Övriga Aktiebolag</t>
        </is>
      </c>
      <c r="G438" t="n">
        <v>3.1</v>
      </c>
      <c r="H438" t="n">
        <v>0</v>
      </c>
      <c r="I438" t="n">
        <v>0</v>
      </c>
      <c r="J438" t="n">
        <v>0</v>
      </c>
      <c r="K438" t="n">
        <v>0</v>
      </c>
      <c r="L438" t="n">
        <v>0</v>
      </c>
      <c r="M438" t="n">
        <v>0</v>
      </c>
      <c r="N438" t="n">
        <v>0</v>
      </c>
      <c r="O438" t="n">
        <v>0</v>
      </c>
      <c r="P438" t="n">
        <v>0</v>
      </c>
      <c r="Q438" t="n">
        <v>0</v>
      </c>
      <c r="R438" s="2" t="inlineStr"/>
    </row>
    <row r="439" ht="15" customHeight="1">
      <c r="A439" t="inlineStr">
        <is>
          <t>A 3007-2025</t>
        </is>
      </c>
      <c r="B439" s="1" t="n">
        <v>45678.56328703704</v>
      </c>
      <c r="C439" s="1" t="n">
        <v>46002</v>
      </c>
      <c r="D439" t="inlineStr">
        <is>
          <t>ÖSTERGÖTLANDS LÄN</t>
        </is>
      </c>
      <c r="E439" t="inlineStr">
        <is>
          <t>LINKÖPING</t>
        </is>
      </c>
      <c r="G439" t="n">
        <v>3.1</v>
      </c>
      <c r="H439" t="n">
        <v>0</v>
      </c>
      <c r="I439" t="n">
        <v>0</v>
      </c>
      <c r="J439" t="n">
        <v>0</v>
      </c>
      <c r="K439" t="n">
        <v>0</v>
      </c>
      <c r="L439" t="n">
        <v>0</v>
      </c>
      <c r="M439" t="n">
        <v>0</v>
      </c>
      <c r="N439" t="n">
        <v>0</v>
      </c>
      <c r="O439" t="n">
        <v>0</v>
      </c>
      <c r="P439" t="n">
        <v>0</v>
      </c>
      <c r="Q439" t="n">
        <v>0</v>
      </c>
      <c r="R439" s="2" t="inlineStr"/>
    </row>
    <row r="440" ht="15" customHeight="1">
      <c r="A440" t="inlineStr">
        <is>
          <t>A 10492-2022</t>
        </is>
      </c>
      <c r="B440" s="1" t="n">
        <v>44623.6377199074</v>
      </c>
      <c r="C440" s="1" t="n">
        <v>46002</v>
      </c>
      <c r="D440" t="inlineStr">
        <is>
          <t>ÖSTERGÖTLANDS LÄN</t>
        </is>
      </c>
      <c r="E440" t="inlineStr">
        <is>
          <t>LINKÖPING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49615-2025</t>
        </is>
      </c>
      <c r="B441" s="1" t="n">
        <v>45938</v>
      </c>
      <c r="C441" s="1" t="n">
        <v>46002</v>
      </c>
      <c r="D441" t="inlineStr">
        <is>
          <t>ÖSTERGÖTLANDS LÄN</t>
        </is>
      </c>
      <c r="E441" t="inlineStr">
        <is>
          <t>LINKÖPING</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49619-2025</t>
        </is>
      </c>
      <c r="B442" s="1" t="n">
        <v>45938</v>
      </c>
      <c r="C442" s="1" t="n">
        <v>46002</v>
      </c>
      <c r="D442" t="inlineStr">
        <is>
          <t>ÖSTERGÖTLANDS LÄN</t>
        </is>
      </c>
      <c r="E442" t="inlineStr">
        <is>
          <t>LINKÖPING</t>
        </is>
      </c>
      <c r="F442" t="inlineStr">
        <is>
          <t>Övriga Aktiebolag</t>
        </is>
      </c>
      <c r="G442" t="n">
        <v>2.3</v>
      </c>
      <c r="H442" t="n">
        <v>0</v>
      </c>
      <c r="I442" t="n">
        <v>0</v>
      </c>
      <c r="J442" t="n">
        <v>0</v>
      </c>
      <c r="K442" t="n">
        <v>0</v>
      </c>
      <c r="L442" t="n">
        <v>0</v>
      </c>
      <c r="M442" t="n">
        <v>0</v>
      </c>
      <c r="N442" t="n">
        <v>0</v>
      </c>
      <c r="O442" t="n">
        <v>0</v>
      </c>
      <c r="P442" t="n">
        <v>0</v>
      </c>
      <c r="Q442" t="n">
        <v>0</v>
      </c>
      <c r="R442" s="2" t="inlineStr"/>
    </row>
    <row r="443" ht="15" customHeight="1">
      <c r="A443" t="inlineStr">
        <is>
          <t>A 49629-2025</t>
        </is>
      </c>
      <c r="B443" s="1" t="n">
        <v>45938</v>
      </c>
      <c r="C443" s="1" t="n">
        <v>46002</v>
      </c>
      <c r="D443" t="inlineStr">
        <is>
          <t>ÖSTERGÖTLANDS LÄN</t>
        </is>
      </c>
      <c r="E443" t="inlineStr">
        <is>
          <t>LINKÖPING</t>
        </is>
      </c>
      <c r="F443" t="inlineStr">
        <is>
          <t>Övriga Aktiebolag</t>
        </is>
      </c>
      <c r="G443" t="n">
        <v>4.5</v>
      </c>
      <c r="H443" t="n">
        <v>0</v>
      </c>
      <c r="I443" t="n">
        <v>0</v>
      </c>
      <c r="J443" t="n">
        <v>0</v>
      </c>
      <c r="K443" t="n">
        <v>0</v>
      </c>
      <c r="L443" t="n">
        <v>0</v>
      </c>
      <c r="M443" t="n">
        <v>0</v>
      </c>
      <c r="N443" t="n">
        <v>0</v>
      </c>
      <c r="O443" t="n">
        <v>0</v>
      </c>
      <c r="P443" t="n">
        <v>0</v>
      </c>
      <c r="Q443" t="n">
        <v>0</v>
      </c>
      <c r="R443" s="2" t="inlineStr"/>
    </row>
    <row r="444" ht="15" customHeight="1">
      <c r="A444" t="inlineStr">
        <is>
          <t>A 49650-2025</t>
        </is>
      </c>
      <c r="B444" s="1" t="n">
        <v>45938</v>
      </c>
      <c r="C444" s="1" t="n">
        <v>46002</v>
      </c>
      <c r="D444" t="inlineStr">
        <is>
          <t>ÖSTERGÖTLANDS LÄN</t>
        </is>
      </c>
      <c r="E444" t="inlineStr">
        <is>
          <t>LINKÖPING</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30465-2023</t>
        </is>
      </c>
      <c r="B445" s="1" t="n">
        <v>45111</v>
      </c>
      <c r="C445" s="1" t="n">
        <v>46002</v>
      </c>
      <c r="D445" t="inlineStr">
        <is>
          <t>ÖSTERGÖTLANDS LÄN</t>
        </is>
      </c>
      <c r="E445" t="inlineStr">
        <is>
          <t>LINKÖPING</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49633-2025</t>
        </is>
      </c>
      <c r="B446" s="1" t="n">
        <v>45938</v>
      </c>
      <c r="C446" s="1" t="n">
        <v>46002</v>
      </c>
      <c r="D446" t="inlineStr">
        <is>
          <t>ÖSTERGÖTLANDS LÄN</t>
        </is>
      </c>
      <c r="E446" t="inlineStr">
        <is>
          <t>LINKÖPING</t>
        </is>
      </c>
      <c r="F446" t="inlineStr">
        <is>
          <t>Övriga Aktiebolag</t>
        </is>
      </c>
      <c r="G446" t="n">
        <v>0.7</v>
      </c>
      <c r="H446" t="n">
        <v>0</v>
      </c>
      <c r="I446" t="n">
        <v>0</v>
      </c>
      <c r="J446" t="n">
        <v>0</v>
      </c>
      <c r="K446" t="n">
        <v>0</v>
      </c>
      <c r="L446" t="n">
        <v>0</v>
      </c>
      <c r="M446" t="n">
        <v>0</v>
      </c>
      <c r="N446" t="n">
        <v>0</v>
      </c>
      <c r="O446" t="n">
        <v>0</v>
      </c>
      <c r="P446" t="n">
        <v>0</v>
      </c>
      <c r="Q446" t="n">
        <v>0</v>
      </c>
      <c r="R446" s="2" t="inlineStr"/>
    </row>
    <row r="447" ht="15" customHeight="1">
      <c r="A447" t="inlineStr">
        <is>
          <t>A 39021-2021</t>
        </is>
      </c>
      <c r="B447" s="1" t="n">
        <v>44412</v>
      </c>
      <c r="C447" s="1" t="n">
        <v>46002</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62353-2022</t>
        </is>
      </c>
      <c r="B448" s="1" t="n">
        <v>44923</v>
      </c>
      <c r="C448" s="1" t="n">
        <v>46002</v>
      </c>
      <c r="D448" t="inlineStr">
        <is>
          <t>ÖSTERGÖTLANDS LÄN</t>
        </is>
      </c>
      <c r="E448" t="inlineStr">
        <is>
          <t>LINKÖPING</t>
        </is>
      </c>
      <c r="F448" t="inlineStr">
        <is>
          <t>Allmännings- och besparingsskogar</t>
        </is>
      </c>
      <c r="G448" t="n">
        <v>1.7</v>
      </c>
      <c r="H448" t="n">
        <v>0</v>
      </c>
      <c r="I448" t="n">
        <v>0</v>
      </c>
      <c r="J448" t="n">
        <v>0</v>
      </c>
      <c r="K448" t="n">
        <v>0</v>
      </c>
      <c r="L448" t="n">
        <v>0</v>
      </c>
      <c r="M448" t="n">
        <v>0</v>
      </c>
      <c r="N448" t="n">
        <v>0</v>
      </c>
      <c r="O448" t="n">
        <v>0</v>
      </c>
      <c r="P448" t="n">
        <v>0</v>
      </c>
      <c r="Q448" t="n">
        <v>0</v>
      </c>
      <c r="R448" s="2" t="inlineStr"/>
    </row>
    <row r="449" ht="15" customHeight="1">
      <c r="A449" t="inlineStr">
        <is>
          <t>A 30111-2024</t>
        </is>
      </c>
      <c r="B449" s="1" t="n">
        <v>45489.46947916667</v>
      </c>
      <c r="C449" s="1" t="n">
        <v>46002</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30119-2024</t>
        </is>
      </c>
      <c r="B450" s="1" t="n">
        <v>45489</v>
      </c>
      <c r="C450" s="1" t="n">
        <v>46002</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29411-2023</t>
        </is>
      </c>
      <c r="B451" s="1" t="n">
        <v>45106.46225694445</v>
      </c>
      <c r="C451" s="1" t="n">
        <v>46002</v>
      </c>
      <c r="D451" t="inlineStr">
        <is>
          <t>ÖSTERGÖTLANDS LÄN</t>
        </is>
      </c>
      <c r="E451" t="inlineStr">
        <is>
          <t>LINKÖPING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29412-2023</t>
        </is>
      </c>
      <c r="B452" s="1" t="n">
        <v>45106.46359953703</v>
      </c>
      <c r="C452" s="1" t="n">
        <v>46002</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31792-2021</t>
        </is>
      </c>
      <c r="B453" s="1" t="n">
        <v>44369</v>
      </c>
      <c r="C453" s="1" t="n">
        <v>46002</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421-2024</t>
        </is>
      </c>
      <c r="B454" s="1" t="n">
        <v>45296.51877314815</v>
      </c>
      <c r="C454" s="1" t="n">
        <v>46002</v>
      </c>
      <c r="D454" t="inlineStr">
        <is>
          <t>ÖSTERGÖTLANDS LÄN</t>
        </is>
      </c>
      <c r="E454" t="inlineStr">
        <is>
          <t>LINKÖPING</t>
        </is>
      </c>
      <c r="G454" t="n">
        <v>3.7</v>
      </c>
      <c r="H454" t="n">
        <v>0</v>
      </c>
      <c r="I454" t="n">
        <v>0</v>
      </c>
      <c r="J454" t="n">
        <v>0</v>
      </c>
      <c r="K454" t="n">
        <v>0</v>
      </c>
      <c r="L454" t="n">
        <v>0</v>
      </c>
      <c r="M454" t="n">
        <v>0</v>
      </c>
      <c r="N454" t="n">
        <v>0</v>
      </c>
      <c r="O454" t="n">
        <v>0</v>
      </c>
      <c r="P454" t="n">
        <v>0</v>
      </c>
      <c r="Q454" t="n">
        <v>0</v>
      </c>
      <c r="R454" s="2" t="inlineStr"/>
    </row>
    <row r="455" ht="15" customHeight="1">
      <c r="A455" t="inlineStr">
        <is>
          <t>A 22043-2023</t>
        </is>
      </c>
      <c r="B455" s="1" t="n">
        <v>45069.39050925926</v>
      </c>
      <c r="C455" s="1" t="n">
        <v>46002</v>
      </c>
      <c r="D455" t="inlineStr">
        <is>
          <t>ÖSTERGÖTLANDS LÄN</t>
        </is>
      </c>
      <c r="E455" t="inlineStr">
        <is>
          <t>LINKÖPING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61532-2021</t>
        </is>
      </c>
      <c r="B456" s="1" t="n">
        <v>44501</v>
      </c>
      <c r="C456" s="1" t="n">
        <v>46002</v>
      </c>
      <c r="D456" t="inlineStr">
        <is>
          <t>ÖSTERGÖTLANDS LÄN</t>
        </is>
      </c>
      <c r="E456" t="inlineStr">
        <is>
          <t>LINKÖPING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14028-2024</t>
        </is>
      </c>
      <c r="B457" s="1" t="n">
        <v>45392</v>
      </c>
      <c r="C457" s="1" t="n">
        <v>46002</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40431-2024</t>
        </is>
      </c>
      <c r="B458" s="1" t="n">
        <v>45555.47070601852</v>
      </c>
      <c r="C458" s="1" t="n">
        <v>46002</v>
      </c>
      <c r="D458" t="inlineStr">
        <is>
          <t>ÖSTERGÖTLANDS LÄN</t>
        </is>
      </c>
      <c r="E458" t="inlineStr">
        <is>
          <t>LINKÖPING</t>
        </is>
      </c>
      <c r="F458" t="inlineStr">
        <is>
          <t>Allmännings- och besparingsskogar</t>
        </is>
      </c>
      <c r="G458" t="n">
        <v>2.9</v>
      </c>
      <c r="H458" t="n">
        <v>0</v>
      </c>
      <c r="I458" t="n">
        <v>0</v>
      </c>
      <c r="J458" t="n">
        <v>0</v>
      </c>
      <c r="K458" t="n">
        <v>0</v>
      </c>
      <c r="L458" t="n">
        <v>0</v>
      </c>
      <c r="M458" t="n">
        <v>0</v>
      </c>
      <c r="N458" t="n">
        <v>0</v>
      </c>
      <c r="O458" t="n">
        <v>0</v>
      </c>
      <c r="P458" t="n">
        <v>0</v>
      </c>
      <c r="Q458" t="n">
        <v>0</v>
      </c>
      <c r="R458" s="2" t="inlineStr"/>
    </row>
    <row r="459" ht="15" customHeight="1">
      <c r="A459" t="inlineStr">
        <is>
          <t>A 40983-2025</t>
        </is>
      </c>
      <c r="B459" s="1" t="n">
        <v>45898</v>
      </c>
      <c r="C459" s="1" t="n">
        <v>46002</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50056-2025</t>
        </is>
      </c>
      <c r="B460" s="1" t="n">
        <v>45941</v>
      </c>
      <c r="C460" s="1" t="n">
        <v>46002</v>
      </c>
      <c r="D460" t="inlineStr">
        <is>
          <t>ÖSTERGÖTLANDS LÄN</t>
        </is>
      </c>
      <c r="E460" t="inlineStr">
        <is>
          <t>LINKÖPING</t>
        </is>
      </c>
      <c r="G460" t="n">
        <v>0.3</v>
      </c>
      <c r="H460" t="n">
        <v>0</v>
      </c>
      <c r="I460" t="n">
        <v>0</v>
      </c>
      <c r="J460" t="n">
        <v>0</v>
      </c>
      <c r="K460" t="n">
        <v>0</v>
      </c>
      <c r="L460" t="n">
        <v>0</v>
      </c>
      <c r="M460" t="n">
        <v>0</v>
      </c>
      <c r="N460" t="n">
        <v>0</v>
      </c>
      <c r="O460" t="n">
        <v>0</v>
      </c>
      <c r="P460" t="n">
        <v>0</v>
      </c>
      <c r="Q460" t="n">
        <v>0</v>
      </c>
      <c r="R460" s="2" t="inlineStr"/>
    </row>
    <row r="461" ht="15" customHeight="1">
      <c r="A461" t="inlineStr">
        <is>
          <t>A 60860-2024</t>
        </is>
      </c>
      <c r="B461" s="1" t="n">
        <v>45644.6893287037</v>
      </c>
      <c r="C461" s="1" t="n">
        <v>46002</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2697-2023</t>
        </is>
      </c>
      <c r="B462" s="1" t="n">
        <v>44944</v>
      </c>
      <c r="C462" s="1" t="n">
        <v>46002</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55004-2025</t>
        </is>
      </c>
      <c r="B463" s="1" t="n">
        <v>45967</v>
      </c>
      <c r="C463" s="1" t="n">
        <v>46002</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50667-2025</t>
        </is>
      </c>
      <c r="B464" s="1" t="n">
        <v>45945</v>
      </c>
      <c r="C464" s="1" t="n">
        <v>46002</v>
      </c>
      <c r="D464" t="inlineStr">
        <is>
          <t>ÖSTERGÖTLANDS LÄN</t>
        </is>
      </c>
      <c r="E464" t="inlineStr">
        <is>
          <t>LINKÖPING</t>
        </is>
      </c>
      <c r="G464" t="n">
        <v>3.3</v>
      </c>
      <c r="H464" t="n">
        <v>0</v>
      </c>
      <c r="I464" t="n">
        <v>0</v>
      </c>
      <c r="J464" t="n">
        <v>0</v>
      </c>
      <c r="K464" t="n">
        <v>0</v>
      </c>
      <c r="L464" t="n">
        <v>0</v>
      </c>
      <c r="M464" t="n">
        <v>0</v>
      </c>
      <c r="N464" t="n">
        <v>0</v>
      </c>
      <c r="O464" t="n">
        <v>0</v>
      </c>
      <c r="P464" t="n">
        <v>0</v>
      </c>
      <c r="Q464" t="n">
        <v>0</v>
      </c>
      <c r="R464" s="2" t="inlineStr"/>
    </row>
    <row r="465" ht="15" customHeight="1">
      <c r="A465" t="inlineStr">
        <is>
          <t>A 45806-2024</t>
        </is>
      </c>
      <c r="B465" s="1" t="n">
        <v>45579.69619212963</v>
      </c>
      <c r="C465" s="1" t="n">
        <v>46002</v>
      </c>
      <c r="D465" t="inlineStr">
        <is>
          <t>ÖSTERGÖTLANDS LÄN</t>
        </is>
      </c>
      <c r="E465" t="inlineStr">
        <is>
          <t>LINKÖPING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56756-2023</t>
        </is>
      </c>
      <c r="B466" s="1" t="n">
        <v>45244</v>
      </c>
      <c r="C466" s="1" t="n">
        <v>46002</v>
      </c>
      <c r="D466" t="inlineStr">
        <is>
          <t>ÖSTERGÖTLANDS LÄN</t>
        </is>
      </c>
      <c r="E466" t="inlineStr">
        <is>
          <t>LINKÖPING</t>
        </is>
      </c>
      <c r="F466" t="inlineStr">
        <is>
          <t>Övriga Aktiebolag</t>
        </is>
      </c>
      <c r="G466" t="n">
        <v>0.8</v>
      </c>
      <c r="H466" t="n">
        <v>0</v>
      </c>
      <c r="I466" t="n">
        <v>0</v>
      </c>
      <c r="J466" t="n">
        <v>0</v>
      </c>
      <c r="K466" t="n">
        <v>0</v>
      </c>
      <c r="L466" t="n">
        <v>0</v>
      </c>
      <c r="M466" t="n">
        <v>0</v>
      </c>
      <c r="N466" t="n">
        <v>0</v>
      </c>
      <c r="O466" t="n">
        <v>0</v>
      </c>
      <c r="P466" t="n">
        <v>0</v>
      </c>
      <c r="Q466" t="n">
        <v>0</v>
      </c>
      <c r="R466" s="2" t="inlineStr"/>
    </row>
    <row r="467" ht="15" customHeight="1">
      <c r="A467" t="inlineStr">
        <is>
          <t>A 60985-2023</t>
        </is>
      </c>
      <c r="B467" s="1" t="n">
        <v>45261.48429398148</v>
      </c>
      <c r="C467" s="1" t="n">
        <v>46002</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58802-2025</t>
        </is>
      </c>
      <c r="B468" s="1" t="n">
        <v>45986.8768287037</v>
      </c>
      <c r="C468" s="1" t="n">
        <v>46002</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24904-2024</t>
        </is>
      </c>
      <c r="B469" s="1" t="n">
        <v>45461</v>
      </c>
      <c r="C469" s="1" t="n">
        <v>46002</v>
      </c>
      <c r="D469" t="inlineStr">
        <is>
          <t>ÖSTERGÖTLANDS LÄN</t>
        </is>
      </c>
      <c r="E469" t="inlineStr">
        <is>
          <t>LINKÖPING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55009-2023</t>
        </is>
      </c>
      <c r="B470" s="1" t="n">
        <v>45237</v>
      </c>
      <c r="C470" s="1" t="n">
        <v>46002</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34872-2023</t>
        </is>
      </c>
      <c r="B471" s="1" t="n">
        <v>45140</v>
      </c>
      <c r="C471" s="1" t="n">
        <v>46002</v>
      </c>
      <c r="D471" t="inlineStr">
        <is>
          <t>ÖSTERGÖTLANDS LÄN</t>
        </is>
      </c>
      <c r="E471" t="inlineStr">
        <is>
          <t>LINKÖPING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36336-2022</t>
        </is>
      </c>
      <c r="B472" s="1" t="n">
        <v>44803</v>
      </c>
      <c r="C472" s="1" t="n">
        <v>46002</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59472-2025</t>
        </is>
      </c>
      <c r="B473" s="1" t="n">
        <v>45989.58321759259</v>
      </c>
      <c r="C473" s="1" t="n">
        <v>46002</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25097-2023</t>
        </is>
      </c>
      <c r="B474" s="1" t="n">
        <v>45086</v>
      </c>
      <c r="C474" s="1" t="n">
        <v>46002</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59205-2025</t>
        </is>
      </c>
      <c r="B475" s="1" t="n">
        <v>45988.60721064815</v>
      </c>
      <c r="C475" s="1" t="n">
        <v>46002</v>
      </c>
      <c r="D475" t="inlineStr">
        <is>
          <t>ÖSTERGÖTLANDS LÄN</t>
        </is>
      </c>
      <c r="E475" t="inlineStr">
        <is>
          <t>LINKÖPING</t>
        </is>
      </c>
      <c r="F475" t="inlineStr">
        <is>
          <t>Sveaskog</t>
        </is>
      </c>
      <c r="G475" t="n">
        <v>11.3</v>
      </c>
      <c r="H475" t="n">
        <v>0</v>
      </c>
      <c r="I475" t="n">
        <v>0</v>
      </c>
      <c r="J475" t="n">
        <v>0</v>
      </c>
      <c r="K475" t="n">
        <v>0</v>
      </c>
      <c r="L475" t="n">
        <v>0</v>
      </c>
      <c r="M475" t="n">
        <v>0</v>
      </c>
      <c r="N475" t="n">
        <v>0</v>
      </c>
      <c r="O475" t="n">
        <v>0</v>
      </c>
      <c r="P475" t="n">
        <v>0</v>
      </c>
      <c r="Q475" t="n">
        <v>0</v>
      </c>
      <c r="R475" s="2" t="inlineStr"/>
    </row>
    <row r="476" ht="15" customHeight="1">
      <c r="A476" t="inlineStr">
        <is>
          <t>A 10461-2023</t>
        </is>
      </c>
      <c r="B476" s="1" t="n">
        <v>44987.5969212963</v>
      </c>
      <c r="C476" s="1" t="n">
        <v>46002</v>
      </c>
      <c r="D476" t="inlineStr">
        <is>
          <t>ÖSTERGÖTLANDS LÄN</t>
        </is>
      </c>
      <c r="E476" t="inlineStr">
        <is>
          <t>LINKÖPING</t>
        </is>
      </c>
      <c r="G476" t="n">
        <v>7.8</v>
      </c>
      <c r="H476" t="n">
        <v>0</v>
      </c>
      <c r="I476" t="n">
        <v>0</v>
      </c>
      <c r="J476" t="n">
        <v>0</v>
      </c>
      <c r="K476" t="n">
        <v>0</v>
      </c>
      <c r="L476" t="n">
        <v>0</v>
      </c>
      <c r="M476" t="n">
        <v>0</v>
      </c>
      <c r="N476" t="n">
        <v>0</v>
      </c>
      <c r="O476" t="n">
        <v>0</v>
      </c>
      <c r="P476" t="n">
        <v>0</v>
      </c>
      <c r="Q476" t="n">
        <v>0</v>
      </c>
      <c r="R476" s="2" t="inlineStr"/>
    </row>
    <row r="477" ht="15" customHeight="1">
      <c r="A477" t="inlineStr">
        <is>
          <t>A 50386-2021</t>
        </is>
      </c>
      <c r="B477" s="1" t="n">
        <v>44459</v>
      </c>
      <c r="C477" s="1" t="n">
        <v>46002</v>
      </c>
      <c r="D477" t="inlineStr">
        <is>
          <t>ÖSTERGÖTLANDS LÄN</t>
        </is>
      </c>
      <c r="E477" t="inlineStr">
        <is>
          <t>LINKÖPING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350-2022</t>
        </is>
      </c>
      <c r="B478" s="1" t="n">
        <v>44565</v>
      </c>
      <c r="C478" s="1" t="n">
        <v>46002</v>
      </c>
      <c r="D478" t="inlineStr">
        <is>
          <t>ÖSTERGÖTLANDS LÄN</t>
        </is>
      </c>
      <c r="E478" t="inlineStr">
        <is>
          <t>LINKÖPING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18891-2022</t>
        </is>
      </c>
      <c r="B479" s="1" t="n">
        <v>44690</v>
      </c>
      <c r="C479" s="1" t="n">
        <v>46002</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30976-2022</t>
        </is>
      </c>
      <c r="B480" s="1" t="n">
        <v>44768</v>
      </c>
      <c r="C480" s="1" t="n">
        <v>46002</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51802-2025</t>
        </is>
      </c>
      <c r="B481" s="1" t="n">
        <v>45950</v>
      </c>
      <c r="C481" s="1" t="n">
        <v>46002</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55736-2022</t>
        </is>
      </c>
      <c r="B482" s="1" t="n">
        <v>44888</v>
      </c>
      <c r="C482" s="1" t="n">
        <v>46002</v>
      </c>
      <c r="D482" t="inlineStr">
        <is>
          <t>ÖSTERGÖTLANDS LÄN</t>
        </is>
      </c>
      <c r="E482" t="inlineStr">
        <is>
          <t>LINKÖPING</t>
        </is>
      </c>
      <c r="G482" t="n">
        <v>5.5</v>
      </c>
      <c r="H482" t="n">
        <v>0</v>
      </c>
      <c r="I482" t="n">
        <v>0</v>
      </c>
      <c r="J482" t="n">
        <v>0</v>
      </c>
      <c r="K482" t="n">
        <v>0</v>
      </c>
      <c r="L482" t="n">
        <v>0</v>
      </c>
      <c r="M482" t="n">
        <v>0</v>
      </c>
      <c r="N482" t="n">
        <v>0</v>
      </c>
      <c r="O482" t="n">
        <v>0</v>
      </c>
      <c r="P482" t="n">
        <v>0</v>
      </c>
      <c r="Q482" t="n">
        <v>0</v>
      </c>
      <c r="R482" s="2" t="inlineStr"/>
    </row>
    <row r="483" ht="15" customHeight="1">
      <c r="A483" t="inlineStr">
        <is>
          <t>A 10253-2022</t>
        </is>
      </c>
      <c r="B483" s="1" t="n">
        <v>44622</v>
      </c>
      <c r="C483" s="1" t="n">
        <v>46002</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10194-2023</t>
        </is>
      </c>
      <c r="B484" s="1" t="n">
        <v>44986.52277777778</v>
      </c>
      <c r="C484" s="1" t="n">
        <v>46002</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60284-2025</t>
        </is>
      </c>
      <c r="B485" s="1" t="n">
        <v>45994.64373842593</v>
      </c>
      <c r="C485" s="1" t="n">
        <v>46002</v>
      </c>
      <c r="D485" t="inlineStr">
        <is>
          <t>ÖSTERGÖTLANDS LÄN</t>
        </is>
      </c>
      <c r="E485" t="inlineStr">
        <is>
          <t>LINKÖPING</t>
        </is>
      </c>
      <c r="G485" t="n">
        <v>3.5</v>
      </c>
      <c r="H485" t="n">
        <v>0</v>
      </c>
      <c r="I485" t="n">
        <v>0</v>
      </c>
      <c r="J485" t="n">
        <v>0</v>
      </c>
      <c r="K485" t="n">
        <v>0</v>
      </c>
      <c r="L485" t="n">
        <v>0</v>
      </c>
      <c r="M485" t="n">
        <v>0</v>
      </c>
      <c r="N485" t="n">
        <v>0</v>
      </c>
      <c r="O485" t="n">
        <v>0</v>
      </c>
      <c r="P485" t="n">
        <v>0</v>
      </c>
      <c r="Q485" t="n">
        <v>0</v>
      </c>
      <c r="R485" s="2" t="inlineStr"/>
    </row>
    <row r="486" ht="15" customHeight="1">
      <c r="A486" t="inlineStr">
        <is>
          <t>A 60306-2025</t>
        </is>
      </c>
      <c r="B486" s="1" t="n">
        <v>45994.68326388889</v>
      </c>
      <c r="C486" s="1" t="n">
        <v>46002</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60087-2025</t>
        </is>
      </c>
      <c r="B487" s="1" t="n">
        <v>45993.71726851852</v>
      </c>
      <c r="C487" s="1" t="n">
        <v>46002</v>
      </c>
      <c r="D487" t="inlineStr">
        <is>
          <t>ÖSTERGÖTLANDS LÄN</t>
        </is>
      </c>
      <c r="E487" t="inlineStr">
        <is>
          <t>LINKÖPING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7702-2023</t>
        </is>
      </c>
      <c r="B488" s="1" t="n">
        <v>44967</v>
      </c>
      <c r="C488" s="1" t="n">
        <v>46002</v>
      </c>
      <c r="D488" t="inlineStr">
        <is>
          <t>ÖSTERGÖTLANDS LÄN</t>
        </is>
      </c>
      <c r="E488" t="inlineStr">
        <is>
          <t>LINKÖPING</t>
        </is>
      </c>
      <c r="F488" t="inlineStr">
        <is>
          <t>Övriga statliga verk och myndigheter</t>
        </is>
      </c>
      <c r="G488" t="n">
        <v>8</v>
      </c>
      <c r="H488" t="n">
        <v>0</v>
      </c>
      <c r="I488" t="n">
        <v>0</v>
      </c>
      <c r="J488" t="n">
        <v>0</v>
      </c>
      <c r="K488" t="n">
        <v>0</v>
      </c>
      <c r="L488" t="n">
        <v>0</v>
      </c>
      <c r="M488" t="n">
        <v>0</v>
      </c>
      <c r="N488" t="n">
        <v>0</v>
      </c>
      <c r="O488" t="n">
        <v>0</v>
      </c>
      <c r="P488" t="n">
        <v>0</v>
      </c>
      <c r="Q488" t="n">
        <v>0</v>
      </c>
      <c r="R488" s="2" t="inlineStr"/>
    </row>
    <row r="489" ht="15" customHeight="1">
      <c r="A489" t="inlineStr">
        <is>
          <t>A 52111-2025</t>
        </is>
      </c>
      <c r="B489" s="1" t="n">
        <v>45952.69527777778</v>
      </c>
      <c r="C489" s="1" t="n">
        <v>46002</v>
      </c>
      <c r="D489" t="inlineStr">
        <is>
          <t>ÖSTERGÖTLANDS LÄN</t>
        </is>
      </c>
      <c r="E489" t="inlineStr">
        <is>
          <t>LINKÖPING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42000-2023</t>
        </is>
      </c>
      <c r="B490" s="1" t="n">
        <v>45177</v>
      </c>
      <c r="C490" s="1" t="n">
        <v>46002</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31534-2023</t>
        </is>
      </c>
      <c r="B491" s="1" t="n">
        <v>45116</v>
      </c>
      <c r="C491" s="1" t="n">
        <v>46002</v>
      </c>
      <c r="D491" t="inlineStr">
        <is>
          <t>ÖSTERGÖTLANDS LÄN</t>
        </is>
      </c>
      <c r="E491" t="inlineStr">
        <is>
          <t>LINKÖPING</t>
        </is>
      </c>
      <c r="G491" t="n">
        <v>1.5</v>
      </c>
      <c r="H491" t="n">
        <v>0</v>
      </c>
      <c r="I491" t="n">
        <v>0</v>
      </c>
      <c r="J491" t="n">
        <v>0</v>
      </c>
      <c r="K491" t="n">
        <v>0</v>
      </c>
      <c r="L491" t="n">
        <v>0</v>
      </c>
      <c r="M491" t="n">
        <v>0</v>
      </c>
      <c r="N491" t="n">
        <v>0</v>
      </c>
      <c r="O491" t="n">
        <v>0</v>
      </c>
      <c r="P491" t="n">
        <v>0</v>
      </c>
      <c r="Q491" t="n">
        <v>0</v>
      </c>
      <c r="R491" s="2" t="inlineStr"/>
    </row>
    <row r="492" ht="15" customHeight="1">
      <c r="A492" t="inlineStr">
        <is>
          <t>A 35427-2023</t>
        </is>
      </c>
      <c r="B492" s="1" t="n">
        <v>45146</v>
      </c>
      <c r="C492" s="1" t="n">
        <v>46002</v>
      </c>
      <c r="D492" t="inlineStr">
        <is>
          <t>ÖSTERGÖTLANDS LÄN</t>
        </is>
      </c>
      <c r="E492" t="inlineStr">
        <is>
          <t>LINKÖPING</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36725-2023</t>
        </is>
      </c>
      <c r="B493" s="1" t="n">
        <v>45153.68471064815</v>
      </c>
      <c r="C493" s="1" t="n">
        <v>46002</v>
      </c>
      <c r="D493" t="inlineStr">
        <is>
          <t>ÖSTERGÖTLANDS LÄN</t>
        </is>
      </c>
      <c r="E493" t="inlineStr">
        <is>
          <t>LINKÖPING</t>
        </is>
      </c>
      <c r="F493" t="inlineStr">
        <is>
          <t>Allmännings- och besparingsskogar</t>
        </is>
      </c>
      <c r="G493" t="n">
        <v>2.6</v>
      </c>
      <c r="H493" t="n">
        <v>0</v>
      </c>
      <c r="I493" t="n">
        <v>0</v>
      </c>
      <c r="J493" t="n">
        <v>0</v>
      </c>
      <c r="K493" t="n">
        <v>0</v>
      </c>
      <c r="L493" t="n">
        <v>0</v>
      </c>
      <c r="M493" t="n">
        <v>0</v>
      </c>
      <c r="N493" t="n">
        <v>0</v>
      </c>
      <c r="O493" t="n">
        <v>0</v>
      </c>
      <c r="P493" t="n">
        <v>0</v>
      </c>
      <c r="Q493" t="n">
        <v>0</v>
      </c>
      <c r="R493" s="2" t="inlineStr"/>
    </row>
    <row r="494" ht="15" customHeight="1">
      <c r="A494" t="inlineStr">
        <is>
          <t>A 53639-2023</t>
        </is>
      </c>
      <c r="B494" s="1" t="n">
        <v>45230.59686342593</v>
      </c>
      <c r="C494" s="1" t="n">
        <v>46002</v>
      </c>
      <c r="D494" t="inlineStr">
        <is>
          <t>ÖSTERGÖTLANDS LÄN</t>
        </is>
      </c>
      <c r="E494" t="inlineStr">
        <is>
          <t>LINKÖPING</t>
        </is>
      </c>
      <c r="G494" t="n">
        <v>2.3</v>
      </c>
      <c r="H494" t="n">
        <v>0</v>
      </c>
      <c r="I494" t="n">
        <v>0</v>
      </c>
      <c r="J494" t="n">
        <v>0</v>
      </c>
      <c r="K494" t="n">
        <v>0</v>
      </c>
      <c r="L494" t="n">
        <v>0</v>
      </c>
      <c r="M494" t="n">
        <v>0</v>
      </c>
      <c r="N494" t="n">
        <v>0</v>
      </c>
      <c r="O494" t="n">
        <v>0</v>
      </c>
      <c r="P494" t="n">
        <v>0</v>
      </c>
      <c r="Q494" t="n">
        <v>0</v>
      </c>
      <c r="R494" s="2" t="inlineStr"/>
    </row>
    <row r="495" ht="15" customHeight="1">
      <c r="A495" t="inlineStr">
        <is>
          <t>A 1657-2024</t>
        </is>
      </c>
      <c r="B495" s="1" t="n">
        <v>45306.82501157407</v>
      </c>
      <c r="C495" s="1" t="n">
        <v>46002</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50784-2022</t>
        </is>
      </c>
      <c r="B496" s="1" t="n">
        <v>44862</v>
      </c>
      <c r="C496" s="1" t="n">
        <v>46002</v>
      </c>
      <c r="D496" t="inlineStr">
        <is>
          <t>ÖSTERGÖTLANDS LÄN</t>
        </is>
      </c>
      <c r="E496" t="inlineStr">
        <is>
          <t>LINKÖPING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26803-2024</t>
        </is>
      </c>
      <c r="B497" s="1" t="n">
        <v>45470</v>
      </c>
      <c r="C497" s="1" t="n">
        <v>46002</v>
      </c>
      <c r="D497" t="inlineStr">
        <is>
          <t>ÖSTERGÖTLANDS LÄN</t>
        </is>
      </c>
      <c r="E497" t="inlineStr">
        <is>
          <t>LINKÖPING</t>
        </is>
      </c>
      <c r="F497" t="inlineStr">
        <is>
          <t>Allmännings- och besparingsskogar</t>
        </is>
      </c>
      <c r="G497" t="n">
        <v>4.5</v>
      </c>
      <c r="H497" t="n">
        <v>0</v>
      </c>
      <c r="I497" t="n">
        <v>0</v>
      </c>
      <c r="J497" t="n">
        <v>0</v>
      </c>
      <c r="K497" t="n">
        <v>0</v>
      </c>
      <c r="L497" t="n">
        <v>0</v>
      </c>
      <c r="M497" t="n">
        <v>0</v>
      </c>
      <c r="N497" t="n">
        <v>0</v>
      </c>
      <c r="O497" t="n">
        <v>0</v>
      </c>
      <c r="P497" t="n">
        <v>0</v>
      </c>
      <c r="Q497" t="n">
        <v>0</v>
      </c>
      <c r="R497" s="2" t="inlineStr"/>
    </row>
    <row r="498" ht="15" customHeight="1">
      <c r="A498" t="inlineStr">
        <is>
          <t>A 52740-2025</t>
        </is>
      </c>
      <c r="B498" s="1" t="n">
        <v>45957.37747685185</v>
      </c>
      <c r="C498" s="1" t="n">
        <v>46002</v>
      </c>
      <c r="D498" t="inlineStr">
        <is>
          <t>ÖSTERGÖTLANDS LÄN</t>
        </is>
      </c>
      <c r="E498" t="inlineStr">
        <is>
          <t>LINKÖPING</t>
        </is>
      </c>
      <c r="G498" t="n">
        <v>3.7</v>
      </c>
      <c r="H498" t="n">
        <v>0</v>
      </c>
      <c r="I498" t="n">
        <v>0</v>
      </c>
      <c r="J498" t="n">
        <v>0</v>
      </c>
      <c r="K498" t="n">
        <v>0</v>
      </c>
      <c r="L498" t="n">
        <v>0</v>
      </c>
      <c r="M498" t="n">
        <v>0</v>
      </c>
      <c r="N498" t="n">
        <v>0</v>
      </c>
      <c r="O498" t="n">
        <v>0</v>
      </c>
      <c r="P498" t="n">
        <v>0</v>
      </c>
      <c r="Q498" t="n">
        <v>0</v>
      </c>
      <c r="R498" s="2" t="inlineStr"/>
    </row>
    <row r="499" ht="15" customHeight="1">
      <c r="A499" t="inlineStr">
        <is>
          <t>A 19187-2021</t>
        </is>
      </c>
      <c r="B499" s="1" t="n">
        <v>44308</v>
      </c>
      <c r="C499" s="1" t="n">
        <v>46002</v>
      </c>
      <c r="D499" t="inlineStr">
        <is>
          <t>ÖSTERGÖTLANDS LÄN</t>
        </is>
      </c>
      <c r="E499" t="inlineStr">
        <is>
          <t>LINKÖPING</t>
        </is>
      </c>
      <c r="F499" t="inlineStr">
        <is>
          <t>Allmännings- och besparingsskogar</t>
        </is>
      </c>
      <c r="G499" t="n">
        <v>20</v>
      </c>
      <c r="H499" t="n">
        <v>0</v>
      </c>
      <c r="I499" t="n">
        <v>0</v>
      </c>
      <c r="J499" t="n">
        <v>0</v>
      </c>
      <c r="K499" t="n">
        <v>0</v>
      </c>
      <c r="L499" t="n">
        <v>0</v>
      </c>
      <c r="M499" t="n">
        <v>0</v>
      </c>
      <c r="N499" t="n">
        <v>0</v>
      </c>
      <c r="O499" t="n">
        <v>0</v>
      </c>
      <c r="P499" t="n">
        <v>0</v>
      </c>
      <c r="Q499" t="n">
        <v>0</v>
      </c>
      <c r="R499" s="2" t="inlineStr"/>
    </row>
    <row r="500" ht="15" customHeight="1">
      <c r="A500" t="inlineStr">
        <is>
          <t>A 60866-2025</t>
        </is>
      </c>
      <c r="B500" s="1" t="n">
        <v>45999.53953703704</v>
      </c>
      <c r="C500" s="1" t="n">
        <v>46002</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60472-2022</t>
        </is>
      </c>
      <c r="B501" s="1" t="n">
        <v>44911.41037037037</v>
      </c>
      <c r="C501" s="1" t="n">
        <v>46002</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52800-2025</t>
        </is>
      </c>
      <c r="B502" s="1" t="n">
        <v>45957.44152777778</v>
      </c>
      <c r="C502" s="1" t="n">
        <v>46002</v>
      </c>
      <c r="D502" t="inlineStr">
        <is>
          <t>ÖSTERGÖTLANDS LÄN</t>
        </is>
      </c>
      <c r="E502" t="inlineStr">
        <is>
          <t>LINKÖPING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52802-2025</t>
        </is>
      </c>
      <c r="B503" s="1" t="n">
        <v>45957.44295138889</v>
      </c>
      <c r="C503" s="1" t="n">
        <v>46002</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43934-2023</t>
        </is>
      </c>
      <c r="B504" s="1" t="n">
        <v>45187</v>
      </c>
      <c r="C504" s="1" t="n">
        <v>46002</v>
      </c>
      <c r="D504" t="inlineStr">
        <is>
          <t>ÖSTERGÖTLANDS LÄN</t>
        </is>
      </c>
      <c r="E504" t="inlineStr">
        <is>
          <t>LINKÖPING</t>
        </is>
      </c>
      <c r="F504" t="inlineStr">
        <is>
          <t>Övriga Aktiebolag</t>
        </is>
      </c>
      <c r="G504" t="n">
        <v>3.8</v>
      </c>
      <c r="H504" t="n">
        <v>0</v>
      </c>
      <c r="I504" t="n">
        <v>0</v>
      </c>
      <c r="J504" t="n">
        <v>0</v>
      </c>
      <c r="K504" t="n">
        <v>0</v>
      </c>
      <c r="L504" t="n">
        <v>0</v>
      </c>
      <c r="M504" t="n">
        <v>0</v>
      </c>
      <c r="N504" t="n">
        <v>0</v>
      </c>
      <c r="O504" t="n">
        <v>0</v>
      </c>
      <c r="P504" t="n">
        <v>0</v>
      </c>
      <c r="Q504" t="n">
        <v>0</v>
      </c>
      <c r="R504" s="2" t="inlineStr"/>
    </row>
    <row r="505" ht="15" customHeight="1">
      <c r="A505" t="inlineStr">
        <is>
          <t>A 22774-2024</t>
        </is>
      </c>
      <c r="B505" s="1" t="n">
        <v>45448.46924768519</v>
      </c>
      <c r="C505" s="1" t="n">
        <v>46002</v>
      </c>
      <c r="D505" t="inlineStr">
        <is>
          <t>ÖSTERGÖTLANDS LÄN</t>
        </is>
      </c>
      <c r="E505" t="inlineStr">
        <is>
          <t>LINKÖPING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22778-2024</t>
        </is>
      </c>
      <c r="B506" s="1" t="n">
        <v>45448.47233796296</v>
      </c>
      <c r="C506" s="1" t="n">
        <v>46002</v>
      </c>
      <c r="D506" t="inlineStr">
        <is>
          <t>ÖSTERGÖTLANDS LÄN</t>
        </is>
      </c>
      <c r="E506" t="inlineStr">
        <is>
          <t>LINKÖPING</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1209-2023</t>
        </is>
      </c>
      <c r="B507" s="1" t="n">
        <v>44930</v>
      </c>
      <c r="C507" s="1" t="n">
        <v>46002</v>
      </c>
      <c r="D507" t="inlineStr">
        <is>
          <t>ÖSTERGÖTLANDS LÄN</t>
        </is>
      </c>
      <c r="E507" t="inlineStr">
        <is>
          <t>LINKÖPING</t>
        </is>
      </c>
      <c r="F507" t="inlineStr">
        <is>
          <t>Övriga statliga verk och myndigheter</t>
        </is>
      </c>
      <c r="G507" t="n">
        <v>25.8</v>
      </c>
      <c r="H507" t="n">
        <v>0</v>
      </c>
      <c r="I507" t="n">
        <v>0</v>
      </c>
      <c r="J507" t="n">
        <v>0</v>
      </c>
      <c r="K507" t="n">
        <v>0</v>
      </c>
      <c r="L507" t="n">
        <v>0</v>
      </c>
      <c r="M507" t="n">
        <v>0</v>
      </c>
      <c r="N507" t="n">
        <v>0</v>
      </c>
      <c r="O507" t="n">
        <v>0</v>
      </c>
      <c r="P507" t="n">
        <v>0</v>
      </c>
      <c r="Q507" t="n">
        <v>0</v>
      </c>
      <c r="R507" s="2" t="inlineStr"/>
    </row>
    <row r="508" ht="15" customHeight="1">
      <c r="A508" t="inlineStr">
        <is>
          <t>A 52743-2025</t>
        </is>
      </c>
      <c r="B508" s="1" t="n">
        <v>45957.38039351852</v>
      </c>
      <c r="C508" s="1" t="n">
        <v>46002</v>
      </c>
      <c r="D508" t="inlineStr">
        <is>
          <t>ÖSTERGÖTLANDS LÄN</t>
        </is>
      </c>
      <c r="E508" t="inlineStr">
        <is>
          <t>LINKÖPING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52807-2025</t>
        </is>
      </c>
      <c r="B509" s="1" t="n">
        <v>45957.44837962963</v>
      </c>
      <c r="C509" s="1" t="n">
        <v>46002</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60703-2025</t>
        </is>
      </c>
      <c r="B510" s="1" t="n">
        <v>45996.6052662037</v>
      </c>
      <c r="C510" s="1" t="n">
        <v>46002</v>
      </c>
      <c r="D510" t="inlineStr">
        <is>
          <t>ÖSTERGÖTLANDS LÄN</t>
        </is>
      </c>
      <c r="E510" t="inlineStr">
        <is>
          <t>LINKÖPING</t>
        </is>
      </c>
      <c r="F510" t="inlineStr">
        <is>
          <t>Övriga Aktiebolag</t>
        </is>
      </c>
      <c r="G510" t="n">
        <v>1.3</v>
      </c>
      <c r="H510" t="n">
        <v>0</v>
      </c>
      <c r="I510" t="n">
        <v>0</v>
      </c>
      <c r="J510" t="n">
        <v>0</v>
      </c>
      <c r="K510" t="n">
        <v>0</v>
      </c>
      <c r="L510" t="n">
        <v>0</v>
      </c>
      <c r="M510" t="n">
        <v>0</v>
      </c>
      <c r="N510" t="n">
        <v>0</v>
      </c>
      <c r="O510" t="n">
        <v>0</v>
      </c>
      <c r="P510" t="n">
        <v>0</v>
      </c>
      <c r="Q510" t="n">
        <v>0</v>
      </c>
      <c r="R510" s="2" t="inlineStr"/>
    </row>
    <row r="511" ht="15" customHeight="1">
      <c r="A511" t="inlineStr">
        <is>
          <t>A 10407-2025</t>
        </is>
      </c>
      <c r="B511" s="1" t="n">
        <v>45720.62863425926</v>
      </c>
      <c r="C511" s="1" t="n">
        <v>46002</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11590-2023</t>
        </is>
      </c>
      <c r="B512" s="1" t="n">
        <v>44994.36689814815</v>
      </c>
      <c r="C512" s="1" t="n">
        <v>46002</v>
      </c>
      <c r="D512" t="inlineStr">
        <is>
          <t>ÖSTERGÖTLANDS LÄN</t>
        </is>
      </c>
      <c r="E512" t="inlineStr">
        <is>
          <t>LINKÖPING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19169-2023</t>
        </is>
      </c>
      <c r="B513" s="1" t="n">
        <v>45044</v>
      </c>
      <c r="C513" s="1" t="n">
        <v>46002</v>
      </c>
      <c r="D513" t="inlineStr">
        <is>
          <t>ÖSTERGÖTLANDS LÄN</t>
        </is>
      </c>
      <c r="E513" t="inlineStr">
        <is>
          <t>LINKÖPING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672-2024</t>
        </is>
      </c>
      <c r="B514" s="1" t="n">
        <v>45300</v>
      </c>
      <c r="C514" s="1" t="n">
        <v>46002</v>
      </c>
      <c r="D514" t="inlineStr">
        <is>
          <t>ÖSTERGÖTLANDS LÄN</t>
        </is>
      </c>
      <c r="E514" t="inlineStr">
        <is>
          <t>LINKÖPING</t>
        </is>
      </c>
      <c r="F514" t="inlineStr">
        <is>
          <t>Sveaskog</t>
        </is>
      </c>
      <c r="G514" t="n">
        <v>4.5</v>
      </c>
      <c r="H514" t="n">
        <v>0</v>
      </c>
      <c r="I514" t="n">
        <v>0</v>
      </c>
      <c r="J514" t="n">
        <v>0</v>
      </c>
      <c r="K514" t="n">
        <v>0</v>
      </c>
      <c r="L514" t="n">
        <v>0</v>
      </c>
      <c r="M514" t="n">
        <v>0</v>
      </c>
      <c r="N514" t="n">
        <v>0</v>
      </c>
      <c r="O514" t="n">
        <v>0</v>
      </c>
      <c r="P514" t="n">
        <v>0</v>
      </c>
      <c r="Q514" t="n">
        <v>0</v>
      </c>
      <c r="R514" s="2" t="inlineStr"/>
    </row>
    <row r="515" ht="15" customHeight="1">
      <c r="A515" t="inlineStr">
        <is>
          <t>A 55493-2021</t>
        </is>
      </c>
      <c r="B515" s="1" t="n">
        <v>44475.61988425926</v>
      </c>
      <c r="C515" s="1" t="n">
        <v>46002</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61447-2025</t>
        </is>
      </c>
      <c r="B516" s="1" t="n">
        <v>46001.57554398148</v>
      </c>
      <c r="C516" s="1" t="n">
        <v>46002</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14093-2024</t>
        </is>
      </c>
      <c r="B517" s="1" t="n">
        <v>45392.60278935185</v>
      </c>
      <c r="C517" s="1" t="n">
        <v>46002</v>
      </c>
      <c r="D517" t="inlineStr">
        <is>
          <t>ÖSTERGÖTLANDS LÄN</t>
        </is>
      </c>
      <c r="E517" t="inlineStr">
        <is>
          <t>LINKÖPING</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62019-2024</t>
        </is>
      </c>
      <c r="B518" s="1" t="n">
        <v>45655.82</v>
      </c>
      <c r="C518" s="1" t="n">
        <v>46002</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25119-2023</t>
        </is>
      </c>
      <c r="B519" s="1" t="n">
        <v>45086.42326388889</v>
      </c>
      <c r="C519" s="1" t="n">
        <v>46002</v>
      </c>
      <c r="D519" t="inlineStr">
        <is>
          <t>ÖSTERGÖTLANDS LÄN</t>
        </is>
      </c>
      <c r="E519" t="inlineStr">
        <is>
          <t>LINKÖPING</t>
        </is>
      </c>
      <c r="G519" t="n">
        <v>3.2</v>
      </c>
      <c r="H519" t="n">
        <v>0</v>
      </c>
      <c r="I519" t="n">
        <v>0</v>
      </c>
      <c r="J519" t="n">
        <v>0</v>
      </c>
      <c r="K519" t="n">
        <v>0</v>
      </c>
      <c r="L519" t="n">
        <v>0</v>
      </c>
      <c r="M519" t="n">
        <v>0</v>
      </c>
      <c r="N519" t="n">
        <v>0</v>
      </c>
      <c r="O519" t="n">
        <v>0</v>
      </c>
      <c r="P519" t="n">
        <v>0</v>
      </c>
      <c r="Q519" t="n">
        <v>0</v>
      </c>
      <c r="R519" s="2" t="inlineStr"/>
    </row>
    <row r="520" ht="15" customHeight="1">
      <c r="A520" t="inlineStr">
        <is>
          <t>A 61230-2025</t>
        </is>
      </c>
      <c r="B520" s="1" t="n">
        <v>46000.63111111111</v>
      </c>
      <c r="C520" s="1" t="n">
        <v>46002</v>
      </c>
      <c r="D520" t="inlineStr">
        <is>
          <t>ÖSTERGÖTLANDS LÄN</t>
        </is>
      </c>
      <c r="E520" t="inlineStr">
        <is>
          <t>LINKÖPING</t>
        </is>
      </c>
      <c r="F520" t="inlineStr">
        <is>
          <t>Kyrkan</t>
        </is>
      </c>
      <c r="G520" t="n">
        <v>2.1</v>
      </c>
      <c r="H520" t="n">
        <v>0</v>
      </c>
      <c r="I520" t="n">
        <v>0</v>
      </c>
      <c r="J520" t="n">
        <v>0</v>
      </c>
      <c r="K520" t="n">
        <v>0</v>
      </c>
      <c r="L520" t="n">
        <v>0</v>
      </c>
      <c r="M520" t="n">
        <v>0</v>
      </c>
      <c r="N520" t="n">
        <v>0</v>
      </c>
      <c r="O520" t="n">
        <v>0</v>
      </c>
      <c r="P520" t="n">
        <v>0</v>
      </c>
      <c r="Q520" t="n">
        <v>0</v>
      </c>
      <c r="R520" s="2" t="inlineStr"/>
    </row>
    <row r="521" ht="15" customHeight="1">
      <c r="A521" t="inlineStr">
        <is>
          <t>A 57396-2021</t>
        </is>
      </c>
      <c r="B521" s="1" t="n">
        <v>44483.56151620371</v>
      </c>
      <c r="C521" s="1" t="n">
        <v>46002</v>
      </c>
      <c r="D521" t="inlineStr">
        <is>
          <t>ÖSTERGÖTLANDS LÄN</t>
        </is>
      </c>
      <c r="E521" t="inlineStr">
        <is>
          <t>LINKÖPING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51571-2024</t>
        </is>
      </c>
      <c r="B522" s="1" t="n">
        <v>45604</v>
      </c>
      <c r="C522" s="1" t="n">
        <v>46002</v>
      </c>
      <c r="D522" t="inlineStr">
        <is>
          <t>ÖSTERGÖTLANDS LÄN</t>
        </is>
      </c>
      <c r="E522" t="inlineStr">
        <is>
          <t>LINKÖPING</t>
        </is>
      </c>
      <c r="F522" t="inlineStr">
        <is>
          <t>Övriga Aktiebolag</t>
        </is>
      </c>
      <c r="G522" t="n">
        <v>1.4</v>
      </c>
      <c r="H522" t="n">
        <v>0</v>
      </c>
      <c r="I522" t="n">
        <v>0</v>
      </c>
      <c r="J522" t="n">
        <v>0</v>
      </c>
      <c r="K522" t="n">
        <v>0</v>
      </c>
      <c r="L522" t="n">
        <v>0</v>
      </c>
      <c r="M522" t="n">
        <v>0</v>
      </c>
      <c r="N522" t="n">
        <v>0</v>
      </c>
      <c r="O522" t="n">
        <v>0</v>
      </c>
      <c r="P522" t="n">
        <v>0</v>
      </c>
      <c r="Q522" t="n">
        <v>0</v>
      </c>
      <c r="R522" s="2" t="inlineStr"/>
    </row>
    <row r="523" ht="15" customHeight="1">
      <c r="A523" t="inlineStr">
        <is>
          <t>A 17143-2025</t>
        </is>
      </c>
      <c r="B523" s="1" t="n">
        <v>45755.92731481481</v>
      </c>
      <c r="C523" s="1" t="n">
        <v>46002</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17124-2025</t>
        </is>
      </c>
      <c r="B524" s="1" t="n">
        <v>45755.69678240741</v>
      </c>
      <c r="C524" s="1" t="n">
        <v>46002</v>
      </c>
      <c r="D524" t="inlineStr">
        <is>
          <t>ÖSTERGÖTLANDS LÄN</t>
        </is>
      </c>
      <c r="E524" t="inlineStr">
        <is>
          <t>LINKÖPING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17126-2025</t>
        </is>
      </c>
      <c r="B525" s="1" t="n">
        <v>45755.70814814815</v>
      </c>
      <c r="C525" s="1" t="n">
        <v>46002</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31640-2023</t>
        </is>
      </c>
      <c r="B526" s="1" t="n">
        <v>45117</v>
      </c>
      <c r="C526" s="1" t="n">
        <v>46002</v>
      </c>
      <c r="D526" t="inlineStr">
        <is>
          <t>ÖSTERGÖTLANDS LÄN</t>
        </is>
      </c>
      <c r="E526" t="inlineStr">
        <is>
          <t>LINKÖPING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11790-2024</t>
        </is>
      </c>
      <c r="B527" s="1" t="n">
        <v>45374</v>
      </c>
      <c r="C527" s="1" t="n">
        <v>46002</v>
      </c>
      <c r="D527" t="inlineStr">
        <is>
          <t>ÖSTERGÖTLANDS LÄN</t>
        </is>
      </c>
      <c r="E527" t="inlineStr">
        <is>
          <t>LINKÖPING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61281-2021</t>
        </is>
      </c>
      <c r="B528" s="1" t="n">
        <v>44498.60736111111</v>
      </c>
      <c r="C528" s="1" t="n">
        <v>46002</v>
      </c>
      <c r="D528" t="inlineStr">
        <is>
          <t>ÖSTERGÖTLANDS LÄN</t>
        </is>
      </c>
      <c r="E528" t="inlineStr">
        <is>
          <t>LINKÖPING</t>
        </is>
      </c>
      <c r="G528" t="n">
        <v>4.5</v>
      </c>
      <c r="H528" t="n">
        <v>0</v>
      </c>
      <c r="I528" t="n">
        <v>0</v>
      </c>
      <c r="J528" t="n">
        <v>0</v>
      </c>
      <c r="K528" t="n">
        <v>0</v>
      </c>
      <c r="L528" t="n">
        <v>0</v>
      </c>
      <c r="M528" t="n">
        <v>0</v>
      </c>
      <c r="N528" t="n">
        <v>0</v>
      </c>
      <c r="O528" t="n">
        <v>0</v>
      </c>
      <c r="P528" t="n">
        <v>0</v>
      </c>
      <c r="Q528" t="n">
        <v>0</v>
      </c>
      <c r="R528" s="2" t="inlineStr"/>
    </row>
    <row r="529" ht="15" customHeight="1">
      <c r="A529" t="inlineStr">
        <is>
          <t>A 6206-2024</t>
        </is>
      </c>
      <c r="B529" s="1" t="n">
        <v>45337.5977662037</v>
      </c>
      <c r="C529" s="1" t="n">
        <v>46002</v>
      </c>
      <c r="D529" t="inlineStr">
        <is>
          <t>ÖSTERGÖTLANDS LÄN</t>
        </is>
      </c>
      <c r="E529" t="inlineStr">
        <is>
          <t>LINKÖPING</t>
        </is>
      </c>
      <c r="G529" t="n">
        <v>2</v>
      </c>
      <c r="H529" t="n">
        <v>0</v>
      </c>
      <c r="I529" t="n">
        <v>0</v>
      </c>
      <c r="J529" t="n">
        <v>0</v>
      </c>
      <c r="K529" t="n">
        <v>0</v>
      </c>
      <c r="L529" t="n">
        <v>0</v>
      </c>
      <c r="M529" t="n">
        <v>0</v>
      </c>
      <c r="N529" t="n">
        <v>0</v>
      </c>
      <c r="O529" t="n">
        <v>0</v>
      </c>
      <c r="P529" t="n">
        <v>0</v>
      </c>
      <c r="Q529" t="n">
        <v>0</v>
      </c>
      <c r="R529" s="2" t="inlineStr"/>
    </row>
    <row r="530" ht="15" customHeight="1">
      <c r="A530" t="inlineStr">
        <is>
          <t>A 168-2024</t>
        </is>
      </c>
      <c r="B530" s="1" t="n">
        <v>45294</v>
      </c>
      <c r="C530" s="1" t="n">
        <v>46002</v>
      </c>
      <c r="D530" t="inlineStr">
        <is>
          <t>ÖSTERGÖTLANDS LÄN</t>
        </is>
      </c>
      <c r="E530" t="inlineStr">
        <is>
          <t>LINKÖPING</t>
        </is>
      </c>
      <c r="F530" t="inlineStr">
        <is>
          <t>Allmännings- och besparingsskogar</t>
        </is>
      </c>
      <c r="G530" t="n">
        <v>8.9</v>
      </c>
      <c r="H530" t="n">
        <v>0</v>
      </c>
      <c r="I530" t="n">
        <v>0</v>
      </c>
      <c r="J530" t="n">
        <v>0</v>
      </c>
      <c r="K530" t="n">
        <v>0</v>
      </c>
      <c r="L530" t="n">
        <v>0</v>
      </c>
      <c r="M530" t="n">
        <v>0</v>
      </c>
      <c r="N530" t="n">
        <v>0</v>
      </c>
      <c r="O530" t="n">
        <v>0</v>
      </c>
      <c r="P530" t="n">
        <v>0</v>
      </c>
      <c r="Q530" t="n">
        <v>0</v>
      </c>
      <c r="R530" s="2" t="inlineStr"/>
    </row>
    <row r="531" ht="15" customHeight="1">
      <c r="A531" t="inlineStr">
        <is>
          <t>A 51919-2024</t>
        </is>
      </c>
      <c r="B531" s="1" t="n">
        <v>45607.60791666667</v>
      </c>
      <c r="C531" s="1" t="n">
        <v>46002</v>
      </c>
      <c r="D531" t="inlineStr">
        <is>
          <t>ÖSTERGÖTLANDS LÄN</t>
        </is>
      </c>
      <c r="E531" t="inlineStr">
        <is>
          <t>LINKÖPING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56623-2024</t>
        </is>
      </c>
      <c r="B532" s="1" t="n">
        <v>45625</v>
      </c>
      <c r="C532" s="1" t="n">
        <v>46002</v>
      </c>
      <c r="D532" t="inlineStr">
        <is>
          <t>ÖSTERGÖTLANDS LÄN</t>
        </is>
      </c>
      <c r="E532" t="inlineStr">
        <is>
          <t>LINKÖPING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11330-2023</t>
        </is>
      </c>
      <c r="B533" s="1" t="n">
        <v>44993.24648148148</v>
      </c>
      <c r="C533" s="1" t="n">
        <v>46002</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63304-2021</t>
        </is>
      </c>
      <c r="B534" s="1" t="n">
        <v>44508.4396412037</v>
      </c>
      <c r="C534" s="1" t="n">
        <v>46002</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14528-2025</t>
        </is>
      </c>
      <c r="B535" s="1" t="n">
        <v>45741</v>
      </c>
      <c r="C535" s="1" t="n">
        <v>46002</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3530-2024</t>
        </is>
      </c>
      <c r="B536" s="1" t="n">
        <v>45320.54717592592</v>
      </c>
      <c r="C536" s="1" t="n">
        <v>46002</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62073-2023</t>
        </is>
      </c>
      <c r="B537" s="1" t="n">
        <v>45266.73844907407</v>
      </c>
      <c r="C537" s="1" t="n">
        <v>46002</v>
      </c>
      <c r="D537" t="inlineStr">
        <is>
          <t>ÖSTERGÖTLANDS LÄN</t>
        </is>
      </c>
      <c r="E537" t="inlineStr">
        <is>
          <t>LINKÖPING</t>
        </is>
      </c>
      <c r="F537" t="inlineStr">
        <is>
          <t>Allmännings- och besparingsskogar</t>
        </is>
      </c>
      <c r="G537" t="n">
        <v>1.8</v>
      </c>
      <c r="H537" t="n">
        <v>0</v>
      </c>
      <c r="I537" t="n">
        <v>0</v>
      </c>
      <c r="J537" t="n">
        <v>0</v>
      </c>
      <c r="K537" t="n">
        <v>0</v>
      </c>
      <c r="L537" t="n">
        <v>0</v>
      </c>
      <c r="M537" t="n">
        <v>0</v>
      </c>
      <c r="N537" t="n">
        <v>0</v>
      </c>
      <c r="O537" t="n">
        <v>0</v>
      </c>
      <c r="P537" t="n">
        <v>0</v>
      </c>
      <c r="Q537" t="n">
        <v>0</v>
      </c>
      <c r="R537" s="2" t="inlineStr"/>
    </row>
    <row r="538" ht="15" customHeight="1">
      <c r="A538" t="inlineStr">
        <is>
          <t>A 5872-2025</t>
        </is>
      </c>
      <c r="B538" s="1" t="n">
        <v>45695.36659722222</v>
      </c>
      <c r="C538" s="1" t="n">
        <v>46002</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53814-2023</t>
        </is>
      </c>
      <c r="B539" s="1" t="n">
        <v>45231</v>
      </c>
      <c r="C539" s="1" t="n">
        <v>46002</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3432-2023</t>
        </is>
      </c>
      <c r="B540" s="1" t="n">
        <v>44949</v>
      </c>
      <c r="C540" s="1" t="n">
        <v>46002</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54425-2022</t>
        </is>
      </c>
      <c r="B541" s="1" t="n">
        <v>44882.57453703704</v>
      </c>
      <c r="C541" s="1" t="n">
        <v>46002</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54428-2022</t>
        </is>
      </c>
      <c r="B542" s="1" t="n">
        <v>44882.57643518518</v>
      </c>
      <c r="C542" s="1" t="n">
        <v>46002</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660-2023</t>
        </is>
      </c>
      <c r="B543" s="1" t="n">
        <v>44930</v>
      </c>
      <c r="C543" s="1" t="n">
        <v>46002</v>
      </c>
      <c r="D543" t="inlineStr">
        <is>
          <t>ÖSTERGÖTLANDS LÄN</t>
        </is>
      </c>
      <c r="E543" t="inlineStr">
        <is>
          <t>LINKÖPING</t>
        </is>
      </c>
      <c r="F543" t="inlineStr">
        <is>
          <t>Kyrkan</t>
        </is>
      </c>
      <c r="G543" t="n">
        <v>1.6</v>
      </c>
      <c r="H543" t="n">
        <v>0</v>
      </c>
      <c r="I543" t="n">
        <v>0</v>
      </c>
      <c r="J543" t="n">
        <v>0</v>
      </c>
      <c r="K543" t="n">
        <v>0</v>
      </c>
      <c r="L543" t="n">
        <v>0</v>
      </c>
      <c r="M543" t="n">
        <v>0</v>
      </c>
      <c r="N543" t="n">
        <v>0</v>
      </c>
      <c r="O543" t="n">
        <v>0</v>
      </c>
      <c r="P543" t="n">
        <v>0</v>
      </c>
      <c r="Q543" t="n">
        <v>0</v>
      </c>
      <c r="R543" s="2" t="inlineStr"/>
    </row>
    <row r="544" ht="15" customHeight="1">
      <c r="A544" t="inlineStr">
        <is>
          <t>A 62501-2023</t>
        </is>
      </c>
      <c r="B544" s="1" t="n">
        <v>45268</v>
      </c>
      <c r="C544" s="1" t="n">
        <v>46002</v>
      </c>
      <c r="D544" t="inlineStr">
        <is>
          <t>ÖSTERGÖTLANDS LÄN</t>
        </is>
      </c>
      <c r="E544" t="inlineStr">
        <is>
          <t>LINKÖPING</t>
        </is>
      </c>
      <c r="G544" t="n">
        <v>7.4</v>
      </c>
      <c r="H544" t="n">
        <v>0</v>
      </c>
      <c r="I544" t="n">
        <v>0</v>
      </c>
      <c r="J544" t="n">
        <v>0</v>
      </c>
      <c r="K544" t="n">
        <v>0</v>
      </c>
      <c r="L544" t="n">
        <v>0</v>
      </c>
      <c r="M544" t="n">
        <v>0</v>
      </c>
      <c r="N544" t="n">
        <v>0</v>
      </c>
      <c r="O544" t="n">
        <v>0</v>
      </c>
      <c r="P544" t="n">
        <v>0</v>
      </c>
      <c r="Q544" t="n">
        <v>0</v>
      </c>
      <c r="R544" s="2" t="inlineStr"/>
    </row>
    <row r="545" ht="15" customHeight="1">
      <c r="A545" t="inlineStr">
        <is>
          <t>A 13413-2023</t>
        </is>
      </c>
      <c r="B545" s="1" t="n">
        <v>45005.58341435185</v>
      </c>
      <c r="C545" s="1" t="n">
        <v>46002</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26620-2023</t>
        </is>
      </c>
      <c r="B546" s="1" t="n">
        <v>45092.70390046296</v>
      </c>
      <c r="C546" s="1" t="n">
        <v>46002</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16462-2021</t>
        </is>
      </c>
      <c r="B547" s="1" t="n">
        <v>44293</v>
      </c>
      <c r="C547" s="1" t="n">
        <v>46002</v>
      </c>
      <c r="D547" t="inlineStr">
        <is>
          <t>ÖSTERGÖTLANDS LÄN</t>
        </is>
      </c>
      <c r="E547" t="inlineStr">
        <is>
          <t>LINKÖPING</t>
        </is>
      </c>
      <c r="F547" t="inlineStr">
        <is>
          <t>Allmännings- och besparingsskogar</t>
        </is>
      </c>
      <c r="G547" t="n">
        <v>24.7</v>
      </c>
      <c r="H547" t="n">
        <v>0</v>
      </c>
      <c r="I547" t="n">
        <v>0</v>
      </c>
      <c r="J547" t="n">
        <v>0</v>
      </c>
      <c r="K547" t="n">
        <v>0</v>
      </c>
      <c r="L547" t="n">
        <v>0</v>
      </c>
      <c r="M547" t="n">
        <v>0</v>
      </c>
      <c r="N547" t="n">
        <v>0</v>
      </c>
      <c r="O547" t="n">
        <v>0</v>
      </c>
      <c r="P547" t="n">
        <v>0</v>
      </c>
      <c r="Q547" t="n">
        <v>0</v>
      </c>
      <c r="R547" s="2" t="inlineStr"/>
    </row>
    <row r="548" ht="15" customHeight="1">
      <c r="A548" t="inlineStr">
        <is>
          <t>A 63554-2023</t>
        </is>
      </c>
      <c r="B548" s="1" t="n">
        <v>45275</v>
      </c>
      <c r="C548" s="1" t="n">
        <v>46002</v>
      </c>
      <c r="D548" t="inlineStr">
        <is>
          <t>ÖSTERGÖTLANDS LÄN</t>
        </is>
      </c>
      <c r="E548" t="inlineStr">
        <is>
          <t>LINKÖPING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63638-2023</t>
        </is>
      </c>
      <c r="B549" s="1" t="n">
        <v>45275</v>
      </c>
      <c r="C549" s="1" t="n">
        <v>46002</v>
      </c>
      <c r="D549" t="inlineStr">
        <is>
          <t>ÖSTERGÖTLANDS LÄN</t>
        </is>
      </c>
      <c r="E549" t="inlineStr">
        <is>
          <t>LINKÖPING</t>
        </is>
      </c>
      <c r="F549" t="inlineStr">
        <is>
          <t>Övriga Aktiebolag</t>
        </is>
      </c>
      <c r="G549" t="n">
        <v>2.4</v>
      </c>
      <c r="H549" t="n">
        <v>0</v>
      </c>
      <c r="I549" t="n">
        <v>0</v>
      </c>
      <c r="J549" t="n">
        <v>0</v>
      </c>
      <c r="K549" t="n">
        <v>0</v>
      </c>
      <c r="L549" t="n">
        <v>0</v>
      </c>
      <c r="M549" t="n">
        <v>0</v>
      </c>
      <c r="N549" t="n">
        <v>0</v>
      </c>
      <c r="O549" t="n">
        <v>0</v>
      </c>
      <c r="P549" t="n">
        <v>0</v>
      </c>
      <c r="Q549" t="n">
        <v>0</v>
      </c>
      <c r="R549" s="2" t="inlineStr"/>
    </row>
    <row r="550" ht="15" customHeight="1">
      <c r="A550" t="inlineStr">
        <is>
          <t>A 63658-2023</t>
        </is>
      </c>
      <c r="B550" s="1" t="n">
        <v>45275</v>
      </c>
      <c r="C550" s="1" t="n">
        <v>46002</v>
      </c>
      <c r="D550" t="inlineStr">
        <is>
          <t>ÖSTERGÖTLANDS LÄN</t>
        </is>
      </c>
      <c r="E550" t="inlineStr">
        <is>
          <t>LINKÖPING</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16820-2024</t>
        </is>
      </c>
      <c r="B551" s="1" t="n">
        <v>45411.46809027778</v>
      </c>
      <c r="C551" s="1" t="n">
        <v>46002</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4456-2024</t>
        </is>
      </c>
      <c r="B552" s="1" t="n">
        <v>45327.52847222222</v>
      </c>
      <c r="C552" s="1" t="n">
        <v>46002</v>
      </c>
      <c r="D552" t="inlineStr">
        <is>
          <t>ÖSTERGÖTLANDS LÄN</t>
        </is>
      </c>
      <c r="E552" t="inlineStr">
        <is>
          <t>LINKÖPING</t>
        </is>
      </c>
      <c r="G552" t="n">
        <v>2.7</v>
      </c>
      <c r="H552" t="n">
        <v>0</v>
      </c>
      <c r="I552" t="n">
        <v>0</v>
      </c>
      <c r="J552" t="n">
        <v>0</v>
      </c>
      <c r="K552" t="n">
        <v>0</v>
      </c>
      <c r="L552" t="n">
        <v>0</v>
      </c>
      <c r="M552" t="n">
        <v>0</v>
      </c>
      <c r="N552" t="n">
        <v>0</v>
      </c>
      <c r="O552" t="n">
        <v>0</v>
      </c>
      <c r="P552" t="n">
        <v>0</v>
      </c>
      <c r="Q552" t="n">
        <v>0</v>
      </c>
      <c r="R552" s="2" t="inlineStr"/>
    </row>
    <row r="553" ht="15" customHeight="1">
      <c r="A553" t="inlineStr">
        <is>
          <t>A 20298-2025</t>
        </is>
      </c>
      <c r="B553" s="1" t="n">
        <v>45774.75024305555</v>
      </c>
      <c r="C553" s="1" t="n">
        <v>46002</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15121-2022</t>
        </is>
      </c>
      <c r="B554" s="1" t="n">
        <v>44658</v>
      </c>
      <c r="C554" s="1" t="n">
        <v>46002</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50743-2023</t>
        </is>
      </c>
      <c r="B555" s="1" t="n">
        <v>45217</v>
      </c>
      <c r="C555" s="1" t="n">
        <v>46002</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1440-2021</t>
        </is>
      </c>
      <c r="B556" s="1" t="n">
        <v>44208</v>
      </c>
      <c r="C556" s="1" t="n">
        <v>46002</v>
      </c>
      <c r="D556" t="inlineStr">
        <is>
          <t>ÖSTERGÖTLANDS LÄN</t>
        </is>
      </c>
      <c r="E556" t="inlineStr">
        <is>
          <t>LINKÖPING</t>
        </is>
      </c>
      <c r="G556" t="n">
        <v>8.4</v>
      </c>
      <c r="H556" t="n">
        <v>0</v>
      </c>
      <c r="I556" t="n">
        <v>0</v>
      </c>
      <c r="J556" t="n">
        <v>0</v>
      </c>
      <c r="K556" t="n">
        <v>0</v>
      </c>
      <c r="L556" t="n">
        <v>0</v>
      </c>
      <c r="M556" t="n">
        <v>0</v>
      </c>
      <c r="N556" t="n">
        <v>0</v>
      </c>
      <c r="O556" t="n">
        <v>0</v>
      </c>
      <c r="P556" t="n">
        <v>0</v>
      </c>
      <c r="Q556" t="n">
        <v>0</v>
      </c>
      <c r="R556" s="2" t="inlineStr"/>
    </row>
    <row r="557" ht="15" customHeight="1">
      <c r="A557" t="inlineStr">
        <is>
          <t>A 13687-2025</t>
        </is>
      </c>
      <c r="B557" s="1" t="n">
        <v>45737.31425925926</v>
      </c>
      <c r="C557" s="1" t="n">
        <v>46002</v>
      </c>
      <c r="D557" t="inlineStr">
        <is>
          <t>ÖSTERGÖTLANDS LÄN</t>
        </is>
      </c>
      <c r="E557" t="inlineStr">
        <is>
          <t>LINKÖPING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13695-2025</t>
        </is>
      </c>
      <c r="B558" s="1" t="n">
        <v>45737.32219907407</v>
      </c>
      <c r="C558" s="1" t="n">
        <v>46002</v>
      </c>
      <c r="D558" t="inlineStr">
        <is>
          <t>ÖSTERGÖTLANDS LÄN</t>
        </is>
      </c>
      <c r="E558" t="inlineStr">
        <is>
          <t>LINKÖPING</t>
        </is>
      </c>
      <c r="G558" t="n">
        <v>5.3</v>
      </c>
      <c r="H558" t="n">
        <v>0</v>
      </c>
      <c r="I558" t="n">
        <v>0</v>
      </c>
      <c r="J558" t="n">
        <v>0</v>
      </c>
      <c r="K558" t="n">
        <v>0</v>
      </c>
      <c r="L558" t="n">
        <v>0</v>
      </c>
      <c r="M558" t="n">
        <v>0</v>
      </c>
      <c r="N558" t="n">
        <v>0</v>
      </c>
      <c r="O558" t="n">
        <v>0</v>
      </c>
      <c r="P558" t="n">
        <v>0</v>
      </c>
      <c r="Q558" t="n">
        <v>0</v>
      </c>
      <c r="R558" s="2" t="inlineStr"/>
    </row>
    <row r="559" ht="15" customHeight="1">
      <c r="A559" t="inlineStr">
        <is>
          <t>A 20294-2025</t>
        </is>
      </c>
      <c r="B559" s="1" t="n">
        <v>45774.74667824074</v>
      </c>
      <c r="C559" s="1" t="n">
        <v>46002</v>
      </c>
      <c r="D559" t="inlineStr">
        <is>
          <t>ÖSTERGÖTLANDS LÄN</t>
        </is>
      </c>
      <c r="E559" t="inlineStr">
        <is>
          <t>LINKÖPING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17128-2025</t>
        </is>
      </c>
      <c r="B560" s="1" t="n">
        <v>45755.72622685185</v>
      </c>
      <c r="C560" s="1" t="n">
        <v>46002</v>
      </c>
      <c r="D560" t="inlineStr">
        <is>
          <t>ÖSTERGÖTLANDS LÄN</t>
        </is>
      </c>
      <c r="E560" t="inlineStr">
        <is>
          <t>LINKÖPING</t>
        </is>
      </c>
      <c r="G560" t="n">
        <v>2.9</v>
      </c>
      <c r="H560" t="n">
        <v>0</v>
      </c>
      <c r="I560" t="n">
        <v>0</v>
      </c>
      <c r="J560" t="n">
        <v>0</v>
      </c>
      <c r="K560" t="n">
        <v>0</v>
      </c>
      <c r="L560" t="n">
        <v>0</v>
      </c>
      <c r="M560" t="n">
        <v>0</v>
      </c>
      <c r="N560" t="n">
        <v>0</v>
      </c>
      <c r="O560" t="n">
        <v>0</v>
      </c>
      <c r="P560" t="n">
        <v>0</v>
      </c>
      <c r="Q560" t="n">
        <v>0</v>
      </c>
      <c r="R560" s="2" t="inlineStr"/>
    </row>
    <row r="561" ht="15" customHeight="1">
      <c r="A561" t="inlineStr">
        <is>
          <t>A 52125-2022</t>
        </is>
      </c>
      <c r="B561" s="1" t="n">
        <v>44873</v>
      </c>
      <c r="C561" s="1" t="n">
        <v>46002</v>
      </c>
      <c r="D561" t="inlineStr">
        <is>
          <t>ÖSTERGÖTLANDS LÄN</t>
        </is>
      </c>
      <c r="E561" t="inlineStr">
        <is>
          <t>LINKÖPING</t>
        </is>
      </c>
      <c r="F561" t="inlineStr">
        <is>
          <t>Övriga Aktiebolag</t>
        </is>
      </c>
      <c r="G561" t="n">
        <v>0.7</v>
      </c>
      <c r="H561" t="n">
        <v>0</v>
      </c>
      <c r="I561" t="n">
        <v>0</v>
      </c>
      <c r="J561" t="n">
        <v>0</v>
      </c>
      <c r="K561" t="n">
        <v>0</v>
      </c>
      <c r="L561" t="n">
        <v>0</v>
      </c>
      <c r="M561" t="n">
        <v>0</v>
      </c>
      <c r="N561" t="n">
        <v>0</v>
      </c>
      <c r="O561" t="n">
        <v>0</v>
      </c>
      <c r="P561" t="n">
        <v>0</v>
      </c>
      <c r="Q561" t="n">
        <v>0</v>
      </c>
      <c r="R561" s="2" t="inlineStr"/>
    </row>
    <row r="562" ht="15" customHeight="1">
      <c r="A562" t="inlineStr">
        <is>
          <t>A 27343-2023</t>
        </is>
      </c>
      <c r="B562" s="1" t="n">
        <v>45096</v>
      </c>
      <c r="C562" s="1" t="n">
        <v>46002</v>
      </c>
      <c r="D562" t="inlineStr">
        <is>
          <t>ÖSTERGÖTLANDS LÄN</t>
        </is>
      </c>
      <c r="E562" t="inlineStr">
        <is>
          <t>LINKÖPING</t>
        </is>
      </c>
      <c r="F562" t="inlineStr">
        <is>
          <t>Allmännings- och besparingsskogar</t>
        </is>
      </c>
      <c r="G562" t="n">
        <v>6.9</v>
      </c>
      <c r="H562" t="n">
        <v>0</v>
      </c>
      <c r="I562" t="n">
        <v>0</v>
      </c>
      <c r="J562" t="n">
        <v>0</v>
      </c>
      <c r="K562" t="n">
        <v>0</v>
      </c>
      <c r="L562" t="n">
        <v>0</v>
      </c>
      <c r="M562" t="n">
        <v>0</v>
      </c>
      <c r="N562" t="n">
        <v>0</v>
      </c>
      <c r="O562" t="n">
        <v>0</v>
      </c>
      <c r="P562" t="n">
        <v>0</v>
      </c>
      <c r="Q562" t="n">
        <v>0</v>
      </c>
      <c r="R562" s="2" t="inlineStr"/>
    </row>
    <row r="563" ht="15" customHeight="1">
      <c r="A563" t="inlineStr">
        <is>
          <t>A 22842-2023</t>
        </is>
      </c>
      <c r="B563" s="1" t="n">
        <v>45071</v>
      </c>
      <c r="C563" s="1" t="n">
        <v>46002</v>
      </c>
      <c r="D563" t="inlineStr">
        <is>
          <t>ÖSTERGÖTLANDS LÄN</t>
        </is>
      </c>
      <c r="E563" t="inlineStr">
        <is>
          <t>LINKÖPING</t>
        </is>
      </c>
      <c r="F563" t="inlineStr">
        <is>
          <t>Kommuner</t>
        </is>
      </c>
      <c r="G563" t="n">
        <v>1.3</v>
      </c>
      <c r="H563" t="n">
        <v>0</v>
      </c>
      <c r="I563" t="n">
        <v>0</v>
      </c>
      <c r="J563" t="n">
        <v>0</v>
      </c>
      <c r="K563" t="n">
        <v>0</v>
      </c>
      <c r="L563" t="n">
        <v>0</v>
      </c>
      <c r="M563" t="n">
        <v>0</v>
      </c>
      <c r="N563" t="n">
        <v>0</v>
      </c>
      <c r="O563" t="n">
        <v>0</v>
      </c>
      <c r="P563" t="n">
        <v>0</v>
      </c>
      <c r="Q563" t="n">
        <v>0</v>
      </c>
      <c r="R563" s="2" t="inlineStr"/>
    </row>
    <row r="564" ht="15" customHeight="1">
      <c r="A564" t="inlineStr">
        <is>
          <t>A 14520-2025</t>
        </is>
      </c>
      <c r="B564" s="1" t="n">
        <v>45741</v>
      </c>
      <c r="C564" s="1" t="n">
        <v>46002</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31548-2022</t>
        </is>
      </c>
      <c r="B565" s="1" t="n">
        <v>44775.39832175926</v>
      </c>
      <c r="C565" s="1" t="n">
        <v>46002</v>
      </c>
      <c r="D565" t="inlineStr">
        <is>
          <t>ÖSTERGÖTLANDS LÄN</t>
        </is>
      </c>
      <c r="E565" t="inlineStr">
        <is>
          <t>LINKÖPING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62017-2024</t>
        </is>
      </c>
      <c r="B566" s="1" t="n">
        <v>45655.81140046296</v>
      </c>
      <c r="C566" s="1" t="n">
        <v>46002</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17785-2023</t>
        </is>
      </c>
      <c r="B567" s="1" t="n">
        <v>45037.55094907407</v>
      </c>
      <c r="C567" s="1" t="n">
        <v>46002</v>
      </c>
      <c r="D567" t="inlineStr">
        <is>
          <t>ÖSTERGÖTLANDS LÄN</t>
        </is>
      </c>
      <c r="E567" t="inlineStr">
        <is>
          <t>LINKÖPING</t>
        </is>
      </c>
      <c r="F567" t="inlineStr">
        <is>
          <t>Allmännings- och besparingsskogar</t>
        </is>
      </c>
      <c r="G567" t="n">
        <v>3.1</v>
      </c>
      <c r="H567" t="n">
        <v>0</v>
      </c>
      <c r="I567" t="n">
        <v>0</v>
      </c>
      <c r="J567" t="n">
        <v>0</v>
      </c>
      <c r="K567" t="n">
        <v>0</v>
      </c>
      <c r="L567" t="n">
        <v>0</v>
      </c>
      <c r="M567" t="n">
        <v>0</v>
      </c>
      <c r="N567" t="n">
        <v>0</v>
      </c>
      <c r="O567" t="n">
        <v>0</v>
      </c>
      <c r="P567" t="n">
        <v>0</v>
      </c>
      <c r="Q567" t="n">
        <v>0</v>
      </c>
      <c r="R567" s="2" t="inlineStr"/>
    </row>
    <row r="568" ht="15" customHeight="1">
      <c r="A568" t="inlineStr">
        <is>
          <t>A 62686-2023</t>
        </is>
      </c>
      <c r="B568" s="1" t="n">
        <v>45271</v>
      </c>
      <c r="C568" s="1" t="n">
        <v>46002</v>
      </c>
      <c r="D568" t="inlineStr">
        <is>
          <t>ÖSTERGÖTLANDS LÄN</t>
        </is>
      </c>
      <c r="E568" t="inlineStr">
        <is>
          <t>LINKÖPING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42044-2023</t>
        </is>
      </c>
      <c r="B569" s="1" t="n">
        <v>45177</v>
      </c>
      <c r="C569" s="1" t="n">
        <v>46002</v>
      </c>
      <c r="D569" t="inlineStr">
        <is>
          <t>ÖSTERGÖTLANDS LÄN</t>
        </is>
      </c>
      <c r="E569" t="inlineStr">
        <is>
          <t>LINKÖPING</t>
        </is>
      </c>
      <c r="G569" t="n">
        <v>3.9</v>
      </c>
      <c r="H569" t="n">
        <v>0</v>
      </c>
      <c r="I569" t="n">
        <v>0</v>
      </c>
      <c r="J569" t="n">
        <v>0</v>
      </c>
      <c r="K569" t="n">
        <v>0</v>
      </c>
      <c r="L569" t="n">
        <v>0</v>
      </c>
      <c r="M569" t="n">
        <v>0</v>
      </c>
      <c r="N569" t="n">
        <v>0</v>
      </c>
      <c r="O569" t="n">
        <v>0</v>
      </c>
      <c r="P569" t="n">
        <v>0</v>
      </c>
      <c r="Q569" t="n">
        <v>0</v>
      </c>
      <c r="R569" s="2" t="inlineStr"/>
    </row>
    <row r="570" ht="15" customHeight="1">
      <c r="A570" t="inlineStr">
        <is>
          <t>A 5314-2021</t>
        </is>
      </c>
      <c r="B570" s="1" t="n">
        <v>44229</v>
      </c>
      <c r="C570" s="1" t="n">
        <v>46002</v>
      </c>
      <c r="D570" t="inlineStr">
        <is>
          <t>ÖSTERGÖTLANDS LÄN</t>
        </is>
      </c>
      <c r="E570" t="inlineStr">
        <is>
          <t>LINKÖPING</t>
        </is>
      </c>
      <c r="G570" t="n">
        <v>6.2</v>
      </c>
      <c r="H570" t="n">
        <v>0</v>
      </c>
      <c r="I570" t="n">
        <v>0</v>
      </c>
      <c r="J570" t="n">
        <v>0</v>
      </c>
      <c r="K570" t="n">
        <v>0</v>
      </c>
      <c r="L570" t="n">
        <v>0</v>
      </c>
      <c r="M570" t="n">
        <v>0</v>
      </c>
      <c r="N570" t="n">
        <v>0</v>
      </c>
      <c r="O570" t="n">
        <v>0</v>
      </c>
      <c r="P570" t="n">
        <v>0</v>
      </c>
      <c r="Q570" t="n">
        <v>0</v>
      </c>
      <c r="R570" s="2" t="inlineStr"/>
    </row>
    <row r="571" ht="15" customHeight="1">
      <c r="A571" t="inlineStr">
        <is>
          <t>A 49656-2021</t>
        </is>
      </c>
      <c r="B571" s="1" t="n">
        <v>44454</v>
      </c>
      <c r="C571" s="1" t="n">
        <v>46002</v>
      </c>
      <c r="D571" t="inlineStr">
        <is>
          <t>ÖSTERGÖTLANDS LÄN</t>
        </is>
      </c>
      <c r="E571" t="inlineStr">
        <is>
          <t>LINKÖPING</t>
        </is>
      </c>
      <c r="G571" t="n">
        <v>2.3</v>
      </c>
      <c r="H571" t="n">
        <v>0</v>
      </c>
      <c r="I571" t="n">
        <v>0</v>
      </c>
      <c r="J571" t="n">
        <v>0</v>
      </c>
      <c r="K571" t="n">
        <v>0</v>
      </c>
      <c r="L571" t="n">
        <v>0</v>
      </c>
      <c r="M571" t="n">
        <v>0</v>
      </c>
      <c r="N571" t="n">
        <v>0</v>
      </c>
      <c r="O571" t="n">
        <v>0</v>
      </c>
      <c r="P571" t="n">
        <v>0</v>
      </c>
      <c r="Q571" t="n">
        <v>0</v>
      </c>
      <c r="R571" s="2" t="inlineStr"/>
    </row>
    <row r="572" ht="15" customHeight="1">
      <c r="A572" t="inlineStr">
        <is>
          <t>A 38230-2023</t>
        </is>
      </c>
      <c r="B572" s="1" t="n">
        <v>45161.55373842592</v>
      </c>
      <c r="C572" s="1" t="n">
        <v>46002</v>
      </c>
      <c r="D572" t="inlineStr">
        <is>
          <t>ÖSTERGÖTLANDS LÄN</t>
        </is>
      </c>
      <c r="E572" t="inlineStr">
        <is>
          <t>LINKÖPING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45442-2024</t>
        </is>
      </c>
      <c r="B573" s="1" t="n">
        <v>45576.64189814815</v>
      </c>
      <c r="C573" s="1" t="n">
        <v>46002</v>
      </c>
      <c r="D573" t="inlineStr">
        <is>
          <t>ÖSTERGÖTLANDS LÄN</t>
        </is>
      </c>
      <c r="E573" t="inlineStr">
        <is>
          <t>LINKÖPING</t>
        </is>
      </c>
      <c r="G573" t="n">
        <v>1.8</v>
      </c>
      <c r="H573" t="n">
        <v>0</v>
      </c>
      <c r="I573" t="n">
        <v>0</v>
      </c>
      <c r="J573" t="n">
        <v>0</v>
      </c>
      <c r="K573" t="n">
        <v>0</v>
      </c>
      <c r="L573" t="n">
        <v>0</v>
      </c>
      <c r="M573" t="n">
        <v>0</v>
      </c>
      <c r="N573" t="n">
        <v>0</v>
      </c>
      <c r="O573" t="n">
        <v>0</v>
      </c>
      <c r="P573" t="n">
        <v>0</v>
      </c>
      <c r="Q573" t="n">
        <v>0</v>
      </c>
      <c r="R573" s="2" t="inlineStr"/>
    </row>
    <row r="574" ht="15" customHeight="1">
      <c r="A574" t="inlineStr">
        <is>
          <t>A 4908-2023</t>
        </is>
      </c>
      <c r="B574" s="1" t="n">
        <v>44958</v>
      </c>
      <c r="C574" s="1" t="n">
        <v>46002</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1265-2023</t>
        </is>
      </c>
      <c r="B575" s="1" t="n">
        <v>44936</v>
      </c>
      <c r="C575" s="1" t="n">
        <v>46002</v>
      </c>
      <c r="D575" t="inlineStr">
        <is>
          <t>ÖSTERGÖTLANDS LÄN</t>
        </is>
      </c>
      <c r="E575" t="inlineStr">
        <is>
          <t>LINKÖPING</t>
        </is>
      </c>
      <c r="G575" t="n">
        <v>2.3</v>
      </c>
      <c r="H575" t="n">
        <v>0</v>
      </c>
      <c r="I575" t="n">
        <v>0</v>
      </c>
      <c r="J575" t="n">
        <v>0</v>
      </c>
      <c r="K575" t="n">
        <v>0</v>
      </c>
      <c r="L575" t="n">
        <v>0</v>
      </c>
      <c r="M575" t="n">
        <v>0</v>
      </c>
      <c r="N575" t="n">
        <v>0</v>
      </c>
      <c r="O575" t="n">
        <v>0</v>
      </c>
      <c r="P575" t="n">
        <v>0</v>
      </c>
      <c r="Q575" t="n">
        <v>0</v>
      </c>
      <c r="R575" s="2" t="inlineStr"/>
    </row>
    <row r="576" ht="15" customHeight="1">
      <c r="A576" t="inlineStr">
        <is>
          <t>A 12411-2022</t>
        </is>
      </c>
      <c r="B576" s="1" t="n">
        <v>44638.21601851852</v>
      </c>
      <c r="C576" s="1" t="n">
        <v>46002</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23491-2024</t>
        </is>
      </c>
      <c r="B577" s="1" t="n">
        <v>45453</v>
      </c>
      <c r="C577" s="1" t="n">
        <v>46002</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70-2024</t>
        </is>
      </c>
      <c r="B578" s="1" t="n">
        <v>45293</v>
      </c>
      <c r="C578" s="1" t="n">
        <v>46002</v>
      </c>
      <c r="D578" t="inlineStr">
        <is>
          <t>ÖSTERGÖTLANDS LÄN</t>
        </is>
      </c>
      <c r="E578" t="inlineStr">
        <is>
          <t>LINKÖPING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6054-2022</t>
        </is>
      </c>
      <c r="B579" s="1" t="n">
        <v>44599.53623842593</v>
      </c>
      <c r="C579" s="1" t="n">
        <v>46002</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31725-2022</t>
        </is>
      </c>
      <c r="B580" s="1" t="n">
        <v>44776.48541666667</v>
      </c>
      <c r="C580" s="1" t="n">
        <v>46002</v>
      </c>
      <c r="D580" t="inlineStr">
        <is>
          <t>ÖSTERGÖTLANDS LÄN</t>
        </is>
      </c>
      <c r="E580" t="inlineStr">
        <is>
          <t>LINKÖPING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57391-2023</t>
        </is>
      </c>
      <c r="B581" s="1" t="n">
        <v>45245</v>
      </c>
      <c r="C581" s="1" t="n">
        <v>46002</v>
      </c>
      <c r="D581" t="inlineStr">
        <is>
          <t>ÖSTERGÖTLANDS LÄN</t>
        </is>
      </c>
      <c r="E581" t="inlineStr">
        <is>
          <t>LINKÖPING</t>
        </is>
      </c>
      <c r="F581" t="inlineStr">
        <is>
          <t>Övriga Aktiebolag</t>
        </is>
      </c>
      <c r="G581" t="n">
        <v>1.7</v>
      </c>
      <c r="H581" t="n">
        <v>0</v>
      </c>
      <c r="I581" t="n">
        <v>0</v>
      </c>
      <c r="J581" t="n">
        <v>0</v>
      </c>
      <c r="K581" t="n">
        <v>0</v>
      </c>
      <c r="L581" t="n">
        <v>0</v>
      </c>
      <c r="M581" t="n">
        <v>0</v>
      </c>
      <c r="N581" t="n">
        <v>0</v>
      </c>
      <c r="O581" t="n">
        <v>0</v>
      </c>
      <c r="P581" t="n">
        <v>0</v>
      </c>
      <c r="Q581" t="n">
        <v>0</v>
      </c>
      <c r="R581" s="2" t="inlineStr"/>
    </row>
    <row r="582" ht="15" customHeight="1">
      <c r="A582" t="inlineStr">
        <is>
          <t>A 7992-2023</t>
        </is>
      </c>
      <c r="B582" s="1" t="n">
        <v>44970</v>
      </c>
      <c r="C582" s="1" t="n">
        <v>46002</v>
      </c>
      <c r="D582" t="inlineStr">
        <is>
          <t>ÖSTERGÖTLANDS LÄN</t>
        </is>
      </c>
      <c r="E582" t="inlineStr">
        <is>
          <t>LINKÖPING</t>
        </is>
      </c>
      <c r="F582" t="inlineStr">
        <is>
          <t>Kommuner</t>
        </is>
      </c>
      <c r="G582" t="n">
        <v>1</v>
      </c>
      <c r="H582" t="n">
        <v>0</v>
      </c>
      <c r="I582" t="n">
        <v>0</v>
      </c>
      <c r="J582" t="n">
        <v>0</v>
      </c>
      <c r="K582" t="n">
        <v>0</v>
      </c>
      <c r="L582" t="n">
        <v>0</v>
      </c>
      <c r="M582" t="n">
        <v>0</v>
      </c>
      <c r="N582" t="n">
        <v>0</v>
      </c>
      <c r="O582" t="n">
        <v>0</v>
      </c>
      <c r="P582" t="n">
        <v>0</v>
      </c>
      <c r="Q582" t="n">
        <v>0</v>
      </c>
      <c r="R582" s="2" t="inlineStr"/>
    </row>
    <row r="583" ht="15" customHeight="1">
      <c r="A583" t="inlineStr">
        <is>
          <t>A 13689-2025</t>
        </is>
      </c>
      <c r="B583" s="1" t="n">
        <v>45737.31590277778</v>
      </c>
      <c r="C583" s="1" t="n">
        <v>46002</v>
      </c>
      <c r="D583" t="inlineStr">
        <is>
          <t>ÖSTERGÖTLANDS LÄN</t>
        </is>
      </c>
      <c r="E583" t="inlineStr">
        <is>
          <t>LINKÖPING</t>
        </is>
      </c>
      <c r="G583" t="n">
        <v>0.8</v>
      </c>
      <c r="H583" t="n">
        <v>0</v>
      </c>
      <c r="I583" t="n">
        <v>0</v>
      </c>
      <c r="J583" t="n">
        <v>0</v>
      </c>
      <c r="K583" t="n">
        <v>0</v>
      </c>
      <c r="L583" t="n">
        <v>0</v>
      </c>
      <c r="M583" t="n">
        <v>0</v>
      </c>
      <c r="N583" t="n">
        <v>0</v>
      </c>
      <c r="O583" t="n">
        <v>0</v>
      </c>
      <c r="P583" t="n">
        <v>0</v>
      </c>
      <c r="Q583" t="n">
        <v>0</v>
      </c>
      <c r="R583" s="2" t="inlineStr"/>
    </row>
    <row r="584" ht="15" customHeight="1">
      <c r="A584" t="inlineStr">
        <is>
          <t>A 13696-2025</t>
        </is>
      </c>
      <c r="B584" s="1" t="n">
        <v>45737.32273148148</v>
      </c>
      <c r="C584" s="1" t="n">
        <v>46002</v>
      </c>
      <c r="D584" t="inlineStr">
        <is>
          <t>ÖSTERGÖTLANDS LÄN</t>
        </is>
      </c>
      <c r="E584" t="inlineStr">
        <is>
          <t>LINKÖPING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1924-2024</t>
        </is>
      </c>
      <c r="B585" s="1" t="n">
        <v>45308</v>
      </c>
      <c r="C585" s="1" t="n">
        <v>46002</v>
      </c>
      <c r="D585" t="inlineStr">
        <is>
          <t>ÖSTERGÖTLANDS LÄN</t>
        </is>
      </c>
      <c r="E585" t="inlineStr">
        <is>
          <t>LINKÖPING</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32346-2023</t>
        </is>
      </c>
      <c r="B586" s="1" t="n">
        <v>45120</v>
      </c>
      <c r="C586" s="1" t="n">
        <v>46002</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50508-2024</t>
        </is>
      </c>
      <c r="B587" s="1" t="n">
        <v>45601.53907407408</v>
      </c>
      <c r="C587" s="1" t="n">
        <v>46002</v>
      </c>
      <c r="D587" t="inlineStr">
        <is>
          <t>ÖSTERGÖTLANDS LÄN</t>
        </is>
      </c>
      <c r="E587" t="inlineStr">
        <is>
          <t>LINKÖPING</t>
        </is>
      </c>
      <c r="F587" t="inlineStr">
        <is>
          <t>Övriga Aktiebolag</t>
        </is>
      </c>
      <c r="G587" t="n">
        <v>2</v>
      </c>
      <c r="H587" t="n">
        <v>0</v>
      </c>
      <c r="I587" t="n">
        <v>0</v>
      </c>
      <c r="J587" t="n">
        <v>0</v>
      </c>
      <c r="K587" t="n">
        <v>0</v>
      </c>
      <c r="L587" t="n">
        <v>0</v>
      </c>
      <c r="M587" t="n">
        <v>0</v>
      </c>
      <c r="N587" t="n">
        <v>0</v>
      </c>
      <c r="O587" t="n">
        <v>0</v>
      </c>
      <c r="P587" t="n">
        <v>0</v>
      </c>
      <c r="Q587" t="n">
        <v>0</v>
      </c>
      <c r="R587" s="2" t="inlineStr"/>
    </row>
    <row r="588" ht="15" customHeight="1">
      <c r="A588" t="inlineStr">
        <is>
          <t>A 7808-2022</t>
        </is>
      </c>
      <c r="B588" s="1" t="n">
        <v>44608</v>
      </c>
      <c r="C588" s="1" t="n">
        <v>46002</v>
      </c>
      <c r="D588" t="inlineStr">
        <is>
          <t>ÖSTERGÖTLANDS LÄN</t>
        </is>
      </c>
      <c r="E588" t="inlineStr">
        <is>
          <t>LINKÖPING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27844-2024</t>
        </is>
      </c>
      <c r="B589" s="1" t="n">
        <v>45475.63047453704</v>
      </c>
      <c r="C589" s="1" t="n">
        <v>46002</v>
      </c>
      <c r="D589" t="inlineStr">
        <is>
          <t>ÖSTERGÖTLANDS LÄN</t>
        </is>
      </c>
      <c r="E589" t="inlineStr">
        <is>
          <t>LINKÖPING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40810-2022</t>
        </is>
      </c>
      <c r="B590" s="1" t="n">
        <v>44824</v>
      </c>
      <c r="C590" s="1" t="n">
        <v>46002</v>
      </c>
      <c r="D590" t="inlineStr">
        <is>
          <t>ÖSTERGÖTLANDS LÄN</t>
        </is>
      </c>
      <c r="E590" t="inlineStr">
        <is>
          <t>LINKÖPING</t>
        </is>
      </c>
      <c r="G590" t="n">
        <v>2.8</v>
      </c>
      <c r="H590" t="n">
        <v>0</v>
      </c>
      <c r="I590" t="n">
        <v>0</v>
      </c>
      <c r="J590" t="n">
        <v>0</v>
      </c>
      <c r="K590" t="n">
        <v>0</v>
      </c>
      <c r="L590" t="n">
        <v>0</v>
      </c>
      <c r="M590" t="n">
        <v>0</v>
      </c>
      <c r="N590" t="n">
        <v>0</v>
      </c>
      <c r="O590" t="n">
        <v>0</v>
      </c>
      <c r="P590" t="n">
        <v>0</v>
      </c>
      <c r="Q590" t="n">
        <v>0</v>
      </c>
      <c r="R590" s="2" t="inlineStr"/>
    </row>
    <row r="591" ht="15" customHeight="1">
      <c r="A591" t="inlineStr">
        <is>
          <t>A 51559-2024</t>
        </is>
      </c>
      <c r="B591" s="1" t="n">
        <v>45604.61431712963</v>
      </c>
      <c r="C591" s="1" t="n">
        <v>46002</v>
      </c>
      <c r="D591" t="inlineStr">
        <is>
          <t>ÖSTERGÖTLANDS LÄN</t>
        </is>
      </c>
      <c r="E591" t="inlineStr">
        <is>
          <t>LINKÖPING</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49979-2022</t>
        </is>
      </c>
      <c r="B592" s="1" t="n">
        <v>44865</v>
      </c>
      <c r="C592" s="1" t="n">
        <v>46002</v>
      </c>
      <c r="D592" t="inlineStr">
        <is>
          <t>ÖSTERGÖTLANDS LÄN</t>
        </is>
      </c>
      <c r="E592" t="inlineStr">
        <is>
          <t>LINKÖPING</t>
        </is>
      </c>
      <c r="F592" t="inlineStr">
        <is>
          <t>Övriga Aktiebolag</t>
        </is>
      </c>
      <c r="G592" t="n">
        <v>11.4</v>
      </c>
      <c r="H592" t="n">
        <v>0</v>
      </c>
      <c r="I592" t="n">
        <v>0</v>
      </c>
      <c r="J592" t="n">
        <v>0</v>
      </c>
      <c r="K592" t="n">
        <v>0</v>
      </c>
      <c r="L592" t="n">
        <v>0</v>
      </c>
      <c r="M592" t="n">
        <v>0</v>
      </c>
      <c r="N592" t="n">
        <v>0</v>
      </c>
      <c r="O592" t="n">
        <v>0</v>
      </c>
      <c r="P592" t="n">
        <v>0</v>
      </c>
      <c r="Q592" t="n">
        <v>0</v>
      </c>
      <c r="R592" s="2" t="inlineStr"/>
    </row>
    <row r="593" ht="15" customHeight="1">
      <c r="A593" t="inlineStr">
        <is>
          <t>A 39219-2021</t>
        </is>
      </c>
      <c r="B593" s="1" t="n">
        <v>44413</v>
      </c>
      <c r="C593" s="1" t="n">
        <v>46002</v>
      </c>
      <c r="D593" t="inlineStr">
        <is>
          <t>ÖSTERGÖTLANDS LÄN</t>
        </is>
      </c>
      <c r="E593" t="inlineStr">
        <is>
          <t>LINKÖPING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39224-2021</t>
        </is>
      </c>
      <c r="B594" s="1" t="n">
        <v>44413</v>
      </c>
      <c r="C594" s="1" t="n">
        <v>46002</v>
      </c>
      <c r="D594" t="inlineStr">
        <is>
          <t>ÖSTERGÖTLANDS LÄN</t>
        </is>
      </c>
      <c r="E594" t="inlineStr">
        <is>
          <t>LINKÖPING</t>
        </is>
      </c>
      <c r="G594" t="n">
        <v>2.1</v>
      </c>
      <c r="H594" t="n">
        <v>0</v>
      </c>
      <c r="I594" t="n">
        <v>0</v>
      </c>
      <c r="J594" t="n">
        <v>0</v>
      </c>
      <c r="K594" t="n">
        <v>0</v>
      </c>
      <c r="L594" t="n">
        <v>0</v>
      </c>
      <c r="M594" t="n">
        <v>0</v>
      </c>
      <c r="N594" t="n">
        <v>0</v>
      </c>
      <c r="O594" t="n">
        <v>0</v>
      </c>
      <c r="P594" t="n">
        <v>0</v>
      </c>
      <c r="Q594" t="n">
        <v>0</v>
      </c>
      <c r="R594" s="2" t="inlineStr"/>
    </row>
    <row r="595" ht="15" customHeight="1">
      <c r="A595" t="inlineStr">
        <is>
          <t>A 62495-2023</t>
        </is>
      </c>
      <c r="B595" s="1" t="n">
        <v>45268.59717592593</v>
      </c>
      <c r="C595" s="1" t="n">
        <v>46002</v>
      </c>
      <c r="D595" t="inlineStr">
        <is>
          <t>ÖSTERGÖTLANDS LÄN</t>
        </is>
      </c>
      <c r="E595" t="inlineStr">
        <is>
          <t>LINKÖPING</t>
        </is>
      </c>
      <c r="G595" t="n">
        <v>4.1</v>
      </c>
      <c r="H595" t="n">
        <v>0</v>
      </c>
      <c r="I595" t="n">
        <v>0</v>
      </c>
      <c r="J595" t="n">
        <v>0</v>
      </c>
      <c r="K595" t="n">
        <v>0</v>
      </c>
      <c r="L595" t="n">
        <v>0</v>
      </c>
      <c r="M595" t="n">
        <v>0</v>
      </c>
      <c r="N595" t="n">
        <v>0</v>
      </c>
      <c r="O595" t="n">
        <v>0</v>
      </c>
      <c r="P595" t="n">
        <v>0</v>
      </c>
      <c r="Q595" t="n">
        <v>0</v>
      </c>
      <c r="R595" s="2" t="inlineStr"/>
    </row>
    <row r="596" ht="15" customHeight="1">
      <c r="A596" t="inlineStr">
        <is>
          <t>A 29413-2023</t>
        </is>
      </c>
      <c r="B596" s="1" t="n">
        <v>45106.46465277778</v>
      </c>
      <c r="C596" s="1" t="n">
        <v>46002</v>
      </c>
      <c r="D596" t="inlineStr">
        <is>
          <t>ÖSTERGÖTLANDS LÄN</t>
        </is>
      </c>
      <c r="E596" t="inlineStr">
        <is>
          <t>LINKÖPING</t>
        </is>
      </c>
      <c r="G596" t="n">
        <v>8</v>
      </c>
      <c r="H596" t="n">
        <v>0</v>
      </c>
      <c r="I596" t="n">
        <v>0</v>
      </c>
      <c r="J596" t="n">
        <v>0</v>
      </c>
      <c r="K596" t="n">
        <v>0</v>
      </c>
      <c r="L596" t="n">
        <v>0</v>
      </c>
      <c r="M596" t="n">
        <v>0</v>
      </c>
      <c r="N596" t="n">
        <v>0</v>
      </c>
      <c r="O596" t="n">
        <v>0</v>
      </c>
      <c r="P596" t="n">
        <v>0</v>
      </c>
      <c r="Q596" t="n">
        <v>0</v>
      </c>
      <c r="R596" s="2" t="inlineStr"/>
    </row>
    <row r="597" ht="15" customHeight="1">
      <c r="A597" t="inlineStr">
        <is>
          <t>A 25948-2023</t>
        </is>
      </c>
      <c r="B597" s="1" t="n">
        <v>45090</v>
      </c>
      <c r="C597" s="1" t="n">
        <v>46002</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1627-2023</t>
        </is>
      </c>
      <c r="B598" s="1" t="n">
        <v>44937</v>
      </c>
      <c r="C598" s="1" t="n">
        <v>46002</v>
      </c>
      <c r="D598" t="inlineStr">
        <is>
          <t>ÖSTERGÖTLANDS LÄN</t>
        </is>
      </c>
      <c r="E598" t="inlineStr">
        <is>
          <t>LINKÖPING</t>
        </is>
      </c>
      <c r="G598" t="n">
        <v>10.8</v>
      </c>
      <c r="H598" t="n">
        <v>0</v>
      </c>
      <c r="I598" t="n">
        <v>0</v>
      </c>
      <c r="J598" t="n">
        <v>0</v>
      </c>
      <c r="K598" t="n">
        <v>0</v>
      </c>
      <c r="L598" t="n">
        <v>0</v>
      </c>
      <c r="M598" t="n">
        <v>0</v>
      </c>
      <c r="N598" t="n">
        <v>0</v>
      </c>
      <c r="O598" t="n">
        <v>0</v>
      </c>
      <c r="P598" t="n">
        <v>0</v>
      </c>
      <c r="Q598" t="n">
        <v>0</v>
      </c>
      <c r="R598" s="2" t="inlineStr"/>
    </row>
    <row r="599" ht="15" customHeight="1">
      <c r="A599" t="inlineStr">
        <is>
          <t>A 30481-2023</t>
        </is>
      </c>
      <c r="B599" s="1" t="n">
        <v>45111</v>
      </c>
      <c r="C599" s="1" t="n">
        <v>46002</v>
      </c>
      <c r="D599" t="inlineStr">
        <is>
          <t>ÖSTERGÖTLANDS LÄN</t>
        </is>
      </c>
      <c r="E599" t="inlineStr">
        <is>
          <t>LINKÖPING</t>
        </is>
      </c>
      <c r="F599" t="inlineStr">
        <is>
          <t>Övriga Aktiebolag</t>
        </is>
      </c>
      <c r="G599" t="n">
        <v>2</v>
      </c>
      <c r="H599" t="n">
        <v>0</v>
      </c>
      <c r="I599" t="n">
        <v>0</v>
      </c>
      <c r="J599" t="n">
        <v>0</v>
      </c>
      <c r="K599" t="n">
        <v>0</v>
      </c>
      <c r="L599" t="n">
        <v>0</v>
      </c>
      <c r="M599" t="n">
        <v>0</v>
      </c>
      <c r="N599" t="n">
        <v>0</v>
      </c>
      <c r="O599" t="n">
        <v>0</v>
      </c>
      <c r="P599" t="n">
        <v>0</v>
      </c>
      <c r="Q599" t="n">
        <v>0</v>
      </c>
      <c r="R599" s="2" t="inlineStr"/>
    </row>
    <row r="600" ht="15" customHeight="1">
      <c r="A600" t="inlineStr">
        <is>
          <t>A 21782-2024</t>
        </is>
      </c>
      <c r="B600" s="1" t="n">
        <v>45442.63368055555</v>
      </c>
      <c r="C600" s="1" t="n">
        <v>46002</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11671-2023</t>
        </is>
      </c>
      <c r="B601" s="1" t="n">
        <v>44994.48125</v>
      </c>
      <c r="C601" s="1" t="n">
        <v>46002</v>
      </c>
      <c r="D601" t="inlineStr">
        <is>
          <t>ÖSTERGÖTLANDS LÄN</t>
        </is>
      </c>
      <c r="E601" t="inlineStr">
        <is>
          <t>LINKÖPING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3013-2023</t>
        </is>
      </c>
      <c r="B602" s="1" t="n">
        <v>44945.8092824074</v>
      </c>
      <c r="C602" s="1" t="n">
        <v>46002</v>
      </c>
      <c r="D602" t="inlineStr">
        <is>
          <t>ÖSTERGÖTLANDS LÄN</t>
        </is>
      </c>
      <c r="E602" t="inlineStr">
        <is>
          <t>LINKÖPING</t>
        </is>
      </c>
      <c r="G602" t="n">
        <v>5.2</v>
      </c>
      <c r="H602" t="n">
        <v>0</v>
      </c>
      <c r="I602" t="n">
        <v>0</v>
      </c>
      <c r="J602" t="n">
        <v>0</v>
      </c>
      <c r="K602" t="n">
        <v>0</v>
      </c>
      <c r="L602" t="n">
        <v>0</v>
      </c>
      <c r="M602" t="n">
        <v>0</v>
      </c>
      <c r="N602" t="n">
        <v>0</v>
      </c>
      <c r="O602" t="n">
        <v>0</v>
      </c>
      <c r="P602" t="n">
        <v>0</v>
      </c>
      <c r="Q602" t="n">
        <v>0</v>
      </c>
      <c r="R602" s="2" t="inlineStr"/>
    </row>
    <row r="603" ht="15" customHeight="1">
      <c r="A603" t="inlineStr">
        <is>
          <t>A 49747-2024</t>
        </is>
      </c>
      <c r="B603" s="1" t="n">
        <v>45596</v>
      </c>
      <c r="C603" s="1" t="n">
        <v>46002</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42997-2021</t>
        </is>
      </c>
      <c r="B604" s="1" t="n">
        <v>44431.45556712963</v>
      </c>
      <c r="C604" s="1" t="n">
        <v>46002</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3011-2023</t>
        </is>
      </c>
      <c r="B605" s="1" t="n">
        <v>44945</v>
      </c>
      <c r="C605" s="1" t="n">
        <v>46002</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23735-2023</t>
        </is>
      </c>
      <c r="B606" s="1" t="n">
        <v>45077</v>
      </c>
      <c r="C606" s="1" t="n">
        <v>46002</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45821-2024</t>
        </is>
      </c>
      <c r="B607" s="1" t="n">
        <v>45579.75803240741</v>
      </c>
      <c r="C607" s="1" t="n">
        <v>46002</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53647-2021</t>
        </is>
      </c>
      <c r="B608" s="1" t="n">
        <v>44469</v>
      </c>
      <c r="C608" s="1" t="n">
        <v>46002</v>
      </c>
      <c r="D608" t="inlineStr">
        <is>
          <t>ÖSTERGÖTLANDS LÄN</t>
        </is>
      </c>
      <c r="E608" t="inlineStr">
        <is>
          <t>LINKÖPING</t>
        </is>
      </c>
      <c r="G608" t="n">
        <v>2.3</v>
      </c>
      <c r="H608" t="n">
        <v>0</v>
      </c>
      <c r="I608" t="n">
        <v>0</v>
      </c>
      <c r="J608" t="n">
        <v>0</v>
      </c>
      <c r="K608" t="n">
        <v>0</v>
      </c>
      <c r="L608" t="n">
        <v>0</v>
      </c>
      <c r="M608" t="n">
        <v>0</v>
      </c>
      <c r="N608" t="n">
        <v>0</v>
      </c>
      <c r="O608" t="n">
        <v>0</v>
      </c>
      <c r="P608" t="n">
        <v>0</v>
      </c>
      <c r="Q608" t="n">
        <v>0</v>
      </c>
      <c r="R608" s="2" t="inlineStr"/>
    </row>
    <row r="609" ht="15" customHeight="1">
      <c r="A609" t="inlineStr">
        <is>
          <t>A 6599-2023</t>
        </is>
      </c>
      <c r="B609" s="1" t="n">
        <v>44966.52603009259</v>
      </c>
      <c r="C609" s="1" t="n">
        <v>46002</v>
      </c>
      <c r="D609" t="inlineStr">
        <is>
          <t>ÖSTERGÖTLANDS LÄN</t>
        </is>
      </c>
      <c r="E609" t="inlineStr">
        <is>
          <t>LINKÖPING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35735-2023</t>
        </is>
      </c>
      <c r="B610" s="1" t="n">
        <v>45147</v>
      </c>
      <c r="C610" s="1" t="n">
        <v>46002</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45831-2024</t>
        </is>
      </c>
      <c r="B611" s="1" t="n">
        <v>45579.90508101852</v>
      </c>
      <c r="C611" s="1" t="n">
        <v>46002</v>
      </c>
      <c r="D611" t="inlineStr">
        <is>
          <t>ÖSTERGÖTLANDS LÄN</t>
        </is>
      </c>
      <c r="E611" t="inlineStr">
        <is>
          <t>LINKÖPING</t>
        </is>
      </c>
      <c r="G611" t="n">
        <v>1.9</v>
      </c>
      <c r="H611" t="n">
        <v>0</v>
      </c>
      <c r="I611" t="n">
        <v>0</v>
      </c>
      <c r="J611" t="n">
        <v>0</v>
      </c>
      <c r="K611" t="n">
        <v>0</v>
      </c>
      <c r="L611" t="n">
        <v>0</v>
      </c>
      <c r="M611" t="n">
        <v>0</v>
      </c>
      <c r="N611" t="n">
        <v>0</v>
      </c>
      <c r="O611" t="n">
        <v>0</v>
      </c>
      <c r="P611" t="n">
        <v>0</v>
      </c>
      <c r="Q611" t="n">
        <v>0</v>
      </c>
      <c r="R611" s="2" t="inlineStr"/>
    </row>
    <row r="612" ht="15" customHeight="1">
      <c r="A612" t="inlineStr">
        <is>
          <t>A 17157-2024</t>
        </is>
      </c>
      <c r="B612" s="1" t="n">
        <v>45412.70567129629</v>
      </c>
      <c r="C612" s="1" t="n">
        <v>46002</v>
      </c>
      <c r="D612" t="inlineStr">
        <is>
          <t>ÖSTERGÖTLANDS LÄN</t>
        </is>
      </c>
      <c r="E612" t="inlineStr">
        <is>
          <t>LINKÖPING</t>
        </is>
      </c>
      <c r="G612" t="n">
        <v>0.8</v>
      </c>
      <c r="H612" t="n">
        <v>0</v>
      </c>
      <c r="I612" t="n">
        <v>0</v>
      </c>
      <c r="J612" t="n">
        <v>0</v>
      </c>
      <c r="K612" t="n">
        <v>0</v>
      </c>
      <c r="L612" t="n">
        <v>0</v>
      </c>
      <c r="M612" t="n">
        <v>0</v>
      </c>
      <c r="N612" t="n">
        <v>0</v>
      </c>
      <c r="O612" t="n">
        <v>0</v>
      </c>
      <c r="P612" t="n">
        <v>0</v>
      </c>
      <c r="Q612" t="n">
        <v>0</v>
      </c>
      <c r="R612" s="2" t="inlineStr"/>
    </row>
    <row r="613" ht="15" customHeight="1">
      <c r="A613" t="inlineStr">
        <is>
          <t>A 37154-2023</t>
        </is>
      </c>
      <c r="B613" s="1" t="n">
        <v>45155</v>
      </c>
      <c r="C613" s="1" t="n">
        <v>46002</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46002</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46002</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56841-2023</t>
        </is>
      </c>
      <c r="B616" s="1" t="n">
        <v>45244</v>
      </c>
      <c r="C616" s="1" t="n">
        <v>46002</v>
      </c>
      <c r="D616" t="inlineStr">
        <is>
          <t>ÖSTERGÖTLANDS LÄN</t>
        </is>
      </c>
      <c r="E616" t="inlineStr">
        <is>
          <t>LINKÖPING</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56741-2023</t>
        </is>
      </c>
      <c r="B617" s="1" t="n">
        <v>45244</v>
      </c>
      <c r="C617" s="1" t="n">
        <v>46002</v>
      </c>
      <c r="D617" t="inlineStr">
        <is>
          <t>ÖSTERGÖTLANDS LÄN</t>
        </is>
      </c>
      <c r="E617" t="inlineStr">
        <is>
          <t>LINKÖPING</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53816-2023</t>
        </is>
      </c>
      <c r="B618" s="1" t="n">
        <v>45231.40012731482</v>
      </c>
      <c r="C618" s="1" t="n">
        <v>46002</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63935-2021</t>
        </is>
      </c>
      <c r="B619" s="1" t="n">
        <v>44509</v>
      </c>
      <c r="C619" s="1" t="n">
        <v>46002</v>
      </c>
      <c r="D619" t="inlineStr">
        <is>
          <t>ÖSTERGÖTLANDS LÄN</t>
        </is>
      </c>
      <c r="E619" t="inlineStr">
        <is>
          <t>LINKÖPING</t>
        </is>
      </c>
      <c r="F619" t="inlineStr">
        <is>
          <t>Övriga statliga verk och myndigheter</t>
        </is>
      </c>
      <c r="G619" t="n">
        <v>2.8</v>
      </c>
      <c r="H619" t="n">
        <v>0</v>
      </c>
      <c r="I619" t="n">
        <v>0</v>
      </c>
      <c r="J619" t="n">
        <v>0</v>
      </c>
      <c r="K619" t="n">
        <v>0</v>
      </c>
      <c r="L619" t="n">
        <v>0</v>
      </c>
      <c r="M619" t="n">
        <v>0</v>
      </c>
      <c r="N619" t="n">
        <v>0</v>
      </c>
      <c r="O619" t="n">
        <v>0</v>
      </c>
      <c r="P619" t="n">
        <v>0</v>
      </c>
      <c r="Q619" t="n">
        <v>0</v>
      </c>
      <c r="R619" s="2" t="inlineStr"/>
    </row>
    <row r="620" ht="15" customHeight="1">
      <c r="A620" t="inlineStr">
        <is>
          <t>A 6726-2024</t>
        </is>
      </c>
      <c r="B620" s="1" t="n">
        <v>45341</v>
      </c>
      <c r="C620" s="1" t="n">
        <v>46002</v>
      </c>
      <c r="D620" t="inlineStr">
        <is>
          <t>ÖSTERGÖTLANDS LÄN</t>
        </is>
      </c>
      <c r="E620" t="inlineStr">
        <is>
          <t>LINKÖPING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3007-2023</t>
        </is>
      </c>
      <c r="B621" s="1" t="n">
        <v>44945</v>
      </c>
      <c r="C621" s="1" t="n">
        <v>46002</v>
      </c>
      <c r="D621" t="inlineStr">
        <is>
          <t>ÖSTERGÖTLANDS LÄN</t>
        </is>
      </c>
      <c r="E621" t="inlineStr">
        <is>
          <t>LINKÖPING</t>
        </is>
      </c>
      <c r="G621" t="n">
        <v>2.6</v>
      </c>
      <c r="H621" t="n">
        <v>0</v>
      </c>
      <c r="I621" t="n">
        <v>0</v>
      </c>
      <c r="J621" t="n">
        <v>0</v>
      </c>
      <c r="K621" t="n">
        <v>0</v>
      </c>
      <c r="L621" t="n">
        <v>0</v>
      </c>
      <c r="M621" t="n">
        <v>0</v>
      </c>
      <c r="N621" t="n">
        <v>0</v>
      </c>
      <c r="O621" t="n">
        <v>0</v>
      </c>
      <c r="P621" t="n">
        <v>0</v>
      </c>
      <c r="Q621" t="n">
        <v>0</v>
      </c>
      <c r="R621" s="2" t="inlineStr"/>
    </row>
    <row r="622" ht="15" customHeight="1">
      <c r="A622" t="inlineStr">
        <is>
          <t>A 18145-2021</t>
        </is>
      </c>
      <c r="B622" s="1" t="n">
        <v>44302</v>
      </c>
      <c r="C622" s="1" t="n">
        <v>46002</v>
      </c>
      <c r="D622" t="inlineStr">
        <is>
          <t>ÖSTERGÖTLANDS LÄN</t>
        </is>
      </c>
      <c r="E622" t="inlineStr">
        <is>
          <t>LINKÖPING</t>
        </is>
      </c>
      <c r="G622" t="n">
        <v>2.4</v>
      </c>
      <c r="H622" t="n">
        <v>0</v>
      </c>
      <c r="I622" t="n">
        <v>0</v>
      </c>
      <c r="J622" t="n">
        <v>0</v>
      </c>
      <c r="K622" t="n">
        <v>0</v>
      </c>
      <c r="L622" t="n">
        <v>0</v>
      </c>
      <c r="M622" t="n">
        <v>0</v>
      </c>
      <c r="N622" t="n">
        <v>0</v>
      </c>
      <c r="O622" t="n">
        <v>0</v>
      </c>
      <c r="P622" t="n">
        <v>0</v>
      </c>
      <c r="Q622" t="n">
        <v>0</v>
      </c>
      <c r="R622" s="2" t="inlineStr"/>
    </row>
    <row r="623" ht="15" customHeight="1">
      <c r="A623" t="inlineStr">
        <is>
          <t>A 29309-2024</t>
        </is>
      </c>
      <c r="B623" s="1" t="n">
        <v>45483</v>
      </c>
      <c r="C623" s="1" t="n">
        <v>46002</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53411-2023</t>
        </is>
      </c>
      <c r="B624" s="1" t="n">
        <v>45229.81049768518</v>
      </c>
      <c r="C624" s="1" t="n">
        <v>46002</v>
      </c>
      <c r="D624" t="inlineStr">
        <is>
          <t>ÖSTERGÖTLANDS LÄN</t>
        </is>
      </c>
      <c r="E624" t="inlineStr">
        <is>
          <t>LINKÖPING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26788-2022</t>
        </is>
      </c>
      <c r="B625" s="1" t="n">
        <v>44740</v>
      </c>
      <c r="C625" s="1" t="n">
        <v>46002</v>
      </c>
      <c r="D625" t="inlineStr">
        <is>
          <t>ÖSTERGÖTLANDS LÄN</t>
        </is>
      </c>
      <c r="E625" t="inlineStr">
        <is>
          <t>LINKÖPING</t>
        </is>
      </c>
      <c r="G625" t="n">
        <v>3.2</v>
      </c>
      <c r="H625" t="n">
        <v>0</v>
      </c>
      <c r="I625" t="n">
        <v>0</v>
      </c>
      <c r="J625" t="n">
        <v>0</v>
      </c>
      <c r="K625" t="n">
        <v>0</v>
      </c>
      <c r="L625" t="n">
        <v>0</v>
      </c>
      <c r="M625" t="n">
        <v>0</v>
      </c>
      <c r="N625" t="n">
        <v>0</v>
      </c>
      <c r="O625" t="n">
        <v>0</v>
      </c>
      <c r="P625" t="n">
        <v>0</v>
      </c>
      <c r="Q625" t="n">
        <v>0</v>
      </c>
      <c r="R625" s="2" t="inlineStr"/>
    </row>
    <row r="626" ht="15" customHeight="1">
      <c r="A626" t="inlineStr">
        <is>
          <t>A 24462-2023</t>
        </is>
      </c>
      <c r="B626" s="1" t="n">
        <v>45082</v>
      </c>
      <c r="C626" s="1" t="n">
        <v>46002</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62015-2024</t>
        </is>
      </c>
      <c r="B627" s="1" t="n">
        <v>45655.80457175926</v>
      </c>
      <c r="C627" s="1" t="n">
        <v>46002</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10741-2023</t>
        </is>
      </c>
      <c r="B628" s="1" t="n">
        <v>44988.70084490741</v>
      </c>
      <c r="C628" s="1" t="n">
        <v>46002</v>
      </c>
      <c r="D628" t="inlineStr">
        <is>
          <t>ÖSTERGÖTLANDS LÄN</t>
        </is>
      </c>
      <c r="E628" t="inlineStr">
        <is>
          <t>LINKÖPING</t>
        </is>
      </c>
      <c r="F628" t="inlineStr">
        <is>
          <t>Allmännings- och besparingsskogar</t>
        </is>
      </c>
      <c r="G628" t="n">
        <v>11.2</v>
      </c>
      <c r="H628" t="n">
        <v>0</v>
      </c>
      <c r="I628" t="n">
        <v>0</v>
      </c>
      <c r="J628" t="n">
        <v>0</v>
      </c>
      <c r="K628" t="n">
        <v>0</v>
      </c>
      <c r="L628" t="n">
        <v>0</v>
      </c>
      <c r="M628" t="n">
        <v>0</v>
      </c>
      <c r="N628" t="n">
        <v>0</v>
      </c>
      <c r="O628" t="n">
        <v>0</v>
      </c>
      <c r="P628" t="n">
        <v>0</v>
      </c>
      <c r="Q628" t="n">
        <v>0</v>
      </c>
      <c r="R628" s="2" t="inlineStr"/>
    </row>
    <row r="629" ht="15" customHeight="1">
      <c r="A629" t="inlineStr">
        <is>
          <t>A 43473-2024</t>
        </is>
      </c>
      <c r="B629" s="1" t="n">
        <v>45568</v>
      </c>
      <c r="C629" s="1" t="n">
        <v>46002</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43475-2024</t>
        </is>
      </c>
      <c r="B630" s="1" t="n">
        <v>45568</v>
      </c>
      <c r="C630" s="1" t="n">
        <v>46002</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1207-2023</t>
        </is>
      </c>
      <c r="B631" s="1" t="n">
        <v>44930</v>
      </c>
      <c r="C631" s="1" t="n">
        <v>46002</v>
      </c>
      <c r="D631" t="inlineStr">
        <is>
          <t>ÖSTERGÖTLANDS LÄN</t>
        </is>
      </c>
      <c r="E631" t="inlineStr">
        <is>
          <t>LINKÖPING</t>
        </is>
      </c>
      <c r="F631" t="inlineStr">
        <is>
          <t>Övriga statliga verk och myndigheter</t>
        </is>
      </c>
      <c r="G631" t="n">
        <v>32.8</v>
      </c>
      <c r="H631" t="n">
        <v>0</v>
      </c>
      <c r="I631" t="n">
        <v>0</v>
      </c>
      <c r="J631" t="n">
        <v>0</v>
      </c>
      <c r="K631" t="n">
        <v>0</v>
      </c>
      <c r="L631" t="n">
        <v>0</v>
      </c>
      <c r="M631" t="n">
        <v>0</v>
      </c>
      <c r="N631" t="n">
        <v>0</v>
      </c>
      <c r="O631" t="n">
        <v>0</v>
      </c>
      <c r="P631" t="n">
        <v>0</v>
      </c>
      <c r="Q631" t="n">
        <v>0</v>
      </c>
      <c r="R631" s="2" t="inlineStr"/>
    </row>
    <row r="632" ht="15" customHeight="1">
      <c r="A632" t="inlineStr">
        <is>
          <t>A 29859-2024</t>
        </is>
      </c>
      <c r="B632" s="1" t="n">
        <v>45485.6846412037</v>
      </c>
      <c r="C632" s="1" t="n">
        <v>46002</v>
      </c>
      <c r="D632" t="inlineStr">
        <is>
          <t>ÖSTERGÖTLANDS LÄN</t>
        </is>
      </c>
      <c r="E632" t="inlineStr">
        <is>
          <t>LINKÖPING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45819-2024</t>
        </is>
      </c>
      <c r="B633" s="1" t="n">
        <v>45579.7454050926</v>
      </c>
      <c r="C633" s="1" t="n">
        <v>46002</v>
      </c>
      <c r="D633" t="inlineStr">
        <is>
          <t>ÖSTERGÖTLANDS LÄN</t>
        </is>
      </c>
      <c r="E633" t="inlineStr">
        <is>
          <t>LINKÖPING</t>
        </is>
      </c>
      <c r="G633" t="n">
        <v>5</v>
      </c>
      <c r="H633" t="n">
        <v>0</v>
      </c>
      <c r="I633" t="n">
        <v>0</v>
      </c>
      <c r="J633" t="n">
        <v>0</v>
      </c>
      <c r="K633" t="n">
        <v>0</v>
      </c>
      <c r="L633" t="n">
        <v>0</v>
      </c>
      <c r="M633" t="n">
        <v>0</v>
      </c>
      <c r="N633" t="n">
        <v>0</v>
      </c>
      <c r="O633" t="n">
        <v>0</v>
      </c>
      <c r="P633" t="n">
        <v>0</v>
      </c>
      <c r="Q633" t="n">
        <v>0</v>
      </c>
      <c r="R633" s="2" t="inlineStr"/>
    </row>
    <row r="634" ht="15" customHeight="1">
      <c r="A634" t="inlineStr">
        <is>
          <t>A 15748-2025</t>
        </is>
      </c>
      <c r="B634" s="1" t="n">
        <v>45748.55282407408</v>
      </c>
      <c r="C634" s="1" t="n">
        <v>46002</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15754-2025</t>
        </is>
      </c>
      <c r="B635" s="1" t="n">
        <v>45748.56105324074</v>
      </c>
      <c r="C635" s="1" t="n">
        <v>46002</v>
      </c>
      <c r="D635" t="inlineStr">
        <is>
          <t>ÖSTERGÖTLANDS LÄN</t>
        </is>
      </c>
      <c r="E635" t="inlineStr">
        <is>
          <t>LINKÖPING</t>
        </is>
      </c>
      <c r="G635" t="n">
        <v>1.7</v>
      </c>
      <c r="H635" t="n">
        <v>0</v>
      </c>
      <c r="I635" t="n">
        <v>0</v>
      </c>
      <c r="J635" t="n">
        <v>0</v>
      </c>
      <c r="K635" t="n">
        <v>0</v>
      </c>
      <c r="L635" t="n">
        <v>0</v>
      </c>
      <c r="M635" t="n">
        <v>0</v>
      </c>
      <c r="N635" t="n">
        <v>0</v>
      </c>
      <c r="O635" t="n">
        <v>0</v>
      </c>
      <c r="P635" t="n">
        <v>0</v>
      </c>
      <c r="Q635" t="n">
        <v>0</v>
      </c>
      <c r="R635" s="2" t="inlineStr"/>
    </row>
    <row r="636" ht="15" customHeight="1">
      <c r="A636" t="inlineStr">
        <is>
          <t>A 30518-2024</t>
        </is>
      </c>
      <c r="B636" s="1" t="n">
        <v>45492</v>
      </c>
      <c r="C636" s="1" t="n">
        <v>46002</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53797-2023</t>
        </is>
      </c>
      <c r="B637" s="1" t="n">
        <v>45230</v>
      </c>
      <c r="C637" s="1" t="n">
        <v>46002</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55345-2021</t>
        </is>
      </c>
      <c r="B638" s="1" t="n">
        <v>44475</v>
      </c>
      <c r="C638" s="1" t="n">
        <v>46002</v>
      </c>
      <c r="D638" t="inlineStr">
        <is>
          <t>ÖSTERGÖTLANDS LÄN</t>
        </is>
      </c>
      <c r="E638" t="inlineStr">
        <is>
          <t>LINKÖPING</t>
        </is>
      </c>
      <c r="G638" t="n">
        <v>5.7</v>
      </c>
      <c r="H638" t="n">
        <v>0</v>
      </c>
      <c r="I638" t="n">
        <v>0</v>
      </c>
      <c r="J638" t="n">
        <v>0</v>
      </c>
      <c r="K638" t="n">
        <v>0</v>
      </c>
      <c r="L638" t="n">
        <v>0</v>
      </c>
      <c r="M638" t="n">
        <v>0</v>
      </c>
      <c r="N638" t="n">
        <v>0</v>
      </c>
      <c r="O638" t="n">
        <v>0</v>
      </c>
      <c r="P638" t="n">
        <v>0</v>
      </c>
      <c r="Q638" t="n">
        <v>0</v>
      </c>
      <c r="R638" s="2" t="inlineStr"/>
    </row>
    <row r="639" ht="15" customHeight="1">
      <c r="A639" t="inlineStr">
        <is>
          <t>A 10198-2023</t>
        </is>
      </c>
      <c r="B639" s="1" t="n">
        <v>44986.54665509259</v>
      </c>
      <c r="C639" s="1" t="n">
        <v>46002</v>
      </c>
      <c r="D639" t="inlineStr">
        <is>
          <t>ÖSTERGÖTLANDS LÄN</t>
        </is>
      </c>
      <c r="E639" t="inlineStr">
        <is>
          <t>LINKÖPING</t>
        </is>
      </c>
      <c r="G639" t="n">
        <v>4.6</v>
      </c>
      <c r="H639" t="n">
        <v>0</v>
      </c>
      <c r="I639" t="n">
        <v>0</v>
      </c>
      <c r="J639" t="n">
        <v>0</v>
      </c>
      <c r="K639" t="n">
        <v>0</v>
      </c>
      <c r="L639" t="n">
        <v>0</v>
      </c>
      <c r="M639" t="n">
        <v>0</v>
      </c>
      <c r="N639" t="n">
        <v>0</v>
      </c>
      <c r="O639" t="n">
        <v>0</v>
      </c>
      <c r="P639" t="n">
        <v>0</v>
      </c>
      <c r="Q639" t="n">
        <v>0</v>
      </c>
      <c r="R639" s="2" t="inlineStr"/>
    </row>
    <row r="640" ht="15" customHeight="1">
      <c r="A640" t="inlineStr">
        <is>
          <t>A 4298-2023</t>
        </is>
      </c>
      <c r="B640" s="1" t="n">
        <v>44953</v>
      </c>
      <c r="C640" s="1" t="n">
        <v>46002</v>
      </c>
      <c r="D640" t="inlineStr">
        <is>
          <t>ÖSTERGÖTLANDS LÄN</t>
        </is>
      </c>
      <c r="E640" t="inlineStr">
        <is>
          <t>LINKÖPING</t>
        </is>
      </c>
      <c r="G640" t="n">
        <v>2.8</v>
      </c>
      <c r="H640" t="n">
        <v>0</v>
      </c>
      <c r="I640" t="n">
        <v>0</v>
      </c>
      <c r="J640" t="n">
        <v>0</v>
      </c>
      <c r="K640" t="n">
        <v>0</v>
      </c>
      <c r="L640" t="n">
        <v>0</v>
      </c>
      <c r="M640" t="n">
        <v>0</v>
      </c>
      <c r="N640" t="n">
        <v>0</v>
      </c>
      <c r="O640" t="n">
        <v>0</v>
      </c>
      <c r="P640" t="n">
        <v>0</v>
      </c>
      <c r="Q640" t="n">
        <v>0</v>
      </c>
      <c r="R640" s="2" t="inlineStr"/>
    </row>
    <row r="641" ht="15" customHeight="1">
      <c r="A641" t="inlineStr">
        <is>
          <t>A 12428-2024</t>
        </is>
      </c>
      <c r="B641" s="1" t="n">
        <v>45379</v>
      </c>
      <c r="C641" s="1" t="n">
        <v>46002</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26618-2023</t>
        </is>
      </c>
      <c r="B642" s="1" t="n">
        <v>45092.70306712963</v>
      </c>
      <c r="C642" s="1" t="n">
        <v>46002</v>
      </c>
      <c r="D642" t="inlineStr">
        <is>
          <t>ÖSTERGÖTLANDS LÄN</t>
        </is>
      </c>
      <c r="E642" t="inlineStr">
        <is>
          <t>LINKÖPING</t>
        </is>
      </c>
      <c r="G642" t="n">
        <v>6.9</v>
      </c>
      <c r="H642" t="n">
        <v>0</v>
      </c>
      <c r="I642" t="n">
        <v>0</v>
      </c>
      <c r="J642" t="n">
        <v>0</v>
      </c>
      <c r="K642" t="n">
        <v>0</v>
      </c>
      <c r="L642" t="n">
        <v>0</v>
      </c>
      <c r="M642" t="n">
        <v>0</v>
      </c>
      <c r="N642" t="n">
        <v>0</v>
      </c>
      <c r="O642" t="n">
        <v>0</v>
      </c>
      <c r="P642" t="n">
        <v>0</v>
      </c>
      <c r="Q642" t="n">
        <v>0</v>
      </c>
      <c r="R642" s="2" t="inlineStr"/>
    </row>
    <row r="643" ht="15" customHeight="1">
      <c r="A643" t="inlineStr">
        <is>
          <t>A 34930-2023</t>
        </is>
      </c>
      <c r="B643" s="1" t="n">
        <v>45142</v>
      </c>
      <c r="C643" s="1" t="n">
        <v>46002</v>
      </c>
      <c r="D643" t="inlineStr">
        <is>
          <t>ÖSTERGÖTLANDS LÄN</t>
        </is>
      </c>
      <c r="E643" t="inlineStr">
        <is>
          <t>LINKÖPING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670-2024</t>
        </is>
      </c>
      <c r="B644" s="1" t="n">
        <v>45300.3408912037</v>
      </c>
      <c r="C644" s="1" t="n">
        <v>46002</v>
      </c>
      <c r="D644" t="inlineStr">
        <is>
          <t>ÖSTERGÖTLANDS LÄN</t>
        </is>
      </c>
      <c r="E644" t="inlineStr">
        <is>
          <t>LINKÖPING</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63845-2021</t>
        </is>
      </c>
      <c r="B645" s="1" t="n">
        <v>44509</v>
      </c>
      <c r="C645" s="1" t="n">
        <v>46002</v>
      </c>
      <c r="D645" t="inlineStr">
        <is>
          <t>ÖSTERGÖTLANDS LÄN</t>
        </is>
      </c>
      <c r="E645" t="inlineStr">
        <is>
          <t>LINKÖPING</t>
        </is>
      </c>
      <c r="G645" t="n">
        <v>5</v>
      </c>
      <c r="H645" t="n">
        <v>0</v>
      </c>
      <c r="I645" t="n">
        <v>0</v>
      </c>
      <c r="J645" t="n">
        <v>0</v>
      </c>
      <c r="K645" t="n">
        <v>0</v>
      </c>
      <c r="L645" t="n">
        <v>0</v>
      </c>
      <c r="M645" t="n">
        <v>0</v>
      </c>
      <c r="N645" t="n">
        <v>0</v>
      </c>
      <c r="O645" t="n">
        <v>0</v>
      </c>
      <c r="P645" t="n">
        <v>0</v>
      </c>
      <c r="Q645" t="n">
        <v>0</v>
      </c>
      <c r="R645" s="2" t="inlineStr"/>
    </row>
    <row r="646" ht="15" customHeight="1">
      <c r="A646" t="inlineStr">
        <is>
          <t>A 54034-2022</t>
        </is>
      </c>
      <c r="B646" s="1" t="n">
        <v>44881</v>
      </c>
      <c r="C646" s="1" t="n">
        <v>46002</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36336-2023</t>
        </is>
      </c>
      <c r="B647" s="1" t="n">
        <v>45152.45078703704</v>
      </c>
      <c r="C647" s="1" t="n">
        <v>46002</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48829-2023</t>
        </is>
      </c>
      <c r="B648" s="1" t="n">
        <v>45209.38177083333</v>
      </c>
      <c r="C648" s="1" t="n">
        <v>46002</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46002</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63669-2023</t>
        </is>
      </c>
      <c r="B650" s="1" t="n">
        <v>45275</v>
      </c>
      <c r="C650" s="1" t="n">
        <v>46002</v>
      </c>
      <c r="D650" t="inlineStr">
        <is>
          <t>ÖSTERGÖTLANDS LÄN</t>
        </is>
      </c>
      <c r="E650" t="inlineStr">
        <is>
          <t>LINKÖPING</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24586-2024</t>
        </is>
      </c>
      <c r="B651" s="1" t="n">
        <v>45460.46664351852</v>
      </c>
      <c r="C651" s="1" t="n">
        <v>46002</v>
      </c>
      <c r="D651" t="inlineStr">
        <is>
          <t>ÖSTERGÖTLANDS LÄN</t>
        </is>
      </c>
      <c r="E651" t="inlineStr">
        <is>
          <t>LINKÖPING</t>
        </is>
      </c>
      <c r="G651" t="n">
        <v>4</v>
      </c>
      <c r="H651" t="n">
        <v>0</v>
      </c>
      <c r="I651" t="n">
        <v>0</v>
      </c>
      <c r="J651" t="n">
        <v>0</v>
      </c>
      <c r="K651" t="n">
        <v>0</v>
      </c>
      <c r="L651" t="n">
        <v>0</v>
      </c>
      <c r="M651" t="n">
        <v>0</v>
      </c>
      <c r="N651" t="n">
        <v>0</v>
      </c>
      <c r="O651" t="n">
        <v>0</v>
      </c>
      <c r="P651" t="n">
        <v>0</v>
      </c>
      <c r="Q651" t="n">
        <v>0</v>
      </c>
      <c r="R651" s="2" t="inlineStr"/>
    </row>
    <row r="652" ht="15" customHeight="1">
      <c r="A652" t="inlineStr">
        <is>
          <t>A 59576-2024</t>
        </is>
      </c>
      <c r="B652" s="1" t="n">
        <v>45638.66378472222</v>
      </c>
      <c r="C652" s="1" t="n">
        <v>46002</v>
      </c>
      <c r="D652" t="inlineStr">
        <is>
          <t>ÖSTERGÖTLANDS LÄN</t>
        </is>
      </c>
      <c r="E652" t="inlineStr">
        <is>
          <t>LINKÖPING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59642-2024</t>
        </is>
      </c>
      <c r="B653" s="1" t="n">
        <v>45639.31511574074</v>
      </c>
      <c r="C653" s="1" t="n">
        <v>46002</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59674-2024</t>
        </is>
      </c>
      <c r="B654" s="1" t="n">
        <v>45639</v>
      </c>
      <c r="C654" s="1" t="n">
        <v>46002</v>
      </c>
      <c r="D654" t="inlineStr">
        <is>
          <t>ÖSTERGÖTLANDS LÄN</t>
        </is>
      </c>
      <c r="E654" t="inlineStr">
        <is>
          <t>LINKÖPING</t>
        </is>
      </c>
      <c r="G654" t="n">
        <v>6.3</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46002</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18916-2024</t>
        </is>
      </c>
      <c r="B656" s="1" t="n">
        <v>45427.39541666667</v>
      </c>
      <c r="C656" s="1" t="n">
        <v>46002</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11084-2022</t>
        </is>
      </c>
      <c r="B657" s="1" t="n">
        <v>44628</v>
      </c>
      <c r="C657" s="1" t="n">
        <v>46002</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10203-2023</t>
        </is>
      </c>
      <c r="B658" s="1" t="n">
        <v>44986.55711805556</v>
      </c>
      <c r="C658" s="1" t="n">
        <v>46002</v>
      </c>
      <c r="D658" t="inlineStr">
        <is>
          <t>ÖSTERGÖTLANDS LÄN</t>
        </is>
      </c>
      <c r="E658" t="inlineStr">
        <is>
          <t>LINKÖPING</t>
        </is>
      </c>
      <c r="G658" t="n">
        <v>3.3</v>
      </c>
      <c r="H658" t="n">
        <v>0</v>
      </c>
      <c r="I658" t="n">
        <v>0</v>
      </c>
      <c r="J658" t="n">
        <v>0</v>
      </c>
      <c r="K658" t="n">
        <v>0</v>
      </c>
      <c r="L658" t="n">
        <v>0</v>
      </c>
      <c r="M658" t="n">
        <v>0</v>
      </c>
      <c r="N658" t="n">
        <v>0</v>
      </c>
      <c r="O658" t="n">
        <v>0</v>
      </c>
      <c r="P658" t="n">
        <v>0</v>
      </c>
      <c r="Q658" t="n">
        <v>0</v>
      </c>
      <c r="R658" s="2" t="inlineStr"/>
    </row>
    <row r="659" ht="15" customHeight="1">
      <c r="A659" t="inlineStr">
        <is>
          <t>A 2618-2023</t>
        </is>
      </c>
      <c r="B659" s="1" t="n">
        <v>44944.35847222222</v>
      </c>
      <c r="C659" s="1" t="n">
        <v>46002</v>
      </c>
      <c r="D659" t="inlineStr">
        <is>
          <t>ÖSTERGÖTLANDS LÄN</t>
        </is>
      </c>
      <c r="E659" t="inlineStr">
        <is>
          <t>LINKÖPING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62020-2024</t>
        </is>
      </c>
      <c r="B660" s="1" t="n">
        <v>45655.83563657408</v>
      </c>
      <c r="C660" s="1" t="n">
        <v>46002</v>
      </c>
      <c r="D660" t="inlineStr">
        <is>
          <t>ÖSTERGÖTLANDS LÄN</t>
        </is>
      </c>
      <c r="E660" t="inlineStr">
        <is>
          <t>LINKÖPING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62021-2024</t>
        </is>
      </c>
      <c r="B661" s="1" t="n">
        <v>45655.84232638889</v>
      </c>
      <c r="C661" s="1" t="n">
        <v>46002</v>
      </c>
      <c r="D661" t="inlineStr">
        <is>
          <t>ÖSTERGÖTLANDS LÄN</t>
        </is>
      </c>
      <c r="E661" t="inlineStr">
        <is>
          <t>LINKÖPING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1362-2023</t>
        </is>
      </c>
      <c r="B662" s="1" t="n">
        <v>44931</v>
      </c>
      <c r="C662" s="1" t="n">
        <v>46002</v>
      </c>
      <c r="D662" t="inlineStr">
        <is>
          <t>ÖSTERGÖTLANDS LÄN</t>
        </is>
      </c>
      <c r="E662" t="inlineStr">
        <is>
          <t>LINKÖPING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49928-2024</t>
        </is>
      </c>
      <c r="B663" s="1" t="n">
        <v>45597.57811342592</v>
      </c>
      <c r="C663" s="1" t="n">
        <v>46002</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3627-2023</t>
        </is>
      </c>
      <c r="B664" s="1" t="n">
        <v>44950.64782407408</v>
      </c>
      <c r="C664" s="1" t="n">
        <v>46002</v>
      </c>
      <c r="D664" t="inlineStr">
        <is>
          <t>ÖSTERGÖTLANDS LÄN</t>
        </is>
      </c>
      <c r="E664" t="inlineStr">
        <is>
          <t>LINKÖPING</t>
        </is>
      </c>
      <c r="G664" t="n">
        <v>3.1</v>
      </c>
      <c r="H664" t="n">
        <v>0</v>
      </c>
      <c r="I664" t="n">
        <v>0</v>
      </c>
      <c r="J664" t="n">
        <v>0</v>
      </c>
      <c r="K664" t="n">
        <v>0</v>
      </c>
      <c r="L664" t="n">
        <v>0</v>
      </c>
      <c r="M664" t="n">
        <v>0</v>
      </c>
      <c r="N664" t="n">
        <v>0</v>
      </c>
      <c r="O664" t="n">
        <v>0</v>
      </c>
      <c r="P664" t="n">
        <v>0</v>
      </c>
      <c r="Q664" t="n">
        <v>0</v>
      </c>
      <c r="R664" s="2" t="inlineStr"/>
    </row>
    <row r="665" ht="15" customHeight="1">
      <c r="A665" t="inlineStr">
        <is>
          <t>A 51405-2023</t>
        </is>
      </c>
      <c r="B665" s="1" t="n">
        <v>45219</v>
      </c>
      <c r="C665" s="1" t="n">
        <v>46002</v>
      </c>
      <c r="D665" t="inlineStr">
        <is>
          <t>ÖSTERGÖTLANDS LÄN</t>
        </is>
      </c>
      <c r="E665" t="inlineStr">
        <is>
          <t>LINKÖPING</t>
        </is>
      </c>
      <c r="F665" t="inlineStr">
        <is>
          <t>Övriga Aktiebolag</t>
        </is>
      </c>
      <c r="G665" t="n">
        <v>3</v>
      </c>
      <c r="H665" t="n">
        <v>0</v>
      </c>
      <c r="I665" t="n">
        <v>0</v>
      </c>
      <c r="J665" t="n">
        <v>0</v>
      </c>
      <c r="K665" t="n">
        <v>0</v>
      </c>
      <c r="L665" t="n">
        <v>0</v>
      </c>
      <c r="M665" t="n">
        <v>0</v>
      </c>
      <c r="N665" t="n">
        <v>0</v>
      </c>
      <c r="O665" t="n">
        <v>0</v>
      </c>
      <c r="P665" t="n">
        <v>0</v>
      </c>
      <c r="Q665" t="n">
        <v>0</v>
      </c>
      <c r="R665" s="2" t="inlineStr"/>
    </row>
    <row r="666" ht="15" customHeight="1">
      <c r="A666" t="inlineStr">
        <is>
          <t>A 11601-2023</t>
        </is>
      </c>
      <c r="B666" s="1" t="n">
        <v>44994</v>
      </c>
      <c r="C666" s="1" t="n">
        <v>46002</v>
      </c>
      <c r="D666" t="inlineStr">
        <is>
          <t>ÖSTERGÖTLANDS LÄN</t>
        </is>
      </c>
      <c r="E666" t="inlineStr">
        <is>
          <t>LINKÖPING</t>
        </is>
      </c>
      <c r="G666" t="n">
        <v>1.7</v>
      </c>
      <c r="H666" t="n">
        <v>0</v>
      </c>
      <c r="I666" t="n">
        <v>0</v>
      </c>
      <c r="J666" t="n">
        <v>0</v>
      </c>
      <c r="K666" t="n">
        <v>0</v>
      </c>
      <c r="L666" t="n">
        <v>0</v>
      </c>
      <c r="M666" t="n">
        <v>0</v>
      </c>
      <c r="N666" t="n">
        <v>0</v>
      </c>
      <c r="O666" t="n">
        <v>0</v>
      </c>
      <c r="P666" t="n">
        <v>0</v>
      </c>
      <c r="Q666" t="n">
        <v>0</v>
      </c>
      <c r="R666" s="2" t="inlineStr"/>
    </row>
    <row r="667" ht="15" customHeight="1">
      <c r="A667" t="inlineStr">
        <is>
          <t>A 40338-2024</t>
        </is>
      </c>
      <c r="B667" s="1" t="n">
        <v>45555.32940972222</v>
      </c>
      <c r="C667" s="1" t="n">
        <v>46002</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167-2024</t>
        </is>
      </c>
      <c r="B668" s="1" t="n">
        <v>45294</v>
      </c>
      <c r="C668" s="1" t="n">
        <v>46002</v>
      </c>
      <c r="D668" t="inlineStr">
        <is>
          <t>ÖSTERGÖTLANDS LÄN</t>
        </is>
      </c>
      <c r="E668" t="inlineStr">
        <is>
          <t>LINKÖPING</t>
        </is>
      </c>
      <c r="F668" t="inlineStr">
        <is>
          <t>Allmännings- och besparingsskogar</t>
        </is>
      </c>
      <c r="G668" t="n">
        <v>11.6</v>
      </c>
      <c r="H668" t="n">
        <v>0</v>
      </c>
      <c r="I668" t="n">
        <v>0</v>
      </c>
      <c r="J668" t="n">
        <v>0</v>
      </c>
      <c r="K668" t="n">
        <v>0</v>
      </c>
      <c r="L668" t="n">
        <v>0</v>
      </c>
      <c r="M668" t="n">
        <v>0</v>
      </c>
      <c r="N668" t="n">
        <v>0</v>
      </c>
      <c r="O668" t="n">
        <v>0</v>
      </c>
      <c r="P668" t="n">
        <v>0</v>
      </c>
      <c r="Q668" t="n">
        <v>0</v>
      </c>
      <c r="R668" s="2" t="inlineStr"/>
    </row>
    <row r="669" ht="15" customHeight="1">
      <c r="A669" t="inlineStr">
        <is>
          <t>A 27186-2021</t>
        </is>
      </c>
      <c r="B669" s="1" t="n">
        <v>44350.67715277777</v>
      </c>
      <c r="C669" s="1" t="n">
        <v>46002</v>
      </c>
      <c r="D669" t="inlineStr">
        <is>
          <t>ÖSTERGÖTLANDS LÄN</t>
        </is>
      </c>
      <c r="E669" t="inlineStr">
        <is>
          <t>LINKÖPING</t>
        </is>
      </c>
      <c r="F669" t="inlineStr">
        <is>
          <t>Allmännings- och besparingsskogar</t>
        </is>
      </c>
      <c r="G669" t="n">
        <v>1.4</v>
      </c>
      <c r="H669" t="n">
        <v>0</v>
      </c>
      <c r="I669" t="n">
        <v>0</v>
      </c>
      <c r="J669" t="n">
        <v>0</v>
      </c>
      <c r="K669" t="n">
        <v>0</v>
      </c>
      <c r="L669" t="n">
        <v>0</v>
      </c>
      <c r="M669" t="n">
        <v>0</v>
      </c>
      <c r="N669" t="n">
        <v>0</v>
      </c>
      <c r="O669" t="n">
        <v>0</v>
      </c>
      <c r="P669" t="n">
        <v>0</v>
      </c>
      <c r="Q669" t="n">
        <v>0</v>
      </c>
      <c r="R669" s="2" t="inlineStr"/>
    </row>
    <row r="670" ht="15" customHeight="1">
      <c r="A670" t="inlineStr">
        <is>
          <t>A 7343-2025</t>
        </is>
      </c>
      <c r="B670" s="1" t="n">
        <v>45703.67853009259</v>
      </c>
      <c r="C670" s="1" t="n">
        <v>46002</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48271-2023</t>
        </is>
      </c>
      <c r="B671" s="1" t="n">
        <v>45205</v>
      </c>
      <c r="C671" s="1" t="n">
        <v>46002</v>
      </c>
      <c r="D671" t="inlineStr">
        <is>
          <t>ÖSTERGÖTLANDS LÄN</t>
        </is>
      </c>
      <c r="E671" t="inlineStr">
        <is>
          <t>LINKÖPING</t>
        </is>
      </c>
      <c r="G671" t="n">
        <v>3</v>
      </c>
      <c r="H671" t="n">
        <v>0</v>
      </c>
      <c r="I671" t="n">
        <v>0</v>
      </c>
      <c r="J671" t="n">
        <v>0</v>
      </c>
      <c r="K671" t="n">
        <v>0</v>
      </c>
      <c r="L671" t="n">
        <v>0</v>
      </c>
      <c r="M671" t="n">
        <v>0</v>
      </c>
      <c r="N671" t="n">
        <v>0</v>
      </c>
      <c r="O671" t="n">
        <v>0</v>
      </c>
      <c r="P671" t="n">
        <v>0</v>
      </c>
      <c r="Q671" t="n">
        <v>0</v>
      </c>
      <c r="R671" s="2" t="inlineStr"/>
    </row>
    <row r="672" ht="15" customHeight="1">
      <c r="A672" t="inlineStr">
        <is>
          <t>A 12720-2022</t>
        </is>
      </c>
      <c r="B672" s="1" t="n">
        <v>44641</v>
      </c>
      <c r="C672" s="1" t="n">
        <v>46002</v>
      </c>
      <c r="D672" t="inlineStr">
        <is>
          <t>ÖSTERGÖTLANDS LÄN</t>
        </is>
      </c>
      <c r="E672" t="inlineStr">
        <is>
          <t>LINKÖPING</t>
        </is>
      </c>
      <c r="F672" t="inlineStr">
        <is>
          <t>Övriga Aktiebolag</t>
        </is>
      </c>
      <c r="G672" t="n">
        <v>2</v>
      </c>
      <c r="H672" t="n">
        <v>0</v>
      </c>
      <c r="I672" t="n">
        <v>0</v>
      </c>
      <c r="J672" t="n">
        <v>0</v>
      </c>
      <c r="K672" t="n">
        <v>0</v>
      </c>
      <c r="L672" t="n">
        <v>0</v>
      </c>
      <c r="M672" t="n">
        <v>0</v>
      </c>
      <c r="N672" t="n">
        <v>0</v>
      </c>
      <c r="O672" t="n">
        <v>0</v>
      </c>
      <c r="P672" t="n">
        <v>0</v>
      </c>
      <c r="Q672" t="n">
        <v>0</v>
      </c>
      <c r="R672" s="2" t="inlineStr"/>
    </row>
    <row r="673" ht="15" customHeight="1">
      <c r="A673" t="inlineStr">
        <is>
          <t>A 62018-2024</t>
        </is>
      </c>
      <c r="B673" s="1" t="n">
        <v>45655.81387731482</v>
      </c>
      <c r="C673" s="1" t="n">
        <v>46002</v>
      </c>
      <c r="D673" t="inlineStr">
        <is>
          <t>ÖSTERGÖTLANDS LÄN</t>
        </is>
      </c>
      <c r="E673" t="inlineStr">
        <is>
          <t>LINKÖPING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30551-2023</t>
        </is>
      </c>
      <c r="B674" s="1" t="n">
        <v>45111</v>
      </c>
      <c r="C674" s="1" t="n">
        <v>46002</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30860-2022</t>
        </is>
      </c>
      <c r="B675" s="1" t="n">
        <v>44767</v>
      </c>
      <c r="C675" s="1" t="n">
        <v>46002</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60004-2022</t>
        </is>
      </c>
      <c r="B676" s="1" t="n">
        <v>44909.47206018519</v>
      </c>
      <c r="C676" s="1" t="n">
        <v>46002</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60010-2022</t>
        </is>
      </c>
      <c r="B677" s="1" t="n">
        <v>44909.4740625</v>
      </c>
      <c r="C677" s="1" t="n">
        <v>46002</v>
      </c>
      <c r="D677" t="inlineStr">
        <is>
          <t>ÖSTERGÖTLANDS LÄN</t>
        </is>
      </c>
      <c r="E677" t="inlineStr">
        <is>
          <t>LINKÖPING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53827-2023</t>
        </is>
      </c>
      <c r="B678" s="1" t="n">
        <v>45230</v>
      </c>
      <c r="C678" s="1" t="n">
        <v>46002</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4256-2022</t>
        </is>
      </c>
      <c r="B679" s="1" t="n">
        <v>44588</v>
      </c>
      <c r="C679" s="1" t="n">
        <v>46002</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46002</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223-2024</t>
        </is>
      </c>
      <c r="B681" s="1" t="n">
        <v>45294.72739583333</v>
      </c>
      <c r="C681" s="1" t="n">
        <v>46002</v>
      </c>
      <c r="D681" t="inlineStr">
        <is>
          <t>ÖSTERGÖTLANDS LÄN</t>
        </is>
      </c>
      <c r="E681" t="inlineStr">
        <is>
          <t>LINKÖPING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19464-2024</t>
        </is>
      </c>
      <c r="B682" s="1" t="n">
        <v>45429</v>
      </c>
      <c r="C682" s="1" t="n">
        <v>46002</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630-2024</t>
        </is>
      </c>
      <c r="B683" s="1" t="n">
        <v>45299.67736111111</v>
      </c>
      <c r="C683" s="1" t="n">
        <v>46002</v>
      </c>
      <c r="D683" t="inlineStr">
        <is>
          <t>ÖSTERGÖTLANDS LÄN</t>
        </is>
      </c>
      <c r="E683" t="inlineStr">
        <is>
          <t>LINKÖPING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30433-2024</t>
        </is>
      </c>
      <c r="B684" s="1" t="n">
        <v>45491.69741898148</v>
      </c>
      <c r="C684" s="1" t="n">
        <v>46002</v>
      </c>
      <c r="D684" t="inlineStr">
        <is>
          <t>ÖSTERGÖTLANDS LÄN</t>
        </is>
      </c>
      <c r="E684" t="inlineStr">
        <is>
          <t>LINKÖPING</t>
        </is>
      </c>
      <c r="G684" t="n">
        <v>1.7</v>
      </c>
      <c r="H684" t="n">
        <v>0</v>
      </c>
      <c r="I684" t="n">
        <v>0</v>
      </c>
      <c r="J684" t="n">
        <v>0</v>
      </c>
      <c r="K684" t="n">
        <v>0</v>
      </c>
      <c r="L684" t="n">
        <v>0</v>
      </c>
      <c r="M684" t="n">
        <v>0</v>
      </c>
      <c r="N684" t="n">
        <v>0</v>
      </c>
      <c r="O684" t="n">
        <v>0</v>
      </c>
      <c r="P684" t="n">
        <v>0</v>
      </c>
      <c r="Q684" t="n">
        <v>0</v>
      </c>
      <c r="R684" s="2" t="inlineStr"/>
    </row>
    <row r="685" ht="15" customHeight="1">
      <c r="A685" t="inlineStr">
        <is>
          <t>A 63528-2023</t>
        </is>
      </c>
      <c r="B685" s="1" t="n">
        <v>45274.94810185185</v>
      </c>
      <c r="C685" s="1" t="n">
        <v>46002</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61936-2023</t>
        </is>
      </c>
      <c r="B686" s="1" t="n">
        <v>45266.54534722222</v>
      </c>
      <c r="C686" s="1" t="n">
        <v>46002</v>
      </c>
      <c r="D686" t="inlineStr">
        <is>
          <t>ÖSTERGÖTLANDS LÄN</t>
        </is>
      </c>
      <c r="E686" t="inlineStr">
        <is>
          <t>LINKÖPING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62492-2023</t>
        </is>
      </c>
      <c r="B687" s="1" t="n">
        <v>45268.58987268519</v>
      </c>
      <c r="C687" s="1" t="n">
        <v>46002</v>
      </c>
      <c r="D687" t="inlineStr">
        <is>
          <t>ÖSTERGÖTLANDS LÄN</t>
        </is>
      </c>
      <c r="E687" t="inlineStr">
        <is>
          <t>LINKÖPING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674-2024</t>
        </is>
      </c>
      <c r="B688" s="1" t="n">
        <v>45300.34408564815</v>
      </c>
      <c r="C688" s="1" t="n">
        <v>46002</v>
      </c>
      <c r="D688" t="inlineStr">
        <is>
          <t>ÖSTERGÖTLANDS LÄN</t>
        </is>
      </c>
      <c r="E688" t="inlineStr">
        <is>
          <t>LINKÖPING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6782-2024</t>
        </is>
      </c>
      <c r="B689" s="1" t="n">
        <v>45342</v>
      </c>
      <c r="C689" s="1" t="n">
        <v>46002</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10094-2024</t>
        </is>
      </c>
      <c r="B690" s="1" t="n">
        <v>45364</v>
      </c>
      <c r="C690" s="1" t="n">
        <v>46002</v>
      </c>
      <c r="D690" t="inlineStr">
        <is>
          <t>ÖSTERGÖTLANDS LÄN</t>
        </is>
      </c>
      <c r="E690" t="inlineStr">
        <is>
          <t>LINKÖPING</t>
        </is>
      </c>
      <c r="F690" t="inlineStr">
        <is>
          <t>Övriga Aktiebolag</t>
        </is>
      </c>
      <c r="G690" t="n">
        <v>1.9</v>
      </c>
      <c r="H690" t="n">
        <v>0</v>
      </c>
      <c r="I690" t="n">
        <v>0</v>
      </c>
      <c r="J690" t="n">
        <v>0</v>
      </c>
      <c r="K690" t="n">
        <v>0</v>
      </c>
      <c r="L690" t="n">
        <v>0</v>
      </c>
      <c r="M690" t="n">
        <v>0</v>
      </c>
      <c r="N690" t="n">
        <v>0</v>
      </c>
      <c r="O690" t="n">
        <v>0</v>
      </c>
      <c r="P690" t="n">
        <v>0</v>
      </c>
      <c r="Q690" t="n">
        <v>0</v>
      </c>
      <c r="R690" s="2" t="inlineStr"/>
    </row>
    <row r="691" ht="15" customHeight="1">
      <c r="A691" t="inlineStr">
        <is>
          <t>A 63684-2023</t>
        </is>
      </c>
      <c r="B691" s="1" t="n">
        <v>45275</v>
      </c>
      <c r="C691" s="1" t="n">
        <v>46002</v>
      </c>
      <c r="D691" t="inlineStr">
        <is>
          <t>ÖSTERGÖTLANDS LÄN</t>
        </is>
      </c>
      <c r="E691" t="inlineStr">
        <is>
          <t>LINKÖPING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63688-2023</t>
        </is>
      </c>
      <c r="B692" s="1" t="n">
        <v>45275</v>
      </c>
      <c r="C692" s="1" t="n">
        <v>46002</v>
      </c>
      <c r="D692" t="inlineStr">
        <is>
          <t>ÖSTERGÖTLANDS LÄN</t>
        </is>
      </c>
      <c r="E692" t="inlineStr">
        <is>
          <t>LINKÖPING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63691-2023</t>
        </is>
      </c>
      <c r="B693" s="1" t="n">
        <v>45275</v>
      </c>
      <c r="C693" s="1" t="n">
        <v>46002</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36657-2023</t>
        </is>
      </c>
      <c r="B694" s="1" t="n">
        <v>45153.5702662037</v>
      </c>
      <c r="C694" s="1" t="n">
        <v>46002</v>
      </c>
      <c r="D694" t="inlineStr">
        <is>
          <t>ÖSTERGÖTLANDS LÄN</t>
        </is>
      </c>
      <c r="E694" t="inlineStr">
        <is>
          <t>LINKÖPING</t>
        </is>
      </c>
      <c r="F694" t="inlineStr">
        <is>
          <t>Allmännings- och besparingsskogar</t>
        </is>
      </c>
      <c r="G694" t="n">
        <v>2</v>
      </c>
      <c r="H694" t="n">
        <v>0</v>
      </c>
      <c r="I694" t="n">
        <v>0</v>
      </c>
      <c r="J694" t="n">
        <v>0</v>
      </c>
      <c r="K694" t="n">
        <v>0</v>
      </c>
      <c r="L694" t="n">
        <v>0</v>
      </c>
      <c r="M694" t="n">
        <v>0</v>
      </c>
      <c r="N694" t="n">
        <v>0</v>
      </c>
      <c r="O694" t="n">
        <v>0</v>
      </c>
      <c r="P694" t="n">
        <v>0</v>
      </c>
      <c r="Q694" t="n">
        <v>0</v>
      </c>
      <c r="R694" s="2" t="inlineStr"/>
    </row>
    <row r="695" ht="15" customHeight="1">
      <c r="A695" t="inlineStr">
        <is>
          <t>A 14667-2024</t>
        </is>
      </c>
      <c r="B695" s="1" t="n">
        <v>45397.42005787037</v>
      </c>
      <c r="C695" s="1" t="n">
        <v>46002</v>
      </c>
      <c r="D695" t="inlineStr">
        <is>
          <t>ÖSTERGÖTLANDS LÄN</t>
        </is>
      </c>
      <c r="E695" t="inlineStr">
        <is>
          <t>LINKÖPING</t>
        </is>
      </c>
      <c r="G695" t="n">
        <v>2.3</v>
      </c>
      <c r="H695" t="n">
        <v>0</v>
      </c>
      <c r="I695" t="n">
        <v>0</v>
      </c>
      <c r="J695" t="n">
        <v>0</v>
      </c>
      <c r="K695" t="n">
        <v>0</v>
      </c>
      <c r="L695" t="n">
        <v>0</v>
      </c>
      <c r="M695" t="n">
        <v>0</v>
      </c>
      <c r="N695" t="n">
        <v>0</v>
      </c>
      <c r="O695" t="n">
        <v>0</v>
      </c>
      <c r="P695" t="n">
        <v>0</v>
      </c>
      <c r="Q695" t="n">
        <v>0</v>
      </c>
      <c r="R695" s="2" t="inlineStr"/>
    </row>
    <row r="696" ht="15" customHeight="1">
      <c r="A696" t="inlineStr">
        <is>
          <t>A 15714-2024</t>
        </is>
      </c>
      <c r="B696" s="1" t="n">
        <v>45404.48288194444</v>
      </c>
      <c r="C696" s="1" t="n">
        <v>46002</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37715-2022</t>
        </is>
      </c>
      <c r="B697" s="1" t="n">
        <v>44810</v>
      </c>
      <c r="C697" s="1" t="n">
        <v>46002</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30429-2024</t>
        </is>
      </c>
      <c r="B698" s="1" t="n">
        <v>45491.68972222223</v>
      </c>
      <c r="C698" s="1" t="n">
        <v>46002</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30435-2024</t>
        </is>
      </c>
      <c r="B699" s="1" t="n">
        <v>45491.69962962963</v>
      </c>
      <c r="C699" s="1" t="n">
        <v>46002</v>
      </c>
      <c r="D699" t="inlineStr">
        <is>
          <t>ÖSTERGÖTLANDS LÄN</t>
        </is>
      </c>
      <c r="E699" t="inlineStr">
        <is>
          <t>LINKÖPING</t>
        </is>
      </c>
      <c r="G699" t="n">
        <v>1.9</v>
      </c>
      <c r="H699" t="n">
        <v>0</v>
      </c>
      <c r="I699" t="n">
        <v>0</v>
      </c>
      <c r="J699" t="n">
        <v>0</v>
      </c>
      <c r="K699" t="n">
        <v>0</v>
      </c>
      <c r="L699" t="n">
        <v>0</v>
      </c>
      <c r="M699" t="n">
        <v>0</v>
      </c>
      <c r="N699" t="n">
        <v>0</v>
      </c>
      <c r="O699" t="n">
        <v>0</v>
      </c>
      <c r="P699" t="n">
        <v>0</v>
      </c>
      <c r="Q699" t="n">
        <v>0</v>
      </c>
      <c r="R699" s="2" t="inlineStr"/>
    </row>
    <row r="700" ht="15" customHeight="1">
      <c r="A700" t="inlineStr">
        <is>
          <t>A 4927-2021</t>
        </is>
      </c>
      <c r="B700" s="1" t="n">
        <v>44227.57215277778</v>
      </c>
      <c r="C700" s="1" t="n">
        <v>46002</v>
      </c>
      <c r="D700" t="inlineStr">
        <is>
          <t>ÖSTERGÖTLANDS LÄN</t>
        </is>
      </c>
      <c r="E700" t="inlineStr">
        <is>
          <t>LINKÖPING</t>
        </is>
      </c>
      <c r="G700" t="n">
        <v>0.3</v>
      </c>
      <c r="H700" t="n">
        <v>0</v>
      </c>
      <c r="I700" t="n">
        <v>0</v>
      </c>
      <c r="J700" t="n">
        <v>0</v>
      </c>
      <c r="K700" t="n">
        <v>0</v>
      </c>
      <c r="L700" t="n">
        <v>0</v>
      </c>
      <c r="M700" t="n">
        <v>0</v>
      </c>
      <c r="N700" t="n">
        <v>0</v>
      </c>
      <c r="O700" t="n">
        <v>0</v>
      </c>
      <c r="P700" t="n">
        <v>0</v>
      </c>
      <c r="Q700" t="n">
        <v>0</v>
      </c>
      <c r="R700" s="2" t="inlineStr"/>
    </row>
    <row r="701" ht="15" customHeight="1">
      <c r="A701" t="inlineStr">
        <is>
          <t>A 38231-2022</t>
        </is>
      </c>
      <c r="B701" s="1" t="n">
        <v>44812</v>
      </c>
      <c r="C701" s="1" t="n">
        <v>46002</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34557-2022</t>
        </is>
      </c>
      <c r="B702" s="1" t="n">
        <v>44794.57074074074</v>
      </c>
      <c r="C702" s="1" t="n">
        <v>46002</v>
      </c>
      <c r="D702" t="inlineStr">
        <is>
          <t>ÖSTERGÖTLANDS LÄN</t>
        </is>
      </c>
      <c r="E702" t="inlineStr">
        <is>
          <t>LINKÖPING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13011-2022</t>
        </is>
      </c>
      <c r="B703" s="1" t="n">
        <v>44643</v>
      </c>
      <c r="C703" s="1" t="n">
        <v>46002</v>
      </c>
      <c r="D703" t="inlineStr">
        <is>
          <t>ÖSTERGÖTLANDS LÄN</t>
        </is>
      </c>
      <c r="E703" t="inlineStr">
        <is>
          <t>LINKÖPING</t>
        </is>
      </c>
      <c r="G703" t="n">
        <v>3.7</v>
      </c>
      <c r="H703" t="n">
        <v>0</v>
      </c>
      <c r="I703" t="n">
        <v>0</v>
      </c>
      <c r="J703" t="n">
        <v>0</v>
      </c>
      <c r="K703" t="n">
        <v>0</v>
      </c>
      <c r="L703" t="n">
        <v>0</v>
      </c>
      <c r="M703" t="n">
        <v>0</v>
      </c>
      <c r="N703" t="n">
        <v>0</v>
      </c>
      <c r="O703" t="n">
        <v>0</v>
      </c>
      <c r="P703" t="n">
        <v>0</v>
      </c>
      <c r="Q703" t="n">
        <v>0</v>
      </c>
      <c r="R703" s="2" t="inlineStr"/>
    </row>
    <row r="704" ht="15" customHeight="1">
      <c r="A704" t="inlineStr">
        <is>
          <t>A 617-2024</t>
        </is>
      </c>
      <c r="B704" s="1" t="n">
        <v>45299.66028935185</v>
      </c>
      <c r="C704" s="1" t="n">
        <v>46002</v>
      </c>
      <c r="D704" t="inlineStr">
        <is>
          <t>ÖSTERGÖTLANDS LÄN</t>
        </is>
      </c>
      <c r="E704" t="inlineStr">
        <is>
          <t>LINKÖPING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19362-2023</t>
        </is>
      </c>
      <c r="B705" s="1" t="n">
        <v>45049</v>
      </c>
      <c r="C705" s="1" t="n">
        <v>46002</v>
      </c>
      <c r="D705" t="inlineStr">
        <is>
          <t>ÖSTERGÖTLANDS LÄN</t>
        </is>
      </c>
      <c r="E705" t="inlineStr">
        <is>
          <t>LINKÖPING</t>
        </is>
      </c>
      <c r="G705" t="n">
        <v>0.1</v>
      </c>
      <c r="H705" t="n">
        <v>0</v>
      </c>
      <c r="I705" t="n">
        <v>0</v>
      </c>
      <c r="J705" t="n">
        <v>0</v>
      </c>
      <c r="K705" t="n">
        <v>0</v>
      </c>
      <c r="L705" t="n">
        <v>0</v>
      </c>
      <c r="M705" t="n">
        <v>0</v>
      </c>
      <c r="N705" t="n">
        <v>0</v>
      </c>
      <c r="O705" t="n">
        <v>0</v>
      </c>
      <c r="P705" t="n">
        <v>0</v>
      </c>
      <c r="Q705" t="n">
        <v>0</v>
      </c>
      <c r="R705" s="2" t="inlineStr"/>
    </row>
    <row r="706" ht="15" customHeight="1">
      <c r="A706" t="inlineStr">
        <is>
          <t>A 19132-2023</t>
        </is>
      </c>
      <c r="B706" s="1" t="n">
        <v>45048.54754629629</v>
      </c>
      <c r="C706" s="1" t="n">
        <v>46002</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31635-2023</t>
        </is>
      </c>
      <c r="B707" s="1" t="n">
        <v>45105</v>
      </c>
      <c r="C707" s="1" t="n">
        <v>46002</v>
      </c>
      <c r="D707" t="inlineStr">
        <is>
          <t>ÖSTERGÖTLANDS LÄN</t>
        </is>
      </c>
      <c r="E707" t="inlineStr">
        <is>
          <t>LINKÖPING</t>
        </is>
      </c>
      <c r="F707" t="inlineStr">
        <is>
          <t>Övriga statliga verk och myndigheter</t>
        </is>
      </c>
      <c r="G707" t="n">
        <v>4.6</v>
      </c>
      <c r="H707" t="n">
        <v>0</v>
      </c>
      <c r="I707" t="n">
        <v>0</v>
      </c>
      <c r="J707" t="n">
        <v>0</v>
      </c>
      <c r="K707" t="n">
        <v>0</v>
      </c>
      <c r="L707" t="n">
        <v>0</v>
      </c>
      <c r="M707" t="n">
        <v>0</v>
      </c>
      <c r="N707" t="n">
        <v>0</v>
      </c>
      <c r="O707" t="n">
        <v>0</v>
      </c>
      <c r="P707" t="n">
        <v>0</v>
      </c>
      <c r="Q707" t="n">
        <v>0</v>
      </c>
      <c r="R707" s="2" t="inlineStr"/>
    </row>
    <row r="708" ht="15" customHeight="1">
      <c r="A708" t="inlineStr">
        <is>
          <t>A 20296-2025</t>
        </is>
      </c>
      <c r="B708" s="1" t="n">
        <v>45774.74922453704</v>
      </c>
      <c r="C708" s="1" t="n">
        <v>46002</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67129-2020</t>
        </is>
      </c>
      <c r="B709" s="1" t="n">
        <v>44180</v>
      </c>
      <c r="C709" s="1" t="n">
        <v>46002</v>
      </c>
      <c r="D709" t="inlineStr">
        <is>
          <t>ÖSTERGÖTLANDS LÄN</t>
        </is>
      </c>
      <c r="E709" t="inlineStr">
        <is>
          <t>LINKÖPING</t>
        </is>
      </c>
      <c r="F709" t="inlineStr">
        <is>
          <t>Övriga statliga verk och myndigheter</t>
        </is>
      </c>
      <c r="G709" t="n">
        <v>2.7</v>
      </c>
      <c r="H709" t="n">
        <v>0</v>
      </c>
      <c r="I709" t="n">
        <v>0</v>
      </c>
      <c r="J709" t="n">
        <v>0</v>
      </c>
      <c r="K709" t="n">
        <v>0</v>
      </c>
      <c r="L709" t="n">
        <v>0</v>
      </c>
      <c r="M709" t="n">
        <v>0</v>
      </c>
      <c r="N709" t="n">
        <v>0</v>
      </c>
      <c r="O709" t="n">
        <v>0</v>
      </c>
      <c r="P709" t="n">
        <v>0</v>
      </c>
      <c r="Q709" t="n">
        <v>0</v>
      </c>
      <c r="R709" s="2" t="inlineStr"/>
    </row>
    <row r="710" ht="15" customHeight="1">
      <c r="A710" t="inlineStr">
        <is>
          <t>A 22770-2024</t>
        </is>
      </c>
      <c r="B710" s="1" t="n">
        <v>45448.4634375</v>
      </c>
      <c r="C710" s="1" t="n">
        <v>46002</v>
      </c>
      <c r="D710" t="inlineStr">
        <is>
          <t>ÖSTERGÖTLANDS LÄN</t>
        </is>
      </c>
      <c r="E710" t="inlineStr">
        <is>
          <t>LINKÖPING</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11595-2025</t>
        </is>
      </c>
      <c r="B711" s="1" t="n">
        <v>45727.41893518518</v>
      </c>
      <c r="C711" s="1" t="n">
        <v>46002</v>
      </c>
      <c r="D711" t="inlineStr">
        <is>
          <t>ÖSTERGÖTLANDS LÄN</t>
        </is>
      </c>
      <c r="E711" t="inlineStr">
        <is>
          <t>LINKÖPING</t>
        </is>
      </c>
      <c r="G711" t="n">
        <v>6.6</v>
      </c>
      <c r="H711" t="n">
        <v>0</v>
      </c>
      <c r="I711" t="n">
        <v>0</v>
      </c>
      <c r="J711" t="n">
        <v>0</v>
      </c>
      <c r="K711" t="n">
        <v>0</v>
      </c>
      <c r="L711" t="n">
        <v>0</v>
      </c>
      <c r="M711" t="n">
        <v>0</v>
      </c>
      <c r="N711" t="n">
        <v>0</v>
      </c>
      <c r="O711" t="n">
        <v>0</v>
      </c>
      <c r="P711" t="n">
        <v>0</v>
      </c>
      <c r="Q711" t="n">
        <v>0</v>
      </c>
      <c r="R711" s="2" t="inlineStr"/>
    </row>
    <row r="712" ht="15" customHeight="1">
      <c r="A712" t="inlineStr">
        <is>
          <t>A 48839-2022</t>
        </is>
      </c>
      <c r="B712" s="1" t="n">
        <v>44859</v>
      </c>
      <c r="C712" s="1" t="n">
        <v>46002</v>
      </c>
      <c r="D712" t="inlineStr">
        <is>
          <t>ÖSTERGÖTLANDS LÄN</t>
        </is>
      </c>
      <c r="E712" t="inlineStr">
        <is>
          <t>LINKÖPING</t>
        </is>
      </c>
      <c r="F712" t="inlineStr">
        <is>
          <t>Övriga Aktiebolag</t>
        </is>
      </c>
      <c r="G712" t="n">
        <v>0.6</v>
      </c>
      <c r="H712" t="n">
        <v>0</v>
      </c>
      <c r="I712" t="n">
        <v>0</v>
      </c>
      <c r="J712" t="n">
        <v>0</v>
      </c>
      <c r="K712" t="n">
        <v>0</v>
      </c>
      <c r="L712" t="n">
        <v>0</v>
      </c>
      <c r="M712" t="n">
        <v>0</v>
      </c>
      <c r="N712" t="n">
        <v>0</v>
      </c>
      <c r="O712" t="n">
        <v>0</v>
      </c>
      <c r="P712" t="n">
        <v>0</v>
      </c>
      <c r="Q712" t="n">
        <v>0</v>
      </c>
      <c r="R712" s="2" t="inlineStr"/>
    </row>
    <row r="713" ht="15" customHeight="1">
      <c r="A713" t="inlineStr">
        <is>
          <t>A 8967-2025</t>
        </is>
      </c>
      <c r="B713" s="1" t="n">
        <v>45712</v>
      </c>
      <c r="C713" s="1" t="n">
        <v>46002</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63678-2023</t>
        </is>
      </c>
      <c r="B714" s="1" t="n">
        <v>45275.64769675926</v>
      </c>
      <c r="C714" s="1" t="n">
        <v>46002</v>
      </c>
      <c r="D714" t="inlineStr">
        <is>
          <t>ÖSTERGÖTLANDS LÄN</t>
        </is>
      </c>
      <c r="E714" t="inlineStr">
        <is>
          <t>LINKÖPING</t>
        </is>
      </c>
      <c r="F714" t="inlineStr">
        <is>
          <t>Övriga Aktiebolag</t>
        </is>
      </c>
      <c r="G714" t="n">
        <v>0.4</v>
      </c>
      <c r="H714" t="n">
        <v>0</v>
      </c>
      <c r="I714" t="n">
        <v>0</v>
      </c>
      <c r="J714" t="n">
        <v>0</v>
      </c>
      <c r="K714" t="n">
        <v>0</v>
      </c>
      <c r="L714" t="n">
        <v>0</v>
      </c>
      <c r="M714" t="n">
        <v>0</v>
      </c>
      <c r="N714" t="n">
        <v>0</v>
      </c>
      <c r="O714" t="n">
        <v>0</v>
      </c>
      <c r="P714" t="n">
        <v>0</v>
      </c>
      <c r="Q714" t="n">
        <v>0</v>
      </c>
      <c r="R714" s="2" t="inlineStr"/>
    </row>
    <row r="715" ht="15" customHeight="1">
      <c r="A715" t="inlineStr">
        <is>
          <t>A 1844-2025</t>
        </is>
      </c>
      <c r="B715" s="1" t="n">
        <v>45671.57730324074</v>
      </c>
      <c r="C715" s="1" t="n">
        <v>46002</v>
      </c>
      <c r="D715" t="inlineStr">
        <is>
          <t>ÖSTERGÖTLANDS LÄN</t>
        </is>
      </c>
      <c r="E715" t="inlineStr">
        <is>
          <t>LINKÖPING</t>
        </is>
      </c>
      <c r="G715" t="n">
        <v>2</v>
      </c>
      <c r="H715" t="n">
        <v>0</v>
      </c>
      <c r="I715" t="n">
        <v>0</v>
      </c>
      <c r="J715" t="n">
        <v>0</v>
      </c>
      <c r="K715" t="n">
        <v>0</v>
      </c>
      <c r="L715" t="n">
        <v>0</v>
      </c>
      <c r="M715" t="n">
        <v>0</v>
      </c>
      <c r="N715" t="n">
        <v>0</v>
      </c>
      <c r="O715" t="n">
        <v>0</v>
      </c>
      <c r="P715" t="n">
        <v>0</v>
      </c>
      <c r="Q715" t="n">
        <v>0</v>
      </c>
      <c r="R715" s="2" t="inlineStr"/>
    </row>
    <row r="716" ht="15" customHeight="1">
      <c r="A716" t="inlineStr">
        <is>
          <t>A 21165-2025</t>
        </is>
      </c>
      <c r="B716" s="1" t="n">
        <v>45779.39417824074</v>
      </c>
      <c r="C716" s="1" t="n">
        <v>46002</v>
      </c>
      <c r="D716" t="inlineStr">
        <is>
          <t>ÖSTERGÖTLANDS LÄN</t>
        </is>
      </c>
      <c r="E716" t="inlineStr">
        <is>
          <t>LINKÖPING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21155-2025</t>
        </is>
      </c>
      <c r="B717" s="1" t="n">
        <v>45779.37586805555</v>
      </c>
      <c r="C717" s="1" t="n">
        <v>46002</v>
      </c>
      <c r="D717" t="inlineStr">
        <is>
          <t>ÖSTERGÖTLANDS LÄN</t>
        </is>
      </c>
      <c r="E717" t="inlineStr">
        <is>
          <t>LINKÖPING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22264-2025</t>
        </is>
      </c>
      <c r="B718" s="1" t="n">
        <v>45785</v>
      </c>
      <c r="C718" s="1" t="n">
        <v>46002</v>
      </c>
      <c r="D718" t="inlineStr">
        <is>
          <t>ÖSTERGÖTLANDS LÄN</t>
        </is>
      </c>
      <c r="E718" t="inlineStr">
        <is>
          <t>LINKÖPING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9473-2024</t>
        </is>
      </c>
      <c r="B719" s="1" t="n">
        <v>45359.55474537037</v>
      </c>
      <c r="C719" s="1" t="n">
        <v>46002</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6859-2024</t>
        </is>
      </c>
      <c r="B720" s="1" t="n">
        <v>45342</v>
      </c>
      <c r="C720" s="1" t="n">
        <v>46002</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44287-2024</t>
        </is>
      </c>
      <c r="B721" s="1" t="n">
        <v>45573.50582175926</v>
      </c>
      <c r="C721" s="1" t="n">
        <v>46002</v>
      </c>
      <c r="D721" t="inlineStr">
        <is>
          <t>ÖSTERGÖTLANDS LÄN</t>
        </is>
      </c>
      <c r="E721" t="inlineStr">
        <is>
          <t>LINKÖPING</t>
        </is>
      </c>
      <c r="G721" t="n">
        <v>12.7</v>
      </c>
      <c r="H721" t="n">
        <v>0</v>
      </c>
      <c r="I721" t="n">
        <v>0</v>
      </c>
      <c r="J721" t="n">
        <v>0</v>
      </c>
      <c r="K721" t="n">
        <v>0</v>
      </c>
      <c r="L721" t="n">
        <v>0</v>
      </c>
      <c r="M721" t="n">
        <v>0</v>
      </c>
      <c r="N721" t="n">
        <v>0</v>
      </c>
      <c r="O721" t="n">
        <v>0</v>
      </c>
      <c r="P721" t="n">
        <v>0</v>
      </c>
      <c r="Q721" t="n">
        <v>0</v>
      </c>
      <c r="R721" s="2" t="inlineStr"/>
    </row>
    <row r="722" ht="15" customHeight="1">
      <c r="A722" t="inlineStr">
        <is>
          <t>A 22364-2025</t>
        </is>
      </c>
      <c r="B722" s="1" t="n">
        <v>45786.46930555555</v>
      </c>
      <c r="C722" s="1" t="n">
        <v>46002</v>
      </c>
      <c r="D722" t="inlineStr">
        <is>
          <t>ÖSTERGÖTLANDS LÄN</t>
        </is>
      </c>
      <c r="E722" t="inlineStr">
        <is>
          <t>LINKÖPING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572-2025</t>
        </is>
      </c>
      <c r="B723" s="1" t="n">
        <v>45664.56349537037</v>
      </c>
      <c r="C723" s="1" t="n">
        <v>46002</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10797-2024</t>
        </is>
      </c>
      <c r="B724" s="1" t="n">
        <v>45369.6190162037</v>
      </c>
      <c r="C724" s="1" t="n">
        <v>46002</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38580-2024</t>
        </is>
      </c>
      <c r="B725" s="1" t="n">
        <v>45546.64825231482</v>
      </c>
      <c r="C725" s="1" t="n">
        <v>46002</v>
      </c>
      <c r="D725" t="inlineStr">
        <is>
          <t>ÖSTERGÖTLANDS LÄN</t>
        </is>
      </c>
      <c r="E725" t="inlineStr">
        <is>
          <t>LINKÖPING</t>
        </is>
      </c>
      <c r="G725" t="n">
        <v>4.8</v>
      </c>
      <c r="H725" t="n">
        <v>0</v>
      </c>
      <c r="I725" t="n">
        <v>0</v>
      </c>
      <c r="J725" t="n">
        <v>0</v>
      </c>
      <c r="K725" t="n">
        <v>0</v>
      </c>
      <c r="L725" t="n">
        <v>0</v>
      </c>
      <c r="M725" t="n">
        <v>0</v>
      </c>
      <c r="N725" t="n">
        <v>0</v>
      </c>
      <c r="O725" t="n">
        <v>0</v>
      </c>
      <c r="P725" t="n">
        <v>0</v>
      </c>
      <c r="Q725" t="n">
        <v>0</v>
      </c>
      <c r="R725" s="2" t="inlineStr"/>
    </row>
    <row r="726" ht="15" customHeight="1">
      <c r="A726" t="inlineStr">
        <is>
          <t>A 57752-2023</t>
        </is>
      </c>
      <c r="B726" s="1" t="n">
        <v>45246.78474537037</v>
      </c>
      <c r="C726" s="1" t="n">
        <v>46002</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29312-2024</t>
        </is>
      </c>
      <c r="B727" s="1" t="n">
        <v>45483</v>
      </c>
      <c r="C727" s="1" t="n">
        <v>46002</v>
      </c>
      <c r="D727" t="inlineStr">
        <is>
          <t>ÖSTERGÖTLANDS LÄN</t>
        </is>
      </c>
      <c r="E727" t="inlineStr">
        <is>
          <t>LINKÖPING</t>
        </is>
      </c>
      <c r="G727" t="n">
        <v>2.1</v>
      </c>
      <c r="H727" t="n">
        <v>0</v>
      </c>
      <c r="I727" t="n">
        <v>0</v>
      </c>
      <c r="J727" t="n">
        <v>0</v>
      </c>
      <c r="K727" t="n">
        <v>0</v>
      </c>
      <c r="L727" t="n">
        <v>0</v>
      </c>
      <c r="M727" t="n">
        <v>0</v>
      </c>
      <c r="N727" t="n">
        <v>0</v>
      </c>
      <c r="O727" t="n">
        <v>0</v>
      </c>
      <c r="P727" t="n">
        <v>0</v>
      </c>
      <c r="Q727" t="n">
        <v>0</v>
      </c>
      <c r="R727" s="2" t="inlineStr"/>
    </row>
    <row r="728">
      <c r="A728" t="inlineStr">
        <is>
          <t>A 23120-2025</t>
        </is>
      </c>
      <c r="B728" s="1" t="n">
        <v>45791.37481481482</v>
      </c>
      <c r="C728" s="1" t="n">
        <v>46002</v>
      </c>
      <c r="D728" t="inlineStr">
        <is>
          <t>ÖSTERGÖTLANDS LÄN</t>
        </is>
      </c>
      <c r="E728" t="inlineStr">
        <is>
          <t>LINKÖPING</t>
        </is>
      </c>
      <c r="G728" t="n">
        <v>2.9</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2025-12-11T10:28:52Z</dcterms:created>
  <dcterms:modified xmlns:dcterms="http://purl.org/dc/terms/" xmlns:xsi="http://www.w3.org/2001/XMLSchema-instance" xsi:type="dcterms:W3CDTF">2025-12-11T10:28:53Z</dcterms:modified>
</cp:coreProperties>
</file>