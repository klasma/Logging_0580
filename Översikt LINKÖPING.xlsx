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46101</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46101</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46101</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46101</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46101</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46101</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46101</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46101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48329-2025</t>
        </is>
      </c>
      <c r="B16" s="1" t="n">
        <v>45932</v>
      </c>
      <c r="C16" s="1" t="n">
        <v>46101</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40469-2024</t>
        </is>
      </c>
      <c r="B17" s="1" t="n">
        <v>45555.53145833333</v>
      </c>
      <c r="C17" s="1" t="n">
        <v>46101</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49999-2025</t>
        </is>
      </c>
      <c r="B18" s="1" t="n">
        <v>45943.30185185185</v>
      </c>
      <c r="C18" s="1" t="n">
        <v>46101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46101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38913-2023</t>
        </is>
      </c>
      <c r="B20" s="1" t="n">
        <v>45163</v>
      </c>
      <c r="C20" s="1" t="n">
        <v>46101</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11097-2026</t>
        </is>
      </c>
      <c r="B21" s="1" t="n">
        <v>46079.64511574074</v>
      </c>
      <c r="C21" s="1" t="n">
        <v>46101</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46101</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6353-2026</t>
        </is>
      </c>
      <c r="B23" s="1" t="n">
        <v>46055.61385416667</v>
      </c>
      <c r="C23" s="1" t="n">
        <v>46101</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55341-2024</t>
        </is>
      </c>
      <c r="B24" s="1" t="n">
        <v>45621.71255787037</v>
      </c>
      <c r="C24" s="1" t="n">
        <v>46101</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46101</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46101</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46101</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46101</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46101</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46101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25985-2025</t>
        </is>
      </c>
      <c r="B31" s="1" t="n">
        <v>45804.64479166667</v>
      </c>
      <c r="C31" s="1" t="n">
        <v>46101</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27981-2022</t>
        </is>
      </c>
      <c r="B32" s="1" t="n">
        <v>44745</v>
      </c>
      <c r="C32" s="1" t="n">
        <v>46101</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58068-2021</t>
        </is>
      </c>
      <c r="B33" s="1" t="n">
        <v>44487</v>
      </c>
      <c r="C33" s="1" t="n">
        <v>46101</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50048-2025</t>
        </is>
      </c>
      <c r="B34" s="1" t="n">
        <v>45941</v>
      </c>
      <c r="C34" s="1" t="n">
        <v>46101</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42858-2023</t>
        </is>
      </c>
      <c r="B35" s="1" t="n">
        <v>45177</v>
      </c>
      <c r="C35" s="1" t="n">
        <v>46101</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46101</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46101</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3912-2026</t>
        </is>
      </c>
      <c r="B38" s="1" t="n">
        <v>46043.71958333333</v>
      </c>
      <c r="C38" s="1" t="n">
        <v>46101</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8818-2025</t>
        </is>
      </c>
      <c r="B39" s="1" t="n">
        <v>45712</v>
      </c>
      <c r="C39" s="1" t="n">
        <v>46101</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46101</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12494-2026</t>
        </is>
      </c>
      <c r="B41" s="1" t="n">
        <v>46090.56896990741</v>
      </c>
      <c r="C41" s="1" t="n">
        <v>46101</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55344-2024</t>
        </is>
      </c>
      <c r="B42" s="1" t="n">
        <v>45621.7202662037</v>
      </c>
      <c r="C42" s="1" t="n">
        <v>46101</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20292-2025</t>
        </is>
      </c>
      <c r="B43" s="1" t="n">
        <v>45774.7449537037</v>
      </c>
      <c r="C43" s="1" t="n">
        <v>46101</v>
      </c>
      <c r="D43" t="inlineStr">
        <is>
          <t>ÖSTERGÖTLANDS LÄN</t>
        </is>
      </c>
      <c r="E43" t="inlineStr">
        <is>
          <t>LINKÖPING</t>
        </is>
      </c>
      <c r="G43" t="n">
        <v>8.4</v>
      </c>
      <c r="H43" t="n">
        <v>1</v>
      </c>
      <c r="I43" t="n">
        <v>1</v>
      </c>
      <c r="J43" t="n">
        <v>0</v>
      </c>
      <c r="K43" t="n">
        <v>0</v>
      </c>
      <c r="L43" t="n">
        <v>0</v>
      </c>
      <c r="M43" t="n">
        <v>0</v>
      </c>
      <c r="N43" t="n">
        <v>0</v>
      </c>
      <c r="O43" t="n">
        <v>0</v>
      </c>
      <c r="P43" t="n">
        <v>0</v>
      </c>
      <c r="Q43" t="n">
        <v>2</v>
      </c>
      <c r="R43" s="2" t="inlineStr">
        <is>
          <t>Blåmossa
Blåsippa</t>
        </is>
      </c>
      <c r="S43">
        <f>HYPERLINK("https://klasma.github.io/Logging_0580/artfynd/A 20292-2025 artfynd.xlsx", "A 20292-2025")</f>
        <v/>
      </c>
      <c r="T43">
        <f>HYPERLINK("https://klasma.github.io/Logging_0580/kartor/A 20292-2025 karta.png", "A 20292-2025")</f>
        <v/>
      </c>
      <c r="V43">
        <f>HYPERLINK("https://klasma.github.io/Logging_0580/klagomål/A 20292-2025 FSC-klagomål.docx", "A 20292-2025")</f>
        <v/>
      </c>
      <c r="W43">
        <f>HYPERLINK("https://klasma.github.io/Logging_0580/klagomålsmail/A 20292-2025 FSC-klagomål mail.docx", "A 20292-2025")</f>
        <v/>
      </c>
      <c r="X43">
        <f>HYPERLINK("https://klasma.github.io/Logging_0580/tillsyn/A 20292-2025 tillsynsbegäran.docx", "A 20292-2025")</f>
        <v/>
      </c>
      <c r="Y43">
        <f>HYPERLINK("https://klasma.github.io/Logging_0580/tillsynsmail/A 20292-2025 tillsynsbegäran mail.docx", "A 20292-2025")</f>
        <v/>
      </c>
    </row>
    <row r="44" ht="15" customHeight="1">
      <c r="A44" t="inlineStr">
        <is>
          <t>A 22040-2023</t>
        </is>
      </c>
      <c r="B44" s="1" t="n">
        <v>45068</v>
      </c>
      <c r="C44" s="1" t="n">
        <v>46101</v>
      </c>
      <c r="D44" t="inlineStr">
        <is>
          <t>ÖSTERGÖTLANDS LÄN</t>
        </is>
      </c>
      <c r="E44" t="inlineStr">
        <is>
          <t>LINKÖPING</t>
        </is>
      </c>
      <c r="F44" t="inlineStr">
        <is>
          <t>Kommuner</t>
        </is>
      </c>
      <c r="G44" t="n">
        <v>1</v>
      </c>
      <c r="H44" t="n">
        <v>1</v>
      </c>
      <c r="I44" t="n">
        <v>1</v>
      </c>
      <c r="J44" t="n">
        <v>0</v>
      </c>
      <c r="K44" t="n">
        <v>1</v>
      </c>
      <c r="L44" t="n">
        <v>0</v>
      </c>
      <c r="M44" t="n">
        <v>0</v>
      </c>
      <c r="N44" t="n">
        <v>0</v>
      </c>
      <c r="O44" t="n">
        <v>1</v>
      </c>
      <c r="P44" t="n">
        <v>1</v>
      </c>
      <c r="Q44" t="n">
        <v>2</v>
      </c>
      <c r="R44" s="2" t="inlineStr">
        <is>
          <t>Bombmurkla
Skarp dropptaggsvamp</t>
        </is>
      </c>
      <c r="S44">
        <f>HYPERLINK("https://klasma.github.io/Logging_0580/artfynd/A 22040-2023 artfynd.xlsx", "A 22040-2023")</f>
        <v/>
      </c>
      <c r="T44">
        <f>HYPERLINK("https://klasma.github.io/Logging_0580/kartor/A 22040-2023 karta.png", "A 22040-2023")</f>
        <v/>
      </c>
      <c r="V44">
        <f>HYPERLINK("https://klasma.github.io/Logging_0580/klagomål/A 22040-2023 FSC-klagomål.docx", "A 22040-2023")</f>
        <v/>
      </c>
      <c r="W44">
        <f>HYPERLINK("https://klasma.github.io/Logging_0580/klagomålsmail/A 22040-2023 FSC-klagomål mail.docx", "A 22040-2023")</f>
        <v/>
      </c>
      <c r="X44">
        <f>HYPERLINK("https://klasma.github.io/Logging_0580/tillsyn/A 22040-2023 tillsynsbegäran.docx", "A 22040-2023")</f>
        <v/>
      </c>
      <c r="Y44">
        <f>HYPERLINK("https://klasma.github.io/Logging_0580/tillsynsmail/A 22040-2023 tillsynsbegäran mail.docx", "A 22040-2023")</f>
        <v/>
      </c>
    </row>
    <row r="45" ht="15" customHeight="1">
      <c r="A45" t="inlineStr">
        <is>
          <t>A 50404-2023</t>
        </is>
      </c>
      <c r="B45" s="1" t="n">
        <v>45216</v>
      </c>
      <c r="C45" s="1" t="n">
        <v>46101</v>
      </c>
      <c r="D45" t="inlineStr">
        <is>
          <t>ÖSTERGÖTLANDS LÄN</t>
        </is>
      </c>
      <c r="E45" t="inlineStr">
        <is>
          <t>LINKÖPING</t>
        </is>
      </c>
      <c r="G45" t="n">
        <v>1.2</v>
      </c>
      <c r="H45" t="n">
        <v>1</v>
      </c>
      <c r="I45" t="n">
        <v>1</v>
      </c>
      <c r="J45" t="n">
        <v>0</v>
      </c>
      <c r="K45" t="n">
        <v>0</v>
      </c>
      <c r="L45" t="n">
        <v>0</v>
      </c>
      <c r="M45" t="n">
        <v>0</v>
      </c>
      <c r="N45" t="n">
        <v>0</v>
      </c>
      <c r="O45" t="n">
        <v>0</v>
      </c>
      <c r="P45" t="n">
        <v>0</v>
      </c>
      <c r="Q45" t="n">
        <v>2</v>
      </c>
      <c r="R45" s="2" t="inlineStr">
        <is>
          <t>Hasselticka
Gullviva</t>
        </is>
      </c>
      <c r="S45">
        <f>HYPERLINK("https://klasma.github.io/Logging_0580/artfynd/A 50404-2023 artfynd.xlsx", "A 50404-2023")</f>
        <v/>
      </c>
      <c r="T45">
        <f>HYPERLINK("https://klasma.github.io/Logging_0580/kartor/A 50404-2023 karta.png", "A 50404-2023")</f>
        <v/>
      </c>
      <c r="V45">
        <f>HYPERLINK("https://klasma.github.io/Logging_0580/klagomål/A 50404-2023 FSC-klagomål.docx", "A 50404-2023")</f>
        <v/>
      </c>
      <c r="W45">
        <f>HYPERLINK("https://klasma.github.io/Logging_0580/klagomålsmail/A 50404-2023 FSC-klagomål mail.docx", "A 50404-2023")</f>
        <v/>
      </c>
      <c r="X45">
        <f>HYPERLINK("https://klasma.github.io/Logging_0580/tillsyn/A 50404-2023 tillsynsbegäran.docx", "A 50404-2023")</f>
        <v/>
      </c>
      <c r="Y45">
        <f>HYPERLINK("https://klasma.github.io/Logging_0580/tillsynsmail/A 50404-2023 tillsynsbegäran mail.docx", "A 50404-2023")</f>
        <v/>
      </c>
    </row>
    <row r="46" ht="15" customHeight="1">
      <c r="A46" t="inlineStr">
        <is>
          <t>A 21326-2025</t>
        </is>
      </c>
      <c r="B46" s="1" t="n">
        <v>45782.35407407407</v>
      </c>
      <c r="C46" s="1" t="n">
        <v>46101</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27795-2025</t>
        </is>
      </c>
      <c r="B47" s="1" t="n">
        <v>45816.7908912037</v>
      </c>
      <c r="C47" s="1" t="n">
        <v>46101</v>
      </c>
      <c r="D47" t="inlineStr">
        <is>
          <t>ÖSTERGÖTLANDS LÄN</t>
        </is>
      </c>
      <c r="E47" t="inlineStr">
        <is>
          <t>LINKÖPING</t>
        </is>
      </c>
      <c r="G47" t="n">
        <v>5</v>
      </c>
      <c r="H47" t="n">
        <v>0</v>
      </c>
      <c r="I47" t="n">
        <v>0</v>
      </c>
      <c r="J47" t="n">
        <v>2</v>
      </c>
      <c r="K47" t="n">
        <v>0</v>
      </c>
      <c r="L47" t="n">
        <v>0</v>
      </c>
      <c r="M47" t="n">
        <v>0</v>
      </c>
      <c r="N47" t="n">
        <v>0</v>
      </c>
      <c r="O47" t="n">
        <v>2</v>
      </c>
      <c r="P47" t="n">
        <v>0</v>
      </c>
      <c r="Q47" t="n">
        <v>2</v>
      </c>
      <c r="R47" s="2" t="inlineStr">
        <is>
          <t>Svinrot
Ängsskära</t>
        </is>
      </c>
      <c r="S47">
        <f>HYPERLINK("https://klasma.github.io/Logging_0580/artfynd/A 27795-2025 artfynd.xlsx", "A 27795-2025")</f>
        <v/>
      </c>
      <c r="T47">
        <f>HYPERLINK("https://klasma.github.io/Logging_0580/kartor/A 27795-2025 karta.png", "A 27795-2025")</f>
        <v/>
      </c>
      <c r="V47">
        <f>HYPERLINK("https://klasma.github.io/Logging_0580/klagomål/A 27795-2025 FSC-klagomål.docx", "A 27795-2025")</f>
        <v/>
      </c>
      <c r="W47">
        <f>HYPERLINK("https://klasma.github.io/Logging_0580/klagomålsmail/A 27795-2025 FSC-klagomål mail.docx", "A 27795-2025")</f>
        <v/>
      </c>
      <c r="X47">
        <f>HYPERLINK("https://klasma.github.io/Logging_0580/tillsyn/A 27795-2025 tillsynsbegäran.docx", "A 27795-2025")</f>
        <v/>
      </c>
      <c r="Y47">
        <f>HYPERLINK("https://klasma.github.io/Logging_0580/tillsynsmail/A 27795-2025 tillsynsbegäran mail.docx", "A 27795-2025")</f>
        <v/>
      </c>
    </row>
    <row r="48" ht="15" customHeight="1">
      <c r="A48" t="inlineStr">
        <is>
          <t>A 38129-2021</t>
        </is>
      </c>
      <c r="B48" s="1" t="n">
        <v>44405.37199074074</v>
      </c>
      <c r="C48" s="1" t="n">
        <v>46101</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46101</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46101</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46101</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46101</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46101</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46101</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17389-2021</t>
        </is>
      </c>
      <c r="B55" s="1" t="n">
        <v>44298.96792824074</v>
      </c>
      <c r="C55" s="1" t="n">
        <v>46101</v>
      </c>
      <c r="D55" t="inlineStr">
        <is>
          <t>ÖSTERGÖTLANDS LÄN</t>
        </is>
      </c>
      <c r="E55" t="inlineStr">
        <is>
          <t>LINKÖPING</t>
        </is>
      </c>
      <c r="G55" t="n">
        <v>5.1</v>
      </c>
      <c r="H55" t="n">
        <v>0</v>
      </c>
      <c r="I55" t="n">
        <v>1</v>
      </c>
      <c r="J55" t="n">
        <v>0</v>
      </c>
      <c r="K55" t="n">
        <v>0</v>
      </c>
      <c r="L55" t="n">
        <v>0</v>
      </c>
      <c r="M55" t="n">
        <v>0</v>
      </c>
      <c r="N55" t="n">
        <v>0</v>
      </c>
      <c r="O55" t="n">
        <v>0</v>
      </c>
      <c r="P55" t="n">
        <v>0</v>
      </c>
      <c r="Q55" t="n">
        <v>1</v>
      </c>
      <c r="R55" s="2" t="inlineStr">
        <is>
          <t>Blomkålssvamp</t>
        </is>
      </c>
      <c r="S55">
        <f>HYPERLINK("https://klasma.github.io/Logging_0580/artfynd/A 17389-2021 artfynd.xlsx", "A 17389-2021")</f>
        <v/>
      </c>
      <c r="T55">
        <f>HYPERLINK("https://klasma.github.io/Logging_0580/kartor/A 17389-2021 karta.png", "A 17389-2021")</f>
        <v/>
      </c>
      <c r="V55">
        <f>HYPERLINK("https://klasma.github.io/Logging_0580/klagomål/A 17389-2021 FSC-klagomål.docx", "A 17389-2021")</f>
        <v/>
      </c>
      <c r="W55">
        <f>HYPERLINK("https://klasma.github.io/Logging_0580/klagomålsmail/A 17389-2021 FSC-klagomål mail.docx", "A 17389-2021")</f>
        <v/>
      </c>
      <c r="X55">
        <f>HYPERLINK("https://klasma.github.io/Logging_0580/tillsyn/A 17389-2021 tillsynsbegäran.docx", "A 17389-2021")</f>
        <v/>
      </c>
      <c r="Y55">
        <f>HYPERLINK("https://klasma.github.io/Logging_0580/tillsynsmail/A 17389-2021 tillsynsbegäran mail.docx", "A 17389-2021")</f>
        <v/>
      </c>
    </row>
    <row r="56" ht="15" customHeight="1">
      <c r="A56" t="inlineStr">
        <is>
          <t>A 40315-2024</t>
        </is>
      </c>
      <c r="B56" s="1" t="n">
        <v>45554.7571875</v>
      </c>
      <c r="C56" s="1" t="n">
        <v>46101</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1213-2023</t>
        </is>
      </c>
      <c r="B57" s="1" t="n">
        <v>44930</v>
      </c>
      <c r="C57" s="1" t="n">
        <v>46101</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50471-2024</t>
        </is>
      </c>
      <c r="B58" s="1" t="n">
        <v>45601.47166666666</v>
      </c>
      <c r="C58" s="1" t="n">
        <v>46101</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22526-2025</t>
        </is>
      </c>
      <c r="B59" s="1" t="n">
        <v>45786.78096064815</v>
      </c>
      <c r="C59" s="1" t="n">
        <v>46101</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50806-2023</t>
        </is>
      </c>
      <c r="B60" s="1" t="n">
        <v>45217</v>
      </c>
      <c r="C60" s="1" t="n">
        <v>46101</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60573-2021</t>
        </is>
      </c>
      <c r="B61" s="1" t="n">
        <v>44496</v>
      </c>
      <c r="C61" s="1" t="n">
        <v>46101</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43989-2025</t>
        </is>
      </c>
      <c r="B62" s="1" t="n">
        <v>45915.44128472222</v>
      </c>
      <c r="C62" s="1" t="n">
        <v>46101</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46101</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48273-2025</t>
        </is>
      </c>
      <c r="B64" s="1" t="n">
        <v>45932</v>
      </c>
      <c r="C64" s="1" t="n">
        <v>46101</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46101</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46101</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46101</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5911-2022</t>
        </is>
      </c>
      <c r="B68" s="1" t="n">
        <v>44597</v>
      </c>
      <c r="C68" s="1" t="n">
        <v>46101</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50034-2025</t>
        </is>
      </c>
      <c r="B69" s="1" t="n">
        <v>45941</v>
      </c>
      <c r="C69" s="1" t="n">
        <v>46101</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56128-2022</t>
        </is>
      </c>
      <c r="B70" s="1" t="n">
        <v>44889</v>
      </c>
      <c r="C70" s="1" t="n">
        <v>46101</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56112-2025</t>
        </is>
      </c>
      <c r="B71" s="1" t="n">
        <v>45973.73625</v>
      </c>
      <c r="C71" s="1" t="n">
        <v>46101</v>
      </c>
      <c r="D71" t="inlineStr">
        <is>
          <t>ÖSTERGÖTLANDS LÄN</t>
        </is>
      </c>
      <c r="E71" t="inlineStr">
        <is>
          <t>LINKÖPING</t>
        </is>
      </c>
      <c r="G71" t="n">
        <v>0.6</v>
      </c>
      <c r="H71" t="n">
        <v>0</v>
      </c>
      <c r="I71" t="n">
        <v>0</v>
      </c>
      <c r="J71" t="n">
        <v>1</v>
      </c>
      <c r="K71" t="n">
        <v>0</v>
      </c>
      <c r="L71" t="n">
        <v>0</v>
      </c>
      <c r="M71" t="n">
        <v>0</v>
      </c>
      <c r="N71" t="n">
        <v>0</v>
      </c>
      <c r="O71" t="n">
        <v>1</v>
      </c>
      <c r="P71" t="n">
        <v>0</v>
      </c>
      <c r="Q71" t="n">
        <v>1</v>
      </c>
      <c r="R71" s="2" t="inlineStr">
        <is>
          <t>Solvända</t>
        </is>
      </c>
      <c r="S71">
        <f>HYPERLINK("https://klasma.github.io/Logging_0580/artfynd/A 56112-2025 artfynd.xlsx", "A 56112-2025")</f>
        <v/>
      </c>
      <c r="T71">
        <f>HYPERLINK("https://klasma.github.io/Logging_0580/kartor/A 56112-2025 karta.png", "A 56112-2025")</f>
        <v/>
      </c>
      <c r="V71">
        <f>HYPERLINK("https://klasma.github.io/Logging_0580/klagomål/A 56112-2025 FSC-klagomål.docx", "A 56112-2025")</f>
        <v/>
      </c>
      <c r="W71">
        <f>HYPERLINK("https://klasma.github.io/Logging_0580/klagomålsmail/A 56112-2025 FSC-klagomål mail.docx", "A 56112-2025")</f>
        <v/>
      </c>
      <c r="X71">
        <f>HYPERLINK("https://klasma.github.io/Logging_0580/tillsyn/A 56112-2025 tillsynsbegäran.docx", "A 56112-2025")</f>
        <v/>
      </c>
      <c r="Y71">
        <f>HYPERLINK("https://klasma.github.io/Logging_0580/tillsynsmail/A 56112-2025 tillsynsbegäran mail.docx", "A 56112-2025")</f>
        <v/>
      </c>
    </row>
    <row r="72" ht="15" customHeight="1">
      <c r="A72" t="inlineStr">
        <is>
          <t>A 54835-2023</t>
        </is>
      </c>
      <c r="B72" s="1" t="n">
        <v>45236</v>
      </c>
      <c r="C72" s="1" t="n">
        <v>46101</v>
      </c>
      <c r="D72" t="inlineStr">
        <is>
          <t>ÖSTERGÖTLANDS LÄN</t>
        </is>
      </c>
      <c r="E72" t="inlineStr">
        <is>
          <t>LINKÖPING</t>
        </is>
      </c>
      <c r="G72" t="n">
        <v>2</v>
      </c>
      <c r="H72" t="n">
        <v>1</v>
      </c>
      <c r="I72" t="n">
        <v>0</v>
      </c>
      <c r="J72" t="n">
        <v>0</v>
      </c>
      <c r="K72" t="n">
        <v>0</v>
      </c>
      <c r="L72" t="n">
        <v>0</v>
      </c>
      <c r="M72" t="n">
        <v>0</v>
      </c>
      <c r="N72" t="n">
        <v>0</v>
      </c>
      <c r="O72" t="n">
        <v>0</v>
      </c>
      <c r="P72" t="n">
        <v>0</v>
      </c>
      <c r="Q72" t="n">
        <v>1</v>
      </c>
      <c r="R72" s="2" t="inlineStr">
        <is>
          <t>Sparvuggla</t>
        </is>
      </c>
      <c r="S72">
        <f>HYPERLINK("https://klasma.github.io/Logging_0580/artfynd/A 54835-2023 artfynd.xlsx", "A 54835-2023")</f>
        <v/>
      </c>
      <c r="T72">
        <f>HYPERLINK("https://klasma.github.io/Logging_0580/kartor/A 54835-2023 karta.png", "A 54835-2023")</f>
        <v/>
      </c>
      <c r="V72">
        <f>HYPERLINK("https://klasma.github.io/Logging_0580/klagomål/A 54835-2023 FSC-klagomål.docx", "A 54835-2023")</f>
        <v/>
      </c>
      <c r="W72">
        <f>HYPERLINK("https://klasma.github.io/Logging_0580/klagomålsmail/A 54835-2023 FSC-klagomål mail.docx", "A 54835-2023")</f>
        <v/>
      </c>
      <c r="X72">
        <f>HYPERLINK("https://klasma.github.io/Logging_0580/tillsyn/A 54835-2023 tillsynsbegäran.docx", "A 54835-2023")</f>
        <v/>
      </c>
      <c r="Y72">
        <f>HYPERLINK("https://klasma.github.io/Logging_0580/tillsynsmail/A 54835-2023 tillsynsbegäran mail.docx", "A 54835-2023")</f>
        <v/>
      </c>
      <c r="Z72">
        <f>HYPERLINK("https://klasma.github.io/Logging_0580/fåglar/A 54835-2023 prioriterade fågelarter.docx", "A 54835-2023")</f>
        <v/>
      </c>
    </row>
    <row r="73" ht="15" customHeight="1">
      <c r="A73" t="inlineStr">
        <is>
          <t>A 34881-2023</t>
        </is>
      </c>
      <c r="B73" s="1" t="n">
        <v>45140</v>
      </c>
      <c r="C73" s="1" t="n">
        <v>46101</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19103-2021</t>
        </is>
      </c>
      <c r="B74" s="1" t="n">
        <v>44308</v>
      </c>
      <c r="C74" s="1" t="n">
        <v>46101</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45317-2023</t>
        </is>
      </c>
      <c r="B75" s="1" t="n">
        <v>45191.74868055555</v>
      </c>
      <c r="C75" s="1" t="n">
        <v>46101</v>
      </c>
      <c r="D75" t="inlineStr">
        <is>
          <t>ÖSTERGÖTLANDS LÄN</t>
        </is>
      </c>
      <c r="E75" t="inlineStr">
        <is>
          <t>LINKÖPING</t>
        </is>
      </c>
      <c r="F75" t="inlineStr">
        <is>
          <t>Allmännings- och besparingsskogar</t>
        </is>
      </c>
      <c r="G75" t="n">
        <v>29.3</v>
      </c>
      <c r="H75" t="n">
        <v>0</v>
      </c>
      <c r="I75" t="n">
        <v>0</v>
      </c>
      <c r="J75" t="n">
        <v>1</v>
      </c>
      <c r="K75" t="n">
        <v>0</v>
      </c>
      <c r="L75" t="n">
        <v>0</v>
      </c>
      <c r="M75" t="n">
        <v>0</v>
      </c>
      <c r="N75" t="n">
        <v>0</v>
      </c>
      <c r="O75" t="n">
        <v>1</v>
      </c>
      <c r="P75" t="n">
        <v>0</v>
      </c>
      <c r="Q75" t="n">
        <v>1</v>
      </c>
      <c r="R75" s="2" t="inlineStr">
        <is>
          <t>Svinrot</t>
        </is>
      </c>
      <c r="S75">
        <f>HYPERLINK("https://klasma.github.io/Logging_0580/artfynd/A 45317-2023 artfynd.xlsx", "A 45317-2023")</f>
        <v/>
      </c>
      <c r="T75">
        <f>HYPERLINK("https://klasma.github.io/Logging_0580/kartor/A 45317-2023 karta.png", "A 45317-2023")</f>
        <v/>
      </c>
      <c r="V75">
        <f>HYPERLINK("https://klasma.github.io/Logging_0580/klagomål/A 45317-2023 FSC-klagomål.docx", "A 45317-2023")</f>
        <v/>
      </c>
      <c r="W75">
        <f>HYPERLINK("https://klasma.github.io/Logging_0580/klagomålsmail/A 45317-2023 FSC-klagomål mail.docx", "A 45317-2023")</f>
        <v/>
      </c>
      <c r="X75">
        <f>HYPERLINK("https://klasma.github.io/Logging_0580/tillsyn/A 45317-2023 tillsynsbegäran.docx", "A 45317-2023")</f>
        <v/>
      </c>
      <c r="Y75">
        <f>HYPERLINK("https://klasma.github.io/Logging_0580/tillsynsmail/A 45317-2023 tillsynsbegäran mail.docx", "A 45317-2023")</f>
        <v/>
      </c>
    </row>
    <row r="76" ht="15" customHeight="1">
      <c r="A76" t="inlineStr">
        <is>
          <t>A 59474-2025</t>
        </is>
      </c>
      <c r="B76" s="1" t="n">
        <v>45989.58512731481</v>
      </c>
      <c r="C76" s="1" t="n">
        <v>46101</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20295-2025</t>
        </is>
      </c>
      <c r="B77" s="1" t="n">
        <v>45774.74846064814</v>
      </c>
      <c r="C77" s="1" t="n">
        <v>46101</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37683-2024</t>
        </is>
      </c>
      <c r="B78" s="1" t="n">
        <v>45541.59120370371</v>
      </c>
      <c r="C78" s="1" t="n">
        <v>46101</v>
      </c>
      <c r="D78" t="inlineStr">
        <is>
          <t>ÖSTERGÖTLANDS LÄN</t>
        </is>
      </c>
      <c r="E78" t="inlineStr">
        <is>
          <t>LINKÖPING</t>
        </is>
      </c>
      <c r="G78" t="n">
        <v>0.6</v>
      </c>
      <c r="H78" t="n">
        <v>0</v>
      </c>
      <c r="I78" t="n">
        <v>1</v>
      </c>
      <c r="J78" t="n">
        <v>0</v>
      </c>
      <c r="K78" t="n">
        <v>0</v>
      </c>
      <c r="L78" t="n">
        <v>0</v>
      </c>
      <c r="M78" t="n">
        <v>0</v>
      </c>
      <c r="N78" t="n">
        <v>0</v>
      </c>
      <c r="O78" t="n">
        <v>0</v>
      </c>
      <c r="P78" t="n">
        <v>0</v>
      </c>
      <c r="Q78" t="n">
        <v>1</v>
      </c>
      <c r="R78" s="2" t="inlineStr">
        <is>
          <t>Tibast</t>
        </is>
      </c>
      <c r="S78">
        <f>HYPERLINK("https://klasma.github.io/Logging_0580/artfynd/A 37683-2024 artfynd.xlsx", "A 37683-2024")</f>
        <v/>
      </c>
      <c r="T78">
        <f>HYPERLINK("https://klasma.github.io/Logging_0580/kartor/A 37683-2024 karta.png", "A 37683-2024")</f>
        <v/>
      </c>
      <c r="V78">
        <f>HYPERLINK("https://klasma.github.io/Logging_0580/klagomål/A 37683-2024 FSC-klagomål.docx", "A 37683-2024")</f>
        <v/>
      </c>
      <c r="W78">
        <f>HYPERLINK("https://klasma.github.io/Logging_0580/klagomålsmail/A 37683-2024 FSC-klagomål mail.docx", "A 37683-2024")</f>
        <v/>
      </c>
      <c r="X78">
        <f>HYPERLINK("https://klasma.github.io/Logging_0580/tillsyn/A 37683-2024 tillsynsbegäran.docx", "A 37683-2024")</f>
        <v/>
      </c>
      <c r="Y78">
        <f>HYPERLINK("https://klasma.github.io/Logging_0580/tillsynsmail/A 37683-2024 tillsynsbegäran mail.docx", "A 37683-2024")</f>
        <v/>
      </c>
    </row>
    <row r="79" ht="15" customHeight="1">
      <c r="A79" t="inlineStr">
        <is>
          <t>A 60311-2025</t>
        </is>
      </c>
      <c r="B79" s="1" t="n">
        <v>45994</v>
      </c>
      <c r="C79" s="1" t="n">
        <v>46101</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Gammelekslav</t>
        </is>
      </c>
      <c r="S79">
        <f>HYPERLINK("https://klasma.github.io/Logging_0580/artfynd/A 60311-2025 artfynd.xlsx", "A 60311-2025")</f>
        <v/>
      </c>
      <c r="T79">
        <f>HYPERLINK("https://klasma.github.io/Logging_0580/kartor/A 60311-2025 karta.png", "A 60311-2025")</f>
        <v/>
      </c>
      <c r="V79">
        <f>HYPERLINK("https://klasma.github.io/Logging_0580/klagomål/A 60311-2025 FSC-klagomål.docx", "A 60311-2025")</f>
        <v/>
      </c>
      <c r="W79">
        <f>HYPERLINK("https://klasma.github.io/Logging_0580/klagomålsmail/A 60311-2025 FSC-klagomål mail.docx", "A 60311-2025")</f>
        <v/>
      </c>
      <c r="X79">
        <f>HYPERLINK("https://klasma.github.io/Logging_0580/tillsyn/A 60311-2025 tillsynsbegäran.docx", "A 60311-2025")</f>
        <v/>
      </c>
      <c r="Y79">
        <f>HYPERLINK("https://klasma.github.io/Logging_0580/tillsynsmail/A 60311-2025 tillsynsbegäran mail.docx", "A 60311-2025")</f>
        <v/>
      </c>
    </row>
    <row r="80" ht="15" customHeight="1">
      <c r="A80" t="inlineStr">
        <is>
          <t>A 35948-2023</t>
        </is>
      </c>
      <c r="B80" s="1" t="n">
        <v>45148</v>
      </c>
      <c r="C80" s="1" t="n">
        <v>46101</v>
      </c>
      <c r="D80" t="inlineStr">
        <is>
          <t>ÖSTERGÖTLANDS LÄN</t>
        </is>
      </c>
      <c r="E80" t="inlineStr">
        <is>
          <t>LINKÖPING</t>
        </is>
      </c>
      <c r="G80" t="n">
        <v>1.9</v>
      </c>
      <c r="H80" t="n">
        <v>0</v>
      </c>
      <c r="I80" t="n">
        <v>1</v>
      </c>
      <c r="J80" t="n">
        <v>0</v>
      </c>
      <c r="K80" t="n">
        <v>0</v>
      </c>
      <c r="L80" t="n">
        <v>0</v>
      </c>
      <c r="M80" t="n">
        <v>0</v>
      </c>
      <c r="N80" t="n">
        <v>0</v>
      </c>
      <c r="O80" t="n">
        <v>0</v>
      </c>
      <c r="P80" t="n">
        <v>0</v>
      </c>
      <c r="Q80" t="n">
        <v>1</v>
      </c>
      <c r="R80" s="2" t="inlineStr">
        <is>
          <t>Brun nållav</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56651-2023</t>
        </is>
      </c>
      <c r="B81" s="1" t="n">
        <v>45243</v>
      </c>
      <c r="C81" s="1" t="n">
        <v>46101</v>
      </c>
      <c r="D81" t="inlineStr">
        <is>
          <t>ÖSTERGÖTLANDS LÄN</t>
        </is>
      </c>
      <c r="E81" t="inlineStr">
        <is>
          <t>LINKÖPING</t>
        </is>
      </c>
      <c r="F81" t="inlineStr">
        <is>
          <t>Övriga Aktiebolag</t>
        </is>
      </c>
      <c r="G81" t="n">
        <v>2.3</v>
      </c>
      <c r="H81" t="n">
        <v>0</v>
      </c>
      <c r="I81" t="n">
        <v>0</v>
      </c>
      <c r="J81" t="n">
        <v>1</v>
      </c>
      <c r="K81" t="n">
        <v>0</v>
      </c>
      <c r="L81" t="n">
        <v>0</v>
      </c>
      <c r="M81" t="n">
        <v>0</v>
      </c>
      <c r="N81" t="n">
        <v>0</v>
      </c>
      <c r="O81" t="n">
        <v>1</v>
      </c>
      <c r="P81" t="n">
        <v>0</v>
      </c>
      <c r="Q81" t="n">
        <v>1</v>
      </c>
      <c r="R81" s="2" t="inlineStr">
        <is>
          <t>Gul dropplav</t>
        </is>
      </c>
      <c r="S81">
        <f>HYPERLINK("https://klasma.github.io/Logging_0580/artfynd/A 56651-2023 artfynd.xlsx", "A 56651-2023")</f>
        <v/>
      </c>
      <c r="T81">
        <f>HYPERLINK("https://klasma.github.io/Logging_0580/kartor/A 56651-2023 karta.png", "A 56651-2023")</f>
        <v/>
      </c>
      <c r="V81">
        <f>HYPERLINK("https://klasma.github.io/Logging_0580/klagomål/A 56651-2023 FSC-klagomål.docx", "A 56651-2023")</f>
        <v/>
      </c>
      <c r="W81">
        <f>HYPERLINK("https://klasma.github.io/Logging_0580/klagomålsmail/A 56651-2023 FSC-klagomål mail.docx", "A 56651-2023")</f>
        <v/>
      </c>
      <c r="X81">
        <f>HYPERLINK("https://klasma.github.io/Logging_0580/tillsyn/A 56651-2023 tillsynsbegäran.docx", "A 56651-2023")</f>
        <v/>
      </c>
      <c r="Y81">
        <f>HYPERLINK("https://klasma.github.io/Logging_0580/tillsynsmail/A 56651-2023 tillsynsbegäran mail.docx", "A 56651-2023")</f>
        <v/>
      </c>
    </row>
    <row r="82" ht="15" customHeight="1">
      <c r="A82" t="inlineStr">
        <is>
          <t>A 59948-2022</t>
        </is>
      </c>
      <c r="B82" s="1" t="n">
        <v>44909</v>
      </c>
      <c r="C82" s="1" t="n">
        <v>46101</v>
      </c>
      <c r="D82" t="inlineStr">
        <is>
          <t>ÖSTERGÖTLANDS LÄN</t>
        </is>
      </c>
      <c r="E82" t="inlineStr">
        <is>
          <t>LINKÖPING</t>
        </is>
      </c>
      <c r="G82" t="n">
        <v>6.7</v>
      </c>
      <c r="H82" t="n">
        <v>0</v>
      </c>
      <c r="I82" t="n">
        <v>0</v>
      </c>
      <c r="J82" t="n">
        <v>0</v>
      </c>
      <c r="K82" t="n">
        <v>0</v>
      </c>
      <c r="L82" t="n">
        <v>0</v>
      </c>
      <c r="M82" t="n">
        <v>1</v>
      </c>
      <c r="N82" t="n">
        <v>0</v>
      </c>
      <c r="O82" t="n">
        <v>1</v>
      </c>
      <c r="P82" t="n">
        <v>1</v>
      </c>
      <c r="Q82" t="n">
        <v>1</v>
      </c>
      <c r="R82" s="2" t="inlineStr">
        <is>
          <t>Skogsalm</t>
        </is>
      </c>
      <c r="S82">
        <f>HYPERLINK("https://klasma.github.io/Logging_0580/artfynd/A 59948-2022 artfynd.xlsx", "A 59948-2022")</f>
        <v/>
      </c>
      <c r="T82">
        <f>HYPERLINK("https://klasma.github.io/Logging_0580/kartor/A 59948-2022 karta.png", "A 59948-2022")</f>
        <v/>
      </c>
      <c r="V82">
        <f>HYPERLINK("https://klasma.github.io/Logging_0580/klagomål/A 59948-2022 FSC-klagomål.docx", "A 59948-2022")</f>
        <v/>
      </c>
      <c r="W82">
        <f>HYPERLINK("https://klasma.github.io/Logging_0580/klagomålsmail/A 59948-2022 FSC-klagomål mail.docx", "A 59948-2022")</f>
        <v/>
      </c>
      <c r="X82">
        <f>HYPERLINK("https://klasma.github.io/Logging_0580/tillsyn/A 59948-2022 tillsynsbegäran.docx", "A 59948-2022")</f>
        <v/>
      </c>
      <c r="Y82">
        <f>HYPERLINK("https://klasma.github.io/Logging_0580/tillsynsmail/A 59948-2022 tillsynsbegäran mail.docx", "A 59948-2022")</f>
        <v/>
      </c>
    </row>
    <row r="83" ht="15" customHeight="1">
      <c r="A83" t="inlineStr">
        <is>
          <t>A 39457-2023</t>
        </is>
      </c>
      <c r="B83" s="1" t="n">
        <v>45166</v>
      </c>
      <c r="C83" s="1" t="n">
        <v>46101</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62071-2023</t>
        </is>
      </c>
      <c r="B84" s="1" t="n">
        <v>45266.73542824074</v>
      </c>
      <c r="C84" s="1" t="n">
        <v>46101</v>
      </c>
      <c r="D84" t="inlineStr">
        <is>
          <t>ÖSTERGÖTLANDS LÄN</t>
        </is>
      </c>
      <c r="E84" t="inlineStr">
        <is>
          <t>LINKÖPING</t>
        </is>
      </c>
      <c r="G84" t="n">
        <v>6.5</v>
      </c>
      <c r="H84" t="n">
        <v>0</v>
      </c>
      <c r="I84" t="n">
        <v>0</v>
      </c>
      <c r="J84" t="n">
        <v>1</v>
      </c>
      <c r="K84" t="n">
        <v>0</v>
      </c>
      <c r="L84" t="n">
        <v>0</v>
      </c>
      <c r="M84" t="n">
        <v>0</v>
      </c>
      <c r="N84" t="n">
        <v>0</v>
      </c>
      <c r="O84" t="n">
        <v>1</v>
      </c>
      <c r="P84" t="n">
        <v>0</v>
      </c>
      <c r="Q84" t="n">
        <v>1</v>
      </c>
      <c r="R84" s="2" t="inlineStr">
        <is>
          <t>Svinrot</t>
        </is>
      </c>
      <c r="S84">
        <f>HYPERLINK("https://klasma.github.io/Logging_0580/artfynd/A 62071-2023 artfynd.xlsx", "A 62071-2023")</f>
        <v/>
      </c>
      <c r="T84">
        <f>HYPERLINK("https://klasma.github.io/Logging_0580/kartor/A 62071-2023 karta.png", "A 62071-2023")</f>
        <v/>
      </c>
      <c r="V84">
        <f>HYPERLINK("https://klasma.github.io/Logging_0580/klagomål/A 62071-2023 FSC-klagomål.docx", "A 62071-2023")</f>
        <v/>
      </c>
      <c r="W84">
        <f>HYPERLINK("https://klasma.github.io/Logging_0580/klagomålsmail/A 62071-2023 FSC-klagomål mail.docx", "A 62071-2023")</f>
        <v/>
      </c>
      <c r="X84">
        <f>HYPERLINK("https://klasma.github.io/Logging_0580/tillsyn/A 62071-2023 tillsynsbegäran.docx", "A 62071-2023")</f>
        <v/>
      </c>
      <c r="Y84">
        <f>HYPERLINK("https://klasma.github.io/Logging_0580/tillsynsmail/A 62071-2023 tillsynsbegäran mail.docx", "A 62071-2023")</f>
        <v/>
      </c>
    </row>
    <row r="85" ht="15" customHeight="1">
      <c r="A85" t="inlineStr">
        <is>
          <t>A 90-2024</t>
        </is>
      </c>
      <c r="B85" s="1" t="n">
        <v>45293</v>
      </c>
      <c r="C85" s="1" t="n">
        <v>46101</v>
      </c>
      <c r="D85" t="inlineStr">
        <is>
          <t>ÖSTERGÖTLANDS LÄN</t>
        </is>
      </c>
      <c r="E85" t="inlineStr">
        <is>
          <t>LINKÖPING</t>
        </is>
      </c>
      <c r="G85" t="n">
        <v>1.8</v>
      </c>
      <c r="H85" t="n">
        <v>0</v>
      </c>
      <c r="I85" t="n">
        <v>1</v>
      </c>
      <c r="J85" t="n">
        <v>0</v>
      </c>
      <c r="K85" t="n">
        <v>0</v>
      </c>
      <c r="L85" t="n">
        <v>0</v>
      </c>
      <c r="M85" t="n">
        <v>0</v>
      </c>
      <c r="N85" t="n">
        <v>0</v>
      </c>
      <c r="O85" t="n">
        <v>0</v>
      </c>
      <c r="P85" t="n">
        <v>0</v>
      </c>
      <c r="Q85" t="n">
        <v>1</v>
      </c>
      <c r="R85" s="2" t="inlineStr">
        <is>
          <t>Grov fjädermossa</t>
        </is>
      </c>
      <c r="S85">
        <f>HYPERLINK("https://klasma.github.io/Logging_0580/artfynd/A 90-2024 artfynd.xlsx", "A 90-2024")</f>
        <v/>
      </c>
      <c r="T85">
        <f>HYPERLINK("https://klasma.github.io/Logging_0580/kartor/A 90-2024 karta.png", "A 90-2024")</f>
        <v/>
      </c>
      <c r="V85">
        <f>HYPERLINK("https://klasma.github.io/Logging_0580/klagomål/A 90-2024 FSC-klagomål.docx", "A 90-2024")</f>
        <v/>
      </c>
      <c r="W85">
        <f>HYPERLINK("https://klasma.github.io/Logging_0580/klagomålsmail/A 90-2024 FSC-klagomål mail.docx", "A 90-2024")</f>
        <v/>
      </c>
      <c r="X85">
        <f>HYPERLINK("https://klasma.github.io/Logging_0580/tillsyn/A 90-2024 tillsynsbegäran.docx", "A 90-2024")</f>
        <v/>
      </c>
      <c r="Y85">
        <f>HYPERLINK("https://klasma.github.io/Logging_0580/tillsynsmail/A 90-2024 tillsynsbegäran mail.docx", "A 90-2024")</f>
        <v/>
      </c>
    </row>
    <row r="86" ht="15" customHeight="1">
      <c r="A86" t="inlineStr">
        <is>
          <t>A 17444-2025</t>
        </is>
      </c>
      <c r="B86" s="1" t="n">
        <v>45757.43452546297</v>
      </c>
      <c r="C86" s="1" t="n">
        <v>46101</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40309-2024</t>
        </is>
      </c>
      <c r="B87" s="1" t="n">
        <v>45554.724375</v>
      </c>
      <c r="C87" s="1" t="n">
        <v>46101</v>
      </c>
      <c r="D87" t="inlineStr">
        <is>
          <t>ÖSTERGÖTLANDS LÄN</t>
        </is>
      </c>
      <c r="E87" t="inlineStr">
        <is>
          <t>LINKÖPING</t>
        </is>
      </c>
      <c r="F87" t="inlineStr">
        <is>
          <t>Allmännings- och besparingsskogar</t>
        </is>
      </c>
      <c r="G87" t="n">
        <v>6</v>
      </c>
      <c r="H87" t="n">
        <v>0</v>
      </c>
      <c r="I87" t="n">
        <v>0</v>
      </c>
      <c r="J87" t="n">
        <v>1</v>
      </c>
      <c r="K87" t="n">
        <v>0</v>
      </c>
      <c r="L87" t="n">
        <v>0</v>
      </c>
      <c r="M87" t="n">
        <v>0</v>
      </c>
      <c r="N87" t="n">
        <v>0</v>
      </c>
      <c r="O87" t="n">
        <v>1</v>
      </c>
      <c r="P87" t="n">
        <v>0</v>
      </c>
      <c r="Q87" t="n">
        <v>1</v>
      </c>
      <c r="R87" s="2" t="inlineStr">
        <is>
          <t>Garnlav</t>
        </is>
      </c>
      <c r="S87">
        <f>HYPERLINK("https://klasma.github.io/Logging_0580/artfynd/A 40309-2024 artfynd.xlsx", "A 40309-2024")</f>
        <v/>
      </c>
      <c r="T87">
        <f>HYPERLINK("https://klasma.github.io/Logging_0580/kartor/A 40309-2024 karta.png", "A 40309-2024")</f>
        <v/>
      </c>
      <c r="V87">
        <f>HYPERLINK("https://klasma.github.io/Logging_0580/klagomål/A 40309-2024 FSC-klagomål.docx", "A 40309-2024")</f>
        <v/>
      </c>
      <c r="W87">
        <f>HYPERLINK("https://klasma.github.io/Logging_0580/klagomålsmail/A 40309-2024 FSC-klagomål mail.docx", "A 40309-2024")</f>
        <v/>
      </c>
      <c r="X87">
        <f>HYPERLINK("https://klasma.github.io/Logging_0580/tillsyn/A 40309-2024 tillsynsbegäran.docx", "A 40309-2024")</f>
        <v/>
      </c>
      <c r="Y87">
        <f>HYPERLINK("https://klasma.github.io/Logging_0580/tillsynsmail/A 40309-2024 tillsynsbegäran mail.docx", "A 40309-2024")</f>
        <v/>
      </c>
    </row>
    <row r="88" ht="15" customHeight="1">
      <c r="A88" t="inlineStr">
        <is>
          <t>A 15290-2025</t>
        </is>
      </c>
      <c r="B88" s="1" t="n">
        <v>45745.45288194445</v>
      </c>
      <c r="C88" s="1" t="n">
        <v>46101</v>
      </c>
      <c r="D88" t="inlineStr">
        <is>
          <t>ÖSTERGÖTLANDS LÄN</t>
        </is>
      </c>
      <c r="E88" t="inlineStr">
        <is>
          <t>LINKÖPING</t>
        </is>
      </c>
      <c r="G88" t="n">
        <v>18.4</v>
      </c>
      <c r="H88" t="n">
        <v>1</v>
      </c>
      <c r="I88" t="n">
        <v>0</v>
      </c>
      <c r="J88" t="n">
        <v>1</v>
      </c>
      <c r="K88" t="n">
        <v>0</v>
      </c>
      <c r="L88" t="n">
        <v>0</v>
      </c>
      <c r="M88" t="n">
        <v>0</v>
      </c>
      <c r="N88" t="n">
        <v>0</v>
      </c>
      <c r="O88" t="n">
        <v>1</v>
      </c>
      <c r="P88" t="n">
        <v>0</v>
      </c>
      <c r="Q88" t="n">
        <v>1</v>
      </c>
      <c r="R88" s="2" t="inlineStr">
        <is>
          <t>Havsörn</t>
        </is>
      </c>
      <c r="S88">
        <f>HYPERLINK("https://klasma.github.io/Logging_0580/artfynd/A 15290-2025 artfynd.xlsx", "A 15290-2025")</f>
        <v/>
      </c>
      <c r="T88">
        <f>HYPERLINK("https://klasma.github.io/Logging_0580/kartor/A 15290-2025 karta.png", "A 15290-2025")</f>
        <v/>
      </c>
      <c r="V88">
        <f>HYPERLINK("https://klasma.github.io/Logging_0580/klagomål/A 15290-2025 FSC-klagomål.docx", "A 15290-2025")</f>
        <v/>
      </c>
      <c r="W88">
        <f>HYPERLINK("https://klasma.github.io/Logging_0580/klagomålsmail/A 15290-2025 FSC-klagomål mail.docx", "A 15290-2025")</f>
        <v/>
      </c>
      <c r="X88">
        <f>HYPERLINK("https://klasma.github.io/Logging_0580/tillsyn/A 15290-2025 tillsynsbegäran.docx", "A 15290-2025")</f>
        <v/>
      </c>
      <c r="Y88">
        <f>HYPERLINK("https://klasma.github.io/Logging_0580/tillsynsmail/A 15290-2025 tillsynsbegäran mail.docx", "A 15290-2025")</f>
        <v/>
      </c>
      <c r="Z88">
        <f>HYPERLINK("https://klasma.github.io/Logging_0580/fåglar/A 15290-2025 prioriterade fågelarter.docx", "A 15290-2025")</f>
        <v/>
      </c>
    </row>
    <row r="89" ht="15" customHeight="1">
      <c r="A89" t="inlineStr">
        <is>
          <t>A 1716-2023</t>
        </is>
      </c>
      <c r="B89" s="1" t="n">
        <v>44938</v>
      </c>
      <c r="C89" s="1" t="n">
        <v>46101</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1716-2023 artfynd.xlsx", "A 1716-2023")</f>
        <v/>
      </c>
      <c r="T89">
        <f>HYPERLINK("https://klasma.github.io/Logging_0580/kartor/A 1716-2023 karta.png", "A 1716-2023")</f>
        <v/>
      </c>
      <c r="V89">
        <f>HYPERLINK("https://klasma.github.io/Logging_0580/klagomål/A 1716-2023 FSC-klagomål.docx", "A 1716-2023")</f>
        <v/>
      </c>
      <c r="W89">
        <f>HYPERLINK("https://klasma.github.io/Logging_0580/klagomålsmail/A 1716-2023 FSC-klagomål mail.docx", "A 1716-2023")</f>
        <v/>
      </c>
      <c r="X89">
        <f>HYPERLINK("https://klasma.github.io/Logging_0580/tillsyn/A 1716-2023 tillsynsbegäran.docx", "A 1716-2023")</f>
        <v/>
      </c>
      <c r="Y89">
        <f>HYPERLINK("https://klasma.github.io/Logging_0580/tillsynsmail/A 1716-2023 tillsynsbegäran mail.docx", "A 1716-2023")</f>
        <v/>
      </c>
    </row>
    <row r="90" ht="15" customHeight="1">
      <c r="A90" t="inlineStr">
        <is>
          <t>A 931-2025</t>
        </is>
      </c>
      <c r="B90" s="1" t="n">
        <v>45665.88498842593</v>
      </c>
      <c r="C90" s="1" t="n">
        <v>46101</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126-2024</t>
        </is>
      </c>
      <c r="B91" s="1" t="n">
        <v>45294</v>
      </c>
      <c r="C91" s="1" t="n">
        <v>46101</v>
      </c>
      <c r="D91" t="inlineStr">
        <is>
          <t>ÖSTERGÖTLANDS LÄN</t>
        </is>
      </c>
      <c r="E91" t="inlineStr">
        <is>
          <t>LINKÖPING</t>
        </is>
      </c>
      <c r="G91" t="n">
        <v>1</v>
      </c>
      <c r="H91" t="n">
        <v>0</v>
      </c>
      <c r="I91" t="n">
        <v>1</v>
      </c>
      <c r="J91" t="n">
        <v>0</v>
      </c>
      <c r="K91" t="n">
        <v>0</v>
      </c>
      <c r="L91" t="n">
        <v>0</v>
      </c>
      <c r="M91" t="n">
        <v>0</v>
      </c>
      <c r="N91" t="n">
        <v>0</v>
      </c>
      <c r="O91" t="n">
        <v>0</v>
      </c>
      <c r="P91" t="n">
        <v>0</v>
      </c>
      <c r="Q91" t="n">
        <v>1</v>
      </c>
      <c r="R91" s="2" t="inlineStr">
        <is>
          <t>Blåmossa</t>
        </is>
      </c>
      <c r="S91">
        <f>HYPERLINK("https://klasma.github.io/Logging_0580/artfynd/A 126-2024 artfynd.xlsx", "A 126-2024")</f>
        <v/>
      </c>
      <c r="T91">
        <f>HYPERLINK("https://klasma.github.io/Logging_0580/kartor/A 126-2024 karta.png", "A 126-2024")</f>
        <v/>
      </c>
      <c r="V91">
        <f>HYPERLINK("https://klasma.github.io/Logging_0580/klagomål/A 126-2024 FSC-klagomål.docx", "A 126-2024")</f>
        <v/>
      </c>
      <c r="W91">
        <f>HYPERLINK("https://klasma.github.io/Logging_0580/klagomålsmail/A 126-2024 FSC-klagomål mail.docx", "A 126-2024")</f>
        <v/>
      </c>
      <c r="X91">
        <f>HYPERLINK("https://klasma.github.io/Logging_0580/tillsyn/A 126-2024 tillsynsbegäran.docx", "A 126-2024")</f>
        <v/>
      </c>
      <c r="Y91">
        <f>HYPERLINK("https://klasma.github.io/Logging_0580/tillsynsmail/A 126-2024 tillsynsbegäran mail.docx", "A 126-2024")</f>
        <v/>
      </c>
    </row>
    <row r="92" ht="15" customHeight="1">
      <c r="A92" t="inlineStr">
        <is>
          <t>A 3395-2023</t>
        </is>
      </c>
      <c r="B92" s="1" t="n">
        <v>44949</v>
      </c>
      <c r="C92" s="1" t="n">
        <v>46101</v>
      </c>
      <c r="D92" t="inlineStr">
        <is>
          <t>ÖSTERGÖTLANDS LÄN</t>
        </is>
      </c>
      <c r="E92" t="inlineStr">
        <is>
          <t>LINKÖPING</t>
        </is>
      </c>
      <c r="G92" t="n">
        <v>2</v>
      </c>
      <c r="H92" t="n">
        <v>0</v>
      </c>
      <c r="I92" t="n">
        <v>0</v>
      </c>
      <c r="J92" t="n">
        <v>1</v>
      </c>
      <c r="K92" t="n">
        <v>0</v>
      </c>
      <c r="L92" t="n">
        <v>0</v>
      </c>
      <c r="M92" t="n">
        <v>0</v>
      </c>
      <c r="N92" t="n">
        <v>0</v>
      </c>
      <c r="O92" t="n">
        <v>1</v>
      </c>
      <c r="P92" t="n">
        <v>0</v>
      </c>
      <c r="Q92" t="n">
        <v>1</v>
      </c>
      <c r="R92" s="2" t="inlineStr">
        <is>
          <t>Sommarfibbla</t>
        </is>
      </c>
      <c r="S92">
        <f>HYPERLINK("https://klasma.github.io/Logging_0580/artfynd/A 3395-2023 artfynd.xlsx", "A 3395-2023")</f>
        <v/>
      </c>
      <c r="T92">
        <f>HYPERLINK("https://klasma.github.io/Logging_0580/kartor/A 3395-2023 karta.png", "A 3395-2023")</f>
        <v/>
      </c>
      <c r="V92">
        <f>HYPERLINK("https://klasma.github.io/Logging_0580/klagomål/A 3395-2023 FSC-klagomål.docx", "A 3395-2023")</f>
        <v/>
      </c>
      <c r="W92">
        <f>HYPERLINK("https://klasma.github.io/Logging_0580/klagomålsmail/A 3395-2023 FSC-klagomål mail.docx", "A 3395-2023")</f>
        <v/>
      </c>
      <c r="X92">
        <f>HYPERLINK("https://klasma.github.io/Logging_0580/tillsyn/A 3395-2023 tillsynsbegäran.docx", "A 3395-2023")</f>
        <v/>
      </c>
      <c r="Y92">
        <f>HYPERLINK("https://klasma.github.io/Logging_0580/tillsynsmail/A 3395-2023 tillsynsbegäran mail.docx", "A 3395-2023")</f>
        <v/>
      </c>
    </row>
    <row r="93" ht="15" customHeight="1">
      <c r="A93" t="inlineStr">
        <is>
          <t>A 3397-2023</t>
        </is>
      </c>
      <c r="B93" s="1" t="n">
        <v>44949</v>
      </c>
      <c r="C93" s="1" t="n">
        <v>46101</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41749-2023</t>
        </is>
      </c>
      <c r="B94" s="1" t="n">
        <v>45176</v>
      </c>
      <c r="C94" s="1" t="n">
        <v>46101</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41749-2023 artfynd.xlsx", "A 41749-2023")</f>
        <v/>
      </c>
      <c r="T94">
        <f>HYPERLINK("https://klasma.github.io/Logging_0580/kartor/A 41749-2023 karta.png", "A 41749-2023")</f>
        <v/>
      </c>
      <c r="V94">
        <f>HYPERLINK("https://klasma.github.io/Logging_0580/klagomål/A 41749-2023 FSC-klagomål.docx", "A 41749-2023")</f>
        <v/>
      </c>
      <c r="W94">
        <f>HYPERLINK("https://klasma.github.io/Logging_0580/klagomålsmail/A 41749-2023 FSC-klagomål mail.docx", "A 41749-2023")</f>
        <v/>
      </c>
      <c r="X94">
        <f>HYPERLINK("https://klasma.github.io/Logging_0580/tillsyn/A 41749-2023 tillsynsbegäran.docx", "A 41749-2023")</f>
        <v/>
      </c>
      <c r="Y94">
        <f>HYPERLINK("https://klasma.github.io/Logging_0580/tillsynsmail/A 41749-2023 tillsynsbegäran mail.docx", "A 41749-2023")</f>
        <v/>
      </c>
    </row>
    <row r="95" ht="15" customHeight="1">
      <c r="A95" t="inlineStr">
        <is>
          <t>A 27403-2025</t>
        </is>
      </c>
      <c r="B95" s="1" t="n">
        <v>45812.72518518518</v>
      </c>
      <c r="C95" s="1" t="n">
        <v>46101</v>
      </c>
      <c r="D95" t="inlineStr">
        <is>
          <t>ÖSTERGÖTLANDS LÄN</t>
        </is>
      </c>
      <c r="E95" t="inlineStr">
        <is>
          <t>LINKÖPING</t>
        </is>
      </c>
      <c r="G95" t="n">
        <v>1.4</v>
      </c>
      <c r="H95" t="n">
        <v>0</v>
      </c>
      <c r="I95" t="n">
        <v>0</v>
      </c>
      <c r="J95" t="n">
        <v>1</v>
      </c>
      <c r="K95" t="n">
        <v>0</v>
      </c>
      <c r="L95" t="n">
        <v>0</v>
      </c>
      <c r="M95" t="n">
        <v>0</v>
      </c>
      <c r="N95" t="n">
        <v>0</v>
      </c>
      <c r="O95" t="n">
        <v>1</v>
      </c>
      <c r="P95" t="n">
        <v>0</v>
      </c>
      <c r="Q95" t="n">
        <v>1</v>
      </c>
      <c r="R95" s="2" t="inlineStr">
        <is>
          <t>Tallticka</t>
        </is>
      </c>
      <c r="S95">
        <f>HYPERLINK("https://klasma.github.io/Logging_0580/artfynd/A 27403-2025 artfynd.xlsx", "A 27403-2025")</f>
        <v/>
      </c>
      <c r="T95">
        <f>HYPERLINK("https://klasma.github.io/Logging_0580/kartor/A 27403-2025 karta.png", "A 27403-2025")</f>
        <v/>
      </c>
      <c r="V95">
        <f>HYPERLINK("https://klasma.github.io/Logging_0580/klagomål/A 27403-2025 FSC-klagomål.docx", "A 27403-2025")</f>
        <v/>
      </c>
      <c r="W95">
        <f>HYPERLINK("https://klasma.github.io/Logging_0580/klagomålsmail/A 27403-2025 FSC-klagomål mail.docx", "A 27403-2025")</f>
        <v/>
      </c>
      <c r="X95">
        <f>HYPERLINK("https://klasma.github.io/Logging_0580/tillsyn/A 27403-2025 tillsynsbegäran.docx", "A 27403-2025")</f>
        <v/>
      </c>
      <c r="Y95">
        <f>HYPERLINK("https://klasma.github.io/Logging_0580/tillsynsmail/A 27403-2025 tillsynsbegäran mail.docx", "A 27403-2025")</f>
        <v/>
      </c>
    </row>
    <row r="96" ht="15" customHeight="1">
      <c r="A96" t="inlineStr">
        <is>
          <t>A 29393-2025</t>
        </is>
      </c>
      <c r="B96" s="1" t="n">
        <v>45824.6057175926</v>
      </c>
      <c r="C96" s="1" t="n">
        <v>46101</v>
      </c>
      <c r="D96" t="inlineStr">
        <is>
          <t>ÖSTERGÖTLANDS LÄN</t>
        </is>
      </c>
      <c r="E96" t="inlineStr">
        <is>
          <t>LINKÖPING</t>
        </is>
      </c>
      <c r="F96" t="inlineStr">
        <is>
          <t>Sveaskog</t>
        </is>
      </c>
      <c r="G96" t="n">
        <v>24.6</v>
      </c>
      <c r="H96" t="n">
        <v>1</v>
      </c>
      <c r="I96" t="n">
        <v>0</v>
      </c>
      <c r="J96" t="n">
        <v>0</v>
      </c>
      <c r="K96" t="n">
        <v>1</v>
      </c>
      <c r="L96" t="n">
        <v>0</v>
      </c>
      <c r="M96" t="n">
        <v>0</v>
      </c>
      <c r="N96" t="n">
        <v>0</v>
      </c>
      <c r="O96" t="n">
        <v>1</v>
      </c>
      <c r="P96" t="n">
        <v>1</v>
      </c>
      <c r="Q96" t="n">
        <v>1</v>
      </c>
      <c r="R96" s="2" t="inlineStr">
        <is>
          <t>Skogsgås</t>
        </is>
      </c>
      <c r="S96">
        <f>HYPERLINK("https://klasma.github.io/Logging_0580/artfynd/A 29393-2025 artfynd.xlsx", "A 29393-2025")</f>
        <v/>
      </c>
      <c r="T96">
        <f>HYPERLINK("https://klasma.github.io/Logging_0580/kartor/A 29393-2025 karta.png", "A 29393-2025")</f>
        <v/>
      </c>
      <c r="V96">
        <f>HYPERLINK("https://klasma.github.io/Logging_0580/klagomål/A 29393-2025 FSC-klagomål.docx", "A 29393-2025")</f>
        <v/>
      </c>
      <c r="W96">
        <f>HYPERLINK("https://klasma.github.io/Logging_0580/klagomålsmail/A 29393-2025 FSC-klagomål mail.docx", "A 29393-2025")</f>
        <v/>
      </c>
      <c r="X96">
        <f>HYPERLINK("https://klasma.github.io/Logging_0580/tillsyn/A 29393-2025 tillsynsbegäran.docx", "A 29393-2025")</f>
        <v/>
      </c>
      <c r="Y96">
        <f>HYPERLINK("https://klasma.github.io/Logging_0580/tillsynsmail/A 29393-2025 tillsynsbegäran mail.docx", "A 29393-2025")</f>
        <v/>
      </c>
      <c r="Z96">
        <f>HYPERLINK("https://klasma.github.io/Logging_0580/fåglar/A 29393-2025 prioriterade fågelarter.docx", "A 29393-2025")</f>
        <v/>
      </c>
    </row>
    <row r="97" ht="15" customHeight="1">
      <c r="A97" t="inlineStr">
        <is>
          <t>A 36723-2023</t>
        </is>
      </c>
      <c r="B97" s="1" t="n">
        <v>45153</v>
      </c>
      <c r="C97" s="1" t="n">
        <v>46101</v>
      </c>
      <c r="D97" t="inlineStr">
        <is>
          <t>ÖSTERGÖTLANDS LÄN</t>
        </is>
      </c>
      <c r="E97" t="inlineStr">
        <is>
          <t>LINKÖPING</t>
        </is>
      </c>
      <c r="F97" t="inlineStr">
        <is>
          <t>Allmännings- och besparingsskogar</t>
        </is>
      </c>
      <c r="G97" t="n">
        <v>9.9</v>
      </c>
      <c r="H97" t="n">
        <v>0</v>
      </c>
      <c r="I97" t="n">
        <v>0</v>
      </c>
      <c r="J97" t="n">
        <v>0</v>
      </c>
      <c r="K97" t="n">
        <v>1</v>
      </c>
      <c r="L97" t="n">
        <v>0</v>
      </c>
      <c r="M97" t="n">
        <v>0</v>
      </c>
      <c r="N97" t="n">
        <v>0</v>
      </c>
      <c r="O97" t="n">
        <v>1</v>
      </c>
      <c r="P97" t="n">
        <v>1</v>
      </c>
      <c r="Q97" t="n">
        <v>1</v>
      </c>
      <c r="R97" s="2" t="inlineStr">
        <is>
          <t>Bitter taggsvamp</t>
        </is>
      </c>
      <c r="S97">
        <f>HYPERLINK("https://klasma.github.io/Logging_0580/artfynd/A 36723-2023 artfynd.xlsx", "A 36723-2023")</f>
        <v/>
      </c>
      <c r="T97">
        <f>HYPERLINK("https://klasma.github.io/Logging_0580/kartor/A 36723-2023 karta.png", "A 36723-2023")</f>
        <v/>
      </c>
      <c r="V97">
        <f>HYPERLINK("https://klasma.github.io/Logging_0580/klagomål/A 36723-2023 FSC-klagomål.docx", "A 36723-2023")</f>
        <v/>
      </c>
      <c r="W97">
        <f>HYPERLINK("https://klasma.github.io/Logging_0580/klagomålsmail/A 36723-2023 FSC-klagomål mail.docx", "A 36723-2023")</f>
        <v/>
      </c>
      <c r="X97">
        <f>HYPERLINK("https://klasma.github.io/Logging_0580/tillsyn/A 36723-2023 tillsynsbegäran.docx", "A 36723-2023")</f>
        <v/>
      </c>
      <c r="Y97">
        <f>HYPERLINK("https://klasma.github.io/Logging_0580/tillsynsmail/A 36723-2023 tillsynsbegäran mail.docx", "A 36723-2023")</f>
        <v/>
      </c>
    </row>
    <row r="98" ht="15" customHeight="1">
      <c r="A98" t="inlineStr">
        <is>
          <t>A 38881-2021</t>
        </is>
      </c>
      <c r="B98" s="1" t="n">
        <v>44411.46893518518</v>
      </c>
      <c r="C98" s="1" t="n">
        <v>46101</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46101</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46101</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46101</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46101</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46101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46101</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46101</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46101</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46101</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46101</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46101</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46101</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46101</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46101</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46101</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46101</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46101</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46101</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46101</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46101</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46101</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46101</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46101</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46101</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46101</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46101</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46101</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46101</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46101</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46101</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46101</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46101</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46101</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46101</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46101</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46101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46101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46101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46101</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46101</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46101</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46101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46101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46101</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46101</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46101</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46101</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46101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46101</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46101</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46101</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46101</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46101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46101</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46101</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46101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46101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46101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46101</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46101</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46101</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46101</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46101</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46101</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46101</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46101</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46101</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46101</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46101</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46101</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46101</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46101</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46101</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46101</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46101</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46101</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46101</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46101</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46101</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46101</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46101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46101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46101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46101</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46101</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46101</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46101</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46101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46101</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46101</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46101</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46101</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46101</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46101</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46101</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46101</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46101</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46101</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46101</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46101</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46101</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46101</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46101</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13689-2025</t>
        </is>
      </c>
      <c r="B207" s="1" t="n">
        <v>45737.31590277778</v>
      </c>
      <c r="C207" s="1" t="n">
        <v>46101</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13696-2025</t>
        </is>
      </c>
      <c r="B208" s="1" t="n">
        <v>45737.32273148148</v>
      </c>
      <c r="C208" s="1" t="n">
        <v>46101</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46101</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12428-2024</t>
        </is>
      </c>
      <c r="B210" s="1" t="n">
        <v>45379</v>
      </c>
      <c r="C210" s="1" t="n">
        <v>46101</v>
      </c>
      <c r="D210" t="inlineStr">
        <is>
          <t>ÖSTERGÖTLANDS LÄN</t>
        </is>
      </c>
      <c r="E210" t="inlineStr">
        <is>
          <t>LINKÖPING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51484-2023</t>
        </is>
      </c>
      <c r="B211" s="1" t="n">
        <v>45222</v>
      </c>
      <c r="C211" s="1" t="n">
        <v>46101</v>
      </c>
      <c r="D211" t="inlineStr">
        <is>
          <t>ÖSTERGÖTLANDS LÄN</t>
        </is>
      </c>
      <c r="E211" t="inlineStr">
        <is>
          <t>LINKÖPING</t>
        </is>
      </c>
      <c r="F211" t="inlineStr">
        <is>
          <t>Övriga Aktiebolag</t>
        </is>
      </c>
      <c r="G211" t="n">
        <v>7.7</v>
      </c>
      <c r="H211" t="n">
        <v>0</v>
      </c>
      <c r="I211" t="n">
        <v>0</v>
      </c>
      <c r="J211" t="n">
        <v>0</v>
      </c>
      <c r="K211" t="n">
        <v>0</v>
      </c>
      <c r="L211" t="n">
        <v>0</v>
      </c>
      <c r="M211" t="n">
        <v>0</v>
      </c>
      <c r="N211" t="n">
        <v>0</v>
      </c>
      <c r="O211" t="n">
        <v>0</v>
      </c>
      <c r="P211" t="n">
        <v>0</v>
      </c>
      <c r="Q211" t="n">
        <v>0</v>
      </c>
      <c r="R211" s="2" t="inlineStr"/>
    </row>
    <row r="212" ht="15" customHeight="1">
      <c r="A212" t="inlineStr">
        <is>
          <t>A 9434-2024</t>
        </is>
      </c>
      <c r="B212" s="1" t="n">
        <v>45359</v>
      </c>
      <c r="C212" s="1" t="n">
        <v>46101</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46101</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46101</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48962-2022</t>
        </is>
      </c>
      <c r="B215" s="1" t="n">
        <v>44860.31635416667</v>
      </c>
      <c r="C215" s="1" t="n">
        <v>46101</v>
      </c>
      <c r="D215" t="inlineStr">
        <is>
          <t>ÖSTERGÖTLANDS LÄN</t>
        </is>
      </c>
      <c r="E215" t="inlineStr">
        <is>
          <t>LINKÖPING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53647-2021</t>
        </is>
      </c>
      <c r="B216" s="1" t="n">
        <v>44469</v>
      </c>
      <c r="C216" s="1" t="n">
        <v>46101</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22772-2024</t>
        </is>
      </c>
      <c r="B217" s="1" t="n">
        <v>45448.46712962963</v>
      </c>
      <c r="C217" s="1" t="n">
        <v>46101</v>
      </c>
      <c r="D217" t="inlineStr">
        <is>
          <t>ÖSTERGÖTLANDS LÄN</t>
        </is>
      </c>
      <c r="E217" t="inlineStr">
        <is>
          <t>LINKÖPING</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18916-2024</t>
        </is>
      </c>
      <c r="B218" s="1" t="n">
        <v>45427.39541666667</v>
      </c>
      <c r="C218" s="1" t="n">
        <v>46101</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11790-2024</t>
        </is>
      </c>
      <c r="B219" s="1" t="n">
        <v>45374</v>
      </c>
      <c r="C219" s="1" t="n">
        <v>46101</v>
      </c>
      <c r="D219" t="inlineStr">
        <is>
          <t>ÖSTERGÖTLANDS LÄN</t>
        </is>
      </c>
      <c r="E219" t="inlineStr">
        <is>
          <t>LINKÖPING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24586-2024</t>
        </is>
      </c>
      <c r="B220" s="1" t="n">
        <v>45460.46664351852</v>
      </c>
      <c r="C220" s="1" t="n">
        <v>46101</v>
      </c>
      <c r="D220" t="inlineStr">
        <is>
          <t>ÖSTERGÖTLANDS LÄN</t>
        </is>
      </c>
      <c r="E220" t="inlineStr">
        <is>
          <t>LINKÖPING</t>
        </is>
      </c>
      <c r="G220" t="n">
        <v>4</v>
      </c>
      <c r="H220" t="n">
        <v>0</v>
      </c>
      <c r="I220" t="n">
        <v>0</v>
      </c>
      <c r="J220" t="n">
        <v>0</v>
      </c>
      <c r="K220" t="n">
        <v>0</v>
      </c>
      <c r="L220" t="n">
        <v>0</v>
      </c>
      <c r="M220" t="n">
        <v>0</v>
      </c>
      <c r="N220" t="n">
        <v>0</v>
      </c>
      <c r="O220" t="n">
        <v>0</v>
      </c>
      <c r="P220" t="n">
        <v>0</v>
      </c>
      <c r="Q220" t="n">
        <v>0</v>
      </c>
      <c r="R220" s="2" t="inlineStr"/>
    </row>
    <row r="221" ht="15" customHeight="1">
      <c r="A221" t="inlineStr">
        <is>
          <t>A 17124-2025</t>
        </is>
      </c>
      <c r="B221" s="1" t="n">
        <v>45755.69678240741</v>
      </c>
      <c r="C221" s="1" t="n">
        <v>46101</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17126-2025</t>
        </is>
      </c>
      <c r="B222" s="1" t="n">
        <v>45755.70814814815</v>
      </c>
      <c r="C222" s="1" t="n">
        <v>46101</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17143-2025</t>
        </is>
      </c>
      <c r="B223" s="1" t="n">
        <v>45755.92731481481</v>
      </c>
      <c r="C223" s="1" t="n">
        <v>46101</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39017-2021</t>
        </is>
      </c>
      <c r="B224" s="1" t="n">
        <v>44412</v>
      </c>
      <c r="C224" s="1" t="n">
        <v>46101</v>
      </c>
      <c r="D224" t="inlineStr">
        <is>
          <t>ÖSTERGÖTLANDS LÄN</t>
        </is>
      </c>
      <c r="E224" t="inlineStr">
        <is>
          <t>LINKÖPING</t>
        </is>
      </c>
      <c r="F224" t="inlineStr">
        <is>
          <t>Övriga statliga verk och myndigheter</t>
        </is>
      </c>
      <c r="G224" t="n">
        <v>0.8</v>
      </c>
      <c r="H224" t="n">
        <v>0</v>
      </c>
      <c r="I224" t="n">
        <v>0</v>
      </c>
      <c r="J224" t="n">
        <v>0</v>
      </c>
      <c r="K224" t="n">
        <v>0</v>
      </c>
      <c r="L224" t="n">
        <v>0</v>
      </c>
      <c r="M224" t="n">
        <v>0</v>
      </c>
      <c r="N224" t="n">
        <v>0</v>
      </c>
      <c r="O224" t="n">
        <v>0</v>
      </c>
      <c r="P224" t="n">
        <v>0</v>
      </c>
      <c r="Q224" t="n">
        <v>0</v>
      </c>
      <c r="R224" s="2" t="inlineStr"/>
    </row>
    <row r="225" ht="15" customHeight="1">
      <c r="A225" t="inlineStr">
        <is>
          <t>A 16820-2024</t>
        </is>
      </c>
      <c r="B225" s="1" t="n">
        <v>45411.46809027778</v>
      </c>
      <c r="C225" s="1" t="n">
        <v>46101</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30980-2022</t>
        </is>
      </c>
      <c r="B226" s="1" t="n">
        <v>44768</v>
      </c>
      <c r="C226" s="1" t="n">
        <v>46101</v>
      </c>
      <c r="D226" t="inlineStr">
        <is>
          <t>ÖSTERGÖTLANDS LÄN</t>
        </is>
      </c>
      <c r="E226" t="inlineStr">
        <is>
          <t>LINKÖPING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24351-2024</t>
        </is>
      </c>
      <c r="B227" s="1" t="n">
        <v>45457.59011574074</v>
      </c>
      <c r="C227" s="1" t="n">
        <v>46101</v>
      </c>
      <c r="D227" t="inlineStr">
        <is>
          <t>ÖSTERGÖTLANDS LÄN</t>
        </is>
      </c>
      <c r="E227" t="inlineStr">
        <is>
          <t>LINKÖPING</t>
        </is>
      </c>
      <c r="G227" t="n">
        <v>11.9</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46101</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46101</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49979-2022</t>
        </is>
      </c>
      <c r="B230" s="1" t="n">
        <v>44865</v>
      </c>
      <c r="C230" s="1" t="n">
        <v>46101</v>
      </c>
      <c r="D230" t="inlineStr">
        <is>
          <t>ÖSTERGÖTLANDS LÄN</t>
        </is>
      </c>
      <c r="E230" t="inlineStr">
        <is>
          <t>LINKÖPING</t>
        </is>
      </c>
      <c r="F230" t="inlineStr">
        <is>
          <t>Övriga Aktiebolag</t>
        </is>
      </c>
      <c r="G230" t="n">
        <v>11.4</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46101</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46101</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53827-2023</t>
        </is>
      </c>
      <c r="B233" s="1" t="n">
        <v>45230</v>
      </c>
      <c r="C233" s="1" t="n">
        <v>46101</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940-2023</t>
        </is>
      </c>
      <c r="B234" s="1" t="n">
        <v>44933</v>
      </c>
      <c r="C234" s="1" t="n">
        <v>46101</v>
      </c>
      <c r="D234" t="inlineStr">
        <is>
          <t>ÖSTERGÖTLANDS LÄN</t>
        </is>
      </c>
      <c r="E234" t="inlineStr">
        <is>
          <t>LINKÖPING</t>
        </is>
      </c>
      <c r="G234" t="n">
        <v>1.5</v>
      </c>
      <c r="H234" t="n">
        <v>0</v>
      </c>
      <c r="I234" t="n">
        <v>0</v>
      </c>
      <c r="J234" t="n">
        <v>0</v>
      </c>
      <c r="K234" t="n">
        <v>0</v>
      </c>
      <c r="L234" t="n">
        <v>0</v>
      </c>
      <c r="M234" t="n">
        <v>0</v>
      </c>
      <c r="N234" t="n">
        <v>0</v>
      </c>
      <c r="O234" t="n">
        <v>0</v>
      </c>
      <c r="P234" t="n">
        <v>0</v>
      </c>
      <c r="Q234" t="n">
        <v>0</v>
      </c>
      <c r="R234" s="2" t="inlineStr"/>
    </row>
    <row r="235" ht="15" customHeight="1">
      <c r="A235" t="inlineStr">
        <is>
          <t>A 7992-2023</t>
        </is>
      </c>
      <c r="B235" s="1" t="n">
        <v>44970</v>
      </c>
      <c r="C235" s="1" t="n">
        <v>46101</v>
      </c>
      <c r="D235" t="inlineStr">
        <is>
          <t>ÖSTERGÖTLANDS LÄN</t>
        </is>
      </c>
      <c r="E235" t="inlineStr">
        <is>
          <t>LINKÖPING</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3530-2024</t>
        </is>
      </c>
      <c r="B236" s="1" t="n">
        <v>45320.54717592592</v>
      </c>
      <c r="C236" s="1" t="n">
        <v>46101</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6782-2024</t>
        </is>
      </c>
      <c r="B237" s="1" t="n">
        <v>45342</v>
      </c>
      <c r="C237" s="1" t="n">
        <v>46101</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46101</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62686-2023</t>
        </is>
      </c>
      <c r="B239" s="1" t="n">
        <v>45271</v>
      </c>
      <c r="C239" s="1" t="n">
        <v>46101</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670-2024</t>
        </is>
      </c>
      <c r="B240" s="1" t="n">
        <v>45300.3408912037</v>
      </c>
      <c r="C240" s="1" t="n">
        <v>46101</v>
      </c>
      <c r="D240" t="inlineStr">
        <is>
          <t>ÖSTERGÖTLANDS LÄN</t>
        </is>
      </c>
      <c r="E240" t="inlineStr">
        <is>
          <t>LINKÖPING</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52125-2022</t>
        </is>
      </c>
      <c r="B241" s="1" t="n">
        <v>44873</v>
      </c>
      <c r="C241" s="1" t="n">
        <v>46101</v>
      </c>
      <c r="D241" t="inlineStr">
        <is>
          <t>ÖSTERGÖTLANDS LÄN</t>
        </is>
      </c>
      <c r="E241" t="inlineStr">
        <is>
          <t>LINKÖPING</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29859-2024</t>
        </is>
      </c>
      <c r="B242" s="1" t="n">
        <v>45485.6846412037</v>
      </c>
      <c r="C242" s="1" t="n">
        <v>46101</v>
      </c>
      <c r="D242" t="inlineStr">
        <is>
          <t>ÖSTERGÖTLANDS LÄN</t>
        </is>
      </c>
      <c r="E242" t="inlineStr">
        <is>
          <t>LINKÖPING</t>
        </is>
      </c>
      <c r="G242" t="n">
        <v>0.4</v>
      </c>
      <c r="H242" t="n">
        <v>0</v>
      </c>
      <c r="I242" t="n">
        <v>0</v>
      </c>
      <c r="J242" t="n">
        <v>0</v>
      </c>
      <c r="K242" t="n">
        <v>0</v>
      </c>
      <c r="L242" t="n">
        <v>0</v>
      </c>
      <c r="M242" t="n">
        <v>0</v>
      </c>
      <c r="N242" t="n">
        <v>0</v>
      </c>
      <c r="O242" t="n">
        <v>0</v>
      </c>
      <c r="P242" t="n">
        <v>0</v>
      </c>
      <c r="Q242" t="n">
        <v>0</v>
      </c>
      <c r="R242" s="2" t="inlineStr"/>
    </row>
    <row r="243" ht="15" customHeight="1">
      <c r="A243" t="inlineStr">
        <is>
          <t>A 51571-2024</t>
        </is>
      </c>
      <c r="B243" s="1" t="n">
        <v>45604</v>
      </c>
      <c r="C243" s="1" t="n">
        <v>46101</v>
      </c>
      <c r="D243" t="inlineStr">
        <is>
          <t>ÖSTERGÖTLANDS LÄN</t>
        </is>
      </c>
      <c r="E243" t="inlineStr">
        <is>
          <t>LINKÖPING</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223-2024</t>
        </is>
      </c>
      <c r="B244" s="1" t="n">
        <v>45294.72739583333</v>
      </c>
      <c r="C244" s="1" t="n">
        <v>46101</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227-2024</t>
        </is>
      </c>
      <c r="B245" s="1" t="n">
        <v>45294.73603009259</v>
      </c>
      <c r="C245" s="1" t="n">
        <v>46101</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1084-2023</t>
        </is>
      </c>
      <c r="B246" s="1" t="n">
        <v>44929</v>
      </c>
      <c r="C246" s="1" t="n">
        <v>46101</v>
      </c>
      <c r="D246" t="inlineStr">
        <is>
          <t>ÖSTERGÖTLANDS LÄN</t>
        </is>
      </c>
      <c r="E246" t="inlineStr">
        <is>
          <t>LINKÖPING</t>
        </is>
      </c>
      <c r="G246" t="n">
        <v>10.4</v>
      </c>
      <c r="H246" t="n">
        <v>0</v>
      </c>
      <c r="I246" t="n">
        <v>0</v>
      </c>
      <c r="J246" t="n">
        <v>0</v>
      </c>
      <c r="K246" t="n">
        <v>0</v>
      </c>
      <c r="L246" t="n">
        <v>0</v>
      </c>
      <c r="M246" t="n">
        <v>0</v>
      </c>
      <c r="N246" t="n">
        <v>0</v>
      </c>
      <c r="O246" t="n">
        <v>0</v>
      </c>
      <c r="P246" t="n">
        <v>0</v>
      </c>
      <c r="Q246" t="n">
        <v>0</v>
      </c>
      <c r="R246" s="2" t="inlineStr"/>
    </row>
    <row r="247" ht="15" customHeight="1">
      <c r="A247" t="inlineStr">
        <is>
          <t>A 1265-2023</t>
        </is>
      </c>
      <c r="B247" s="1" t="n">
        <v>44936</v>
      </c>
      <c r="C247" s="1" t="n">
        <v>46101</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1362-2023</t>
        </is>
      </c>
      <c r="B248" s="1" t="n">
        <v>44931</v>
      </c>
      <c r="C248" s="1" t="n">
        <v>46101</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55345-2021</t>
        </is>
      </c>
      <c r="B249" s="1" t="n">
        <v>44475</v>
      </c>
      <c r="C249" s="1" t="n">
        <v>46101</v>
      </c>
      <c r="D249" t="inlineStr">
        <is>
          <t>ÖSTERGÖTLANDS LÄN</t>
        </is>
      </c>
      <c r="E249" t="inlineStr">
        <is>
          <t>LINKÖPING</t>
        </is>
      </c>
      <c r="G249" t="n">
        <v>5.7</v>
      </c>
      <c r="H249" t="n">
        <v>0</v>
      </c>
      <c r="I249" t="n">
        <v>0</v>
      </c>
      <c r="J249" t="n">
        <v>0</v>
      </c>
      <c r="K249" t="n">
        <v>0</v>
      </c>
      <c r="L249" t="n">
        <v>0</v>
      </c>
      <c r="M249" t="n">
        <v>0</v>
      </c>
      <c r="N249" t="n">
        <v>0</v>
      </c>
      <c r="O249" t="n">
        <v>0</v>
      </c>
      <c r="P249" t="n">
        <v>0</v>
      </c>
      <c r="Q249" t="n">
        <v>0</v>
      </c>
      <c r="R249" s="2" t="inlineStr"/>
    </row>
    <row r="250" ht="15" customHeight="1">
      <c r="A250" t="inlineStr">
        <is>
          <t>A 56917-2022</t>
        </is>
      </c>
      <c r="B250" s="1" t="n">
        <v>44894</v>
      </c>
      <c r="C250" s="1" t="n">
        <v>46101</v>
      </c>
      <c r="D250" t="inlineStr">
        <is>
          <t>ÖSTERGÖTLANDS LÄN</t>
        </is>
      </c>
      <c r="E250" t="inlineStr">
        <is>
          <t>LINKÖPING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54034-2022</t>
        </is>
      </c>
      <c r="B251" s="1" t="n">
        <v>44881</v>
      </c>
      <c r="C251" s="1" t="n">
        <v>46101</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6054-2022</t>
        </is>
      </c>
      <c r="B252" s="1" t="n">
        <v>44599.53623842593</v>
      </c>
      <c r="C252" s="1" t="n">
        <v>46101</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55493-2021</t>
        </is>
      </c>
      <c r="B253" s="1" t="n">
        <v>44475.61988425926</v>
      </c>
      <c r="C253" s="1" t="n">
        <v>46101</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25119-2023</t>
        </is>
      </c>
      <c r="B254" s="1" t="n">
        <v>45086.42326388889</v>
      </c>
      <c r="C254" s="1" t="n">
        <v>46101</v>
      </c>
      <c r="D254" t="inlineStr">
        <is>
          <t>ÖSTERGÖTLANDS LÄN</t>
        </is>
      </c>
      <c r="E254" t="inlineStr">
        <is>
          <t>LINKÖPING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63489-2023</t>
        </is>
      </c>
      <c r="B255" s="1" t="n">
        <v>45274.66761574074</v>
      </c>
      <c r="C255" s="1" t="n">
        <v>46101</v>
      </c>
      <c r="D255" t="inlineStr">
        <is>
          <t>ÖSTERGÖTLANDS LÄN</t>
        </is>
      </c>
      <c r="E255" t="inlineStr">
        <is>
          <t>LINKÖPING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58114-2021</t>
        </is>
      </c>
      <c r="B256" s="1" t="n">
        <v>44487</v>
      </c>
      <c r="C256" s="1" t="n">
        <v>46101</v>
      </c>
      <c r="D256" t="inlineStr">
        <is>
          <t>ÖSTERGÖTLANDS LÄN</t>
        </is>
      </c>
      <c r="E256" t="inlineStr">
        <is>
          <t>LINKÖPING</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46101</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4456-2024</t>
        </is>
      </c>
      <c r="B258" s="1" t="n">
        <v>45327.52847222222</v>
      </c>
      <c r="C258" s="1" t="n">
        <v>46101</v>
      </c>
      <c r="D258" t="inlineStr">
        <is>
          <t>ÖSTERGÖTLANDS LÄN</t>
        </is>
      </c>
      <c r="E258" t="inlineStr">
        <is>
          <t>LINKÖPING</t>
        </is>
      </c>
      <c r="G258" t="n">
        <v>2.7</v>
      </c>
      <c r="H258" t="n">
        <v>0</v>
      </c>
      <c r="I258" t="n">
        <v>0</v>
      </c>
      <c r="J258" t="n">
        <v>0</v>
      </c>
      <c r="K258" t="n">
        <v>0</v>
      </c>
      <c r="L258" t="n">
        <v>0</v>
      </c>
      <c r="M258" t="n">
        <v>0</v>
      </c>
      <c r="N258" t="n">
        <v>0</v>
      </c>
      <c r="O258" t="n">
        <v>0</v>
      </c>
      <c r="P258" t="n">
        <v>0</v>
      </c>
      <c r="Q258" t="n">
        <v>0</v>
      </c>
      <c r="R258" s="2" t="inlineStr"/>
    </row>
    <row r="259" ht="15" customHeight="1">
      <c r="A259" t="inlineStr">
        <is>
          <t>A 3008-2023</t>
        </is>
      </c>
      <c r="B259" s="1" t="n">
        <v>44945.79784722222</v>
      </c>
      <c r="C259" s="1" t="n">
        <v>46101</v>
      </c>
      <c r="D259" t="inlineStr">
        <is>
          <t>ÖSTERGÖTLANDS LÄN</t>
        </is>
      </c>
      <c r="E259" t="inlineStr">
        <is>
          <t>LINKÖPING</t>
        </is>
      </c>
      <c r="G259" t="n">
        <v>19.3</v>
      </c>
      <c r="H259" t="n">
        <v>0</v>
      </c>
      <c r="I259" t="n">
        <v>0</v>
      </c>
      <c r="J259" t="n">
        <v>0</v>
      </c>
      <c r="K259" t="n">
        <v>0</v>
      </c>
      <c r="L259" t="n">
        <v>0</v>
      </c>
      <c r="M259" t="n">
        <v>0</v>
      </c>
      <c r="N259" t="n">
        <v>0</v>
      </c>
      <c r="O259" t="n">
        <v>0</v>
      </c>
      <c r="P259" t="n">
        <v>0</v>
      </c>
      <c r="Q259" t="n">
        <v>0</v>
      </c>
      <c r="R259" s="2" t="inlineStr"/>
    </row>
    <row r="260" ht="15" customHeight="1">
      <c r="A260" t="inlineStr">
        <is>
          <t>A 55736-2022</t>
        </is>
      </c>
      <c r="B260" s="1" t="n">
        <v>44888</v>
      </c>
      <c r="C260" s="1" t="n">
        <v>46101</v>
      </c>
      <c r="D260" t="inlineStr">
        <is>
          <t>ÖSTERGÖTLANDS LÄN</t>
        </is>
      </c>
      <c r="E260" t="inlineStr">
        <is>
          <t>LINKÖPING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30434-2024</t>
        </is>
      </c>
      <c r="B261" s="1" t="n">
        <v>45491.69811342593</v>
      </c>
      <c r="C261" s="1" t="n">
        <v>46101</v>
      </c>
      <c r="D261" t="inlineStr">
        <is>
          <t>ÖSTERGÖTLANDS LÄN</t>
        </is>
      </c>
      <c r="E261" t="inlineStr">
        <is>
          <t>LINKÖPING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57745-2022</t>
        </is>
      </c>
      <c r="B262" s="1" t="n">
        <v>44897.58119212963</v>
      </c>
      <c r="C262" s="1" t="n">
        <v>46101</v>
      </c>
      <c r="D262" t="inlineStr">
        <is>
          <t>ÖSTERGÖTLANDS LÄN</t>
        </is>
      </c>
      <c r="E262" t="inlineStr">
        <is>
          <t>LINKÖPING</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11084-2022</t>
        </is>
      </c>
      <c r="B263" s="1" t="n">
        <v>44628</v>
      </c>
      <c r="C263" s="1" t="n">
        <v>46101</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56064-2022</t>
        </is>
      </c>
      <c r="B264" s="1" t="n">
        <v>44889.59107638889</v>
      </c>
      <c r="C264" s="1" t="n">
        <v>46101</v>
      </c>
      <c r="D264" t="inlineStr">
        <is>
          <t>ÖSTERGÖTLANDS LÄN</t>
        </is>
      </c>
      <c r="E264" t="inlineStr">
        <is>
          <t>LINKÖPING</t>
        </is>
      </c>
      <c r="F264" t="inlineStr">
        <is>
          <t>Sveaskog</t>
        </is>
      </c>
      <c r="G264" t="n">
        <v>2</v>
      </c>
      <c r="H264" t="n">
        <v>0</v>
      </c>
      <c r="I264" t="n">
        <v>0</v>
      </c>
      <c r="J264" t="n">
        <v>0</v>
      </c>
      <c r="K264" t="n">
        <v>0</v>
      </c>
      <c r="L264" t="n">
        <v>0</v>
      </c>
      <c r="M264" t="n">
        <v>0</v>
      </c>
      <c r="N264" t="n">
        <v>0</v>
      </c>
      <c r="O264" t="n">
        <v>0</v>
      </c>
      <c r="P264" t="n">
        <v>0</v>
      </c>
      <c r="Q264" t="n">
        <v>0</v>
      </c>
      <c r="R264" s="2" t="inlineStr"/>
    </row>
    <row r="265" ht="15" customHeight="1">
      <c r="A265" t="inlineStr">
        <is>
          <t>A 70-2024</t>
        </is>
      </c>
      <c r="B265" s="1" t="n">
        <v>45293</v>
      </c>
      <c r="C265" s="1" t="n">
        <v>46101</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14520-2025</t>
        </is>
      </c>
      <c r="B266" s="1" t="n">
        <v>45741</v>
      </c>
      <c r="C266" s="1" t="n">
        <v>46101</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40502-2024</t>
        </is>
      </c>
      <c r="B267" s="1" t="n">
        <v>45555.57263888889</v>
      </c>
      <c r="C267" s="1" t="n">
        <v>46101</v>
      </c>
      <c r="D267" t="inlineStr">
        <is>
          <t>ÖSTERGÖTLANDS LÄN</t>
        </is>
      </c>
      <c r="E267" t="inlineStr">
        <is>
          <t>LINKÖPING</t>
        </is>
      </c>
      <c r="F267" t="inlineStr">
        <is>
          <t>Allmännings- och besparingsskogar</t>
        </is>
      </c>
      <c r="G267" t="n">
        <v>17.5</v>
      </c>
      <c r="H267" t="n">
        <v>0</v>
      </c>
      <c r="I267" t="n">
        <v>0</v>
      </c>
      <c r="J267" t="n">
        <v>0</v>
      </c>
      <c r="K267" t="n">
        <v>0</v>
      </c>
      <c r="L267" t="n">
        <v>0</v>
      </c>
      <c r="M267" t="n">
        <v>0</v>
      </c>
      <c r="N267" t="n">
        <v>0</v>
      </c>
      <c r="O267" t="n">
        <v>0</v>
      </c>
      <c r="P267" t="n">
        <v>0</v>
      </c>
      <c r="Q267" t="n">
        <v>0</v>
      </c>
      <c r="R267" s="2" t="inlineStr"/>
    </row>
    <row r="268" ht="15" customHeight="1">
      <c r="A268" t="inlineStr">
        <is>
          <t>A 44155-2024</t>
        </is>
      </c>
      <c r="B268" s="1" t="n">
        <v>45572.68226851852</v>
      </c>
      <c r="C268" s="1" t="n">
        <v>46101</v>
      </c>
      <c r="D268" t="inlineStr">
        <is>
          <t>ÖSTERGÖTLANDS LÄN</t>
        </is>
      </c>
      <c r="E268" t="inlineStr">
        <is>
          <t>LINKÖPING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42997-2021</t>
        </is>
      </c>
      <c r="B269" s="1" t="n">
        <v>44431.45556712963</v>
      </c>
      <c r="C269" s="1" t="n">
        <v>46101</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14028-2024</t>
        </is>
      </c>
      <c r="B270" s="1" t="n">
        <v>45392</v>
      </c>
      <c r="C270" s="1" t="n">
        <v>46101</v>
      </c>
      <c r="D270" t="inlineStr">
        <is>
          <t>ÖSTERGÖTLANDS LÄN</t>
        </is>
      </c>
      <c r="E270" t="inlineStr">
        <is>
          <t>LINKÖPING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35179-2025</t>
        </is>
      </c>
      <c r="B271" s="1" t="n">
        <v>45852.93737268518</v>
      </c>
      <c r="C271" s="1" t="n">
        <v>46101</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35180-2025</t>
        </is>
      </c>
      <c r="B272" s="1" t="n">
        <v>45852.9413425926</v>
      </c>
      <c r="C272" s="1" t="n">
        <v>46101</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14667-2024</t>
        </is>
      </c>
      <c r="B273" s="1" t="n">
        <v>45397.42005787037</v>
      </c>
      <c r="C273" s="1" t="n">
        <v>46101</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2697-2023</t>
        </is>
      </c>
      <c r="B274" s="1" t="n">
        <v>44944</v>
      </c>
      <c r="C274" s="1" t="n">
        <v>46101</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53641-2023</t>
        </is>
      </c>
      <c r="B275" s="1" t="n">
        <v>45230</v>
      </c>
      <c r="C275" s="1" t="n">
        <v>46101</v>
      </c>
      <c r="D275" t="inlineStr">
        <is>
          <t>ÖSTERGÖTLANDS LÄN</t>
        </is>
      </c>
      <c r="E275" t="inlineStr">
        <is>
          <t>LINKÖPING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48707-2023</t>
        </is>
      </c>
      <c r="B276" s="1" t="n">
        <v>45202</v>
      </c>
      <c r="C276" s="1" t="n">
        <v>46101</v>
      </c>
      <c r="D276" t="inlineStr">
        <is>
          <t>ÖSTERGÖTLANDS LÄN</t>
        </is>
      </c>
      <c r="E276" t="inlineStr">
        <is>
          <t>LINKÖPING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53411-2023</t>
        </is>
      </c>
      <c r="B277" s="1" t="n">
        <v>45229.81049768518</v>
      </c>
      <c r="C277" s="1" t="n">
        <v>46101</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35747-2025</t>
        </is>
      </c>
      <c r="B278" s="1" t="n">
        <v>45860.56385416666</v>
      </c>
      <c r="C278" s="1" t="n">
        <v>46101</v>
      </c>
      <c r="D278" t="inlineStr">
        <is>
          <t>ÖSTERGÖTLANDS LÄN</t>
        </is>
      </c>
      <c r="E278" t="inlineStr">
        <is>
          <t>LINKÖPING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56741-2023</t>
        </is>
      </c>
      <c r="B279" s="1" t="n">
        <v>45244</v>
      </c>
      <c r="C279" s="1" t="n">
        <v>46101</v>
      </c>
      <c r="D279" t="inlineStr">
        <is>
          <t>ÖSTERGÖTLANDS LÄN</t>
        </is>
      </c>
      <c r="E279" t="inlineStr">
        <is>
          <t>LINKÖPING</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61281-2021</t>
        </is>
      </c>
      <c r="B280" s="1" t="n">
        <v>44498.60736111111</v>
      </c>
      <c r="C280" s="1" t="n">
        <v>46101</v>
      </c>
      <c r="D280" t="inlineStr">
        <is>
          <t>ÖSTERGÖTLANDS LÄN</t>
        </is>
      </c>
      <c r="E280" t="inlineStr">
        <is>
          <t>LINKÖPING</t>
        </is>
      </c>
      <c r="G280" t="n">
        <v>4.5</v>
      </c>
      <c r="H280" t="n">
        <v>0</v>
      </c>
      <c r="I280" t="n">
        <v>0</v>
      </c>
      <c r="J280" t="n">
        <v>0</v>
      </c>
      <c r="K280" t="n">
        <v>0</v>
      </c>
      <c r="L280" t="n">
        <v>0</v>
      </c>
      <c r="M280" t="n">
        <v>0</v>
      </c>
      <c r="N280" t="n">
        <v>0</v>
      </c>
      <c r="O280" t="n">
        <v>0</v>
      </c>
      <c r="P280" t="n">
        <v>0</v>
      </c>
      <c r="Q280" t="n">
        <v>0</v>
      </c>
      <c r="R280" s="2" t="inlineStr"/>
    </row>
    <row r="281" ht="15" customHeight="1">
      <c r="A281" t="inlineStr">
        <is>
          <t>A 63935-2021</t>
        </is>
      </c>
      <c r="B281" s="1" t="n">
        <v>44509</v>
      </c>
      <c r="C281" s="1" t="n">
        <v>46101</v>
      </c>
      <c r="D281" t="inlineStr">
        <is>
          <t>ÖSTERGÖTLANDS LÄN</t>
        </is>
      </c>
      <c r="E281" t="inlineStr">
        <is>
          <t>LINKÖPING</t>
        </is>
      </c>
      <c r="F281" t="inlineStr">
        <is>
          <t>Övriga statliga verk och myndigheter</t>
        </is>
      </c>
      <c r="G281" t="n">
        <v>2.8</v>
      </c>
      <c r="H281" t="n">
        <v>0</v>
      </c>
      <c r="I281" t="n">
        <v>0</v>
      </c>
      <c r="J281" t="n">
        <v>0</v>
      </c>
      <c r="K281" t="n">
        <v>0</v>
      </c>
      <c r="L281" t="n">
        <v>0</v>
      </c>
      <c r="M281" t="n">
        <v>0</v>
      </c>
      <c r="N281" t="n">
        <v>0</v>
      </c>
      <c r="O281" t="n">
        <v>0</v>
      </c>
      <c r="P281" t="n">
        <v>0</v>
      </c>
      <c r="Q281" t="n">
        <v>0</v>
      </c>
      <c r="R281" s="2" t="inlineStr"/>
    </row>
    <row r="282" ht="15" customHeight="1">
      <c r="A282" t="inlineStr">
        <is>
          <t>A 56792-2023</t>
        </is>
      </c>
      <c r="B282" s="1" t="n">
        <v>45244</v>
      </c>
      <c r="C282" s="1" t="n">
        <v>46101</v>
      </c>
      <c r="D282" t="inlineStr">
        <is>
          <t>ÖSTERGÖTLANDS LÄN</t>
        </is>
      </c>
      <c r="E282" t="inlineStr">
        <is>
          <t>LINKÖPING</t>
        </is>
      </c>
      <c r="F282" t="inlineStr">
        <is>
          <t>Övriga Aktiebolag</t>
        </is>
      </c>
      <c r="G282" t="n">
        <v>0.9</v>
      </c>
      <c r="H282" t="n">
        <v>0</v>
      </c>
      <c r="I282" t="n">
        <v>0</v>
      </c>
      <c r="J282" t="n">
        <v>0</v>
      </c>
      <c r="K282" t="n">
        <v>0</v>
      </c>
      <c r="L282" t="n">
        <v>0</v>
      </c>
      <c r="M282" t="n">
        <v>0</v>
      </c>
      <c r="N282" t="n">
        <v>0</v>
      </c>
      <c r="O282" t="n">
        <v>0</v>
      </c>
      <c r="P282" t="n">
        <v>0</v>
      </c>
      <c r="Q282" t="n">
        <v>0</v>
      </c>
      <c r="R282" s="2" t="inlineStr"/>
    </row>
    <row r="283" ht="15" customHeight="1">
      <c r="A283" t="inlineStr">
        <is>
          <t>A 35745-2025</t>
        </is>
      </c>
      <c r="B283" s="1" t="n">
        <v>45860.54739583333</v>
      </c>
      <c r="C283" s="1" t="n">
        <v>46101</v>
      </c>
      <c r="D283" t="inlineStr">
        <is>
          <t>ÖSTERGÖTLANDS LÄN</t>
        </is>
      </c>
      <c r="E283" t="inlineStr">
        <is>
          <t>LINKÖPING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35757-2025</t>
        </is>
      </c>
      <c r="B284" s="1" t="n">
        <v>45860.59876157407</v>
      </c>
      <c r="C284" s="1" t="n">
        <v>46101</v>
      </c>
      <c r="D284" t="inlineStr">
        <is>
          <t>ÖSTERGÖTLANDS LÄN</t>
        </is>
      </c>
      <c r="E284" t="inlineStr">
        <is>
          <t>LINKÖPING</t>
        </is>
      </c>
      <c r="G284" t="n">
        <v>5.7</v>
      </c>
      <c r="H284" t="n">
        <v>0</v>
      </c>
      <c r="I284" t="n">
        <v>0</v>
      </c>
      <c r="J284" t="n">
        <v>0</v>
      </c>
      <c r="K284" t="n">
        <v>0</v>
      </c>
      <c r="L284" t="n">
        <v>0</v>
      </c>
      <c r="M284" t="n">
        <v>0</v>
      </c>
      <c r="N284" t="n">
        <v>0</v>
      </c>
      <c r="O284" t="n">
        <v>0</v>
      </c>
      <c r="P284" t="n">
        <v>0</v>
      </c>
      <c r="Q284" t="n">
        <v>0</v>
      </c>
      <c r="R284" s="2" t="inlineStr"/>
    </row>
    <row r="285" ht="15" customHeight="1">
      <c r="A285" t="inlineStr">
        <is>
          <t>A 35759-2025</t>
        </is>
      </c>
      <c r="B285" s="1" t="n">
        <v>45860</v>
      </c>
      <c r="C285" s="1" t="n">
        <v>46101</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3007-2023</t>
        </is>
      </c>
      <c r="B286" s="1" t="n">
        <v>44945</v>
      </c>
      <c r="C286" s="1" t="n">
        <v>46101</v>
      </c>
      <c r="D286" t="inlineStr">
        <is>
          <t>ÖSTERGÖTLANDS LÄN</t>
        </is>
      </c>
      <c r="E286" t="inlineStr">
        <is>
          <t>LINKÖPING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40338-2024</t>
        </is>
      </c>
      <c r="B287" s="1" t="n">
        <v>45555.32940972222</v>
      </c>
      <c r="C287" s="1" t="n">
        <v>46101</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3013-2023</t>
        </is>
      </c>
      <c r="B288" s="1" t="n">
        <v>44945.8092824074</v>
      </c>
      <c r="C288" s="1" t="n">
        <v>46101</v>
      </c>
      <c r="D288" t="inlineStr">
        <is>
          <t>ÖSTERGÖTLANDS LÄN</t>
        </is>
      </c>
      <c r="E288" t="inlineStr">
        <is>
          <t>LINKÖPING</t>
        </is>
      </c>
      <c r="G288" t="n">
        <v>5.2</v>
      </c>
      <c r="H288" t="n">
        <v>0</v>
      </c>
      <c r="I288" t="n">
        <v>0</v>
      </c>
      <c r="J288" t="n">
        <v>0</v>
      </c>
      <c r="K288" t="n">
        <v>0</v>
      </c>
      <c r="L288" t="n">
        <v>0</v>
      </c>
      <c r="M288" t="n">
        <v>0</v>
      </c>
      <c r="N288" t="n">
        <v>0</v>
      </c>
      <c r="O288" t="n">
        <v>0</v>
      </c>
      <c r="P288" t="n">
        <v>0</v>
      </c>
      <c r="Q288" t="n">
        <v>0</v>
      </c>
      <c r="R288" s="2" t="inlineStr"/>
    </row>
    <row r="289" ht="15" customHeight="1">
      <c r="A289" t="inlineStr">
        <is>
          <t>A 25292-2021</t>
        </is>
      </c>
      <c r="B289" s="1" t="n">
        <v>44342</v>
      </c>
      <c r="C289" s="1" t="n">
        <v>46101</v>
      </c>
      <c r="D289" t="inlineStr">
        <is>
          <t>ÖSTERGÖTLANDS LÄN</t>
        </is>
      </c>
      <c r="E289" t="inlineStr">
        <is>
          <t>LINKÖPING</t>
        </is>
      </c>
      <c r="F289" t="inlineStr">
        <is>
          <t>Övriga Aktiebolag</t>
        </is>
      </c>
      <c r="G289" t="n">
        <v>12.8</v>
      </c>
      <c r="H289" t="n">
        <v>0</v>
      </c>
      <c r="I289" t="n">
        <v>0</v>
      </c>
      <c r="J289" t="n">
        <v>0</v>
      </c>
      <c r="K289" t="n">
        <v>0</v>
      </c>
      <c r="L289" t="n">
        <v>0</v>
      </c>
      <c r="M289" t="n">
        <v>0</v>
      </c>
      <c r="N289" t="n">
        <v>0</v>
      </c>
      <c r="O289" t="n">
        <v>0</v>
      </c>
      <c r="P289" t="n">
        <v>0</v>
      </c>
      <c r="Q289" t="n">
        <v>0</v>
      </c>
      <c r="R289" s="2" t="inlineStr"/>
    </row>
    <row r="290" ht="15" customHeight="1">
      <c r="A290" t="inlineStr">
        <is>
          <t>A 55945-2024</t>
        </is>
      </c>
      <c r="B290" s="1" t="n">
        <v>45623.61754629629</v>
      </c>
      <c r="C290" s="1" t="n">
        <v>46101</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1993-2023</t>
        </is>
      </c>
      <c r="B291" s="1" t="n">
        <v>44939</v>
      </c>
      <c r="C291" s="1" t="n">
        <v>46101</v>
      </c>
      <c r="D291" t="inlineStr">
        <is>
          <t>ÖSTERGÖTLANDS LÄN</t>
        </is>
      </c>
      <c r="E291" t="inlineStr">
        <is>
          <t>LINKÖPING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2618-2023</t>
        </is>
      </c>
      <c r="B292" s="1" t="n">
        <v>44944.35847222222</v>
      </c>
      <c r="C292" s="1" t="n">
        <v>46101</v>
      </c>
      <c r="D292" t="inlineStr">
        <is>
          <t>ÖSTERGÖTLANDS LÄN</t>
        </is>
      </c>
      <c r="E292" t="inlineStr">
        <is>
          <t>LINKÖPING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10203-2023</t>
        </is>
      </c>
      <c r="B293" s="1" t="n">
        <v>44986.55711805556</v>
      </c>
      <c r="C293" s="1" t="n">
        <v>46101</v>
      </c>
      <c r="D293" t="inlineStr">
        <is>
          <t>ÖSTERGÖTLANDS LÄN</t>
        </is>
      </c>
      <c r="E293" t="inlineStr">
        <is>
          <t>LINKÖPING</t>
        </is>
      </c>
      <c r="G293" t="n">
        <v>3.3</v>
      </c>
      <c r="H293" t="n">
        <v>0</v>
      </c>
      <c r="I293" t="n">
        <v>0</v>
      </c>
      <c r="J293" t="n">
        <v>0</v>
      </c>
      <c r="K293" t="n">
        <v>0</v>
      </c>
      <c r="L293" t="n">
        <v>0</v>
      </c>
      <c r="M293" t="n">
        <v>0</v>
      </c>
      <c r="N293" t="n">
        <v>0</v>
      </c>
      <c r="O293" t="n">
        <v>0</v>
      </c>
      <c r="P293" t="n">
        <v>0</v>
      </c>
      <c r="Q293" t="n">
        <v>0</v>
      </c>
      <c r="R293" s="2" t="inlineStr"/>
    </row>
    <row r="294" ht="15" customHeight="1">
      <c r="A294" t="inlineStr">
        <is>
          <t>A 34889-2023</t>
        </is>
      </c>
      <c r="B294" s="1" t="n">
        <v>45140</v>
      </c>
      <c r="C294" s="1" t="n">
        <v>46101</v>
      </c>
      <c r="D294" t="inlineStr">
        <is>
          <t>ÖSTERGÖTLANDS LÄN</t>
        </is>
      </c>
      <c r="E294" t="inlineStr">
        <is>
          <t>LINKÖPING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34928-2023</t>
        </is>
      </c>
      <c r="B295" s="1" t="n">
        <v>45142</v>
      </c>
      <c r="C295" s="1" t="n">
        <v>46101</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1268-2023</t>
        </is>
      </c>
      <c r="B296" s="1" t="n">
        <v>44936</v>
      </c>
      <c r="C296" s="1" t="n">
        <v>46101</v>
      </c>
      <c r="D296" t="inlineStr">
        <is>
          <t>ÖSTERGÖTLANDS LÄN</t>
        </is>
      </c>
      <c r="E296" t="inlineStr">
        <is>
          <t>LINKÖPING</t>
        </is>
      </c>
      <c r="G296" t="n">
        <v>4.6</v>
      </c>
      <c r="H296" t="n">
        <v>0</v>
      </c>
      <c r="I296" t="n">
        <v>0</v>
      </c>
      <c r="J296" t="n">
        <v>0</v>
      </c>
      <c r="K296" t="n">
        <v>0</v>
      </c>
      <c r="L296" t="n">
        <v>0</v>
      </c>
      <c r="M296" t="n">
        <v>0</v>
      </c>
      <c r="N296" t="n">
        <v>0</v>
      </c>
      <c r="O296" t="n">
        <v>0</v>
      </c>
      <c r="P296" t="n">
        <v>0</v>
      </c>
      <c r="Q296" t="n">
        <v>0</v>
      </c>
      <c r="R296" s="2" t="inlineStr"/>
    </row>
    <row r="297" ht="15" customHeight="1">
      <c r="A297" t="inlineStr">
        <is>
          <t>A 39074-2025</t>
        </is>
      </c>
      <c r="B297" s="1" t="n">
        <v>45888</v>
      </c>
      <c r="C297" s="1" t="n">
        <v>46101</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49747-2024</t>
        </is>
      </c>
      <c r="B298" s="1" t="n">
        <v>45596</v>
      </c>
      <c r="C298" s="1" t="n">
        <v>46101</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38971-2025</t>
        </is>
      </c>
      <c r="B299" s="1" t="n">
        <v>45887.71827546296</v>
      </c>
      <c r="C299" s="1" t="n">
        <v>46101</v>
      </c>
      <c r="D299" t="inlineStr">
        <is>
          <t>ÖSTERGÖTLANDS LÄN</t>
        </is>
      </c>
      <c r="E299" t="inlineStr">
        <is>
          <t>LINKÖPING</t>
        </is>
      </c>
      <c r="G299" t="n">
        <v>3.9</v>
      </c>
      <c r="H299" t="n">
        <v>0</v>
      </c>
      <c r="I299" t="n">
        <v>0</v>
      </c>
      <c r="J299" t="n">
        <v>0</v>
      </c>
      <c r="K299" t="n">
        <v>0</v>
      </c>
      <c r="L299" t="n">
        <v>0</v>
      </c>
      <c r="M299" t="n">
        <v>0</v>
      </c>
      <c r="N299" t="n">
        <v>0</v>
      </c>
      <c r="O299" t="n">
        <v>0</v>
      </c>
      <c r="P299" t="n">
        <v>0</v>
      </c>
      <c r="Q299" t="n">
        <v>0</v>
      </c>
      <c r="R299" s="2" t="inlineStr"/>
    </row>
    <row r="300" ht="15" customHeight="1">
      <c r="A300" t="inlineStr">
        <is>
          <t>A 72567-2021</t>
        </is>
      </c>
      <c r="B300" s="1" t="n">
        <v>44546.45023148148</v>
      </c>
      <c r="C300" s="1" t="n">
        <v>46101</v>
      </c>
      <c r="D300" t="inlineStr">
        <is>
          <t>ÖSTERGÖTLANDS LÄN</t>
        </is>
      </c>
      <c r="E300" t="inlineStr">
        <is>
          <t>LINKÖPING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31725-2022</t>
        </is>
      </c>
      <c r="B301" s="1" t="n">
        <v>44776.48541666667</v>
      </c>
      <c r="C301" s="1" t="n">
        <v>46101</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27264-2025</t>
        </is>
      </c>
      <c r="B302" s="1" t="n">
        <v>45812.4794212963</v>
      </c>
      <c r="C302" s="1" t="n">
        <v>46101</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37057-2025</t>
        </is>
      </c>
      <c r="B303" s="1" t="n">
        <v>45875.37489583333</v>
      </c>
      <c r="C303" s="1" t="n">
        <v>46101</v>
      </c>
      <c r="D303" t="inlineStr">
        <is>
          <t>ÖSTERGÖTLANDS LÄN</t>
        </is>
      </c>
      <c r="E303" t="inlineStr">
        <is>
          <t>LINKÖPING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39438-2025</t>
        </is>
      </c>
      <c r="B304" s="1" t="n">
        <v>45889.68641203704</v>
      </c>
      <c r="C304" s="1" t="n">
        <v>46101</v>
      </c>
      <c r="D304" t="inlineStr">
        <is>
          <t>ÖSTERGÖTLANDS LÄN</t>
        </is>
      </c>
      <c r="E304" t="inlineStr">
        <is>
          <t>LINKÖPING</t>
        </is>
      </c>
      <c r="G304" t="n">
        <v>2.4</v>
      </c>
      <c r="H304" t="n">
        <v>0</v>
      </c>
      <c r="I304" t="n">
        <v>0</v>
      </c>
      <c r="J304" t="n">
        <v>0</v>
      </c>
      <c r="K304" t="n">
        <v>0</v>
      </c>
      <c r="L304" t="n">
        <v>0</v>
      </c>
      <c r="M304" t="n">
        <v>0</v>
      </c>
      <c r="N304" t="n">
        <v>0</v>
      </c>
      <c r="O304" t="n">
        <v>0</v>
      </c>
      <c r="P304" t="n">
        <v>0</v>
      </c>
      <c r="Q304" t="n">
        <v>0</v>
      </c>
      <c r="R304" s="2" t="inlineStr"/>
    </row>
    <row r="305" ht="15" customHeight="1">
      <c r="A305" t="inlineStr">
        <is>
          <t>A 2389-2023</t>
        </is>
      </c>
      <c r="B305" s="1" t="n">
        <v>44942</v>
      </c>
      <c r="C305" s="1" t="n">
        <v>46101</v>
      </c>
      <c r="D305" t="inlineStr">
        <is>
          <t>ÖSTERGÖTLANDS LÄN</t>
        </is>
      </c>
      <c r="E305" t="inlineStr">
        <is>
          <t>LINKÖPING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3627-2023</t>
        </is>
      </c>
      <c r="B306" s="1" t="n">
        <v>44950.64782407408</v>
      </c>
      <c r="C306" s="1" t="n">
        <v>46101</v>
      </c>
      <c r="D306" t="inlineStr">
        <is>
          <t>ÖSTERGÖTLANDS LÄN</t>
        </is>
      </c>
      <c r="E306" t="inlineStr">
        <is>
          <t>LINKÖPING</t>
        </is>
      </c>
      <c r="G306" t="n">
        <v>3.1</v>
      </c>
      <c r="H306" t="n">
        <v>0</v>
      </c>
      <c r="I306" t="n">
        <v>0</v>
      </c>
      <c r="J306" t="n">
        <v>0</v>
      </c>
      <c r="K306" t="n">
        <v>0</v>
      </c>
      <c r="L306" t="n">
        <v>0</v>
      </c>
      <c r="M306" t="n">
        <v>0</v>
      </c>
      <c r="N306" t="n">
        <v>0</v>
      </c>
      <c r="O306" t="n">
        <v>0</v>
      </c>
      <c r="P306" t="n">
        <v>0</v>
      </c>
      <c r="Q306" t="n">
        <v>0</v>
      </c>
      <c r="R306" s="2" t="inlineStr"/>
    </row>
    <row r="307" ht="15" customHeight="1">
      <c r="A307" t="inlineStr">
        <is>
          <t>A 62687-2023</t>
        </is>
      </c>
      <c r="B307" s="1" t="n">
        <v>45271</v>
      </c>
      <c r="C307" s="1" t="n">
        <v>46101</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40169-2025</t>
        </is>
      </c>
      <c r="B308" s="1" t="n">
        <v>45894.62824074074</v>
      </c>
      <c r="C308" s="1" t="n">
        <v>46101</v>
      </c>
      <c r="D308" t="inlineStr">
        <is>
          <t>ÖSTERGÖTLANDS LÄN</t>
        </is>
      </c>
      <c r="E308" t="inlineStr">
        <is>
          <t>LINKÖPING</t>
        </is>
      </c>
      <c r="G308" t="n">
        <v>2.8</v>
      </c>
      <c r="H308" t="n">
        <v>0</v>
      </c>
      <c r="I308" t="n">
        <v>0</v>
      </c>
      <c r="J308" t="n">
        <v>0</v>
      </c>
      <c r="K308" t="n">
        <v>0</v>
      </c>
      <c r="L308" t="n">
        <v>0</v>
      </c>
      <c r="M308" t="n">
        <v>0</v>
      </c>
      <c r="N308" t="n">
        <v>0</v>
      </c>
      <c r="O308" t="n">
        <v>0</v>
      </c>
      <c r="P308" t="n">
        <v>0</v>
      </c>
      <c r="Q308" t="n">
        <v>0</v>
      </c>
      <c r="R308" s="2" t="inlineStr"/>
    </row>
    <row r="309" ht="15" customHeight="1">
      <c r="A309" t="inlineStr">
        <is>
          <t>A 25829-2025</t>
        </is>
      </c>
      <c r="B309" s="1" t="n">
        <v>45804.44505787037</v>
      </c>
      <c r="C309" s="1" t="n">
        <v>46101</v>
      </c>
      <c r="D309" t="inlineStr">
        <is>
          <t>ÖSTERGÖTLANDS LÄN</t>
        </is>
      </c>
      <c r="E309" t="inlineStr">
        <is>
          <t>LINKÖPING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18891-2022</t>
        </is>
      </c>
      <c r="B310" s="1" t="n">
        <v>44690</v>
      </c>
      <c r="C310" s="1" t="n">
        <v>46101</v>
      </c>
      <c r="D310" t="inlineStr">
        <is>
          <t>ÖSTERGÖTLANDS LÄN</t>
        </is>
      </c>
      <c r="E310" t="inlineStr">
        <is>
          <t>LINKÖPING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26620-2023</t>
        </is>
      </c>
      <c r="B311" s="1" t="n">
        <v>45092.70390046296</v>
      </c>
      <c r="C311" s="1" t="n">
        <v>46101</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56180-2024</t>
        </is>
      </c>
      <c r="B312" s="1" t="n">
        <v>45624.56611111111</v>
      </c>
      <c r="C312" s="1" t="n">
        <v>46101</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938-2023</t>
        </is>
      </c>
      <c r="B313" s="1" t="n">
        <v>44933</v>
      </c>
      <c r="C313" s="1" t="n">
        <v>46101</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25418-2023</t>
        </is>
      </c>
      <c r="B314" s="1" t="n">
        <v>45089</v>
      </c>
      <c r="C314" s="1" t="n">
        <v>46101</v>
      </c>
      <c r="D314" t="inlineStr">
        <is>
          <t>ÖSTERGÖTLANDS LÄN</t>
        </is>
      </c>
      <c r="E314" t="inlineStr">
        <is>
          <t>LINKÖPING</t>
        </is>
      </c>
      <c r="F314" t="inlineStr">
        <is>
          <t>Övriga Aktiebolag</t>
        </is>
      </c>
      <c r="G314" t="n">
        <v>2.4</v>
      </c>
      <c r="H314" t="n">
        <v>0</v>
      </c>
      <c r="I314" t="n">
        <v>0</v>
      </c>
      <c r="J314" t="n">
        <v>0</v>
      </c>
      <c r="K314" t="n">
        <v>0</v>
      </c>
      <c r="L314" t="n">
        <v>0</v>
      </c>
      <c r="M314" t="n">
        <v>0</v>
      </c>
      <c r="N314" t="n">
        <v>0</v>
      </c>
      <c r="O314" t="n">
        <v>0</v>
      </c>
      <c r="P314" t="n">
        <v>0</v>
      </c>
      <c r="Q314" t="n">
        <v>0</v>
      </c>
      <c r="R314" s="2" t="inlineStr"/>
    </row>
    <row r="315" ht="15" customHeight="1">
      <c r="A315" t="inlineStr">
        <is>
          <t>A 60007-2022</t>
        </is>
      </c>
      <c r="B315" s="1" t="n">
        <v>44909.47282407407</v>
      </c>
      <c r="C315" s="1" t="n">
        <v>46101</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38046-2025</t>
        </is>
      </c>
      <c r="B316" s="1" t="n">
        <v>45882.39939814815</v>
      </c>
      <c r="C316" s="1" t="n">
        <v>46101</v>
      </c>
      <c r="D316" t="inlineStr">
        <is>
          <t>ÖSTERGÖTLANDS LÄN</t>
        </is>
      </c>
      <c r="E316" t="inlineStr">
        <is>
          <t>LINKÖPING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11601-2023</t>
        </is>
      </c>
      <c r="B317" s="1" t="n">
        <v>44994</v>
      </c>
      <c r="C317" s="1" t="n">
        <v>46101</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41706-2025</t>
        </is>
      </c>
      <c r="B318" s="1" t="n">
        <v>45902.42209490741</v>
      </c>
      <c r="C318" s="1" t="n">
        <v>46101</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41511-2025</t>
        </is>
      </c>
      <c r="B319" s="1" t="n">
        <v>45901.53839120371</v>
      </c>
      <c r="C319" s="1" t="n">
        <v>46101</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3008-2023</t>
        </is>
      </c>
      <c r="B320" s="1" t="n">
        <v>44945.79784722222</v>
      </c>
      <c r="C320" s="1" t="n">
        <v>46101</v>
      </c>
      <c r="D320" t="inlineStr">
        <is>
          <t>ÖSTERGÖTLANDS LÄN</t>
        </is>
      </c>
      <c r="E320" t="inlineStr">
        <is>
          <t>LINKÖPING</t>
        </is>
      </c>
      <c r="G320" t="n">
        <v>19.3</v>
      </c>
      <c r="H320" t="n">
        <v>0</v>
      </c>
      <c r="I320" t="n">
        <v>0</v>
      </c>
      <c r="J320" t="n">
        <v>0</v>
      </c>
      <c r="K320" t="n">
        <v>0</v>
      </c>
      <c r="L320" t="n">
        <v>0</v>
      </c>
      <c r="M320" t="n">
        <v>0</v>
      </c>
      <c r="N320" t="n">
        <v>0</v>
      </c>
      <c r="O320" t="n">
        <v>0</v>
      </c>
      <c r="P320" t="n">
        <v>0</v>
      </c>
      <c r="Q320" t="n">
        <v>0</v>
      </c>
      <c r="R320" s="2" t="inlineStr"/>
    </row>
    <row r="321" ht="15" customHeight="1">
      <c r="A321" t="inlineStr">
        <is>
          <t>A 3042-2024</t>
        </is>
      </c>
      <c r="B321" s="1" t="n">
        <v>45316.35028935185</v>
      </c>
      <c r="C321" s="1" t="n">
        <v>46101</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1260-2023</t>
        </is>
      </c>
      <c r="B322" s="1" t="n">
        <v>44936</v>
      </c>
      <c r="C322" s="1" t="n">
        <v>46101</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7702-2023</t>
        </is>
      </c>
      <c r="B323" s="1" t="n">
        <v>44967</v>
      </c>
      <c r="C323" s="1" t="n">
        <v>46101</v>
      </c>
      <c r="D323" t="inlineStr">
        <is>
          <t>ÖSTERGÖTLANDS LÄN</t>
        </is>
      </c>
      <c r="E323" t="inlineStr">
        <is>
          <t>LINKÖPING</t>
        </is>
      </c>
      <c r="F323" t="inlineStr">
        <is>
          <t>Övriga statliga verk och myndigheter</t>
        </is>
      </c>
      <c r="G323" t="n">
        <v>8</v>
      </c>
      <c r="H323" t="n">
        <v>0</v>
      </c>
      <c r="I323" t="n">
        <v>0</v>
      </c>
      <c r="J323" t="n">
        <v>0</v>
      </c>
      <c r="K323" t="n">
        <v>0</v>
      </c>
      <c r="L323" t="n">
        <v>0</v>
      </c>
      <c r="M323" t="n">
        <v>0</v>
      </c>
      <c r="N323" t="n">
        <v>0</v>
      </c>
      <c r="O323" t="n">
        <v>0</v>
      </c>
      <c r="P323" t="n">
        <v>0</v>
      </c>
      <c r="Q323" t="n">
        <v>0</v>
      </c>
      <c r="R323" s="2" t="inlineStr"/>
    </row>
    <row r="324" ht="15" customHeight="1">
      <c r="A324" t="inlineStr">
        <is>
          <t>A 29293-2025</t>
        </is>
      </c>
      <c r="B324" s="1" t="n">
        <v>45824</v>
      </c>
      <c r="C324" s="1" t="n">
        <v>46101</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55345-2021</t>
        </is>
      </c>
      <c r="B325" s="1" t="n">
        <v>44475</v>
      </c>
      <c r="C325" s="1" t="n">
        <v>46101</v>
      </c>
      <c r="D325" t="inlineStr">
        <is>
          <t>ÖSTERGÖTLANDS LÄN</t>
        </is>
      </c>
      <c r="E325" t="inlineStr">
        <is>
          <t>LINKÖPING</t>
        </is>
      </c>
      <c r="G325" t="n">
        <v>5.7</v>
      </c>
      <c r="H325" t="n">
        <v>0</v>
      </c>
      <c r="I325" t="n">
        <v>0</v>
      </c>
      <c r="J325" t="n">
        <v>0</v>
      </c>
      <c r="K325" t="n">
        <v>0</v>
      </c>
      <c r="L325" t="n">
        <v>0</v>
      </c>
      <c r="M325" t="n">
        <v>0</v>
      </c>
      <c r="N325" t="n">
        <v>0</v>
      </c>
      <c r="O325" t="n">
        <v>0</v>
      </c>
      <c r="P325" t="n">
        <v>0</v>
      </c>
      <c r="Q325" t="n">
        <v>0</v>
      </c>
      <c r="R325" s="2" t="inlineStr"/>
    </row>
    <row r="326" ht="15" customHeight="1">
      <c r="A326" t="inlineStr">
        <is>
          <t>A 674-2024</t>
        </is>
      </c>
      <c r="B326" s="1" t="n">
        <v>45300.34408564815</v>
      </c>
      <c r="C326" s="1" t="n">
        <v>46101</v>
      </c>
      <c r="D326" t="inlineStr">
        <is>
          <t>ÖSTERGÖTLANDS LÄN</t>
        </is>
      </c>
      <c r="E326" t="inlineStr">
        <is>
          <t>LINKÖPING</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63684-2023</t>
        </is>
      </c>
      <c r="B327" s="1" t="n">
        <v>45275</v>
      </c>
      <c r="C327" s="1" t="n">
        <v>46101</v>
      </c>
      <c r="D327" t="inlineStr">
        <is>
          <t>ÖSTERGÖTLANDS LÄN</t>
        </is>
      </c>
      <c r="E327" t="inlineStr">
        <is>
          <t>LINKÖPING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167-2024</t>
        </is>
      </c>
      <c r="B328" s="1" t="n">
        <v>45294</v>
      </c>
      <c r="C328" s="1" t="n">
        <v>46101</v>
      </c>
      <c r="D328" t="inlineStr">
        <is>
          <t>ÖSTERGÖTLANDS LÄN</t>
        </is>
      </c>
      <c r="E328" t="inlineStr">
        <is>
          <t>LINKÖPING</t>
        </is>
      </c>
      <c r="F328" t="inlineStr">
        <is>
          <t>Allmännings- och besparingsskogar</t>
        </is>
      </c>
      <c r="G328" t="n">
        <v>11.6</v>
      </c>
      <c r="H328" t="n">
        <v>0</v>
      </c>
      <c r="I328" t="n">
        <v>0</v>
      </c>
      <c r="J328" t="n">
        <v>0</v>
      </c>
      <c r="K328" t="n">
        <v>0</v>
      </c>
      <c r="L328" t="n">
        <v>0</v>
      </c>
      <c r="M328" t="n">
        <v>0</v>
      </c>
      <c r="N328" t="n">
        <v>0</v>
      </c>
      <c r="O328" t="n">
        <v>0</v>
      </c>
      <c r="P328" t="n">
        <v>0</v>
      </c>
      <c r="Q328" t="n">
        <v>0</v>
      </c>
      <c r="R328" s="2" t="inlineStr"/>
    </row>
    <row r="329" ht="15" customHeight="1">
      <c r="A329" t="inlineStr">
        <is>
          <t>A 36725-2023</t>
        </is>
      </c>
      <c r="B329" s="1" t="n">
        <v>45153.68471064815</v>
      </c>
      <c r="C329" s="1" t="n">
        <v>46101</v>
      </c>
      <c r="D329" t="inlineStr">
        <is>
          <t>ÖSTERGÖTLANDS LÄN</t>
        </is>
      </c>
      <c r="E329" t="inlineStr">
        <is>
          <t>LINKÖPING</t>
        </is>
      </c>
      <c r="F329" t="inlineStr">
        <is>
          <t>Allmännings- och besparingsskogar</t>
        </is>
      </c>
      <c r="G329" t="n">
        <v>2.6</v>
      </c>
      <c r="H329" t="n">
        <v>0</v>
      </c>
      <c r="I329" t="n">
        <v>0</v>
      </c>
      <c r="J329" t="n">
        <v>0</v>
      </c>
      <c r="K329" t="n">
        <v>0</v>
      </c>
      <c r="L329" t="n">
        <v>0</v>
      </c>
      <c r="M329" t="n">
        <v>0</v>
      </c>
      <c r="N329" t="n">
        <v>0</v>
      </c>
      <c r="O329" t="n">
        <v>0</v>
      </c>
      <c r="P329" t="n">
        <v>0</v>
      </c>
      <c r="Q329" t="n">
        <v>0</v>
      </c>
      <c r="R329" s="2" t="inlineStr"/>
    </row>
    <row r="330" ht="15" customHeight="1">
      <c r="A330" t="inlineStr">
        <is>
          <t>A 27343-2023</t>
        </is>
      </c>
      <c r="B330" s="1" t="n">
        <v>45096</v>
      </c>
      <c r="C330" s="1" t="n">
        <v>46101</v>
      </c>
      <c r="D330" t="inlineStr">
        <is>
          <t>ÖSTERGÖTLANDS LÄN</t>
        </is>
      </c>
      <c r="E330" t="inlineStr">
        <is>
          <t>LINKÖPING</t>
        </is>
      </c>
      <c r="F330" t="inlineStr">
        <is>
          <t>Allmännings- och besparingsskogar</t>
        </is>
      </c>
      <c r="G330" t="n">
        <v>6.9</v>
      </c>
      <c r="H330" t="n">
        <v>0</v>
      </c>
      <c r="I330" t="n">
        <v>0</v>
      </c>
      <c r="J330" t="n">
        <v>0</v>
      </c>
      <c r="K330" t="n">
        <v>0</v>
      </c>
      <c r="L330" t="n">
        <v>0</v>
      </c>
      <c r="M330" t="n">
        <v>0</v>
      </c>
      <c r="N330" t="n">
        <v>0</v>
      </c>
      <c r="O330" t="n">
        <v>0</v>
      </c>
      <c r="P330" t="n">
        <v>0</v>
      </c>
      <c r="Q330" t="n">
        <v>0</v>
      </c>
      <c r="R330" s="2" t="inlineStr"/>
    </row>
    <row r="331" ht="15" customHeight="1">
      <c r="A331" t="inlineStr">
        <is>
          <t>A 42623-2025</t>
        </is>
      </c>
      <c r="B331" s="1" t="n">
        <v>45905</v>
      </c>
      <c r="C331" s="1" t="n">
        <v>46101</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22774-2024</t>
        </is>
      </c>
      <c r="B332" s="1" t="n">
        <v>45448.46924768519</v>
      </c>
      <c r="C332" s="1" t="n">
        <v>46101</v>
      </c>
      <c r="D332" t="inlineStr">
        <is>
          <t>ÖSTERGÖTLANDS LÄN</t>
        </is>
      </c>
      <c r="E332" t="inlineStr">
        <is>
          <t>LINKÖPING</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22778-2024</t>
        </is>
      </c>
      <c r="B333" s="1" t="n">
        <v>45448.47233796296</v>
      </c>
      <c r="C333" s="1" t="n">
        <v>46101</v>
      </c>
      <c r="D333" t="inlineStr">
        <is>
          <t>ÖSTERGÖTLANDS LÄN</t>
        </is>
      </c>
      <c r="E333" t="inlineStr">
        <is>
          <t>LINKÖPING</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34864-2023</t>
        </is>
      </c>
      <c r="B334" s="1" t="n">
        <v>45141</v>
      </c>
      <c r="C334" s="1" t="n">
        <v>46101</v>
      </c>
      <c r="D334" t="inlineStr">
        <is>
          <t>ÖSTERGÖTLANDS LÄN</t>
        </is>
      </c>
      <c r="E334" t="inlineStr">
        <is>
          <t>LINKÖPING</t>
        </is>
      </c>
      <c r="G334" t="n">
        <v>3.3</v>
      </c>
      <c r="H334" t="n">
        <v>0</v>
      </c>
      <c r="I334" t="n">
        <v>0</v>
      </c>
      <c r="J334" t="n">
        <v>0</v>
      </c>
      <c r="K334" t="n">
        <v>0</v>
      </c>
      <c r="L334" t="n">
        <v>0</v>
      </c>
      <c r="M334" t="n">
        <v>0</v>
      </c>
      <c r="N334" t="n">
        <v>0</v>
      </c>
      <c r="O334" t="n">
        <v>0</v>
      </c>
      <c r="P334" t="n">
        <v>0</v>
      </c>
      <c r="Q334" t="n">
        <v>0</v>
      </c>
      <c r="R334" s="2" t="inlineStr"/>
    </row>
    <row r="335" ht="15" customHeight="1">
      <c r="A335" t="inlineStr">
        <is>
          <t>A 52531-2023</t>
        </is>
      </c>
      <c r="B335" s="1" t="n">
        <v>45225</v>
      </c>
      <c r="C335" s="1" t="n">
        <v>46101</v>
      </c>
      <c r="D335" t="inlineStr">
        <is>
          <t>ÖSTERGÖTLANDS LÄN</t>
        </is>
      </c>
      <c r="E335" t="inlineStr">
        <is>
          <t>LINKÖPING</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42624-2025</t>
        </is>
      </c>
      <c r="B336" s="1" t="n">
        <v>45905</v>
      </c>
      <c r="C336" s="1" t="n">
        <v>46101</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42626-2025</t>
        </is>
      </c>
      <c r="B337" s="1" t="n">
        <v>45905</v>
      </c>
      <c r="C337" s="1" t="n">
        <v>46101</v>
      </c>
      <c r="D337" t="inlineStr">
        <is>
          <t>ÖSTERGÖTLANDS LÄN</t>
        </is>
      </c>
      <c r="E337" t="inlineStr">
        <is>
          <t>LINKÖPING</t>
        </is>
      </c>
      <c r="G337" t="n">
        <v>3.6</v>
      </c>
      <c r="H337" t="n">
        <v>0</v>
      </c>
      <c r="I337" t="n">
        <v>0</v>
      </c>
      <c r="J337" t="n">
        <v>0</v>
      </c>
      <c r="K337" t="n">
        <v>0</v>
      </c>
      <c r="L337" t="n">
        <v>0</v>
      </c>
      <c r="M337" t="n">
        <v>0</v>
      </c>
      <c r="N337" t="n">
        <v>0</v>
      </c>
      <c r="O337" t="n">
        <v>0</v>
      </c>
      <c r="P337" t="n">
        <v>0</v>
      </c>
      <c r="Q337" t="n">
        <v>0</v>
      </c>
      <c r="R337" s="2" t="inlineStr"/>
    </row>
    <row r="338" ht="15" customHeight="1">
      <c r="A338" t="inlineStr">
        <is>
          <t>A 34930-2023</t>
        </is>
      </c>
      <c r="B338" s="1" t="n">
        <v>45142</v>
      </c>
      <c r="C338" s="1" t="n">
        <v>46101</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30985-2022</t>
        </is>
      </c>
      <c r="B339" s="1" t="n">
        <v>44768</v>
      </c>
      <c r="C339" s="1" t="n">
        <v>46101</v>
      </c>
      <c r="D339" t="inlineStr">
        <is>
          <t>ÖSTERGÖTLANDS LÄN</t>
        </is>
      </c>
      <c r="E339" t="inlineStr">
        <is>
          <t>LINKÖPING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43755-2025</t>
        </is>
      </c>
      <c r="B340" s="1" t="n">
        <v>45912.47329861111</v>
      </c>
      <c r="C340" s="1" t="n">
        <v>46101</v>
      </c>
      <c r="D340" t="inlineStr">
        <is>
          <t>ÖSTERGÖTLANDS LÄN</t>
        </is>
      </c>
      <c r="E340" t="inlineStr">
        <is>
          <t>LINKÖPING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59642-2024</t>
        </is>
      </c>
      <c r="B341" s="1" t="n">
        <v>45639.31511574074</v>
      </c>
      <c r="C341" s="1" t="n">
        <v>46101</v>
      </c>
      <c r="D341" t="inlineStr">
        <is>
          <t>ÖSTERGÖTLANDS LÄN</t>
        </is>
      </c>
      <c r="E341" t="inlineStr">
        <is>
          <t>LINKÖPING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46101</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43758-2025</t>
        </is>
      </c>
      <c r="B343" s="1" t="n">
        <v>45912.47711805555</v>
      </c>
      <c r="C343" s="1" t="n">
        <v>46101</v>
      </c>
      <c r="D343" t="inlineStr">
        <is>
          <t>ÖSTERGÖTLANDS LÄN</t>
        </is>
      </c>
      <c r="E343" t="inlineStr">
        <is>
          <t>LINKÖPING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15748-2025</t>
        </is>
      </c>
      <c r="B344" s="1" t="n">
        <v>45748.55282407408</v>
      </c>
      <c r="C344" s="1" t="n">
        <v>46101</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31792-2021</t>
        </is>
      </c>
      <c r="B345" s="1" t="n">
        <v>44369</v>
      </c>
      <c r="C345" s="1" t="n">
        <v>46101</v>
      </c>
      <c r="D345" t="inlineStr">
        <is>
          <t>ÖSTERGÖTLANDS LÄN</t>
        </is>
      </c>
      <c r="E345" t="inlineStr">
        <is>
          <t>LINKÖPING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25097-2023</t>
        </is>
      </c>
      <c r="B346" s="1" t="n">
        <v>45086</v>
      </c>
      <c r="C346" s="1" t="n">
        <v>46101</v>
      </c>
      <c r="D346" t="inlineStr">
        <is>
          <t>ÖSTERGÖTLANDS LÄN</t>
        </is>
      </c>
      <c r="E346" t="inlineStr">
        <is>
          <t>LINKÖPING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44170-2025</t>
        </is>
      </c>
      <c r="B347" s="1" t="n">
        <v>45915.59864583334</v>
      </c>
      <c r="C347" s="1" t="n">
        <v>46101</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35735-2023</t>
        </is>
      </c>
      <c r="B348" s="1" t="n">
        <v>45147</v>
      </c>
      <c r="C348" s="1" t="n">
        <v>46101</v>
      </c>
      <c r="D348" t="inlineStr">
        <is>
          <t>ÖSTERGÖTLANDS LÄN</t>
        </is>
      </c>
      <c r="E348" t="inlineStr">
        <is>
          <t>LINKÖPING</t>
        </is>
      </c>
      <c r="G348" t="n">
        <v>2.8</v>
      </c>
      <c r="H348" t="n">
        <v>0</v>
      </c>
      <c r="I348" t="n">
        <v>0</v>
      </c>
      <c r="J348" t="n">
        <v>0</v>
      </c>
      <c r="K348" t="n">
        <v>0</v>
      </c>
      <c r="L348" t="n">
        <v>0</v>
      </c>
      <c r="M348" t="n">
        <v>0</v>
      </c>
      <c r="N348" t="n">
        <v>0</v>
      </c>
      <c r="O348" t="n">
        <v>0</v>
      </c>
      <c r="P348" t="n">
        <v>0</v>
      </c>
      <c r="Q348" t="n">
        <v>0</v>
      </c>
      <c r="R348" s="2" t="inlineStr"/>
    </row>
    <row r="349" ht="15" customHeight="1">
      <c r="A349" t="inlineStr">
        <is>
          <t>A 16462-2021</t>
        </is>
      </c>
      <c r="B349" s="1" t="n">
        <v>44293</v>
      </c>
      <c r="C349" s="1" t="n">
        <v>46101</v>
      </c>
      <c r="D349" t="inlineStr">
        <is>
          <t>ÖSTERGÖTLANDS LÄN</t>
        </is>
      </c>
      <c r="E349" t="inlineStr">
        <is>
          <t>LINKÖPING</t>
        </is>
      </c>
      <c r="F349" t="inlineStr">
        <is>
          <t>Allmännings- och besparingsskogar</t>
        </is>
      </c>
      <c r="G349" t="n">
        <v>24.7</v>
      </c>
      <c r="H349" t="n">
        <v>0</v>
      </c>
      <c r="I349" t="n">
        <v>0</v>
      </c>
      <c r="J349" t="n">
        <v>0</v>
      </c>
      <c r="K349" t="n">
        <v>0</v>
      </c>
      <c r="L349" t="n">
        <v>0</v>
      </c>
      <c r="M349" t="n">
        <v>0</v>
      </c>
      <c r="N349" t="n">
        <v>0</v>
      </c>
      <c r="O349" t="n">
        <v>0</v>
      </c>
      <c r="P349" t="n">
        <v>0</v>
      </c>
      <c r="Q349" t="n">
        <v>0</v>
      </c>
      <c r="R349" s="2" t="inlineStr"/>
    </row>
    <row r="350" ht="15" customHeight="1">
      <c r="A350" t="inlineStr">
        <is>
          <t>A 25776-2021</t>
        </is>
      </c>
      <c r="B350" s="1" t="n">
        <v>44343</v>
      </c>
      <c r="C350" s="1" t="n">
        <v>46101</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30856-2022</t>
        </is>
      </c>
      <c r="B351" s="1" t="n">
        <v>44767</v>
      </c>
      <c r="C351" s="1" t="n">
        <v>46101</v>
      </c>
      <c r="D351" t="inlineStr">
        <is>
          <t>ÖSTERGÖTLANDS LÄN</t>
        </is>
      </c>
      <c r="E351" t="inlineStr">
        <is>
          <t>LINKÖPING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19187-2021</t>
        </is>
      </c>
      <c r="B352" s="1" t="n">
        <v>44308</v>
      </c>
      <c r="C352" s="1" t="n">
        <v>46101</v>
      </c>
      <c r="D352" t="inlineStr">
        <is>
          <t>ÖSTERGÖTLANDS LÄN</t>
        </is>
      </c>
      <c r="E352" t="inlineStr">
        <is>
          <t>LINKÖPING</t>
        </is>
      </c>
      <c r="F352" t="inlineStr">
        <is>
          <t>Allmännings- och besparingsskogar</t>
        </is>
      </c>
      <c r="G352" t="n">
        <v>20</v>
      </c>
      <c r="H352" t="n">
        <v>0</v>
      </c>
      <c r="I352" t="n">
        <v>0</v>
      </c>
      <c r="J352" t="n">
        <v>0</v>
      </c>
      <c r="K352" t="n">
        <v>0</v>
      </c>
      <c r="L352" t="n">
        <v>0</v>
      </c>
      <c r="M352" t="n">
        <v>0</v>
      </c>
      <c r="N352" t="n">
        <v>0</v>
      </c>
      <c r="O352" t="n">
        <v>0</v>
      </c>
      <c r="P352" t="n">
        <v>0</v>
      </c>
      <c r="Q352" t="n">
        <v>0</v>
      </c>
      <c r="R352" s="2" t="inlineStr"/>
    </row>
    <row r="353" ht="15" customHeight="1">
      <c r="A353" t="inlineStr">
        <is>
          <t>A 39219-2021</t>
        </is>
      </c>
      <c r="B353" s="1" t="n">
        <v>44413</v>
      </c>
      <c r="C353" s="1" t="n">
        <v>46101</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39224-2021</t>
        </is>
      </c>
      <c r="B354" s="1" t="n">
        <v>44413</v>
      </c>
      <c r="C354" s="1" t="n">
        <v>46101</v>
      </c>
      <c r="D354" t="inlineStr">
        <is>
          <t>ÖSTERGÖTLANDS LÄN</t>
        </is>
      </c>
      <c r="E354" t="inlineStr">
        <is>
          <t>LINKÖPING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44759-2025</t>
        </is>
      </c>
      <c r="B355" s="1" t="n">
        <v>45917.7152662037</v>
      </c>
      <c r="C355" s="1" t="n">
        <v>46101</v>
      </c>
      <c r="D355" t="inlineStr">
        <is>
          <t>ÖSTERGÖTLANDS LÄN</t>
        </is>
      </c>
      <c r="E355" t="inlineStr">
        <is>
          <t>LINKÖPING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44764-2025</t>
        </is>
      </c>
      <c r="B356" s="1" t="n">
        <v>45917.72821759259</v>
      </c>
      <c r="C356" s="1" t="n">
        <v>46101</v>
      </c>
      <c r="D356" t="inlineStr">
        <is>
          <t>ÖSTERGÖTLANDS LÄN</t>
        </is>
      </c>
      <c r="E356" t="inlineStr">
        <is>
          <t>LINKÖPING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43934-2023</t>
        </is>
      </c>
      <c r="B357" s="1" t="n">
        <v>45187</v>
      </c>
      <c r="C357" s="1" t="n">
        <v>46101</v>
      </c>
      <c r="D357" t="inlineStr">
        <is>
          <t>ÖSTERGÖTLANDS LÄN</t>
        </is>
      </c>
      <c r="E357" t="inlineStr">
        <is>
          <t>LINKÖPING</t>
        </is>
      </c>
      <c r="F357" t="inlineStr">
        <is>
          <t>Övriga Aktiebolag</t>
        </is>
      </c>
      <c r="G357" t="n">
        <v>3.8</v>
      </c>
      <c r="H357" t="n">
        <v>0</v>
      </c>
      <c r="I357" t="n">
        <v>0</v>
      </c>
      <c r="J357" t="n">
        <v>0</v>
      </c>
      <c r="K357" t="n">
        <v>0</v>
      </c>
      <c r="L357" t="n">
        <v>0</v>
      </c>
      <c r="M357" t="n">
        <v>0</v>
      </c>
      <c r="N357" t="n">
        <v>0</v>
      </c>
      <c r="O357" t="n">
        <v>0</v>
      </c>
      <c r="P357" t="n">
        <v>0</v>
      </c>
      <c r="Q357" t="n">
        <v>0</v>
      </c>
      <c r="R357" s="2" t="inlineStr"/>
    </row>
    <row r="358" ht="15" customHeight="1">
      <c r="A358" t="inlineStr">
        <is>
          <t>A 45112-2025</t>
        </is>
      </c>
      <c r="B358" s="1" t="n">
        <v>45919</v>
      </c>
      <c r="C358" s="1" t="n">
        <v>46101</v>
      </c>
      <c r="D358" t="inlineStr">
        <is>
          <t>ÖSTERGÖTLANDS LÄN</t>
        </is>
      </c>
      <c r="E358" t="inlineStr">
        <is>
          <t>LINKÖPING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45634-2025</t>
        </is>
      </c>
      <c r="B359" s="1" t="n">
        <v>45922.85089120371</v>
      </c>
      <c r="C359" s="1" t="n">
        <v>46101</v>
      </c>
      <c r="D359" t="inlineStr">
        <is>
          <t>ÖSTERGÖTLANDS LÄN</t>
        </is>
      </c>
      <c r="E359" t="inlineStr">
        <is>
          <t>LINKÖPING</t>
        </is>
      </c>
      <c r="F359" t="inlineStr">
        <is>
          <t>Övriga Aktiebolag</t>
        </is>
      </c>
      <c r="G359" t="n">
        <v>0.3</v>
      </c>
      <c r="H359" t="n">
        <v>0</v>
      </c>
      <c r="I359" t="n">
        <v>0</v>
      </c>
      <c r="J359" t="n">
        <v>0</v>
      </c>
      <c r="K359" t="n">
        <v>0</v>
      </c>
      <c r="L359" t="n">
        <v>0</v>
      </c>
      <c r="M359" t="n">
        <v>0</v>
      </c>
      <c r="N359" t="n">
        <v>0</v>
      </c>
      <c r="O359" t="n">
        <v>0</v>
      </c>
      <c r="P359" t="n">
        <v>0</v>
      </c>
      <c r="Q359" t="n">
        <v>0</v>
      </c>
      <c r="R359" s="2" t="inlineStr"/>
    </row>
    <row r="360" ht="15" customHeight="1">
      <c r="A360" t="inlineStr">
        <is>
          <t>A 45792-2025</t>
        </is>
      </c>
      <c r="B360" s="1" t="n">
        <v>45923.56998842592</v>
      </c>
      <c r="C360" s="1" t="n">
        <v>46101</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45804-2025</t>
        </is>
      </c>
      <c r="B361" s="1" t="n">
        <v>45923.5819675926</v>
      </c>
      <c r="C361" s="1" t="n">
        <v>46101</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7354-2025</t>
        </is>
      </c>
      <c r="B362" s="1" t="n">
        <v>45704.41174768518</v>
      </c>
      <c r="C362" s="1" t="n">
        <v>46101</v>
      </c>
      <c r="D362" t="inlineStr">
        <is>
          <t>ÖSTERGÖTLANDS LÄN</t>
        </is>
      </c>
      <c r="E362" t="inlineStr">
        <is>
          <t>LINKÖPING</t>
        </is>
      </c>
      <c r="G362" t="n">
        <v>4.8</v>
      </c>
      <c r="H362" t="n">
        <v>0</v>
      </c>
      <c r="I362" t="n">
        <v>0</v>
      </c>
      <c r="J362" t="n">
        <v>0</v>
      </c>
      <c r="K362" t="n">
        <v>0</v>
      </c>
      <c r="L362" t="n">
        <v>0</v>
      </c>
      <c r="M362" t="n">
        <v>0</v>
      </c>
      <c r="N362" t="n">
        <v>0</v>
      </c>
      <c r="O362" t="n">
        <v>0</v>
      </c>
      <c r="P362" t="n">
        <v>0</v>
      </c>
      <c r="Q362" t="n">
        <v>0</v>
      </c>
      <c r="R362" s="2" t="inlineStr"/>
    </row>
    <row r="363" ht="15" customHeight="1">
      <c r="A363" t="inlineStr">
        <is>
          <t>A 63935-2021</t>
        </is>
      </c>
      <c r="B363" s="1" t="n">
        <v>44509</v>
      </c>
      <c r="C363" s="1" t="n">
        <v>46101</v>
      </c>
      <c r="D363" t="inlineStr">
        <is>
          <t>ÖSTERGÖTLANDS LÄN</t>
        </is>
      </c>
      <c r="E363" t="inlineStr">
        <is>
          <t>LINKÖPING</t>
        </is>
      </c>
      <c r="F363" t="inlineStr">
        <is>
          <t>Övriga statliga verk och myndigheter</t>
        </is>
      </c>
      <c r="G363" t="n">
        <v>2.8</v>
      </c>
      <c r="H363" t="n">
        <v>0</v>
      </c>
      <c r="I363" t="n">
        <v>0</v>
      </c>
      <c r="J363" t="n">
        <v>0</v>
      </c>
      <c r="K363" t="n">
        <v>0</v>
      </c>
      <c r="L363" t="n">
        <v>0</v>
      </c>
      <c r="M363" t="n">
        <v>0</v>
      </c>
      <c r="N363" t="n">
        <v>0</v>
      </c>
      <c r="O363" t="n">
        <v>0</v>
      </c>
      <c r="P363" t="n">
        <v>0</v>
      </c>
      <c r="Q363" t="n">
        <v>0</v>
      </c>
      <c r="R363" s="2" t="inlineStr"/>
    </row>
    <row r="364" ht="15" customHeight="1">
      <c r="A364" t="inlineStr">
        <is>
          <t>A 46428-2025</t>
        </is>
      </c>
      <c r="B364" s="1" t="n">
        <v>45925.60758101852</v>
      </c>
      <c r="C364" s="1" t="n">
        <v>46101</v>
      </c>
      <c r="D364" t="inlineStr">
        <is>
          <t>ÖSTERGÖTLANDS LÄN</t>
        </is>
      </c>
      <c r="E364" t="inlineStr">
        <is>
          <t>LINKÖPING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46426-2025</t>
        </is>
      </c>
      <c r="B365" s="1" t="n">
        <v>45925.6012962963</v>
      </c>
      <c r="C365" s="1" t="n">
        <v>46101</v>
      </c>
      <c r="D365" t="inlineStr">
        <is>
          <t>ÖSTERGÖTLANDS LÄN</t>
        </is>
      </c>
      <c r="E365" t="inlineStr">
        <is>
          <t>LINKÖPING</t>
        </is>
      </c>
      <c r="G365" t="n">
        <v>4.4</v>
      </c>
      <c r="H365" t="n">
        <v>0</v>
      </c>
      <c r="I365" t="n">
        <v>0</v>
      </c>
      <c r="J365" t="n">
        <v>0</v>
      </c>
      <c r="K365" t="n">
        <v>0</v>
      </c>
      <c r="L365" t="n">
        <v>0</v>
      </c>
      <c r="M365" t="n">
        <v>0</v>
      </c>
      <c r="N365" t="n">
        <v>0</v>
      </c>
      <c r="O365" t="n">
        <v>0</v>
      </c>
      <c r="P365" t="n">
        <v>0</v>
      </c>
      <c r="Q365" t="n">
        <v>0</v>
      </c>
      <c r="R365" s="2" t="inlineStr"/>
    </row>
    <row r="366" ht="15" customHeight="1">
      <c r="A366" t="inlineStr">
        <is>
          <t>A 46377-2025</t>
        </is>
      </c>
      <c r="B366" s="1" t="n">
        <v>45925.51773148148</v>
      </c>
      <c r="C366" s="1" t="n">
        <v>46101</v>
      </c>
      <c r="D366" t="inlineStr">
        <is>
          <t>ÖSTERGÖTLANDS LÄN</t>
        </is>
      </c>
      <c r="E366" t="inlineStr">
        <is>
          <t>LINKÖPING</t>
        </is>
      </c>
      <c r="G366" t="n">
        <v>3.1</v>
      </c>
      <c r="H366" t="n">
        <v>0</v>
      </c>
      <c r="I366" t="n">
        <v>0</v>
      </c>
      <c r="J366" t="n">
        <v>0</v>
      </c>
      <c r="K366" t="n">
        <v>0</v>
      </c>
      <c r="L366" t="n">
        <v>0</v>
      </c>
      <c r="M366" t="n">
        <v>0</v>
      </c>
      <c r="N366" t="n">
        <v>0</v>
      </c>
      <c r="O366" t="n">
        <v>0</v>
      </c>
      <c r="P366" t="n">
        <v>0</v>
      </c>
      <c r="Q366" t="n">
        <v>0</v>
      </c>
      <c r="R366" s="2" t="inlineStr"/>
    </row>
    <row r="367" ht="15" customHeight="1">
      <c r="A367" t="inlineStr">
        <is>
          <t>A 40810-2022</t>
        </is>
      </c>
      <c r="B367" s="1" t="n">
        <v>44824</v>
      </c>
      <c r="C367" s="1" t="n">
        <v>46101</v>
      </c>
      <c r="D367" t="inlineStr">
        <is>
          <t>ÖSTERGÖTLANDS LÄN</t>
        </is>
      </c>
      <c r="E367" t="inlineStr">
        <is>
          <t>LINKÖPING</t>
        </is>
      </c>
      <c r="G367" t="n">
        <v>2.8</v>
      </c>
      <c r="H367" t="n">
        <v>0</v>
      </c>
      <c r="I367" t="n">
        <v>0</v>
      </c>
      <c r="J367" t="n">
        <v>0</v>
      </c>
      <c r="K367" t="n">
        <v>0</v>
      </c>
      <c r="L367" t="n">
        <v>0</v>
      </c>
      <c r="M367" t="n">
        <v>0</v>
      </c>
      <c r="N367" t="n">
        <v>0</v>
      </c>
      <c r="O367" t="n">
        <v>0</v>
      </c>
      <c r="P367" t="n">
        <v>0</v>
      </c>
      <c r="Q367" t="n">
        <v>0</v>
      </c>
      <c r="R367" s="2" t="inlineStr"/>
    </row>
    <row r="368" ht="15" customHeight="1">
      <c r="A368" t="inlineStr">
        <is>
          <t>A 47304-2025</t>
        </is>
      </c>
      <c r="B368" s="1" t="n">
        <v>45930.52037037037</v>
      </c>
      <c r="C368" s="1" t="n">
        <v>46101</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47233-2025</t>
        </is>
      </c>
      <c r="B369" s="1" t="n">
        <v>45930.40612268518</v>
      </c>
      <c r="C369" s="1" t="n">
        <v>46101</v>
      </c>
      <c r="D369" t="inlineStr">
        <is>
          <t>ÖSTERGÖTLANDS LÄN</t>
        </is>
      </c>
      <c r="E369" t="inlineStr">
        <is>
          <t>LINKÖPING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20298-2025</t>
        </is>
      </c>
      <c r="B370" s="1" t="n">
        <v>45774.75024305555</v>
      </c>
      <c r="C370" s="1" t="n">
        <v>46101</v>
      </c>
      <c r="D370" t="inlineStr">
        <is>
          <t>ÖSTERGÖTLANDS LÄN</t>
        </is>
      </c>
      <c r="E370" t="inlineStr">
        <is>
          <t>LINKÖPING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46847-2025</t>
        </is>
      </c>
      <c r="B371" s="1" t="n">
        <v>45928.69971064815</v>
      </c>
      <c r="C371" s="1" t="n">
        <v>46101</v>
      </c>
      <c r="D371" t="inlineStr">
        <is>
          <t>ÖSTERGÖTLANDS LÄN</t>
        </is>
      </c>
      <c r="E371" t="inlineStr">
        <is>
          <t>LINKÖPING</t>
        </is>
      </c>
      <c r="G371" t="n">
        <v>4.6</v>
      </c>
      <c r="H371" t="n">
        <v>0</v>
      </c>
      <c r="I371" t="n">
        <v>0</v>
      </c>
      <c r="J371" t="n">
        <v>0</v>
      </c>
      <c r="K371" t="n">
        <v>0</v>
      </c>
      <c r="L371" t="n">
        <v>0</v>
      </c>
      <c r="M371" t="n">
        <v>0</v>
      </c>
      <c r="N371" t="n">
        <v>0</v>
      </c>
      <c r="O371" t="n">
        <v>0</v>
      </c>
      <c r="P371" t="n">
        <v>0</v>
      </c>
      <c r="Q371" t="n">
        <v>0</v>
      </c>
      <c r="R371" s="2" t="inlineStr"/>
    </row>
    <row r="372" ht="15" customHeight="1">
      <c r="A372" t="inlineStr">
        <is>
          <t>A 14576-2023</t>
        </is>
      </c>
      <c r="B372" s="1" t="n">
        <v>45013</v>
      </c>
      <c r="C372" s="1" t="n">
        <v>46101</v>
      </c>
      <c r="D372" t="inlineStr">
        <is>
          <t>ÖSTERGÖTLANDS LÄN</t>
        </is>
      </c>
      <c r="E372" t="inlineStr">
        <is>
          <t>LINKÖPING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48343-2025</t>
        </is>
      </c>
      <c r="B373" s="1" t="n">
        <v>45932</v>
      </c>
      <c r="C373" s="1" t="n">
        <v>46101</v>
      </c>
      <c r="D373" t="inlineStr">
        <is>
          <t>ÖSTERGÖTLANDS LÄN</t>
        </is>
      </c>
      <c r="E373" t="inlineStr">
        <is>
          <t>LINKÖPING</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12089-2025</t>
        </is>
      </c>
      <c r="B374" s="1" t="n">
        <v>45729</v>
      </c>
      <c r="C374" s="1" t="n">
        <v>46101</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47606-2025</t>
        </is>
      </c>
      <c r="B375" s="1" t="n">
        <v>45931.46402777778</v>
      </c>
      <c r="C375" s="1" t="n">
        <v>46101</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48254-2025</t>
        </is>
      </c>
      <c r="B376" s="1" t="n">
        <v>45932</v>
      </c>
      <c r="C376" s="1" t="n">
        <v>46101</v>
      </c>
      <c r="D376" t="inlineStr">
        <is>
          <t>ÖSTERGÖTLANDS LÄN</t>
        </is>
      </c>
      <c r="E376" t="inlineStr">
        <is>
          <t>LINKÖPING</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48266-2025</t>
        </is>
      </c>
      <c r="B377" s="1" t="n">
        <v>45932</v>
      </c>
      <c r="C377" s="1" t="n">
        <v>46101</v>
      </c>
      <c r="D377" t="inlineStr">
        <is>
          <t>ÖSTERGÖTLANDS LÄN</t>
        </is>
      </c>
      <c r="E377" t="inlineStr">
        <is>
          <t>LINKÖPING</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62321-2022</t>
        </is>
      </c>
      <c r="B378" s="1" t="n">
        <v>44916</v>
      </c>
      <c r="C378" s="1" t="n">
        <v>46101</v>
      </c>
      <c r="D378" t="inlineStr">
        <is>
          <t>ÖSTERGÖTLANDS LÄN</t>
        </is>
      </c>
      <c r="E378" t="inlineStr">
        <is>
          <t>LINKÖPING</t>
        </is>
      </c>
      <c r="F378" t="inlineStr">
        <is>
          <t>Kommuner</t>
        </is>
      </c>
      <c r="G378" t="n">
        <v>5.3</v>
      </c>
      <c r="H378" t="n">
        <v>0</v>
      </c>
      <c r="I378" t="n">
        <v>0</v>
      </c>
      <c r="J378" t="n">
        <v>0</v>
      </c>
      <c r="K378" t="n">
        <v>0</v>
      </c>
      <c r="L378" t="n">
        <v>0</v>
      </c>
      <c r="M378" t="n">
        <v>0</v>
      </c>
      <c r="N378" t="n">
        <v>0</v>
      </c>
      <c r="O378" t="n">
        <v>0</v>
      </c>
      <c r="P378" t="n">
        <v>0</v>
      </c>
      <c r="Q378" t="n">
        <v>0</v>
      </c>
      <c r="R378" s="2" t="inlineStr"/>
    </row>
    <row r="379" ht="15" customHeight="1">
      <c r="A379" t="inlineStr">
        <is>
          <t>A 43475-2024</t>
        </is>
      </c>
      <c r="B379" s="1" t="n">
        <v>45568</v>
      </c>
      <c r="C379" s="1" t="n">
        <v>46101</v>
      </c>
      <c r="D379" t="inlineStr">
        <is>
          <t>ÖSTERGÖTLANDS LÄN</t>
        </is>
      </c>
      <c r="E379" t="inlineStr">
        <is>
          <t>LINKÖPING</t>
        </is>
      </c>
      <c r="G379" t="n">
        <v>3.2</v>
      </c>
      <c r="H379" t="n">
        <v>0</v>
      </c>
      <c r="I379" t="n">
        <v>0</v>
      </c>
      <c r="J379" t="n">
        <v>0</v>
      </c>
      <c r="K379" t="n">
        <v>0</v>
      </c>
      <c r="L379" t="n">
        <v>0</v>
      </c>
      <c r="M379" t="n">
        <v>0</v>
      </c>
      <c r="N379" t="n">
        <v>0</v>
      </c>
      <c r="O379" t="n">
        <v>0</v>
      </c>
      <c r="P379" t="n">
        <v>0</v>
      </c>
      <c r="Q379" t="n">
        <v>0</v>
      </c>
      <c r="R379" s="2" t="inlineStr"/>
    </row>
    <row r="380" ht="15" customHeight="1">
      <c r="A380" t="inlineStr">
        <is>
          <t>A 49605-2025</t>
        </is>
      </c>
      <c r="B380" s="1" t="n">
        <v>45938</v>
      </c>
      <c r="C380" s="1" t="n">
        <v>46101</v>
      </c>
      <c r="D380" t="inlineStr">
        <is>
          <t>ÖSTERGÖTLANDS LÄN</t>
        </is>
      </c>
      <c r="E380" t="inlineStr">
        <is>
          <t>LINKÖPING</t>
        </is>
      </c>
      <c r="F380" t="inlineStr">
        <is>
          <t>Övriga Aktiebolag</t>
        </is>
      </c>
      <c r="G380" t="n">
        <v>3.3</v>
      </c>
      <c r="H380" t="n">
        <v>0</v>
      </c>
      <c r="I380" t="n">
        <v>0</v>
      </c>
      <c r="J380" t="n">
        <v>0</v>
      </c>
      <c r="K380" t="n">
        <v>0</v>
      </c>
      <c r="L380" t="n">
        <v>0</v>
      </c>
      <c r="M380" t="n">
        <v>0</v>
      </c>
      <c r="N380" t="n">
        <v>0</v>
      </c>
      <c r="O380" t="n">
        <v>0</v>
      </c>
      <c r="P380" t="n">
        <v>0</v>
      </c>
      <c r="Q380" t="n">
        <v>0</v>
      </c>
      <c r="R380" s="2" t="inlineStr"/>
    </row>
    <row r="381" ht="15" customHeight="1">
      <c r="A381" t="inlineStr">
        <is>
          <t>A 17103-2025</t>
        </is>
      </c>
      <c r="B381" s="1" t="n">
        <v>45755.66143518518</v>
      </c>
      <c r="C381" s="1" t="n">
        <v>46101</v>
      </c>
      <c r="D381" t="inlineStr">
        <is>
          <t>ÖSTERGÖTLANDS LÄN</t>
        </is>
      </c>
      <c r="E381" t="inlineStr">
        <is>
          <t>LINKÖPING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30551-2023</t>
        </is>
      </c>
      <c r="B382" s="1" t="n">
        <v>45111</v>
      </c>
      <c r="C382" s="1" t="n">
        <v>46101</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49647-2025</t>
        </is>
      </c>
      <c r="B383" s="1" t="n">
        <v>45938</v>
      </c>
      <c r="C383" s="1" t="n">
        <v>46101</v>
      </c>
      <c r="D383" t="inlineStr">
        <is>
          <t>ÖSTERGÖTLANDS LÄN</t>
        </is>
      </c>
      <c r="E383" t="inlineStr">
        <is>
          <t>LINKÖPING</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50784-2022</t>
        </is>
      </c>
      <c r="B384" s="1" t="n">
        <v>44862</v>
      </c>
      <c r="C384" s="1" t="n">
        <v>46101</v>
      </c>
      <c r="D384" t="inlineStr">
        <is>
          <t>ÖSTERGÖTLANDS LÄN</t>
        </is>
      </c>
      <c r="E384" t="inlineStr">
        <is>
          <t>LINKÖPING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49633-2025</t>
        </is>
      </c>
      <c r="B385" s="1" t="n">
        <v>45938</v>
      </c>
      <c r="C385" s="1" t="n">
        <v>46101</v>
      </c>
      <c r="D385" t="inlineStr">
        <is>
          <t>ÖSTERGÖTLANDS LÄN</t>
        </is>
      </c>
      <c r="E385" t="inlineStr">
        <is>
          <t>LINKÖPING</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49663-2025</t>
        </is>
      </c>
      <c r="B386" s="1" t="n">
        <v>45938</v>
      </c>
      <c r="C386" s="1" t="n">
        <v>46101</v>
      </c>
      <c r="D386" t="inlineStr">
        <is>
          <t>ÖSTERGÖTLANDS LÄN</t>
        </is>
      </c>
      <c r="E386" t="inlineStr">
        <is>
          <t>LINKÖPING</t>
        </is>
      </c>
      <c r="F386" t="inlineStr">
        <is>
          <t>Övriga Aktiebolag</t>
        </is>
      </c>
      <c r="G386" t="n">
        <v>1.2</v>
      </c>
      <c r="H386" t="n">
        <v>0</v>
      </c>
      <c r="I386" t="n">
        <v>0</v>
      </c>
      <c r="J386" t="n">
        <v>0</v>
      </c>
      <c r="K386" t="n">
        <v>0</v>
      </c>
      <c r="L386" t="n">
        <v>0</v>
      </c>
      <c r="M386" t="n">
        <v>0</v>
      </c>
      <c r="N386" t="n">
        <v>0</v>
      </c>
      <c r="O386" t="n">
        <v>0</v>
      </c>
      <c r="P386" t="n">
        <v>0</v>
      </c>
      <c r="Q386" t="n">
        <v>0</v>
      </c>
      <c r="R386" s="2" t="inlineStr"/>
    </row>
    <row r="387" ht="15" customHeight="1">
      <c r="A387" t="inlineStr">
        <is>
          <t>A 22043-2023</t>
        </is>
      </c>
      <c r="B387" s="1" t="n">
        <v>45069.39050925926</v>
      </c>
      <c r="C387" s="1" t="n">
        <v>46101</v>
      </c>
      <c r="D387" t="inlineStr">
        <is>
          <t>ÖSTERGÖTLANDS LÄN</t>
        </is>
      </c>
      <c r="E387" t="inlineStr">
        <is>
          <t>LINKÖPING</t>
        </is>
      </c>
      <c r="G387" t="n">
        <v>5.9</v>
      </c>
      <c r="H387" t="n">
        <v>0</v>
      </c>
      <c r="I387" t="n">
        <v>0</v>
      </c>
      <c r="J387" t="n">
        <v>0</v>
      </c>
      <c r="K387" t="n">
        <v>0</v>
      </c>
      <c r="L387" t="n">
        <v>0</v>
      </c>
      <c r="M387" t="n">
        <v>0</v>
      </c>
      <c r="N387" t="n">
        <v>0</v>
      </c>
      <c r="O387" t="n">
        <v>0</v>
      </c>
      <c r="P387" t="n">
        <v>0</v>
      </c>
      <c r="Q387" t="n">
        <v>0</v>
      </c>
      <c r="R387" s="2" t="inlineStr"/>
    </row>
    <row r="388" ht="15" customHeight="1">
      <c r="A388" t="inlineStr">
        <is>
          <t>A 49455-2025</t>
        </is>
      </c>
      <c r="B388" s="1" t="n">
        <v>45938</v>
      </c>
      <c r="C388" s="1" t="n">
        <v>46101</v>
      </c>
      <c r="D388" t="inlineStr">
        <is>
          <t>ÖSTERGÖTLANDS LÄN</t>
        </is>
      </c>
      <c r="E388" t="inlineStr">
        <is>
          <t>LINKÖPING</t>
        </is>
      </c>
      <c r="F388" t="inlineStr">
        <is>
          <t>Övriga Aktiebolag</t>
        </is>
      </c>
      <c r="G388" t="n">
        <v>5.9</v>
      </c>
      <c r="H388" t="n">
        <v>0</v>
      </c>
      <c r="I388" t="n">
        <v>0</v>
      </c>
      <c r="J388" t="n">
        <v>0</v>
      </c>
      <c r="K388" t="n">
        <v>0</v>
      </c>
      <c r="L388" t="n">
        <v>0</v>
      </c>
      <c r="M388" t="n">
        <v>0</v>
      </c>
      <c r="N388" t="n">
        <v>0</v>
      </c>
      <c r="O388" t="n">
        <v>0</v>
      </c>
      <c r="P388" t="n">
        <v>0</v>
      </c>
      <c r="Q388" t="n">
        <v>0</v>
      </c>
      <c r="R388" s="2" t="inlineStr"/>
    </row>
    <row r="389" ht="15" customHeight="1">
      <c r="A389" t="inlineStr">
        <is>
          <t>A 49652-2025</t>
        </is>
      </c>
      <c r="B389" s="1" t="n">
        <v>45938</v>
      </c>
      <c r="C389" s="1" t="n">
        <v>46101</v>
      </c>
      <c r="D389" t="inlineStr">
        <is>
          <t>ÖSTERGÖTLANDS LÄN</t>
        </is>
      </c>
      <c r="E389" t="inlineStr">
        <is>
          <t>LINKÖPING</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49654-2025</t>
        </is>
      </c>
      <c r="B390" s="1" t="n">
        <v>45938</v>
      </c>
      <c r="C390" s="1" t="n">
        <v>46101</v>
      </c>
      <c r="D390" t="inlineStr">
        <is>
          <t>ÖSTERGÖTLANDS LÄN</t>
        </is>
      </c>
      <c r="E390" t="inlineStr">
        <is>
          <t>LINKÖPING</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49656-2021</t>
        </is>
      </c>
      <c r="B391" s="1" t="n">
        <v>44454</v>
      </c>
      <c r="C391" s="1" t="n">
        <v>46101</v>
      </c>
      <c r="D391" t="inlineStr">
        <is>
          <t>ÖSTERGÖTLANDS LÄN</t>
        </is>
      </c>
      <c r="E391" t="inlineStr">
        <is>
          <t>LINKÖPING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49619-2025</t>
        </is>
      </c>
      <c r="B392" s="1" t="n">
        <v>45938</v>
      </c>
      <c r="C392" s="1" t="n">
        <v>46101</v>
      </c>
      <c r="D392" t="inlineStr">
        <is>
          <t>ÖSTERGÖTLANDS LÄN</t>
        </is>
      </c>
      <c r="E392" t="inlineStr">
        <is>
          <t>LINKÖPING</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49629-2025</t>
        </is>
      </c>
      <c r="B393" s="1" t="n">
        <v>45938</v>
      </c>
      <c r="C393" s="1" t="n">
        <v>46101</v>
      </c>
      <c r="D393" t="inlineStr">
        <is>
          <t>ÖSTERGÖTLANDS LÄN</t>
        </is>
      </c>
      <c r="E393" t="inlineStr">
        <is>
          <t>LINKÖPING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49650-2025</t>
        </is>
      </c>
      <c r="B394" s="1" t="n">
        <v>45938</v>
      </c>
      <c r="C394" s="1" t="n">
        <v>46101</v>
      </c>
      <c r="D394" t="inlineStr">
        <is>
          <t>ÖSTERGÖTLANDS LÄN</t>
        </is>
      </c>
      <c r="E394" t="inlineStr">
        <is>
          <t>LINKÖPING</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49632-2025</t>
        </is>
      </c>
      <c r="B395" s="1" t="n">
        <v>45938</v>
      </c>
      <c r="C395" s="1" t="n">
        <v>46101</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49615-2025</t>
        </is>
      </c>
      <c r="B396" s="1" t="n">
        <v>45938</v>
      </c>
      <c r="C396" s="1" t="n">
        <v>46101</v>
      </c>
      <c r="D396" t="inlineStr">
        <is>
          <t>ÖSTERGÖTLANDS LÄN</t>
        </is>
      </c>
      <c r="E396" t="inlineStr">
        <is>
          <t>LINKÖPING</t>
        </is>
      </c>
      <c r="F396" t="inlineStr">
        <is>
          <t>Övriga Aktiebolag</t>
        </is>
      </c>
      <c r="G396" t="n">
        <v>1.6</v>
      </c>
      <c r="H396" t="n">
        <v>0</v>
      </c>
      <c r="I396" t="n">
        <v>0</v>
      </c>
      <c r="J396" t="n">
        <v>0</v>
      </c>
      <c r="K396" t="n">
        <v>0</v>
      </c>
      <c r="L396" t="n">
        <v>0</v>
      </c>
      <c r="M396" t="n">
        <v>0</v>
      </c>
      <c r="N396" t="n">
        <v>0</v>
      </c>
      <c r="O396" t="n">
        <v>0</v>
      </c>
      <c r="P396" t="n">
        <v>0</v>
      </c>
      <c r="Q396" t="n">
        <v>0</v>
      </c>
      <c r="R396" s="2" t="inlineStr"/>
    </row>
    <row r="397" ht="15" customHeight="1">
      <c r="A397" t="inlineStr">
        <is>
          <t>A 30465-2023</t>
        </is>
      </c>
      <c r="B397" s="1" t="n">
        <v>45111</v>
      </c>
      <c r="C397" s="1" t="n">
        <v>46101</v>
      </c>
      <c r="D397" t="inlineStr">
        <is>
          <t>ÖSTERGÖTLANDS LÄN</t>
        </is>
      </c>
      <c r="E397" t="inlineStr">
        <is>
          <t>LINKÖPING</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30521-2024</t>
        </is>
      </c>
      <c r="B398" s="1" t="n">
        <v>45492</v>
      </c>
      <c r="C398" s="1" t="n">
        <v>46101</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40618-2021</t>
        </is>
      </c>
      <c r="B399" s="1" t="n">
        <v>44420.49575231481</v>
      </c>
      <c r="C399" s="1" t="n">
        <v>46101</v>
      </c>
      <c r="D399" t="inlineStr">
        <is>
          <t>ÖSTERGÖTLANDS LÄN</t>
        </is>
      </c>
      <c r="E399" t="inlineStr">
        <is>
          <t>LINKÖPING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23735-2023</t>
        </is>
      </c>
      <c r="B400" s="1" t="n">
        <v>45077</v>
      </c>
      <c r="C400" s="1" t="n">
        <v>46101</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350-2022</t>
        </is>
      </c>
      <c r="B401" s="1" t="n">
        <v>44565</v>
      </c>
      <c r="C401" s="1" t="n">
        <v>46101</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40983-2025</t>
        </is>
      </c>
      <c r="B402" s="1" t="n">
        <v>45898</v>
      </c>
      <c r="C402" s="1" t="n">
        <v>46101</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4256-2022</t>
        </is>
      </c>
      <c r="B403" s="1" t="n">
        <v>44588</v>
      </c>
      <c r="C403" s="1" t="n">
        <v>46101</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25948-2023</t>
        </is>
      </c>
      <c r="B404" s="1" t="n">
        <v>45090</v>
      </c>
      <c r="C404" s="1" t="n">
        <v>46101</v>
      </c>
      <c r="D404" t="inlineStr">
        <is>
          <t>ÖSTERGÖTLANDS LÄN</t>
        </is>
      </c>
      <c r="E404" t="inlineStr">
        <is>
          <t>LINKÖPING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50056-2025</t>
        </is>
      </c>
      <c r="B405" s="1" t="n">
        <v>45941</v>
      </c>
      <c r="C405" s="1" t="n">
        <v>46101</v>
      </c>
      <c r="D405" t="inlineStr">
        <is>
          <t>ÖSTERGÖTLANDS LÄN</t>
        </is>
      </c>
      <c r="E405" t="inlineStr">
        <is>
          <t>LINKÖPING</t>
        </is>
      </c>
      <c r="G405" t="n">
        <v>0.3</v>
      </c>
      <c r="H405" t="n">
        <v>0</v>
      </c>
      <c r="I405" t="n">
        <v>0</v>
      </c>
      <c r="J405" t="n">
        <v>0</v>
      </c>
      <c r="K405" t="n">
        <v>0</v>
      </c>
      <c r="L405" t="n">
        <v>0</v>
      </c>
      <c r="M405" t="n">
        <v>0</v>
      </c>
      <c r="N405" t="n">
        <v>0</v>
      </c>
      <c r="O405" t="n">
        <v>0</v>
      </c>
      <c r="P405" t="n">
        <v>0</v>
      </c>
      <c r="Q405" t="n">
        <v>0</v>
      </c>
      <c r="R405" s="2" t="inlineStr"/>
    </row>
    <row r="406" ht="15" customHeight="1">
      <c r="A406" t="inlineStr">
        <is>
          <t>A 33867-2023</t>
        </is>
      </c>
      <c r="B406" s="1" t="n">
        <v>45133.94640046296</v>
      </c>
      <c r="C406" s="1" t="n">
        <v>46101</v>
      </c>
      <c r="D406" t="inlineStr">
        <is>
          <t>ÖSTERGÖTLANDS LÄN</t>
        </is>
      </c>
      <c r="E406" t="inlineStr">
        <is>
          <t>LINKÖPING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50667-2025</t>
        </is>
      </c>
      <c r="B407" s="1" t="n">
        <v>45945</v>
      </c>
      <c r="C407" s="1" t="n">
        <v>46101</v>
      </c>
      <c r="D407" t="inlineStr">
        <is>
          <t>ÖSTERGÖTLANDS LÄN</t>
        </is>
      </c>
      <c r="E407" t="inlineStr">
        <is>
          <t>LINKÖPING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24462-2023</t>
        </is>
      </c>
      <c r="B408" s="1" t="n">
        <v>45082</v>
      </c>
      <c r="C408" s="1" t="n">
        <v>46101</v>
      </c>
      <c r="D408" t="inlineStr">
        <is>
          <t>ÖSTERGÖTLANDS LÄN</t>
        </is>
      </c>
      <c r="E408" t="inlineStr">
        <is>
          <t>LINKÖPING</t>
        </is>
      </c>
      <c r="G408" t="n">
        <v>3.5</v>
      </c>
      <c r="H408" t="n">
        <v>0</v>
      </c>
      <c r="I408" t="n">
        <v>0</v>
      </c>
      <c r="J408" t="n">
        <v>0</v>
      </c>
      <c r="K408" t="n">
        <v>0</v>
      </c>
      <c r="L408" t="n">
        <v>0</v>
      </c>
      <c r="M408" t="n">
        <v>0</v>
      </c>
      <c r="N408" t="n">
        <v>0</v>
      </c>
      <c r="O408" t="n">
        <v>0</v>
      </c>
      <c r="P408" t="n">
        <v>0</v>
      </c>
      <c r="Q408" t="n">
        <v>0</v>
      </c>
      <c r="R408" s="2" t="inlineStr"/>
    </row>
    <row r="409" ht="15" customHeight="1">
      <c r="A409" t="inlineStr">
        <is>
          <t>A 48829-2023</t>
        </is>
      </c>
      <c r="B409" s="1" t="n">
        <v>45209.38177083333</v>
      </c>
      <c r="C409" s="1" t="n">
        <v>46101</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38231-2022</t>
        </is>
      </c>
      <c r="B410" s="1" t="n">
        <v>44812</v>
      </c>
      <c r="C410" s="1" t="n">
        <v>46101</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50799-2022</t>
        </is>
      </c>
      <c r="B411" s="1" t="n">
        <v>44862</v>
      </c>
      <c r="C411" s="1" t="n">
        <v>46101</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40431-2024</t>
        </is>
      </c>
      <c r="B412" s="1" t="n">
        <v>45555.47070601852</v>
      </c>
      <c r="C412" s="1" t="n">
        <v>46101</v>
      </c>
      <c r="D412" t="inlineStr">
        <is>
          <t>ÖSTERGÖTLANDS LÄN</t>
        </is>
      </c>
      <c r="E412" t="inlineStr">
        <is>
          <t>LINKÖPING</t>
        </is>
      </c>
      <c r="F412" t="inlineStr">
        <is>
          <t>Allmännings- och besparingsskogar</t>
        </is>
      </c>
      <c r="G412" t="n">
        <v>2.9</v>
      </c>
      <c r="H412" t="n">
        <v>0</v>
      </c>
      <c r="I412" t="n">
        <v>0</v>
      </c>
      <c r="J412" t="n">
        <v>0</v>
      </c>
      <c r="K412" t="n">
        <v>0</v>
      </c>
      <c r="L412" t="n">
        <v>0</v>
      </c>
      <c r="M412" t="n">
        <v>0</v>
      </c>
      <c r="N412" t="n">
        <v>0</v>
      </c>
      <c r="O412" t="n">
        <v>0</v>
      </c>
      <c r="P412" t="n">
        <v>0</v>
      </c>
      <c r="Q412" t="n">
        <v>0</v>
      </c>
      <c r="R412" s="2" t="inlineStr"/>
    </row>
    <row r="413" ht="15" customHeight="1">
      <c r="A413" t="inlineStr">
        <is>
          <t>A 267-2023</t>
        </is>
      </c>
      <c r="B413" s="1" t="n">
        <v>44928.80907407407</v>
      </c>
      <c r="C413" s="1" t="n">
        <v>46101</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26618-2023</t>
        </is>
      </c>
      <c r="B414" s="1" t="n">
        <v>45092.70306712963</v>
      </c>
      <c r="C414" s="1" t="n">
        <v>46101</v>
      </c>
      <c r="D414" t="inlineStr">
        <is>
          <t>ÖSTERGÖTLANDS LÄN</t>
        </is>
      </c>
      <c r="E414" t="inlineStr">
        <is>
          <t>LINKÖPING</t>
        </is>
      </c>
      <c r="G414" t="n">
        <v>6.9</v>
      </c>
      <c r="H414" t="n">
        <v>0</v>
      </c>
      <c r="I414" t="n">
        <v>0</v>
      </c>
      <c r="J414" t="n">
        <v>0</v>
      </c>
      <c r="K414" t="n">
        <v>0</v>
      </c>
      <c r="L414" t="n">
        <v>0</v>
      </c>
      <c r="M414" t="n">
        <v>0</v>
      </c>
      <c r="N414" t="n">
        <v>0</v>
      </c>
      <c r="O414" t="n">
        <v>0</v>
      </c>
      <c r="P414" t="n">
        <v>0</v>
      </c>
      <c r="Q414" t="n">
        <v>0</v>
      </c>
      <c r="R414" s="2" t="inlineStr"/>
    </row>
    <row r="415" ht="15" customHeight="1">
      <c r="A415" t="inlineStr">
        <is>
          <t>A 63665-2023</t>
        </is>
      </c>
      <c r="B415" s="1" t="n">
        <v>45275</v>
      </c>
      <c r="C415" s="1" t="n">
        <v>46101</v>
      </c>
      <c r="D415" t="inlineStr">
        <is>
          <t>ÖSTERGÖTLANDS LÄN</t>
        </is>
      </c>
      <c r="E415" t="inlineStr">
        <is>
          <t>LINKÖPING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51802-2025</t>
        </is>
      </c>
      <c r="B416" s="1" t="n">
        <v>45950</v>
      </c>
      <c r="C416" s="1" t="n">
        <v>46101</v>
      </c>
      <c r="D416" t="inlineStr">
        <is>
          <t>ÖSTERGÖTLANDS LÄN</t>
        </is>
      </c>
      <c r="E416" t="inlineStr">
        <is>
          <t>LINKÖPING</t>
        </is>
      </c>
      <c r="F416" t="inlineStr">
        <is>
          <t>Övriga Aktiebolag</t>
        </is>
      </c>
      <c r="G416" t="n">
        <v>2</v>
      </c>
      <c r="H416" t="n">
        <v>0</v>
      </c>
      <c r="I416" t="n">
        <v>0</v>
      </c>
      <c r="J416" t="n">
        <v>0</v>
      </c>
      <c r="K416" t="n">
        <v>0</v>
      </c>
      <c r="L416" t="n">
        <v>0</v>
      </c>
      <c r="M416" t="n">
        <v>0</v>
      </c>
      <c r="N416" t="n">
        <v>0</v>
      </c>
      <c r="O416" t="n">
        <v>0</v>
      </c>
      <c r="P416" t="n">
        <v>0</v>
      </c>
      <c r="Q416" t="n">
        <v>0</v>
      </c>
      <c r="R416" s="2" t="inlineStr"/>
    </row>
    <row r="417" ht="15" customHeight="1">
      <c r="A417" t="inlineStr">
        <is>
          <t>A 30429-2024</t>
        </is>
      </c>
      <c r="B417" s="1" t="n">
        <v>45491.68972222223</v>
      </c>
      <c r="C417" s="1" t="n">
        <v>46101</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52111-2025</t>
        </is>
      </c>
      <c r="B418" s="1" t="n">
        <v>45952.69527777778</v>
      </c>
      <c r="C418" s="1" t="n">
        <v>46101</v>
      </c>
      <c r="D418" t="inlineStr">
        <is>
          <t>ÖSTERGÖTLANDS LÄN</t>
        </is>
      </c>
      <c r="E418" t="inlineStr">
        <is>
          <t>LINKÖPING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30435-2024</t>
        </is>
      </c>
      <c r="B419" s="1" t="n">
        <v>45491.69962962963</v>
      </c>
      <c r="C419" s="1" t="n">
        <v>46101</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53816-2023</t>
        </is>
      </c>
      <c r="B420" s="1" t="n">
        <v>45231.40012731482</v>
      </c>
      <c r="C420" s="1" t="n">
        <v>46101</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36557-2023</t>
        </is>
      </c>
      <c r="B421" s="1" t="n">
        <v>45153</v>
      </c>
      <c r="C421" s="1" t="n">
        <v>46101</v>
      </c>
      <c r="D421" t="inlineStr">
        <is>
          <t>ÖSTERGÖTLANDS LÄN</t>
        </is>
      </c>
      <c r="E421" t="inlineStr">
        <is>
          <t>LINKÖPING</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6599-2023</t>
        </is>
      </c>
      <c r="B422" s="1" t="n">
        <v>44966.52603009259</v>
      </c>
      <c r="C422" s="1" t="n">
        <v>46101</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43473-2024</t>
        </is>
      </c>
      <c r="B423" s="1" t="n">
        <v>45568</v>
      </c>
      <c r="C423" s="1" t="n">
        <v>46101</v>
      </c>
      <c r="D423" t="inlineStr">
        <is>
          <t>ÖSTERGÖTLANDS LÄN</t>
        </is>
      </c>
      <c r="E423" t="inlineStr">
        <is>
          <t>LINKÖPING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52800-2025</t>
        </is>
      </c>
      <c r="B424" s="1" t="n">
        <v>45957.44152777778</v>
      </c>
      <c r="C424" s="1" t="n">
        <v>46101</v>
      </c>
      <c r="D424" t="inlineStr">
        <is>
          <t>ÖSTERGÖTLANDS LÄN</t>
        </is>
      </c>
      <c r="E424" t="inlineStr">
        <is>
          <t>LINKÖPING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52802-2025</t>
        </is>
      </c>
      <c r="B425" s="1" t="n">
        <v>45957.44295138889</v>
      </c>
      <c r="C425" s="1" t="n">
        <v>46101</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52740-2025</t>
        </is>
      </c>
      <c r="B426" s="1" t="n">
        <v>45957.37747685185</v>
      </c>
      <c r="C426" s="1" t="n">
        <v>46101</v>
      </c>
      <c r="D426" t="inlineStr">
        <is>
          <t>ÖSTERGÖTLANDS LÄN</t>
        </is>
      </c>
      <c r="E426" t="inlineStr">
        <is>
          <t>LINKÖPING</t>
        </is>
      </c>
      <c r="G426" t="n">
        <v>3.7</v>
      </c>
      <c r="H426" t="n">
        <v>0</v>
      </c>
      <c r="I426" t="n">
        <v>0</v>
      </c>
      <c r="J426" t="n">
        <v>0</v>
      </c>
      <c r="K426" t="n">
        <v>0</v>
      </c>
      <c r="L426" t="n">
        <v>0</v>
      </c>
      <c r="M426" t="n">
        <v>0</v>
      </c>
      <c r="N426" t="n">
        <v>0</v>
      </c>
      <c r="O426" t="n">
        <v>0</v>
      </c>
      <c r="P426" t="n">
        <v>0</v>
      </c>
      <c r="Q426" t="n">
        <v>0</v>
      </c>
      <c r="R426" s="2" t="inlineStr"/>
    </row>
    <row r="427" ht="15" customHeight="1">
      <c r="A427" t="inlineStr">
        <is>
          <t>A 52743-2025</t>
        </is>
      </c>
      <c r="B427" s="1" t="n">
        <v>45957.38039351852</v>
      </c>
      <c r="C427" s="1" t="n">
        <v>46101</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52807-2025</t>
        </is>
      </c>
      <c r="B428" s="1" t="n">
        <v>45957.44837962963</v>
      </c>
      <c r="C428" s="1" t="n">
        <v>46101</v>
      </c>
      <c r="D428" t="inlineStr">
        <is>
          <t>ÖSTERGÖTLANDS LÄN</t>
        </is>
      </c>
      <c r="E428" t="inlineStr">
        <is>
          <t>LINKÖPING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61532-2021</t>
        </is>
      </c>
      <c r="B429" s="1" t="n">
        <v>44501</v>
      </c>
      <c r="C429" s="1" t="n">
        <v>46101</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3374-2023</t>
        </is>
      </c>
      <c r="B430" s="1" t="n">
        <v>44949</v>
      </c>
      <c r="C430" s="1" t="n">
        <v>46101</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224-2024</t>
        </is>
      </c>
      <c r="B431" s="1" t="n">
        <v>45294</v>
      </c>
      <c r="C431" s="1" t="n">
        <v>46101</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6726-2024</t>
        </is>
      </c>
      <c r="B432" s="1" t="n">
        <v>45341</v>
      </c>
      <c r="C432" s="1" t="n">
        <v>46101</v>
      </c>
      <c r="D432" t="inlineStr">
        <is>
          <t>ÖSTERGÖTLANDS LÄN</t>
        </is>
      </c>
      <c r="E432" t="inlineStr">
        <is>
          <t>LINKÖPING</t>
        </is>
      </c>
      <c r="G432" t="n">
        <v>2.7</v>
      </c>
      <c r="H432" t="n">
        <v>0</v>
      </c>
      <c r="I432" t="n">
        <v>0</v>
      </c>
      <c r="J432" t="n">
        <v>0</v>
      </c>
      <c r="K432" t="n">
        <v>0</v>
      </c>
      <c r="L432" t="n">
        <v>0</v>
      </c>
      <c r="M432" t="n">
        <v>0</v>
      </c>
      <c r="N432" t="n">
        <v>0</v>
      </c>
      <c r="O432" t="n">
        <v>0</v>
      </c>
      <c r="P432" t="n">
        <v>0</v>
      </c>
      <c r="Q432" t="n">
        <v>0</v>
      </c>
      <c r="R432" s="2" t="inlineStr"/>
    </row>
    <row r="433" ht="15" customHeight="1">
      <c r="A433" t="inlineStr">
        <is>
          <t>A 53814-2023</t>
        </is>
      </c>
      <c r="B433" s="1" t="n">
        <v>45231</v>
      </c>
      <c r="C433" s="1" t="n">
        <v>46101</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54333-2025</t>
        </is>
      </c>
      <c r="B434" s="1" t="n">
        <v>45965.35090277778</v>
      </c>
      <c r="C434" s="1" t="n">
        <v>46101</v>
      </c>
      <c r="D434" t="inlineStr">
        <is>
          <t>ÖSTERGÖTLANDS LÄN</t>
        </is>
      </c>
      <c r="E434" t="inlineStr">
        <is>
          <t>LINKÖPING</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60004-2022</t>
        </is>
      </c>
      <c r="B435" s="1" t="n">
        <v>44909.47206018519</v>
      </c>
      <c r="C435" s="1" t="n">
        <v>46101</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52796-2023</t>
        </is>
      </c>
      <c r="B436" s="1" t="n">
        <v>45219</v>
      </c>
      <c r="C436" s="1" t="n">
        <v>46101</v>
      </c>
      <c r="D436" t="inlineStr">
        <is>
          <t>ÖSTERGÖTLANDS LÄN</t>
        </is>
      </c>
      <c r="E436" t="inlineStr">
        <is>
          <t>LINKÖPING</t>
        </is>
      </c>
      <c r="F436" t="inlineStr">
        <is>
          <t>Övriga statliga verk och myndigheter</t>
        </is>
      </c>
      <c r="G436" t="n">
        <v>3.9</v>
      </c>
      <c r="H436" t="n">
        <v>0</v>
      </c>
      <c r="I436" t="n">
        <v>0</v>
      </c>
      <c r="J436" t="n">
        <v>0</v>
      </c>
      <c r="K436" t="n">
        <v>0</v>
      </c>
      <c r="L436" t="n">
        <v>0</v>
      </c>
      <c r="M436" t="n">
        <v>0</v>
      </c>
      <c r="N436" t="n">
        <v>0</v>
      </c>
      <c r="O436" t="n">
        <v>0</v>
      </c>
      <c r="P436" t="n">
        <v>0</v>
      </c>
      <c r="Q436" t="n">
        <v>0</v>
      </c>
      <c r="R436" s="2" t="inlineStr"/>
    </row>
    <row r="437" ht="15" customHeight="1">
      <c r="A437" t="inlineStr">
        <is>
          <t>A 50743-2023</t>
        </is>
      </c>
      <c r="B437" s="1" t="n">
        <v>45217</v>
      </c>
      <c r="C437" s="1" t="n">
        <v>46101</v>
      </c>
      <c r="D437" t="inlineStr">
        <is>
          <t>ÖSTERGÖTLANDS LÄN</t>
        </is>
      </c>
      <c r="E437" t="inlineStr">
        <is>
          <t>LINKÖPING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54332-2025</t>
        </is>
      </c>
      <c r="B438" s="1" t="n">
        <v>45965.34915509259</v>
      </c>
      <c r="C438" s="1" t="n">
        <v>46101</v>
      </c>
      <c r="D438" t="inlineStr">
        <is>
          <t>ÖSTERGÖTLANDS LÄN</t>
        </is>
      </c>
      <c r="E438" t="inlineStr">
        <is>
          <t>LINKÖPING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45771-2023</t>
        </is>
      </c>
      <c r="B439" s="1" t="n">
        <v>45195.4384375</v>
      </c>
      <c r="C439" s="1" t="n">
        <v>46101</v>
      </c>
      <c r="D439" t="inlineStr">
        <is>
          <t>ÖSTERGÖTLANDS LÄN</t>
        </is>
      </c>
      <c r="E439" t="inlineStr">
        <is>
          <t>LINKÖPING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54329-2025</t>
        </is>
      </c>
      <c r="B440" s="1" t="n">
        <v>45965.34706018519</v>
      </c>
      <c r="C440" s="1" t="n">
        <v>46101</v>
      </c>
      <c r="D440" t="inlineStr">
        <is>
          <t>ÖSTERGÖTLANDS LÄN</t>
        </is>
      </c>
      <c r="E440" t="inlineStr">
        <is>
          <t>LINKÖPING</t>
        </is>
      </c>
      <c r="F440" t="inlineStr">
        <is>
          <t>Sveaskog</t>
        </is>
      </c>
      <c r="G440" t="n">
        <v>5.1</v>
      </c>
      <c r="H440" t="n">
        <v>0</v>
      </c>
      <c r="I440" t="n">
        <v>0</v>
      </c>
      <c r="J440" t="n">
        <v>0</v>
      </c>
      <c r="K440" t="n">
        <v>0</v>
      </c>
      <c r="L440" t="n">
        <v>0</v>
      </c>
      <c r="M440" t="n">
        <v>0</v>
      </c>
      <c r="N440" t="n">
        <v>0</v>
      </c>
      <c r="O440" t="n">
        <v>0</v>
      </c>
      <c r="P440" t="n">
        <v>0</v>
      </c>
      <c r="Q440" t="n">
        <v>0</v>
      </c>
      <c r="R440" s="2" t="inlineStr"/>
    </row>
    <row r="441" ht="15" customHeight="1">
      <c r="A441" t="inlineStr">
        <is>
          <t>A 63554-2023</t>
        </is>
      </c>
      <c r="B441" s="1" t="n">
        <v>45275</v>
      </c>
      <c r="C441" s="1" t="n">
        <v>46101</v>
      </c>
      <c r="D441" t="inlineStr">
        <is>
          <t>ÖSTERGÖTLANDS LÄN</t>
        </is>
      </c>
      <c r="E441" t="inlineStr">
        <is>
          <t>LINKÖPING</t>
        </is>
      </c>
      <c r="G441" t="n">
        <v>4.3</v>
      </c>
      <c r="H441" t="n">
        <v>0</v>
      </c>
      <c r="I441" t="n">
        <v>0</v>
      </c>
      <c r="J441" t="n">
        <v>0</v>
      </c>
      <c r="K441" t="n">
        <v>0</v>
      </c>
      <c r="L441" t="n">
        <v>0</v>
      </c>
      <c r="M441" t="n">
        <v>0</v>
      </c>
      <c r="N441" t="n">
        <v>0</v>
      </c>
      <c r="O441" t="n">
        <v>0</v>
      </c>
      <c r="P441" t="n">
        <v>0</v>
      </c>
      <c r="Q441" t="n">
        <v>0</v>
      </c>
      <c r="R441" s="2" t="inlineStr"/>
    </row>
    <row r="442" ht="15" customHeight="1">
      <c r="A442" t="inlineStr">
        <is>
          <t>A 30111-2024</t>
        </is>
      </c>
      <c r="B442" s="1" t="n">
        <v>45489.46947916667</v>
      </c>
      <c r="C442" s="1" t="n">
        <v>46101</v>
      </c>
      <c r="D442" t="inlineStr">
        <is>
          <t>ÖSTERGÖTLANDS LÄN</t>
        </is>
      </c>
      <c r="E442" t="inlineStr">
        <is>
          <t>LINKÖPING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30119-2024</t>
        </is>
      </c>
      <c r="B443" s="1" t="n">
        <v>45489</v>
      </c>
      <c r="C443" s="1" t="n">
        <v>46101</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6206-2024</t>
        </is>
      </c>
      <c r="B444" s="1" t="n">
        <v>45337.5977662037</v>
      </c>
      <c r="C444" s="1" t="n">
        <v>46101</v>
      </c>
      <c r="D444" t="inlineStr">
        <is>
          <t>ÖSTERGÖTLANDS LÄN</t>
        </is>
      </c>
      <c r="E444" t="inlineStr">
        <is>
          <t>LINKÖPING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55109-2025</t>
        </is>
      </c>
      <c r="B445" s="1" t="n">
        <v>45968.37731481482</v>
      </c>
      <c r="C445" s="1" t="n">
        <v>46101</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55165-2025</t>
        </is>
      </c>
      <c r="B446" s="1" t="n">
        <v>45968.48194444444</v>
      </c>
      <c r="C446" s="1" t="n">
        <v>46101</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55102-2025</t>
        </is>
      </c>
      <c r="B447" s="1" t="n">
        <v>45968.35410879629</v>
      </c>
      <c r="C447" s="1" t="n">
        <v>46101</v>
      </c>
      <c r="D447" t="inlineStr">
        <is>
          <t>ÖSTERGÖTLANDS LÄN</t>
        </is>
      </c>
      <c r="E447" t="inlineStr">
        <is>
          <t>LINKÖPING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55132-2025</t>
        </is>
      </c>
      <c r="B448" s="1" t="n">
        <v>45968.41912037037</v>
      </c>
      <c r="C448" s="1" t="n">
        <v>46101</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15714-2024</t>
        </is>
      </c>
      <c r="B449" s="1" t="n">
        <v>45404.48288194444</v>
      </c>
      <c r="C449" s="1" t="n">
        <v>46101</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30481-2023</t>
        </is>
      </c>
      <c r="B450" s="1" t="n">
        <v>45111</v>
      </c>
      <c r="C450" s="1" t="n">
        <v>46101</v>
      </c>
      <c r="D450" t="inlineStr">
        <is>
          <t>ÖSTERGÖTLANDS LÄN</t>
        </is>
      </c>
      <c r="E450" t="inlineStr">
        <is>
          <t>LINKÖPING</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74160-2021</t>
        </is>
      </c>
      <c r="B451" s="1" t="n">
        <v>44558</v>
      </c>
      <c r="C451" s="1" t="n">
        <v>46101</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63559-2023</t>
        </is>
      </c>
      <c r="B452" s="1" t="n">
        <v>45275.35924768518</v>
      </c>
      <c r="C452" s="1" t="n">
        <v>46101</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23491-2024</t>
        </is>
      </c>
      <c r="B453" s="1" t="n">
        <v>45453</v>
      </c>
      <c r="C453" s="1" t="n">
        <v>46101</v>
      </c>
      <c r="D453" t="inlineStr">
        <is>
          <t>ÖSTERGÖTLANDS LÄN</t>
        </is>
      </c>
      <c r="E453" t="inlineStr">
        <is>
          <t>LINKÖPING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56105-2025</t>
        </is>
      </c>
      <c r="B454" s="1" t="n">
        <v>45973.72855324074</v>
      </c>
      <c r="C454" s="1" t="n">
        <v>46101</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29309-2024</t>
        </is>
      </c>
      <c r="B455" s="1" t="n">
        <v>45483</v>
      </c>
      <c r="C455" s="1" t="n">
        <v>46101</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29411-2023</t>
        </is>
      </c>
      <c r="B456" s="1" t="n">
        <v>45106.46225694445</v>
      </c>
      <c r="C456" s="1" t="n">
        <v>46101</v>
      </c>
      <c r="D456" t="inlineStr">
        <is>
          <t>ÖSTERGÖTLANDS LÄN</t>
        </is>
      </c>
      <c r="E456" t="inlineStr">
        <is>
          <t>LINKÖPING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29412-2023</t>
        </is>
      </c>
      <c r="B457" s="1" t="n">
        <v>45106.46359953703</v>
      </c>
      <c r="C457" s="1" t="n">
        <v>46101</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29413-2023</t>
        </is>
      </c>
      <c r="B458" s="1" t="n">
        <v>45106.46465277778</v>
      </c>
      <c r="C458" s="1" t="n">
        <v>46101</v>
      </c>
      <c r="D458" t="inlineStr">
        <is>
          <t>ÖSTERGÖTLANDS LÄN</t>
        </is>
      </c>
      <c r="E458" t="inlineStr">
        <is>
          <t>LINKÖPING</t>
        </is>
      </c>
      <c r="G458" t="n">
        <v>8</v>
      </c>
      <c r="H458" t="n">
        <v>0</v>
      </c>
      <c r="I458" t="n">
        <v>0</v>
      </c>
      <c r="J458" t="n">
        <v>0</v>
      </c>
      <c r="K458" t="n">
        <v>0</v>
      </c>
      <c r="L458" t="n">
        <v>0</v>
      </c>
      <c r="M458" t="n">
        <v>0</v>
      </c>
      <c r="N458" t="n">
        <v>0</v>
      </c>
      <c r="O458" t="n">
        <v>0</v>
      </c>
      <c r="P458" t="n">
        <v>0</v>
      </c>
      <c r="Q458" t="n">
        <v>0</v>
      </c>
      <c r="R458" s="2" t="inlineStr"/>
    </row>
    <row r="459" ht="15" customHeight="1">
      <c r="A459" t="inlineStr">
        <is>
          <t>A 56403-2025</t>
        </is>
      </c>
      <c r="B459" s="1" t="n">
        <v>45974</v>
      </c>
      <c r="C459" s="1" t="n">
        <v>46101</v>
      </c>
      <c r="D459" t="inlineStr">
        <is>
          <t>ÖSTERGÖTLANDS LÄN</t>
        </is>
      </c>
      <c r="E459" t="inlineStr">
        <is>
          <t>LINKÖPING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56113-2025</t>
        </is>
      </c>
      <c r="B460" s="1" t="n">
        <v>45973.73924768518</v>
      </c>
      <c r="C460" s="1" t="n">
        <v>46101</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24151-2024</t>
        </is>
      </c>
      <c r="B461" s="1" t="n">
        <v>45456.67717592593</v>
      </c>
      <c r="C461" s="1" t="n">
        <v>46101</v>
      </c>
      <c r="D461" t="inlineStr">
        <is>
          <t>ÖSTERGÖTLANDS LÄN</t>
        </is>
      </c>
      <c r="E461" t="inlineStr">
        <is>
          <t>LINKÖPING</t>
        </is>
      </c>
      <c r="G461" t="n">
        <v>2.1</v>
      </c>
      <c r="H461" t="n">
        <v>0</v>
      </c>
      <c r="I461" t="n">
        <v>0</v>
      </c>
      <c r="J461" t="n">
        <v>0</v>
      </c>
      <c r="K461" t="n">
        <v>0</v>
      </c>
      <c r="L461" t="n">
        <v>0</v>
      </c>
      <c r="M461" t="n">
        <v>0</v>
      </c>
      <c r="N461" t="n">
        <v>0</v>
      </c>
      <c r="O461" t="n">
        <v>0</v>
      </c>
      <c r="P461" t="n">
        <v>0</v>
      </c>
      <c r="Q461" t="n">
        <v>0</v>
      </c>
      <c r="R461" s="2" t="inlineStr"/>
    </row>
    <row r="462" ht="15" customHeight="1">
      <c r="A462" t="inlineStr">
        <is>
          <t>A 56704-2025</t>
        </is>
      </c>
      <c r="B462" s="1" t="n">
        <v>45977.50608796296</v>
      </c>
      <c r="C462" s="1" t="n">
        <v>46101</v>
      </c>
      <c r="D462" t="inlineStr">
        <is>
          <t>ÖSTERGÖTLANDS LÄN</t>
        </is>
      </c>
      <c r="E462" t="inlineStr">
        <is>
          <t>LINKÖPING</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63845-2021</t>
        </is>
      </c>
      <c r="B463" s="1" t="n">
        <v>44509</v>
      </c>
      <c r="C463" s="1" t="n">
        <v>46101</v>
      </c>
      <c r="D463" t="inlineStr">
        <is>
          <t>ÖSTERGÖTLANDS LÄN</t>
        </is>
      </c>
      <c r="E463" t="inlineStr">
        <is>
          <t>LINKÖPING</t>
        </is>
      </c>
      <c r="G463" t="n">
        <v>5</v>
      </c>
      <c r="H463" t="n">
        <v>0</v>
      </c>
      <c r="I463" t="n">
        <v>0</v>
      </c>
      <c r="J463" t="n">
        <v>0</v>
      </c>
      <c r="K463" t="n">
        <v>0</v>
      </c>
      <c r="L463" t="n">
        <v>0</v>
      </c>
      <c r="M463" t="n">
        <v>0</v>
      </c>
      <c r="N463" t="n">
        <v>0</v>
      </c>
      <c r="O463" t="n">
        <v>0</v>
      </c>
      <c r="P463" t="n">
        <v>0</v>
      </c>
      <c r="Q463" t="n">
        <v>0</v>
      </c>
      <c r="R463" s="2" t="inlineStr"/>
    </row>
    <row r="464" ht="15" customHeight="1">
      <c r="A464" t="inlineStr">
        <is>
          <t>A 17785-2023</t>
        </is>
      </c>
      <c r="B464" s="1" t="n">
        <v>45037.55094907407</v>
      </c>
      <c r="C464" s="1" t="n">
        <v>46101</v>
      </c>
      <c r="D464" t="inlineStr">
        <is>
          <t>ÖSTERGÖTLANDS LÄN</t>
        </is>
      </c>
      <c r="E464" t="inlineStr">
        <is>
          <t>LINKÖPING</t>
        </is>
      </c>
      <c r="F464" t="inlineStr">
        <is>
          <t>Allmännings- och besparingsskogar</t>
        </is>
      </c>
      <c r="G464" t="n">
        <v>3.1</v>
      </c>
      <c r="H464" t="n">
        <v>0</v>
      </c>
      <c r="I464" t="n">
        <v>0</v>
      </c>
      <c r="J464" t="n">
        <v>0</v>
      </c>
      <c r="K464" t="n">
        <v>0</v>
      </c>
      <c r="L464" t="n">
        <v>0</v>
      </c>
      <c r="M464" t="n">
        <v>0</v>
      </c>
      <c r="N464" t="n">
        <v>0</v>
      </c>
      <c r="O464" t="n">
        <v>0</v>
      </c>
      <c r="P464" t="n">
        <v>0</v>
      </c>
      <c r="Q464" t="n">
        <v>0</v>
      </c>
      <c r="R464" s="2" t="inlineStr"/>
    </row>
    <row r="465" ht="15" customHeight="1">
      <c r="A465" t="inlineStr">
        <is>
          <t>A 32346-2023</t>
        </is>
      </c>
      <c r="B465" s="1" t="n">
        <v>45120</v>
      </c>
      <c r="C465" s="1" t="n">
        <v>46101</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1627-2023</t>
        </is>
      </c>
      <c r="B466" s="1" t="n">
        <v>44937</v>
      </c>
      <c r="C466" s="1" t="n">
        <v>46101</v>
      </c>
      <c r="D466" t="inlineStr">
        <is>
          <t>ÖSTERGÖTLANDS LÄN</t>
        </is>
      </c>
      <c r="E466" t="inlineStr">
        <is>
          <t>LINKÖPING</t>
        </is>
      </c>
      <c r="G466" t="n">
        <v>10.8</v>
      </c>
      <c r="H466" t="n">
        <v>0</v>
      </c>
      <c r="I466" t="n">
        <v>0</v>
      </c>
      <c r="J466" t="n">
        <v>0</v>
      </c>
      <c r="K466" t="n">
        <v>0</v>
      </c>
      <c r="L466" t="n">
        <v>0</v>
      </c>
      <c r="M466" t="n">
        <v>0</v>
      </c>
      <c r="N466" t="n">
        <v>0</v>
      </c>
      <c r="O466" t="n">
        <v>0</v>
      </c>
      <c r="P466" t="n">
        <v>0</v>
      </c>
      <c r="Q466" t="n">
        <v>0</v>
      </c>
      <c r="R466" s="2" t="inlineStr"/>
    </row>
    <row r="467" ht="15" customHeight="1">
      <c r="A467" t="inlineStr">
        <is>
          <t>A 16665-2023</t>
        </is>
      </c>
      <c r="B467" s="1" t="n">
        <v>45030.5583912037</v>
      </c>
      <c r="C467" s="1" t="n">
        <v>46101</v>
      </c>
      <c r="D467" t="inlineStr">
        <is>
          <t>ÖSTERGÖTLANDS LÄN</t>
        </is>
      </c>
      <c r="E467" t="inlineStr">
        <is>
          <t>LINKÖPING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60860-2024</t>
        </is>
      </c>
      <c r="B468" s="1" t="n">
        <v>45644.6893287037</v>
      </c>
      <c r="C468" s="1" t="n">
        <v>46101</v>
      </c>
      <c r="D468" t="inlineStr">
        <is>
          <t>ÖSTERGÖTLANDS LÄN</t>
        </is>
      </c>
      <c r="E468" t="inlineStr">
        <is>
          <t>LINKÖPING</t>
        </is>
      </c>
      <c r="G468" t="n">
        <v>1.3</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46101</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16213-2025</t>
        </is>
      </c>
      <c r="B470" s="1" t="n">
        <v>45750.62740740741</v>
      </c>
      <c r="C470" s="1" t="n">
        <v>46101</v>
      </c>
      <c r="D470" t="inlineStr">
        <is>
          <t>ÖSTERGÖTLANDS LÄN</t>
        </is>
      </c>
      <c r="E470" t="inlineStr">
        <is>
          <t>LINKÖPING</t>
        </is>
      </c>
      <c r="G470" t="n">
        <v>3.4</v>
      </c>
      <c r="H470" t="n">
        <v>0</v>
      </c>
      <c r="I470" t="n">
        <v>0</v>
      </c>
      <c r="J470" t="n">
        <v>0</v>
      </c>
      <c r="K470" t="n">
        <v>0</v>
      </c>
      <c r="L470" t="n">
        <v>0</v>
      </c>
      <c r="M470" t="n">
        <v>0</v>
      </c>
      <c r="N470" t="n">
        <v>0</v>
      </c>
      <c r="O470" t="n">
        <v>0</v>
      </c>
      <c r="P470" t="n">
        <v>0</v>
      </c>
      <c r="Q470" t="n">
        <v>0</v>
      </c>
      <c r="R470" s="2" t="inlineStr"/>
    </row>
    <row r="471" ht="15" customHeight="1">
      <c r="A471" t="inlineStr">
        <is>
          <t>A 34872-2023</t>
        </is>
      </c>
      <c r="B471" s="1" t="n">
        <v>45140</v>
      </c>
      <c r="C471" s="1" t="n">
        <v>46101</v>
      </c>
      <c r="D471" t="inlineStr">
        <is>
          <t>ÖSTERGÖTLANDS LÄN</t>
        </is>
      </c>
      <c r="E471" t="inlineStr">
        <is>
          <t>LINKÖPING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33000-2023</t>
        </is>
      </c>
      <c r="B472" s="1" t="n">
        <v>45125</v>
      </c>
      <c r="C472" s="1" t="n">
        <v>46101</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2997-2025</t>
        </is>
      </c>
      <c r="B473" s="1" t="n">
        <v>45678.54631944445</v>
      </c>
      <c r="C473" s="1" t="n">
        <v>46101</v>
      </c>
      <c r="D473" t="inlineStr">
        <is>
          <t>ÖSTERGÖTLANDS LÄN</t>
        </is>
      </c>
      <c r="E473" t="inlineStr">
        <is>
          <t>LINKÖPING</t>
        </is>
      </c>
      <c r="G473" t="n">
        <v>2.7</v>
      </c>
      <c r="H473" t="n">
        <v>0</v>
      </c>
      <c r="I473" t="n">
        <v>0</v>
      </c>
      <c r="J473" t="n">
        <v>0</v>
      </c>
      <c r="K473" t="n">
        <v>0</v>
      </c>
      <c r="L473" t="n">
        <v>0</v>
      </c>
      <c r="M473" t="n">
        <v>0</v>
      </c>
      <c r="N473" t="n">
        <v>0</v>
      </c>
      <c r="O473" t="n">
        <v>0</v>
      </c>
      <c r="P473" t="n">
        <v>0</v>
      </c>
      <c r="Q473" t="n">
        <v>0</v>
      </c>
      <c r="R473" s="2" t="inlineStr"/>
    </row>
    <row r="474" ht="15" customHeight="1">
      <c r="A474" t="inlineStr">
        <is>
          <t>A 31534-2023</t>
        </is>
      </c>
      <c r="B474" s="1" t="n">
        <v>45116</v>
      </c>
      <c r="C474" s="1" t="n">
        <v>46101</v>
      </c>
      <c r="D474" t="inlineStr">
        <is>
          <t>ÖSTERGÖTLANDS LÄN</t>
        </is>
      </c>
      <c r="E474" t="inlineStr">
        <is>
          <t>LINKÖPING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55004-2025</t>
        </is>
      </c>
      <c r="B475" s="1" t="n">
        <v>45967</v>
      </c>
      <c r="C475" s="1" t="n">
        <v>46101</v>
      </c>
      <c r="D475" t="inlineStr">
        <is>
          <t>ÖSTERGÖTLANDS LÄN</t>
        </is>
      </c>
      <c r="E475" t="inlineStr">
        <is>
          <t>LINKÖPING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26803-2024</t>
        </is>
      </c>
      <c r="B476" s="1" t="n">
        <v>45470</v>
      </c>
      <c r="C476" s="1" t="n">
        <v>46101</v>
      </c>
      <c r="D476" t="inlineStr">
        <is>
          <t>ÖSTERGÖTLANDS LÄN</t>
        </is>
      </c>
      <c r="E476" t="inlineStr">
        <is>
          <t>LINKÖPING</t>
        </is>
      </c>
      <c r="F476" t="inlineStr">
        <is>
          <t>Allmännings- och besparingsskogar</t>
        </is>
      </c>
      <c r="G476" t="n">
        <v>4.5</v>
      </c>
      <c r="H476" t="n">
        <v>0</v>
      </c>
      <c r="I476" t="n">
        <v>0</v>
      </c>
      <c r="J476" t="n">
        <v>0</v>
      </c>
      <c r="K476" t="n">
        <v>0</v>
      </c>
      <c r="L476" t="n">
        <v>0</v>
      </c>
      <c r="M476" t="n">
        <v>0</v>
      </c>
      <c r="N476" t="n">
        <v>0</v>
      </c>
      <c r="O476" t="n">
        <v>0</v>
      </c>
      <c r="P476" t="n">
        <v>0</v>
      </c>
      <c r="Q476" t="n">
        <v>0</v>
      </c>
      <c r="R476" s="2" t="inlineStr"/>
    </row>
    <row r="477" ht="15" customHeight="1">
      <c r="A477" t="inlineStr">
        <is>
          <t>A 45806-2024</t>
        </is>
      </c>
      <c r="B477" s="1" t="n">
        <v>45579.69619212963</v>
      </c>
      <c r="C477" s="1" t="n">
        <v>46101</v>
      </c>
      <c r="D477" t="inlineStr">
        <is>
          <t>ÖSTERGÖTLANDS LÄN</t>
        </is>
      </c>
      <c r="E477" t="inlineStr">
        <is>
          <t>LINKÖPING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59205-2025</t>
        </is>
      </c>
      <c r="B478" s="1" t="n">
        <v>45988.60721064815</v>
      </c>
      <c r="C478" s="1" t="n">
        <v>46101</v>
      </c>
      <c r="D478" t="inlineStr">
        <is>
          <t>ÖSTERGÖTLANDS LÄN</t>
        </is>
      </c>
      <c r="E478" t="inlineStr">
        <is>
          <t>LINKÖPING</t>
        </is>
      </c>
      <c r="F478" t="inlineStr">
        <is>
          <t>Sveaskog</t>
        </is>
      </c>
      <c r="G478" t="n">
        <v>11.3</v>
      </c>
      <c r="H478" t="n">
        <v>0</v>
      </c>
      <c r="I478" t="n">
        <v>0</v>
      </c>
      <c r="J478" t="n">
        <v>0</v>
      </c>
      <c r="K478" t="n">
        <v>0</v>
      </c>
      <c r="L478" t="n">
        <v>0</v>
      </c>
      <c r="M478" t="n">
        <v>0</v>
      </c>
      <c r="N478" t="n">
        <v>0</v>
      </c>
      <c r="O478" t="n">
        <v>0</v>
      </c>
      <c r="P478" t="n">
        <v>0</v>
      </c>
      <c r="Q478" t="n">
        <v>0</v>
      </c>
      <c r="R478" s="2" t="inlineStr"/>
    </row>
    <row r="479" ht="15" customHeight="1">
      <c r="A479" t="inlineStr">
        <is>
          <t>A 37154-2023</t>
        </is>
      </c>
      <c r="B479" s="1" t="n">
        <v>45155</v>
      </c>
      <c r="C479" s="1" t="n">
        <v>46101</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58802-2025</t>
        </is>
      </c>
      <c r="B480" s="1" t="n">
        <v>45986.8768287037</v>
      </c>
      <c r="C480" s="1" t="n">
        <v>46101</v>
      </c>
      <c r="D480" t="inlineStr">
        <is>
          <t>ÖSTERGÖTLANDS LÄN</t>
        </is>
      </c>
      <c r="E480" t="inlineStr">
        <is>
          <t>LINKÖPING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44993.24648148148</v>
      </c>
      <c r="C481" s="1" t="n">
        <v>46101</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46101</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32602-2022</t>
        </is>
      </c>
      <c r="B483" s="1" t="n">
        <v>44783.43192129629</v>
      </c>
      <c r="C483" s="1" t="n">
        <v>46101</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59472-2025</t>
        </is>
      </c>
      <c r="B484" s="1" t="n">
        <v>45989.58321759259</v>
      </c>
      <c r="C484" s="1" t="n">
        <v>46101</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13413-2023</t>
        </is>
      </c>
      <c r="B485" s="1" t="n">
        <v>45005.58341435185</v>
      </c>
      <c r="C485" s="1" t="n">
        <v>46101</v>
      </c>
      <c r="D485" t="inlineStr">
        <is>
          <t>ÖSTERGÖTLANDS LÄN</t>
        </is>
      </c>
      <c r="E485" t="inlineStr">
        <is>
          <t>LINKÖPING</t>
        </is>
      </c>
      <c r="G485" t="n">
        <v>2.4</v>
      </c>
      <c r="H485" t="n">
        <v>0</v>
      </c>
      <c r="I485" t="n">
        <v>0</v>
      </c>
      <c r="J485" t="n">
        <v>0</v>
      </c>
      <c r="K485" t="n">
        <v>0</v>
      </c>
      <c r="L485" t="n">
        <v>0</v>
      </c>
      <c r="M485" t="n">
        <v>0</v>
      </c>
      <c r="N485" t="n">
        <v>0</v>
      </c>
      <c r="O485" t="n">
        <v>0</v>
      </c>
      <c r="P485" t="n">
        <v>0</v>
      </c>
      <c r="Q485" t="n">
        <v>0</v>
      </c>
      <c r="R485" s="2" t="inlineStr"/>
    </row>
    <row r="486" ht="15" customHeight="1">
      <c r="A486" t="inlineStr">
        <is>
          <t>A 60087-2025</t>
        </is>
      </c>
      <c r="B486" s="1" t="n">
        <v>45993.71726851852</v>
      </c>
      <c r="C486" s="1" t="n">
        <v>46101</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63528-2023</t>
        </is>
      </c>
      <c r="B487" s="1" t="n">
        <v>45274.94810185185</v>
      </c>
      <c r="C487" s="1" t="n">
        <v>46101</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63638-2023</t>
        </is>
      </c>
      <c r="B488" s="1" t="n">
        <v>45275</v>
      </c>
      <c r="C488" s="1" t="n">
        <v>46101</v>
      </c>
      <c r="D488" t="inlineStr">
        <is>
          <t>ÖSTERGÖTLANDS LÄN</t>
        </is>
      </c>
      <c r="E488" t="inlineStr">
        <is>
          <t>LINKÖPING</t>
        </is>
      </c>
      <c r="F488" t="inlineStr">
        <is>
          <t>Övriga Aktiebolag</t>
        </is>
      </c>
      <c r="G488" t="n">
        <v>2.4</v>
      </c>
      <c r="H488" t="n">
        <v>0</v>
      </c>
      <c r="I488" t="n">
        <v>0</v>
      </c>
      <c r="J488" t="n">
        <v>0</v>
      </c>
      <c r="K488" t="n">
        <v>0</v>
      </c>
      <c r="L488" t="n">
        <v>0</v>
      </c>
      <c r="M488" t="n">
        <v>0</v>
      </c>
      <c r="N488" t="n">
        <v>0</v>
      </c>
      <c r="O488" t="n">
        <v>0</v>
      </c>
      <c r="P488" t="n">
        <v>0</v>
      </c>
      <c r="Q488" t="n">
        <v>0</v>
      </c>
      <c r="R488" s="2" t="inlineStr"/>
    </row>
    <row r="489" ht="15" customHeight="1">
      <c r="A489" t="inlineStr">
        <is>
          <t>A 63658-2023</t>
        </is>
      </c>
      <c r="B489" s="1" t="n">
        <v>45275</v>
      </c>
      <c r="C489" s="1" t="n">
        <v>46101</v>
      </c>
      <c r="D489" t="inlineStr">
        <is>
          <t>ÖSTERGÖTLANDS LÄN</t>
        </is>
      </c>
      <c r="E489" t="inlineStr">
        <is>
          <t>LINKÖPING</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7808-2022</t>
        </is>
      </c>
      <c r="B490" s="1" t="n">
        <v>44608</v>
      </c>
      <c r="C490" s="1" t="n">
        <v>46101</v>
      </c>
      <c r="D490" t="inlineStr">
        <is>
          <t>ÖSTERGÖTLANDS LÄN</t>
        </is>
      </c>
      <c r="E490" t="inlineStr">
        <is>
          <t>LINKÖPING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60284-2025</t>
        </is>
      </c>
      <c r="B491" s="1" t="n">
        <v>45994.64373842593</v>
      </c>
      <c r="C491" s="1" t="n">
        <v>46101</v>
      </c>
      <c r="D491" t="inlineStr">
        <is>
          <t>ÖSTERGÖTLANDS LÄN</t>
        </is>
      </c>
      <c r="E491" t="inlineStr">
        <is>
          <t>LINKÖPING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36336-2023</t>
        </is>
      </c>
      <c r="B492" s="1" t="n">
        <v>45152.45078703704</v>
      </c>
      <c r="C492" s="1" t="n">
        <v>46101</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60306-2025</t>
        </is>
      </c>
      <c r="B493" s="1" t="n">
        <v>45994.68326388889</v>
      </c>
      <c r="C493" s="1" t="n">
        <v>46101</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56623-2024</t>
        </is>
      </c>
      <c r="B494" s="1" t="n">
        <v>45625</v>
      </c>
      <c r="C494" s="1" t="n">
        <v>46101</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60703-2025</t>
        </is>
      </c>
      <c r="B495" s="1" t="n">
        <v>45996.6052662037</v>
      </c>
      <c r="C495" s="1" t="n">
        <v>46101</v>
      </c>
      <c r="D495" t="inlineStr">
        <is>
          <t>ÖSTERGÖTLANDS LÄN</t>
        </is>
      </c>
      <c r="E495" t="inlineStr">
        <is>
          <t>LINKÖPING</t>
        </is>
      </c>
      <c r="F495" t="inlineStr">
        <is>
          <t>Övriga Aktiebolag</t>
        </is>
      </c>
      <c r="G495" t="n">
        <v>1.3</v>
      </c>
      <c r="H495" t="n">
        <v>0</v>
      </c>
      <c r="I495" t="n">
        <v>0</v>
      </c>
      <c r="J495" t="n">
        <v>0</v>
      </c>
      <c r="K495" t="n">
        <v>0</v>
      </c>
      <c r="L495" t="n">
        <v>0</v>
      </c>
      <c r="M495" t="n">
        <v>0</v>
      </c>
      <c r="N495" t="n">
        <v>0</v>
      </c>
      <c r="O495" t="n">
        <v>0</v>
      </c>
      <c r="P495" t="n">
        <v>0</v>
      </c>
      <c r="Q495" t="n">
        <v>0</v>
      </c>
      <c r="R495" s="2" t="inlineStr"/>
    </row>
    <row r="496" ht="15" customHeight="1">
      <c r="A496" t="inlineStr">
        <is>
          <t>A 13011-2022</t>
        </is>
      </c>
      <c r="B496" s="1" t="n">
        <v>44643</v>
      </c>
      <c r="C496" s="1" t="n">
        <v>46101</v>
      </c>
      <c r="D496" t="inlineStr">
        <is>
          <t>ÖSTERGÖTLANDS LÄN</t>
        </is>
      </c>
      <c r="E496" t="inlineStr">
        <is>
          <t>LINKÖPING</t>
        </is>
      </c>
      <c r="G496" t="n">
        <v>3.7</v>
      </c>
      <c r="H496" t="n">
        <v>0</v>
      </c>
      <c r="I496" t="n">
        <v>0</v>
      </c>
      <c r="J496" t="n">
        <v>0</v>
      </c>
      <c r="K496" t="n">
        <v>0</v>
      </c>
      <c r="L496" t="n">
        <v>0</v>
      </c>
      <c r="M496" t="n">
        <v>0</v>
      </c>
      <c r="N496" t="n">
        <v>0</v>
      </c>
      <c r="O496" t="n">
        <v>0</v>
      </c>
      <c r="P496" t="n">
        <v>0</v>
      </c>
      <c r="Q496" t="n">
        <v>0</v>
      </c>
      <c r="R496" s="2" t="inlineStr"/>
    </row>
    <row r="497" ht="15" customHeight="1">
      <c r="A497" t="inlineStr">
        <is>
          <t>A 11595-2025</t>
        </is>
      </c>
      <c r="B497" s="1" t="n">
        <v>45727.41893518518</v>
      </c>
      <c r="C497" s="1" t="n">
        <v>46101</v>
      </c>
      <c r="D497" t="inlineStr">
        <is>
          <t>ÖSTERGÖTLANDS LÄN</t>
        </is>
      </c>
      <c r="E497" t="inlineStr">
        <is>
          <t>LINKÖPING</t>
        </is>
      </c>
      <c r="G497" t="n">
        <v>6.6</v>
      </c>
      <c r="H497" t="n">
        <v>0</v>
      </c>
      <c r="I497" t="n">
        <v>0</v>
      </c>
      <c r="J497" t="n">
        <v>0</v>
      </c>
      <c r="K497" t="n">
        <v>0</v>
      </c>
      <c r="L497" t="n">
        <v>0</v>
      </c>
      <c r="M497" t="n">
        <v>0</v>
      </c>
      <c r="N497" t="n">
        <v>0</v>
      </c>
      <c r="O497" t="n">
        <v>0</v>
      </c>
      <c r="P497" t="n">
        <v>0</v>
      </c>
      <c r="Q497" t="n">
        <v>0</v>
      </c>
      <c r="R497" s="2" t="inlineStr"/>
    </row>
    <row r="498" ht="15" customHeight="1">
      <c r="A498" t="inlineStr">
        <is>
          <t>A 61230-2025</t>
        </is>
      </c>
      <c r="B498" s="1" t="n">
        <v>46000.63111111111</v>
      </c>
      <c r="C498" s="1" t="n">
        <v>46101</v>
      </c>
      <c r="D498" t="inlineStr">
        <is>
          <t>ÖSTERGÖTLANDS LÄN</t>
        </is>
      </c>
      <c r="E498" t="inlineStr">
        <is>
          <t>LINKÖPING</t>
        </is>
      </c>
      <c r="F498" t="inlineStr">
        <is>
          <t>Kyrkan</t>
        </is>
      </c>
      <c r="G498" t="n">
        <v>2.1</v>
      </c>
      <c r="H498" t="n">
        <v>0</v>
      </c>
      <c r="I498" t="n">
        <v>0</v>
      </c>
      <c r="J498" t="n">
        <v>0</v>
      </c>
      <c r="K498" t="n">
        <v>0</v>
      </c>
      <c r="L498" t="n">
        <v>0</v>
      </c>
      <c r="M498" t="n">
        <v>0</v>
      </c>
      <c r="N498" t="n">
        <v>0</v>
      </c>
      <c r="O498" t="n">
        <v>0</v>
      </c>
      <c r="P498" t="n">
        <v>0</v>
      </c>
      <c r="Q498" t="n">
        <v>0</v>
      </c>
      <c r="R498" s="2" t="inlineStr"/>
    </row>
    <row r="499" ht="15" customHeight="1">
      <c r="A499" t="inlineStr">
        <is>
          <t>A 60866-2025</t>
        </is>
      </c>
      <c r="B499" s="1" t="n">
        <v>45999</v>
      </c>
      <c r="C499" s="1" t="n">
        <v>46101</v>
      </c>
      <c r="D499" t="inlineStr">
        <is>
          <t>ÖSTERGÖTLANDS LÄN</t>
        </is>
      </c>
      <c r="E499" t="inlineStr">
        <is>
          <t>LINKÖPING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50508-2024</t>
        </is>
      </c>
      <c r="B500" s="1" t="n">
        <v>45601.53907407408</v>
      </c>
      <c r="C500" s="1" t="n">
        <v>46101</v>
      </c>
      <c r="D500" t="inlineStr">
        <is>
          <t>ÖSTERGÖTLANDS LÄN</t>
        </is>
      </c>
      <c r="E500" t="inlineStr">
        <is>
          <t>LINKÖPING</t>
        </is>
      </c>
      <c r="F500" t="inlineStr">
        <is>
          <t>Övriga Aktiebolag</t>
        </is>
      </c>
      <c r="G500" t="n">
        <v>2</v>
      </c>
      <c r="H500" t="n">
        <v>0</v>
      </c>
      <c r="I500" t="n">
        <v>0</v>
      </c>
      <c r="J500" t="n">
        <v>0</v>
      </c>
      <c r="K500" t="n">
        <v>0</v>
      </c>
      <c r="L500" t="n">
        <v>0</v>
      </c>
      <c r="M500" t="n">
        <v>0</v>
      </c>
      <c r="N500" t="n">
        <v>0</v>
      </c>
      <c r="O500" t="n">
        <v>0</v>
      </c>
      <c r="P500" t="n">
        <v>0</v>
      </c>
      <c r="Q500" t="n">
        <v>0</v>
      </c>
      <c r="R500" s="2" t="inlineStr"/>
    </row>
    <row r="501" ht="15" customHeight="1">
      <c r="A501" t="inlineStr">
        <is>
          <t>A 61643-2025</t>
        </is>
      </c>
      <c r="B501" s="1" t="n">
        <v>46002.43575231481</v>
      </c>
      <c r="C501" s="1" t="n">
        <v>46101</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36336-2022</t>
        </is>
      </c>
      <c r="B502" s="1" t="n">
        <v>44803</v>
      </c>
      <c r="C502" s="1" t="n">
        <v>46101</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48839-2022</t>
        </is>
      </c>
      <c r="B503" s="1" t="n">
        <v>44859</v>
      </c>
      <c r="C503" s="1" t="n">
        <v>46101</v>
      </c>
      <c r="D503" t="inlineStr">
        <is>
          <t>ÖSTERGÖTLANDS LÄN</t>
        </is>
      </c>
      <c r="E503" t="inlineStr">
        <is>
          <t>LINKÖPING</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61447-2025</t>
        </is>
      </c>
      <c r="B504" s="1" t="n">
        <v>46001.57554398148</v>
      </c>
      <c r="C504" s="1" t="n">
        <v>46101</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61645-2025</t>
        </is>
      </c>
      <c r="B505" s="1" t="n">
        <v>46002.43697916667</v>
      </c>
      <c r="C505" s="1" t="n">
        <v>46101</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6387-2022</t>
        </is>
      </c>
      <c r="B506" s="1" t="n">
        <v>44600</v>
      </c>
      <c r="C506" s="1" t="n">
        <v>46101</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34641-2022</t>
        </is>
      </c>
      <c r="B507" s="1" t="n">
        <v>44795</v>
      </c>
      <c r="C507" s="1" t="n">
        <v>46101</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13687-2025</t>
        </is>
      </c>
      <c r="B508" s="1" t="n">
        <v>45737.31425925926</v>
      </c>
      <c r="C508" s="1" t="n">
        <v>46101</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13695-2025</t>
        </is>
      </c>
      <c r="B509" s="1" t="n">
        <v>45737.32219907407</v>
      </c>
      <c r="C509" s="1" t="n">
        <v>46101</v>
      </c>
      <c r="D509" t="inlineStr">
        <is>
          <t>ÖSTERGÖTLANDS LÄN</t>
        </is>
      </c>
      <c r="E509" t="inlineStr">
        <is>
          <t>LINKÖPING</t>
        </is>
      </c>
      <c r="G509" t="n">
        <v>5.3</v>
      </c>
      <c r="H509" t="n">
        <v>0</v>
      </c>
      <c r="I509" t="n">
        <v>0</v>
      </c>
      <c r="J509" t="n">
        <v>0</v>
      </c>
      <c r="K509" t="n">
        <v>0</v>
      </c>
      <c r="L509" t="n">
        <v>0</v>
      </c>
      <c r="M509" t="n">
        <v>0</v>
      </c>
      <c r="N509" t="n">
        <v>0</v>
      </c>
      <c r="O509" t="n">
        <v>0</v>
      </c>
      <c r="P509" t="n">
        <v>0</v>
      </c>
      <c r="Q509" t="n">
        <v>0</v>
      </c>
      <c r="R509" s="2" t="inlineStr"/>
    </row>
    <row r="510" ht="15" customHeight="1">
      <c r="A510" t="inlineStr">
        <is>
          <t>A 61899-2025</t>
        </is>
      </c>
      <c r="B510" s="1" t="n">
        <v>46003.46635416667</v>
      </c>
      <c r="C510" s="1" t="n">
        <v>46101</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62791-2025</t>
        </is>
      </c>
      <c r="B511" s="1" t="n">
        <v>46008.63266203704</v>
      </c>
      <c r="C511" s="1" t="n">
        <v>46101</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52413-2023</t>
        </is>
      </c>
      <c r="B512" s="1" t="n">
        <v>45225.27950231481</v>
      </c>
      <c r="C512" s="1" t="n">
        <v>46101</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62686-2025</t>
        </is>
      </c>
      <c r="B513" s="1" t="n">
        <v>46008.46769675926</v>
      </c>
      <c r="C513" s="1" t="n">
        <v>46101</v>
      </c>
      <c r="D513" t="inlineStr">
        <is>
          <t>ÖSTERGÖTLANDS LÄN</t>
        </is>
      </c>
      <c r="E513" t="inlineStr">
        <is>
          <t>LINKÖPING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42054-2022</t>
        </is>
      </c>
      <c r="B514" s="1" t="n">
        <v>44830</v>
      </c>
      <c r="C514" s="1" t="n">
        <v>46101</v>
      </c>
      <c r="D514" t="inlineStr">
        <is>
          <t>ÖSTERGÖTLANDS LÄN</t>
        </is>
      </c>
      <c r="E514" t="inlineStr">
        <is>
          <t>LINKÖPING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53797-2023</t>
        </is>
      </c>
      <c r="B515" s="1" t="n">
        <v>45230</v>
      </c>
      <c r="C515" s="1" t="n">
        <v>46101</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62515-2025</t>
        </is>
      </c>
      <c r="B516" s="1" t="n">
        <v>46007.60548611111</v>
      </c>
      <c r="C516" s="1" t="n">
        <v>46101</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63147-2025</t>
        </is>
      </c>
      <c r="B517" s="1" t="n">
        <v>46010.35003472222</v>
      </c>
      <c r="C517" s="1" t="n">
        <v>46101</v>
      </c>
      <c r="D517" t="inlineStr">
        <is>
          <t>ÖSTERGÖTLANDS LÄN</t>
        </is>
      </c>
      <c r="E517" t="inlineStr">
        <is>
          <t>LINKÖPING</t>
        </is>
      </c>
      <c r="G517" t="n">
        <v>4</v>
      </c>
      <c r="H517" t="n">
        <v>0</v>
      </c>
      <c r="I517" t="n">
        <v>0</v>
      </c>
      <c r="J517" t="n">
        <v>0</v>
      </c>
      <c r="K517" t="n">
        <v>0</v>
      </c>
      <c r="L517" t="n">
        <v>0</v>
      </c>
      <c r="M517" t="n">
        <v>0</v>
      </c>
      <c r="N517" t="n">
        <v>0</v>
      </c>
      <c r="O517" t="n">
        <v>0</v>
      </c>
      <c r="P517" t="n">
        <v>0</v>
      </c>
      <c r="Q517" t="n">
        <v>0</v>
      </c>
      <c r="R517" s="2" t="inlineStr"/>
    </row>
    <row r="518" ht="15" customHeight="1">
      <c r="A518" t="inlineStr">
        <is>
          <t>A 63144-2025</t>
        </is>
      </c>
      <c r="B518" s="1" t="n">
        <v>46010.34716435185</v>
      </c>
      <c r="C518" s="1" t="n">
        <v>46101</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22833-2023</t>
        </is>
      </c>
      <c r="B519" s="1" t="n">
        <v>45071</v>
      </c>
      <c r="C519" s="1" t="n">
        <v>46101</v>
      </c>
      <c r="D519" t="inlineStr">
        <is>
          <t>ÖSTERGÖTLANDS LÄN</t>
        </is>
      </c>
      <c r="E519" t="inlineStr">
        <is>
          <t>LINKÖPING</t>
        </is>
      </c>
      <c r="F519" t="inlineStr">
        <is>
          <t>Kommuner</t>
        </is>
      </c>
      <c r="G519" t="n">
        <v>1</v>
      </c>
      <c r="H519" t="n">
        <v>0</v>
      </c>
      <c r="I519" t="n">
        <v>0</v>
      </c>
      <c r="J519" t="n">
        <v>0</v>
      </c>
      <c r="K519" t="n">
        <v>0</v>
      </c>
      <c r="L519" t="n">
        <v>0</v>
      </c>
      <c r="M519" t="n">
        <v>0</v>
      </c>
      <c r="N519" t="n">
        <v>0</v>
      </c>
      <c r="O519" t="n">
        <v>0</v>
      </c>
      <c r="P519" t="n">
        <v>0</v>
      </c>
      <c r="Q519" t="n">
        <v>0</v>
      </c>
      <c r="R519" s="2" t="inlineStr"/>
    </row>
    <row r="520" ht="15" customHeight="1">
      <c r="A520" t="inlineStr">
        <is>
          <t>A 17898-2022</t>
        </is>
      </c>
      <c r="B520" s="1" t="n">
        <v>44683</v>
      </c>
      <c r="C520" s="1" t="n">
        <v>46101</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62017-2024</t>
        </is>
      </c>
      <c r="B521" s="1" t="n">
        <v>45655.81140046296</v>
      </c>
      <c r="C521" s="1" t="n">
        <v>46101</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12411-2022</t>
        </is>
      </c>
      <c r="B522" s="1" t="n">
        <v>44638.21601851852</v>
      </c>
      <c r="C522" s="1" t="n">
        <v>46101</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10492-2022</t>
        </is>
      </c>
      <c r="B523" s="1" t="n">
        <v>44623.6377199074</v>
      </c>
      <c r="C523" s="1" t="n">
        <v>46101</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7343-2025</t>
        </is>
      </c>
      <c r="B524" s="1" t="n">
        <v>45703.67853009259</v>
      </c>
      <c r="C524" s="1" t="n">
        <v>46101</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8967-2025</t>
        </is>
      </c>
      <c r="B525" s="1" t="n">
        <v>45712</v>
      </c>
      <c r="C525" s="1" t="n">
        <v>46101</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35427-2023</t>
        </is>
      </c>
      <c r="B526" s="1" t="n">
        <v>45146</v>
      </c>
      <c r="C526" s="1" t="n">
        <v>46101</v>
      </c>
      <c r="D526" t="inlineStr">
        <is>
          <t>ÖSTERGÖTLANDS LÄN</t>
        </is>
      </c>
      <c r="E526" t="inlineStr">
        <is>
          <t>LINKÖPING</t>
        </is>
      </c>
      <c r="F526" t="inlineStr">
        <is>
          <t>Övriga Aktiebolag</t>
        </is>
      </c>
      <c r="G526" t="n">
        <v>2.5</v>
      </c>
      <c r="H526" t="n">
        <v>0</v>
      </c>
      <c r="I526" t="n">
        <v>0</v>
      </c>
      <c r="J526" t="n">
        <v>0</v>
      </c>
      <c r="K526" t="n">
        <v>0</v>
      </c>
      <c r="L526" t="n">
        <v>0</v>
      </c>
      <c r="M526" t="n">
        <v>0</v>
      </c>
      <c r="N526" t="n">
        <v>0</v>
      </c>
      <c r="O526" t="n">
        <v>0</v>
      </c>
      <c r="P526" t="n">
        <v>0</v>
      </c>
      <c r="Q526" t="n">
        <v>0</v>
      </c>
      <c r="R526" s="2" t="inlineStr"/>
    </row>
    <row r="527" ht="15" customHeight="1">
      <c r="A527" t="inlineStr">
        <is>
          <t>A 30468-2023</t>
        </is>
      </c>
      <c r="B527" s="1" t="n">
        <v>45111.58732638889</v>
      </c>
      <c r="C527" s="1" t="n">
        <v>46101</v>
      </c>
      <c r="D527" t="inlineStr">
        <is>
          <t>ÖSTERGÖTLANDS LÄN</t>
        </is>
      </c>
      <c r="E527" t="inlineStr">
        <is>
          <t>LINKÖPING</t>
        </is>
      </c>
      <c r="G527" t="n">
        <v>10.1</v>
      </c>
      <c r="H527" t="n">
        <v>0</v>
      </c>
      <c r="I527" t="n">
        <v>0</v>
      </c>
      <c r="J527" t="n">
        <v>0</v>
      </c>
      <c r="K527" t="n">
        <v>0</v>
      </c>
      <c r="L527" t="n">
        <v>0</v>
      </c>
      <c r="M527" t="n">
        <v>0</v>
      </c>
      <c r="N527" t="n">
        <v>0</v>
      </c>
      <c r="O527" t="n">
        <v>0</v>
      </c>
      <c r="P527" t="n">
        <v>0</v>
      </c>
      <c r="Q527" t="n">
        <v>0</v>
      </c>
      <c r="R527" s="2" t="inlineStr"/>
    </row>
    <row r="528" ht="15" customHeight="1">
      <c r="A528" t="inlineStr">
        <is>
          <t>A 20296-2025</t>
        </is>
      </c>
      <c r="B528" s="1" t="n">
        <v>45774.74922453704</v>
      </c>
      <c r="C528" s="1" t="n">
        <v>46101</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56841-2023</t>
        </is>
      </c>
      <c r="B529" s="1" t="n">
        <v>45244</v>
      </c>
      <c r="C529" s="1" t="n">
        <v>46101</v>
      </c>
      <c r="D529" t="inlineStr">
        <is>
          <t>ÖSTERGÖTLANDS LÄN</t>
        </is>
      </c>
      <c r="E529" t="inlineStr">
        <is>
          <t>LINKÖPING</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53812-2023</t>
        </is>
      </c>
      <c r="B530" s="1" t="n">
        <v>45231.39583333334</v>
      </c>
      <c r="C530" s="1" t="n">
        <v>46101</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53830-2023</t>
        </is>
      </c>
      <c r="B531" s="1" t="n">
        <v>45230</v>
      </c>
      <c r="C531" s="1" t="n">
        <v>46101</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38715-2023</t>
        </is>
      </c>
      <c r="B532" s="1" t="n">
        <v>45160</v>
      </c>
      <c r="C532" s="1" t="n">
        <v>46101</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927-2026</t>
        </is>
      </c>
      <c r="B533" s="1" t="n">
        <v>46030.50560185185</v>
      </c>
      <c r="C533" s="1" t="n">
        <v>46101</v>
      </c>
      <c r="D533" t="inlineStr">
        <is>
          <t>ÖSTERGÖTLANDS LÄN</t>
        </is>
      </c>
      <c r="E533" t="inlineStr">
        <is>
          <t>LINKÖPING</t>
        </is>
      </c>
      <c r="G533" t="n">
        <v>1.4</v>
      </c>
      <c r="H533" t="n">
        <v>0</v>
      </c>
      <c r="I533" t="n">
        <v>0</v>
      </c>
      <c r="J533" t="n">
        <v>0</v>
      </c>
      <c r="K533" t="n">
        <v>0</v>
      </c>
      <c r="L533" t="n">
        <v>0</v>
      </c>
      <c r="M533" t="n">
        <v>0</v>
      </c>
      <c r="N533" t="n">
        <v>0</v>
      </c>
      <c r="O533" t="n">
        <v>0</v>
      </c>
      <c r="P533" t="n">
        <v>0</v>
      </c>
      <c r="Q533" t="n">
        <v>0</v>
      </c>
      <c r="R533" s="2" t="inlineStr"/>
    </row>
    <row r="534" ht="15" customHeight="1">
      <c r="A534" t="inlineStr">
        <is>
          <t>A 856-2026</t>
        </is>
      </c>
      <c r="B534" s="1" t="n">
        <v>46030.40644675926</v>
      </c>
      <c r="C534" s="1" t="n">
        <v>46101</v>
      </c>
      <c r="D534" t="inlineStr">
        <is>
          <t>ÖSTERGÖTLANDS LÄN</t>
        </is>
      </c>
      <c r="E534" t="inlineStr">
        <is>
          <t>LINKÖPING</t>
        </is>
      </c>
      <c r="G534" t="n">
        <v>6.4</v>
      </c>
      <c r="H534" t="n">
        <v>0</v>
      </c>
      <c r="I534" t="n">
        <v>0</v>
      </c>
      <c r="J534" t="n">
        <v>0</v>
      </c>
      <c r="K534" t="n">
        <v>0</v>
      </c>
      <c r="L534" t="n">
        <v>0</v>
      </c>
      <c r="M534" t="n">
        <v>0</v>
      </c>
      <c r="N534" t="n">
        <v>0</v>
      </c>
      <c r="O534" t="n">
        <v>0</v>
      </c>
      <c r="P534" t="n">
        <v>0</v>
      </c>
      <c r="Q534" t="n">
        <v>0</v>
      </c>
      <c r="R534" s="2" t="inlineStr"/>
    </row>
    <row r="535" ht="15" customHeight="1">
      <c r="A535" t="inlineStr">
        <is>
          <t>A 860-2026</t>
        </is>
      </c>
      <c r="B535" s="1" t="n">
        <v>46030.41974537037</v>
      </c>
      <c r="C535" s="1" t="n">
        <v>46101</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873-2026</t>
        </is>
      </c>
      <c r="B536" s="1" t="n">
        <v>46030.43818287037</v>
      </c>
      <c r="C536" s="1" t="n">
        <v>46101</v>
      </c>
      <c r="D536" t="inlineStr">
        <is>
          <t>ÖSTERGÖTLANDS LÄN</t>
        </is>
      </c>
      <c r="E536" t="inlineStr">
        <is>
          <t>LINKÖPING</t>
        </is>
      </c>
      <c r="G536" t="n">
        <v>4.1</v>
      </c>
      <c r="H536" t="n">
        <v>0</v>
      </c>
      <c r="I536" t="n">
        <v>0</v>
      </c>
      <c r="J536" t="n">
        <v>0</v>
      </c>
      <c r="K536" t="n">
        <v>0</v>
      </c>
      <c r="L536" t="n">
        <v>0</v>
      </c>
      <c r="M536" t="n">
        <v>0</v>
      </c>
      <c r="N536" t="n">
        <v>0</v>
      </c>
      <c r="O536" t="n">
        <v>0</v>
      </c>
      <c r="P536" t="n">
        <v>0</v>
      </c>
      <c r="Q536" t="n">
        <v>0</v>
      </c>
      <c r="R536" s="2" t="inlineStr"/>
    </row>
    <row r="537" ht="15" customHeight="1">
      <c r="A537" t="inlineStr">
        <is>
          <t>A 27766-2022</t>
        </is>
      </c>
      <c r="B537" s="1" t="n">
        <v>44743.53112268518</v>
      </c>
      <c r="C537" s="1" t="n">
        <v>46101</v>
      </c>
      <c r="D537" t="inlineStr">
        <is>
          <t>ÖSTERGÖTLANDS LÄN</t>
        </is>
      </c>
      <c r="E537" t="inlineStr">
        <is>
          <t>LINKÖPING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858-2026</t>
        </is>
      </c>
      <c r="B538" s="1" t="n">
        <v>46030.41200231481</v>
      </c>
      <c r="C538" s="1" t="n">
        <v>46101</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940-2026</t>
        </is>
      </c>
      <c r="B539" s="1" t="n">
        <v>46030.53052083333</v>
      </c>
      <c r="C539" s="1" t="n">
        <v>46101</v>
      </c>
      <c r="D539" t="inlineStr">
        <is>
          <t>ÖSTERGÖTLANDS LÄN</t>
        </is>
      </c>
      <c r="E539" t="inlineStr">
        <is>
          <t>LINKÖPING</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944-2026</t>
        </is>
      </c>
      <c r="B540" s="1" t="n">
        <v>46030.53461805556</v>
      </c>
      <c r="C540" s="1" t="n">
        <v>46101</v>
      </c>
      <c r="D540" t="inlineStr">
        <is>
          <t>ÖSTERGÖTLANDS LÄN</t>
        </is>
      </c>
      <c r="E540" t="inlineStr">
        <is>
          <t>LINKÖPING</t>
        </is>
      </c>
      <c r="F540" t="inlineStr">
        <is>
          <t>Allmännings- och besparingsskogar</t>
        </is>
      </c>
      <c r="G540" t="n">
        <v>0.9</v>
      </c>
      <c r="H540" t="n">
        <v>0</v>
      </c>
      <c r="I540" t="n">
        <v>0</v>
      </c>
      <c r="J540" t="n">
        <v>0</v>
      </c>
      <c r="K540" t="n">
        <v>0</v>
      </c>
      <c r="L540" t="n">
        <v>0</v>
      </c>
      <c r="M540" t="n">
        <v>0</v>
      </c>
      <c r="N540" t="n">
        <v>0</v>
      </c>
      <c r="O540" t="n">
        <v>0</v>
      </c>
      <c r="P540" t="n">
        <v>0</v>
      </c>
      <c r="Q540" t="n">
        <v>0</v>
      </c>
      <c r="R540" s="2" t="inlineStr"/>
    </row>
    <row r="541" ht="15" customHeight="1">
      <c r="A541" t="inlineStr">
        <is>
          <t>A 859-2026</t>
        </is>
      </c>
      <c r="B541" s="1" t="n">
        <v>46030.41450231482</v>
      </c>
      <c r="C541" s="1" t="n">
        <v>46101</v>
      </c>
      <c r="D541" t="inlineStr">
        <is>
          <t>ÖSTERGÖTLANDS LÄN</t>
        </is>
      </c>
      <c r="E541" t="inlineStr">
        <is>
          <t>LINKÖPING</t>
        </is>
      </c>
      <c r="G541" t="n">
        <v>0.2</v>
      </c>
      <c r="H541" t="n">
        <v>0</v>
      </c>
      <c r="I541" t="n">
        <v>0</v>
      </c>
      <c r="J541" t="n">
        <v>0</v>
      </c>
      <c r="K541" t="n">
        <v>0</v>
      </c>
      <c r="L541" t="n">
        <v>0</v>
      </c>
      <c r="M541" t="n">
        <v>0</v>
      </c>
      <c r="N541" t="n">
        <v>0</v>
      </c>
      <c r="O541" t="n">
        <v>0</v>
      </c>
      <c r="P541" t="n">
        <v>0</v>
      </c>
      <c r="Q541" t="n">
        <v>0</v>
      </c>
      <c r="R541" s="2" t="inlineStr"/>
    </row>
    <row r="542" ht="15" customHeight="1">
      <c r="A542" t="inlineStr">
        <is>
          <t>A 1223-2026</t>
        </is>
      </c>
      <c r="B542" s="1" t="n">
        <v>46031.40233796297</v>
      </c>
      <c r="C542" s="1" t="n">
        <v>46101</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48271-2023</t>
        </is>
      </c>
      <c r="B543" s="1" t="n">
        <v>45205</v>
      </c>
      <c r="C543" s="1" t="n">
        <v>46101</v>
      </c>
      <c r="D543" t="inlineStr">
        <is>
          <t>ÖSTERGÖTLANDS LÄN</t>
        </is>
      </c>
      <c r="E543" t="inlineStr">
        <is>
          <t>LINKÖPING</t>
        </is>
      </c>
      <c r="G543" t="n">
        <v>3</v>
      </c>
      <c r="H543" t="n">
        <v>0</v>
      </c>
      <c r="I543" t="n">
        <v>0</v>
      </c>
      <c r="J543" t="n">
        <v>0</v>
      </c>
      <c r="K543" t="n">
        <v>0</v>
      </c>
      <c r="L543" t="n">
        <v>0</v>
      </c>
      <c r="M543" t="n">
        <v>0</v>
      </c>
      <c r="N543" t="n">
        <v>0</v>
      </c>
      <c r="O543" t="n">
        <v>0</v>
      </c>
      <c r="P543" t="n">
        <v>0</v>
      </c>
      <c r="Q543" t="n">
        <v>0</v>
      </c>
      <c r="R543" s="2" t="inlineStr"/>
    </row>
    <row r="544" ht="15" customHeight="1">
      <c r="A544" t="inlineStr">
        <is>
          <t>A 13266-2025</t>
        </is>
      </c>
      <c r="B544" s="1" t="n">
        <v>45735.53318287037</v>
      </c>
      <c r="C544" s="1" t="n">
        <v>46101</v>
      </c>
      <c r="D544" t="inlineStr">
        <is>
          <t>ÖSTERGÖTLANDS LÄN</t>
        </is>
      </c>
      <c r="E544" t="inlineStr">
        <is>
          <t>LINKÖPING</t>
        </is>
      </c>
      <c r="G544" t="n">
        <v>3.1</v>
      </c>
      <c r="H544" t="n">
        <v>0</v>
      </c>
      <c r="I544" t="n">
        <v>0</v>
      </c>
      <c r="J544" t="n">
        <v>0</v>
      </c>
      <c r="K544" t="n">
        <v>0</v>
      </c>
      <c r="L544" t="n">
        <v>0</v>
      </c>
      <c r="M544" t="n">
        <v>0</v>
      </c>
      <c r="N544" t="n">
        <v>0</v>
      </c>
      <c r="O544" t="n">
        <v>0</v>
      </c>
      <c r="P544" t="n">
        <v>0</v>
      </c>
      <c r="Q544" t="n">
        <v>0</v>
      </c>
      <c r="R544" s="2" t="inlineStr"/>
    </row>
    <row r="545" ht="15" customHeight="1">
      <c r="A545" t="inlineStr">
        <is>
          <t>A 60001-2022</t>
        </is>
      </c>
      <c r="B545" s="1" t="n">
        <v>44909.47087962963</v>
      </c>
      <c r="C545" s="1" t="n">
        <v>46101</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1657-2024</t>
        </is>
      </c>
      <c r="B546" s="1" t="n">
        <v>45306.82501157407</v>
      </c>
      <c r="C546" s="1" t="n">
        <v>46101</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10756-2026</t>
        </is>
      </c>
      <c r="B547" s="1" t="n">
        <v>46078.55412037037</v>
      </c>
      <c r="C547" s="1" t="n">
        <v>46101</v>
      </c>
      <c r="D547" t="inlineStr">
        <is>
          <t>ÖSTERGÖTLANDS LÄN</t>
        </is>
      </c>
      <c r="E547" t="inlineStr">
        <is>
          <t>LINKÖPING</t>
        </is>
      </c>
      <c r="F547" t="inlineStr">
        <is>
          <t>Övriga Aktiebolag</t>
        </is>
      </c>
      <c r="G547" t="n">
        <v>1.2</v>
      </c>
      <c r="H547" t="n">
        <v>0</v>
      </c>
      <c r="I547" t="n">
        <v>0</v>
      </c>
      <c r="J547" t="n">
        <v>0</v>
      </c>
      <c r="K547" t="n">
        <v>0</v>
      </c>
      <c r="L547" t="n">
        <v>0</v>
      </c>
      <c r="M547" t="n">
        <v>0</v>
      </c>
      <c r="N547" t="n">
        <v>0</v>
      </c>
      <c r="O547" t="n">
        <v>0</v>
      </c>
      <c r="P547" t="n">
        <v>0</v>
      </c>
      <c r="Q547" t="n">
        <v>0</v>
      </c>
      <c r="R547" s="2" t="inlineStr"/>
    </row>
    <row r="548" ht="15" customHeight="1">
      <c r="A548" t="inlineStr">
        <is>
          <t>A 2030-2026</t>
        </is>
      </c>
      <c r="B548" s="1" t="n">
        <v>46035.73590277778</v>
      </c>
      <c r="C548" s="1" t="n">
        <v>46101</v>
      </c>
      <c r="D548" t="inlineStr">
        <is>
          <t>ÖSTERGÖTLANDS LÄN</t>
        </is>
      </c>
      <c r="E548" t="inlineStr">
        <is>
          <t>LINKÖPING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2031-2026</t>
        </is>
      </c>
      <c r="B549" s="1" t="n">
        <v>46035.74182870371</v>
      </c>
      <c r="C549" s="1" t="n">
        <v>46101</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30976-2022</t>
        </is>
      </c>
      <c r="B550" s="1" t="n">
        <v>44768</v>
      </c>
      <c r="C550" s="1" t="n">
        <v>46101</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30860-2022</t>
        </is>
      </c>
      <c r="B551" s="1" t="n">
        <v>44767</v>
      </c>
      <c r="C551" s="1" t="n">
        <v>46101</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48186-2022</t>
        </is>
      </c>
      <c r="B552" s="1" t="n">
        <v>44858</v>
      </c>
      <c r="C552" s="1" t="n">
        <v>46101</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28266-2024</t>
        </is>
      </c>
      <c r="B553" s="1" t="n">
        <v>45477.43600694444</v>
      </c>
      <c r="C553" s="1" t="n">
        <v>46101</v>
      </c>
      <c r="D553" t="inlineStr">
        <is>
          <t>ÖSTERGÖTLANDS LÄN</t>
        </is>
      </c>
      <c r="E553" t="inlineStr">
        <is>
          <t>LINKÖPING</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10479-2026</t>
        </is>
      </c>
      <c r="B554" s="1" t="n">
        <v>46077.49231481482</v>
      </c>
      <c r="C554" s="1" t="n">
        <v>46101</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31548-2022</t>
        </is>
      </c>
      <c r="B555" s="1" t="n">
        <v>44775.39832175926</v>
      </c>
      <c r="C555" s="1" t="n">
        <v>46101</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11033-2026</t>
        </is>
      </c>
      <c r="B556" s="1" t="n">
        <v>46079.57361111111</v>
      </c>
      <c r="C556" s="1" t="n">
        <v>46101</v>
      </c>
      <c r="D556" t="inlineStr">
        <is>
          <t>ÖSTERGÖTLANDS LÄN</t>
        </is>
      </c>
      <c r="E556" t="inlineStr">
        <is>
          <t>LINKÖPING</t>
        </is>
      </c>
      <c r="G556" t="n">
        <v>7.9</v>
      </c>
      <c r="H556" t="n">
        <v>0</v>
      </c>
      <c r="I556" t="n">
        <v>0</v>
      </c>
      <c r="J556" t="n">
        <v>0</v>
      </c>
      <c r="K556" t="n">
        <v>0</v>
      </c>
      <c r="L556" t="n">
        <v>0</v>
      </c>
      <c r="M556" t="n">
        <v>0</v>
      </c>
      <c r="N556" t="n">
        <v>0</v>
      </c>
      <c r="O556" t="n">
        <v>0</v>
      </c>
      <c r="P556" t="n">
        <v>0</v>
      </c>
      <c r="Q556" t="n">
        <v>0</v>
      </c>
      <c r="R556" s="2" t="inlineStr"/>
    </row>
    <row r="557" ht="15" customHeight="1">
      <c r="A557" t="inlineStr">
        <is>
          <t>A 1211-2023</t>
        </is>
      </c>
      <c r="B557" s="1" t="n">
        <v>44930</v>
      </c>
      <c r="C557" s="1" t="n">
        <v>46101</v>
      </c>
      <c r="D557" t="inlineStr">
        <is>
          <t>ÖSTERGÖTLANDS LÄN</t>
        </is>
      </c>
      <c r="E557" t="inlineStr">
        <is>
          <t>LINKÖPING</t>
        </is>
      </c>
      <c r="F557" t="inlineStr">
        <is>
          <t>Övriga statliga verk och myndigheter</t>
        </is>
      </c>
      <c r="G557" t="n">
        <v>7.9</v>
      </c>
      <c r="H557" t="n">
        <v>0</v>
      </c>
      <c r="I557" t="n">
        <v>0</v>
      </c>
      <c r="J557" t="n">
        <v>0</v>
      </c>
      <c r="K557" t="n">
        <v>0</v>
      </c>
      <c r="L557" t="n">
        <v>0</v>
      </c>
      <c r="M557" t="n">
        <v>0</v>
      </c>
      <c r="N557" t="n">
        <v>0</v>
      </c>
      <c r="O557" t="n">
        <v>0</v>
      </c>
      <c r="P557" t="n">
        <v>0</v>
      </c>
      <c r="Q557" t="n">
        <v>0</v>
      </c>
      <c r="R557" s="2" t="inlineStr"/>
    </row>
    <row r="558" ht="15" customHeight="1">
      <c r="A558" t="inlineStr">
        <is>
          <t>A 11036-2026</t>
        </is>
      </c>
      <c r="B558" s="1" t="n">
        <v>46079.57836805555</v>
      </c>
      <c r="C558" s="1" t="n">
        <v>46101</v>
      </c>
      <c r="D558" t="inlineStr">
        <is>
          <t>ÖSTERGÖTLANDS LÄN</t>
        </is>
      </c>
      <c r="E558" t="inlineStr">
        <is>
          <t>LINKÖPING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51191-2022</t>
        </is>
      </c>
      <c r="B559" s="1" t="n">
        <v>44865</v>
      </c>
      <c r="C559" s="1" t="n">
        <v>46101</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3045-2026</t>
        </is>
      </c>
      <c r="B560" s="1" t="n">
        <v>46038.74047453704</v>
      </c>
      <c r="C560" s="1" t="n">
        <v>46101</v>
      </c>
      <c r="D560" t="inlineStr">
        <is>
          <t>ÖSTERGÖTLANDS LÄN</t>
        </is>
      </c>
      <c r="E560" t="inlineStr">
        <is>
          <t>LINKÖPING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11057-2026</t>
        </is>
      </c>
      <c r="B561" s="1" t="n">
        <v>46079.59515046296</v>
      </c>
      <c r="C561" s="1" t="n">
        <v>46101</v>
      </c>
      <c r="D561" t="inlineStr">
        <is>
          <t>ÖSTERGÖTLANDS LÄN</t>
        </is>
      </c>
      <c r="E561" t="inlineStr">
        <is>
          <t>LINKÖPING</t>
        </is>
      </c>
      <c r="G561" t="n">
        <v>2.9</v>
      </c>
      <c r="H561" t="n">
        <v>0</v>
      </c>
      <c r="I561" t="n">
        <v>0</v>
      </c>
      <c r="J561" t="n">
        <v>0</v>
      </c>
      <c r="K561" t="n">
        <v>0</v>
      </c>
      <c r="L561" t="n">
        <v>0</v>
      </c>
      <c r="M561" t="n">
        <v>0</v>
      </c>
      <c r="N561" t="n">
        <v>0</v>
      </c>
      <c r="O561" t="n">
        <v>0</v>
      </c>
      <c r="P561" t="n">
        <v>0</v>
      </c>
      <c r="Q561" t="n">
        <v>0</v>
      </c>
      <c r="R561" s="2" t="inlineStr"/>
    </row>
    <row r="562" ht="15" customHeight="1">
      <c r="A562" t="inlineStr">
        <is>
          <t>A 55632-2022</t>
        </is>
      </c>
      <c r="B562" s="1" t="n">
        <v>44888</v>
      </c>
      <c r="C562" s="1" t="n">
        <v>46101</v>
      </c>
      <c r="D562" t="inlineStr">
        <is>
          <t>ÖSTERGÖTLANDS LÄN</t>
        </is>
      </c>
      <c r="E562" t="inlineStr">
        <is>
          <t>LINKÖPING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3044-2026</t>
        </is>
      </c>
      <c r="B563" s="1" t="n">
        <v>46038.73855324074</v>
      </c>
      <c r="C563" s="1" t="n">
        <v>46101</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11169-2026</t>
        </is>
      </c>
      <c r="B564" s="1" t="n">
        <v>46080.37020833333</v>
      </c>
      <c r="C564" s="1" t="n">
        <v>46101</v>
      </c>
      <c r="D564" t="inlineStr">
        <is>
          <t>ÖSTERGÖTLANDS LÄN</t>
        </is>
      </c>
      <c r="E564" t="inlineStr">
        <is>
          <t>LINKÖPING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3043-2026</t>
        </is>
      </c>
      <c r="B565" s="1" t="n">
        <v>46038.73675925926</v>
      </c>
      <c r="C565" s="1" t="n">
        <v>46101</v>
      </c>
      <c r="D565" t="inlineStr">
        <is>
          <t>ÖSTERGÖTLANDS LÄN</t>
        </is>
      </c>
      <c r="E565" t="inlineStr">
        <is>
          <t>LINKÖPING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3046-2026</t>
        </is>
      </c>
      <c r="B566" s="1" t="n">
        <v>46038.74182870371</v>
      </c>
      <c r="C566" s="1" t="n">
        <v>46101</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63669-2023</t>
        </is>
      </c>
      <c r="B567" s="1" t="n">
        <v>45275</v>
      </c>
      <c r="C567" s="1" t="n">
        <v>46101</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12289-2025</t>
        </is>
      </c>
      <c r="B568" s="1" t="n">
        <v>45729</v>
      </c>
      <c r="C568" s="1" t="n">
        <v>46101</v>
      </c>
      <c r="D568" t="inlineStr">
        <is>
          <t>ÖSTERGÖTLANDS LÄN</t>
        </is>
      </c>
      <c r="E568" t="inlineStr">
        <is>
          <t>LINKÖPING</t>
        </is>
      </c>
      <c r="F568" t="inlineStr">
        <is>
          <t>Övriga statliga verk och myndigheter</t>
        </is>
      </c>
      <c r="G568" t="n">
        <v>6.5</v>
      </c>
      <c r="H568" t="n">
        <v>0</v>
      </c>
      <c r="I568" t="n">
        <v>0</v>
      </c>
      <c r="J568" t="n">
        <v>0</v>
      </c>
      <c r="K568" t="n">
        <v>0</v>
      </c>
      <c r="L568" t="n">
        <v>0</v>
      </c>
      <c r="M568" t="n">
        <v>0</v>
      </c>
      <c r="N568" t="n">
        <v>0</v>
      </c>
      <c r="O568" t="n">
        <v>0</v>
      </c>
      <c r="P568" t="n">
        <v>0</v>
      </c>
      <c r="Q568" t="n">
        <v>0</v>
      </c>
      <c r="R568" s="2" t="inlineStr"/>
    </row>
    <row r="569" ht="15" customHeight="1">
      <c r="A569" t="inlineStr">
        <is>
          <t>A 36657-2023</t>
        </is>
      </c>
      <c r="B569" s="1" t="n">
        <v>45153.5702662037</v>
      </c>
      <c r="C569" s="1" t="n">
        <v>46101</v>
      </c>
      <c r="D569" t="inlineStr">
        <is>
          <t>ÖSTERGÖTLANDS LÄN</t>
        </is>
      </c>
      <c r="E569" t="inlineStr">
        <is>
          <t>LINKÖPING</t>
        </is>
      </c>
      <c r="F569" t="inlineStr">
        <is>
          <t>Allmännings- och besparingsskogar</t>
        </is>
      </c>
      <c r="G569" t="n">
        <v>2</v>
      </c>
      <c r="H569" t="n">
        <v>0</v>
      </c>
      <c r="I569" t="n">
        <v>0</v>
      </c>
      <c r="J569" t="n">
        <v>0</v>
      </c>
      <c r="K569" t="n">
        <v>0</v>
      </c>
      <c r="L569" t="n">
        <v>0</v>
      </c>
      <c r="M569" t="n">
        <v>0</v>
      </c>
      <c r="N569" t="n">
        <v>0</v>
      </c>
      <c r="O569" t="n">
        <v>0</v>
      </c>
      <c r="P569" t="n">
        <v>0</v>
      </c>
      <c r="Q569" t="n">
        <v>0</v>
      </c>
      <c r="R569" s="2" t="inlineStr"/>
    </row>
    <row r="570" ht="15" customHeight="1">
      <c r="A570" t="inlineStr">
        <is>
          <t>A 19169-2023</t>
        </is>
      </c>
      <c r="B570" s="1" t="n">
        <v>45044</v>
      </c>
      <c r="C570" s="1" t="n">
        <v>46101</v>
      </c>
      <c r="D570" t="inlineStr">
        <is>
          <t>ÖSTERGÖTLANDS LÄN</t>
        </is>
      </c>
      <c r="E570" t="inlineStr">
        <is>
          <t>LINKÖPING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1209-2023</t>
        </is>
      </c>
      <c r="B571" s="1" t="n">
        <v>44930</v>
      </c>
      <c r="C571" s="1" t="n">
        <v>46101</v>
      </c>
      <c r="D571" t="inlineStr">
        <is>
          <t>ÖSTERGÖTLANDS LÄN</t>
        </is>
      </c>
      <c r="E571" t="inlineStr">
        <is>
          <t>LINKÖPING</t>
        </is>
      </c>
      <c r="F571" t="inlineStr">
        <is>
          <t>Övriga statliga verk och myndigheter</t>
        </is>
      </c>
      <c r="G571" t="n">
        <v>25.8</v>
      </c>
      <c r="H571" t="n">
        <v>0</v>
      </c>
      <c r="I571" t="n">
        <v>0</v>
      </c>
      <c r="J571" t="n">
        <v>0</v>
      </c>
      <c r="K571" t="n">
        <v>0</v>
      </c>
      <c r="L571" t="n">
        <v>0</v>
      </c>
      <c r="M571" t="n">
        <v>0</v>
      </c>
      <c r="N571" t="n">
        <v>0</v>
      </c>
      <c r="O571" t="n">
        <v>0</v>
      </c>
      <c r="P571" t="n">
        <v>0</v>
      </c>
      <c r="Q571" t="n">
        <v>0</v>
      </c>
      <c r="R571" s="2" t="inlineStr"/>
    </row>
    <row r="572" ht="15" customHeight="1">
      <c r="A572" t="inlineStr">
        <is>
          <t>A 2085-2024</t>
        </is>
      </c>
      <c r="B572" s="1" t="n">
        <v>45309</v>
      </c>
      <c r="C572" s="1" t="n">
        <v>46101</v>
      </c>
      <c r="D572" t="inlineStr">
        <is>
          <t>ÖSTERGÖTLANDS LÄN</t>
        </is>
      </c>
      <c r="E572" t="inlineStr">
        <is>
          <t>LINKÖPING</t>
        </is>
      </c>
      <c r="G572" t="n">
        <v>4.5</v>
      </c>
      <c r="H572" t="n">
        <v>0</v>
      </c>
      <c r="I572" t="n">
        <v>0</v>
      </c>
      <c r="J572" t="n">
        <v>0</v>
      </c>
      <c r="K572" t="n">
        <v>0</v>
      </c>
      <c r="L572" t="n">
        <v>0</v>
      </c>
      <c r="M572" t="n">
        <v>0</v>
      </c>
      <c r="N572" t="n">
        <v>0</v>
      </c>
      <c r="O572" t="n">
        <v>0</v>
      </c>
      <c r="P572" t="n">
        <v>0</v>
      </c>
      <c r="Q572" t="n">
        <v>0</v>
      </c>
      <c r="R572" s="2" t="inlineStr"/>
    </row>
    <row r="573" ht="15" customHeight="1">
      <c r="A573" t="inlineStr">
        <is>
          <t>A 10764-2026</t>
        </is>
      </c>
      <c r="B573" s="1" t="n">
        <v>46078</v>
      </c>
      <c r="C573" s="1" t="n">
        <v>46101</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48-2024</t>
        </is>
      </c>
      <c r="B574" s="1" t="n">
        <v>45293</v>
      </c>
      <c r="C574" s="1" t="n">
        <v>46101</v>
      </c>
      <c r="D574" t="inlineStr">
        <is>
          <t>ÖSTERGÖTLANDS LÄN</t>
        </is>
      </c>
      <c r="E574" t="inlineStr">
        <is>
          <t>LINKÖPING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56560-2023</t>
        </is>
      </c>
      <c r="B575" s="1" t="n">
        <v>45238</v>
      </c>
      <c r="C575" s="1" t="n">
        <v>46101</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19132-2023</t>
        </is>
      </c>
      <c r="B576" s="1" t="n">
        <v>45048.54754629629</v>
      </c>
      <c r="C576" s="1" t="n">
        <v>46101</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11891-2026</t>
        </is>
      </c>
      <c r="B577" s="1" t="n">
        <v>46085.5197800926</v>
      </c>
      <c r="C577" s="1" t="n">
        <v>46101</v>
      </c>
      <c r="D577" t="inlineStr">
        <is>
          <t>ÖSTERGÖTLANDS LÄN</t>
        </is>
      </c>
      <c r="E577" t="inlineStr">
        <is>
          <t>LINKÖPING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52412-2023</t>
        </is>
      </c>
      <c r="B578" s="1" t="n">
        <v>45225.27888888889</v>
      </c>
      <c r="C578" s="1" t="n">
        <v>46101</v>
      </c>
      <c r="D578" t="inlineStr">
        <is>
          <t>ÖSTERGÖTLANDS LÄN</t>
        </is>
      </c>
      <c r="E578" t="inlineStr">
        <is>
          <t>LINKÖPING</t>
        </is>
      </c>
      <c r="G578" t="n">
        <v>1.8</v>
      </c>
      <c r="H578" t="n">
        <v>0</v>
      </c>
      <c r="I578" t="n">
        <v>0</v>
      </c>
      <c r="J578" t="n">
        <v>0</v>
      </c>
      <c r="K578" t="n">
        <v>0</v>
      </c>
      <c r="L578" t="n">
        <v>0</v>
      </c>
      <c r="M578" t="n">
        <v>0</v>
      </c>
      <c r="N578" t="n">
        <v>0</v>
      </c>
      <c r="O578" t="n">
        <v>0</v>
      </c>
      <c r="P578" t="n">
        <v>0</v>
      </c>
      <c r="Q578" t="n">
        <v>0</v>
      </c>
      <c r="R578" s="2" t="inlineStr"/>
    </row>
    <row r="579" ht="15" customHeight="1">
      <c r="A579" t="inlineStr">
        <is>
          <t>A 62492-2023</t>
        </is>
      </c>
      <c r="B579" s="1" t="n">
        <v>45268.58987268519</v>
      </c>
      <c r="C579" s="1" t="n">
        <v>46101</v>
      </c>
      <c r="D579" t="inlineStr">
        <is>
          <t>ÖSTERGÖTLANDS LÄN</t>
        </is>
      </c>
      <c r="E579" t="inlineStr">
        <is>
          <t>LINKÖPING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38230-2023</t>
        </is>
      </c>
      <c r="B580" s="1" t="n">
        <v>45161.55373842592</v>
      </c>
      <c r="C580" s="1" t="n">
        <v>46101</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56756-2023</t>
        </is>
      </c>
      <c r="B581" s="1" t="n">
        <v>45244</v>
      </c>
      <c r="C581" s="1" t="n">
        <v>46101</v>
      </c>
      <c r="D581" t="inlineStr">
        <is>
          <t>ÖSTERGÖTLANDS LÄN</t>
        </is>
      </c>
      <c r="E581" t="inlineStr">
        <is>
          <t>LINKÖPING</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11590-2023</t>
        </is>
      </c>
      <c r="B582" s="1" t="n">
        <v>44994.36689814815</v>
      </c>
      <c r="C582" s="1" t="n">
        <v>46101</v>
      </c>
      <c r="D582" t="inlineStr">
        <is>
          <t>ÖSTERGÖTLANDS LÄN</t>
        </is>
      </c>
      <c r="E582" t="inlineStr">
        <is>
          <t>LINKÖPING</t>
        </is>
      </c>
      <c r="G582" t="n">
        <v>3.1</v>
      </c>
      <c r="H582" t="n">
        <v>0</v>
      </c>
      <c r="I582" t="n">
        <v>0</v>
      </c>
      <c r="J582" t="n">
        <v>0</v>
      </c>
      <c r="K582" t="n">
        <v>0</v>
      </c>
      <c r="L582" t="n">
        <v>0</v>
      </c>
      <c r="M582" t="n">
        <v>0</v>
      </c>
      <c r="N582" t="n">
        <v>0</v>
      </c>
      <c r="O582" t="n">
        <v>0</v>
      </c>
      <c r="P582" t="n">
        <v>0</v>
      </c>
      <c r="Q582" t="n">
        <v>0</v>
      </c>
      <c r="R582" s="2" t="inlineStr"/>
    </row>
    <row r="583" ht="15" customHeight="1">
      <c r="A583" t="inlineStr">
        <is>
          <t>A 10461-2023</t>
        </is>
      </c>
      <c r="B583" s="1" t="n">
        <v>44987.5969212963</v>
      </c>
      <c r="C583" s="1" t="n">
        <v>46101</v>
      </c>
      <c r="D583" t="inlineStr">
        <is>
          <t>ÖSTERGÖTLANDS LÄN</t>
        </is>
      </c>
      <c r="E583" t="inlineStr">
        <is>
          <t>LINKÖPING</t>
        </is>
      </c>
      <c r="G583" t="n">
        <v>7.8</v>
      </c>
      <c r="H583" t="n">
        <v>0</v>
      </c>
      <c r="I583" t="n">
        <v>0</v>
      </c>
      <c r="J583" t="n">
        <v>0</v>
      </c>
      <c r="K583" t="n">
        <v>0</v>
      </c>
      <c r="L583" t="n">
        <v>0</v>
      </c>
      <c r="M583" t="n">
        <v>0</v>
      </c>
      <c r="N583" t="n">
        <v>0</v>
      </c>
      <c r="O583" t="n">
        <v>0</v>
      </c>
      <c r="P583" t="n">
        <v>0</v>
      </c>
      <c r="Q583" t="n">
        <v>0</v>
      </c>
      <c r="R583" s="2" t="inlineStr"/>
    </row>
    <row r="584" ht="15" customHeight="1">
      <c r="A584" t="inlineStr">
        <is>
          <t>A 41345-2021</t>
        </is>
      </c>
      <c r="B584" s="1" t="n">
        <v>44424.61851851852</v>
      </c>
      <c r="C584" s="1" t="n">
        <v>46101</v>
      </c>
      <c r="D584" t="inlineStr">
        <is>
          <t>ÖSTERGÖTLANDS LÄN</t>
        </is>
      </c>
      <c r="E584" t="inlineStr">
        <is>
          <t>LINKÖPING</t>
        </is>
      </c>
      <c r="F584" t="inlineStr">
        <is>
          <t>Sveaskog</t>
        </is>
      </c>
      <c r="G584" t="n">
        <v>6.3</v>
      </c>
      <c r="H584" t="n">
        <v>0</v>
      </c>
      <c r="I584" t="n">
        <v>0</v>
      </c>
      <c r="J584" t="n">
        <v>0</v>
      </c>
      <c r="K584" t="n">
        <v>0</v>
      </c>
      <c r="L584" t="n">
        <v>0</v>
      </c>
      <c r="M584" t="n">
        <v>0</v>
      </c>
      <c r="N584" t="n">
        <v>0</v>
      </c>
      <c r="O584" t="n">
        <v>0</v>
      </c>
      <c r="P584" t="n">
        <v>0</v>
      </c>
      <c r="Q584" t="n">
        <v>0</v>
      </c>
      <c r="R584" s="2" t="inlineStr"/>
    </row>
    <row r="585" ht="15" customHeight="1">
      <c r="A585" t="inlineStr">
        <is>
          <t>A 61307-2021</t>
        </is>
      </c>
      <c r="B585" s="1" t="n">
        <v>44498.63928240741</v>
      </c>
      <c r="C585" s="1" t="n">
        <v>46101</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61325-2021</t>
        </is>
      </c>
      <c r="B586" s="1" t="n">
        <v>44498.66814814815</v>
      </c>
      <c r="C586" s="1" t="n">
        <v>46101</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60010-2022</t>
        </is>
      </c>
      <c r="B587" s="1" t="n">
        <v>44909.4740625</v>
      </c>
      <c r="C587" s="1" t="n">
        <v>46101</v>
      </c>
      <c r="D587" t="inlineStr">
        <is>
          <t>ÖSTERGÖTLANDS LÄN</t>
        </is>
      </c>
      <c r="E587" t="inlineStr">
        <is>
          <t>LINKÖPING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30518-2024</t>
        </is>
      </c>
      <c r="B588" s="1" t="n">
        <v>45492</v>
      </c>
      <c r="C588" s="1" t="n">
        <v>46101</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4908-2023</t>
        </is>
      </c>
      <c r="B589" s="1" t="n">
        <v>44958</v>
      </c>
      <c r="C589" s="1" t="n">
        <v>46101</v>
      </c>
      <c r="D589" t="inlineStr">
        <is>
          <t>ÖSTERGÖTLANDS LÄN</t>
        </is>
      </c>
      <c r="E589" t="inlineStr">
        <is>
          <t>LINKÖPING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37715-2022</t>
        </is>
      </c>
      <c r="B590" s="1" t="n">
        <v>44810</v>
      </c>
      <c r="C590" s="1" t="n">
        <v>46101</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11888-2026</t>
        </is>
      </c>
      <c r="B591" s="1" t="n">
        <v>46085.51813657407</v>
      </c>
      <c r="C591" s="1" t="n">
        <v>46101</v>
      </c>
      <c r="D591" t="inlineStr">
        <is>
          <t>ÖSTERGÖTLANDS LÄN</t>
        </is>
      </c>
      <c r="E591" t="inlineStr">
        <is>
          <t>LINKÖPING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3011-2023</t>
        </is>
      </c>
      <c r="B592" s="1" t="n">
        <v>44945</v>
      </c>
      <c r="C592" s="1" t="n">
        <v>46101</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12255-2026</t>
        </is>
      </c>
      <c r="B593" s="1" t="n">
        <v>46087.46630787037</v>
      </c>
      <c r="C593" s="1" t="n">
        <v>46101</v>
      </c>
      <c r="D593" t="inlineStr">
        <is>
          <t>ÖSTERGÖTLANDS LÄN</t>
        </is>
      </c>
      <c r="E593" t="inlineStr">
        <is>
          <t>LINKÖPING</t>
        </is>
      </c>
      <c r="F593" t="inlineStr">
        <is>
          <t>Övriga Aktiebolag</t>
        </is>
      </c>
      <c r="G593" t="n">
        <v>3.2</v>
      </c>
      <c r="H593" t="n">
        <v>0</v>
      </c>
      <c r="I593" t="n">
        <v>0</v>
      </c>
      <c r="J593" t="n">
        <v>0</v>
      </c>
      <c r="K593" t="n">
        <v>0</v>
      </c>
      <c r="L593" t="n">
        <v>0</v>
      </c>
      <c r="M593" t="n">
        <v>0</v>
      </c>
      <c r="N593" t="n">
        <v>0</v>
      </c>
      <c r="O593" t="n">
        <v>0</v>
      </c>
      <c r="P593" t="n">
        <v>0</v>
      </c>
      <c r="Q593" t="n">
        <v>0</v>
      </c>
      <c r="R593" s="2" t="inlineStr"/>
    </row>
    <row r="594" ht="15" customHeight="1">
      <c r="A594" t="inlineStr">
        <is>
          <t>A 45442-2024</t>
        </is>
      </c>
      <c r="B594" s="1" t="n">
        <v>45576.64189814815</v>
      </c>
      <c r="C594" s="1" t="n">
        <v>46101</v>
      </c>
      <c r="D594" t="inlineStr">
        <is>
          <t>ÖSTERGÖTLANDS LÄN</t>
        </is>
      </c>
      <c r="E594" t="inlineStr">
        <is>
          <t>LINKÖPING</t>
        </is>
      </c>
      <c r="G594" t="n">
        <v>1.8</v>
      </c>
      <c r="H594" t="n">
        <v>0</v>
      </c>
      <c r="I594" t="n">
        <v>0</v>
      </c>
      <c r="J594" t="n">
        <v>0</v>
      </c>
      <c r="K594" t="n">
        <v>0</v>
      </c>
      <c r="L594" t="n">
        <v>0</v>
      </c>
      <c r="M594" t="n">
        <v>0</v>
      </c>
      <c r="N594" t="n">
        <v>0</v>
      </c>
      <c r="O594" t="n">
        <v>0</v>
      </c>
      <c r="P594" t="n">
        <v>0</v>
      </c>
      <c r="Q594" t="n">
        <v>0</v>
      </c>
      <c r="R594" s="2" t="inlineStr"/>
    </row>
    <row r="595" ht="15" customHeight="1">
      <c r="A595" t="inlineStr">
        <is>
          <t>A 3432-2023</t>
        </is>
      </c>
      <c r="B595" s="1" t="n">
        <v>44949</v>
      </c>
      <c r="C595" s="1" t="n">
        <v>46101</v>
      </c>
      <c r="D595" t="inlineStr">
        <is>
          <t>ÖSTERGÖTLANDS LÄN</t>
        </is>
      </c>
      <c r="E595" t="inlineStr">
        <is>
          <t>LINKÖPING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60472-2022</t>
        </is>
      </c>
      <c r="B596" s="1" t="n">
        <v>44911.41037037037</v>
      </c>
      <c r="C596" s="1" t="n">
        <v>46101</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12720-2022</t>
        </is>
      </c>
      <c r="B597" s="1" t="n">
        <v>44641</v>
      </c>
      <c r="C597" s="1" t="n">
        <v>46101</v>
      </c>
      <c r="D597" t="inlineStr">
        <is>
          <t>ÖSTERGÖTLANDS LÄN</t>
        </is>
      </c>
      <c r="E597" t="inlineStr">
        <is>
          <t>LINKÖPING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38886-2024</t>
        </is>
      </c>
      <c r="B598" s="1" t="n">
        <v>45547.66443287037</v>
      </c>
      <c r="C598" s="1" t="n">
        <v>46101</v>
      </c>
      <c r="D598" t="inlineStr">
        <is>
          <t>ÖSTERGÖTLANDS LÄN</t>
        </is>
      </c>
      <c r="E598" t="inlineStr">
        <is>
          <t>LINKÖPING</t>
        </is>
      </c>
      <c r="G598" t="n">
        <v>5.3</v>
      </c>
      <c r="H598" t="n">
        <v>0</v>
      </c>
      <c r="I598" t="n">
        <v>0</v>
      </c>
      <c r="J598" t="n">
        <v>0</v>
      </c>
      <c r="K598" t="n">
        <v>0</v>
      </c>
      <c r="L598" t="n">
        <v>0</v>
      </c>
      <c r="M598" t="n">
        <v>0</v>
      </c>
      <c r="N598" t="n">
        <v>0</v>
      </c>
      <c r="O598" t="n">
        <v>0</v>
      </c>
      <c r="P598" t="n">
        <v>0</v>
      </c>
      <c r="Q598" t="n">
        <v>0</v>
      </c>
      <c r="R598" s="2" t="inlineStr"/>
    </row>
    <row r="599" ht="15" customHeight="1">
      <c r="A599" t="inlineStr">
        <is>
          <t>A 12482-2026</t>
        </is>
      </c>
      <c r="B599" s="1" t="n">
        <v>46090.56292824074</v>
      </c>
      <c r="C599" s="1" t="n">
        <v>46101</v>
      </c>
      <c r="D599" t="inlineStr">
        <is>
          <t>ÖSTERGÖTLANDS LÄN</t>
        </is>
      </c>
      <c r="E599" t="inlineStr">
        <is>
          <t>LINKÖPING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12486-2026</t>
        </is>
      </c>
      <c r="B600" s="1" t="n">
        <v>46090.56501157407</v>
      </c>
      <c r="C600" s="1" t="n">
        <v>46101</v>
      </c>
      <c r="D600" t="inlineStr">
        <is>
          <t>ÖSTERGÖTLANDS LÄN</t>
        </is>
      </c>
      <c r="E600" t="inlineStr">
        <is>
          <t>LINKÖPING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12251-2026</t>
        </is>
      </c>
      <c r="B601" s="1" t="n">
        <v>46087.45278935185</v>
      </c>
      <c r="C601" s="1" t="n">
        <v>46101</v>
      </c>
      <c r="D601" t="inlineStr">
        <is>
          <t>ÖSTERGÖTLANDS LÄN</t>
        </is>
      </c>
      <c r="E601" t="inlineStr">
        <is>
          <t>LINKÖPING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45831-2024</t>
        </is>
      </c>
      <c r="B602" s="1" t="n">
        <v>45579.90508101852</v>
      </c>
      <c r="C602" s="1" t="n">
        <v>46101</v>
      </c>
      <c r="D602" t="inlineStr">
        <is>
          <t>ÖSTERGÖTLANDS LÄN</t>
        </is>
      </c>
      <c r="E602" t="inlineStr">
        <is>
          <t>LINKÖPING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4469-2026</t>
        </is>
      </c>
      <c r="B603" s="1" t="n">
        <v>46045.65662037037</v>
      </c>
      <c r="C603" s="1" t="n">
        <v>46101</v>
      </c>
      <c r="D603" t="inlineStr">
        <is>
          <t>ÖSTERGÖTLANDS LÄN</t>
        </is>
      </c>
      <c r="E603" t="inlineStr">
        <is>
          <t>LINKÖPING</t>
        </is>
      </c>
      <c r="F603" t="inlineStr">
        <is>
          <t>Övriga Aktiebolag</t>
        </is>
      </c>
      <c r="G603" t="n">
        <v>3.8</v>
      </c>
      <c r="H603" t="n">
        <v>0</v>
      </c>
      <c r="I603" t="n">
        <v>0</v>
      </c>
      <c r="J603" t="n">
        <v>0</v>
      </c>
      <c r="K603" t="n">
        <v>0</v>
      </c>
      <c r="L603" t="n">
        <v>0</v>
      </c>
      <c r="M603" t="n">
        <v>0</v>
      </c>
      <c r="N603" t="n">
        <v>0</v>
      </c>
      <c r="O603" t="n">
        <v>0</v>
      </c>
      <c r="P603" t="n">
        <v>0</v>
      </c>
      <c r="Q603" t="n">
        <v>0</v>
      </c>
      <c r="R603" s="2" t="inlineStr"/>
    </row>
    <row r="604" ht="15" customHeight="1">
      <c r="A604" t="inlineStr">
        <is>
          <t>A 12254-2026</t>
        </is>
      </c>
      <c r="B604" s="1" t="n">
        <v>46087.46196759259</v>
      </c>
      <c r="C604" s="1" t="n">
        <v>46101</v>
      </c>
      <c r="D604" t="inlineStr">
        <is>
          <t>ÖSTERGÖTLANDS LÄN</t>
        </is>
      </c>
      <c r="E604" t="inlineStr">
        <is>
          <t>LINKÖPING</t>
        </is>
      </c>
      <c r="G604" t="n">
        <v>10.4</v>
      </c>
      <c r="H604" t="n">
        <v>0</v>
      </c>
      <c r="I604" t="n">
        <v>0</v>
      </c>
      <c r="J604" t="n">
        <v>0</v>
      </c>
      <c r="K604" t="n">
        <v>0</v>
      </c>
      <c r="L604" t="n">
        <v>0</v>
      </c>
      <c r="M604" t="n">
        <v>0</v>
      </c>
      <c r="N604" t="n">
        <v>0</v>
      </c>
      <c r="O604" t="n">
        <v>0</v>
      </c>
      <c r="P604" t="n">
        <v>0</v>
      </c>
      <c r="Q604" t="n">
        <v>0</v>
      </c>
      <c r="R604" s="2" t="inlineStr"/>
    </row>
    <row r="605" ht="15" customHeight="1">
      <c r="A605" t="inlineStr">
        <is>
          <t>A 57396-2021</t>
        </is>
      </c>
      <c r="B605" s="1" t="n">
        <v>44483.56151620371</v>
      </c>
      <c r="C605" s="1" t="n">
        <v>46101</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12247-2026</t>
        </is>
      </c>
      <c r="B606" s="1" t="n">
        <v>46087.44436342592</v>
      </c>
      <c r="C606" s="1" t="n">
        <v>46101</v>
      </c>
      <c r="D606" t="inlineStr">
        <is>
          <t>ÖSTERGÖTLANDS LÄN</t>
        </is>
      </c>
      <c r="E606" t="inlineStr">
        <is>
          <t>LINKÖPING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22842-2023</t>
        </is>
      </c>
      <c r="B607" s="1" t="n">
        <v>45071</v>
      </c>
      <c r="C607" s="1" t="n">
        <v>46101</v>
      </c>
      <c r="D607" t="inlineStr">
        <is>
          <t>ÖSTERGÖTLANDS LÄN</t>
        </is>
      </c>
      <c r="E607" t="inlineStr">
        <is>
          <t>LINKÖPING</t>
        </is>
      </c>
      <c r="F607" t="inlineStr">
        <is>
          <t>Kommuner</t>
        </is>
      </c>
      <c r="G607" t="n">
        <v>1.3</v>
      </c>
      <c r="H607" t="n">
        <v>0</v>
      </c>
      <c r="I607" t="n">
        <v>0</v>
      </c>
      <c r="J607" t="n">
        <v>0</v>
      </c>
      <c r="K607" t="n">
        <v>0</v>
      </c>
      <c r="L607" t="n">
        <v>0</v>
      </c>
      <c r="M607" t="n">
        <v>0</v>
      </c>
      <c r="N607" t="n">
        <v>0</v>
      </c>
      <c r="O607" t="n">
        <v>0</v>
      </c>
      <c r="P607" t="n">
        <v>0</v>
      </c>
      <c r="Q607" t="n">
        <v>0</v>
      </c>
      <c r="R607" s="2" t="inlineStr"/>
    </row>
    <row r="608" ht="15" customHeight="1">
      <c r="A608" t="inlineStr">
        <is>
          <t>A 50386-2021</t>
        </is>
      </c>
      <c r="B608" s="1" t="n">
        <v>44459</v>
      </c>
      <c r="C608" s="1" t="n">
        <v>46101</v>
      </c>
      <c r="D608" t="inlineStr">
        <is>
          <t>ÖSTERGÖTLANDS LÄN</t>
        </is>
      </c>
      <c r="E608" t="inlineStr">
        <is>
          <t>LINKÖPING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35781-2023</t>
        </is>
      </c>
      <c r="B609" s="1" t="n">
        <v>45147</v>
      </c>
      <c r="C609" s="1" t="n">
        <v>46101</v>
      </c>
      <c r="D609" t="inlineStr">
        <is>
          <t>ÖSTERGÖTLANDS LÄN</t>
        </is>
      </c>
      <c r="E609" t="inlineStr">
        <is>
          <t>LINKÖPING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22770-2024</t>
        </is>
      </c>
      <c r="B610" s="1" t="n">
        <v>45448.4634375</v>
      </c>
      <c r="C610" s="1" t="n">
        <v>46101</v>
      </c>
      <c r="D610" t="inlineStr">
        <is>
          <t>ÖSTERGÖTLANDS LÄN</t>
        </is>
      </c>
      <c r="E610" t="inlineStr">
        <is>
          <t>LINKÖPING</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11671-2023</t>
        </is>
      </c>
      <c r="B611" s="1" t="n">
        <v>44994.48125</v>
      </c>
      <c r="C611" s="1" t="n">
        <v>46101</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54425-2022</t>
        </is>
      </c>
      <c r="B612" s="1" t="n">
        <v>44882.57453703704</v>
      </c>
      <c r="C612" s="1" t="n">
        <v>46101</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5545-2026</t>
        </is>
      </c>
      <c r="B613" s="1" t="n">
        <v>46050.70089120371</v>
      </c>
      <c r="C613" s="1" t="n">
        <v>46101</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30547-2023</t>
        </is>
      </c>
      <c r="B614" s="1" t="n">
        <v>45111.75905092592</v>
      </c>
      <c r="C614" s="1" t="n">
        <v>46101</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24904-2024</t>
        </is>
      </c>
      <c r="B615" s="1" t="n">
        <v>45461</v>
      </c>
      <c r="C615" s="1" t="n">
        <v>46101</v>
      </c>
      <c r="D615" t="inlineStr">
        <is>
          <t>ÖSTERGÖTLANDS LÄN</t>
        </is>
      </c>
      <c r="E615" t="inlineStr">
        <is>
          <t>LINKÖPING</t>
        </is>
      </c>
      <c r="G615" t="n">
        <v>3.8</v>
      </c>
      <c r="H615" t="n">
        <v>0</v>
      </c>
      <c r="I615" t="n">
        <v>0</v>
      </c>
      <c r="J615" t="n">
        <v>0</v>
      </c>
      <c r="K615" t="n">
        <v>0</v>
      </c>
      <c r="L615" t="n">
        <v>0</v>
      </c>
      <c r="M615" t="n">
        <v>0</v>
      </c>
      <c r="N615" t="n">
        <v>0</v>
      </c>
      <c r="O615" t="n">
        <v>0</v>
      </c>
      <c r="P615" t="n">
        <v>0</v>
      </c>
      <c r="Q615" t="n">
        <v>0</v>
      </c>
      <c r="R615" s="2" t="inlineStr"/>
    </row>
    <row r="616" ht="15" customHeight="1">
      <c r="A616" t="inlineStr">
        <is>
          <t>A 5099-2026</t>
        </is>
      </c>
      <c r="B616" s="1" t="n">
        <v>46049.56158564815</v>
      </c>
      <c r="C616" s="1" t="n">
        <v>46101</v>
      </c>
      <c r="D616" t="inlineStr">
        <is>
          <t>ÖSTERGÖTLANDS LÄN</t>
        </is>
      </c>
      <c r="E616" t="inlineStr">
        <is>
          <t>LINKÖPING</t>
        </is>
      </c>
      <c r="G616" t="n">
        <v>5</v>
      </c>
      <c r="H616" t="n">
        <v>0</v>
      </c>
      <c r="I616" t="n">
        <v>0</v>
      </c>
      <c r="J616" t="n">
        <v>0</v>
      </c>
      <c r="K616" t="n">
        <v>0</v>
      </c>
      <c r="L616" t="n">
        <v>0</v>
      </c>
      <c r="M616" t="n">
        <v>0</v>
      </c>
      <c r="N616" t="n">
        <v>0</v>
      </c>
      <c r="O616" t="n">
        <v>0</v>
      </c>
      <c r="P616" t="n">
        <v>0</v>
      </c>
      <c r="Q616" t="n">
        <v>0</v>
      </c>
      <c r="R616" s="2" t="inlineStr"/>
    </row>
    <row r="617" ht="15" customHeight="1">
      <c r="A617" t="inlineStr">
        <is>
          <t>A 26788-2022</t>
        </is>
      </c>
      <c r="B617" s="1" t="n">
        <v>44740</v>
      </c>
      <c r="C617" s="1" t="n">
        <v>46101</v>
      </c>
      <c r="D617" t="inlineStr">
        <is>
          <t>ÖSTERGÖTLANDS LÄN</t>
        </is>
      </c>
      <c r="E617" t="inlineStr">
        <is>
          <t>LINKÖPING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15121-2022</t>
        </is>
      </c>
      <c r="B618" s="1" t="n">
        <v>44658</v>
      </c>
      <c r="C618" s="1" t="n">
        <v>46101</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10477-2026</t>
        </is>
      </c>
      <c r="B619" s="1" t="n">
        <v>46077.4871875</v>
      </c>
      <c r="C619" s="1" t="n">
        <v>46101</v>
      </c>
      <c r="D619" t="inlineStr">
        <is>
          <t>ÖSTERGÖTLANDS LÄN</t>
        </is>
      </c>
      <c r="E619" t="inlineStr">
        <is>
          <t>LINKÖPING</t>
        </is>
      </c>
      <c r="G619" t="n">
        <v>9.6</v>
      </c>
      <c r="H619" t="n">
        <v>0</v>
      </c>
      <c r="I619" t="n">
        <v>0</v>
      </c>
      <c r="J619" t="n">
        <v>0</v>
      </c>
      <c r="K619" t="n">
        <v>0</v>
      </c>
      <c r="L619" t="n">
        <v>0</v>
      </c>
      <c r="M619" t="n">
        <v>0</v>
      </c>
      <c r="N619" t="n">
        <v>0</v>
      </c>
      <c r="O619" t="n">
        <v>0</v>
      </c>
      <c r="P619" t="n">
        <v>0</v>
      </c>
      <c r="Q619" t="n">
        <v>0</v>
      </c>
      <c r="R619" s="2" t="inlineStr"/>
    </row>
    <row r="620" ht="15" customHeight="1">
      <c r="A620" t="inlineStr">
        <is>
          <t>A 51919-2024</t>
        </is>
      </c>
      <c r="B620" s="1" t="n">
        <v>45607.60791666667</v>
      </c>
      <c r="C620" s="1" t="n">
        <v>46101</v>
      </c>
      <c r="D620" t="inlineStr">
        <is>
          <t>ÖSTERGÖTLANDS LÄN</t>
        </is>
      </c>
      <c r="E620" t="inlineStr">
        <is>
          <t>LINKÖPING</t>
        </is>
      </c>
      <c r="G620" t="n">
        <v>2.5</v>
      </c>
      <c r="H620" t="n">
        <v>0</v>
      </c>
      <c r="I620" t="n">
        <v>0</v>
      </c>
      <c r="J620" t="n">
        <v>0</v>
      </c>
      <c r="K620" t="n">
        <v>0</v>
      </c>
      <c r="L620" t="n">
        <v>0</v>
      </c>
      <c r="M620" t="n">
        <v>0</v>
      </c>
      <c r="N620" t="n">
        <v>0</v>
      </c>
      <c r="O620" t="n">
        <v>0</v>
      </c>
      <c r="P620" t="n">
        <v>0</v>
      </c>
      <c r="Q620" t="n">
        <v>0</v>
      </c>
      <c r="R620" s="2" t="inlineStr"/>
    </row>
    <row r="621" ht="15" customHeight="1">
      <c r="A621" t="inlineStr">
        <is>
          <t>A 55009-2023</t>
        </is>
      </c>
      <c r="B621" s="1" t="n">
        <v>45237</v>
      </c>
      <c r="C621" s="1" t="n">
        <v>46101</v>
      </c>
      <c r="D621" t="inlineStr">
        <is>
          <t>ÖSTERGÖTLANDS LÄN</t>
        </is>
      </c>
      <c r="E621" t="inlineStr">
        <is>
          <t>LINKÖPING</t>
        </is>
      </c>
      <c r="G621" t="n">
        <v>1.5</v>
      </c>
      <c r="H621" t="n">
        <v>0</v>
      </c>
      <c r="I621" t="n">
        <v>0</v>
      </c>
      <c r="J621" t="n">
        <v>0</v>
      </c>
      <c r="K621" t="n">
        <v>0</v>
      </c>
      <c r="L621" t="n">
        <v>0</v>
      </c>
      <c r="M621" t="n">
        <v>0</v>
      </c>
      <c r="N621" t="n">
        <v>0</v>
      </c>
      <c r="O621" t="n">
        <v>0</v>
      </c>
      <c r="P621" t="n">
        <v>0</v>
      </c>
      <c r="Q621" t="n">
        <v>0</v>
      </c>
      <c r="R621" s="2" t="inlineStr"/>
    </row>
    <row r="622" ht="15" customHeight="1">
      <c r="A622" t="inlineStr">
        <is>
          <t>A 20291-2025</t>
        </is>
      </c>
      <c r="B622" s="1" t="n">
        <v>45774.74288194445</v>
      </c>
      <c r="C622" s="1" t="n">
        <v>46101</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20293-2025</t>
        </is>
      </c>
      <c r="B623" s="1" t="n">
        <v>45774.74611111111</v>
      </c>
      <c r="C623" s="1" t="n">
        <v>46101</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660-2023</t>
        </is>
      </c>
      <c r="B624" s="1" t="n">
        <v>44930</v>
      </c>
      <c r="C624" s="1" t="n">
        <v>46101</v>
      </c>
      <c r="D624" t="inlineStr">
        <is>
          <t>ÖSTERGÖTLANDS LÄN</t>
        </is>
      </c>
      <c r="E624" t="inlineStr">
        <is>
          <t>LINKÖPING</t>
        </is>
      </c>
      <c r="F624" t="inlineStr">
        <is>
          <t>Kyrkan</t>
        </is>
      </c>
      <c r="G624" t="n">
        <v>1.6</v>
      </c>
      <c r="H624" t="n">
        <v>0</v>
      </c>
      <c r="I624" t="n">
        <v>0</v>
      </c>
      <c r="J624" t="n">
        <v>0</v>
      </c>
      <c r="K624" t="n">
        <v>0</v>
      </c>
      <c r="L624" t="n">
        <v>0</v>
      </c>
      <c r="M624" t="n">
        <v>0</v>
      </c>
      <c r="N624" t="n">
        <v>0</v>
      </c>
      <c r="O624" t="n">
        <v>0</v>
      </c>
      <c r="P624" t="n">
        <v>0</v>
      </c>
      <c r="Q624" t="n">
        <v>0</v>
      </c>
      <c r="R624" s="2" t="inlineStr"/>
    </row>
    <row r="625" ht="15" customHeight="1">
      <c r="A625" t="inlineStr">
        <is>
          <t>A 64694-2023</t>
        </is>
      </c>
      <c r="B625" s="1" t="n">
        <v>45281</v>
      </c>
      <c r="C625" s="1" t="n">
        <v>46101</v>
      </c>
      <c r="D625" t="inlineStr">
        <is>
          <t>ÖSTERGÖTLANDS LÄN</t>
        </is>
      </c>
      <c r="E625" t="inlineStr">
        <is>
          <t>LINKÖPING</t>
        </is>
      </c>
      <c r="F625" t="inlineStr">
        <is>
          <t>Övriga statliga verk och myndigheter</t>
        </is>
      </c>
      <c r="G625" t="n">
        <v>4.9</v>
      </c>
      <c r="H625" t="n">
        <v>0</v>
      </c>
      <c r="I625" t="n">
        <v>0</v>
      </c>
      <c r="J625" t="n">
        <v>0</v>
      </c>
      <c r="K625" t="n">
        <v>0</v>
      </c>
      <c r="L625" t="n">
        <v>0</v>
      </c>
      <c r="M625" t="n">
        <v>0</v>
      </c>
      <c r="N625" t="n">
        <v>0</v>
      </c>
      <c r="O625" t="n">
        <v>0</v>
      </c>
      <c r="P625" t="n">
        <v>0</v>
      </c>
      <c r="Q625" t="n">
        <v>0</v>
      </c>
      <c r="R625" s="2" t="inlineStr"/>
    </row>
    <row r="626" ht="15" customHeight="1">
      <c r="A626" t="inlineStr">
        <is>
          <t>A 63487-2023</t>
        </is>
      </c>
      <c r="B626" s="1" t="n">
        <v>45274.66712962963</v>
      </c>
      <c r="C626" s="1" t="n">
        <v>46101</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13565-2026</t>
        </is>
      </c>
      <c r="B627" s="1" t="n">
        <v>46094.80006944444</v>
      </c>
      <c r="C627" s="1" t="n">
        <v>46101</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20455-2024</t>
        </is>
      </c>
      <c r="B628" s="1" t="n">
        <v>45435.65314814815</v>
      </c>
      <c r="C628" s="1" t="n">
        <v>46101</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30471-2023</t>
        </is>
      </c>
      <c r="B629" s="1" t="n">
        <v>45111.58931712963</v>
      </c>
      <c r="C629" s="1" t="n">
        <v>46101</v>
      </c>
      <c r="D629" t="inlineStr">
        <is>
          <t>ÖSTERGÖTLANDS LÄN</t>
        </is>
      </c>
      <c r="E629" t="inlineStr">
        <is>
          <t>LINKÖPING</t>
        </is>
      </c>
      <c r="G629" t="n">
        <v>2.9</v>
      </c>
      <c r="H629" t="n">
        <v>0</v>
      </c>
      <c r="I629" t="n">
        <v>0</v>
      </c>
      <c r="J629" t="n">
        <v>0</v>
      </c>
      <c r="K629" t="n">
        <v>0</v>
      </c>
      <c r="L629" t="n">
        <v>0</v>
      </c>
      <c r="M629" t="n">
        <v>0</v>
      </c>
      <c r="N629" t="n">
        <v>0</v>
      </c>
      <c r="O629" t="n">
        <v>0</v>
      </c>
      <c r="P629" t="n">
        <v>0</v>
      </c>
      <c r="Q629" t="n">
        <v>0</v>
      </c>
      <c r="R629" s="2" t="inlineStr"/>
    </row>
    <row r="630" ht="15" customHeight="1">
      <c r="A630" t="inlineStr">
        <is>
          <t>A 14093-2024</t>
        </is>
      </c>
      <c r="B630" s="1" t="n">
        <v>45392.60278935185</v>
      </c>
      <c r="C630" s="1" t="n">
        <v>46101</v>
      </c>
      <c r="D630" t="inlineStr">
        <is>
          <t>ÖSTERGÖTLANDS LÄN</t>
        </is>
      </c>
      <c r="E630" t="inlineStr">
        <is>
          <t>LINKÖPING</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6384-2026</t>
        </is>
      </c>
      <c r="B631" s="1" t="n">
        <v>46055.63732638889</v>
      </c>
      <c r="C631" s="1" t="n">
        <v>46101</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6164-2026</t>
        </is>
      </c>
      <c r="B632" s="1" t="n">
        <v>46055.32596064815</v>
      </c>
      <c r="C632" s="1" t="n">
        <v>46101</v>
      </c>
      <c r="D632" t="inlineStr">
        <is>
          <t>ÖSTERGÖTLANDS LÄN</t>
        </is>
      </c>
      <c r="E632" t="inlineStr">
        <is>
          <t>LINKÖPING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63304-2021</t>
        </is>
      </c>
      <c r="B633" s="1" t="n">
        <v>44508.4396412037</v>
      </c>
      <c r="C633" s="1" t="n">
        <v>46101</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19362-2023</t>
        </is>
      </c>
      <c r="B634" s="1" t="n">
        <v>45049</v>
      </c>
      <c r="C634" s="1" t="n">
        <v>46101</v>
      </c>
      <c r="D634" t="inlineStr">
        <is>
          <t>ÖSTERGÖTLANDS LÄN</t>
        </is>
      </c>
      <c r="E634" t="inlineStr">
        <is>
          <t>LINKÖPING</t>
        </is>
      </c>
      <c r="G634" t="n">
        <v>0.1</v>
      </c>
      <c r="H634" t="n">
        <v>0</v>
      </c>
      <c r="I634" t="n">
        <v>0</v>
      </c>
      <c r="J634" t="n">
        <v>0</v>
      </c>
      <c r="K634" t="n">
        <v>0</v>
      </c>
      <c r="L634" t="n">
        <v>0</v>
      </c>
      <c r="M634" t="n">
        <v>0</v>
      </c>
      <c r="N634" t="n">
        <v>0</v>
      </c>
      <c r="O634" t="n">
        <v>0</v>
      </c>
      <c r="P634" t="n">
        <v>0</v>
      </c>
      <c r="Q634" t="n">
        <v>0</v>
      </c>
      <c r="R634" s="2" t="inlineStr"/>
    </row>
    <row r="635" ht="15" customHeight="1">
      <c r="A635" t="inlineStr">
        <is>
          <t>A 35463-2023</t>
        </is>
      </c>
      <c r="B635" s="1" t="n">
        <v>45146</v>
      </c>
      <c r="C635" s="1" t="n">
        <v>46101</v>
      </c>
      <c r="D635" t="inlineStr">
        <is>
          <t>ÖSTERGÖTLANDS LÄN</t>
        </is>
      </c>
      <c r="E635" t="inlineStr">
        <is>
          <t>LINKÖPING</t>
        </is>
      </c>
      <c r="F635" t="inlineStr">
        <is>
          <t>Övriga Aktiebolag</t>
        </is>
      </c>
      <c r="G635" t="n">
        <v>1.8</v>
      </c>
      <c r="H635" t="n">
        <v>0</v>
      </c>
      <c r="I635" t="n">
        <v>0</v>
      </c>
      <c r="J635" t="n">
        <v>0</v>
      </c>
      <c r="K635" t="n">
        <v>0</v>
      </c>
      <c r="L635" t="n">
        <v>0</v>
      </c>
      <c r="M635" t="n">
        <v>0</v>
      </c>
      <c r="N635" t="n">
        <v>0</v>
      </c>
      <c r="O635" t="n">
        <v>0</v>
      </c>
      <c r="P635" t="n">
        <v>0</v>
      </c>
      <c r="Q635" t="n">
        <v>0</v>
      </c>
      <c r="R635" s="2" t="inlineStr"/>
    </row>
    <row r="636" ht="15" customHeight="1">
      <c r="A636" t="inlineStr">
        <is>
          <t>A 16111-2022</t>
        </is>
      </c>
      <c r="B636" s="1" t="n">
        <v>44665</v>
      </c>
      <c r="C636" s="1" t="n">
        <v>46101</v>
      </c>
      <c r="D636" t="inlineStr">
        <is>
          <t>ÖSTERGÖTLANDS LÄN</t>
        </is>
      </c>
      <c r="E636" t="inlineStr">
        <is>
          <t>LINKÖPING</t>
        </is>
      </c>
      <c r="F636" t="inlineStr">
        <is>
          <t>Övriga Aktiebolag</t>
        </is>
      </c>
      <c r="G636" t="n">
        <v>2.9</v>
      </c>
      <c r="H636" t="n">
        <v>0</v>
      </c>
      <c r="I636" t="n">
        <v>0</v>
      </c>
      <c r="J636" t="n">
        <v>0</v>
      </c>
      <c r="K636" t="n">
        <v>0</v>
      </c>
      <c r="L636" t="n">
        <v>0</v>
      </c>
      <c r="M636" t="n">
        <v>0</v>
      </c>
      <c r="N636" t="n">
        <v>0</v>
      </c>
      <c r="O636" t="n">
        <v>0</v>
      </c>
      <c r="P636" t="n">
        <v>0</v>
      </c>
      <c r="Q636" t="n">
        <v>0</v>
      </c>
      <c r="R636" s="2" t="inlineStr"/>
    </row>
    <row r="637" ht="15" customHeight="1">
      <c r="A637" t="inlineStr">
        <is>
          <t>A 31635-2023</t>
        </is>
      </c>
      <c r="B637" s="1" t="n">
        <v>45105</v>
      </c>
      <c r="C637" s="1" t="n">
        <v>46101</v>
      </c>
      <c r="D637" t="inlineStr">
        <is>
          <t>ÖSTERGÖTLANDS LÄN</t>
        </is>
      </c>
      <c r="E637" t="inlineStr">
        <is>
          <t>LINKÖPING</t>
        </is>
      </c>
      <c r="F637" t="inlineStr">
        <is>
          <t>Övriga statliga verk och myndigheter</t>
        </is>
      </c>
      <c r="G637" t="n">
        <v>4.6</v>
      </c>
      <c r="H637" t="n">
        <v>0</v>
      </c>
      <c r="I637" t="n">
        <v>0</v>
      </c>
      <c r="J637" t="n">
        <v>0</v>
      </c>
      <c r="K637" t="n">
        <v>0</v>
      </c>
      <c r="L637" t="n">
        <v>0</v>
      </c>
      <c r="M637" t="n">
        <v>0</v>
      </c>
      <c r="N637" t="n">
        <v>0</v>
      </c>
      <c r="O637" t="n">
        <v>0</v>
      </c>
      <c r="P637" t="n">
        <v>0</v>
      </c>
      <c r="Q637" t="n">
        <v>0</v>
      </c>
      <c r="R637" s="2" t="inlineStr"/>
    </row>
    <row r="638" ht="15" customHeight="1">
      <c r="A638" t="inlineStr">
        <is>
          <t>A 49928-2024</t>
        </is>
      </c>
      <c r="B638" s="1" t="n">
        <v>45597.57811342592</v>
      </c>
      <c r="C638" s="1" t="n">
        <v>46101</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54845-2023</t>
        </is>
      </c>
      <c r="B639" s="1" t="n">
        <v>45236</v>
      </c>
      <c r="C639" s="1" t="n">
        <v>46101</v>
      </c>
      <c r="D639" t="inlineStr">
        <is>
          <t>ÖSTERGÖTLANDS LÄN</t>
        </is>
      </c>
      <c r="E639" t="inlineStr">
        <is>
          <t>LINKÖPING</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46687-2021</t>
        </is>
      </c>
      <c r="B640" s="1" t="n">
        <v>44445</v>
      </c>
      <c r="C640" s="1" t="n">
        <v>46101</v>
      </c>
      <c r="D640" t="inlineStr">
        <is>
          <t>ÖSTERGÖTLANDS LÄN</t>
        </is>
      </c>
      <c r="E640" t="inlineStr">
        <is>
          <t>LINKÖPING</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30855-2022</t>
        </is>
      </c>
      <c r="B641" s="1" t="n">
        <v>44767</v>
      </c>
      <c r="C641" s="1" t="n">
        <v>46101</v>
      </c>
      <c r="D641" t="inlineStr">
        <is>
          <t>ÖSTERGÖTLANDS LÄN</t>
        </is>
      </c>
      <c r="E641" t="inlineStr">
        <is>
          <t>LINKÖPING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1355-2023</t>
        </is>
      </c>
      <c r="B642" s="1" t="n">
        <v>44931</v>
      </c>
      <c r="C642" s="1" t="n">
        <v>46101</v>
      </c>
      <c r="D642" t="inlineStr">
        <is>
          <t>ÖSTERGÖTLANDS LÄN</t>
        </is>
      </c>
      <c r="E642" t="inlineStr">
        <is>
          <t>LINKÖPING</t>
        </is>
      </c>
      <c r="G642" t="n">
        <v>4</v>
      </c>
      <c r="H642" t="n">
        <v>0</v>
      </c>
      <c r="I642" t="n">
        <v>0</v>
      </c>
      <c r="J642" t="n">
        <v>0</v>
      </c>
      <c r="K642" t="n">
        <v>0</v>
      </c>
      <c r="L642" t="n">
        <v>0</v>
      </c>
      <c r="M642" t="n">
        <v>0</v>
      </c>
      <c r="N642" t="n">
        <v>0</v>
      </c>
      <c r="O642" t="n">
        <v>0</v>
      </c>
      <c r="P642" t="n">
        <v>0</v>
      </c>
      <c r="Q642" t="n">
        <v>0</v>
      </c>
      <c r="R642" s="2" t="inlineStr"/>
    </row>
    <row r="643" ht="15" customHeight="1">
      <c r="A643" t="inlineStr">
        <is>
          <t>A 27844-2024</t>
        </is>
      </c>
      <c r="B643" s="1" t="n">
        <v>45475.63047453704</v>
      </c>
      <c r="C643" s="1" t="n">
        <v>46101</v>
      </c>
      <c r="D643" t="inlineStr">
        <is>
          <t>ÖSTERGÖTLANDS LÄN</t>
        </is>
      </c>
      <c r="E643" t="inlineStr">
        <is>
          <t>LINKÖPING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13927-2026</t>
        </is>
      </c>
      <c r="B644" s="1" t="n">
        <v>46098</v>
      </c>
      <c r="C644" s="1" t="n">
        <v>46101</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7133-2026</t>
        </is>
      </c>
      <c r="B645" s="1" t="n">
        <v>46057</v>
      </c>
      <c r="C645" s="1" t="n">
        <v>46101</v>
      </c>
      <c r="D645" t="inlineStr">
        <is>
          <t>ÖSTERGÖTLANDS LÄN</t>
        </is>
      </c>
      <c r="E645" t="inlineStr">
        <is>
          <t>LINKÖPING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14157-2026</t>
        </is>
      </c>
      <c r="B646" s="1" t="n">
        <v>46099.46829861111</v>
      </c>
      <c r="C646" s="1" t="n">
        <v>46101</v>
      </c>
      <c r="D646" t="inlineStr">
        <is>
          <t>ÖSTERGÖTLANDS LÄN</t>
        </is>
      </c>
      <c r="E646" t="inlineStr">
        <is>
          <t>LINKÖPING</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10741-2023</t>
        </is>
      </c>
      <c r="B647" s="1" t="n">
        <v>44988.70084490741</v>
      </c>
      <c r="C647" s="1" t="n">
        <v>46101</v>
      </c>
      <c r="D647" t="inlineStr">
        <is>
          <t>ÖSTERGÖTLANDS LÄN</t>
        </is>
      </c>
      <c r="E647" t="inlineStr">
        <is>
          <t>LINKÖPING</t>
        </is>
      </c>
      <c r="F647" t="inlineStr">
        <is>
          <t>Allmännings- och besparingsskogar</t>
        </is>
      </c>
      <c r="G647" t="n">
        <v>11.2</v>
      </c>
      <c r="H647" t="n">
        <v>0</v>
      </c>
      <c r="I647" t="n">
        <v>0</v>
      </c>
      <c r="J647" t="n">
        <v>0</v>
      </c>
      <c r="K647" t="n">
        <v>0</v>
      </c>
      <c r="L647" t="n">
        <v>0</v>
      </c>
      <c r="M647" t="n">
        <v>0</v>
      </c>
      <c r="N647" t="n">
        <v>0</v>
      </c>
      <c r="O647" t="n">
        <v>0</v>
      </c>
      <c r="P647" t="n">
        <v>0</v>
      </c>
      <c r="Q647" t="n">
        <v>0</v>
      </c>
      <c r="R647" s="2" t="inlineStr"/>
    </row>
    <row r="648" ht="15" customHeight="1">
      <c r="A648" t="inlineStr">
        <is>
          <t>A 50963-2021</t>
        </is>
      </c>
      <c r="B648" s="1" t="n">
        <v>44460</v>
      </c>
      <c r="C648" s="1" t="n">
        <v>46101</v>
      </c>
      <c r="D648" t="inlineStr">
        <is>
          <t>ÖSTERGÖTLANDS LÄN</t>
        </is>
      </c>
      <c r="E648" t="inlineStr">
        <is>
          <t>LINKÖPING</t>
        </is>
      </c>
      <c r="G648" t="n">
        <v>4.4</v>
      </c>
      <c r="H648" t="n">
        <v>0</v>
      </c>
      <c r="I648" t="n">
        <v>0</v>
      </c>
      <c r="J648" t="n">
        <v>0</v>
      </c>
      <c r="K648" t="n">
        <v>0</v>
      </c>
      <c r="L648" t="n">
        <v>0</v>
      </c>
      <c r="M648" t="n">
        <v>0</v>
      </c>
      <c r="N648" t="n">
        <v>0</v>
      </c>
      <c r="O648" t="n">
        <v>0</v>
      </c>
      <c r="P648" t="n">
        <v>0</v>
      </c>
      <c r="Q648" t="n">
        <v>0</v>
      </c>
      <c r="R648" s="2" t="inlineStr"/>
    </row>
    <row r="649" ht="15" customHeight="1">
      <c r="A649" t="inlineStr">
        <is>
          <t>A 45821-2024</t>
        </is>
      </c>
      <c r="B649" s="1" t="n">
        <v>45579.75803240741</v>
      </c>
      <c r="C649" s="1" t="n">
        <v>46101</v>
      </c>
      <c r="D649" t="inlineStr">
        <is>
          <t>ÖSTERGÖTLANDS LÄN</t>
        </is>
      </c>
      <c r="E649" t="inlineStr">
        <is>
          <t>LINKÖPING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61936-2023</t>
        </is>
      </c>
      <c r="B650" s="1" t="n">
        <v>45266.54534722222</v>
      </c>
      <c r="C650" s="1" t="n">
        <v>46101</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1263-2024</t>
        </is>
      </c>
      <c r="B651" s="1" t="n">
        <v>45302</v>
      </c>
      <c r="C651" s="1" t="n">
        <v>46101</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24464-2023</t>
        </is>
      </c>
      <c r="B652" s="1" t="n">
        <v>45082.58068287037</v>
      </c>
      <c r="C652" s="1" t="n">
        <v>46101</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48389-2024</t>
        </is>
      </c>
      <c r="B653" s="1" t="n">
        <v>45590.59991898148</v>
      </c>
      <c r="C653" s="1" t="n">
        <v>46101</v>
      </c>
      <c r="D653" t="inlineStr">
        <is>
          <t>ÖSTERGÖTLANDS LÄN</t>
        </is>
      </c>
      <c r="E653" t="inlineStr">
        <is>
          <t>LINKÖPING</t>
        </is>
      </c>
      <c r="G653" t="n">
        <v>2.6</v>
      </c>
      <c r="H653" t="n">
        <v>0</v>
      </c>
      <c r="I653" t="n">
        <v>0</v>
      </c>
      <c r="J653" t="n">
        <v>0</v>
      </c>
      <c r="K653" t="n">
        <v>0</v>
      </c>
      <c r="L653" t="n">
        <v>0</v>
      </c>
      <c r="M653" t="n">
        <v>0</v>
      </c>
      <c r="N653" t="n">
        <v>0</v>
      </c>
      <c r="O653" t="n">
        <v>0</v>
      </c>
      <c r="P653" t="n">
        <v>0</v>
      </c>
      <c r="Q653" t="n">
        <v>0</v>
      </c>
      <c r="R653" s="2" t="inlineStr"/>
    </row>
    <row r="654" ht="15" customHeight="1">
      <c r="A654" t="inlineStr">
        <is>
          <t>A 61281-2021</t>
        </is>
      </c>
      <c r="B654" s="1" t="n">
        <v>44498.60736111111</v>
      </c>
      <c r="C654" s="1" t="n">
        <v>46101</v>
      </c>
      <c r="D654" t="inlineStr">
        <is>
          <t>ÖSTERGÖTLANDS LÄN</t>
        </is>
      </c>
      <c r="E654" t="inlineStr">
        <is>
          <t>LINKÖPING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6369-2023</t>
        </is>
      </c>
      <c r="B655" s="1" t="n">
        <v>44965.61106481482</v>
      </c>
      <c r="C655" s="1" t="n">
        <v>46101</v>
      </c>
      <c r="D655" t="inlineStr">
        <is>
          <t>ÖSTERGÖTLANDS LÄN</t>
        </is>
      </c>
      <c r="E655" t="inlineStr">
        <is>
          <t>LINKÖPING</t>
        </is>
      </c>
      <c r="G655" t="n">
        <v>4</v>
      </c>
      <c r="H655" t="n">
        <v>0</v>
      </c>
      <c r="I655" t="n">
        <v>0</v>
      </c>
      <c r="J655" t="n">
        <v>0</v>
      </c>
      <c r="K655" t="n">
        <v>0</v>
      </c>
      <c r="L655" t="n">
        <v>0</v>
      </c>
      <c r="M655" t="n">
        <v>0</v>
      </c>
      <c r="N655" t="n">
        <v>0</v>
      </c>
      <c r="O655" t="n">
        <v>0</v>
      </c>
      <c r="P655" t="n">
        <v>0</v>
      </c>
      <c r="Q655" t="n">
        <v>0</v>
      </c>
      <c r="R655" s="2" t="inlineStr"/>
    </row>
    <row r="656" ht="15" customHeight="1">
      <c r="A656" t="inlineStr">
        <is>
          <t>A 10094-2024</t>
        </is>
      </c>
      <c r="B656" s="1" t="n">
        <v>45364</v>
      </c>
      <c r="C656" s="1" t="n">
        <v>46101</v>
      </c>
      <c r="D656" t="inlineStr">
        <is>
          <t>ÖSTERGÖTLANDS LÄN</t>
        </is>
      </c>
      <c r="E656" t="inlineStr">
        <is>
          <t>LINKÖPING</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1207-2023</t>
        </is>
      </c>
      <c r="B657" s="1" t="n">
        <v>44930</v>
      </c>
      <c r="C657" s="1" t="n">
        <v>46101</v>
      </c>
      <c r="D657" t="inlineStr">
        <is>
          <t>ÖSTERGÖTLANDS LÄN</t>
        </is>
      </c>
      <c r="E657" t="inlineStr">
        <is>
          <t>LINKÖPING</t>
        </is>
      </c>
      <c r="F657" t="inlineStr">
        <is>
          <t>Övriga statliga verk och myndigheter</t>
        </is>
      </c>
      <c r="G657" t="n">
        <v>32.8</v>
      </c>
      <c r="H657" t="n">
        <v>0</v>
      </c>
      <c r="I657" t="n">
        <v>0</v>
      </c>
      <c r="J657" t="n">
        <v>0</v>
      </c>
      <c r="K657" t="n">
        <v>0</v>
      </c>
      <c r="L657" t="n">
        <v>0</v>
      </c>
      <c r="M657" t="n">
        <v>0</v>
      </c>
      <c r="N657" t="n">
        <v>0</v>
      </c>
      <c r="O657" t="n">
        <v>0</v>
      </c>
      <c r="P657" t="n">
        <v>0</v>
      </c>
      <c r="Q657" t="n">
        <v>0</v>
      </c>
      <c r="R657" s="2" t="inlineStr"/>
    </row>
    <row r="658" ht="15" customHeight="1">
      <c r="A658" t="inlineStr">
        <is>
          <t>A 62015-2024</t>
        </is>
      </c>
      <c r="B658" s="1" t="n">
        <v>45655.80457175926</v>
      </c>
      <c r="C658" s="1" t="n">
        <v>46101</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62020-2024</t>
        </is>
      </c>
      <c r="B659" s="1" t="n">
        <v>45655.83563657408</v>
      </c>
      <c r="C659" s="1" t="n">
        <v>46101</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62021-2024</t>
        </is>
      </c>
      <c r="B660" s="1" t="n">
        <v>45655.84232638889</v>
      </c>
      <c r="C660" s="1" t="n">
        <v>46101</v>
      </c>
      <c r="D660" t="inlineStr">
        <is>
          <t>ÖSTERGÖTLANDS LÄN</t>
        </is>
      </c>
      <c r="E660" t="inlineStr">
        <is>
          <t>LINKÖPING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27891-2021</t>
        </is>
      </c>
      <c r="B661" s="1" t="n">
        <v>44354.65108796296</v>
      </c>
      <c r="C661" s="1" t="n">
        <v>46101</v>
      </c>
      <c r="D661" t="inlineStr">
        <is>
          <t>ÖSTERGÖTLANDS LÄN</t>
        </is>
      </c>
      <c r="E661" t="inlineStr">
        <is>
          <t>LINKÖPING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57391-2023</t>
        </is>
      </c>
      <c r="B662" s="1" t="n">
        <v>45245</v>
      </c>
      <c r="C662" s="1" t="n">
        <v>46101</v>
      </c>
      <c r="D662" t="inlineStr">
        <is>
          <t>ÖSTERGÖTLANDS LÄN</t>
        </is>
      </c>
      <c r="E662" t="inlineStr">
        <is>
          <t>LINKÖPING</t>
        </is>
      </c>
      <c r="F662" t="inlineStr">
        <is>
          <t>Övriga Aktiebolag</t>
        </is>
      </c>
      <c r="G662" t="n">
        <v>1.7</v>
      </c>
      <c r="H662" t="n">
        <v>0</v>
      </c>
      <c r="I662" t="n">
        <v>0</v>
      </c>
      <c r="J662" t="n">
        <v>0</v>
      </c>
      <c r="K662" t="n">
        <v>0</v>
      </c>
      <c r="L662" t="n">
        <v>0</v>
      </c>
      <c r="M662" t="n">
        <v>0</v>
      </c>
      <c r="N662" t="n">
        <v>0</v>
      </c>
      <c r="O662" t="n">
        <v>0</v>
      </c>
      <c r="P662" t="n">
        <v>0</v>
      </c>
      <c r="Q662" t="n">
        <v>0</v>
      </c>
      <c r="R662" s="2" t="inlineStr"/>
    </row>
    <row r="663" ht="15" customHeight="1">
      <c r="A663" t="inlineStr">
        <is>
          <t>A 20294-2025</t>
        </is>
      </c>
      <c r="B663" s="1" t="n">
        <v>45774.74667824074</v>
      </c>
      <c r="C663" s="1" t="n">
        <v>46101</v>
      </c>
      <c r="D663" t="inlineStr">
        <is>
          <t>ÖSTERGÖTLANDS LÄN</t>
        </is>
      </c>
      <c r="E663" t="inlineStr">
        <is>
          <t>LINKÖPING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60013-2022</t>
        </is>
      </c>
      <c r="B664" s="1" t="n">
        <v>44909.47482638889</v>
      </c>
      <c r="C664" s="1" t="n">
        <v>46101</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3007-2025</t>
        </is>
      </c>
      <c r="B665" s="1" t="n">
        <v>45678.56328703704</v>
      </c>
      <c r="C665" s="1" t="n">
        <v>46101</v>
      </c>
      <c r="D665" t="inlineStr">
        <is>
          <t>ÖSTERGÖTLANDS LÄN</t>
        </is>
      </c>
      <c r="E665" t="inlineStr">
        <is>
          <t>LINKÖPING</t>
        </is>
      </c>
      <c r="G665" t="n">
        <v>3.1</v>
      </c>
      <c r="H665" t="n">
        <v>0</v>
      </c>
      <c r="I665" t="n">
        <v>0</v>
      </c>
      <c r="J665" t="n">
        <v>0</v>
      </c>
      <c r="K665" t="n">
        <v>0</v>
      </c>
      <c r="L665" t="n">
        <v>0</v>
      </c>
      <c r="M665" t="n">
        <v>0</v>
      </c>
      <c r="N665" t="n">
        <v>0</v>
      </c>
      <c r="O665" t="n">
        <v>0</v>
      </c>
      <c r="P665" t="n">
        <v>0</v>
      </c>
      <c r="Q665" t="n">
        <v>0</v>
      </c>
      <c r="R665" s="2" t="inlineStr"/>
    </row>
    <row r="666" ht="15" customHeight="1">
      <c r="A666" t="inlineStr">
        <is>
          <t>A 34877-2023</t>
        </is>
      </c>
      <c r="B666" s="1" t="n">
        <v>45140</v>
      </c>
      <c r="C666" s="1" t="n">
        <v>46101</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1924-2024</t>
        </is>
      </c>
      <c r="B667" s="1" t="n">
        <v>45308</v>
      </c>
      <c r="C667" s="1" t="n">
        <v>46101</v>
      </c>
      <c r="D667" t="inlineStr">
        <is>
          <t>ÖSTERGÖTLANDS LÄN</t>
        </is>
      </c>
      <c r="E667" t="inlineStr">
        <is>
          <t>LINKÖPING</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34558-2022</t>
        </is>
      </c>
      <c r="B668" s="1" t="n">
        <v>44794.57594907407</v>
      </c>
      <c r="C668" s="1" t="n">
        <v>46101</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168-2024</t>
        </is>
      </c>
      <c r="B669" s="1" t="n">
        <v>45294</v>
      </c>
      <c r="C669" s="1" t="n">
        <v>46101</v>
      </c>
      <c r="D669" t="inlineStr">
        <is>
          <t>ÖSTERGÖTLANDS LÄN</t>
        </is>
      </c>
      <c r="E669" t="inlineStr">
        <is>
          <t>LINKÖPING</t>
        </is>
      </c>
      <c r="F669" t="inlineStr">
        <is>
          <t>Allmännings- och besparingsskogar</t>
        </is>
      </c>
      <c r="G669" t="n">
        <v>8.9</v>
      </c>
      <c r="H669" t="n">
        <v>0</v>
      </c>
      <c r="I669" t="n">
        <v>0</v>
      </c>
      <c r="J669" t="n">
        <v>0</v>
      </c>
      <c r="K669" t="n">
        <v>0</v>
      </c>
      <c r="L669" t="n">
        <v>0</v>
      </c>
      <c r="M669" t="n">
        <v>0</v>
      </c>
      <c r="N669" t="n">
        <v>0</v>
      </c>
      <c r="O669" t="n">
        <v>0</v>
      </c>
      <c r="P669" t="n">
        <v>0</v>
      </c>
      <c r="Q669" t="n">
        <v>0</v>
      </c>
      <c r="R669" s="2" t="inlineStr"/>
    </row>
    <row r="670" ht="15" customHeight="1">
      <c r="A670" t="inlineStr">
        <is>
          <t>A 15658-2023</t>
        </is>
      </c>
      <c r="B670" s="1" t="n">
        <v>45021.41194444444</v>
      </c>
      <c r="C670" s="1" t="n">
        <v>46101</v>
      </c>
      <c r="D670" t="inlineStr">
        <is>
          <t>ÖSTERGÖTLANDS LÄN</t>
        </is>
      </c>
      <c r="E670" t="inlineStr">
        <is>
          <t>LINKÖPING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30433-2024</t>
        </is>
      </c>
      <c r="B671" s="1" t="n">
        <v>45491.69741898148</v>
      </c>
      <c r="C671" s="1" t="n">
        <v>46101</v>
      </c>
      <c r="D671" t="inlineStr">
        <is>
          <t>ÖSTERGÖTLANDS LÄN</t>
        </is>
      </c>
      <c r="E671" t="inlineStr">
        <is>
          <t>LINKÖPING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52220-2023</t>
        </is>
      </c>
      <c r="B672" s="1" t="n">
        <v>45217</v>
      </c>
      <c r="C672" s="1" t="n">
        <v>46101</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52225-2023</t>
        </is>
      </c>
      <c r="B673" s="1" t="n">
        <v>45217</v>
      </c>
      <c r="C673" s="1" t="n">
        <v>46101</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19464-2024</t>
        </is>
      </c>
      <c r="B674" s="1" t="n">
        <v>45429</v>
      </c>
      <c r="C674" s="1" t="n">
        <v>46101</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42044-2023</t>
        </is>
      </c>
      <c r="B675" s="1" t="n">
        <v>45177</v>
      </c>
      <c r="C675" s="1" t="n">
        <v>46101</v>
      </c>
      <c r="D675" t="inlineStr">
        <is>
          <t>ÖSTERGÖTLANDS LÄN</t>
        </is>
      </c>
      <c r="E675" t="inlineStr">
        <is>
          <t>LINKÖPING</t>
        </is>
      </c>
      <c r="G675" t="n">
        <v>3.9</v>
      </c>
      <c r="H675" t="n">
        <v>0</v>
      </c>
      <c r="I675" t="n">
        <v>0</v>
      </c>
      <c r="J675" t="n">
        <v>0</v>
      </c>
      <c r="K675" t="n">
        <v>0</v>
      </c>
      <c r="L675" t="n">
        <v>0</v>
      </c>
      <c r="M675" t="n">
        <v>0</v>
      </c>
      <c r="N675" t="n">
        <v>0</v>
      </c>
      <c r="O675" t="n">
        <v>0</v>
      </c>
      <c r="P675" t="n">
        <v>0</v>
      </c>
      <c r="Q675" t="n">
        <v>0</v>
      </c>
      <c r="R675" s="2" t="inlineStr"/>
    </row>
    <row r="676" ht="15" customHeight="1">
      <c r="A676" t="inlineStr">
        <is>
          <t>A 630-2024</t>
        </is>
      </c>
      <c r="B676" s="1" t="n">
        <v>45299.67736111111</v>
      </c>
      <c r="C676" s="1" t="n">
        <v>46101</v>
      </c>
      <c r="D676" t="inlineStr">
        <is>
          <t>ÖSTERGÖTLANDS LÄN</t>
        </is>
      </c>
      <c r="E676" t="inlineStr">
        <is>
          <t>LINKÖPING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21782-2024</t>
        </is>
      </c>
      <c r="B677" s="1" t="n">
        <v>45442.63368055555</v>
      </c>
      <c r="C677" s="1" t="n">
        <v>46101</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57766-2023</t>
        </is>
      </c>
      <c r="B678" s="1" t="n">
        <v>45246</v>
      </c>
      <c r="C678" s="1" t="n">
        <v>46101</v>
      </c>
      <c r="D678" t="inlineStr">
        <is>
          <t>ÖSTERGÖTLANDS LÄN</t>
        </is>
      </c>
      <c r="E678" t="inlineStr">
        <is>
          <t>LINKÖPING</t>
        </is>
      </c>
      <c r="F678" t="inlineStr">
        <is>
          <t>Allmännings- och besparingsskogar</t>
        </is>
      </c>
      <c r="G678" t="n">
        <v>12.8</v>
      </c>
      <c r="H678" t="n">
        <v>0</v>
      </c>
      <c r="I678" t="n">
        <v>0</v>
      </c>
      <c r="J678" t="n">
        <v>0</v>
      </c>
      <c r="K678" t="n">
        <v>0</v>
      </c>
      <c r="L678" t="n">
        <v>0</v>
      </c>
      <c r="M678" t="n">
        <v>0</v>
      </c>
      <c r="N678" t="n">
        <v>0</v>
      </c>
      <c r="O678" t="n">
        <v>0</v>
      </c>
      <c r="P678" t="n">
        <v>0</v>
      </c>
      <c r="Q678" t="n">
        <v>0</v>
      </c>
      <c r="R678" s="2" t="inlineStr"/>
    </row>
    <row r="679" ht="15" customHeight="1">
      <c r="A679" t="inlineStr">
        <is>
          <t>A 27186-2021</t>
        </is>
      </c>
      <c r="B679" s="1" t="n">
        <v>44350.67715277777</v>
      </c>
      <c r="C679" s="1" t="n">
        <v>46101</v>
      </c>
      <c r="D679" t="inlineStr">
        <is>
          <t>ÖSTERGÖTLANDS LÄN</t>
        </is>
      </c>
      <c r="E679" t="inlineStr">
        <is>
          <t>LINKÖPING</t>
        </is>
      </c>
      <c r="F679" t="inlineStr">
        <is>
          <t>Allmännings- och besparingsskogar</t>
        </is>
      </c>
      <c r="G679" t="n">
        <v>1.4</v>
      </c>
      <c r="H679" t="n">
        <v>0</v>
      </c>
      <c r="I679" t="n">
        <v>0</v>
      </c>
      <c r="J679" t="n">
        <v>0</v>
      </c>
      <c r="K679" t="n">
        <v>0</v>
      </c>
      <c r="L679" t="n">
        <v>0</v>
      </c>
      <c r="M679" t="n">
        <v>0</v>
      </c>
      <c r="N679" t="n">
        <v>0</v>
      </c>
      <c r="O679" t="n">
        <v>0</v>
      </c>
      <c r="P679" t="n">
        <v>0</v>
      </c>
      <c r="Q679" t="n">
        <v>0</v>
      </c>
      <c r="R679" s="2" t="inlineStr"/>
    </row>
    <row r="680" ht="15" customHeight="1">
      <c r="A680" t="inlineStr">
        <is>
          <t>A 10194-2023</t>
        </is>
      </c>
      <c r="B680" s="1" t="n">
        <v>44986.52277777778</v>
      </c>
      <c r="C680" s="1" t="n">
        <v>46101</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55944-2024</t>
        </is>
      </c>
      <c r="B681" s="1" t="n">
        <v>45623.61640046296</v>
      </c>
      <c r="C681" s="1" t="n">
        <v>46101</v>
      </c>
      <c r="D681" t="inlineStr">
        <is>
          <t>ÖSTERGÖTLANDS LÄN</t>
        </is>
      </c>
      <c r="E681" t="inlineStr">
        <is>
          <t>LINKÖPING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55947-2024</t>
        </is>
      </c>
      <c r="B682" s="1" t="n">
        <v>45623</v>
      </c>
      <c r="C682" s="1" t="n">
        <v>46101</v>
      </c>
      <c r="D682" t="inlineStr">
        <is>
          <t>ÖSTERGÖTLANDS LÄN</t>
        </is>
      </c>
      <c r="E682" t="inlineStr">
        <is>
          <t>LINKÖPING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47703-2023</t>
        </is>
      </c>
      <c r="B683" s="1" t="n">
        <v>45203</v>
      </c>
      <c r="C683" s="1" t="n">
        <v>46101</v>
      </c>
      <c r="D683" t="inlineStr">
        <is>
          <t>ÖSTERGÖTLANDS LÄN</t>
        </is>
      </c>
      <c r="E683" t="inlineStr">
        <is>
          <t>LINKÖPING</t>
        </is>
      </c>
      <c r="G683" t="n">
        <v>4.1</v>
      </c>
      <c r="H683" t="n">
        <v>0</v>
      </c>
      <c r="I683" t="n">
        <v>0</v>
      </c>
      <c r="J683" t="n">
        <v>0</v>
      </c>
      <c r="K683" t="n">
        <v>0</v>
      </c>
      <c r="L683" t="n">
        <v>0</v>
      </c>
      <c r="M683" t="n">
        <v>0</v>
      </c>
      <c r="N683" t="n">
        <v>0</v>
      </c>
      <c r="O683" t="n">
        <v>0</v>
      </c>
      <c r="P683" t="n">
        <v>0</v>
      </c>
      <c r="Q683" t="n">
        <v>0</v>
      </c>
      <c r="R683" s="2" t="inlineStr"/>
    </row>
    <row r="684" ht="15" customHeight="1">
      <c r="A684" t="inlineStr">
        <is>
          <t>A 51559-2024</t>
        </is>
      </c>
      <c r="B684" s="1" t="n">
        <v>45604.61431712963</v>
      </c>
      <c r="C684" s="1" t="n">
        <v>46101</v>
      </c>
      <c r="D684" t="inlineStr">
        <is>
          <t>ÖSTERGÖTLANDS LÄN</t>
        </is>
      </c>
      <c r="E684" t="inlineStr">
        <is>
          <t>LINKÖPING</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62353-2022</t>
        </is>
      </c>
      <c r="B685" s="1" t="n">
        <v>44923</v>
      </c>
      <c r="C685" s="1" t="n">
        <v>46101</v>
      </c>
      <c r="D685" t="inlineStr">
        <is>
          <t>ÖSTERGÖTLANDS LÄN</t>
        </is>
      </c>
      <c r="E685" t="inlineStr">
        <is>
          <t>LINKÖPING</t>
        </is>
      </c>
      <c r="F685" t="inlineStr">
        <is>
          <t>Allmännings- och besparingsskogar</t>
        </is>
      </c>
      <c r="G685" t="n">
        <v>1.7</v>
      </c>
      <c r="H685" t="n">
        <v>0</v>
      </c>
      <c r="I685" t="n">
        <v>0</v>
      </c>
      <c r="J685" t="n">
        <v>0</v>
      </c>
      <c r="K685" t="n">
        <v>0</v>
      </c>
      <c r="L685" t="n">
        <v>0</v>
      </c>
      <c r="M685" t="n">
        <v>0</v>
      </c>
      <c r="N685" t="n">
        <v>0</v>
      </c>
      <c r="O685" t="n">
        <v>0</v>
      </c>
      <c r="P685" t="n">
        <v>0</v>
      </c>
      <c r="Q685" t="n">
        <v>0</v>
      </c>
      <c r="R685" s="2" t="inlineStr"/>
    </row>
    <row r="686" ht="15" customHeight="1">
      <c r="A686" t="inlineStr">
        <is>
          <t>A 15754-2025</t>
        </is>
      </c>
      <c r="B686" s="1" t="n">
        <v>45748.56105324074</v>
      </c>
      <c r="C686" s="1" t="n">
        <v>46101</v>
      </c>
      <c r="D686" t="inlineStr">
        <is>
          <t>ÖSTERGÖTLANDS LÄN</t>
        </is>
      </c>
      <c r="E686" t="inlineStr">
        <is>
          <t>LINKÖPING</t>
        </is>
      </c>
      <c r="G686" t="n">
        <v>1.7</v>
      </c>
      <c r="H686" t="n">
        <v>0</v>
      </c>
      <c r="I686" t="n">
        <v>0</v>
      </c>
      <c r="J686" t="n">
        <v>0</v>
      </c>
      <c r="K686" t="n">
        <v>0</v>
      </c>
      <c r="L686" t="n">
        <v>0</v>
      </c>
      <c r="M686" t="n">
        <v>0</v>
      </c>
      <c r="N686" t="n">
        <v>0</v>
      </c>
      <c r="O686" t="n">
        <v>0</v>
      </c>
      <c r="P686" t="n">
        <v>0</v>
      </c>
      <c r="Q686" t="n">
        <v>0</v>
      </c>
      <c r="R686" s="2" t="inlineStr"/>
    </row>
    <row r="687" ht="15" customHeight="1">
      <c r="A687" t="inlineStr">
        <is>
          <t>A 4298-2023</t>
        </is>
      </c>
      <c r="B687" s="1" t="n">
        <v>44953</v>
      </c>
      <c r="C687" s="1" t="n">
        <v>46101</v>
      </c>
      <c r="D687" t="inlineStr">
        <is>
          <t>ÖSTERGÖTLANDS LÄN</t>
        </is>
      </c>
      <c r="E687" t="inlineStr">
        <is>
          <t>LINKÖPING</t>
        </is>
      </c>
      <c r="G687" t="n">
        <v>2.8</v>
      </c>
      <c r="H687" t="n">
        <v>0</v>
      </c>
      <c r="I687" t="n">
        <v>0</v>
      </c>
      <c r="J687" t="n">
        <v>0</v>
      </c>
      <c r="K687" t="n">
        <v>0</v>
      </c>
      <c r="L687" t="n">
        <v>0</v>
      </c>
      <c r="M687" t="n">
        <v>0</v>
      </c>
      <c r="N687" t="n">
        <v>0</v>
      </c>
      <c r="O687" t="n">
        <v>0</v>
      </c>
      <c r="P687" t="n">
        <v>0</v>
      </c>
      <c r="Q687" t="n">
        <v>0</v>
      </c>
      <c r="R687" s="2" t="inlineStr"/>
    </row>
    <row r="688" ht="15" customHeight="1">
      <c r="A688" t="inlineStr">
        <is>
          <t>A 18145-2021</t>
        </is>
      </c>
      <c r="B688" s="1" t="n">
        <v>44302</v>
      </c>
      <c r="C688" s="1" t="n">
        <v>46101</v>
      </c>
      <c r="D688" t="inlineStr">
        <is>
          <t>ÖSTERGÖTLANDS LÄN</t>
        </is>
      </c>
      <c r="E688" t="inlineStr">
        <is>
          <t>LINKÖPING</t>
        </is>
      </c>
      <c r="G688" t="n">
        <v>2.4</v>
      </c>
      <c r="H688" t="n">
        <v>0</v>
      </c>
      <c r="I688" t="n">
        <v>0</v>
      </c>
      <c r="J688" t="n">
        <v>0</v>
      </c>
      <c r="K688" t="n">
        <v>0</v>
      </c>
      <c r="L688" t="n">
        <v>0</v>
      </c>
      <c r="M688" t="n">
        <v>0</v>
      </c>
      <c r="N688" t="n">
        <v>0</v>
      </c>
      <c r="O688" t="n">
        <v>0</v>
      </c>
      <c r="P688" t="n">
        <v>0</v>
      </c>
      <c r="Q688" t="n">
        <v>0</v>
      </c>
      <c r="R688" s="2" t="inlineStr"/>
    </row>
    <row r="689" ht="15" customHeight="1">
      <c r="A689" t="inlineStr">
        <is>
          <t>A 25568-2024</t>
        </is>
      </c>
      <c r="B689" s="1" t="n">
        <v>45463.58699074074</v>
      </c>
      <c r="C689" s="1" t="n">
        <v>46101</v>
      </c>
      <c r="D689" t="inlineStr">
        <is>
          <t>ÖSTERGÖTLANDS LÄN</t>
        </is>
      </c>
      <c r="E689" t="inlineStr">
        <is>
          <t>LINKÖPING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38136-2023</t>
        </is>
      </c>
      <c r="B690" s="1" t="n">
        <v>45161.37310185185</v>
      </c>
      <c r="C690" s="1" t="n">
        <v>46101</v>
      </c>
      <c r="D690" t="inlineStr">
        <is>
          <t>ÖSTERGÖTLANDS LÄN</t>
        </is>
      </c>
      <c r="E690" t="inlineStr">
        <is>
          <t>LINKÖPING</t>
        </is>
      </c>
      <c r="G690" t="n">
        <v>5.6</v>
      </c>
      <c r="H690" t="n">
        <v>0</v>
      </c>
      <c r="I690" t="n">
        <v>0</v>
      </c>
      <c r="J690" t="n">
        <v>0</v>
      </c>
      <c r="K690" t="n">
        <v>0</v>
      </c>
      <c r="L690" t="n">
        <v>0</v>
      </c>
      <c r="M690" t="n">
        <v>0</v>
      </c>
      <c r="N690" t="n">
        <v>0</v>
      </c>
      <c r="O690" t="n">
        <v>0</v>
      </c>
      <c r="P690" t="n">
        <v>0</v>
      </c>
      <c r="Q690" t="n">
        <v>0</v>
      </c>
      <c r="R690" s="2" t="inlineStr"/>
    </row>
    <row r="691" ht="15" customHeight="1">
      <c r="A691" t="inlineStr">
        <is>
          <t>A 12317-2025</t>
        </is>
      </c>
      <c r="B691" s="1" t="n">
        <v>45729.8487037037</v>
      </c>
      <c r="C691" s="1" t="n">
        <v>46101</v>
      </c>
      <c r="D691" t="inlineStr">
        <is>
          <t>ÖSTERGÖTLANDS LÄN</t>
        </is>
      </c>
      <c r="E691" t="inlineStr">
        <is>
          <t>LINKÖPING</t>
        </is>
      </c>
      <c r="G691" t="n">
        <v>8</v>
      </c>
      <c r="H691" t="n">
        <v>0</v>
      </c>
      <c r="I691" t="n">
        <v>0</v>
      </c>
      <c r="J691" t="n">
        <v>0</v>
      </c>
      <c r="K691" t="n">
        <v>0</v>
      </c>
      <c r="L691" t="n">
        <v>0</v>
      </c>
      <c r="M691" t="n">
        <v>0</v>
      </c>
      <c r="N691" t="n">
        <v>0</v>
      </c>
      <c r="O691" t="n">
        <v>0</v>
      </c>
      <c r="P691" t="n">
        <v>0</v>
      </c>
      <c r="Q691" t="n">
        <v>0</v>
      </c>
      <c r="R691" s="2" t="inlineStr"/>
    </row>
    <row r="692" ht="15" customHeight="1">
      <c r="A692" t="inlineStr">
        <is>
          <t>A 14528-2025</t>
        </is>
      </c>
      <c r="B692" s="1" t="n">
        <v>45741</v>
      </c>
      <c r="C692" s="1" t="n">
        <v>46101</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61649-2023</t>
        </is>
      </c>
      <c r="B693" s="1" t="n">
        <v>45265</v>
      </c>
      <c r="C693" s="1" t="n">
        <v>46101</v>
      </c>
      <c r="D693" t="inlineStr">
        <is>
          <t>ÖSTERGÖTLANDS LÄN</t>
        </is>
      </c>
      <c r="E693" t="inlineStr">
        <is>
          <t>LINKÖPING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60985-2023</t>
        </is>
      </c>
      <c r="B694" s="1" t="n">
        <v>45261.48429398148</v>
      </c>
      <c r="C694" s="1" t="n">
        <v>46101</v>
      </c>
      <c r="D694" t="inlineStr">
        <is>
          <t>ÖSTERGÖTLANDS LÄN</t>
        </is>
      </c>
      <c r="E694" t="inlineStr">
        <is>
          <t>LINKÖPING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421-2024</t>
        </is>
      </c>
      <c r="B695" s="1" t="n">
        <v>45296.51877314815</v>
      </c>
      <c r="C695" s="1" t="n">
        <v>46101</v>
      </c>
      <c r="D695" t="inlineStr">
        <is>
          <t>ÖSTERGÖTLANDS LÄN</t>
        </is>
      </c>
      <c r="E695" t="inlineStr">
        <is>
          <t>LINKÖPING</t>
        </is>
      </c>
      <c r="G695" t="n">
        <v>3.7</v>
      </c>
      <c r="H695" t="n">
        <v>0</v>
      </c>
      <c r="I695" t="n">
        <v>0</v>
      </c>
      <c r="J695" t="n">
        <v>0</v>
      </c>
      <c r="K695" t="n">
        <v>0</v>
      </c>
      <c r="L695" t="n">
        <v>0</v>
      </c>
      <c r="M695" t="n">
        <v>0</v>
      </c>
      <c r="N695" t="n">
        <v>0</v>
      </c>
      <c r="O695" t="n">
        <v>0</v>
      </c>
      <c r="P695" t="n">
        <v>0</v>
      </c>
      <c r="Q695" t="n">
        <v>0</v>
      </c>
      <c r="R695" s="2" t="inlineStr"/>
    </row>
    <row r="696" ht="15" customHeight="1">
      <c r="A696" t="inlineStr">
        <is>
          <t>A 51405-2023</t>
        </is>
      </c>
      <c r="B696" s="1" t="n">
        <v>45219</v>
      </c>
      <c r="C696" s="1" t="n">
        <v>46101</v>
      </c>
      <c r="D696" t="inlineStr">
        <is>
          <t>ÖSTERGÖTLANDS LÄN</t>
        </is>
      </c>
      <c r="E696" t="inlineStr">
        <is>
          <t>LINKÖPING</t>
        </is>
      </c>
      <c r="F696" t="inlineStr">
        <is>
          <t>Övriga Aktiebolag</t>
        </is>
      </c>
      <c r="G696" t="n">
        <v>3</v>
      </c>
      <c r="H696" t="n">
        <v>0</v>
      </c>
      <c r="I696" t="n">
        <v>0</v>
      </c>
      <c r="J696" t="n">
        <v>0</v>
      </c>
      <c r="K696" t="n">
        <v>0</v>
      </c>
      <c r="L696" t="n">
        <v>0</v>
      </c>
      <c r="M696" t="n">
        <v>0</v>
      </c>
      <c r="N696" t="n">
        <v>0</v>
      </c>
      <c r="O696" t="n">
        <v>0</v>
      </c>
      <c r="P696" t="n">
        <v>0</v>
      </c>
      <c r="Q696" t="n">
        <v>0</v>
      </c>
      <c r="R696" s="2" t="inlineStr"/>
    </row>
    <row r="697" ht="15" customHeight="1">
      <c r="A697" t="inlineStr">
        <is>
          <t>A 53639-2023</t>
        </is>
      </c>
      <c r="B697" s="1" t="n">
        <v>45230.59686342593</v>
      </c>
      <c r="C697" s="1" t="n">
        <v>46101</v>
      </c>
      <c r="D697" t="inlineStr">
        <is>
          <t>ÖSTERGÖTLANDS LÄN</t>
        </is>
      </c>
      <c r="E697" t="inlineStr">
        <is>
          <t>LINKÖPING</t>
        </is>
      </c>
      <c r="G697" t="n">
        <v>2.3</v>
      </c>
      <c r="H697" t="n">
        <v>0</v>
      </c>
      <c r="I697" t="n">
        <v>0</v>
      </c>
      <c r="J697" t="n">
        <v>0</v>
      </c>
      <c r="K697" t="n">
        <v>0</v>
      </c>
      <c r="L697" t="n">
        <v>0</v>
      </c>
      <c r="M697" t="n">
        <v>0</v>
      </c>
      <c r="N697" t="n">
        <v>0</v>
      </c>
      <c r="O697" t="n">
        <v>0</v>
      </c>
      <c r="P697" t="n">
        <v>0</v>
      </c>
      <c r="Q697" t="n">
        <v>0</v>
      </c>
      <c r="R697" s="2" t="inlineStr"/>
    </row>
    <row r="698" ht="15" customHeight="1">
      <c r="A698" t="inlineStr">
        <is>
          <t>A 24467-2023</t>
        </is>
      </c>
      <c r="B698" s="1" t="n">
        <v>45082</v>
      </c>
      <c r="C698" s="1" t="n">
        <v>46101</v>
      </c>
      <c r="D698" t="inlineStr">
        <is>
          <t>ÖSTERGÖTLANDS LÄN</t>
        </is>
      </c>
      <c r="E698" t="inlineStr">
        <is>
          <t>LINKÖPING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62488-2023</t>
        </is>
      </c>
      <c r="B699" s="1" t="n">
        <v>45268.5847337963</v>
      </c>
      <c r="C699" s="1" t="n">
        <v>46101</v>
      </c>
      <c r="D699" t="inlineStr">
        <is>
          <t>ÖSTERGÖTLANDS LÄN</t>
        </is>
      </c>
      <c r="E699" t="inlineStr">
        <is>
          <t>LINKÖPING</t>
        </is>
      </c>
      <c r="G699" t="n">
        <v>4.1</v>
      </c>
      <c r="H699" t="n">
        <v>0</v>
      </c>
      <c r="I699" t="n">
        <v>0</v>
      </c>
      <c r="J699" t="n">
        <v>0</v>
      </c>
      <c r="K699" t="n">
        <v>0</v>
      </c>
      <c r="L699" t="n">
        <v>0</v>
      </c>
      <c r="M699" t="n">
        <v>0</v>
      </c>
      <c r="N699" t="n">
        <v>0</v>
      </c>
      <c r="O699" t="n">
        <v>0</v>
      </c>
      <c r="P699" t="n">
        <v>0</v>
      </c>
      <c r="Q699" t="n">
        <v>0</v>
      </c>
      <c r="R699" s="2" t="inlineStr"/>
    </row>
    <row r="700" ht="15" customHeight="1">
      <c r="A700" t="inlineStr">
        <is>
          <t>A 62495-2023</t>
        </is>
      </c>
      <c r="B700" s="1" t="n">
        <v>45268.59717592593</v>
      </c>
      <c r="C700" s="1" t="n">
        <v>46101</v>
      </c>
      <c r="D700" t="inlineStr">
        <is>
          <t>ÖSTERGÖTLANDS LÄN</t>
        </is>
      </c>
      <c r="E700" t="inlineStr">
        <is>
          <t>LINKÖPING</t>
        </is>
      </c>
      <c r="G700" t="n">
        <v>4.1</v>
      </c>
      <c r="H700" t="n">
        <v>0</v>
      </c>
      <c r="I700" t="n">
        <v>0</v>
      </c>
      <c r="J700" t="n">
        <v>0</v>
      </c>
      <c r="K700" t="n">
        <v>0</v>
      </c>
      <c r="L700" t="n">
        <v>0</v>
      </c>
      <c r="M700" t="n">
        <v>0</v>
      </c>
      <c r="N700" t="n">
        <v>0</v>
      </c>
      <c r="O700" t="n">
        <v>0</v>
      </c>
      <c r="P700" t="n">
        <v>0</v>
      </c>
      <c r="Q700" t="n">
        <v>0</v>
      </c>
      <c r="R700" s="2" t="inlineStr"/>
    </row>
    <row r="701" ht="15" customHeight="1">
      <c r="A701" t="inlineStr">
        <is>
          <t>A 10198-2023</t>
        </is>
      </c>
      <c r="B701" s="1" t="n">
        <v>44986.54665509259</v>
      </c>
      <c r="C701" s="1" t="n">
        <v>46101</v>
      </c>
      <c r="D701" t="inlineStr">
        <is>
          <t>ÖSTERGÖTLANDS LÄN</t>
        </is>
      </c>
      <c r="E701" t="inlineStr">
        <is>
          <t>LINKÖPING</t>
        </is>
      </c>
      <c r="G701" t="n">
        <v>4.6</v>
      </c>
      <c r="H701" t="n">
        <v>0</v>
      </c>
      <c r="I701" t="n">
        <v>0</v>
      </c>
      <c r="J701" t="n">
        <v>0</v>
      </c>
      <c r="K701" t="n">
        <v>0</v>
      </c>
      <c r="L701" t="n">
        <v>0</v>
      </c>
      <c r="M701" t="n">
        <v>0</v>
      </c>
      <c r="N701" t="n">
        <v>0</v>
      </c>
      <c r="O701" t="n">
        <v>0</v>
      </c>
      <c r="P701" t="n">
        <v>0</v>
      </c>
      <c r="Q701" t="n">
        <v>0</v>
      </c>
      <c r="R701" s="2" t="inlineStr"/>
    </row>
    <row r="702" ht="15" customHeight="1">
      <c r="A702" t="inlineStr">
        <is>
          <t>A 22771-2024</t>
        </is>
      </c>
      <c r="B702" s="1" t="n">
        <v>45448.46574074074</v>
      </c>
      <c r="C702" s="1" t="n">
        <v>46101</v>
      </c>
      <c r="D702" t="inlineStr">
        <is>
          <t>ÖSTERGÖTLANDS LÄN</t>
        </is>
      </c>
      <c r="E702" t="inlineStr">
        <is>
          <t>LINKÖPING</t>
        </is>
      </c>
      <c r="F702" t="inlineStr">
        <is>
          <t>Sveaskog</t>
        </is>
      </c>
      <c r="G702" t="n">
        <v>2.7</v>
      </c>
      <c r="H702" t="n">
        <v>0</v>
      </c>
      <c r="I702" t="n">
        <v>0</v>
      </c>
      <c r="J702" t="n">
        <v>0</v>
      </c>
      <c r="K702" t="n">
        <v>0</v>
      </c>
      <c r="L702" t="n">
        <v>0</v>
      </c>
      <c r="M702" t="n">
        <v>0</v>
      </c>
      <c r="N702" t="n">
        <v>0</v>
      </c>
      <c r="O702" t="n">
        <v>0</v>
      </c>
      <c r="P702" t="n">
        <v>0</v>
      </c>
      <c r="Q702" t="n">
        <v>0</v>
      </c>
      <c r="R702" s="2" t="inlineStr"/>
    </row>
    <row r="703" ht="15" customHeight="1">
      <c r="A703" t="inlineStr">
        <is>
          <t>A 17128-2025</t>
        </is>
      </c>
      <c r="B703" s="1" t="n">
        <v>45755.72622685185</v>
      </c>
      <c r="C703" s="1" t="n">
        <v>46101</v>
      </c>
      <c r="D703" t="inlineStr">
        <is>
          <t>ÖSTERGÖTLANDS LÄN</t>
        </is>
      </c>
      <c r="E703" t="inlineStr">
        <is>
          <t>LINKÖPING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62018-2024</t>
        </is>
      </c>
      <c r="B704" s="1" t="n">
        <v>45655.81387731482</v>
      </c>
      <c r="C704" s="1" t="n">
        <v>46101</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62073-2023</t>
        </is>
      </c>
      <c r="B705" s="1" t="n">
        <v>45266.73844907407</v>
      </c>
      <c r="C705" s="1" t="n">
        <v>46101</v>
      </c>
      <c r="D705" t="inlineStr">
        <is>
          <t>ÖSTERGÖTLANDS LÄN</t>
        </is>
      </c>
      <c r="E705" t="inlineStr">
        <is>
          <t>LINKÖPING</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672-2024</t>
        </is>
      </c>
      <c r="B706" s="1" t="n">
        <v>45300</v>
      </c>
      <c r="C706" s="1" t="n">
        <v>46101</v>
      </c>
      <c r="D706" t="inlineStr">
        <is>
          <t>ÖSTERGÖTLANDS LÄN</t>
        </is>
      </c>
      <c r="E706" t="inlineStr">
        <is>
          <t>LINKÖPING</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42832-2023</t>
        </is>
      </c>
      <c r="B707" s="1" t="n">
        <v>45182.38091435185</v>
      </c>
      <c r="C707" s="1" t="n">
        <v>46101</v>
      </c>
      <c r="D707" t="inlineStr">
        <is>
          <t>ÖSTERGÖTLANDS LÄN</t>
        </is>
      </c>
      <c r="E707" t="inlineStr">
        <is>
          <t>LINKÖPING</t>
        </is>
      </c>
      <c r="G707" t="n">
        <v>2.5</v>
      </c>
      <c r="H707" t="n">
        <v>0</v>
      </c>
      <c r="I707" t="n">
        <v>0</v>
      </c>
      <c r="J707" t="n">
        <v>0</v>
      </c>
      <c r="K707" t="n">
        <v>0</v>
      </c>
      <c r="L707" t="n">
        <v>0</v>
      </c>
      <c r="M707" t="n">
        <v>0</v>
      </c>
      <c r="N707" t="n">
        <v>0</v>
      </c>
      <c r="O707" t="n">
        <v>0</v>
      </c>
      <c r="P707" t="n">
        <v>0</v>
      </c>
      <c r="Q707" t="n">
        <v>0</v>
      </c>
      <c r="R707" s="2" t="inlineStr"/>
    </row>
    <row r="708" ht="15" customHeight="1">
      <c r="A708" t="inlineStr">
        <is>
          <t>A 5872-2025</t>
        </is>
      </c>
      <c r="B708" s="1" t="n">
        <v>45695.36659722222</v>
      </c>
      <c r="C708" s="1" t="n">
        <v>46101</v>
      </c>
      <c r="D708" t="inlineStr">
        <is>
          <t>ÖSTERGÖTLANDS LÄN</t>
        </is>
      </c>
      <c r="E708" t="inlineStr">
        <is>
          <t>LINKÖPING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59674-2024</t>
        </is>
      </c>
      <c r="B709" s="1" t="n">
        <v>45639</v>
      </c>
      <c r="C709" s="1" t="n">
        <v>46101</v>
      </c>
      <c r="D709" t="inlineStr">
        <is>
          <t>ÖSTERGÖTLANDS LÄN</t>
        </is>
      </c>
      <c r="E709" t="inlineStr">
        <is>
          <t>LINKÖPING</t>
        </is>
      </c>
      <c r="G709" t="n">
        <v>6.3</v>
      </c>
      <c r="H709" t="n">
        <v>0</v>
      </c>
      <c r="I709" t="n">
        <v>0</v>
      </c>
      <c r="J709" t="n">
        <v>0</v>
      </c>
      <c r="K709" t="n">
        <v>0</v>
      </c>
      <c r="L709" t="n">
        <v>0</v>
      </c>
      <c r="M709" t="n">
        <v>0</v>
      </c>
      <c r="N709" t="n">
        <v>0</v>
      </c>
      <c r="O709" t="n">
        <v>0</v>
      </c>
      <c r="P709" t="n">
        <v>0</v>
      </c>
      <c r="Q709" t="n">
        <v>0</v>
      </c>
      <c r="R709" s="2" t="inlineStr"/>
    </row>
    <row r="710" ht="15" customHeight="1">
      <c r="A710" t="inlineStr">
        <is>
          <t>A 59576-2024</t>
        </is>
      </c>
      <c r="B710" s="1" t="n">
        <v>45638.66378472222</v>
      </c>
      <c r="C710" s="1" t="n">
        <v>46101</v>
      </c>
      <c r="D710" t="inlineStr">
        <is>
          <t>ÖSTERGÖTLANDS LÄN</t>
        </is>
      </c>
      <c r="E710" t="inlineStr">
        <is>
          <t>LINKÖPING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51583-2024</t>
        </is>
      </c>
      <c r="B711" s="1" t="n">
        <v>45604.6397337963</v>
      </c>
      <c r="C711" s="1" t="n">
        <v>46101</v>
      </c>
      <c r="D711" t="inlineStr">
        <is>
          <t>ÖSTERGÖTLANDS LÄN</t>
        </is>
      </c>
      <c r="E711" t="inlineStr">
        <is>
          <t>LINKÖPING</t>
        </is>
      </c>
      <c r="F711" t="inlineStr">
        <is>
          <t>Övriga Aktiebolag</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62019-2024</t>
        </is>
      </c>
      <c r="B712" s="1" t="n">
        <v>45655.82</v>
      </c>
      <c r="C712" s="1" t="n">
        <v>46101</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38317-2024</t>
        </is>
      </c>
      <c r="B713" s="1" t="n">
        <v>45545.65766203704</v>
      </c>
      <c r="C713" s="1" t="n">
        <v>46101</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50182-2023</t>
        </is>
      </c>
      <c r="B714" s="1" t="n">
        <v>45208</v>
      </c>
      <c r="C714" s="1" t="n">
        <v>46101</v>
      </c>
      <c r="D714" t="inlineStr">
        <is>
          <t>ÖSTERGÖTLANDS LÄN</t>
        </is>
      </c>
      <c r="E714" t="inlineStr">
        <is>
          <t>LINKÖPING</t>
        </is>
      </c>
      <c r="G714" t="n">
        <v>2.5</v>
      </c>
      <c r="H714" t="n">
        <v>0</v>
      </c>
      <c r="I714" t="n">
        <v>0</v>
      </c>
      <c r="J714" t="n">
        <v>0</v>
      </c>
      <c r="K714" t="n">
        <v>0</v>
      </c>
      <c r="L714" t="n">
        <v>0</v>
      </c>
      <c r="M714" t="n">
        <v>0</v>
      </c>
      <c r="N714" t="n">
        <v>0</v>
      </c>
      <c r="O714" t="n">
        <v>0</v>
      </c>
      <c r="P714" t="n">
        <v>0</v>
      </c>
      <c r="Q714" t="n">
        <v>0</v>
      </c>
      <c r="R714" s="2" t="inlineStr"/>
    </row>
    <row r="715" ht="15" customHeight="1">
      <c r="A715" t="inlineStr">
        <is>
          <t>A 1844-2025</t>
        </is>
      </c>
      <c r="B715" s="1" t="n">
        <v>45671.57730324074</v>
      </c>
      <c r="C715" s="1" t="n">
        <v>46101</v>
      </c>
      <c r="D715" t="inlineStr">
        <is>
          <t>ÖSTERGÖTLANDS LÄN</t>
        </is>
      </c>
      <c r="E715" t="inlineStr">
        <is>
          <t>LINKÖPING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21155-2025</t>
        </is>
      </c>
      <c r="B716" s="1" t="n">
        <v>45779.37586805555</v>
      </c>
      <c r="C716" s="1" t="n">
        <v>46101</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21165-2025</t>
        </is>
      </c>
      <c r="B717" s="1" t="n">
        <v>45779.39417824074</v>
      </c>
      <c r="C717" s="1" t="n">
        <v>46101</v>
      </c>
      <c r="D717" t="inlineStr">
        <is>
          <t>ÖSTERGÖTLANDS LÄN</t>
        </is>
      </c>
      <c r="E717" t="inlineStr">
        <is>
          <t>LINKÖPING</t>
        </is>
      </c>
      <c r="G717" t="n">
        <v>1.2</v>
      </c>
      <c r="H717" t="n">
        <v>0</v>
      </c>
      <c r="I717" t="n">
        <v>0</v>
      </c>
      <c r="J717" t="n">
        <v>0</v>
      </c>
      <c r="K717" t="n">
        <v>0</v>
      </c>
      <c r="L717" t="n">
        <v>0</v>
      </c>
      <c r="M717" t="n">
        <v>0</v>
      </c>
      <c r="N717" t="n">
        <v>0</v>
      </c>
      <c r="O717" t="n">
        <v>0</v>
      </c>
      <c r="P717" t="n">
        <v>0</v>
      </c>
      <c r="Q717" t="n">
        <v>0</v>
      </c>
      <c r="R717" s="2" t="inlineStr"/>
    </row>
    <row r="718" ht="15" customHeight="1">
      <c r="A718" t="inlineStr">
        <is>
          <t>A 57752-2023</t>
        </is>
      </c>
      <c r="B718" s="1" t="n">
        <v>45246.78474537037</v>
      </c>
      <c r="C718" s="1" t="n">
        <v>46101</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9473-2024</t>
        </is>
      </c>
      <c r="B719" s="1" t="n">
        <v>45359.55474537037</v>
      </c>
      <c r="C719" s="1" t="n">
        <v>46101</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10797-2024</t>
        </is>
      </c>
      <c r="B720" s="1" t="n">
        <v>45369.6190162037</v>
      </c>
      <c r="C720" s="1" t="n">
        <v>46101</v>
      </c>
      <c r="D720" t="inlineStr">
        <is>
          <t>ÖSTERGÖTLANDS LÄN</t>
        </is>
      </c>
      <c r="E720" t="inlineStr">
        <is>
          <t>LINKÖPING</t>
        </is>
      </c>
      <c r="G720" t="n">
        <v>1.5</v>
      </c>
      <c r="H720" t="n">
        <v>0</v>
      </c>
      <c r="I720" t="n">
        <v>0</v>
      </c>
      <c r="J720" t="n">
        <v>0</v>
      </c>
      <c r="K720" t="n">
        <v>0</v>
      </c>
      <c r="L720" t="n">
        <v>0</v>
      </c>
      <c r="M720" t="n">
        <v>0</v>
      </c>
      <c r="N720" t="n">
        <v>0</v>
      </c>
      <c r="O720" t="n">
        <v>0</v>
      </c>
      <c r="P720" t="n">
        <v>0</v>
      </c>
      <c r="Q720" t="n">
        <v>0</v>
      </c>
      <c r="R720" s="2" t="inlineStr"/>
    </row>
    <row r="721" ht="15" customHeight="1">
      <c r="A721" t="inlineStr">
        <is>
          <t>A 22264-2025</t>
        </is>
      </c>
      <c r="B721" s="1" t="n">
        <v>45785</v>
      </c>
      <c r="C721" s="1" t="n">
        <v>46101</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6859-2024</t>
        </is>
      </c>
      <c r="B722" s="1" t="n">
        <v>45342</v>
      </c>
      <c r="C722" s="1" t="n">
        <v>46101</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38580-2024</t>
        </is>
      </c>
      <c r="B723" s="1" t="n">
        <v>45546.64825231482</v>
      </c>
      <c r="C723" s="1" t="n">
        <v>46101</v>
      </c>
      <c r="D723" t="inlineStr">
        <is>
          <t>ÖSTERGÖTLANDS LÄN</t>
        </is>
      </c>
      <c r="E723" t="inlineStr">
        <is>
          <t>LINKÖPING</t>
        </is>
      </c>
      <c r="G723" t="n">
        <v>4.8</v>
      </c>
      <c r="H723" t="n">
        <v>0</v>
      </c>
      <c r="I723" t="n">
        <v>0</v>
      </c>
      <c r="J723" t="n">
        <v>0</v>
      </c>
      <c r="K723" t="n">
        <v>0</v>
      </c>
      <c r="L723" t="n">
        <v>0</v>
      </c>
      <c r="M723" t="n">
        <v>0</v>
      </c>
      <c r="N723" t="n">
        <v>0</v>
      </c>
      <c r="O723" t="n">
        <v>0</v>
      </c>
      <c r="P723" t="n">
        <v>0</v>
      </c>
      <c r="Q723" t="n">
        <v>0</v>
      </c>
      <c r="R723" s="2" t="inlineStr"/>
    </row>
    <row r="724" ht="15" customHeight="1">
      <c r="A724" t="inlineStr">
        <is>
          <t>A 572-2025</t>
        </is>
      </c>
      <c r="B724" s="1" t="n">
        <v>45664.56349537037</v>
      </c>
      <c r="C724" s="1" t="n">
        <v>46101</v>
      </c>
      <c r="D724" t="inlineStr">
        <is>
          <t>ÖSTERGÖTLANDS LÄN</t>
        </is>
      </c>
      <c r="E724" t="inlineStr">
        <is>
          <t>LINKÖPING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22364-2025</t>
        </is>
      </c>
      <c r="B725" s="1" t="n">
        <v>45786.46930555555</v>
      </c>
      <c r="C725" s="1" t="n">
        <v>46101</v>
      </c>
      <c r="D725" t="inlineStr">
        <is>
          <t>ÖSTERGÖTLANDS LÄN</t>
        </is>
      </c>
      <c r="E725" t="inlineStr">
        <is>
          <t>LINKÖPING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44287-2024</t>
        </is>
      </c>
      <c r="B726" s="1" t="n">
        <v>45573.50582175926</v>
      </c>
      <c r="C726" s="1" t="n">
        <v>46101</v>
      </c>
      <c r="D726" t="inlineStr">
        <is>
          <t>ÖSTERGÖTLANDS LÄN</t>
        </is>
      </c>
      <c r="E726" t="inlineStr">
        <is>
          <t>LINKÖPING</t>
        </is>
      </c>
      <c r="G726" t="n">
        <v>12.7</v>
      </c>
      <c r="H726" t="n">
        <v>0</v>
      </c>
      <c r="I726" t="n">
        <v>0</v>
      </c>
      <c r="J726" t="n">
        <v>0</v>
      </c>
      <c r="K726" t="n">
        <v>0</v>
      </c>
      <c r="L726" t="n">
        <v>0</v>
      </c>
      <c r="M726" t="n">
        <v>0</v>
      </c>
      <c r="N726" t="n">
        <v>0</v>
      </c>
      <c r="O726" t="n">
        <v>0</v>
      </c>
      <c r="P726" t="n">
        <v>0</v>
      </c>
      <c r="Q726" t="n">
        <v>0</v>
      </c>
      <c r="R726" s="2" t="inlineStr"/>
    </row>
    <row r="727" ht="15" customHeight="1">
      <c r="A727" t="inlineStr">
        <is>
          <t>A 29312-2024</t>
        </is>
      </c>
      <c r="B727" s="1" t="n">
        <v>45483</v>
      </c>
      <c r="C727" s="1" t="n">
        <v>46101</v>
      </c>
      <c r="D727" t="inlineStr">
        <is>
          <t>ÖSTERGÖTLANDS LÄN</t>
        </is>
      </c>
      <c r="E727" t="inlineStr">
        <is>
          <t>LINKÖPING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23120-2025</t>
        </is>
      </c>
      <c r="B728" s="1" t="n">
        <v>45791.37481481482</v>
      </c>
      <c r="C728" s="1" t="n">
        <v>46101</v>
      </c>
      <c r="D728" t="inlineStr">
        <is>
          <t>ÖSTERGÖTLANDS LÄN</t>
        </is>
      </c>
      <c r="E728" t="inlineStr">
        <is>
          <t>LINKÖPING</t>
        </is>
      </c>
      <c r="G728" t="n">
        <v>2.9</v>
      </c>
      <c r="H728" t="n">
        <v>0</v>
      </c>
      <c r="I728" t="n">
        <v>0</v>
      </c>
      <c r="J728" t="n">
        <v>0</v>
      </c>
      <c r="K728" t="n">
        <v>0</v>
      </c>
      <c r="L728" t="n">
        <v>0</v>
      </c>
      <c r="M728" t="n">
        <v>0</v>
      </c>
      <c r="N728" t="n">
        <v>0</v>
      </c>
      <c r="O728" t="n">
        <v>0</v>
      </c>
      <c r="P728" t="n">
        <v>0</v>
      </c>
      <c r="Q728" t="n">
        <v>0</v>
      </c>
      <c r="R728" s="2" t="inlineStr"/>
    </row>
    <row r="729" ht="15" customHeight="1">
      <c r="A729" t="inlineStr">
        <is>
          <t>A 48699-2024</t>
        </is>
      </c>
      <c r="B729" s="1" t="n">
        <v>45593.52091435185</v>
      </c>
      <c r="C729" s="1" t="n">
        <v>46101</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13911-2025</t>
        </is>
      </c>
      <c r="B730" s="1" t="n">
        <v>45737.64784722222</v>
      </c>
      <c r="C730" s="1" t="n">
        <v>46101</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23768-2025</t>
        </is>
      </c>
      <c r="B731" s="1" t="n">
        <v>45793.47493055555</v>
      </c>
      <c r="C731" s="1" t="n">
        <v>46101</v>
      </c>
      <c r="D731" t="inlineStr">
        <is>
          <t>ÖSTERGÖTLANDS LÄN</t>
        </is>
      </c>
      <c r="E731" t="inlineStr">
        <is>
          <t>LINKÖPING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44280-2024</t>
        </is>
      </c>
      <c r="B732" s="1" t="n">
        <v>45573.49461805556</v>
      </c>
      <c r="C732" s="1" t="n">
        <v>46101</v>
      </c>
      <c r="D732" t="inlineStr">
        <is>
          <t>ÖSTERGÖTLANDS LÄN</t>
        </is>
      </c>
      <c r="E732" t="inlineStr">
        <is>
          <t>LINKÖPING</t>
        </is>
      </c>
      <c r="G732" t="n">
        <v>5.3</v>
      </c>
      <c r="H732" t="n">
        <v>0</v>
      </c>
      <c r="I732" t="n">
        <v>0</v>
      </c>
      <c r="J732" t="n">
        <v>0</v>
      </c>
      <c r="K732" t="n">
        <v>0</v>
      </c>
      <c r="L732" t="n">
        <v>0</v>
      </c>
      <c r="M732" t="n">
        <v>0</v>
      </c>
      <c r="N732" t="n">
        <v>0</v>
      </c>
      <c r="O732" t="n">
        <v>0</v>
      </c>
      <c r="P732" t="n">
        <v>0</v>
      </c>
      <c r="Q732" t="n">
        <v>0</v>
      </c>
      <c r="R732" s="2" t="inlineStr"/>
    </row>
    <row r="733" ht="15" customHeight="1">
      <c r="A733" t="inlineStr">
        <is>
          <t>A 25996-2025</t>
        </is>
      </c>
      <c r="B733" s="1" t="n">
        <v>45804.65851851852</v>
      </c>
      <c r="C733" s="1" t="n">
        <v>46101</v>
      </c>
      <c r="D733" t="inlineStr">
        <is>
          <t>ÖSTERGÖTLANDS LÄN</t>
        </is>
      </c>
      <c r="E733" t="inlineStr">
        <is>
          <t>LINKÖPING</t>
        </is>
      </c>
      <c r="G733" t="n">
        <v>3.2</v>
      </c>
      <c r="H733" t="n">
        <v>0</v>
      </c>
      <c r="I733" t="n">
        <v>0</v>
      </c>
      <c r="J733" t="n">
        <v>0</v>
      </c>
      <c r="K733" t="n">
        <v>0</v>
      </c>
      <c r="L733" t="n">
        <v>0</v>
      </c>
      <c r="M733" t="n">
        <v>0</v>
      </c>
      <c r="N733" t="n">
        <v>0</v>
      </c>
      <c r="O733" t="n">
        <v>0</v>
      </c>
      <c r="P733" t="n">
        <v>0</v>
      </c>
      <c r="Q733" t="n">
        <v>0</v>
      </c>
      <c r="R733" s="2" t="inlineStr"/>
    </row>
    <row r="734" ht="15" customHeight="1">
      <c r="A734" t="inlineStr">
        <is>
          <t>A 26002-2025</t>
        </is>
      </c>
      <c r="B734" s="1" t="n">
        <v>45804.66534722222</v>
      </c>
      <c r="C734" s="1" t="n">
        <v>46101</v>
      </c>
      <c r="D734" t="inlineStr">
        <is>
          <t>ÖSTERGÖTLANDS LÄN</t>
        </is>
      </c>
      <c r="E734" t="inlineStr">
        <is>
          <t>LINKÖPING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28200-2025</t>
        </is>
      </c>
      <c r="B735" s="1" t="n">
        <v>45818.4428125</v>
      </c>
      <c r="C735" s="1" t="n">
        <v>46101</v>
      </c>
      <c r="D735" t="inlineStr">
        <is>
          <t>ÖSTERGÖTLANDS LÄN</t>
        </is>
      </c>
      <c r="E735" t="inlineStr">
        <is>
          <t>LINKÖPING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27950-2025</t>
        </is>
      </c>
      <c r="B736" s="1" t="n">
        <v>45817.52960648148</v>
      </c>
      <c r="C736" s="1" t="n">
        <v>46101</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27797-2025</t>
        </is>
      </c>
      <c r="B737" s="1" t="n">
        <v>45816.80521990741</v>
      </c>
      <c r="C737" s="1" t="n">
        <v>46101</v>
      </c>
      <c r="D737" t="inlineStr">
        <is>
          <t>ÖSTERGÖTLANDS LÄN</t>
        </is>
      </c>
      <c r="E737" t="inlineStr">
        <is>
          <t>LINKÖPING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27798-2025</t>
        </is>
      </c>
      <c r="B738" s="1" t="n">
        <v>45816.81532407407</v>
      </c>
      <c r="C738" s="1" t="n">
        <v>46101</v>
      </c>
      <c r="D738" t="inlineStr">
        <is>
          <t>ÖSTERGÖTLANDS LÄN</t>
        </is>
      </c>
      <c r="E738" t="inlineStr">
        <is>
          <t>LINKÖPING</t>
        </is>
      </c>
      <c r="G738" t="n">
        <v>1.9</v>
      </c>
      <c r="H738" t="n">
        <v>0</v>
      </c>
      <c r="I738" t="n">
        <v>0</v>
      </c>
      <c r="J738" t="n">
        <v>0</v>
      </c>
      <c r="K738" t="n">
        <v>0</v>
      </c>
      <c r="L738" t="n">
        <v>0</v>
      </c>
      <c r="M738" t="n">
        <v>0</v>
      </c>
      <c r="N738" t="n">
        <v>0</v>
      </c>
      <c r="O738" t="n">
        <v>0</v>
      </c>
      <c r="P738" t="n">
        <v>0</v>
      </c>
      <c r="Q738" t="n">
        <v>0</v>
      </c>
      <c r="R738" s="2" t="inlineStr"/>
    </row>
    <row r="739" ht="15" customHeight="1">
      <c r="A739" t="inlineStr">
        <is>
          <t>A 28209-2025</t>
        </is>
      </c>
      <c r="B739" s="1" t="n">
        <v>45818.45112268518</v>
      </c>
      <c r="C739" s="1" t="n">
        <v>46101</v>
      </c>
      <c r="D739" t="inlineStr">
        <is>
          <t>ÖSTERGÖTLANDS LÄN</t>
        </is>
      </c>
      <c r="E739" t="inlineStr">
        <is>
          <t>LINKÖPING</t>
        </is>
      </c>
      <c r="G739" t="n">
        <v>4.2</v>
      </c>
      <c r="H739" t="n">
        <v>0</v>
      </c>
      <c r="I739" t="n">
        <v>0</v>
      </c>
      <c r="J739" t="n">
        <v>0</v>
      </c>
      <c r="K739" t="n">
        <v>0</v>
      </c>
      <c r="L739" t="n">
        <v>0</v>
      </c>
      <c r="M739" t="n">
        <v>0</v>
      </c>
      <c r="N739" t="n">
        <v>0</v>
      </c>
      <c r="O739" t="n">
        <v>0</v>
      </c>
      <c r="P739" t="n">
        <v>0</v>
      </c>
      <c r="Q739" t="n">
        <v>0</v>
      </c>
      <c r="R739" s="2" t="inlineStr"/>
    </row>
    <row r="740" ht="15" customHeight="1">
      <c r="A740" t="inlineStr">
        <is>
          <t>A 28204-2025</t>
        </is>
      </c>
      <c r="B740" s="1" t="n">
        <v>45818.4477662037</v>
      </c>
      <c r="C740" s="1" t="n">
        <v>46101</v>
      </c>
      <c r="D740" t="inlineStr">
        <is>
          <t>ÖSTERGÖTLANDS LÄN</t>
        </is>
      </c>
      <c r="E740" t="inlineStr">
        <is>
          <t>LINKÖPING</t>
        </is>
      </c>
      <c r="G740" t="n">
        <v>2.9</v>
      </c>
      <c r="H740" t="n">
        <v>0</v>
      </c>
      <c r="I740" t="n">
        <v>0</v>
      </c>
      <c r="J740" t="n">
        <v>0</v>
      </c>
      <c r="K740" t="n">
        <v>0</v>
      </c>
      <c r="L740" t="n">
        <v>0</v>
      </c>
      <c r="M740" t="n">
        <v>0</v>
      </c>
      <c r="N740" t="n">
        <v>0</v>
      </c>
      <c r="O740" t="n">
        <v>0</v>
      </c>
      <c r="P740" t="n">
        <v>0</v>
      </c>
      <c r="Q740" t="n">
        <v>0</v>
      </c>
      <c r="R740" s="2" t="inlineStr"/>
    </row>
    <row r="741" ht="15" customHeight="1">
      <c r="A741" t="inlineStr">
        <is>
          <t>A 28398-2025</t>
        </is>
      </c>
      <c r="B741" s="1" t="n">
        <v>45819.34208333334</v>
      </c>
      <c r="C741" s="1" t="n">
        <v>46101</v>
      </c>
      <c r="D741" t="inlineStr">
        <is>
          <t>ÖSTERGÖTLANDS LÄN</t>
        </is>
      </c>
      <c r="E741" t="inlineStr">
        <is>
          <t>LINKÖPING</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28416-2025</t>
        </is>
      </c>
      <c r="B742" s="1" t="n">
        <v>45819.35346064815</v>
      </c>
      <c r="C742" s="1" t="n">
        <v>46101</v>
      </c>
      <c r="D742" t="inlineStr">
        <is>
          <t>ÖSTERGÖTLANDS LÄN</t>
        </is>
      </c>
      <c r="E742" t="inlineStr">
        <is>
          <t>LINKÖPING</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29027-2025</t>
        </is>
      </c>
      <c r="B743" s="1" t="n">
        <v>45821.4375462963</v>
      </c>
      <c r="C743" s="1" t="n">
        <v>46101</v>
      </c>
      <c r="D743" t="inlineStr">
        <is>
          <t>ÖSTERGÖTLANDS LÄN</t>
        </is>
      </c>
      <c r="E743" t="inlineStr">
        <is>
          <t>LINKÖPING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29411-2025</t>
        </is>
      </c>
      <c r="B744" s="1" t="n">
        <v>45824.6219212963</v>
      </c>
      <c r="C744" s="1" t="n">
        <v>46101</v>
      </c>
      <c r="D744" t="inlineStr">
        <is>
          <t>ÖSTERGÖTLANDS LÄN</t>
        </is>
      </c>
      <c r="E744" t="inlineStr">
        <is>
          <t>LINKÖPING</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29599-2025</t>
        </is>
      </c>
      <c r="B745" s="1" t="n">
        <v>45825.41101851852</v>
      </c>
      <c r="C745" s="1" t="n">
        <v>46101</v>
      </c>
      <c r="D745" t="inlineStr">
        <is>
          <t>ÖSTERGÖTLANDS LÄN</t>
        </is>
      </c>
      <c r="E745" t="inlineStr">
        <is>
          <t>LINKÖPING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30355-2025</t>
        </is>
      </c>
      <c r="B746" s="1" t="n">
        <v>45827</v>
      </c>
      <c r="C746" s="1" t="n">
        <v>46101</v>
      </c>
      <c r="D746" t="inlineStr">
        <is>
          <t>ÖSTERGÖTLANDS LÄN</t>
        </is>
      </c>
      <c r="E746" t="inlineStr">
        <is>
          <t>LINKÖPING</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30353-2025</t>
        </is>
      </c>
      <c r="B747" s="1" t="n">
        <v>45827</v>
      </c>
      <c r="C747" s="1" t="n">
        <v>46101</v>
      </c>
      <c r="D747" t="inlineStr">
        <is>
          <t>ÖSTERGÖTLANDS LÄN</t>
        </is>
      </c>
      <c r="E747" t="inlineStr">
        <is>
          <t>LINKÖPING</t>
        </is>
      </c>
      <c r="F747" t="inlineStr">
        <is>
          <t>Sveaskog</t>
        </is>
      </c>
      <c r="G747" t="n">
        <v>2</v>
      </c>
      <c r="H747" t="n">
        <v>0</v>
      </c>
      <c r="I747" t="n">
        <v>0</v>
      </c>
      <c r="J747" t="n">
        <v>0</v>
      </c>
      <c r="K747" t="n">
        <v>0</v>
      </c>
      <c r="L747" t="n">
        <v>0</v>
      </c>
      <c r="M747" t="n">
        <v>0</v>
      </c>
      <c r="N747" t="n">
        <v>0</v>
      </c>
      <c r="O747" t="n">
        <v>0</v>
      </c>
      <c r="P747" t="n">
        <v>0</v>
      </c>
      <c r="Q747" t="n">
        <v>0</v>
      </c>
      <c r="R747" s="2" t="inlineStr"/>
    </row>
    <row r="748" ht="15" customHeight="1">
      <c r="A748" t="inlineStr">
        <is>
          <t>A 31581-2025</t>
        </is>
      </c>
      <c r="B748" s="1" t="n">
        <v>45833.6840162037</v>
      </c>
      <c r="C748" s="1" t="n">
        <v>46101</v>
      </c>
      <c r="D748" t="inlineStr">
        <is>
          <t>ÖSTERGÖTLANDS LÄN</t>
        </is>
      </c>
      <c r="E748" t="inlineStr">
        <is>
          <t>LINKÖPING</t>
        </is>
      </c>
      <c r="G748" t="n">
        <v>2.6</v>
      </c>
      <c r="H748" t="n">
        <v>0</v>
      </c>
      <c r="I748" t="n">
        <v>0</v>
      </c>
      <c r="J748" t="n">
        <v>0</v>
      </c>
      <c r="K748" t="n">
        <v>0</v>
      </c>
      <c r="L748" t="n">
        <v>0</v>
      </c>
      <c r="M748" t="n">
        <v>0</v>
      </c>
      <c r="N748" t="n">
        <v>0</v>
      </c>
      <c r="O748" t="n">
        <v>0</v>
      </c>
      <c r="P748" t="n">
        <v>0</v>
      </c>
      <c r="Q748" t="n">
        <v>0</v>
      </c>
      <c r="R748" s="2" t="inlineStr"/>
    </row>
    <row r="749" ht="15" customHeight="1">
      <c r="A749" t="inlineStr">
        <is>
          <t>A 31585-2025</t>
        </is>
      </c>
      <c r="B749" s="1" t="n">
        <v>45833.68815972222</v>
      </c>
      <c r="C749" s="1" t="n">
        <v>46101</v>
      </c>
      <c r="D749" t="inlineStr">
        <is>
          <t>ÖSTERGÖTLANDS LÄN</t>
        </is>
      </c>
      <c r="E749" t="inlineStr">
        <is>
          <t>LINKÖPING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32723-2025</t>
        </is>
      </c>
      <c r="B750" s="1" t="n">
        <v>45838</v>
      </c>
      <c r="C750" s="1" t="n">
        <v>46101</v>
      </c>
      <c r="D750" t="inlineStr">
        <is>
          <t>ÖSTERGÖTLANDS LÄN</t>
        </is>
      </c>
      <c r="E750" t="inlineStr">
        <is>
          <t>LINKÖPING</t>
        </is>
      </c>
      <c r="G750" t="n">
        <v>2.1</v>
      </c>
      <c r="H750" t="n">
        <v>0</v>
      </c>
      <c r="I750" t="n">
        <v>0</v>
      </c>
      <c r="J750" t="n">
        <v>0</v>
      </c>
      <c r="K750" t="n">
        <v>0</v>
      </c>
      <c r="L750" t="n">
        <v>0</v>
      </c>
      <c r="M750" t="n">
        <v>0</v>
      </c>
      <c r="N750" t="n">
        <v>0</v>
      </c>
      <c r="O750" t="n">
        <v>0</v>
      </c>
      <c r="P750" t="n">
        <v>0</v>
      </c>
      <c r="Q750" t="n">
        <v>0</v>
      </c>
      <c r="R750" s="2" t="inlineStr"/>
    </row>
    <row r="751" ht="15" customHeight="1">
      <c r="A751" t="inlineStr">
        <is>
          <t>A 33947-2025</t>
        </is>
      </c>
      <c r="B751" s="1" t="n">
        <v>45842.65444444444</v>
      </c>
      <c r="C751" s="1" t="n">
        <v>46101</v>
      </c>
      <c r="D751" t="inlineStr">
        <is>
          <t>ÖSTERGÖTLANDS LÄN</t>
        </is>
      </c>
      <c r="E751" t="inlineStr">
        <is>
          <t>LINKÖPING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62012-2024</t>
        </is>
      </c>
      <c r="B752" s="1" t="n">
        <v>45655.79679398148</v>
      </c>
      <c r="C752" s="1" t="n">
        <v>46101</v>
      </c>
      <c r="D752" t="inlineStr">
        <is>
          <t>ÖSTERGÖTLANDS LÄN</t>
        </is>
      </c>
      <c r="E752" t="inlineStr">
        <is>
          <t>LINKÖPING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53529-2024</t>
        </is>
      </c>
      <c r="B753" s="1" t="n">
        <v>45614</v>
      </c>
      <c r="C753" s="1" t="n">
        <v>46101</v>
      </c>
      <c r="D753" t="inlineStr">
        <is>
          <t>ÖSTERGÖTLANDS LÄN</t>
        </is>
      </c>
      <c r="E753" t="inlineStr">
        <is>
          <t>LINKÖPING</t>
        </is>
      </c>
      <c r="G753" t="n">
        <v>6.7</v>
      </c>
      <c r="H753" t="n">
        <v>0</v>
      </c>
      <c r="I753" t="n">
        <v>0</v>
      </c>
      <c r="J753" t="n">
        <v>0</v>
      </c>
      <c r="K753" t="n">
        <v>0</v>
      </c>
      <c r="L753" t="n">
        <v>0</v>
      </c>
      <c r="M753" t="n">
        <v>0</v>
      </c>
      <c r="N753" t="n">
        <v>0</v>
      </c>
      <c r="O753" t="n">
        <v>0</v>
      </c>
      <c r="P753" t="n">
        <v>0</v>
      </c>
      <c r="Q753" t="n">
        <v>0</v>
      </c>
      <c r="R753" s="2" t="inlineStr"/>
    </row>
    <row r="754" ht="15" customHeight="1">
      <c r="A754" t="inlineStr">
        <is>
          <t>A 20469-2025</t>
        </is>
      </c>
      <c r="B754" s="1" t="n">
        <v>45775</v>
      </c>
      <c r="C754" s="1" t="n">
        <v>46101</v>
      </c>
      <c r="D754" t="inlineStr">
        <is>
          <t>ÖSTERGÖTLANDS LÄN</t>
        </is>
      </c>
      <c r="E754" t="inlineStr">
        <is>
          <t>LINKÖPING</t>
        </is>
      </c>
      <c r="F754" t="inlineStr">
        <is>
          <t>Kyrkan</t>
        </is>
      </c>
      <c r="G754" t="n">
        <v>6.1</v>
      </c>
      <c r="H754" t="n">
        <v>0</v>
      </c>
      <c r="I754" t="n">
        <v>0</v>
      </c>
      <c r="J754" t="n">
        <v>0</v>
      </c>
      <c r="K754" t="n">
        <v>0</v>
      </c>
      <c r="L754" t="n">
        <v>0</v>
      </c>
      <c r="M754" t="n">
        <v>0</v>
      </c>
      <c r="N754" t="n">
        <v>0</v>
      </c>
      <c r="O754" t="n">
        <v>0</v>
      </c>
      <c r="P754" t="n">
        <v>0</v>
      </c>
      <c r="Q754" t="n">
        <v>0</v>
      </c>
      <c r="R754" s="2" t="inlineStr"/>
    </row>
    <row r="755" ht="15" customHeight="1">
      <c r="A755" t="inlineStr">
        <is>
          <t>A 33800-2023</t>
        </is>
      </c>
      <c r="B755" s="1" t="n">
        <v>45121</v>
      </c>
      <c r="C755" s="1" t="n">
        <v>46101</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47991-2023</t>
        </is>
      </c>
      <c r="B756" s="1" t="n">
        <v>45204.62655092592</v>
      </c>
      <c r="C756" s="1" t="n">
        <v>46101</v>
      </c>
      <c r="D756" t="inlineStr">
        <is>
          <t>ÖSTERGÖTLANDS LÄN</t>
        </is>
      </c>
      <c r="E756" t="inlineStr">
        <is>
          <t>LINKÖPING</t>
        </is>
      </c>
      <c r="F756" t="inlineStr">
        <is>
          <t>Allmännings- och besparingsskogar</t>
        </is>
      </c>
      <c r="G756" t="n">
        <v>7.3</v>
      </c>
      <c r="H756" t="n">
        <v>0</v>
      </c>
      <c r="I756" t="n">
        <v>0</v>
      </c>
      <c r="J756" t="n">
        <v>0</v>
      </c>
      <c r="K756" t="n">
        <v>0</v>
      </c>
      <c r="L756" t="n">
        <v>0</v>
      </c>
      <c r="M756" t="n">
        <v>0</v>
      </c>
      <c r="N756" t="n">
        <v>0</v>
      </c>
      <c r="O756" t="n">
        <v>0</v>
      </c>
      <c r="P756" t="n">
        <v>0</v>
      </c>
      <c r="Q756" t="n">
        <v>0</v>
      </c>
      <c r="R756" s="2" t="inlineStr"/>
    </row>
    <row r="757" ht="15" customHeight="1">
      <c r="A757" t="inlineStr">
        <is>
          <t>A 35178-2025</t>
        </is>
      </c>
      <c r="B757" s="1" t="n">
        <v>45852.91939814815</v>
      </c>
      <c r="C757" s="1" t="n">
        <v>46101</v>
      </c>
      <c r="D757" t="inlineStr">
        <is>
          <t>ÖSTERGÖTLANDS LÄN</t>
        </is>
      </c>
      <c r="E757" t="inlineStr">
        <is>
          <t>LINKÖPING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35174-2025</t>
        </is>
      </c>
      <c r="B758" s="1" t="n">
        <v>45852.90648148148</v>
      </c>
      <c r="C758" s="1" t="n">
        <v>46101</v>
      </c>
      <c r="D758" t="inlineStr">
        <is>
          <t>ÖSTERGÖTLANDS LÄN</t>
        </is>
      </c>
      <c r="E758" t="inlineStr">
        <is>
          <t>LINKÖPING</t>
        </is>
      </c>
      <c r="G758" t="n">
        <v>1.3</v>
      </c>
      <c r="H758" t="n">
        <v>0</v>
      </c>
      <c r="I758" t="n">
        <v>0</v>
      </c>
      <c r="J758" t="n">
        <v>0</v>
      </c>
      <c r="K758" t="n">
        <v>0</v>
      </c>
      <c r="L758" t="n">
        <v>0</v>
      </c>
      <c r="M758" t="n">
        <v>0</v>
      </c>
      <c r="N758" t="n">
        <v>0</v>
      </c>
      <c r="O758" t="n">
        <v>0</v>
      </c>
      <c r="P758" t="n">
        <v>0</v>
      </c>
      <c r="Q758" t="n">
        <v>0</v>
      </c>
      <c r="R758" s="2" t="inlineStr"/>
    </row>
    <row r="759">
      <c r="A759" t="inlineStr">
        <is>
          <t>A 26007-2025</t>
        </is>
      </c>
      <c r="B759" s="1" t="n">
        <v>45804.67081018518</v>
      </c>
      <c r="C759" s="1" t="n">
        <v>46101</v>
      </c>
      <c r="D759" t="inlineStr">
        <is>
          <t>ÖSTERGÖTLANDS LÄN</t>
        </is>
      </c>
      <c r="E759" t="inlineStr">
        <is>
          <t>LINKÖPING</t>
        </is>
      </c>
      <c r="G759" t="n">
        <v>1.5</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2026-03-20T11:30:12Z</dcterms:created>
  <dcterms:modified xmlns:dcterms="http://purl.org/dc/terms/" xmlns:xsi="http://www.w3.org/2001/XMLSchema-instance" xsi:type="dcterms:W3CDTF">2026-03-20T11:30:13Z</dcterms:modified>
</cp:coreProperties>
</file>