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45791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45791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4</v>
      </c>
      <c r="I3" t="n">
        <v>8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14</v>
      </c>
      <c r="R3" s="2" t="inlineStr">
        <is>
          <t>Ärtvicker
Dvärgbägarlav
Svartvit flugsnappare
Tallticka
Vedskivlav
Blanksvart trämyra
Ekoxe
Fällmossa
Grov fjädermossa
Lundbräsma
Platt fjädermossa
Springkorn
Svart trolldruva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45791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54982-2019</t>
        </is>
      </c>
      <c r="B5" s="1" t="n">
        <v>43751</v>
      </c>
      <c r="C5" s="1" t="n">
        <v>45791</v>
      </c>
      <c r="D5" t="inlineStr">
        <is>
          <t>ÖSTERGÖTLANDS LÄN</t>
        </is>
      </c>
      <c r="E5" t="inlineStr">
        <is>
          <t>LINKÖPING</t>
        </is>
      </c>
      <c r="G5" t="n">
        <v>7.5</v>
      </c>
      <c r="H5" t="n">
        <v>2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10</v>
      </c>
      <c r="R5" s="2" t="inlineStr">
        <is>
          <t>Tallticka
Fjällig taggsvamp s.str.
Granriska
Grovticka
Rödgul trumpetsvamp
Skarp dropptaggsvamp
Svavelriska
Trådticka
Nattviol
Gullviva</t>
        </is>
      </c>
      <c r="S5">
        <f>HYPERLINK("https://klasma.github.io/Logging_0580/artfynd/A 54982-2019 artfynd.xlsx", "A 54982-2019")</f>
        <v/>
      </c>
      <c r="T5">
        <f>HYPERLINK("https://klasma.github.io/Logging_0580/kartor/A 54982-2019 karta.png", "A 54982-2019")</f>
        <v/>
      </c>
      <c r="V5">
        <f>HYPERLINK("https://klasma.github.io/Logging_0580/klagomål/A 54982-2019 FSC-klagomål.docx", "A 54982-2019")</f>
        <v/>
      </c>
      <c r="W5">
        <f>HYPERLINK("https://klasma.github.io/Logging_0580/klagomålsmail/A 54982-2019 FSC-klagomål mail.docx", "A 54982-2019")</f>
        <v/>
      </c>
      <c r="X5">
        <f>HYPERLINK("https://klasma.github.io/Logging_0580/tillsyn/A 54982-2019 tillsynsbegäran.docx", "A 54982-2019")</f>
        <v/>
      </c>
      <c r="Y5">
        <f>HYPERLINK("https://klasma.github.io/Logging_0580/tillsynsmail/A 54982-2019 tillsynsbegäran mail.docx", "A 54982-2019")</f>
        <v/>
      </c>
    </row>
    <row r="6" ht="15" customHeight="1">
      <c r="A6" t="inlineStr">
        <is>
          <t>A 8914-2024</t>
        </is>
      </c>
      <c r="B6" s="1" t="n">
        <v>45355</v>
      </c>
      <c r="C6" s="1" t="n">
        <v>45791</v>
      </c>
      <c r="D6" t="inlineStr">
        <is>
          <t>ÖSTERGÖTLANDS LÄN</t>
        </is>
      </c>
      <c r="E6" t="inlineStr">
        <is>
          <t>LINKÖPING</t>
        </is>
      </c>
      <c r="G6" t="n">
        <v>3.7</v>
      </c>
      <c r="H6" t="n">
        <v>2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Spillkråka
Svart askbastborre
Tallticka
Björksplintborre
Fällmossa
Grovticka
Trådticka
Vågbandad barkbock</t>
        </is>
      </c>
      <c r="S6">
        <f>HYPERLINK("https://klasma.github.io/Logging_0580/artfynd/A 8914-2024 artfynd.xlsx", "A 8914-2024")</f>
        <v/>
      </c>
      <c r="T6">
        <f>HYPERLINK("https://klasma.github.io/Logging_0580/kartor/A 8914-2024 karta.png", "A 8914-2024")</f>
        <v/>
      </c>
      <c r="U6">
        <f>HYPERLINK("https://klasma.github.io/Logging_0580/knärot/A 8914-2024 karta knärot.png", "A 8914-2024")</f>
        <v/>
      </c>
      <c r="V6">
        <f>HYPERLINK("https://klasma.github.io/Logging_0580/klagomål/A 8914-2024 FSC-klagomål.docx", "A 8914-2024")</f>
        <v/>
      </c>
      <c r="W6">
        <f>HYPERLINK("https://klasma.github.io/Logging_0580/klagomålsmail/A 8914-2024 FSC-klagomål mail.docx", "A 8914-2024")</f>
        <v/>
      </c>
      <c r="X6">
        <f>HYPERLINK("https://klasma.github.io/Logging_0580/tillsyn/A 8914-2024 tillsynsbegäran.docx", "A 8914-2024")</f>
        <v/>
      </c>
      <c r="Y6">
        <f>HYPERLINK("https://klasma.github.io/Logging_0580/tillsynsmail/A 8914-2024 tillsynsbegäran mail.docx", "A 8914-2024")</f>
        <v/>
      </c>
      <c r="Z6">
        <f>HYPERLINK("https://klasma.github.io/Logging_0580/fåglar/A 8914-2024 prioriterade fågelarter.docx", "A 8914-2024")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45791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45791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45791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45791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45791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45791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45791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45791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45791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45791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45791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45791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45791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45791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45791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45791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45791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45791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45791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45791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45791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45791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45791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45791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45791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45791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45791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45791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45791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45791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45791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45791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45791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45791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45791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45791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45791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45791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45791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45791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45791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45791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45791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45791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45791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45791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45791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45791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45791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45791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45791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45791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45791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45791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45791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45791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45791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45791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45791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45791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45791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45791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45791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45791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45791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45791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45791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45791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45791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45791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45791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45791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45791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45791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45791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45791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45791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45791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45791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45791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45791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45791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45791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45791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45791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45791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45791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45791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45791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45791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45791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45791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45791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45791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45791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45791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45791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45791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45791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45791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45791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45791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45791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45791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45791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45791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45791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45791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45791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45791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45791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45791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45791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45791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45791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45791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45791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45791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45791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45791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45791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45791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45791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45791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45791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45791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45791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45791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45791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45791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45791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45791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45791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45791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45791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45791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45791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45791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45791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45791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45791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45791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45791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45791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45791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45791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45791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45791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45791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45791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45791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45791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45791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45791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45791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45791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45791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45791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45791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45791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45791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45791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45791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45791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45791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45791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45791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45791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45791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45791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45791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45791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45791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45791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45791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45791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45791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45791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45791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45791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45791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45791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45791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45791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45791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45791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45791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45791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45791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45791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45791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45791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45791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45791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45791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45791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45791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45791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45791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45791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45791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45791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45791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45791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45791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45791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45791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45791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45791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45791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45791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45791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45791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45791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45791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45791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45791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45791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45791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45791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45791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45791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45791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45791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45791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45791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45791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45791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45791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45791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45791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45791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45791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45791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45791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45791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45791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45791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45791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45791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45791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45791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45791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45791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45791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45791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45791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45791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45791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45791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45791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45791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45791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45791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45791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45791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45791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45791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45791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45791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45791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45791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45791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45791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45791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45791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45791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45791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45791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45791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45791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45791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45791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45791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45791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45791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45791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45791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45791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45791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45791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45791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45791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45791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45791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45791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45791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45791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45791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45791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45791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45791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45791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45791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45791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45791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45791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45791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45791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45791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45791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45791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45791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45791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45791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45791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45791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45791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45791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45791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45791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45791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45791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45791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45791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45791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45791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45791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45791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45791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45791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45791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45791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45791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45791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45791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45791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45791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45791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45791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45791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45791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45791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45791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45791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45791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45791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45791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45791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45791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45791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45791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45791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45791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45791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45791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45791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45791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45791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45791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45791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45791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45791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45791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45791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45791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45791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45791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45791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45791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45791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45791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45791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45791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45791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45791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45791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45791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45791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45791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45791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45791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45791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45791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45791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45791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45791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45791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45791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45791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45791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45791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45791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45791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45791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45791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45791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45791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45791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45791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45791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45791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45791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45791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45791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45791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45791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45791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45791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45791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45791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45791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45791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45791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45791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45791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45791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45791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45791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45791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45791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45791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45791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45791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45791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45791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45791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45791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45791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45791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45791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45791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45791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45791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45791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45791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45791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45791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45791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45791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45791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45791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45791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45791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45791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45791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45791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45791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45791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45791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45791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45791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45791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45791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45791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45791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45791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45791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45791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45791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45791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45791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45791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45791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45791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45791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45791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45791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45791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45791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45791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45791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45791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45791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45791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45791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45791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45791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45791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45791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45791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45791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45791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45791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45791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45791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45791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45791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45791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45791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45791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45791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45791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45791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45791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45791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45791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45791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45791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45791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45791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45791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45791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45791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45791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45791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45791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45791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45791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45791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45791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45791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45791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45791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45791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45791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45791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45791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45791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45791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45791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45791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45791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45791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45791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45791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45791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45791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45791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45791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45791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45791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45791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45791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45791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45791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45791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45791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45791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45791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45791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45791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45791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45791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45791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45791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45791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45791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45791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45791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45791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45791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45791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45791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45791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45791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45791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45791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45791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45791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45791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45791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45791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45791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45791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45791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45791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45791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45791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45791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45791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45791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45791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45791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45791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45791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45791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45791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45791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45791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45791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45791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45791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45791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45791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45791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45791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45791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45791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45791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45791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45791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45791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45791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45791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45791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45791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45791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45791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45791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45791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45791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45791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45791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45791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45791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45791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45791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45791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45791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45791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45791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45791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45791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45791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45791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45791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45791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45791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45791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45791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45791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45791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45791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45791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45791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45791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45791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45791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45791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45791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45791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45791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45791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45791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45791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45791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45791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45791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45791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45791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45791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45791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45791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45791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45791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45791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45791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45791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45791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45791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45791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45791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45791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45791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45791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45791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45791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45791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45791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45791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45791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45791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45791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45791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45791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45791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45791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45791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45791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45791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45791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45791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45791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45791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45791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45791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45791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45791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45791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45791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45791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45791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45791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45791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45791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45791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45791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45791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45791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45791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45791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45791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45791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45791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45791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45791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45791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45791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45791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45791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45791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45791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45791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45791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45791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45791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45791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45791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45791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45791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45791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45791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45791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45791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45791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45791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45791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45791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45791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45791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45791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45791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45791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45791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45791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45791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45791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45791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45791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45791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45791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45791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45791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45791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45791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45791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45791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45791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45791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45791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45791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45791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45791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45791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45791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45791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45791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45791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45791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45791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45791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45791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45791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45791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45791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45791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45791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45791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45791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45791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45791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45791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45791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45791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45791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45791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45791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45791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45791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45791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45791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45791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45791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45791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45791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45791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45791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45791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45791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45791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45791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45791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45791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45791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45791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45791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45791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45791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45791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45791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45791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45791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45791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45791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45791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45791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45791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45791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45791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45791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45791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45791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45791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45791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45791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45791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45791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45791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45791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45791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45791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45791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45791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45791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45791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45791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45791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45791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45791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45791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45791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45791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45791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45791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45791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45791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45791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45791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45791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45791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45791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45791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45791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45791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45791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45791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45791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45791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45791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45791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45791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45791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45791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45791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45791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45791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45791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45791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45791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45791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45791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45791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45791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45791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45791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45791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45791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45791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45791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45791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45791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45791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45791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45791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45791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45791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45791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45791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45791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45791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45791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45791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45791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45791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45791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45791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45791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45791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45791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45791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45791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45791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45791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45791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45791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45791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45791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45791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45791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45791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45791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45791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45791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45791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45791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45791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45791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45791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45791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45791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45791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45791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45791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45791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45791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45791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45791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45791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45791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45791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45791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45791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45791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45791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45791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45791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45791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45791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45791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45791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45791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45791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45791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45791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45791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45791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45791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45791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45791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45791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45791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45791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45791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45791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45791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45791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45791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45791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45791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45791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45791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45791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45791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45791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45791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45791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45791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45791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45791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45791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45791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45791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45791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45791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45791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45791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45791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45791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45791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45791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45791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45791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45791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45791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45791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45791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45791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45791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45791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45791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45791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45791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45791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45791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45791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45791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45791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45791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45791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45791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45791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45791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45791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45791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45791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45791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45791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45791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45791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45791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45791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45791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45791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45791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45791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45791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45791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45791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45791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45791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45791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45791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45791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45791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45791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45791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45791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45791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45791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45791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45791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45791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45791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45791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45791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45791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45791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45791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45791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45791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45791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45791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45791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45791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45791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45791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45791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45791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45791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45791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45791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45791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45791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45791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45791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45791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45791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45791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45791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45791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45791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45791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45791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45791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45791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45791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45791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45791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45791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45791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45791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45791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45791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45791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45791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45791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45791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45791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45791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45791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45791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45791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45791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45791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45791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45791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45791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45791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45791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45791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45791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45791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45791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45791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45791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45791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45791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45791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45791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45791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45791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45791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45791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45791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45791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45791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45791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45791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45791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45791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45791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45791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45791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45791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45791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45791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45791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45791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45791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45791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45791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45791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45791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45791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45791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45791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45791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45791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45791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45791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45791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45791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45791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45791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45791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45791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45791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45791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45791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45791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45791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45791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45791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45791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45791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45791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45791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45791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45791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45791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45791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45791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45791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45791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45791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45791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45791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45791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45791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45791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45791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45791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45791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45791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45791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45791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45791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45791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45791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45791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45791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45791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45791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45791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45791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45791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45791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45791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45791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45791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45791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45791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45791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45791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45791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45791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45791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45791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45791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45791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45791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45791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45791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45791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45791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45791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45791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45791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45791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45791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45791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45791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45791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45791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45791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45791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45791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45791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45791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45791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45791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45791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45791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45791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45791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45791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45791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45791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45791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45791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45791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45791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45791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45791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45791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45791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45791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45791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45791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45791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45791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45791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45791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45791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45791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45791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45791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45791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45791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45791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45791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45791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45791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45791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45791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45791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45791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45791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45791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45791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45791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45791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45791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45791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45791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45791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45791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45791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45791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45791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45791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45791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45791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45791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45791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45791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45791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45791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45791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45791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45791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45791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45791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45791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45791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45791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45791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45791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45791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45791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45791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45791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45791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45791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45791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45791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45791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45791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45791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45791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45791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45791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45791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45791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45791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45791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45791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45791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45791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45791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45791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45791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45791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45791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45791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45791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45791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45791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45791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45791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45791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45791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45791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45791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45791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45791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45791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45791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45791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45791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45791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45791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45791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45791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45791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45791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45791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45791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45791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45791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45791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45791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45791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45791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45791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45791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45791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45791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45791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45791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45791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45791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45791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45791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45791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45791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45791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45791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45791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45791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45791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45791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45791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45791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45791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45791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45791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45791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45791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45791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45791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45791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45791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45791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45791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45791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45791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45791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45791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45791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45791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45791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45791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45791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45791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45791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45791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45791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45791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45791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45791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45791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45791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45791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45791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45791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45791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45791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45791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45791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45791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45791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45791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45791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45791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45791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45791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45791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45791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45791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45791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45791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45791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45791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45791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45791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45791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45791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45791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45791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45791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45791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45791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45791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20296-2025</t>
        </is>
      </c>
      <c r="B1392" s="1" t="n">
        <v>45774</v>
      </c>
      <c r="C1392" s="1" t="n">
        <v>45791</v>
      </c>
      <c r="D1392" t="inlineStr">
        <is>
          <t>ÖSTERGÖTLANDS LÄN</t>
        </is>
      </c>
      <c r="E1392" t="inlineStr">
        <is>
          <t>LINKÖPING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45791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45791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45791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45791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45791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45791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45791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45791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45791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22364-2025</t>
        </is>
      </c>
      <c r="B1402" s="1" t="n">
        <v>45786</v>
      </c>
      <c r="C1402" s="1" t="n">
        <v>45791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2025-05-14T17:28:27Z</dcterms:created>
  <dcterms:modified xmlns:dcterms="http://purl.org/dc/terms/" xmlns:xsi="http://www.w3.org/2001/XMLSchema-instance" xsi:type="dcterms:W3CDTF">2025-05-14T17:28:29Z</dcterms:modified>
</cp:coreProperties>
</file>