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45890</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45890</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55341-2024</t>
        </is>
      </c>
      <c r="B15" s="1" t="n">
        <v>45621.71255787037</v>
      </c>
      <c r="C15" s="1" t="n">
        <v>45890</v>
      </c>
      <c r="D15" t="inlineStr">
        <is>
          <t>ÖSTERGÖTLANDS LÄN</t>
        </is>
      </c>
      <c r="E15" t="inlineStr">
        <is>
          <t>LINKÖPING</t>
        </is>
      </c>
      <c r="G15" t="n">
        <v>4.3</v>
      </c>
      <c r="H15" t="n">
        <v>0</v>
      </c>
      <c r="I15" t="n">
        <v>2</v>
      </c>
      <c r="J15" t="n">
        <v>0</v>
      </c>
      <c r="K15" t="n">
        <v>1</v>
      </c>
      <c r="L15" t="n">
        <v>0</v>
      </c>
      <c r="M15" t="n">
        <v>0</v>
      </c>
      <c r="N15" t="n">
        <v>0</v>
      </c>
      <c r="O15" t="n">
        <v>1</v>
      </c>
      <c r="P15" t="n">
        <v>1</v>
      </c>
      <c r="Q15" t="n">
        <v>3</v>
      </c>
      <c r="R15" s="2" t="inlineStr">
        <is>
          <t>Rynkskinn
Barkticka
Smal svampklubba</t>
        </is>
      </c>
      <c r="S15">
        <f>HYPERLINK("https://klasma.github.io/Logging_0580/artfynd/A 55341-2024 artfynd.xlsx", "A 55341-2024")</f>
        <v/>
      </c>
      <c r="T15">
        <f>HYPERLINK("https://klasma.github.io/Logging_0580/kartor/A 55341-2024 karta.png", "A 55341-2024")</f>
        <v/>
      </c>
      <c r="V15">
        <f>HYPERLINK("https://klasma.github.io/Logging_0580/klagomål/A 55341-2024 FSC-klagomål.docx", "A 55341-2024")</f>
        <v/>
      </c>
      <c r="W15">
        <f>HYPERLINK("https://klasma.github.io/Logging_0580/klagomålsmail/A 55341-2024 FSC-klagomål mail.docx", "A 55341-2024")</f>
        <v/>
      </c>
      <c r="X15">
        <f>HYPERLINK("https://klasma.github.io/Logging_0580/tillsyn/A 55341-2024 tillsynsbegäran.docx", "A 55341-2024")</f>
        <v/>
      </c>
      <c r="Y15">
        <f>HYPERLINK("https://klasma.github.io/Logging_0580/tillsynsmail/A 55341-2024 tillsynsbegäran mail.docx", "A 55341-2024")</f>
        <v/>
      </c>
    </row>
    <row r="16" ht="15" customHeight="1">
      <c r="A16" t="inlineStr">
        <is>
          <t>A 577-2025</t>
        </is>
      </c>
      <c r="B16" s="1" t="n">
        <v>45664.56525462963</v>
      </c>
      <c r="C16" s="1" t="n">
        <v>45890</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9192-2025</t>
        </is>
      </c>
      <c r="B17" s="1" t="n">
        <v>45714.45943287037</v>
      </c>
      <c r="C17" s="1" t="n">
        <v>45890</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17275-2025</t>
        </is>
      </c>
      <c r="B18" s="1" t="n">
        <v>45756.55734953703</v>
      </c>
      <c r="C18" s="1" t="n">
        <v>45890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44668-2020</t>
        </is>
      </c>
      <c r="B19" s="1" t="n">
        <v>44085</v>
      </c>
      <c r="C19" s="1" t="n">
        <v>45890</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17520-2022</t>
        </is>
      </c>
      <c r="B20" s="1" t="n">
        <v>44679</v>
      </c>
      <c r="C20" s="1" t="n">
        <v>45890</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49188-2024</t>
        </is>
      </c>
      <c r="B21" s="1" t="n">
        <v>45595</v>
      </c>
      <c r="C21" s="1" t="n">
        <v>45890</v>
      </c>
      <c r="D21" t="inlineStr">
        <is>
          <t>ÖSTERGÖTLANDS LÄN</t>
        </is>
      </c>
      <c r="E21" t="inlineStr">
        <is>
          <t>LINKÖPING</t>
        </is>
      </c>
      <c r="G21" t="n">
        <v>3.1</v>
      </c>
      <c r="H21" t="n">
        <v>0</v>
      </c>
      <c r="I21" t="n">
        <v>0</v>
      </c>
      <c r="J21" t="n">
        <v>0</v>
      </c>
      <c r="K21" t="n">
        <v>0</v>
      </c>
      <c r="L21" t="n">
        <v>1</v>
      </c>
      <c r="M21" t="n">
        <v>1</v>
      </c>
      <c r="N21" t="n">
        <v>0</v>
      </c>
      <c r="O21" t="n">
        <v>2</v>
      </c>
      <c r="P21" t="n">
        <v>2</v>
      </c>
      <c r="Q21" t="n">
        <v>2</v>
      </c>
      <c r="R21" s="2" t="inlineStr">
        <is>
          <t>Skogsalm
Ask</t>
        </is>
      </c>
      <c r="S21">
        <f>HYPERLINK("https://klasma.github.io/Logging_0580/artfynd/A 49188-2024 artfynd.xlsx", "A 49188-2024")</f>
        <v/>
      </c>
      <c r="T21">
        <f>HYPERLINK("https://klasma.github.io/Logging_0580/kartor/A 49188-2024 karta.png", "A 49188-2024")</f>
        <v/>
      </c>
      <c r="V21">
        <f>HYPERLINK("https://klasma.github.io/Logging_0580/klagomål/A 49188-2024 FSC-klagomål.docx", "A 49188-2024")</f>
        <v/>
      </c>
      <c r="W21">
        <f>HYPERLINK("https://klasma.github.io/Logging_0580/klagomålsmail/A 49188-2024 FSC-klagomål mail.docx", "A 49188-2024")</f>
        <v/>
      </c>
      <c r="X21">
        <f>HYPERLINK("https://klasma.github.io/Logging_0580/tillsyn/A 49188-2024 tillsynsbegäran.docx", "A 49188-2024")</f>
        <v/>
      </c>
      <c r="Y21">
        <f>HYPERLINK("https://klasma.github.io/Logging_0580/tillsynsmail/A 49188-2024 tillsynsbegäran mail.docx", "A 49188-2024")</f>
        <v/>
      </c>
    </row>
    <row r="22" ht="15" customHeight="1">
      <c r="A22" t="inlineStr">
        <is>
          <t>A 38137-2021</t>
        </is>
      </c>
      <c r="B22" s="1" t="n">
        <v>44405.38357638889</v>
      </c>
      <c r="C22" s="1" t="n">
        <v>45890</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11613-2025</t>
        </is>
      </c>
      <c r="B23" s="1" t="n">
        <v>45727.44623842592</v>
      </c>
      <c r="C23" s="1" t="n">
        <v>45890</v>
      </c>
      <c r="D23" t="inlineStr">
        <is>
          <t>ÖSTERGÖTLANDS LÄN</t>
        </is>
      </c>
      <c r="E23" t="inlineStr">
        <is>
          <t>LINKÖPING</t>
        </is>
      </c>
      <c r="G23" t="n">
        <v>5.7</v>
      </c>
      <c r="H23" t="n">
        <v>1</v>
      </c>
      <c r="I23" t="n">
        <v>1</v>
      </c>
      <c r="J23" t="n">
        <v>0</v>
      </c>
      <c r="K23" t="n">
        <v>1</v>
      </c>
      <c r="L23" t="n">
        <v>0</v>
      </c>
      <c r="M23" t="n">
        <v>0</v>
      </c>
      <c r="N23" t="n">
        <v>0</v>
      </c>
      <c r="O23" t="n">
        <v>1</v>
      </c>
      <c r="P23" t="n">
        <v>1</v>
      </c>
      <c r="Q23" t="n">
        <v>2</v>
      </c>
      <c r="R23" s="2" t="inlineStr">
        <is>
          <t>Knärot
Grönpyrola</t>
        </is>
      </c>
      <c r="S23">
        <f>HYPERLINK("https://klasma.github.io/Logging_0580/artfynd/A 11613-2025 artfynd.xlsx", "A 11613-2025")</f>
        <v/>
      </c>
      <c r="T23">
        <f>HYPERLINK("https://klasma.github.io/Logging_0580/kartor/A 11613-2025 karta.png", "A 11613-2025")</f>
        <v/>
      </c>
      <c r="U23">
        <f>HYPERLINK("https://klasma.github.io/Logging_0580/knärot/A 11613-2025 karta knärot.png", "A 11613-2025")</f>
        <v/>
      </c>
      <c r="V23">
        <f>HYPERLINK("https://klasma.github.io/Logging_0580/klagomål/A 11613-2025 FSC-klagomål.docx", "A 11613-2025")</f>
        <v/>
      </c>
      <c r="W23">
        <f>HYPERLINK("https://klasma.github.io/Logging_0580/klagomålsmail/A 11613-2025 FSC-klagomål mail.docx", "A 11613-2025")</f>
        <v/>
      </c>
      <c r="X23">
        <f>HYPERLINK("https://klasma.github.io/Logging_0580/tillsyn/A 11613-2025 tillsynsbegäran.docx", "A 11613-2025")</f>
        <v/>
      </c>
      <c r="Y23">
        <f>HYPERLINK("https://klasma.github.io/Logging_0580/tillsynsmail/A 11613-2025 tillsynsbegäran mail.docx", "A 11613-2025")</f>
        <v/>
      </c>
    </row>
    <row r="24" ht="15" customHeight="1">
      <c r="A24" t="inlineStr">
        <is>
          <t>A 42858-2023</t>
        </is>
      </c>
      <c r="B24" s="1" t="n">
        <v>45177</v>
      </c>
      <c r="C24" s="1" t="n">
        <v>45890</v>
      </c>
      <c r="D24" t="inlineStr">
        <is>
          <t>ÖSTERGÖTLANDS LÄN</t>
        </is>
      </c>
      <c r="E24" t="inlineStr">
        <is>
          <t>LINKÖPING</t>
        </is>
      </c>
      <c r="G24" t="n">
        <v>5.3</v>
      </c>
      <c r="H24" t="n">
        <v>1</v>
      </c>
      <c r="I24" t="n">
        <v>0</v>
      </c>
      <c r="J24" t="n">
        <v>1</v>
      </c>
      <c r="K24" t="n">
        <v>0</v>
      </c>
      <c r="L24" t="n">
        <v>0</v>
      </c>
      <c r="M24" t="n">
        <v>0</v>
      </c>
      <c r="N24" t="n">
        <v>0</v>
      </c>
      <c r="O24" t="n">
        <v>1</v>
      </c>
      <c r="P24" t="n">
        <v>0</v>
      </c>
      <c r="Q24" t="n">
        <v>2</v>
      </c>
      <c r="R24" s="2" t="inlineStr">
        <is>
          <t>Svinrot
Skogsödla</t>
        </is>
      </c>
      <c r="S24">
        <f>HYPERLINK("https://klasma.github.io/Logging_0580/artfynd/A 42858-2023 artfynd.xlsx", "A 42858-2023")</f>
        <v/>
      </c>
      <c r="T24">
        <f>HYPERLINK("https://klasma.github.io/Logging_0580/kartor/A 42858-2023 karta.png", "A 42858-2023")</f>
        <v/>
      </c>
      <c r="V24">
        <f>HYPERLINK("https://klasma.github.io/Logging_0580/klagomål/A 42858-2023 FSC-klagomål.docx", "A 42858-2023")</f>
        <v/>
      </c>
      <c r="W24">
        <f>HYPERLINK("https://klasma.github.io/Logging_0580/klagomålsmail/A 42858-2023 FSC-klagomål mail.docx", "A 42858-2023")</f>
        <v/>
      </c>
      <c r="X24">
        <f>HYPERLINK("https://klasma.github.io/Logging_0580/tillsyn/A 42858-2023 tillsynsbegäran.docx", "A 42858-2023")</f>
        <v/>
      </c>
      <c r="Y24">
        <f>HYPERLINK("https://klasma.github.io/Logging_0580/tillsynsmail/A 42858-2023 tillsynsbegäran mail.docx", "A 42858-2023")</f>
        <v/>
      </c>
    </row>
    <row r="25" ht="15" customHeight="1">
      <c r="A25" t="inlineStr">
        <is>
          <t>A 27981-2022</t>
        </is>
      </c>
      <c r="B25" s="1" t="n">
        <v>44745</v>
      </c>
      <c r="C25" s="1" t="n">
        <v>45890</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55344-2024</t>
        </is>
      </c>
      <c r="B26" s="1" t="n">
        <v>45621.7202662037</v>
      </c>
      <c r="C26" s="1" t="n">
        <v>45890</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50404-2023</t>
        </is>
      </c>
      <c r="B27" s="1" t="n">
        <v>45216</v>
      </c>
      <c r="C27" s="1" t="n">
        <v>45890</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21326-2025</t>
        </is>
      </c>
      <c r="B28" s="1" t="n">
        <v>45782.35407407407</v>
      </c>
      <c r="C28" s="1" t="n">
        <v>45890</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45890</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45890</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25985-2025</t>
        </is>
      </c>
      <c r="B31" s="1" t="n">
        <v>45804.64479166667</v>
      </c>
      <c r="C31" s="1" t="n">
        <v>45890</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14879-2024</t>
        </is>
      </c>
      <c r="B32" s="1" t="n">
        <v>45398</v>
      </c>
      <c r="C32" s="1" t="n">
        <v>45890</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45890</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27795-2025</t>
        </is>
      </c>
      <c r="B34" s="1" t="n">
        <v>45816.7908912037</v>
      </c>
      <c r="C34" s="1" t="n">
        <v>45890</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38913-2023</t>
        </is>
      </c>
      <c r="B35" s="1" t="n">
        <v>45163</v>
      </c>
      <c r="C35" s="1" t="n">
        <v>45890</v>
      </c>
      <c r="D35" t="inlineStr">
        <is>
          <t>ÖSTERGÖTLANDS LÄN</t>
        </is>
      </c>
      <c r="E35" t="inlineStr">
        <is>
          <t>LINKÖPING</t>
        </is>
      </c>
      <c r="G35" t="n">
        <v>2.7</v>
      </c>
      <c r="H35" t="n">
        <v>1</v>
      </c>
      <c r="I35" t="n">
        <v>1</v>
      </c>
      <c r="J35" t="n">
        <v>0</v>
      </c>
      <c r="K35" t="n">
        <v>0</v>
      </c>
      <c r="L35" t="n">
        <v>0</v>
      </c>
      <c r="M35" t="n">
        <v>0</v>
      </c>
      <c r="N35" t="n">
        <v>0</v>
      </c>
      <c r="O35" t="n">
        <v>0</v>
      </c>
      <c r="P35" t="n">
        <v>0</v>
      </c>
      <c r="Q35" t="n">
        <v>2</v>
      </c>
      <c r="R35" s="2" t="inlineStr">
        <is>
          <t>Skogsbräsma
Revlummer</t>
        </is>
      </c>
      <c r="S35">
        <f>HYPERLINK("https://klasma.github.io/Logging_0580/artfynd/A 38913-2023 artfynd.xlsx", "A 38913-2023")</f>
        <v/>
      </c>
      <c r="T35">
        <f>HYPERLINK("https://klasma.github.io/Logging_0580/kartor/A 38913-2023 karta.png", "A 38913-2023")</f>
        <v/>
      </c>
      <c r="V35">
        <f>HYPERLINK("https://klasma.github.io/Logging_0580/klagomål/A 38913-2023 FSC-klagomål.docx", "A 38913-2023")</f>
        <v/>
      </c>
      <c r="W35">
        <f>HYPERLINK("https://klasma.github.io/Logging_0580/klagomålsmail/A 38913-2023 FSC-klagomål mail.docx", "A 38913-2023")</f>
        <v/>
      </c>
      <c r="X35">
        <f>HYPERLINK("https://klasma.github.io/Logging_0580/tillsyn/A 38913-2023 tillsynsbegäran.docx", "A 38913-2023")</f>
        <v/>
      </c>
      <c r="Y35">
        <f>HYPERLINK("https://klasma.github.io/Logging_0580/tillsynsmail/A 38913-2023 tillsynsbegäran mail.docx", "A 38913-2023")</f>
        <v/>
      </c>
    </row>
    <row r="36" ht="15" customHeight="1">
      <c r="A36" t="inlineStr">
        <is>
          <t>A 58068-2021</t>
        </is>
      </c>
      <c r="B36" s="1" t="n">
        <v>44487</v>
      </c>
      <c r="C36" s="1" t="n">
        <v>45890</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41751-2023</t>
        </is>
      </c>
      <c r="B37" s="1" t="n">
        <v>45176</v>
      </c>
      <c r="C37" s="1" t="n">
        <v>45890</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45890</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45890</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45890</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45890</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45890</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45890</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45890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56128-2022</t>
        </is>
      </c>
      <c r="B45" s="1" t="n">
        <v>44889</v>
      </c>
      <c r="C45" s="1" t="n">
        <v>45890</v>
      </c>
      <c r="D45" t="inlineStr">
        <is>
          <t>ÖSTERGÖTLANDS LÄN</t>
        </is>
      </c>
      <c r="E45" t="inlineStr">
        <is>
          <t>LINKÖPING</t>
        </is>
      </c>
      <c r="G45" t="n">
        <v>2</v>
      </c>
      <c r="H45" t="n">
        <v>0</v>
      </c>
      <c r="I45" t="n">
        <v>1</v>
      </c>
      <c r="J45" t="n">
        <v>0</v>
      </c>
      <c r="K45" t="n">
        <v>0</v>
      </c>
      <c r="L45" t="n">
        <v>0</v>
      </c>
      <c r="M45" t="n">
        <v>0</v>
      </c>
      <c r="N45" t="n">
        <v>0</v>
      </c>
      <c r="O45" t="n">
        <v>0</v>
      </c>
      <c r="P45" t="n">
        <v>0</v>
      </c>
      <c r="Q45" t="n">
        <v>1</v>
      </c>
      <c r="R45" s="2" t="inlineStr">
        <is>
          <t>Tibast</t>
        </is>
      </c>
      <c r="S45">
        <f>HYPERLINK("https://klasma.github.io/Logging_0580/artfynd/A 56128-2022 artfynd.xlsx", "A 56128-2022")</f>
        <v/>
      </c>
      <c r="T45">
        <f>HYPERLINK("https://klasma.github.io/Logging_0580/kartor/A 56128-2022 karta.png", "A 56128-2022")</f>
        <v/>
      </c>
      <c r="V45">
        <f>HYPERLINK("https://klasma.github.io/Logging_0580/klagomål/A 56128-2022 FSC-klagomål.docx", "A 56128-2022")</f>
        <v/>
      </c>
      <c r="W45">
        <f>HYPERLINK("https://klasma.github.io/Logging_0580/klagomålsmail/A 56128-2022 FSC-klagomål mail.docx", "A 56128-2022")</f>
        <v/>
      </c>
      <c r="X45">
        <f>HYPERLINK("https://klasma.github.io/Logging_0580/tillsyn/A 56128-2022 tillsynsbegäran.docx", "A 56128-2022")</f>
        <v/>
      </c>
      <c r="Y45">
        <f>HYPERLINK("https://klasma.github.io/Logging_0580/tillsynsmail/A 56128-2022 tillsynsbegäran mail.docx", "A 56128-2022")</f>
        <v/>
      </c>
    </row>
    <row r="46" ht="15" customHeight="1">
      <c r="A46" t="inlineStr">
        <is>
          <t>A 40309-2024</t>
        </is>
      </c>
      <c r="B46" s="1" t="n">
        <v>45554.724375</v>
      </c>
      <c r="C46" s="1" t="n">
        <v>45890</v>
      </c>
      <c r="D46" t="inlineStr">
        <is>
          <t>ÖSTERGÖTLANDS LÄN</t>
        </is>
      </c>
      <c r="E46" t="inlineStr">
        <is>
          <t>LINKÖPING</t>
        </is>
      </c>
      <c r="F46" t="inlineStr">
        <is>
          <t>Allmännings- och besparingsskogar</t>
        </is>
      </c>
      <c r="G46" t="n">
        <v>6</v>
      </c>
      <c r="H46" t="n">
        <v>0</v>
      </c>
      <c r="I46" t="n">
        <v>0</v>
      </c>
      <c r="J46" t="n">
        <v>1</v>
      </c>
      <c r="K46" t="n">
        <v>0</v>
      </c>
      <c r="L46" t="n">
        <v>0</v>
      </c>
      <c r="M46" t="n">
        <v>0</v>
      </c>
      <c r="N46" t="n">
        <v>0</v>
      </c>
      <c r="O46" t="n">
        <v>1</v>
      </c>
      <c r="P46" t="n">
        <v>0</v>
      </c>
      <c r="Q46" t="n">
        <v>1</v>
      </c>
      <c r="R46" s="2" t="inlineStr">
        <is>
          <t>Garnlav</t>
        </is>
      </c>
      <c r="S46">
        <f>HYPERLINK("https://klasma.github.io/Logging_0580/artfynd/A 40309-2024 artfynd.xlsx", "A 40309-2024")</f>
        <v/>
      </c>
      <c r="T46">
        <f>HYPERLINK("https://klasma.github.io/Logging_0580/kartor/A 40309-2024 karta.png", "A 40309-2024")</f>
        <v/>
      </c>
      <c r="V46">
        <f>HYPERLINK("https://klasma.github.io/Logging_0580/klagomål/A 40309-2024 FSC-klagomål.docx", "A 40309-2024")</f>
        <v/>
      </c>
      <c r="W46">
        <f>HYPERLINK("https://klasma.github.io/Logging_0580/klagomålsmail/A 40309-2024 FSC-klagomål mail.docx", "A 40309-2024")</f>
        <v/>
      </c>
      <c r="X46">
        <f>HYPERLINK("https://klasma.github.io/Logging_0580/tillsyn/A 40309-2024 tillsynsbegäran.docx", "A 40309-2024")</f>
        <v/>
      </c>
      <c r="Y46">
        <f>HYPERLINK("https://klasma.github.io/Logging_0580/tillsynsmail/A 40309-2024 tillsynsbegäran mail.docx", "A 40309-2024")</f>
        <v/>
      </c>
    </row>
    <row r="47" ht="15" customHeight="1">
      <c r="A47" t="inlineStr">
        <is>
          <t>A 931-2025</t>
        </is>
      </c>
      <c r="B47" s="1" t="n">
        <v>45665.88498842593</v>
      </c>
      <c r="C47" s="1" t="n">
        <v>45890</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54835-2023</t>
        </is>
      </c>
      <c r="B48" s="1" t="n">
        <v>45236</v>
      </c>
      <c r="C48" s="1" t="n">
        <v>45890</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1716-2023</t>
        </is>
      </c>
      <c r="B49" s="1" t="n">
        <v>44938</v>
      </c>
      <c r="C49" s="1" t="n">
        <v>45890</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45890</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45890</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20295-2025</t>
        </is>
      </c>
      <c r="B52" s="1" t="n">
        <v>45774.74846064814</v>
      </c>
      <c r="C52" s="1" t="n">
        <v>45890</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5984-2025</t>
        </is>
      </c>
      <c r="B53" s="1" t="n">
        <v>45695.55173611111</v>
      </c>
      <c r="C53" s="1" t="n">
        <v>45890</v>
      </c>
      <c r="D53" t="inlineStr">
        <is>
          <t>ÖSTERGÖTLANDS LÄN</t>
        </is>
      </c>
      <c r="E53" t="inlineStr">
        <is>
          <t>LINKÖPING</t>
        </is>
      </c>
      <c r="F53" t="inlineStr">
        <is>
          <t>Allmännings- och besparingsskogar</t>
        </is>
      </c>
      <c r="G53" t="n">
        <v>5.5</v>
      </c>
      <c r="H53" t="n">
        <v>0</v>
      </c>
      <c r="I53" t="n">
        <v>0</v>
      </c>
      <c r="J53" t="n">
        <v>1</v>
      </c>
      <c r="K53" t="n">
        <v>0</v>
      </c>
      <c r="L53" t="n">
        <v>0</v>
      </c>
      <c r="M53" t="n">
        <v>0</v>
      </c>
      <c r="N53" t="n">
        <v>0</v>
      </c>
      <c r="O53" t="n">
        <v>1</v>
      </c>
      <c r="P53" t="n">
        <v>0</v>
      </c>
      <c r="Q53" t="n">
        <v>1</v>
      </c>
      <c r="R53" s="2" t="inlineStr">
        <is>
          <t>Vanlig backsmörblomma</t>
        </is>
      </c>
      <c r="S53">
        <f>HYPERLINK("https://klasma.github.io/Logging_0580/artfynd/A 5984-2025 artfynd.xlsx", "A 5984-2025")</f>
        <v/>
      </c>
      <c r="T53">
        <f>HYPERLINK("https://klasma.github.io/Logging_0580/kartor/A 5984-2025 karta.png", "A 5984-2025")</f>
        <v/>
      </c>
      <c r="V53">
        <f>HYPERLINK("https://klasma.github.io/Logging_0580/klagomål/A 5984-2025 FSC-klagomål.docx", "A 5984-2025")</f>
        <v/>
      </c>
      <c r="W53">
        <f>HYPERLINK("https://klasma.github.io/Logging_0580/klagomålsmail/A 5984-2025 FSC-klagomål mail.docx", "A 5984-2025")</f>
        <v/>
      </c>
      <c r="X53">
        <f>HYPERLINK("https://klasma.github.io/Logging_0580/tillsyn/A 5984-2025 tillsynsbegäran.docx", "A 5984-2025")</f>
        <v/>
      </c>
      <c r="Y53">
        <f>HYPERLINK("https://klasma.github.io/Logging_0580/tillsynsmail/A 5984-2025 tillsynsbegäran mail.docx", "A 5984-2025")</f>
        <v/>
      </c>
    </row>
    <row r="54" ht="15" customHeight="1">
      <c r="A54" t="inlineStr">
        <is>
          <t>A 126-2024</t>
        </is>
      </c>
      <c r="B54" s="1" t="n">
        <v>45294</v>
      </c>
      <c r="C54" s="1" t="n">
        <v>45890</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60573-2021</t>
        </is>
      </c>
      <c r="B55" s="1" t="n">
        <v>44496</v>
      </c>
      <c r="C55" s="1" t="n">
        <v>45890</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22526-2025</t>
        </is>
      </c>
      <c r="B56" s="1" t="n">
        <v>45786.78096064815</v>
      </c>
      <c r="C56" s="1" t="n">
        <v>45890</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45890</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13694-2025</t>
        </is>
      </c>
      <c r="B58" s="1" t="n">
        <v>45737.32148148148</v>
      </c>
      <c r="C58" s="1" t="n">
        <v>45890</v>
      </c>
      <c r="D58" t="inlineStr">
        <is>
          <t>ÖSTERGÖTLANDS LÄN</t>
        </is>
      </c>
      <c r="E58" t="inlineStr">
        <is>
          <t>LINKÖPING</t>
        </is>
      </c>
      <c r="G58" t="n">
        <v>9.300000000000001</v>
      </c>
      <c r="H58" t="n">
        <v>1</v>
      </c>
      <c r="I58" t="n">
        <v>0</v>
      </c>
      <c r="J58" t="n">
        <v>0</v>
      </c>
      <c r="K58" t="n">
        <v>0</v>
      </c>
      <c r="L58" t="n">
        <v>0</v>
      </c>
      <c r="M58" t="n">
        <v>0</v>
      </c>
      <c r="N58" t="n">
        <v>0</v>
      </c>
      <c r="O58" t="n">
        <v>0</v>
      </c>
      <c r="P58" t="n">
        <v>0</v>
      </c>
      <c r="Q58" t="n">
        <v>1</v>
      </c>
      <c r="R58" s="2" t="inlineStr">
        <is>
          <t>Mattlummer</t>
        </is>
      </c>
      <c r="S58">
        <f>HYPERLINK("https://klasma.github.io/Logging_0580/artfynd/A 13694-2025 artfynd.xlsx", "A 13694-2025")</f>
        <v/>
      </c>
      <c r="T58">
        <f>HYPERLINK("https://klasma.github.io/Logging_0580/kartor/A 13694-2025 karta.png", "A 13694-2025")</f>
        <v/>
      </c>
      <c r="V58">
        <f>HYPERLINK("https://klasma.github.io/Logging_0580/klagomål/A 13694-2025 FSC-klagomål.docx", "A 13694-2025")</f>
        <v/>
      </c>
      <c r="W58">
        <f>HYPERLINK("https://klasma.github.io/Logging_0580/klagomålsmail/A 13694-2025 FSC-klagomål mail.docx", "A 13694-2025")</f>
        <v/>
      </c>
      <c r="X58">
        <f>HYPERLINK("https://klasma.github.io/Logging_0580/tillsyn/A 13694-2025 tillsynsbegäran.docx", "A 13694-2025")</f>
        <v/>
      </c>
      <c r="Y58">
        <f>HYPERLINK("https://klasma.github.io/Logging_0580/tillsynsmail/A 13694-2025 tillsynsbegäran mail.docx", "A 13694-2025")</f>
        <v/>
      </c>
    </row>
    <row r="59" ht="15" customHeight="1">
      <c r="A59" t="inlineStr">
        <is>
          <t>A 44930-2020</t>
        </is>
      </c>
      <c r="B59" s="1" t="n">
        <v>44088</v>
      </c>
      <c r="C59" s="1" t="n">
        <v>45890</v>
      </c>
      <c r="D59" t="inlineStr">
        <is>
          <t>ÖSTERGÖTLANDS LÄN</t>
        </is>
      </c>
      <c r="E59" t="inlineStr">
        <is>
          <t>LINKÖPING</t>
        </is>
      </c>
      <c r="G59" t="n">
        <v>2.6</v>
      </c>
      <c r="H59" t="n">
        <v>1</v>
      </c>
      <c r="I59" t="n">
        <v>0</v>
      </c>
      <c r="J59" t="n">
        <v>0</v>
      </c>
      <c r="K59" t="n">
        <v>1</v>
      </c>
      <c r="L59" t="n">
        <v>0</v>
      </c>
      <c r="M59" t="n">
        <v>0</v>
      </c>
      <c r="N59" t="n">
        <v>0</v>
      </c>
      <c r="O59" t="n">
        <v>1</v>
      </c>
      <c r="P59" t="n">
        <v>1</v>
      </c>
      <c r="Q59" t="n">
        <v>1</v>
      </c>
      <c r="R59" s="2" t="inlineStr">
        <is>
          <t>Knärot</t>
        </is>
      </c>
      <c r="S59">
        <f>HYPERLINK("https://klasma.github.io/Logging_0580/artfynd/A 44930-2020 artfynd.xlsx", "A 44930-2020")</f>
        <v/>
      </c>
      <c r="T59">
        <f>HYPERLINK("https://klasma.github.io/Logging_0580/kartor/A 44930-2020 karta.png", "A 44930-2020")</f>
        <v/>
      </c>
      <c r="U59">
        <f>HYPERLINK("https://klasma.github.io/Logging_0580/knärot/A 44930-2020 karta knärot.png", "A 44930-2020")</f>
        <v/>
      </c>
      <c r="V59">
        <f>HYPERLINK("https://klasma.github.io/Logging_0580/klagomål/A 44930-2020 FSC-klagomål.docx", "A 44930-2020")</f>
        <v/>
      </c>
      <c r="W59">
        <f>HYPERLINK("https://klasma.github.io/Logging_0580/klagomålsmail/A 44930-2020 FSC-klagomål mail.docx", "A 44930-2020")</f>
        <v/>
      </c>
      <c r="X59">
        <f>HYPERLINK("https://klasma.github.io/Logging_0580/tillsyn/A 44930-2020 tillsynsbegäran.docx", "A 44930-2020")</f>
        <v/>
      </c>
      <c r="Y59">
        <f>HYPERLINK("https://klasma.github.io/Logging_0580/tillsynsmail/A 44930-2020 tillsynsbegäran mail.docx", "A 44930-2020")</f>
        <v/>
      </c>
    </row>
    <row r="60" ht="15" customHeight="1">
      <c r="A60" t="inlineStr">
        <is>
          <t>A 69211-2021</t>
        </is>
      </c>
      <c r="B60" s="1" t="n">
        <v>44531</v>
      </c>
      <c r="C60" s="1" t="n">
        <v>45890</v>
      </c>
      <c r="D60" t="inlineStr">
        <is>
          <t>ÖSTERGÖTLANDS LÄN</t>
        </is>
      </c>
      <c r="E60" t="inlineStr">
        <is>
          <t>LINKÖPING</t>
        </is>
      </c>
      <c r="F60" t="inlineStr">
        <is>
          <t>Övriga statliga verk och myndigheter</t>
        </is>
      </c>
      <c r="G60" t="n">
        <v>3.8</v>
      </c>
      <c r="H60" t="n">
        <v>0</v>
      </c>
      <c r="I60" t="n">
        <v>1</v>
      </c>
      <c r="J60" t="n">
        <v>0</v>
      </c>
      <c r="K60" t="n">
        <v>0</v>
      </c>
      <c r="L60" t="n">
        <v>0</v>
      </c>
      <c r="M60" t="n">
        <v>0</v>
      </c>
      <c r="N60" t="n">
        <v>0</v>
      </c>
      <c r="O60" t="n">
        <v>0</v>
      </c>
      <c r="P60" t="n">
        <v>0</v>
      </c>
      <c r="Q60" t="n">
        <v>1</v>
      </c>
      <c r="R60" s="2" t="inlineStr">
        <is>
          <t>Bronshjon</t>
        </is>
      </c>
      <c r="S60">
        <f>HYPERLINK("https://klasma.github.io/Logging_0580/artfynd/A 69211-2021 artfynd.xlsx", "A 69211-2021")</f>
        <v/>
      </c>
      <c r="T60">
        <f>HYPERLINK("https://klasma.github.io/Logging_0580/kartor/A 69211-2021 karta.png", "A 69211-2021")</f>
        <v/>
      </c>
      <c r="V60">
        <f>HYPERLINK("https://klasma.github.io/Logging_0580/klagomål/A 69211-2021 FSC-klagomål.docx", "A 69211-2021")</f>
        <v/>
      </c>
      <c r="W60">
        <f>HYPERLINK("https://klasma.github.io/Logging_0580/klagomålsmail/A 69211-2021 FSC-klagomål mail.docx", "A 69211-2021")</f>
        <v/>
      </c>
      <c r="X60">
        <f>HYPERLINK("https://klasma.github.io/Logging_0580/tillsyn/A 69211-2021 tillsynsbegäran.docx", "A 69211-2021")</f>
        <v/>
      </c>
      <c r="Y60">
        <f>HYPERLINK("https://klasma.github.io/Logging_0580/tillsynsmail/A 69211-2021 tillsynsbegäran mail.docx", "A 69211-2021")</f>
        <v/>
      </c>
    </row>
    <row r="61" ht="15" customHeight="1">
      <c r="A61" t="inlineStr">
        <is>
          <t>A 27403-2025</t>
        </is>
      </c>
      <c r="B61" s="1" t="n">
        <v>45812.72518518518</v>
      </c>
      <c r="C61" s="1" t="n">
        <v>45890</v>
      </c>
      <c r="D61" t="inlineStr">
        <is>
          <t>ÖSTERGÖTLANDS LÄN</t>
        </is>
      </c>
      <c r="E61" t="inlineStr">
        <is>
          <t>LINKÖPING</t>
        </is>
      </c>
      <c r="G61" t="n">
        <v>1.4</v>
      </c>
      <c r="H61" t="n">
        <v>0</v>
      </c>
      <c r="I61" t="n">
        <v>0</v>
      </c>
      <c r="J61" t="n">
        <v>1</v>
      </c>
      <c r="K61" t="n">
        <v>0</v>
      </c>
      <c r="L61" t="n">
        <v>0</v>
      </c>
      <c r="M61" t="n">
        <v>0</v>
      </c>
      <c r="N61" t="n">
        <v>0</v>
      </c>
      <c r="O61" t="n">
        <v>1</v>
      </c>
      <c r="P61" t="n">
        <v>0</v>
      </c>
      <c r="Q61" t="n">
        <v>1</v>
      </c>
      <c r="R61" s="2" t="inlineStr">
        <is>
          <t>Tallticka</t>
        </is>
      </c>
      <c r="S61">
        <f>HYPERLINK("https://klasma.github.io/Logging_0580/artfynd/A 27403-2025 artfynd.xlsx", "A 27403-2025")</f>
        <v/>
      </c>
      <c r="T61">
        <f>HYPERLINK("https://klasma.github.io/Logging_0580/kartor/A 27403-2025 karta.png", "A 27403-2025")</f>
        <v/>
      </c>
      <c r="V61">
        <f>HYPERLINK("https://klasma.github.io/Logging_0580/klagomål/A 27403-2025 FSC-klagomål.docx", "A 27403-2025")</f>
        <v/>
      </c>
      <c r="W61">
        <f>HYPERLINK("https://klasma.github.io/Logging_0580/klagomålsmail/A 27403-2025 FSC-klagomål mail.docx", "A 27403-2025")</f>
        <v/>
      </c>
      <c r="X61">
        <f>HYPERLINK("https://klasma.github.io/Logging_0580/tillsyn/A 27403-2025 tillsynsbegäran.docx", "A 27403-2025")</f>
        <v/>
      </c>
      <c r="Y61">
        <f>HYPERLINK("https://klasma.github.io/Logging_0580/tillsynsmail/A 27403-2025 tillsynsbegäran mail.docx", "A 27403-2025")</f>
        <v/>
      </c>
    </row>
    <row r="62" ht="15" customHeight="1">
      <c r="A62" t="inlineStr">
        <is>
          <t>A 56651-2023</t>
        </is>
      </c>
      <c r="B62" s="1" t="n">
        <v>45243</v>
      </c>
      <c r="C62" s="1" t="n">
        <v>45890</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17444-2025</t>
        </is>
      </c>
      <c r="B63" s="1" t="n">
        <v>45757.43452546297</v>
      </c>
      <c r="C63" s="1" t="n">
        <v>45890</v>
      </c>
      <c r="D63" t="inlineStr">
        <is>
          <t>ÖSTERGÖTLANDS LÄN</t>
        </is>
      </c>
      <c r="E63" t="inlineStr">
        <is>
          <t>LINKÖPING</t>
        </is>
      </c>
      <c r="G63" t="n">
        <v>1.3</v>
      </c>
      <c r="H63" t="n">
        <v>1</v>
      </c>
      <c r="I63" t="n">
        <v>0</v>
      </c>
      <c r="J63" t="n">
        <v>1</v>
      </c>
      <c r="K63" t="n">
        <v>0</v>
      </c>
      <c r="L63" t="n">
        <v>0</v>
      </c>
      <c r="M63" t="n">
        <v>0</v>
      </c>
      <c r="N63" t="n">
        <v>0</v>
      </c>
      <c r="O63" t="n">
        <v>1</v>
      </c>
      <c r="P63" t="n">
        <v>0</v>
      </c>
      <c r="Q63" t="n">
        <v>1</v>
      </c>
      <c r="R63" s="2" t="inlineStr">
        <is>
          <t>Dårgräsfjäril</t>
        </is>
      </c>
      <c r="S63">
        <f>HYPERLINK("https://klasma.github.io/Logging_0580/artfynd/A 17444-2025 artfynd.xlsx", "A 17444-2025")</f>
        <v/>
      </c>
      <c r="T63">
        <f>HYPERLINK("https://klasma.github.io/Logging_0580/kartor/A 17444-2025 karta.png", "A 17444-2025")</f>
        <v/>
      </c>
      <c r="V63">
        <f>HYPERLINK("https://klasma.github.io/Logging_0580/klagomål/A 17444-2025 FSC-klagomål.docx", "A 17444-2025")</f>
        <v/>
      </c>
      <c r="W63">
        <f>HYPERLINK("https://klasma.github.io/Logging_0580/klagomålsmail/A 17444-2025 FSC-klagomål mail.docx", "A 17444-2025")</f>
        <v/>
      </c>
      <c r="X63">
        <f>HYPERLINK("https://klasma.github.io/Logging_0580/tillsyn/A 17444-2025 tillsynsbegäran.docx", "A 17444-2025")</f>
        <v/>
      </c>
      <c r="Y63">
        <f>HYPERLINK("https://klasma.github.io/Logging_0580/tillsynsmail/A 17444-2025 tillsynsbegäran mail.docx", "A 17444-2025")</f>
        <v/>
      </c>
    </row>
    <row r="64" ht="15" customHeight="1">
      <c r="A64" t="inlineStr">
        <is>
          <t>A 5911-2022</t>
        </is>
      </c>
      <c r="B64" s="1" t="n">
        <v>44597</v>
      </c>
      <c r="C64" s="1" t="n">
        <v>45890</v>
      </c>
      <c r="D64" t="inlineStr">
        <is>
          <t>ÖSTERGÖTLANDS LÄN</t>
        </is>
      </c>
      <c r="E64" t="inlineStr">
        <is>
          <t>LINKÖPING</t>
        </is>
      </c>
      <c r="G64" t="n">
        <v>3.5</v>
      </c>
      <c r="H64" t="n">
        <v>0</v>
      </c>
      <c r="I64" t="n">
        <v>0</v>
      </c>
      <c r="J64" t="n">
        <v>1</v>
      </c>
      <c r="K64" t="n">
        <v>0</v>
      </c>
      <c r="L64" t="n">
        <v>0</v>
      </c>
      <c r="M64" t="n">
        <v>0</v>
      </c>
      <c r="N64" t="n">
        <v>0</v>
      </c>
      <c r="O64" t="n">
        <v>1</v>
      </c>
      <c r="P64" t="n">
        <v>0</v>
      </c>
      <c r="Q64" t="n">
        <v>1</v>
      </c>
      <c r="R64" s="2" t="inlineStr">
        <is>
          <t>Spindelört</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3395-2023</t>
        </is>
      </c>
      <c r="B65" s="1" t="n">
        <v>44949</v>
      </c>
      <c r="C65" s="1" t="n">
        <v>45890</v>
      </c>
      <c r="D65" t="inlineStr">
        <is>
          <t>ÖSTERGÖTLANDS LÄN</t>
        </is>
      </c>
      <c r="E65" t="inlineStr">
        <is>
          <t>LINKÖPING</t>
        </is>
      </c>
      <c r="G65" t="n">
        <v>2</v>
      </c>
      <c r="H65" t="n">
        <v>0</v>
      </c>
      <c r="I65" t="n">
        <v>0</v>
      </c>
      <c r="J65" t="n">
        <v>1</v>
      </c>
      <c r="K65" t="n">
        <v>0</v>
      </c>
      <c r="L65" t="n">
        <v>0</v>
      </c>
      <c r="M65" t="n">
        <v>0</v>
      </c>
      <c r="N65" t="n">
        <v>0</v>
      </c>
      <c r="O65" t="n">
        <v>1</v>
      </c>
      <c r="P65" t="n">
        <v>0</v>
      </c>
      <c r="Q65" t="n">
        <v>1</v>
      </c>
      <c r="R65" s="2" t="inlineStr">
        <is>
          <t>Sommarfibbla</t>
        </is>
      </c>
      <c r="S65">
        <f>HYPERLINK("https://klasma.github.io/Logging_0580/artfynd/A 3395-2023 artfynd.xlsx", "A 3395-2023")</f>
        <v/>
      </c>
      <c r="T65">
        <f>HYPERLINK("https://klasma.github.io/Logging_0580/kartor/A 3395-2023 karta.png", "A 3395-2023")</f>
        <v/>
      </c>
      <c r="V65">
        <f>HYPERLINK("https://klasma.github.io/Logging_0580/klagomål/A 3395-2023 FSC-klagomål.docx", "A 3395-2023")</f>
        <v/>
      </c>
      <c r="W65">
        <f>HYPERLINK("https://klasma.github.io/Logging_0580/klagomålsmail/A 3395-2023 FSC-klagomål mail.docx", "A 3395-2023")</f>
        <v/>
      </c>
      <c r="X65">
        <f>HYPERLINK("https://klasma.github.io/Logging_0580/tillsyn/A 3395-2023 tillsynsbegäran.docx", "A 3395-2023")</f>
        <v/>
      </c>
      <c r="Y65">
        <f>HYPERLINK("https://klasma.github.io/Logging_0580/tillsynsmail/A 3395-2023 tillsynsbegäran mail.docx", "A 3395-2023")</f>
        <v/>
      </c>
    </row>
    <row r="66" ht="15" customHeight="1">
      <c r="A66" t="inlineStr">
        <is>
          <t>A 19103-2021</t>
        </is>
      </c>
      <c r="B66" s="1" t="n">
        <v>44308</v>
      </c>
      <c r="C66" s="1" t="n">
        <v>45890</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90-2024</t>
        </is>
      </c>
      <c r="B67" s="1" t="n">
        <v>45293</v>
      </c>
      <c r="C67" s="1" t="n">
        <v>45890</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45890</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1299-2025</t>
        </is>
      </c>
      <c r="B69" s="1" t="n">
        <v>45667.53913194445</v>
      </c>
      <c r="C69" s="1" t="n">
        <v>45890</v>
      </c>
      <c r="D69" t="inlineStr">
        <is>
          <t>ÖSTERGÖTLANDS LÄN</t>
        </is>
      </c>
      <c r="E69" t="inlineStr">
        <is>
          <t>LINKÖPING</t>
        </is>
      </c>
      <c r="G69" t="n">
        <v>8.9</v>
      </c>
      <c r="H69" t="n">
        <v>0</v>
      </c>
      <c r="I69" t="n">
        <v>0</v>
      </c>
      <c r="J69" t="n">
        <v>1</v>
      </c>
      <c r="K69" t="n">
        <v>0</v>
      </c>
      <c r="L69" t="n">
        <v>0</v>
      </c>
      <c r="M69" t="n">
        <v>0</v>
      </c>
      <c r="N69" t="n">
        <v>0</v>
      </c>
      <c r="O69" t="n">
        <v>1</v>
      </c>
      <c r="P69" t="n">
        <v>0</v>
      </c>
      <c r="Q69" t="n">
        <v>1</v>
      </c>
      <c r="R69" s="2" t="inlineStr">
        <is>
          <t>Storgröe</t>
        </is>
      </c>
      <c r="S69">
        <f>HYPERLINK("https://klasma.github.io/Logging_0580/artfynd/A 1299-2025 artfynd.xlsx", "A 1299-2025")</f>
        <v/>
      </c>
      <c r="T69">
        <f>HYPERLINK("https://klasma.github.io/Logging_0580/kartor/A 1299-2025 karta.png", "A 1299-2025")</f>
        <v/>
      </c>
      <c r="V69">
        <f>HYPERLINK("https://klasma.github.io/Logging_0580/klagomål/A 1299-2025 FSC-klagomål.docx", "A 1299-2025")</f>
        <v/>
      </c>
      <c r="W69">
        <f>HYPERLINK("https://klasma.github.io/Logging_0580/klagomålsmail/A 1299-2025 FSC-klagomål mail.docx", "A 1299-2025")</f>
        <v/>
      </c>
      <c r="X69">
        <f>HYPERLINK("https://klasma.github.io/Logging_0580/tillsyn/A 1299-2025 tillsynsbegäran.docx", "A 1299-2025")</f>
        <v/>
      </c>
      <c r="Y69">
        <f>HYPERLINK("https://klasma.github.io/Logging_0580/tillsynsmail/A 1299-2025 tillsynsbegäran mail.docx", "A 1299-2025")</f>
        <v/>
      </c>
    </row>
    <row r="70" ht="15" customHeight="1">
      <c r="A70" t="inlineStr">
        <is>
          <t>A 50806-2023</t>
        </is>
      </c>
      <c r="B70" s="1" t="n">
        <v>45217</v>
      </c>
      <c r="C70" s="1" t="n">
        <v>45890</v>
      </c>
      <c r="D70" t="inlineStr">
        <is>
          <t>ÖSTERGÖTLANDS LÄN</t>
        </is>
      </c>
      <c r="E70" t="inlineStr">
        <is>
          <t>LINKÖPING</t>
        </is>
      </c>
      <c r="F70" t="inlineStr">
        <is>
          <t>Övriga Aktiebolag</t>
        </is>
      </c>
      <c r="G70" t="n">
        <v>0.7</v>
      </c>
      <c r="H70" t="n">
        <v>1</v>
      </c>
      <c r="I70" t="n">
        <v>0</v>
      </c>
      <c r="J70" t="n">
        <v>0</v>
      </c>
      <c r="K70" t="n">
        <v>0</v>
      </c>
      <c r="L70" t="n">
        <v>0</v>
      </c>
      <c r="M70" t="n">
        <v>0</v>
      </c>
      <c r="N70" t="n">
        <v>0</v>
      </c>
      <c r="O70" t="n">
        <v>0</v>
      </c>
      <c r="P70" t="n">
        <v>0</v>
      </c>
      <c r="Q70" t="n">
        <v>1</v>
      </c>
      <c r="R70" s="2" t="inlineStr">
        <is>
          <t>Gullviva</t>
        </is>
      </c>
      <c r="S70">
        <f>HYPERLINK("https://klasma.github.io/Logging_0580/artfynd/A 50806-2023 artfynd.xlsx", "A 50806-2023")</f>
        <v/>
      </c>
      <c r="T70">
        <f>HYPERLINK("https://klasma.github.io/Logging_0580/kartor/A 50806-2023 karta.png", "A 50806-2023")</f>
        <v/>
      </c>
      <c r="V70">
        <f>HYPERLINK("https://klasma.github.io/Logging_0580/klagomål/A 50806-2023 FSC-klagomål.docx", "A 50806-2023")</f>
        <v/>
      </c>
      <c r="W70">
        <f>HYPERLINK("https://klasma.github.io/Logging_0580/klagomålsmail/A 50806-2023 FSC-klagomål mail.docx", "A 50806-2023")</f>
        <v/>
      </c>
      <c r="X70">
        <f>HYPERLINK("https://klasma.github.io/Logging_0580/tillsyn/A 50806-2023 tillsynsbegäran.docx", "A 50806-2023")</f>
        <v/>
      </c>
      <c r="Y70">
        <f>HYPERLINK("https://klasma.github.io/Logging_0580/tillsynsmail/A 50806-2023 tillsynsbegäran mail.docx", "A 50806-2023")</f>
        <v/>
      </c>
    </row>
    <row r="71" ht="15" customHeight="1">
      <c r="A71" t="inlineStr">
        <is>
          <t>A 48984-2020</t>
        </is>
      </c>
      <c r="B71" s="1" t="n">
        <v>44104</v>
      </c>
      <c r="C71" s="1" t="n">
        <v>45890</v>
      </c>
      <c r="D71" t="inlineStr">
        <is>
          <t>ÖSTERGÖTLANDS LÄN</t>
        </is>
      </c>
      <c r="E71" t="inlineStr">
        <is>
          <t>LINKÖPING</t>
        </is>
      </c>
      <c r="G71" t="n">
        <v>2.8</v>
      </c>
      <c r="H71" t="n">
        <v>0</v>
      </c>
      <c r="I71" t="n">
        <v>0</v>
      </c>
      <c r="J71" t="n">
        <v>1</v>
      </c>
      <c r="K71" t="n">
        <v>0</v>
      </c>
      <c r="L71" t="n">
        <v>0</v>
      </c>
      <c r="M71" t="n">
        <v>0</v>
      </c>
      <c r="N71" t="n">
        <v>0</v>
      </c>
      <c r="O71" t="n">
        <v>1</v>
      </c>
      <c r="P71" t="n">
        <v>0</v>
      </c>
      <c r="Q71" t="n">
        <v>1</v>
      </c>
      <c r="R71" s="2" t="inlineStr">
        <is>
          <t>Vårstarr</t>
        </is>
      </c>
      <c r="S71">
        <f>HYPERLINK("https://klasma.github.io/Logging_0580/artfynd/A 48984-2020 artfynd.xlsx", "A 48984-2020")</f>
        <v/>
      </c>
      <c r="T71">
        <f>HYPERLINK("https://klasma.github.io/Logging_0580/kartor/A 48984-2020 karta.png", "A 48984-2020")</f>
        <v/>
      </c>
      <c r="V71">
        <f>HYPERLINK("https://klasma.github.io/Logging_0580/klagomål/A 48984-2020 FSC-klagomål.docx", "A 48984-2020")</f>
        <v/>
      </c>
      <c r="W71">
        <f>HYPERLINK("https://klasma.github.io/Logging_0580/klagomålsmail/A 48984-2020 FSC-klagomål mail.docx", "A 48984-2020")</f>
        <v/>
      </c>
      <c r="X71">
        <f>HYPERLINK("https://klasma.github.io/Logging_0580/tillsyn/A 48984-2020 tillsynsbegäran.docx", "A 48984-2020")</f>
        <v/>
      </c>
      <c r="Y71">
        <f>HYPERLINK("https://klasma.github.io/Logging_0580/tillsynsmail/A 48984-2020 tillsynsbegäran mail.docx", "A 48984-2020")</f>
        <v/>
      </c>
    </row>
    <row r="72" ht="15" customHeight="1">
      <c r="A72" t="inlineStr">
        <is>
          <t>A 36723-2023</t>
        </is>
      </c>
      <c r="B72" s="1" t="n">
        <v>45153</v>
      </c>
      <c r="C72" s="1" t="n">
        <v>45890</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35948-2023</t>
        </is>
      </c>
      <c r="B73" s="1" t="n">
        <v>45148</v>
      </c>
      <c r="C73" s="1" t="n">
        <v>45890</v>
      </c>
      <c r="D73" t="inlineStr">
        <is>
          <t>ÖSTERGÖTLANDS LÄN</t>
        </is>
      </c>
      <c r="E73" t="inlineStr">
        <is>
          <t>LINKÖPING</t>
        </is>
      </c>
      <c r="G73" t="n">
        <v>1.9</v>
      </c>
      <c r="H73" t="n">
        <v>0</v>
      </c>
      <c r="I73" t="n">
        <v>1</v>
      </c>
      <c r="J73" t="n">
        <v>0</v>
      </c>
      <c r="K73" t="n">
        <v>0</v>
      </c>
      <c r="L73" t="n">
        <v>0</v>
      </c>
      <c r="M73" t="n">
        <v>0</v>
      </c>
      <c r="N73" t="n">
        <v>0</v>
      </c>
      <c r="O73" t="n">
        <v>0</v>
      </c>
      <c r="P73" t="n">
        <v>0</v>
      </c>
      <c r="Q73" t="n">
        <v>1</v>
      </c>
      <c r="R73" s="2" t="inlineStr">
        <is>
          <t>Brun nållav</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62071-2023</t>
        </is>
      </c>
      <c r="B74" s="1" t="n">
        <v>45266.73542824074</v>
      </c>
      <c r="C74" s="1" t="n">
        <v>45890</v>
      </c>
      <c r="D74" t="inlineStr">
        <is>
          <t>ÖSTERGÖTLANDS LÄN</t>
        </is>
      </c>
      <c r="E74" t="inlineStr">
        <is>
          <t>LINKÖPING</t>
        </is>
      </c>
      <c r="G74" t="n">
        <v>6.5</v>
      </c>
      <c r="H74" t="n">
        <v>0</v>
      </c>
      <c r="I74" t="n">
        <v>0</v>
      </c>
      <c r="J74" t="n">
        <v>1</v>
      </c>
      <c r="K74" t="n">
        <v>0</v>
      </c>
      <c r="L74" t="n">
        <v>0</v>
      </c>
      <c r="M74" t="n">
        <v>0</v>
      </c>
      <c r="N74" t="n">
        <v>0</v>
      </c>
      <c r="O74" t="n">
        <v>1</v>
      </c>
      <c r="P74" t="n">
        <v>0</v>
      </c>
      <c r="Q74" t="n">
        <v>1</v>
      </c>
      <c r="R74" s="2" t="inlineStr">
        <is>
          <t>Svinrot</t>
        </is>
      </c>
      <c r="S74">
        <f>HYPERLINK("https://klasma.github.io/Logging_0580/artfynd/A 62071-2023 artfynd.xlsx", "A 62071-2023")</f>
        <v/>
      </c>
      <c r="T74">
        <f>HYPERLINK("https://klasma.github.io/Logging_0580/kartor/A 62071-2023 karta.png", "A 62071-2023")</f>
        <v/>
      </c>
      <c r="V74">
        <f>HYPERLINK("https://klasma.github.io/Logging_0580/klagomål/A 62071-2023 FSC-klagomål.docx", "A 62071-2023")</f>
        <v/>
      </c>
      <c r="W74">
        <f>HYPERLINK("https://klasma.github.io/Logging_0580/klagomålsmail/A 62071-2023 FSC-klagomål mail.docx", "A 62071-2023")</f>
        <v/>
      </c>
      <c r="X74">
        <f>HYPERLINK("https://klasma.github.io/Logging_0580/tillsyn/A 62071-2023 tillsynsbegäran.docx", "A 62071-2023")</f>
        <v/>
      </c>
      <c r="Y74">
        <f>HYPERLINK("https://klasma.github.io/Logging_0580/tillsynsmail/A 62071-2023 tillsynsbegäran mail.docx", "A 62071-2023")</f>
        <v/>
      </c>
    </row>
    <row r="75" ht="15" customHeight="1">
      <c r="A75" t="inlineStr">
        <is>
          <t>A 15290-2025</t>
        </is>
      </c>
      <c r="B75" s="1" t="n">
        <v>45745.45288194445</v>
      </c>
      <c r="C75" s="1" t="n">
        <v>45890</v>
      </c>
      <c r="D75" t="inlineStr">
        <is>
          <t>ÖSTERGÖTLANDS LÄN</t>
        </is>
      </c>
      <c r="E75" t="inlineStr">
        <is>
          <t>LINKÖPING</t>
        </is>
      </c>
      <c r="G75" t="n">
        <v>18.4</v>
      </c>
      <c r="H75" t="n">
        <v>1</v>
      </c>
      <c r="I75" t="n">
        <v>0</v>
      </c>
      <c r="J75" t="n">
        <v>1</v>
      </c>
      <c r="K75" t="n">
        <v>0</v>
      </c>
      <c r="L75" t="n">
        <v>0</v>
      </c>
      <c r="M75" t="n">
        <v>0</v>
      </c>
      <c r="N75" t="n">
        <v>0</v>
      </c>
      <c r="O75" t="n">
        <v>1</v>
      </c>
      <c r="P75" t="n">
        <v>0</v>
      </c>
      <c r="Q75" t="n">
        <v>1</v>
      </c>
      <c r="R75" s="2" t="inlineStr">
        <is>
          <t>Havsörn</t>
        </is>
      </c>
      <c r="S75">
        <f>HYPERLINK("https://klasma.github.io/Logging_0580/artfynd/A 15290-2025 artfynd.xlsx", "A 15290-2025")</f>
        <v/>
      </c>
      <c r="T75">
        <f>HYPERLINK("https://klasma.github.io/Logging_0580/kartor/A 15290-2025 karta.png", "A 15290-2025")</f>
        <v/>
      </c>
      <c r="V75">
        <f>HYPERLINK("https://klasma.github.io/Logging_0580/klagomål/A 15290-2025 FSC-klagomål.docx", "A 15290-2025")</f>
        <v/>
      </c>
      <c r="W75">
        <f>HYPERLINK("https://klasma.github.io/Logging_0580/klagomålsmail/A 15290-2025 FSC-klagomål mail.docx", "A 15290-2025")</f>
        <v/>
      </c>
      <c r="X75">
        <f>HYPERLINK("https://klasma.github.io/Logging_0580/tillsyn/A 15290-2025 tillsynsbegäran.docx", "A 15290-2025")</f>
        <v/>
      </c>
      <c r="Y75">
        <f>HYPERLINK("https://klasma.github.io/Logging_0580/tillsynsmail/A 15290-2025 tillsynsbegäran mail.docx", "A 15290-2025")</f>
        <v/>
      </c>
      <c r="Z75">
        <f>HYPERLINK("https://klasma.github.io/Logging_0580/fåglar/A 15290-2025 prioriterade fågelarter.docx", "A 15290-2025")</f>
        <v/>
      </c>
    </row>
    <row r="76" ht="15" customHeight="1">
      <c r="A76" t="inlineStr">
        <is>
          <t>A 3397-2023</t>
        </is>
      </c>
      <c r="B76" s="1" t="n">
        <v>44949</v>
      </c>
      <c r="C76" s="1" t="n">
        <v>45890</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34881-2023</t>
        </is>
      </c>
      <c r="B77" s="1" t="n">
        <v>45140</v>
      </c>
      <c r="C77" s="1" t="n">
        <v>45890</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17389-2021</t>
        </is>
      </c>
      <c r="B78" s="1" t="n">
        <v>44298.96792824074</v>
      </c>
      <c r="C78" s="1" t="n">
        <v>45890</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22040-2023</t>
        </is>
      </c>
      <c r="B79" s="1" t="n">
        <v>45068</v>
      </c>
      <c r="C79" s="1" t="n">
        <v>45890</v>
      </c>
      <c r="D79" t="inlineStr">
        <is>
          <t>ÖSTERGÖTLANDS LÄN</t>
        </is>
      </c>
      <c r="E79" t="inlineStr">
        <is>
          <t>LINKÖPING</t>
        </is>
      </c>
      <c r="F79" t="inlineStr">
        <is>
          <t>Kommuner</t>
        </is>
      </c>
      <c r="G79" t="n">
        <v>1</v>
      </c>
      <c r="H79" t="n">
        <v>1</v>
      </c>
      <c r="I79" t="n">
        <v>0</v>
      </c>
      <c r="J79" t="n">
        <v>0</v>
      </c>
      <c r="K79" t="n">
        <v>1</v>
      </c>
      <c r="L79" t="n">
        <v>0</v>
      </c>
      <c r="M79" t="n">
        <v>0</v>
      </c>
      <c r="N79" t="n">
        <v>0</v>
      </c>
      <c r="O79" t="n">
        <v>1</v>
      </c>
      <c r="P79" t="n">
        <v>1</v>
      </c>
      <c r="Q79" t="n">
        <v>1</v>
      </c>
      <c r="R79" s="2" t="inlineStr">
        <is>
          <t>Bombmurkla</t>
        </is>
      </c>
      <c r="S79">
        <f>HYPERLINK("https://klasma.github.io/Logging_0580/artfynd/A 22040-2023 artfynd.xlsx", "A 22040-2023")</f>
        <v/>
      </c>
      <c r="T79">
        <f>HYPERLINK("https://klasma.github.io/Logging_0580/kartor/A 22040-2023 karta.png", "A 22040-2023")</f>
        <v/>
      </c>
      <c r="V79">
        <f>HYPERLINK("https://klasma.github.io/Logging_0580/klagomål/A 22040-2023 FSC-klagomål.docx", "A 22040-2023")</f>
        <v/>
      </c>
      <c r="W79">
        <f>HYPERLINK("https://klasma.github.io/Logging_0580/klagomålsmail/A 22040-2023 FSC-klagomål mail.docx", "A 22040-2023")</f>
        <v/>
      </c>
      <c r="X79">
        <f>HYPERLINK("https://klasma.github.io/Logging_0580/tillsyn/A 22040-2023 tillsynsbegäran.docx", "A 22040-2023")</f>
        <v/>
      </c>
      <c r="Y79">
        <f>HYPERLINK("https://klasma.github.io/Logging_0580/tillsynsmail/A 22040-2023 tillsynsbegäran mail.docx", "A 22040-2023")</f>
        <v/>
      </c>
    </row>
    <row r="80" ht="15" customHeight="1">
      <c r="A80" t="inlineStr">
        <is>
          <t>A 43726-2020</t>
        </is>
      </c>
      <c r="B80" s="1" t="n">
        <v>44082</v>
      </c>
      <c r="C80" s="1" t="n">
        <v>45890</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45890</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45890</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45890</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45890</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45890</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45890</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45890</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45890</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45890</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45890</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45890</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45890</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45890</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45890</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45890</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45890</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45890</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45890</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45890</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45890</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45890</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60639-2021</t>
        </is>
      </c>
      <c r="B102" s="1" t="n">
        <v>44496</v>
      </c>
      <c r="C102" s="1" t="n">
        <v>45890</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159-2022</t>
        </is>
      </c>
      <c r="B103" s="1" t="n">
        <v>44564</v>
      </c>
      <c r="C103" s="1" t="n">
        <v>45890</v>
      </c>
      <c r="D103" t="inlineStr">
        <is>
          <t>ÖSTERGÖTLANDS LÄN</t>
        </is>
      </c>
      <c r="E103" t="inlineStr">
        <is>
          <t>LINKÖPING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45890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45890</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45890</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45890</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38143-2021</t>
        </is>
      </c>
      <c r="B108" s="1" t="n">
        <v>44405</v>
      </c>
      <c r="C108" s="1" t="n">
        <v>45890</v>
      </c>
      <c r="D108" t="inlineStr">
        <is>
          <t>ÖSTERGÖTLANDS LÄN</t>
        </is>
      </c>
      <c r="E108" t="inlineStr">
        <is>
          <t>LINKÖPING</t>
        </is>
      </c>
      <c r="G108" t="n">
        <v>4.1</v>
      </c>
      <c r="H108" t="n">
        <v>0</v>
      </c>
      <c r="I108" t="n">
        <v>0</v>
      </c>
      <c r="J108" t="n">
        <v>0</v>
      </c>
      <c r="K108" t="n">
        <v>0</v>
      </c>
      <c r="L108" t="n">
        <v>0</v>
      </c>
      <c r="M108" t="n">
        <v>0</v>
      </c>
      <c r="N108" t="n">
        <v>0</v>
      </c>
      <c r="O108" t="n">
        <v>0</v>
      </c>
      <c r="P108" t="n">
        <v>0</v>
      </c>
      <c r="Q108" t="n">
        <v>0</v>
      </c>
      <c r="R108" s="2" t="inlineStr"/>
    </row>
    <row r="109" ht="15" customHeight="1">
      <c r="A109" t="inlineStr">
        <is>
          <t>A 38254-2021</t>
        </is>
      </c>
      <c r="B109" s="1" t="n">
        <v>44405</v>
      </c>
      <c r="C109" s="1" t="n">
        <v>45890</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45890</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45890</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45890</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45890</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40437-2021</t>
        </is>
      </c>
      <c r="B114" s="1" t="n">
        <v>44419</v>
      </c>
      <c r="C114" s="1" t="n">
        <v>45890</v>
      </c>
      <c r="D114" t="inlineStr">
        <is>
          <t>ÖSTERGÖTLANDS LÄN</t>
        </is>
      </c>
      <c r="E114" t="inlineStr">
        <is>
          <t>LINKÖPING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3679-2021</t>
        </is>
      </c>
      <c r="B115" s="1" t="n">
        <v>44221</v>
      </c>
      <c r="C115" s="1" t="n">
        <v>45890</v>
      </c>
      <c r="D115" t="inlineStr">
        <is>
          <t>ÖSTERGÖTLANDS LÄN</t>
        </is>
      </c>
      <c r="E115" t="inlineStr">
        <is>
          <t>LINKÖPING</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44674-2020</t>
        </is>
      </c>
      <c r="B116" s="1" t="n">
        <v>44085</v>
      </c>
      <c r="C116" s="1" t="n">
        <v>45890</v>
      </c>
      <c r="D116" t="inlineStr">
        <is>
          <t>ÖSTERGÖTLANDS LÄN</t>
        </is>
      </c>
      <c r="E116" t="inlineStr">
        <is>
          <t>LINKÖPING</t>
        </is>
      </c>
      <c r="G116" t="n">
        <v>3.6</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45890</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45890</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45890</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45890</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10123-2021</t>
        </is>
      </c>
      <c r="B121" s="1" t="n">
        <v>44256</v>
      </c>
      <c r="C121" s="1" t="n">
        <v>45890</v>
      </c>
      <c r="D121" t="inlineStr">
        <is>
          <t>ÖSTERGÖTLANDS LÄN</t>
        </is>
      </c>
      <c r="E121" t="inlineStr">
        <is>
          <t>LINKÖPING</t>
        </is>
      </c>
      <c r="F121" t="inlineStr">
        <is>
          <t>Allmännings- och besparingsskogar</t>
        </is>
      </c>
      <c r="G121" t="n">
        <v>1.7</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45890</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45890</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45890</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45890</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45890</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45890</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45890</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45890</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45890</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45890</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45890</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45890</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45890</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45890</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45890</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45890</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45890</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45890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45890</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45890</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45890</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45890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45890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45890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45890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45890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45890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44849-2022</t>
        </is>
      </c>
      <c r="B150" s="1" t="n">
        <v>44841</v>
      </c>
      <c r="C150" s="1" t="n">
        <v>45890</v>
      </c>
      <c r="D150" t="inlineStr">
        <is>
          <t>ÖSTERGÖTLANDS LÄN</t>
        </is>
      </c>
      <c r="E150" t="inlineStr">
        <is>
          <t>LINKÖPING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70835-2021</t>
        </is>
      </c>
      <c r="B151" s="1" t="n">
        <v>44537</v>
      </c>
      <c r="C151" s="1" t="n">
        <v>45890</v>
      </c>
      <c r="D151" t="inlineStr">
        <is>
          <t>ÖSTERGÖTLANDS LÄN</t>
        </is>
      </c>
      <c r="E151" t="inlineStr">
        <is>
          <t>LINKÖPING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45890</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4929-2021</t>
        </is>
      </c>
      <c r="B153" s="1" t="n">
        <v>44227.57533564815</v>
      </c>
      <c r="C153" s="1" t="n">
        <v>45890</v>
      </c>
      <c r="D153" t="inlineStr">
        <is>
          <t>ÖSTERGÖTLANDS LÄN</t>
        </is>
      </c>
      <c r="E153" t="inlineStr">
        <is>
          <t>LINKÖPING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37934-2022</t>
        </is>
      </c>
      <c r="B154" s="1" t="n">
        <v>44809</v>
      </c>
      <c r="C154" s="1" t="n">
        <v>45890</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31732-2022</t>
        </is>
      </c>
      <c r="B155" s="1" t="n">
        <v>44776.49267361111</v>
      </c>
      <c r="C155" s="1" t="n">
        <v>45890</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46969-2020</t>
        </is>
      </c>
      <c r="B156" s="1" t="n">
        <v>44090</v>
      </c>
      <c r="C156" s="1" t="n">
        <v>45890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46975-2020</t>
        </is>
      </c>
      <c r="B157" s="1" t="n">
        <v>44090</v>
      </c>
      <c r="C157" s="1" t="n">
        <v>45890</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45890</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54854-2022</t>
        </is>
      </c>
      <c r="B159" s="1" t="n">
        <v>44884</v>
      </c>
      <c r="C159" s="1" t="n">
        <v>45890</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54855-2022</t>
        </is>
      </c>
      <c r="B160" s="1" t="n">
        <v>44884.59502314815</v>
      </c>
      <c r="C160" s="1" t="n">
        <v>45890</v>
      </c>
      <c r="D160" t="inlineStr">
        <is>
          <t>ÖSTERGÖTLANDS LÄN</t>
        </is>
      </c>
      <c r="E160" t="inlineStr">
        <is>
          <t>LINKÖPING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45890</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60129-2020</t>
        </is>
      </c>
      <c r="B162" s="1" t="n">
        <v>44152</v>
      </c>
      <c r="C162" s="1" t="n">
        <v>45890</v>
      </c>
      <c r="D162" t="inlineStr">
        <is>
          <t>ÖSTERGÖTLANDS LÄN</t>
        </is>
      </c>
      <c r="E162" t="inlineStr">
        <is>
          <t>LINKÖPING</t>
        </is>
      </c>
      <c r="F162" t="inlineStr">
        <is>
          <t>Övriga statliga verk och myndigheter</t>
        </is>
      </c>
      <c r="G162" t="n">
        <v>2.5</v>
      </c>
      <c r="H162" t="n">
        <v>0</v>
      </c>
      <c r="I162" t="n">
        <v>0</v>
      </c>
      <c r="J162" t="n">
        <v>0</v>
      </c>
      <c r="K162" t="n">
        <v>0</v>
      </c>
      <c r="L162" t="n">
        <v>0</v>
      </c>
      <c r="M162" t="n">
        <v>0</v>
      </c>
      <c r="N162" t="n">
        <v>0</v>
      </c>
      <c r="O162" t="n">
        <v>0</v>
      </c>
      <c r="P162" t="n">
        <v>0</v>
      </c>
      <c r="Q162" t="n">
        <v>0</v>
      </c>
      <c r="R162" s="2" t="inlineStr"/>
    </row>
    <row r="163" ht="15" customHeight="1">
      <c r="A163" t="inlineStr">
        <is>
          <t>A 11079-2022</t>
        </is>
      </c>
      <c r="B163" s="1" t="n">
        <v>44628</v>
      </c>
      <c r="C163" s="1" t="n">
        <v>45890</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61302-2021</t>
        </is>
      </c>
      <c r="B164" s="1" t="n">
        <v>44498.63189814815</v>
      </c>
      <c r="C164" s="1" t="n">
        <v>45890</v>
      </c>
      <c r="D164" t="inlineStr">
        <is>
          <t>ÖSTERGÖTLANDS LÄN</t>
        </is>
      </c>
      <c r="E164" t="inlineStr">
        <is>
          <t>LINKÖPING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20901-2021</t>
        </is>
      </c>
      <c r="B165" s="1" t="n">
        <v>44319</v>
      </c>
      <c r="C165" s="1" t="n">
        <v>45890</v>
      </c>
      <c r="D165" t="inlineStr">
        <is>
          <t>ÖSTERGÖTLANDS LÄN</t>
        </is>
      </c>
      <c r="E165" t="inlineStr">
        <is>
          <t>LINKÖPING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4377-2021</t>
        </is>
      </c>
      <c r="B166" s="1" t="n">
        <v>44223</v>
      </c>
      <c r="C166" s="1" t="n">
        <v>45890</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58266-2021</t>
        </is>
      </c>
      <c r="B167" s="1" t="n">
        <v>44487</v>
      </c>
      <c r="C167" s="1" t="n">
        <v>45890</v>
      </c>
      <c r="D167" t="inlineStr">
        <is>
          <t>ÖSTERGÖTLANDS LÄN</t>
        </is>
      </c>
      <c r="E167" t="inlineStr">
        <is>
          <t>LINKÖPING</t>
        </is>
      </c>
      <c r="F167" t="inlineStr">
        <is>
          <t>Övriga Aktiebolag</t>
        </is>
      </c>
      <c r="G167" t="n">
        <v>3.2</v>
      </c>
      <c r="H167" t="n">
        <v>0</v>
      </c>
      <c r="I167" t="n">
        <v>0</v>
      </c>
      <c r="J167" t="n">
        <v>0</v>
      </c>
      <c r="K167" t="n">
        <v>0</v>
      </c>
      <c r="L167" t="n">
        <v>0</v>
      </c>
      <c r="M167" t="n">
        <v>0</v>
      </c>
      <c r="N167" t="n">
        <v>0</v>
      </c>
      <c r="O167" t="n">
        <v>0</v>
      </c>
      <c r="P167" t="n">
        <v>0</v>
      </c>
      <c r="Q167" t="n">
        <v>0</v>
      </c>
      <c r="R167" s="2" t="inlineStr"/>
    </row>
    <row r="168" ht="15" customHeight="1">
      <c r="A168" t="inlineStr">
        <is>
          <t>A 28447-2021</t>
        </is>
      </c>
      <c r="B168" s="1" t="n">
        <v>44356</v>
      </c>
      <c r="C168" s="1" t="n">
        <v>45890</v>
      </c>
      <c r="D168" t="inlineStr">
        <is>
          <t>ÖSTERGÖTLANDS LÄN</t>
        </is>
      </c>
      <c r="E168" t="inlineStr">
        <is>
          <t>LINKÖPING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61153-2021</t>
        </is>
      </c>
      <c r="B169" s="1" t="n">
        <v>44497</v>
      </c>
      <c r="C169" s="1" t="n">
        <v>45890</v>
      </c>
      <c r="D169" t="inlineStr">
        <is>
          <t>ÖSTERGÖTLANDS LÄN</t>
        </is>
      </c>
      <c r="E169" t="inlineStr">
        <is>
          <t>LINKÖPING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33885-2021</t>
        </is>
      </c>
      <c r="B170" s="1" t="n">
        <v>44378</v>
      </c>
      <c r="C170" s="1" t="n">
        <v>45890</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9935-2021</t>
        </is>
      </c>
      <c r="B171" s="1" t="n">
        <v>44253</v>
      </c>
      <c r="C171" s="1" t="n">
        <v>45890</v>
      </c>
      <c r="D171" t="inlineStr">
        <is>
          <t>ÖSTERGÖTLANDS LÄN</t>
        </is>
      </c>
      <c r="E171" t="inlineStr">
        <is>
          <t>LINKÖPING</t>
        </is>
      </c>
      <c r="G171" t="n">
        <v>4.5</v>
      </c>
      <c r="H171" t="n">
        <v>0</v>
      </c>
      <c r="I171" t="n">
        <v>0</v>
      </c>
      <c r="J171" t="n">
        <v>0</v>
      </c>
      <c r="K171" t="n">
        <v>0</v>
      </c>
      <c r="L171" t="n">
        <v>0</v>
      </c>
      <c r="M171" t="n">
        <v>0</v>
      </c>
      <c r="N171" t="n">
        <v>0</v>
      </c>
      <c r="O171" t="n">
        <v>0</v>
      </c>
      <c r="P171" t="n">
        <v>0</v>
      </c>
      <c r="Q171" t="n">
        <v>0</v>
      </c>
      <c r="R171" s="2" t="inlineStr"/>
    </row>
    <row r="172" ht="15" customHeight="1">
      <c r="A172" t="inlineStr">
        <is>
          <t>A 41426-2022</t>
        </is>
      </c>
      <c r="B172" s="1" t="n">
        <v>44826</v>
      </c>
      <c r="C172" s="1" t="n">
        <v>45890</v>
      </c>
      <c r="D172" t="inlineStr">
        <is>
          <t>ÖSTERGÖTLANDS LÄN</t>
        </is>
      </c>
      <c r="E172" t="inlineStr">
        <is>
          <t>LINKÖPING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45890</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31705-2022</t>
        </is>
      </c>
      <c r="B174" s="1" t="n">
        <v>44776.43607638889</v>
      </c>
      <c r="C174" s="1" t="n">
        <v>45890</v>
      </c>
      <c r="D174" t="inlineStr">
        <is>
          <t>ÖSTERGÖTLANDS LÄN</t>
        </is>
      </c>
      <c r="E174" t="inlineStr">
        <is>
          <t>LINKÖPING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65398-2021</t>
        </is>
      </c>
      <c r="B175" s="1" t="n">
        <v>44515</v>
      </c>
      <c r="C175" s="1" t="n">
        <v>45890</v>
      </c>
      <c r="D175" t="inlineStr">
        <is>
          <t>ÖSTERGÖTLANDS LÄN</t>
        </is>
      </c>
      <c r="E175" t="inlineStr">
        <is>
          <t>LINKÖPING</t>
        </is>
      </c>
      <c r="F175" t="inlineStr">
        <is>
          <t>Övriga statliga verk och myndigheter</t>
        </is>
      </c>
      <c r="G175" t="n">
        <v>2.4</v>
      </c>
      <c r="H175" t="n">
        <v>0</v>
      </c>
      <c r="I175" t="n">
        <v>0</v>
      </c>
      <c r="J175" t="n">
        <v>0</v>
      </c>
      <c r="K175" t="n">
        <v>0</v>
      </c>
      <c r="L175" t="n">
        <v>0</v>
      </c>
      <c r="M175" t="n">
        <v>0</v>
      </c>
      <c r="N175" t="n">
        <v>0</v>
      </c>
      <c r="O175" t="n">
        <v>0</v>
      </c>
      <c r="P175" t="n">
        <v>0</v>
      </c>
      <c r="Q175" t="n">
        <v>0</v>
      </c>
      <c r="R175" s="2" t="inlineStr"/>
    </row>
    <row r="176" ht="15" customHeight="1">
      <c r="A176" t="inlineStr">
        <is>
          <t>A 34162-2022</t>
        </is>
      </c>
      <c r="B176" s="1" t="n">
        <v>44791</v>
      </c>
      <c r="C176" s="1" t="n">
        <v>45890</v>
      </c>
      <c r="D176" t="inlineStr">
        <is>
          <t>ÖSTERGÖTLANDS LÄN</t>
        </is>
      </c>
      <c r="E176" t="inlineStr">
        <is>
          <t>LINKÖPING</t>
        </is>
      </c>
      <c r="G176" t="n">
        <v>3</v>
      </c>
      <c r="H176" t="n">
        <v>0</v>
      </c>
      <c r="I176" t="n">
        <v>0</v>
      </c>
      <c r="J176" t="n">
        <v>0</v>
      </c>
      <c r="K176" t="n">
        <v>0</v>
      </c>
      <c r="L176" t="n">
        <v>0</v>
      </c>
      <c r="M176" t="n">
        <v>0</v>
      </c>
      <c r="N176" t="n">
        <v>0</v>
      </c>
      <c r="O176" t="n">
        <v>0</v>
      </c>
      <c r="P176" t="n">
        <v>0</v>
      </c>
      <c r="Q176" t="n">
        <v>0</v>
      </c>
      <c r="R176" s="2" t="inlineStr"/>
    </row>
    <row r="177" ht="15" customHeight="1">
      <c r="A177" t="inlineStr">
        <is>
          <t>A 19318-2022</t>
        </is>
      </c>
      <c r="B177" s="1" t="n">
        <v>44692.5827662037</v>
      </c>
      <c r="C177" s="1" t="n">
        <v>45890</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33881-2021</t>
        </is>
      </c>
      <c r="B178" s="1" t="n">
        <v>44378</v>
      </c>
      <c r="C178" s="1" t="n">
        <v>45890</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45890</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45890</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61298-2021</t>
        </is>
      </c>
      <c r="B181" s="1" t="n">
        <v>44498.62533564815</v>
      </c>
      <c r="C181" s="1" t="n">
        <v>45890</v>
      </c>
      <c r="D181" t="inlineStr">
        <is>
          <t>ÖSTERGÖTLANDS LÄN</t>
        </is>
      </c>
      <c r="E181" t="inlineStr">
        <is>
          <t>LINKÖPING</t>
        </is>
      </c>
      <c r="G181" t="n">
        <v>4.3</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45890</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61333-2021</t>
        </is>
      </c>
      <c r="B183" s="1" t="n">
        <v>44498.6764699074</v>
      </c>
      <c r="C183" s="1" t="n">
        <v>45890</v>
      </c>
      <c r="D183" t="inlineStr">
        <is>
          <t>ÖSTERGÖTLANDS LÄN</t>
        </is>
      </c>
      <c r="E183" t="inlineStr">
        <is>
          <t>LINKÖPING</t>
        </is>
      </c>
      <c r="G183" t="n">
        <v>7.5</v>
      </c>
      <c r="H183" t="n">
        <v>0</v>
      </c>
      <c r="I183" t="n">
        <v>0</v>
      </c>
      <c r="J183" t="n">
        <v>0</v>
      </c>
      <c r="K183" t="n">
        <v>0</v>
      </c>
      <c r="L183" t="n">
        <v>0</v>
      </c>
      <c r="M183" t="n">
        <v>0</v>
      </c>
      <c r="N183" t="n">
        <v>0</v>
      </c>
      <c r="O183" t="n">
        <v>0</v>
      </c>
      <c r="P183" t="n">
        <v>0</v>
      </c>
      <c r="Q183" t="n">
        <v>0</v>
      </c>
      <c r="R183" s="2" t="inlineStr"/>
    </row>
    <row r="184" ht="15" customHeight="1">
      <c r="A184" t="inlineStr">
        <is>
          <t>A 12412-2022</t>
        </is>
      </c>
      <c r="B184" s="1" t="n">
        <v>44638</v>
      </c>
      <c r="C184" s="1" t="n">
        <v>45890</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41650-2020</t>
        </is>
      </c>
      <c r="B185" s="1" t="n">
        <v>44074</v>
      </c>
      <c r="C185" s="1" t="n">
        <v>45890</v>
      </c>
      <c r="D185" t="inlineStr">
        <is>
          <t>ÖSTERGÖTLANDS LÄN</t>
        </is>
      </c>
      <c r="E185" t="inlineStr">
        <is>
          <t>LINKÖPING</t>
        </is>
      </c>
      <c r="F185" t="inlineStr">
        <is>
          <t>Allmännings- och besparingsskogar</t>
        </is>
      </c>
      <c r="G185" t="n">
        <v>1.6</v>
      </c>
      <c r="H185" t="n">
        <v>0</v>
      </c>
      <c r="I185" t="n">
        <v>0</v>
      </c>
      <c r="J185" t="n">
        <v>0</v>
      </c>
      <c r="K185" t="n">
        <v>0</v>
      </c>
      <c r="L185" t="n">
        <v>0</v>
      </c>
      <c r="M185" t="n">
        <v>0</v>
      </c>
      <c r="N185" t="n">
        <v>0</v>
      </c>
      <c r="O185" t="n">
        <v>0</v>
      </c>
      <c r="P185" t="n">
        <v>0</v>
      </c>
      <c r="Q185" t="n">
        <v>0</v>
      </c>
      <c r="R185" s="2" t="inlineStr"/>
    </row>
    <row r="186" ht="15" customHeight="1">
      <c r="A186" t="inlineStr">
        <is>
          <t>A 54467-2022</t>
        </is>
      </c>
      <c r="B186" s="1" t="n">
        <v>44882</v>
      </c>
      <c r="C186" s="1" t="n">
        <v>45890</v>
      </c>
      <c r="D186" t="inlineStr">
        <is>
          <t>ÖSTERGÖTLANDS LÄN</t>
        </is>
      </c>
      <c r="E186" t="inlineStr">
        <is>
          <t>LINKÖPING</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36341-2022</t>
        </is>
      </c>
      <c r="B187" s="1" t="n">
        <v>44803</v>
      </c>
      <c r="C187" s="1" t="n">
        <v>45890</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10951-2022</t>
        </is>
      </c>
      <c r="B188" s="1" t="n">
        <v>44627</v>
      </c>
      <c r="C188" s="1" t="n">
        <v>45890</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4240-2022</t>
        </is>
      </c>
      <c r="B189" s="1" t="n">
        <v>44588</v>
      </c>
      <c r="C189" s="1" t="n">
        <v>45890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33134-2022</t>
        </is>
      </c>
      <c r="B190" s="1" t="n">
        <v>44785</v>
      </c>
      <c r="C190" s="1" t="n">
        <v>45890</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45890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13075-2022</t>
        </is>
      </c>
      <c r="B192" s="1" t="n">
        <v>44643</v>
      </c>
      <c r="C192" s="1" t="n">
        <v>45890</v>
      </c>
      <c r="D192" t="inlineStr">
        <is>
          <t>ÖSTERGÖTLANDS LÄN</t>
        </is>
      </c>
      <c r="E192" t="inlineStr">
        <is>
          <t>LINKÖPING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45890</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51912-2020</t>
        </is>
      </c>
      <c r="B194" s="1" t="n">
        <v>44116</v>
      </c>
      <c r="C194" s="1" t="n">
        <v>45890</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23416-2022</t>
        </is>
      </c>
      <c r="B195" s="1" t="n">
        <v>44720.78243055556</v>
      </c>
      <c r="C195" s="1" t="n">
        <v>45890</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5605-2022</t>
        </is>
      </c>
      <c r="B196" s="1" t="n">
        <v>44595</v>
      </c>
      <c r="C196" s="1" t="n">
        <v>45890</v>
      </c>
      <c r="D196" t="inlineStr">
        <is>
          <t>ÖSTERGÖTLANDS LÄN</t>
        </is>
      </c>
      <c r="E196" t="inlineStr">
        <is>
          <t>LINKÖPING</t>
        </is>
      </c>
      <c r="F196" t="inlineStr">
        <is>
          <t>Övriga statliga verk och myndigheter</t>
        </is>
      </c>
      <c r="G196" t="n">
        <v>3</v>
      </c>
      <c r="H196" t="n">
        <v>0</v>
      </c>
      <c r="I196" t="n">
        <v>0</v>
      </c>
      <c r="J196" t="n">
        <v>0</v>
      </c>
      <c r="K196" t="n">
        <v>0</v>
      </c>
      <c r="L196" t="n">
        <v>0</v>
      </c>
      <c r="M196" t="n">
        <v>0</v>
      </c>
      <c r="N196" t="n">
        <v>0</v>
      </c>
      <c r="O196" t="n">
        <v>0</v>
      </c>
      <c r="P196" t="n">
        <v>0</v>
      </c>
      <c r="Q196" t="n">
        <v>0</v>
      </c>
      <c r="R196" s="2" t="inlineStr"/>
    </row>
    <row r="197" ht="15" customHeight="1">
      <c r="A197" t="inlineStr">
        <is>
          <t>A 56688-2021</t>
        </is>
      </c>
      <c r="B197" s="1" t="n">
        <v>44481</v>
      </c>
      <c r="C197" s="1" t="n">
        <v>45890</v>
      </c>
      <c r="D197" t="inlineStr">
        <is>
          <t>ÖSTERGÖTLANDS LÄN</t>
        </is>
      </c>
      <c r="E197" t="inlineStr">
        <is>
          <t>LINKÖPING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44879-2020</t>
        </is>
      </c>
      <c r="B198" s="1" t="n">
        <v>44087</v>
      </c>
      <c r="C198" s="1" t="n">
        <v>45890</v>
      </c>
      <c r="D198" t="inlineStr">
        <is>
          <t>ÖSTERGÖTLANDS LÄN</t>
        </is>
      </c>
      <c r="E198" t="inlineStr">
        <is>
          <t>LINKÖPING</t>
        </is>
      </c>
      <c r="F198" t="inlineStr">
        <is>
          <t>Övriga Aktiebolag</t>
        </is>
      </c>
      <c r="G198" t="n">
        <v>2.9</v>
      </c>
      <c r="H198" t="n">
        <v>0</v>
      </c>
      <c r="I198" t="n">
        <v>0</v>
      </c>
      <c r="J198" t="n">
        <v>0</v>
      </c>
      <c r="K198" t="n">
        <v>0</v>
      </c>
      <c r="L198" t="n">
        <v>0</v>
      </c>
      <c r="M198" t="n">
        <v>0</v>
      </c>
      <c r="N198" t="n">
        <v>0</v>
      </c>
      <c r="O198" t="n">
        <v>0</v>
      </c>
      <c r="P198" t="n">
        <v>0</v>
      </c>
      <c r="Q198" t="n">
        <v>0</v>
      </c>
      <c r="R198" s="2" t="inlineStr"/>
    </row>
    <row r="199" ht="15" customHeight="1">
      <c r="A199" t="inlineStr">
        <is>
          <t>A 50035-2020</t>
        </is>
      </c>
      <c r="B199" s="1" t="n">
        <v>44109</v>
      </c>
      <c r="C199" s="1" t="n">
        <v>45890</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27666-2022</t>
        </is>
      </c>
      <c r="B200" s="1" t="n">
        <v>44743.39017361111</v>
      </c>
      <c r="C200" s="1" t="n">
        <v>45890</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19183-2021</t>
        </is>
      </c>
      <c r="B201" s="1" t="n">
        <v>44308.73248842593</v>
      </c>
      <c r="C201" s="1" t="n">
        <v>45890</v>
      </c>
      <c r="D201" t="inlineStr">
        <is>
          <t>ÖSTERGÖTLANDS LÄN</t>
        </is>
      </c>
      <c r="E201" t="inlineStr">
        <is>
          <t>LINKÖPING</t>
        </is>
      </c>
      <c r="F201" t="inlineStr">
        <is>
          <t>Allmännings- och besparingsskogar</t>
        </is>
      </c>
      <c r="G201" t="n">
        <v>4.6</v>
      </c>
      <c r="H201" t="n">
        <v>0</v>
      </c>
      <c r="I201" t="n">
        <v>0</v>
      </c>
      <c r="J201" t="n">
        <v>0</v>
      </c>
      <c r="K201" t="n">
        <v>0</v>
      </c>
      <c r="L201" t="n">
        <v>0</v>
      </c>
      <c r="M201" t="n">
        <v>0</v>
      </c>
      <c r="N201" t="n">
        <v>0</v>
      </c>
      <c r="O201" t="n">
        <v>0</v>
      </c>
      <c r="P201" t="n">
        <v>0</v>
      </c>
      <c r="Q201" t="n">
        <v>0</v>
      </c>
      <c r="R201" s="2" t="inlineStr"/>
    </row>
    <row r="202" ht="15" customHeight="1">
      <c r="A202" t="inlineStr">
        <is>
          <t>A 27769-2022</t>
        </is>
      </c>
      <c r="B202" s="1" t="n">
        <v>44743.53200231482</v>
      </c>
      <c r="C202" s="1" t="n">
        <v>45890</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59288-2020</t>
        </is>
      </c>
      <c r="B203" s="1" t="n">
        <v>44147</v>
      </c>
      <c r="C203" s="1" t="n">
        <v>45890</v>
      </c>
      <c r="D203" t="inlineStr">
        <is>
          <t>ÖSTERGÖTLANDS LÄN</t>
        </is>
      </c>
      <c r="E203" t="inlineStr">
        <is>
          <t>LINKÖPING</t>
        </is>
      </c>
      <c r="G203" t="n">
        <v>2.8</v>
      </c>
      <c r="H203" t="n">
        <v>0</v>
      </c>
      <c r="I203" t="n">
        <v>0</v>
      </c>
      <c r="J203" t="n">
        <v>0</v>
      </c>
      <c r="K203" t="n">
        <v>0</v>
      </c>
      <c r="L203" t="n">
        <v>0</v>
      </c>
      <c r="M203" t="n">
        <v>0</v>
      </c>
      <c r="N203" t="n">
        <v>0</v>
      </c>
      <c r="O203" t="n">
        <v>0</v>
      </c>
      <c r="P203" t="n">
        <v>0</v>
      </c>
      <c r="Q203" t="n">
        <v>0</v>
      </c>
      <c r="R203" s="2" t="inlineStr"/>
    </row>
    <row r="204" ht="15" customHeight="1">
      <c r="A204" t="inlineStr">
        <is>
          <t>A 34486-2021</t>
        </is>
      </c>
      <c r="B204" s="1" t="n">
        <v>44382.29295138889</v>
      </c>
      <c r="C204" s="1" t="n">
        <v>45890</v>
      </c>
      <c r="D204" t="inlineStr">
        <is>
          <t>ÖSTERGÖTLANDS LÄN</t>
        </is>
      </c>
      <c r="E204" t="inlineStr">
        <is>
          <t>LINKÖPING</t>
        </is>
      </c>
      <c r="G204" t="n">
        <v>4.4</v>
      </c>
      <c r="H204" t="n">
        <v>0</v>
      </c>
      <c r="I204" t="n">
        <v>0</v>
      </c>
      <c r="J204" t="n">
        <v>0</v>
      </c>
      <c r="K204" t="n">
        <v>0</v>
      </c>
      <c r="L204" t="n">
        <v>0</v>
      </c>
      <c r="M204" t="n">
        <v>0</v>
      </c>
      <c r="N204" t="n">
        <v>0</v>
      </c>
      <c r="O204" t="n">
        <v>0</v>
      </c>
      <c r="P204" t="n">
        <v>0</v>
      </c>
      <c r="Q204" t="n">
        <v>0</v>
      </c>
      <c r="R204" s="2" t="inlineStr"/>
    </row>
    <row r="205" ht="15" customHeight="1">
      <c r="A205" t="inlineStr">
        <is>
          <t>A 41514-2020</t>
        </is>
      </c>
      <c r="B205" s="1" t="n">
        <v>44074</v>
      </c>
      <c r="C205" s="1" t="n">
        <v>45890</v>
      </c>
      <c r="D205" t="inlineStr">
        <is>
          <t>ÖSTERGÖTLANDS LÄN</t>
        </is>
      </c>
      <c r="E205" t="inlineStr">
        <is>
          <t>LINKÖPING</t>
        </is>
      </c>
      <c r="F205" t="inlineStr">
        <is>
          <t>Allmännings- och besparingsskogar</t>
        </is>
      </c>
      <c r="G205" t="n">
        <v>5.2</v>
      </c>
      <c r="H205" t="n">
        <v>0</v>
      </c>
      <c r="I205" t="n">
        <v>0</v>
      </c>
      <c r="J205" t="n">
        <v>0</v>
      </c>
      <c r="K205" t="n">
        <v>0</v>
      </c>
      <c r="L205" t="n">
        <v>0</v>
      </c>
      <c r="M205" t="n">
        <v>0</v>
      </c>
      <c r="N205" t="n">
        <v>0</v>
      </c>
      <c r="O205" t="n">
        <v>0</v>
      </c>
      <c r="P205" t="n">
        <v>0</v>
      </c>
      <c r="Q205" t="n">
        <v>0</v>
      </c>
      <c r="R205" s="2" t="inlineStr"/>
    </row>
    <row r="206" ht="15" customHeight="1">
      <c r="A206" t="inlineStr">
        <is>
          <t>A 13922-2021</t>
        </is>
      </c>
      <c r="B206" s="1" t="n">
        <v>44277.45946759259</v>
      </c>
      <c r="C206" s="1" t="n">
        <v>45890</v>
      </c>
      <c r="D206" t="inlineStr">
        <is>
          <t>ÖSTERGÖTLANDS LÄN</t>
        </is>
      </c>
      <c r="E206" t="inlineStr">
        <is>
          <t>LINKÖPING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45890</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50401-2020</t>
        </is>
      </c>
      <c r="B208" s="1" t="n">
        <v>44110</v>
      </c>
      <c r="C208" s="1" t="n">
        <v>45890</v>
      </c>
      <c r="D208" t="inlineStr">
        <is>
          <t>ÖSTERGÖTLANDS LÄN</t>
        </is>
      </c>
      <c r="E208" t="inlineStr">
        <is>
          <t>LINKÖPING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1787-2022</t>
        </is>
      </c>
      <c r="B209" s="1" t="n">
        <v>44574</v>
      </c>
      <c r="C209" s="1" t="n">
        <v>45890</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3008-2023</t>
        </is>
      </c>
      <c r="B210" s="1" t="n">
        <v>44945.79784722222</v>
      </c>
      <c r="C210" s="1" t="n">
        <v>45890</v>
      </c>
      <c r="D210" t="inlineStr">
        <is>
          <t>ÖSTERGÖTLANDS LÄN</t>
        </is>
      </c>
      <c r="E210" t="inlineStr">
        <is>
          <t>LINKÖPING</t>
        </is>
      </c>
      <c r="G210" t="n">
        <v>19.3</v>
      </c>
      <c r="H210" t="n">
        <v>0</v>
      </c>
      <c r="I210" t="n">
        <v>0</v>
      </c>
      <c r="J210" t="n">
        <v>0</v>
      </c>
      <c r="K210" t="n">
        <v>0</v>
      </c>
      <c r="L210" t="n">
        <v>0</v>
      </c>
      <c r="M210" t="n">
        <v>0</v>
      </c>
      <c r="N210" t="n">
        <v>0</v>
      </c>
      <c r="O210" t="n">
        <v>0</v>
      </c>
      <c r="P210" t="n">
        <v>0</v>
      </c>
      <c r="Q210" t="n">
        <v>0</v>
      </c>
      <c r="R210" s="2" t="inlineStr"/>
    </row>
    <row r="211" ht="15" customHeight="1">
      <c r="A211" t="inlineStr">
        <is>
          <t>A 12035-2025</t>
        </is>
      </c>
      <c r="B211" s="1" t="n">
        <v>45728.64946759259</v>
      </c>
      <c r="C211" s="1" t="n">
        <v>45890</v>
      </c>
      <c r="D211" t="inlineStr">
        <is>
          <t>ÖSTERGÖTLANDS LÄN</t>
        </is>
      </c>
      <c r="E211" t="inlineStr">
        <is>
          <t>LINKÖPING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34558-2022</t>
        </is>
      </c>
      <c r="B212" s="1" t="n">
        <v>44794.57594907407</v>
      </c>
      <c r="C212" s="1" t="n">
        <v>45890</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63489-2023</t>
        </is>
      </c>
      <c r="B213" s="1" t="n">
        <v>45274.66761574074</v>
      </c>
      <c r="C213" s="1" t="n">
        <v>45890</v>
      </c>
      <c r="D213" t="inlineStr">
        <is>
          <t>ÖSTERGÖTLANDS LÄN</t>
        </is>
      </c>
      <c r="E213" t="inlineStr">
        <is>
          <t>LINKÖPING</t>
        </is>
      </c>
      <c r="G213" t="n">
        <v>2.3</v>
      </c>
      <c r="H213" t="n">
        <v>0</v>
      </c>
      <c r="I213" t="n">
        <v>0</v>
      </c>
      <c r="J213" t="n">
        <v>0</v>
      </c>
      <c r="K213" t="n">
        <v>0</v>
      </c>
      <c r="L213" t="n">
        <v>0</v>
      </c>
      <c r="M213" t="n">
        <v>0</v>
      </c>
      <c r="N213" t="n">
        <v>0</v>
      </c>
      <c r="O213" t="n">
        <v>0</v>
      </c>
      <c r="P213" t="n">
        <v>0</v>
      </c>
      <c r="Q213" t="n">
        <v>0</v>
      </c>
      <c r="R213" s="2" t="inlineStr"/>
    </row>
    <row r="214" ht="15" customHeight="1">
      <c r="A214" t="inlineStr">
        <is>
          <t>A 948-2022</t>
        </is>
      </c>
      <c r="B214" s="1" t="n">
        <v>44571</v>
      </c>
      <c r="C214" s="1" t="n">
        <v>45890</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28266-2024</t>
        </is>
      </c>
      <c r="B215" s="1" t="n">
        <v>45477.43600694444</v>
      </c>
      <c r="C215" s="1" t="n">
        <v>45890</v>
      </c>
      <c r="D215" t="inlineStr">
        <is>
          <t>ÖSTERGÖTLANDS LÄN</t>
        </is>
      </c>
      <c r="E215" t="inlineStr">
        <is>
          <t>LINKÖPING</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45890</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37014-2021</t>
        </is>
      </c>
      <c r="B217" s="1" t="n">
        <v>44393</v>
      </c>
      <c r="C217" s="1" t="n">
        <v>45890</v>
      </c>
      <c r="D217" t="inlineStr">
        <is>
          <t>ÖSTERGÖTLANDS LÄN</t>
        </is>
      </c>
      <c r="E217" t="inlineStr">
        <is>
          <t>LINKÖPING</t>
        </is>
      </c>
      <c r="F217" t="inlineStr">
        <is>
          <t>Allmännings- och besparingsskogar</t>
        </is>
      </c>
      <c r="G217" t="n">
        <v>7.7</v>
      </c>
      <c r="H217" t="n">
        <v>0</v>
      </c>
      <c r="I217" t="n">
        <v>0</v>
      </c>
      <c r="J217" t="n">
        <v>0</v>
      </c>
      <c r="K217" t="n">
        <v>0</v>
      </c>
      <c r="L217" t="n">
        <v>0</v>
      </c>
      <c r="M217" t="n">
        <v>0</v>
      </c>
      <c r="N217" t="n">
        <v>0</v>
      </c>
      <c r="O217" t="n">
        <v>0</v>
      </c>
      <c r="P217" t="n">
        <v>0</v>
      </c>
      <c r="Q217" t="n">
        <v>0</v>
      </c>
      <c r="R217" s="2" t="inlineStr"/>
    </row>
    <row r="218" ht="15" customHeight="1">
      <c r="A218" t="inlineStr">
        <is>
          <t>A 25418-2023</t>
        </is>
      </c>
      <c r="B218" s="1" t="n">
        <v>45089</v>
      </c>
      <c r="C218" s="1" t="n">
        <v>45890</v>
      </c>
      <c r="D218" t="inlineStr">
        <is>
          <t>ÖSTERGÖTLANDS LÄN</t>
        </is>
      </c>
      <c r="E218" t="inlineStr">
        <is>
          <t>LINKÖPING</t>
        </is>
      </c>
      <c r="F218" t="inlineStr">
        <is>
          <t>Övriga Aktiebolag</t>
        </is>
      </c>
      <c r="G218" t="n">
        <v>2.4</v>
      </c>
      <c r="H218" t="n">
        <v>0</v>
      </c>
      <c r="I218" t="n">
        <v>0</v>
      </c>
      <c r="J218" t="n">
        <v>0</v>
      </c>
      <c r="K218" t="n">
        <v>0</v>
      </c>
      <c r="L218" t="n">
        <v>0</v>
      </c>
      <c r="M218" t="n">
        <v>0</v>
      </c>
      <c r="N218" t="n">
        <v>0</v>
      </c>
      <c r="O218" t="n">
        <v>0</v>
      </c>
      <c r="P218" t="n">
        <v>0</v>
      </c>
      <c r="Q218" t="n">
        <v>0</v>
      </c>
      <c r="R218" s="2" t="inlineStr"/>
    </row>
    <row r="219" ht="15" customHeight="1">
      <c r="A219" t="inlineStr">
        <is>
          <t>A 22772-2024</t>
        </is>
      </c>
      <c r="B219" s="1" t="n">
        <v>45448.46712962963</v>
      </c>
      <c r="C219" s="1" t="n">
        <v>45890</v>
      </c>
      <c r="D219" t="inlineStr">
        <is>
          <t>ÖSTERGÖTLANDS LÄN</t>
        </is>
      </c>
      <c r="E219" t="inlineStr">
        <is>
          <t>LINKÖPING</t>
        </is>
      </c>
      <c r="F219" t="inlineStr">
        <is>
          <t>Sveaskog</t>
        </is>
      </c>
      <c r="G219" t="n">
        <v>3</v>
      </c>
      <c r="H219" t="n">
        <v>0</v>
      </c>
      <c r="I219" t="n">
        <v>0</v>
      </c>
      <c r="J219" t="n">
        <v>0</v>
      </c>
      <c r="K219" t="n">
        <v>0</v>
      </c>
      <c r="L219" t="n">
        <v>0</v>
      </c>
      <c r="M219" t="n">
        <v>0</v>
      </c>
      <c r="N219" t="n">
        <v>0</v>
      </c>
      <c r="O219" t="n">
        <v>0</v>
      </c>
      <c r="P219" t="n">
        <v>0</v>
      </c>
      <c r="Q219" t="n">
        <v>0</v>
      </c>
      <c r="R219" s="2" t="inlineStr"/>
    </row>
    <row r="220" ht="15" customHeight="1">
      <c r="A220" t="inlineStr">
        <is>
          <t>A 10194-2023</t>
        </is>
      </c>
      <c r="B220" s="1" t="n">
        <v>44986.52277777778</v>
      </c>
      <c r="C220" s="1" t="n">
        <v>45890</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16200-2025</t>
        </is>
      </c>
      <c r="B221" s="1" t="n">
        <v>45750.61050925926</v>
      </c>
      <c r="C221" s="1" t="n">
        <v>45890</v>
      </c>
      <c r="D221" t="inlineStr">
        <is>
          <t>ÖSTERGÖTLANDS LÄN</t>
        </is>
      </c>
      <c r="E221" t="inlineStr">
        <is>
          <t>LINKÖPING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34880-2022</t>
        </is>
      </c>
      <c r="B222" s="1" t="n">
        <v>44796</v>
      </c>
      <c r="C222" s="1" t="n">
        <v>45890</v>
      </c>
      <c r="D222" t="inlineStr">
        <is>
          <t>ÖSTERGÖTLANDS LÄN</t>
        </is>
      </c>
      <c r="E222" t="inlineStr">
        <is>
          <t>LINKÖPING</t>
        </is>
      </c>
      <c r="F222" t="inlineStr">
        <is>
          <t>Övriga statliga verk och myndigheter</t>
        </is>
      </c>
      <c r="G222" t="n">
        <v>4</v>
      </c>
      <c r="H222" t="n">
        <v>0</v>
      </c>
      <c r="I222" t="n">
        <v>0</v>
      </c>
      <c r="J222" t="n">
        <v>0</v>
      </c>
      <c r="K222" t="n">
        <v>0</v>
      </c>
      <c r="L222" t="n">
        <v>0</v>
      </c>
      <c r="M222" t="n">
        <v>0</v>
      </c>
      <c r="N222" t="n">
        <v>0</v>
      </c>
      <c r="O222" t="n">
        <v>0</v>
      </c>
      <c r="P222" t="n">
        <v>0</v>
      </c>
      <c r="Q222" t="n">
        <v>0</v>
      </c>
      <c r="R222" s="2" t="inlineStr"/>
    </row>
    <row r="223" ht="15" customHeight="1">
      <c r="A223" t="inlineStr">
        <is>
          <t>A 48042-2022</t>
        </is>
      </c>
      <c r="B223" s="1" t="n">
        <v>44855</v>
      </c>
      <c r="C223" s="1" t="n">
        <v>45890</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38134-2021</t>
        </is>
      </c>
      <c r="B224" s="1" t="n">
        <v>44405.3794212963</v>
      </c>
      <c r="C224" s="1" t="n">
        <v>45890</v>
      </c>
      <c r="D224" t="inlineStr">
        <is>
          <t>ÖSTERGÖTLANDS LÄN</t>
        </is>
      </c>
      <c r="E224" t="inlineStr">
        <is>
          <t>LINKÖPING</t>
        </is>
      </c>
      <c r="G224" t="n">
        <v>5.1</v>
      </c>
      <c r="H224" t="n">
        <v>0</v>
      </c>
      <c r="I224" t="n">
        <v>0</v>
      </c>
      <c r="J224" t="n">
        <v>0</v>
      </c>
      <c r="K224" t="n">
        <v>0</v>
      </c>
      <c r="L224" t="n">
        <v>0</v>
      </c>
      <c r="M224" t="n">
        <v>0</v>
      </c>
      <c r="N224" t="n">
        <v>0</v>
      </c>
      <c r="O224" t="n">
        <v>0</v>
      </c>
      <c r="P224" t="n">
        <v>0</v>
      </c>
      <c r="Q224" t="n">
        <v>0</v>
      </c>
      <c r="R224" s="2" t="inlineStr"/>
    </row>
    <row r="225" ht="15" customHeight="1">
      <c r="A225" t="inlineStr">
        <is>
          <t>A 20455-2024</t>
        </is>
      </c>
      <c r="B225" s="1" t="n">
        <v>45435.65314814815</v>
      </c>
      <c r="C225" s="1" t="n">
        <v>45890</v>
      </c>
      <c r="D225" t="inlineStr">
        <is>
          <t>ÖSTERGÖTLANDS LÄN</t>
        </is>
      </c>
      <c r="E225" t="inlineStr">
        <is>
          <t>LINKÖPING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224-2024</t>
        </is>
      </c>
      <c r="B226" s="1" t="n">
        <v>45294</v>
      </c>
      <c r="C226" s="1" t="n">
        <v>45890</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54845-2023</t>
        </is>
      </c>
      <c r="B227" s="1" t="n">
        <v>45236</v>
      </c>
      <c r="C227" s="1" t="n">
        <v>45890</v>
      </c>
      <c r="D227" t="inlineStr">
        <is>
          <t>ÖSTERGÖTLANDS LÄN</t>
        </is>
      </c>
      <c r="E227" t="inlineStr">
        <is>
          <t>LINKÖPING</t>
        </is>
      </c>
      <c r="F227" t="inlineStr">
        <is>
          <t>Övriga Aktiebolag</t>
        </is>
      </c>
      <c r="G227" t="n">
        <v>5.7</v>
      </c>
      <c r="H227" t="n">
        <v>0</v>
      </c>
      <c r="I227" t="n">
        <v>0</v>
      </c>
      <c r="J227" t="n">
        <v>0</v>
      </c>
      <c r="K227" t="n">
        <v>0</v>
      </c>
      <c r="L227" t="n">
        <v>0</v>
      </c>
      <c r="M227" t="n">
        <v>0</v>
      </c>
      <c r="N227" t="n">
        <v>0</v>
      </c>
      <c r="O227" t="n">
        <v>0</v>
      </c>
      <c r="P227" t="n">
        <v>0</v>
      </c>
      <c r="Q227" t="n">
        <v>0</v>
      </c>
      <c r="R227" s="2" t="inlineStr"/>
    </row>
    <row r="228" ht="15" customHeight="1">
      <c r="A228" t="inlineStr">
        <is>
          <t>A 62488-2023</t>
        </is>
      </c>
      <c r="B228" s="1" t="n">
        <v>45268.5847337963</v>
      </c>
      <c r="C228" s="1" t="n">
        <v>45890</v>
      </c>
      <c r="D228" t="inlineStr">
        <is>
          <t>ÖSTERGÖTLANDS LÄN</t>
        </is>
      </c>
      <c r="E228" t="inlineStr">
        <is>
          <t>LINKÖPING</t>
        </is>
      </c>
      <c r="G228" t="n">
        <v>4.1</v>
      </c>
      <c r="H228" t="n">
        <v>0</v>
      </c>
      <c r="I228" t="n">
        <v>0</v>
      </c>
      <c r="J228" t="n">
        <v>0</v>
      </c>
      <c r="K228" t="n">
        <v>0</v>
      </c>
      <c r="L228" t="n">
        <v>0</v>
      </c>
      <c r="M228" t="n">
        <v>0</v>
      </c>
      <c r="N228" t="n">
        <v>0</v>
      </c>
      <c r="O228" t="n">
        <v>0</v>
      </c>
      <c r="P228" t="n">
        <v>0</v>
      </c>
      <c r="Q228" t="n">
        <v>0</v>
      </c>
      <c r="R228" s="2" t="inlineStr"/>
    </row>
    <row r="229" ht="15" customHeight="1">
      <c r="A229" t="inlineStr">
        <is>
          <t>A 24351-2024</t>
        </is>
      </c>
      <c r="B229" s="1" t="n">
        <v>45457.59011574074</v>
      </c>
      <c r="C229" s="1" t="n">
        <v>45890</v>
      </c>
      <c r="D229" t="inlineStr">
        <is>
          <t>ÖSTERGÖTLANDS LÄN</t>
        </is>
      </c>
      <c r="E229" t="inlineStr">
        <is>
          <t>LINKÖPING</t>
        </is>
      </c>
      <c r="G229" t="n">
        <v>11.9</v>
      </c>
      <c r="H229" t="n">
        <v>0</v>
      </c>
      <c r="I229" t="n">
        <v>0</v>
      </c>
      <c r="J229" t="n">
        <v>0</v>
      </c>
      <c r="K229" t="n">
        <v>0</v>
      </c>
      <c r="L229" t="n">
        <v>0</v>
      </c>
      <c r="M229" t="n">
        <v>0</v>
      </c>
      <c r="N229" t="n">
        <v>0</v>
      </c>
      <c r="O229" t="n">
        <v>0</v>
      </c>
      <c r="P229" t="n">
        <v>0</v>
      </c>
      <c r="Q229" t="n">
        <v>0</v>
      </c>
      <c r="R229" s="2" t="inlineStr"/>
    </row>
    <row r="230" ht="15" customHeight="1">
      <c r="A230" t="inlineStr">
        <is>
          <t>A 63528-2023</t>
        </is>
      </c>
      <c r="B230" s="1" t="n">
        <v>45274.94810185185</v>
      </c>
      <c r="C230" s="1" t="n">
        <v>45890</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52796-2023</t>
        </is>
      </c>
      <c r="B231" s="1" t="n">
        <v>45219</v>
      </c>
      <c r="C231" s="1" t="n">
        <v>45890</v>
      </c>
      <c r="D231" t="inlineStr">
        <is>
          <t>ÖSTERGÖTLANDS LÄN</t>
        </is>
      </c>
      <c r="E231" t="inlineStr">
        <is>
          <t>LINKÖPING</t>
        </is>
      </c>
      <c r="F231" t="inlineStr">
        <is>
          <t>Övriga statliga verk och myndigheter</t>
        </is>
      </c>
      <c r="G231" t="n">
        <v>3.9</v>
      </c>
      <c r="H231" t="n">
        <v>0</v>
      </c>
      <c r="I231" t="n">
        <v>0</v>
      </c>
      <c r="J231" t="n">
        <v>0</v>
      </c>
      <c r="K231" t="n">
        <v>0</v>
      </c>
      <c r="L231" t="n">
        <v>0</v>
      </c>
      <c r="M231" t="n">
        <v>0</v>
      </c>
      <c r="N231" t="n">
        <v>0</v>
      </c>
      <c r="O231" t="n">
        <v>0</v>
      </c>
      <c r="P231" t="n">
        <v>0</v>
      </c>
      <c r="Q231" t="n">
        <v>0</v>
      </c>
      <c r="R231" s="2" t="inlineStr"/>
    </row>
    <row r="232" ht="15" customHeight="1">
      <c r="A232" t="inlineStr">
        <is>
          <t>A 30855-2022</t>
        </is>
      </c>
      <c r="B232" s="1" t="n">
        <v>44767</v>
      </c>
      <c r="C232" s="1" t="n">
        <v>45890</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61936-2023</t>
        </is>
      </c>
      <c r="B233" s="1" t="n">
        <v>45266.54534722222</v>
      </c>
      <c r="C233" s="1" t="n">
        <v>45890</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62492-2023</t>
        </is>
      </c>
      <c r="B234" s="1" t="n">
        <v>45268.58987268519</v>
      </c>
      <c r="C234" s="1" t="n">
        <v>45890</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34877-2023</t>
        </is>
      </c>
      <c r="B235" s="1" t="n">
        <v>45140</v>
      </c>
      <c r="C235" s="1" t="n">
        <v>45890</v>
      </c>
      <c r="D235" t="inlineStr">
        <is>
          <t>ÖSTERGÖTLANDS LÄN</t>
        </is>
      </c>
      <c r="E235" t="inlineStr">
        <is>
          <t>LINKÖPING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7702-2023</t>
        </is>
      </c>
      <c r="B236" s="1" t="n">
        <v>44967</v>
      </c>
      <c r="C236" s="1" t="n">
        <v>45890</v>
      </c>
      <c r="D236" t="inlineStr">
        <is>
          <t>ÖSTERGÖTLANDS LÄN</t>
        </is>
      </c>
      <c r="E236" t="inlineStr">
        <is>
          <t>LINKÖPING</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30856-2022</t>
        </is>
      </c>
      <c r="B237" s="1" t="n">
        <v>44767</v>
      </c>
      <c r="C237" s="1" t="n">
        <v>45890</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42000-2023</t>
        </is>
      </c>
      <c r="B238" s="1" t="n">
        <v>45177</v>
      </c>
      <c r="C238" s="1" t="n">
        <v>45890</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674-2024</t>
        </is>
      </c>
      <c r="B239" s="1" t="n">
        <v>45300.34408564815</v>
      </c>
      <c r="C239" s="1" t="n">
        <v>45890</v>
      </c>
      <c r="D239" t="inlineStr">
        <is>
          <t>ÖSTERGÖTLANDS LÄN</t>
        </is>
      </c>
      <c r="E239" t="inlineStr">
        <is>
          <t>LINKÖPING</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31534-2023</t>
        </is>
      </c>
      <c r="B240" s="1" t="n">
        <v>45116</v>
      </c>
      <c r="C240" s="1" t="n">
        <v>45890</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35427-2023</t>
        </is>
      </c>
      <c r="B241" s="1" t="n">
        <v>45146</v>
      </c>
      <c r="C241" s="1" t="n">
        <v>45890</v>
      </c>
      <c r="D241" t="inlineStr">
        <is>
          <t>ÖSTERGÖTLANDS LÄN</t>
        </is>
      </c>
      <c r="E241" t="inlineStr">
        <is>
          <t>LINKÖPING</t>
        </is>
      </c>
      <c r="F241" t="inlineStr">
        <is>
          <t>Övriga Aktiebolag</t>
        </is>
      </c>
      <c r="G241" t="n">
        <v>2.5</v>
      </c>
      <c r="H241" t="n">
        <v>0</v>
      </c>
      <c r="I241" t="n">
        <v>0</v>
      </c>
      <c r="J241" t="n">
        <v>0</v>
      </c>
      <c r="K241" t="n">
        <v>0</v>
      </c>
      <c r="L241" t="n">
        <v>0</v>
      </c>
      <c r="M241" t="n">
        <v>0</v>
      </c>
      <c r="N241" t="n">
        <v>0</v>
      </c>
      <c r="O241" t="n">
        <v>0</v>
      </c>
      <c r="P241" t="n">
        <v>0</v>
      </c>
      <c r="Q241" t="n">
        <v>0</v>
      </c>
      <c r="R241" s="2" t="inlineStr"/>
    </row>
    <row r="242" ht="15" customHeight="1">
      <c r="A242" t="inlineStr">
        <is>
          <t>A 15307-2025</t>
        </is>
      </c>
      <c r="B242" s="1" t="n">
        <v>45746.70038194444</v>
      </c>
      <c r="C242" s="1" t="n">
        <v>45890</v>
      </c>
      <c r="D242" t="inlineStr">
        <is>
          <t>ÖSTERGÖTLANDS LÄN</t>
        </is>
      </c>
      <c r="E242" t="inlineStr">
        <is>
          <t>LINKÖPING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36725-2023</t>
        </is>
      </c>
      <c r="B243" s="1" t="n">
        <v>45153.68471064815</v>
      </c>
      <c r="C243" s="1" t="n">
        <v>45890</v>
      </c>
      <c r="D243" t="inlineStr">
        <is>
          <t>ÖSTERGÖTLANDS LÄN</t>
        </is>
      </c>
      <c r="E243" t="inlineStr">
        <is>
          <t>LINKÖPING</t>
        </is>
      </c>
      <c r="F243" t="inlineStr">
        <is>
          <t>Allmännings- och besparingsskogar</t>
        </is>
      </c>
      <c r="G243" t="n">
        <v>2.6</v>
      </c>
      <c r="H243" t="n">
        <v>0</v>
      </c>
      <c r="I243" t="n">
        <v>0</v>
      </c>
      <c r="J243" t="n">
        <v>0</v>
      </c>
      <c r="K243" t="n">
        <v>0</v>
      </c>
      <c r="L243" t="n">
        <v>0</v>
      </c>
      <c r="M243" t="n">
        <v>0</v>
      </c>
      <c r="N243" t="n">
        <v>0</v>
      </c>
      <c r="O243" t="n">
        <v>0</v>
      </c>
      <c r="P243" t="n">
        <v>0</v>
      </c>
      <c r="Q243" t="n">
        <v>0</v>
      </c>
      <c r="R243" s="2" t="inlineStr"/>
    </row>
    <row r="244" ht="15" customHeight="1">
      <c r="A244" t="inlineStr">
        <is>
          <t>A 6782-2024</t>
        </is>
      </c>
      <c r="B244" s="1" t="n">
        <v>45342</v>
      </c>
      <c r="C244" s="1" t="n">
        <v>45890</v>
      </c>
      <c r="D244" t="inlineStr">
        <is>
          <t>ÖSTERGÖTLANDS LÄN</t>
        </is>
      </c>
      <c r="E244" t="inlineStr">
        <is>
          <t>LINKÖPING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10094-2024</t>
        </is>
      </c>
      <c r="B245" s="1" t="n">
        <v>45364</v>
      </c>
      <c r="C245" s="1" t="n">
        <v>45890</v>
      </c>
      <c r="D245" t="inlineStr">
        <is>
          <t>ÖSTERGÖTLANDS LÄN</t>
        </is>
      </c>
      <c r="E245" t="inlineStr">
        <is>
          <t>LINKÖPING</t>
        </is>
      </c>
      <c r="F245" t="inlineStr">
        <is>
          <t>Övriga Aktiebolag</t>
        </is>
      </c>
      <c r="G245" t="n">
        <v>1.9</v>
      </c>
      <c r="H245" t="n">
        <v>0</v>
      </c>
      <c r="I245" t="n">
        <v>0</v>
      </c>
      <c r="J245" t="n">
        <v>0</v>
      </c>
      <c r="K245" t="n">
        <v>0</v>
      </c>
      <c r="L245" t="n">
        <v>0</v>
      </c>
      <c r="M245" t="n">
        <v>0</v>
      </c>
      <c r="N245" t="n">
        <v>0</v>
      </c>
      <c r="O245" t="n">
        <v>0</v>
      </c>
      <c r="P245" t="n">
        <v>0</v>
      </c>
      <c r="Q245" t="n">
        <v>0</v>
      </c>
      <c r="R245" s="2" t="inlineStr"/>
    </row>
    <row r="246" ht="15" customHeight="1">
      <c r="A246" t="inlineStr">
        <is>
          <t>A 57745-2022</t>
        </is>
      </c>
      <c r="B246" s="1" t="n">
        <v>44897.58119212963</v>
      </c>
      <c r="C246" s="1" t="n">
        <v>45890</v>
      </c>
      <c r="D246" t="inlineStr">
        <is>
          <t>ÖSTERGÖTLANDS LÄN</t>
        </is>
      </c>
      <c r="E246" t="inlineStr">
        <is>
          <t>LINKÖPING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34889-2023</t>
        </is>
      </c>
      <c r="B247" s="1" t="n">
        <v>45140</v>
      </c>
      <c r="C247" s="1" t="n">
        <v>45890</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53639-2023</t>
        </is>
      </c>
      <c r="B248" s="1" t="n">
        <v>45230.59686342593</v>
      </c>
      <c r="C248" s="1" t="n">
        <v>45890</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63684-2023</t>
        </is>
      </c>
      <c r="B249" s="1" t="n">
        <v>45275</v>
      </c>
      <c r="C249" s="1" t="n">
        <v>45890</v>
      </c>
      <c r="D249" t="inlineStr">
        <is>
          <t>ÖSTERGÖTLANDS LÄN</t>
        </is>
      </c>
      <c r="E249" t="inlineStr">
        <is>
          <t>LINKÖPING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63688-2023</t>
        </is>
      </c>
      <c r="B250" s="1" t="n">
        <v>45275</v>
      </c>
      <c r="C250" s="1" t="n">
        <v>45890</v>
      </c>
      <c r="D250" t="inlineStr">
        <is>
          <t>ÖSTERGÖTLANDS LÄN</t>
        </is>
      </c>
      <c r="E250" t="inlineStr">
        <is>
          <t>LINKÖPING</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63691-2023</t>
        </is>
      </c>
      <c r="B251" s="1" t="n">
        <v>45275</v>
      </c>
      <c r="C251" s="1" t="n">
        <v>45890</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36657-2023</t>
        </is>
      </c>
      <c r="B252" s="1" t="n">
        <v>45153.5702662037</v>
      </c>
      <c r="C252" s="1" t="n">
        <v>45890</v>
      </c>
      <c r="D252" t="inlineStr">
        <is>
          <t>ÖSTERGÖTLANDS LÄN</t>
        </is>
      </c>
      <c r="E252" t="inlineStr">
        <is>
          <t>LINKÖPING</t>
        </is>
      </c>
      <c r="F252" t="inlineStr">
        <is>
          <t>Allmännings- och besparingsskogar</t>
        </is>
      </c>
      <c r="G252" t="n">
        <v>2</v>
      </c>
      <c r="H252" t="n">
        <v>0</v>
      </c>
      <c r="I252" t="n">
        <v>0</v>
      </c>
      <c r="J252" t="n">
        <v>0</v>
      </c>
      <c r="K252" t="n">
        <v>0</v>
      </c>
      <c r="L252" t="n">
        <v>0</v>
      </c>
      <c r="M252" t="n">
        <v>0</v>
      </c>
      <c r="N252" t="n">
        <v>0</v>
      </c>
      <c r="O252" t="n">
        <v>0</v>
      </c>
      <c r="P252" t="n">
        <v>0</v>
      </c>
      <c r="Q252" t="n">
        <v>0</v>
      </c>
      <c r="R252" s="2" t="inlineStr"/>
    </row>
    <row r="253" ht="15" customHeight="1">
      <c r="A253" t="inlineStr">
        <is>
          <t>A 14667-2024</t>
        </is>
      </c>
      <c r="B253" s="1" t="n">
        <v>45397.42005787037</v>
      </c>
      <c r="C253" s="1" t="n">
        <v>45890</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1657-2024</t>
        </is>
      </c>
      <c r="B254" s="1" t="n">
        <v>45306.82501157407</v>
      </c>
      <c r="C254" s="1" t="n">
        <v>45890</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50784-2022</t>
        </is>
      </c>
      <c r="B255" s="1" t="n">
        <v>44862</v>
      </c>
      <c r="C255" s="1" t="n">
        <v>45890</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26803-2024</t>
        </is>
      </c>
      <c r="B256" s="1" t="n">
        <v>45470</v>
      </c>
      <c r="C256" s="1" t="n">
        <v>45890</v>
      </c>
      <c r="D256" t="inlineStr">
        <is>
          <t>ÖSTERGÖTLANDS LÄN</t>
        </is>
      </c>
      <c r="E256" t="inlineStr">
        <is>
          <t>LINKÖPING</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1993-2023</t>
        </is>
      </c>
      <c r="B257" s="1" t="n">
        <v>44939</v>
      </c>
      <c r="C257" s="1" t="n">
        <v>45890</v>
      </c>
      <c r="D257" t="inlineStr">
        <is>
          <t>ÖSTERGÖTLANDS LÄN</t>
        </is>
      </c>
      <c r="E257" t="inlineStr">
        <is>
          <t>LINKÖPING</t>
        </is>
      </c>
      <c r="G257" t="n">
        <v>3.7</v>
      </c>
      <c r="H257" t="n">
        <v>0</v>
      </c>
      <c r="I257" t="n">
        <v>0</v>
      </c>
      <c r="J257" t="n">
        <v>0</v>
      </c>
      <c r="K257" t="n">
        <v>0</v>
      </c>
      <c r="L257" t="n">
        <v>0</v>
      </c>
      <c r="M257" t="n">
        <v>0</v>
      </c>
      <c r="N257" t="n">
        <v>0</v>
      </c>
      <c r="O257" t="n">
        <v>0</v>
      </c>
      <c r="P257" t="n">
        <v>0</v>
      </c>
      <c r="Q257" t="n">
        <v>0</v>
      </c>
      <c r="R257" s="2" t="inlineStr"/>
    </row>
    <row r="258" ht="15" customHeight="1">
      <c r="A258" t="inlineStr">
        <is>
          <t>A 19187-2021</t>
        </is>
      </c>
      <c r="B258" s="1" t="n">
        <v>44308</v>
      </c>
      <c r="C258" s="1" t="n">
        <v>45890</v>
      </c>
      <c r="D258" t="inlineStr">
        <is>
          <t>ÖSTERGÖTLANDS LÄN</t>
        </is>
      </c>
      <c r="E258" t="inlineStr">
        <is>
          <t>LINKÖPING</t>
        </is>
      </c>
      <c r="F258" t="inlineStr">
        <is>
          <t>Allmännings- och besparingsskogar</t>
        </is>
      </c>
      <c r="G258" t="n">
        <v>20</v>
      </c>
      <c r="H258" t="n">
        <v>0</v>
      </c>
      <c r="I258" t="n">
        <v>0</v>
      </c>
      <c r="J258" t="n">
        <v>0</v>
      </c>
      <c r="K258" t="n">
        <v>0</v>
      </c>
      <c r="L258" t="n">
        <v>0</v>
      </c>
      <c r="M258" t="n">
        <v>0</v>
      </c>
      <c r="N258" t="n">
        <v>0</v>
      </c>
      <c r="O258" t="n">
        <v>0</v>
      </c>
      <c r="P258" t="n">
        <v>0</v>
      </c>
      <c r="Q258" t="n">
        <v>0</v>
      </c>
      <c r="R258" s="2" t="inlineStr"/>
    </row>
    <row r="259" ht="15" customHeight="1">
      <c r="A259" t="inlineStr">
        <is>
          <t>A 60472-2022</t>
        </is>
      </c>
      <c r="B259" s="1" t="n">
        <v>44911.41037037037</v>
      </c>
      <c r="C259" s="1" t="n">
        <v>45890</v>
      </c>
      <c r="D259" t="inlineStr">
        <is>
          <t>ÖSTERGÖTLANDS LÄN</t>
        </is>
      </c>
      <c r="E259" t="inlineStr">
        <is>
          <t>LINKÖPING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43934-2023</t>
        </is>
      </c>
      <c r="B260" s="1" t="n">
        <v>45187</v>
      </c>
      <c r="C260" s="1" t="n">
        <v>45890</v>
      </c>
      <c r="D260" t="inlineStr">
        <is>
          <t>ÖSTERGÖTLANDS LÄN</t>
        </is>
      </c>
      <c r="E260" t="inlineStr">
        <is>
          <t>LINKÖPING</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22774-2024</t>
        </is>
      </c>
      <c r="B261" s="1" t="n">
        <v>45448.46924768519</v>
      </c>
      <c r="C261" s="1" t="n">
        <v>45890</v>
      </c>
      <c r="D261" t="inlineStr">
        <is>
          <t>ÖSTERGÖTLANDS LÄN</t>
        </is>
      </c>
      <c r="E261" t="inlineStr">
        <is>
          <t>LINKÖPING</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22778-2024</t>
        </is>
      </c>
      <c r="B262" s="1" t="n">
        <v>45448.47233796296</v>
      </c>
      <c r="C262" s="1" t="n">
        <v>45890</v>
      </c>
      <c r="D262" t="inlineStr">
        <is>
          <t>ÖSTERGÖTLANDS LÄN</t>
        </is>
      </c>
      <c r="E262" t="inlineStr">
        <is>
          <t>LINKÖPING</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15714-2024</t>
        </is>
      </c>
      <c r="B263" s="1" t="n">
        <v>45404.48288194444</v>
      </c>
      <c r="C263" s="1" t="n">
        <v>45890</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1209-2023</t>
        </is>
      </c>
      <c r="B264" s="1" t="n">
        <v>44930</v>
      </c>
      <c r="C264" s="1" t="n">
        <v>45890</v>
      </c>
      <c r="D264" t="inlineStr">
        <is>
          <t>ÖSTERGÖTLANDS LÄN</t>
        </is>
      </c>
      <c r="E264" t="inlineStr">
        <is>
          <t>LINKÖPING</t>
        </is>
      </c>
      <c r="F264" t="inlineStr">
        <is>
          <t>Övriga statliga verk och myndigheter</t>
        </is>
      </c>
      <c r="G264" t="n">
        <v>25.8</v>
      </c>
      <c r="H264" t="n">
        <v>0</v>
      </c>
      <c r="I264" t="n">
        <v>0</v>
      </c>
      <c r="J264" t="n">
        <v>0</v>
      </c>
      <c r="K264" t="n">
        <v>0</v>
      </c>
      <c r="L264" t="n">
        <v>0</v>
      </c>
      <c r="M264" t="n">
        <v>0</v>
      </c>
      <c r="N264" t="n">
        <v>0</v>
      </c>
      <c r="O264" t="n">
        <v>0</v>
      </c>
      <c r="P264" t="n">
        <v>0</v>
      </c>
      <c r="Q264" t="n">
        <v>0</v>
      </c>
      <c r="R264" s="2" t="inlineStr"/>
    </row>
    <row r="265" ht="15" customHeight="1">
      <c r="A265" t="inlineStr">
        <is>
          <t>A 22771-2024</t>
        </is>
      </c>
      <c r="B265" s="1" t="n">
        <v>45448.46574074074</v>
      </c>
      <c r="C265" s="1" t="n">
        <v>45890</v>
      </c>
      <c r="D265" t="inlineStr">
        <is>
          <t>ÖSTERGÖTLANDS LÄN</t>
        </is>
      </c>
      <c r="E265" t="inlineStr">
        <is>
          <t>LINKÖPING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37715-2022</t>
        </is>
      </c>
      <c r="B266" s="1" t="n">
        <v>44810</v>
      </c>
      <c r="C266" s="1" t="n">
        <v>45890</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52220-2023</t>
        </is>
      </c>
      <c r="B267" s="1" t="n">
        <v>45217</v>
      </c>
      <c r="C267" s="1" t="n">
        <v>45890</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52225-2023</t>
        </is>
      </c>
      <c r="B268" s="1" t="n">
        <v>45217</v>
      </c>
      <c r="C268" s="1" t="n">
        <v>45890</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10407-2025</t>
        </is>
      </c>
      <c r="B269" s="1" t="n">
        <v>45720.62863425926</v>
      </c>
      <c r="C269" s="1" t="n">
        <v>45890</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11590-2023</t>
        </is>
      </c>
      <c r="B270" s="1" t="n">
        <v>44994.36689814815</v>
      </c>
      <c r="C270" s="1" t="n">
        <v>45890</v>
      </c>
      <c r="D270" t="inlineStr">
        <is>
          <t>ÖSTERGÖTLANDS LÄN</t>
        </is>
      </c>
      <c r="E270" t="inlineStr">
        <is>
          <t>LINKÖPING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19169-2023</t>
        </is>
      </c>
      <c r="B271" s="1" t="n">
        <v>45044</v>
      </c>
      <c r="C271" s="1" t="n">
        <v>45890</v>
      </c>
      <c r="D271" t="inlineStr">
        <is>
          <t>ÖSTERGÖTLANDS LÄN</t>
        </is>
      </c>
      <c r="E271" t="inlineStr">
        <is>
          <t>LINKÖPING</t>
        </is>
      </c>
      <c r="G271" t="n">
        <v>2.7</v>
      </c>
      <c r="H271" t="n">
        <v>0</v>
      </c>
      <c r="I271" t="n">
        <v>0</v>
      </c>
      <c r="J271" t="n">
        <v>0</v>
      </c>
      <c r="K271" t="n">
        <v>0</v>
      </c>
      <c r="L271" t="n">
        <v>0</v>
      </c>
      <c r="M271" t="n">
        <v>0</v>
      </c>
      <c r="N271" t="n">
        <v>0</v>
      </c>
      <c r="O271" t="n">
        <v>0</v>
      </c>
      <c r="P271" t="n">
        <v>0</v>
      </c>
      <c r="Q271" t="n">
        <v>0</v>
      </c>
      <c r="R271" s="2" t="inlineStr"/>
    </row>
    <row r="272" ht="15" customHeight="1">
      <c r="A272" t="inlineStr">
        <is>
          <t>A 30429-2024</t>
        </is>
      </c>
      <c r="B272" s="1" t="n">
        <v>45491.68972222223</v>
      </c>
      <c r="C272" s="1" t="n">
        <v>45890</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42832-2023</t>
        </is>
      </c>
      <c r="B273" s="1" t="n">
        <v>45182.38091435185</v>
      </c>
      <c r="C273" s="1" t="n">
        <v>45890</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56560-2023</t>
        </is>
      </c>
      <c r="B274" s="1" t="n">
        <v>45238</v>
      </c>
      <c r="C274" s="1" t="n">
        <v>45890</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52412-2023</t>
        </is>
      </c>
      <c r="B275" s="1" t="n">
        <v>45225.27888888889</v>
      </c>
      <c r="C275" s="1" t="n">
        <v>45890</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52413-2023</t>
        </is>
      </c>
      <c r="B276" s="1" t="n">
        <v>45225.27950231481</v>
      </c>
      <c r="C276" s="1" t="n">
        <v>45890</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7354-2025</t>
        </is>
      </c>
      <c r="B277" s="1" t="n">
        <v>45704.41174768518</v>
      </c>
      <c r="C277" s="1" t="n">
        <v>45890</v>
      </c>
      <c r="D277" t="inlineStr">
        <is>
          <t>ÖSTERGÖTLANDS LÄN</t>
        </is>
      </c>
      <c r="E277" t="inlineStr">
        <is>
          <t>LINKÖPING</t>
        </is>
      </c>
      <c r="G277" t="n">
        <v>4.8</v>
      </c>
      <c r="H277" t="n">
        <v>0</v>
      </c>
      <c r="I277" t="n">
        <v>0</v>
      </c>
      <c r="J277" t="n">
        <v>0</v>
      </c>
      <c r="K277" t="n">
        <v>0</v>
      </c>
      <c r="L277" t="n">
        <v>0</v>
      </c>
      <c r="M277" t="n">
        <v>0</v>
      </c>
      <c r="N277" t="n">
        <v>0</v>
      </c>
      <c r="O277" t="n">
        <v>0</v>
      </c>
      <c r="P277" t="n">
        <v>0</v>
      </c>
      <c r="Q277" t="n">
        <v>0</v>
      </c>
      <c r="R277" s="2" t="inlineStr"/>
    </row>
    <row r="278" ht="15" customHeight="1">
      <c r="A278" t="inlineStr">
        <is>
          <t>A 672-2024</t>
        </is>
      </c>
      <c r="B278" s="1" t="n">
        <v>45300</v>
      </c>
      <c r="C278" s="1" t="n">
        <v>45890</v>
      </c>
      <c r="D278" t="inlineStr">
        <is>
          <t>ÖSTERGÖTLANDS LÄN</t>
        </is>
      </c>
      <c r="E278" t="inlineStr">
        <is>
          <t>LINKÖPING</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55493-2021</t>
        </is>
      </c>
      <c r="B279" s="1" t="n">
        <v>44475.61988425926</v>
      </c>
      <c r="C279" s="1" t="n">
        <v>45890</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30435-2024</t>
        </is>
      </c>
      <c r="B280" s="1" t="n">
        <v>45491.69962962963</v>
      </c>
      <c r="C280" s="1" t="n">
        <v>45890</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4927-2021</t>
        </is>
      </c>
      <c r="B281" s="1" t="n">
        <v>44227.57215277778</v>
      </c>
      <c r="C281" s="1" t="n">
        <v>45890</v>
      </c>
      <c r="D281" t="inlineStr">
        <is>
          <t>ÖSTERGÖTLANDS LÄN</t>
        </is>
      </c>
      <c r="E281" t="inlineStr">
        <is>
          <t>LINKÖPING</t>
        </is>
      </c>
      <c r="G281" t="n">
        <v>0.3</v>
      </c>
      <c r="H281" t="n">
        <v>0</v>
      </c>
      <c r="I281" t="n">
        <v>0</v>
      </c>
      <c r="J281" t="n">
        <v>0</v>
      </c>
      <c r="K281" t="n">
        <v>0</v>
      </c>
      <c r="L281" t="n">
        <v>0</v>
      </c>
      <c r="M281" t="n">
        <v>0</v>
      </c>
      <c r="N281" t="n">
        <v>0</v>
      </c>
      <c r="O281" t="n">
        <v>0</v>
      </c>
      <c r="P281" t="n">
        <v>0</v>
      </c>
      <c r="Q281" t="n">
        <v>0</v>
      </c>
      <c r="R281" s="2" t="inlineStr"/>
    </row>
    <row r="282" ht="15" customHeight="1">
      <c r="A282" t="inlineStr">
        <is>
          <t>A 38231-2022</t>
        </is>
      </c>
      <c r="B282" s="1" t="n">
        <v>44812</v>
      </c>
      <c r="C282" s="1" t="n">
        <v>45890</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34557-2022</t>
        </is>
      </c>
      <c r="B283" s="1" t="n">
        <v>44794.57074074074</v>
      </c>
      <c r="C283" s="1" t="n">
        <v>45890</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13011-2022</t>
        </is>
      </c>
      <c r="B284" s="1" t="n">
        <v>44643</v>
      </c>
      <c r="C284" s="1" t="n">
        <v>45890</v>
      </c>
      <c r="D284" t="inlineStr">
        <is>
          <t>ÖSTERGÖTLANDS LÄN</t>
        </is>
      </c>
      <c r="E284" t="inlineStr">
        <is>
          <t>LINKÖPING</t>
        </is>
      </c>
      <c r="G284" t="n">
        <v>3.7</v>
      </c>
      <c r="H284" t="n">
        <v>0</v>
      </c>
      <c r="I284" t="n">
        <v>0</v>
      </c>
      <c r="J284" t="n">
        <v>0</v>
      </c>
      <c r="K284" t="n">
        <v>0</v>
      </c>
      <c r="L284" t="n">
        <v>0</v>
      </c>
      <c r="M284" t="n">
        <v>0</v>
      </c>
      <c r="N284" t="n">
        <v>0</v>
      </c>
      <c r="O284" t="n">
        <v>0</v>
      </c>
      <c r="P284" t="n">
        <v>0</v>
      </c>
      <c r="Q284" t="n">
        <v>0</v>
      </c>
      <c r="R284" s="2" t="inlineStr"/>
    </row>
    <row r="285" ht="15" customHeight="1">
      <c r="A285" t="inlineStr">
        <is>
          <t>A 14093-2024</t>
        </is>
      </c>
      <c r="B285" s="1" t="n">
        <v>45392.60278935185</v>
      </c>
      <c r="C285" s="1" t="n">
        <v>45890</v>
      </c>
      <c r="D285" t="inlineStr">
        <is>
          <t>ÖSTERGÖTLANDS LÄN</t>
        </is>
      </c>
      <c r="E285" t="inlineStr">
        <is>
          <t>LINKÖPING</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62019-2024</t>
        </is>
      </c>
      <c r="B286" s="1" t="n">
        <v>45655.82</v>
      </c>
      <c r="C286" s="1" t="n">
        <v>45890</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10253-2022</t>
        </is>
      </c>
      <c r="B287" s="1" t="n">
        <v>44622</v>
      </c>
      <c r="C287" s="1" t="n">
        <v>45890</v>
      </c>
      <c r="D287" t="inlineStr">
        <is>
          <t>ÖSTERGÖTLANDS LÄN</t>
        </is>
      </c>
      <c r="E287" t="inlineStr">
        <is>
          <t>LINKÖPING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25119-2023</t>
        </is>
      </c>
      <c r="B288" s="1" t="n">
        <v>45086.42326388889</v>
      </c>
      <c r="C288" s="1" t="n">
        <v>45890</v>
      </c>
      <c r="D288" t="inlineStr">
        <is>
          <t>ÖSTERGÖTLANDS LÄN</t>
        </is>
      </c>
      <c r="E288" t="inlineStr">
        <is>
          <t>LINKÖPING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617-2024</t>
        </is>
      </c>
      <c r="B289" s="1" t="n">
        <v>45299.66028935185</v>
      </c>
      <c r="C289" s="1" t="n">
        <v>45890</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57396-2021</t>
        </is>
      </c>
      <c r="B290" s="1" t="n">
        <v>44483.56151620371</v>
      </c>
      <c r="C290" s="1" t="n">
        <v>45890</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51571-2024</t>
        </is>
      </c>
      <c r="B291" s="1" t="n">
        <v>45604</v>
      </c>
      <c r="C291" s="1" t="n">
        <v>45890</v>
      </c>
      <c r="D291" t="inlineStr">
        <is>
          <t>ÖSTERGÖTLANDS LÄN</t>
        </is>
      </c>
      <c r="E291" t="inlineStr">
        <is>
          <t>LINKÖPING</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17143-2025</t>
        </is>
      </c>
      <c r="B292" s="1" t="n">
        <v>45755.92731481481</v>
      </c>
      <c r="C292" s="1" t="n">
        <v>45890</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55945-2024</t>
        </is>
      </c>
      <c r="B293" s="1" t="n">
        <v>45623.61754629629</v>
      </c>
      <c r="C293" s="1" t="n">
        <v>45890</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19362-2023</t>
        </is>
      </c>
      <c r="B294" s="1" t="n">
        <v>45049</v>
      </c>
      <c r="C294" s="1" t="n">
        <v>45890</v>
      </c>
      <c r="D294" t="inlineStr">
        <is>
          <t>ÖSTERGÖTLANDS LÄN</t>
        </is>
      </c>
      <c r="E294" t="inlineStr">
        <is>
          <t>LINKÖPING</t>
        </is>
      </c>
      <c r="G294" t="n">
        <v>0.1</v>
      </c>
      <c r="H294" t="n">
        <v>0</v>
      </c>
      <c r="I294" t="n">
        <v>0</v>
      </c>
      <c r="J294" t="n">
        <v>0</v>
      </c>
      <c r="K294" t="n">
        <v>0</v>
      </c>
      <c r="L294" t="n">
        <v>0</v>
      </c>
      <c r="M294" t="n">
        <v>0</v>
      </c>
      <c r="N294" t="n">
        <v>0</v>
      </c>
      <c r="O294" t="n">
        <v>0</v>
      </c>
      <c r="P294" t="n">
        <v>0</v>
      </c>
      <c r="Q294" t="n">
        <v>0</v>
      </c>
      <c r="R294" s="2" t="inlineStr"/>
    </row>
    <row r="295" ht="15" customHeight="1">
      <c r="A295" t="inlineStr">
        <is>
          <t>A 34928-2023</t>
        </is>
      </c>
      <c r="B295" s="1" t="n">
        <v>45142</v>
      </c>
      <c r="C295" s="1" t="n">
        <v>45890</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1263-2024</t>
        </is>
      </c>
      <c r="B296" s="1" t="n">
        <v>45302</v>
      </c>
      <c r="C296" s="1" t="n">
        <v>45890</v>
      </c>
      <c r="D296" t="inlineStr">
        <is>
          <t>ÖSTERGÖTLANDS LÄN</t>
        </is>
      </c>
      <c r="E296" t="inlineStr">
        <is>
          <t>LINKÖPING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52531-2023</t>
        </is>
      </c>
      <c r="B297" s="1" t="n">
        <v>45225</v>
      </c>
      <c r="C297" s="1" t="n">
        <v>45890</v>
      </c>
      <c r="D297" t="inlineStr">
        <is>
          <t>ÖSTERGÖTLANDS LÄN</t>
        </is>
      </c>
      <c r="E297" t="inlineStr">
        <is>
          <t>LINKÖPING</t>
        </is>
      </c>
      <c r="F297" t="inlineStr">
        <is>
          <t>Övriga Aktiebolag</t>
        </is>
      </c>
      <c r="G297" t="n">
        <v>1</v>
      </c>
      <c r="H297" t="n">
        <v>0</v>
      </c>
      <c r="I297" t="n">
        <v>0</v>
      </c>
      <c r="J297" t="n">
        <v>0</v>
      </c>
      <c r="K297" t="n">
        <v>0</v>
      </c>
      <c r="L297" t="n">
        <v>0</v>
      </c>
      <c r="M297" t="n">
        <v>0</v>
      </c>
      <c r="N297" t="n">
        <v>0</v>
      </c>
      <c r="O297" t="n">
        <v>0</v>
      </c>
      <c r="P297" t="n">
        <v>0</v>
      </c>
      <c r="Q297" t="n">
        <v>0</v>
      </c>
      <c r="R297" s="2" t="inlineStr"/>
    </row>
    <row r="298" ht="15" customHeight="1">
      <c r="A298" t="inlineStr">
        <is>
          <t>A 17124-2025</t>
        </is>
      </c>
      <c r="B298" s="1" t="n">
        <v>45755.69678240741</v>
      </c>
      <c r="C298" s="1" t="n">
        <v>45890</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17126-2025</t>
        </is>
      </c>
      <c r="B299" s="1" t="n">
        <v>45755.70814814815</v>
      </c>
      <c r="C299" s="1" t="n">
        <v>45890</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19132-2023</t>
        </is>
      </c>
      <c r="B300" s="1" t="n">
        <v>45048.54754629629</v>
      </c>
      <c r="C300" s="1" t="n">
        <v>45890</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31640-2023</t>
        </is>
      </c>
      <c r="B301" s="1" t="n">
        <v>45117</v>
      </c>
      <c r="C301" s="1" t="n">
        <v>45890</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20291-2025</t>
        </is>
      </c>
      <c r="B302" s="1" t="n">
        <v>45774.74288194445</v>
      </c>
      <c r="C302" s="1" t="n">
        <v>45890</v>
      </c>
      <c r="D302" t="inlineStr">
        <is>
          <t>ÖSTERGÖTLANDS LÄN</t>
        </is>
      </c>
      <c r="E302" t="inlineStr">
        <is>
          <t>LINKÖPING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20293-2025</t>
        </is>
      </c>
      <c r="B303" s="1" t="n">
        <v>45774.74611111111</v>
      </c>
      <c r="C303" s="1" t="n">
        <v>45890</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46980-2020</t>
        </is>
      </c>
      <c r="B304" s="1" t="n">
        <v>44090</v>
      </c>
      <c r="C304" s="1" t="n">
        <v>45890</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31635-2023</t>
        </is>
      </c>
      <c r="B305" s="1" t="n">
        <v>45105</v>
      </c>
      <c r="C305" s="1" t="n">
        <v>45890</v>
      </c>
      <c r="D305" t="inlineStr">
        <is>
          <t>ÖSTERGÖTLANDS LÄN</t>
        </is>
      </c>
      <c r="E305" t="inlineStr">
        <is>
          <t>LINKÖPING</t>
        </is>
      </c>
      <c r="F305" t="inlineStr">
        <is>
          <t>Övriga statliga verk och myndigheter</t>
        </is>
      </c>
      <c r="G305" t="n">
        <v>4.6</v>
      </c>
      <c r="H305" t="n">
        <v>0</v>
      </c>
      <c r="I305" t="n">
        <v>0</v>
      </c>
      <c r="J305" t="n">
        <v>0</v>
      </c>
      <c r="K305" t="n">
        <v>0</v>
      </c>
      <c r="L305" t="n">
        <v>0</v>
      </c>
      <c r="M305" t="n">
        <v>0</v>
      </c>
      <c r="N305" t="n">
        <v>0</v>
      </c>
      <c r="O305" t="n">
        <v>0</v>
      </c>
      <c r="P305" t="n">
        <v>0</v>
      </c>
      <c r="Q305" t="n">
        <v>0</v>
      </c>
      <c r="R305" s="2" t="inlineStr"/>
    </row>
    <row r="306" ht="15" customHeight="1">
      <c r="A306" t="inlineStr">
        <is>
          <t>A 54846-2024</t>
        </is>
      </c>
      <c r="B306" s="1" t="n">
        <v>45618</v>
      </c>
      <c r="C306" s="1" t="n">
        <v>45890</v>
      </c>
      <c r="D306" t="inlineStr">
        <is>
          <t>ÖSTERGÖTLANDS LÄN</t>
        </is>
      </c>
      <c r="E306" t="inlineStr">
        <is>
          <t>LINKÖPING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20296-2025</t>
        </is>
      </c>
      <c r="B307" s="1" t="n">
        <v>45774.74922453704</v>
      </c>
      <c r="C307" s="1" t="n">
        <v>45890</v>
      </c>
      <c r="D307" t="inlineStr">
        <is>
          <t>ÖSTERGÖTLANDS LÄN</t>
        </is>
      </c>
      <c r="E307" t="inlineStr">
        <is>
          <t>LINKÖPING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67129-2020</t>
        </is>
      </c>
      <c r="B308" s="1" t="n">
        <v>44180</v>
      </c>
      <c r="C308" s="1" t="n">
        <v>45890</v>
      </c>
      <c r="D308" t="inlineStr">
        <is>
          <t>ÖSTERGÖTLANDS LÄN</t>
        </is>
      </c>
      <c r="E308" t="inlineStr">
        <is>
          <t>LINKÖPING</t>
        </is>
      </c>
      <c r="F308" t="inlineStr">
        <is>
          <t>Övriga statliga verk och myndigheter</t>
        </is>
      </c>
      <c r="G308" t="n">
        <v>2.7</v>
      </c>
      <c r="H308" t="n">
        <v>0</v>
      </c>
      <c r="I308" t="n">
        <v>0</v>
      </c>
      <c r="J308" t="n">
        <v>0</v>
      </c>
      <c r="K308" t="n">
        <v>0</v>
      </c>
      <c r="L308" t="n">
        <v>0</v>
      </c>
      <c r="M308" t="n">
        <v>0</v>
      </c>
      <c r="N308" t="n">
        <v>0</v>
      </c>
      <c r="O308" t="n">
        <v>0</v>
      </c>
      <c r="P308" t="n">
        <v>0</v>
      </c>
      <c r="Q308" t="n">
        <v>0</v>
      </c>
      <c r="R308" s="2" t="inlineStr"/>
    </row>
    <row r="309" ht="15" customHeight="1">
      <c r="A309" t="inlineStr">
        <is>
          <t>A 22770-2024</t>
        </is>
      </c>
      <c r="B309" s="1" t="n">
        <v>45448.4634375</v>
      </c>
      <c r="C309" s="1" t="n">
        <v>45890</v>
      </c>
      <c r="D309" t="inlineStr">
        <is>
          <t>ÖSTERGÖTLANDS LÄN</t>
        </is>
      </c>
      <c r="E309" t="inlineStr">
        <is>
          <t>LINKÖPING</t>
        </is>
      </c>
      <c r="F309" t="inlineStr">
        <is>
          <t>Sveaskog</t>
        </is>
      </c>
      <c r="G309" t="n">
        <v>3.4</v>
      </c>
      <c r="H309" t="n">
        <v>0</v>
      </c>
      <c r="I309" t="n">
        <v>0</v>
      </c>
      <c r="J309" t="n">
        <v>0</v>
      </c>
      <c r="K309" t="n">
        <v>0</v>
      </c>
      <c r="L309" t="n">
        <v>0</v>
      </c>
      <c r="M309" t="n">
        <v>0</v>
      </c>
      <c r="N309" t="n">
        <v>0</v>
      </c>
      <c r="O309" t="n">
        <v>0</v>
      </c>
      <c r="P309" t="n">
        <v>0</v>
      </c>
      <c r="Q309" t="n">
        <v>0</v>
      </c>
      <c r="R309" s="2" t="inlineStr"/>
    </row>
    <row r="310" ht="15" customHeight="1">
      <c r="A310" t="inlineStr">
        <is>
          <t>A 47991-2023</t>
        </is>
      </c>
      <c r="B310" s="1" t="n">
        <v>45204.62655092592</v>
      </c>
      <c r="C310" s="1" t="n">
        <v>45890</v>
      </c>
      <c r="D310" t="inlineStr">
        <is>
          <t>ÖSTERGÖTLANDS LÄN</t>
        </is>
      </c>
      <c r="E310" t="inlineStr">
        <is>
          <t>LINKÖPING</t>
        </is>
      </c>
      <c r="F310" t="inlineStr">
        <is>
          <t>Allmännings- och besparingsskogar</t>
        </is>
      </c>
      <c r="G310" t="n">
        <v>7.3</v>
      </c>
      <c r="H310" t="n">
        <v>0</v>
      </c>
      <c r="I310" t="n">
        <v>0</v>
      </c>
      <c r="J310" t="n">
        <v>0</v>
      </c>
      <c r="K310" t="n">
        <v>0</v>
      </c>
      <c r="L310" t="n">
        <v>0</v>
      </c>
      <c r="M310" t="n">
        <v>0</v>
      </c>
      <c r="N310" t="n">
        <v>0</v>
      </c>
      <c r="O310" t="n">
        <v>0</v>
      </c>
      <c r="P310" t="n">
        <v>0</v>
      </c>
      <c r="Q310" t="n">
        <v>0</v>
      </c>
      <c r="R310" s="2" t="inlineStr"/>
    </row>
    <row r="311" ht="15" customHeight="1">
      <c r="A311" t="inlineStr">
        <is>
          <t>A 11790-2024</t>
        </is>
      </c>
      <c r="B311" s="1" t="n">
        <v>45374</v>
      </c>
      <c r="C311" s="1" t="n">
        <v>45890</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61281-2021</t>
        </is>
      </c>
      <c r="B312" s="1" t="n">
        <v>44498.60736111111</v>
      </c>
      <c r="C312" s="1" t="n">
        <v>45890</v>
      </c>
      <c r="D312" t="inlineStr">
        <is>
          <t>ÖSTERGÖTLANDS LÄN</t>
        </is>
      </c>
      <c r="E312" t="inlineStr">
        <is>
          <t>LINKÖPING</t>
        </is>
      </c>
      <c r="G312" t="n">
        <v>4.5</v>
      </c>
      <c r="H312" t="n">
        <v>0</v>
      </c>
      <c r="I312" t="n">
        <v>0</v>
      </c>
      <c r="J312" t="n">
        <v>0</v>
      </c>
      <c r="K312" t="n">
        <v>0</v>
      </c>
      <c r="L312" t="n">
        <v>0</v>
      </c>
      <c r="M312" t="n">
        <v>0</v>
      </c>
      <c r="N312" t="n">
        <v>0</v>
      </c>
      <c r="O312" t="n">
        <v>0</v>
      </c>
      <c r="P312" t="n">
        <v>0</v>
      </c>
      <c r="Q312" t="n">
        <v>0</v>
      </c>
      <c r="R312" s="2" t="inlineStr"/>
    </row>
    <row r="313" ht="15" customHeight="1">
      <c r="A313" t="inlineStr">
        <is>
          <t>A 11595-2025</t>
        </is>
      </c>
      <c r="B313" s="1" t="n">
        <v>45727.41893518518</v>
      </c>
      <c r="C313" s="1" t="n">
        <v>45890</v>
      </c>
      <c r="D313" t="inlineStr">
        <is>
          <t>ÖSTERGÖTLANDS LÄN</t>
        </is>
      </c>
      <c r="E313" t="inlineStr">
        <is>
          <t>LINKÖPING</t>
        </is>
      </c>
      <c r="G313" t="n">
        <v>6.6</v>
      </c>
      <c r="H313" t="n">
        <v>0</v>
      </c>
      <c r="I313" t="n">
        <v>0</v>
      </c>
      <c r="J313" t="n">
        <v>0</v>
      </c>
      <c r="K313" t="n">
        <v>0</v>
      </c>
      <c r="L313" t="n">
        <v>0</v>
      </c>
      <c r="M313" t="n">
        <v>0</v>
      </c>
      <c r="N313" t="n">
        <v>0</v>
      </c>
      <c r="O313" t="n">
        <v>0</v>
      </c>
      <c r="P313" t="n">
        <v>0</v>
      </c>
      <c r="Q313" t="n">
        <v>0</v>
      </c>
      <c r="R313" s="2" t="inlineStr"/>
    </row>
    <row r="314" ht="15" customHeight="1">
      <c r="A314" t="inlineStr">
        <is>
          <t>A 3041-2024</t>
        </is>
      </c>
      <c r="B314" s="1" t="n">
        <v>45316.34875</v>
      </c>
      <c r="C314" s="1" t="n">
        <v>45890</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3043-2024</t>
        </is>
      </c>
      <c r="B315" s="1" t="n">
        <v>45316</v>
      </c>
      <c r="C315" s="1" t="n">
        <v>45890</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50963-2021</t>
        </is>
      </c>
      <c r="B316" s="1" t="n">
        <v>44460</v>
      </c>
      <c r="C316" s="1" t="n">
        <v>45890</v>
      </c>
      <c r="D316" t="inlineStr">
        <is>
          <t>ÖSTERGÖTLANDS LÄN</t>
        </is>
      </c>
      <c r="E316" t="inlineStr">
        <is>
          <t>LINKÖPING</t>
        </is>
      </c>
      <c r="G316" t="n">
        <v>4.4</v>
      </c>
      <c r="H316" t="n">
        <v>0</v>
      </c>
      <c r="I316" t="n">
        <v>0</v>
      </c>
      <c r="J316" t="n">
        <v>0</v>
      </c>
      <c r="K316" t="n">
        <v>0</v>
      </c>
      <c r="L316" t="n">
        <v>0</v>
      </c>
      <c r="M316" t="n">
        <v>0</v>
      </c>
      <c r="N316" t="n">
        <v>0</v>
      </c>
      <c r="O316" t="n">
        <v>0</v>
      </c>
      <c r="P316" t="n">
        <v>0</v>
      </c>
      <c r="Q316" t="n">
        <v>0</v>
      </c>
      <c r="R316" s="2" t="inlineStr"/>
    </row>
    <row r="317" ht="15" customHeight="1">
      <c r="A317" t="inlineStr">
        <is>
          <t>A 61307-2021</t>
        </is>
      </c>
      <c r="B317" s="1" t="n">
        <v>44498.63928240741</v>
      </c>
      <c r="C317" s="1" t="n">
        <v>45890</v>
      </c>
      <c r="D317" t="inlineStr">
        <is>
          <t>ÖSTERGÖTLANDS LÄN</t>
        </is>
      </c>
      <c r="E317" t="inlineStr">
        <is>
          <t>LINKÖPING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61325-2021</t>
        </is>
      </c>
      <c r="B318" s="1" t="n">
        <v>44498.66814814815</v>
      </c>
      <c r="C318" s="1" t="n">
        <v>45890</v>
      </c>
      <c r="D318" t="inlineStr">
        <is>
          <t>ÖSTERGÖTLANDS LÄN</t>
        </is>
      </c>
      <c r="E318" t="inlineStr">
        <is>
          <t>LINKÖPING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63665-2023</t>
        </is>
      </c>
      <c r="B319" s="1" t="n">
        <v>45275</v>
      </c>
      <c r="C319" s="1" t="n">
        <v>45890</v>
      </c>
      <c r="D319" t="inlineStr">
        <is>
          <t>ÖSTERGÖTLANDS LÄN</t>
        </is>
      </c>
      <c r="E319" t="inlineStr">
        <is>
          <t>LINKÖPING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6206-2024</t>
        </is>
      </c>
      <c r="B320" s="1" t="n">
        <v>45337.5977662037</v>
      </c>
      <c r="C320" s="1" t="n">
        <v>45890</v>
      </c>
      <c r="D320" t="inlineStr">
        <is>
          <t>ÖSTERGÖTLANDS LÄN</t>
        </is>
      </c>
      <c r="E320" t="inlineStr">
        <is>
          <t>LINKÖPING</t>
        </is>
      </c>
      <c r="G320" t="n">
        <v>2</v>
      </c>
      <c r="H320" t="n">
        <v>0</v>
      </c>
      <c r="I320" t="n">
        <v>0</v>
      </c>
      <c r="J320" t="n">
        <v>0</v>
      </c>
      <c r="K320" t="n">
        <v>0</v>
      </c>
      <c r="L320" t="n">
        <v>0</v>
      </c>
      <c r="M320" t="n">
        <v>0</v>
      </c>
      <c r="N320" t="n">
        <v>0</v>
      </c>
      <c r="O320" t="n">
        <v>0</v>
      </c>
      <c r="P320" t="n">
        <v>0</v>
      </c>
      <c r="Q320" t="n">
        <v>0</v>
      </c>
      <c r="R320" s="2" t="inlineStr"/>
    </row>
    <row r="321" ht="15" customHeight="1">
      <c r="A321" t="inlineStr">
        <is>
          <t>A 48839-2022</t>
        </is>
      </c>
      <c r="B321" s="1" t="n">
        <v>44859</v>
      </c>
      <c r="C321" s="1" t="n">
        <v>45890</v>
      </c>
      <c r="D321" t="inlineStr">
        <is>
          <t>ÖSTERGÖTLANDS LÄN</t>
        </is>
      </c>
      <c r="E321" t="inlineStr">
        <is>
          <t>LINKÖPING</t>
        </is>
      </c>
      <c r="F321" t="inlineStr">
        <is>
          <t>Övriga Aktiebolag</t>
        </is>
      </c>
      <c r="G321" t="n">
        <v>0.6</v>
      </c>
      <c r="H321" t="n">
        <v>0</v>
      </c>
      <c r="I321" t="n">
        <v>0</v>
      </c>
      <c r="J321" t="n">
        <v>0</v>
      </c>
      <c r="K321" t="n">
        <v>0</v>
      </c>
      <c r="L321" t="n">
        <v>0</v>
      </c>
      <c r="M321" t="n">
        <v>0</v>
      </c>
      <c r="N321" t="n">
        <v>0</v>
      </c>
      <c r="O321" t="n">
        <v>0</v>
      </c>
      <c r="P321" t="n">
        <v>0</v>
      </c>
      <c r="Q321" t="n">
        <v>0</v>
      </c>
      <c r="R321" s="2" t="inlineStr"/>
    </row>
    <row r="322" ht="15" customHeight="1">
      <c r="A322" t="inlineStr">
        <is>
          <t>A 33867-2023</t>
        </is>
      </c>
      <c r="B322" s="1" t="n">
        <v>45133.94640046296</v>
      </c>
      <c r="C322" s="1" t="n">
        <v>45890</v>
      </c>
      <c r="D322" t="inlineStr">
        <is>
          <t>ÖSTERGÖTLANDS LÄN</t>
        </is>
      </c>
      <c r="E322" t="inlineStr">
        <is>
          <t>LINKÖPING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8967-2025</t>
        </is>
      </c>
      <c r="B323" s="1" t="n">
        <v>45712</v>
      </c>
      <c r="C323" s="1" t="n">
        <v>45890</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168-2024</t>
        </is>
      </c>
      <c r="B324" s="1" t="n">
        <v>45294</v>
      </c>
      <c r="C324" s="1" t="n">
        <v>45890</v>
      </c>
      <c r="D324" t="inlineStr">
        <is>
          <t>ÖSTERGÖTLANDS LÄN</t>
        </is>
      </c>
      <c r="E324" t="inlineStr">
        <is>
          <t>LINKÖPING</t>
        </is>
      </c>
      <c r="F324" t="inlineStr">
        <is>
          <t>Allmännings- och besparingsskogar</t>
        </is>
      </c>
      <c r="G324" t="n">
        <v>8.9</v>
      </c>
      <c r="H324" t="n">
        <v>0</v>
      </c>
      <c r="I324" t="n">
        <v>0</v>
      </c>
      <c r="J324" t="n">
        <v>0</v>
      </c>
      <c r="K324" t="n">
        <v>0</v>
      </c>
      <c r="L324" t="n">
        <v>0</v>
      </c>
      <c r="M324" t="n">
        <v>0</v>
      </c>
      <c r="N324" t="n">
        <v>0</v>
      </c>
      <c r="O324" t="n">
        <v>0</v>
      </c>
      <c r="P324" t="n">
        <v>0</v>
      </c>
      <c r="Q324" t="n">
        <v>0</v>
      </c>
      <c r="R324" s="2" t="inlineStr"/>
    </row>
    <row r="325" ht="15" customHeight="1">
      <c r="A325" t="inlineStr">
        <is>
          <t>A 51919-2024</t>
        </is>
      </c>
      <c r="B325" s="1" t="n">
        <v>45607.60791666667</v>
      </c>
      <c r="C325" s="1" t="n">
        <v>45890</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56623-2024</t>
        </is>
      </c>
      <c r="B326" s="1" t="n">
        <v>45625</v>
      </c>
      <c r="C326" s="1" t="n">
        <v>45890</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42413-2020</t>
        </is>
      </c>
      <c r="B327" s="1" t="n">
        <v>44076</v>
      </c>
      <c r="C327" s="1" t="n">
        <v>45890</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11330-2023</t>
        </is>
      </c>
      <c r="B328" s="1" t="n">
        <v>44993.24648148148</v>
      </c>
      <c r="C328" s="1" t="n">
        <v>45890</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63304-2021</t>
        </is>
      </c>
      <c r="B329" s="1" t="n">
        <v>44508.4396412037</v>
      </c>
      <c r="C329" s="1" t="n">
        <v>45890</v>
      </c>
      <c r="D329" t="inlineStr">
        <is>
          <t>ÖSTERGÖTLANDS LÄN</t>
        </is>
      </c>
      <c r="E329" t="inlineStr">
        <is>
          <t>LINKÖPING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63678-2023</t>
        </is>
      </c>
      <c r="B330" s="1" t="n">
        <v>45275.64769675926</v>
      </c>
      <c r="C330" s="1" t="n">
        <v>45890</v>
      </c>
      <c r="D330" t="inlineStr">
        <is>
          <t>ÖSTERGÖTLANDS LÄN</t>
        </is>
      </c>
      <c r="E330" t="inlineStr">
        <is>
          <t>LINKÖPING</t>
        </is>
      </c>
      <c r="F330" t="inlineStr">
        <is>
          <t>Övriga Aktiebolag</t>
        </is>
      </c>
      <c r="G330" t="n">
        <v>0.4</v>
      </c>
      <c r="H330" t="n">
        <v>0</v>
      </c>
      <c r="I330" t="n">
        <v>0</v>
      </c>
      <c r="J330" t="n">
        <v>0</v>
      </c>
      <c r="K330" t="n">
        <v>0</v>
      </c>
      <c r="L330" t="n">
        <v>0</v>
      </c>
      <c r="M330" t="n">
        <v>0</v>
      </c>
      <c r="N330" t="n">
        <v>0</v>
      </c>
      <c r="O330" t="n">
        <v>0</v>
      </c>
      <c r="P330" t="n">
        <v>0</v>
      </c>
      <c r="Q330" t="n">
        <v>0</v>
      </c>
      <c r="R330" s="2" t="inlineStr"/>
    </row>
    <row r="331" ht="15" customHeight="1">
      <c r="A331" t="inlineStr">
        <is>
          <t>A 14528-2025</t>
        </is>
      </c>
      <c r="B331" s="1" t="n">
        <v>45741</v>
      </c>
      <c r="C331" s="1" t="n">
        <v>45890</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30985-2022</t>
        </is>
      </c>
      <c r="B332" s="1" t="n">
        <v>44768</v>
      </c>
      <c r="C332" s="1" t="n">
        <v>45890</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38317-2024</t>
        </is>
      </c>
      <c r="B333" s="1" t="n">
        <v>45545.65766203704</v>
      </c>
      <c r="C333" s="1" t="n">
        <v>45890</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44389-2020</t>
        </is>
      </c>
      <c r="B334" s="1" t="n">
        <v>44084</v>
      </c>
      <c r="C334" s="1" t="n">
        <v>45890</v>
      </c>
      <c r="D334" t="inlineStr">
        <is>
          <t>ÖSTERGÖTLANDS LÄN</t>
        </is>
      </c>
      <c r="E334" t="inlineStr">
        <is>
          <t>LINKÖPING</t>
        </is>
      </c>
      <c r="G334" t="n">
        <v>4.7</v>
      </c>
      <c r="H334" t="n">
        <v>0</v>
      </c>
      <c r="I334" t="n">
        <v>0</v>
      </c>
      <c r="J334" t="n">
        <v>0</v>
      </c>
      <c r="K334" t="n">
        <v>0</v>
      </c>
      <c r="L334" t="n">
        <v>0</v>
      </c>
      <c r="M334" t="n">
        <v>0</v>
      </c>
      <c r="N334" t="n">
        <v>0</v>
      </c>
      <c r="O334" t="n">
        <v>0</v>
      </c>
      <c r="P334" t="n">
        <v>0</v>
      </c>
      <c r="Q334" t="n">
        <v>0</v>
      </c>
      <c r="R334" s="2" t="inlineStr"/>
    </row>
    <row r="335" ht="15" customHeight="1">
      <c r="A335" t="inlineStr">
        <is>
          <t>A 3530-2024</t>
        </is>
      </c>
      <c r="B335" s="1" t="n">
        <v>45320.54717592592</v>
      </c>
      <c r="C335" s="1" t="n">
        <v>45890</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62073-2023</t>
        </is>
      </c>
      <c r="B336" s="1" t="n">
        <v>45266.73844907407</v>
      </c>
      <c r="C336" s="1" t="n">
        <v>45890</v>
      </c>
      <c r="D336" t="inlineStr">
        <is>
          <t>ÖSTERGÖTLANDS LÄN</t>
        </is>
      </c>
      <c r="E336" t="inlineStr">
        <is>
          <t>LINKÖPING</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5872-2025</t>
        </is>
      </c>
      <c r="B337" s="1" t="n">
        <v>45695.36659722222</v>
      </c>
      <c r="C337" s="1" t="n">
        <v>45890</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1844-2025</t>
        </is>
      </c>
      <c r="B338" s="1" t="n">
        <v>45671.57730324074</v>
      </c>
      <c r="C338" s="1" t="n">
        <v>45890</v>
      </c>
      <c r="D338" t="inlineStr">
        <is>
          <t>ÖSTERGÖTLANDS LÄN</t>
        </is>
      </c>
      <c r="E338" t="inlineStr">
        <is>
          <t>LINKÖPING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53814-2023</t>
        </is>
      </c>
      <c r="B339" s="1" t="n">
        <v>45231</v>
      </c>
      <c r="C339" s="1" t="n">
        <v>45890</v>
      </c>
      <c r="D339" t="inlineStr">
        <is>
          <t>ÖSTERGÖTLANDS LÄN</t>
        </is>
      </c>
      <c r="E339" t="inlineStr">
        <is>
          <t>LINKÖPING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3432-2023</t>
        </is>
      </c>
      <c r="B340" s="1" t="n">
        <v>44949</v>
      </c>
      <c r="C340" s="1" t="n">
        <v>45890</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54425-2022</t>
        </is>
      </c>
      <c r="B341" s="1" t="n">
        <v>44882.57453703704</v>
      </c>
      <c r="C341" s="1" t="n">
        <v>45890</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54428-2022</t>
        </is>
      </c>
      <c r="B342" s="1" t="n">
        <v>44882.57643518518</v>
      </c>
      <c r="C342" s="1" t="n">
        <v>45890</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21165-2025</t>
        </is>
      </c>
      <c r="B343" s="1" t="n">
        <v>45779.39417824074</v>
      </c>
      <c r="C343" s="1" t="n">
        <v>45890</v>
      </c>
      <c r="D343" t="inlineStr">
        <is>
          <t>ÖSTERGÖTLANDS LÄN</t>
        </is>
      </c>
      <c r="E343" t="inlineStr">
        <is>
          <t>LINKÖPING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21155-2025</t>
        </is>
      </c>
      <c r="B344" s="1" t="n">
        <v>45779.37586805555</v>
      </c>
      <c r="C344" s="1" t="n">
        <v>45890</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58947-2022</t>
        </is>
      </c>
      <c r="B345" s="1" t="n">
        <v>44903.64769675926</v>
      </c>
      <c r="C345" s="1" t="n">
        <v>45890</v>
      </c>
      <c r="D345" t="inlineStr">
        <is>
          <t>ÖSTERGÖTLANDS LÄN</t>
        </is>
      </c>
      <c r="E345" t="inlineStr">
        <is>
          <t>LINKÖPING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21154-2025</t>
        </is>
      </c>
      <c r="B346" s="1" t="n">
        <v>45779.36340277778</v>
      </c>
      <c r="C346" s="1" t="n">
        <v>45890</v>
      </c>
      <c r="D346" t="inlineStr">
        <is>
          <t>ÖSTERGÖTLANDS LÄN</t>
        </is>
      </c>
      <c r="E346" t="inlineStr">
        <is>
          <t>LINKÖPING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16665-2023</t>
        </is>
      </c>
      <c r="B347" s="1" t="n">
        <v>45030.5583912037</v>
      </c>
      <c r="C347" s="1" t="n">
        <v>45890</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660-2023</t>
        </is>
      </c>
      <c r="B348" s="1" t="n">
        <v>44930</v>
      </c>
      <c r="C348" s="1" t="n">
        <v>45890</v>
      </c>
      <c r="D348" t="inlineStr">
        <is>
          <t>ÖSTERGÖTLANDS LÄN</t>
        </is>
      </c>
      <c r="E348" t="inlineStr">
        <is>
          <t>LINKÖPING</t>
        </is>
      </c>
      <c r="F348" t="inlineStr">
        <is>
          <t>Kyrkan</t>
        </is>
      </c>
      <c r="G348" t="n">
        <v>1.6</v>
      </c>
      <c r="H348" t="n">
        <v>0</v>
      </c>
      <c r="I348" t="n">
        <v>0</v>
      </c>
      <c r="J348" t="n">
        <v>0</v>
      </c>
      <c r="K348" t="n">
        <v>0</v>
      </c>
      <c r="L348" t="n">
        <v>0</v>
      </c>
      <c r="M348" t="n">
        <v>0</v>
      </c>
      <c r="N348" t="n">
        <v>0</v>
      </c>
      <c r="O348" t="n">
        <v>0</v>
      </c>
      <c r="P348" t="n">
        <v>0</v>
      </c>
      <c r="Q348" t="n">
        <v>0</v>
      </c>
      <c r="R348" s="2" t="inlineStr"/>
    </row>
    <row r="349" ht="15" customHeight="1">
      <c r="A349" t="inlineStr">
        <is>
          <t>A 62501-2023</t>
        </is>
      </c>
      <c r="B349" s="1" t="n">
        <v>45268</v>
      </c>
      <c r="C349" s="1" t="n">
        <v>45890</v>
      </c>
      <c r="D349" t="inlineStr">
        <is>
          <t>ÖSTERGÖTLANDS LÄN</t>
        </is>
      </c>
      <c r="E349" t="inlineStr">
        <is>
          <t>LINKÖPING</t>
        </is>
      </c>
      <c r="G349" t="n">
        <v>7.4</v>
      </c>
      <c r="H349" t="n">
        <v>0</v>
      </c>
      <c r="I349" t="n">
        <v>0</v>
      </c>
      <c r="J349" t="n">
        <v>0</v>
      </c>
      <c r="K349" t="n">
        <v>0</v>
      </c>
      <c r="L349" t="n">
        <v>0</v>
      </c>
      <c r="M349" t="n">
        <v>0</v>
      </c>
      <c r="N349" t="n">
        <v>0</v>
      </c>
      <c r="O349" t="n">
        <v>0</v>
      </c>
      <c r="P349" t="n">
        <v>0</v>
      </c>
      <c r="Q349" t="n">
        <v>0</v>
      </c>
      <c r="R349" s="2" t="inlineStr"/>
    </row>
    <row r="350" ht="15" customHeight="1">
      <c r="A350" t="inlineStr">
        <is>
          <t>A 13413-2023</t>
        </is>
      </c>
      <c r="B350" s="1" t="n">
        <v>45005.58341435185</v>
      </c>
      <c r="C350" s="1" t="n">
        <v>45890</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26620-2023</t>
        </is>
      </c>
      <c r="B351" s="1" t="n">
        <v>45092.70390046296</v>
      </c>
      <c r="C351" s="1" t="n">
        <v>45890</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59948-2022</t>
        </is>
      </c>
      <c r="B352" s="1" t="n">
        <v>44909</v>
      </c>
      <c r="C352" s="1" t="n">
        <v>45890</v>
      </c>
      <c r="D352" t="inlineStr">
        <is>
          <t>ÖSTERGÖTLANDS LÄN</t>
        </is>
      </c>
      <c r="E352" t="inlineStr">
        <is>
          <t>LINKÖPING</t>
        </is>
      </c>
      <c r="G352" t="n">
        <v>6.7</v>
      </c>
      <c r="H352" t="n">
        <v>0</v>
      </c>
      <c r="I352" t="n">
        <v>0</v>
      </c>
      <c r="J352" t="n">
        <v>0</v>
      </c>
      <c r="K352" t="n">
        <v>0</v>
      </c>
      <c r="L352" t="n">
        <v>0</v>
      </c>
      <c r="M352" t="n">
        <v>0</v>
      </c>
      <c r="N352" t="n">
        <v>0</v>
      </c>
      <c r="O352" t="n">
        <v>0</v>
      </c>
      <c r="P352" t="n">
        <v>0</v>
      </c>
      <c r="Q352" t="n">
        <v>0</v>
      </c>
      <c r="R352" s="2" t="inlineStr"/>
    </row>
    <row r="353" ht="15" customHeight="1">
      <c r="A353" t="inlineStr">
        <is>
          <t>A 60001-2022</t>
        </is>
      </c>
      <c r="B353" s="1" t="n">
        <v>44909.47087962963</v>
      </c>
      <c r="C353" s="1" t="n">
        <v>45890</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60013-2022</t>
        </is>
      </c>
      <c r="B354" s="1" t="n">
        <v>44909.47482638889</v>
      </c>
      <c r="C354" s="1" t="n">
        <v>45890</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1211-2023</t>
        </is>
      </c>
      <c r="B355" s="1" t="n">
        <v>44930</v>
      </c>
      <c r="C355" s="1" t="n">
        <v>45890</v>
      </c>
      <c r="D355" t="inlineStr">
        <is>
          <t>ÖSTERGÖTLANDS LÄN</t>
        </is>
      </c>
      <c r="E355" t="inlineStr">
        <is>
          <t>LINKÖPING</t>
        </is>
      </c>
      <c r="F355" t="inlineStr">
        <is>
          <t>Övriga statliga verk och myndigheter</t>
        </is>
      </c>
      <c r="G355" t="n">
        <v>7.9</v>
      </c>
      <c r="H355" t="n">
        <v>0</v>
      </c>
      <c r="I355" t="n">
        <v>0</v>
      </c>
      <c r="J355" t="n">
        <v>0</v>
      </c>
      <c r="K355" t="n">
        <v>0</v>
      </c>
      <c r="L355" t="n">
        <v>0</v>
      </c>
      <c r="M355" t="n">
        <v>0</v>
      </c>
      <c r="N355" t="n">
        <v>0</v>
      </c>
      <c r="O355" t="n">
        <v>0</v>
      </c>
      <c r="P355" t="n">
        <v>0</v>
      </c>
      <c r="Q355" t="n">
        <v>0</v>
      </c>
      <c r="R355" s="2" t="inlineStr"/>
    </row>
    <row r="356" ht="15" customHeight="1">
      <c r="A356" t="inlineStr">
        <is>
          <t>A 44535-2020</t>
        </is>
      </c>
      <c r="B356" s="1" t="n">
        <v>44085</v>
      </c>
      <c r="C356" s="1" t="n">
        <v>45890</v>
      </c>
      <c r="D356" t="inlineStr">
        <is>
          <t>ÖSTERGÖTLANDS LÄN</t>
        </is>
      </c>
      <c r="E356" t="inlineStr">
        <is>
          <t>LINKÖPING</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62374-2020</t>
        </is>
      </c>
      <c r="B357" s="1" t="n">
        <v>44159</v>
      </c>
      <c r="C357" s="1" t="n">
        <v>45890</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38136-2023</t>
        </is>
      </c>
      <c r="B358" s="1" t="n">
        <v>45161.37310185185</v>
      </c>
      <c r="C358" s="1" t="n">
        <v>45890</v>
      </c>
      <c r="D358" t="inlineStr">
        <is>
          <t>ÖSTERGÖTLANDS LÄN</t>
        </is>
      </c>
      <c r="E358" t="inlineStr">
        <is>
          <t>LINKÖPING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16462-2021</t>
        </is>
      </c>
      <c r="B359" s="1" t="n">
        <v>44293</v>
      </c>
      <c r="C359" s="1" t="n">
        <v>45890</v>
      </c>
      <c r="D359" t="inlineStr">
        <is>
          <t>ÖSTERGÖTLANDS LÄN</t>
        </is>
      </c>
      <c r="E359" t="inlineStr">
        <is>
          <t>LINKÖPING</t>
        </is>
      </c>
      <c r="F359" t="inlineStr">
        <is>
          <t>Allmännings- och besparingsskogar</t>
        </is>
      </c>
      <c r="G359" t="n">
        <v>24.7</v>
      </c>
      <c r="H359" t="n">
        <v>0</v>
      </c>
      <c r="I359" t="n">
        <v>0</v>
      </c>
      <c r="J359" t="n">
        <v>0</v>
      </c>
      <c r="K359" t="n">
        <v>0</v>
      </c>
      <c r="L359" t="n">
        <v>0</v>
      </c>
      <c r="M359" t="n">
        <v>0</v>
      </c>
      <c r="N359" t="n">
        <v>0</v>
      </c>
      <c r="O359" t="n">
        <v>0</v>
      </c>
      <c r="P359" t="n">
        <v>0</v>
      </c>
      <c r="Q359" t="n">
        <v>0</v>
      </c>
      <c r="R359" s="2" t="inlineStr"/>
    </row>
    <row r="360" ht="15" customHeight="1">
      <c r="A360" t="inlineStr">
        <is>
          <t>A 22264-2025</t>
        </is>
      </c>
      <c r="B360" s="1" t="n">
        <v>45785</v>
      </c>
      <c r="C360" s="1" t="n">
        <v>45890</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9473-2024</t>
        </is>
      </c>
      <c r="B361" s="1" t="n">
        <v>45359.55474537037</v>
      </c>
      <c r="C361" s="1" t="n">
        <v>45890</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6859-2024</t>
        </is>
      </c>
      <c r="B362" s="1" t="n">
        <v>45342</v>
      </c>
      <c r="C362" s="1" t="n">
        <v>45890</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44287-2024</t>
        </is>
      </c>
      <c r="B363" s="1" t="n">
        <v>45573.50582175926</v>
      </c>
      <c r="C363" s="1" t="n">
        <v>45890</v>
      </c>
      <c r="D363" t="inlineStr">
        <is>
          <t>ÖSTERGÖTLANDS LÄN</t>
        </is>
      </c>
      <c r="E363" t="inlineStr">
        <is>
          <t>LINKÖPING</t>
        </is>
      </c>
      <c r="G363" t="n">
        <v>12.7</v>
      </c>
      <c r="H363" t="n">
        <v>0</v>
      </c>
      <c r="I363" t="n">
        <v>0</v>
      </c>
      <c r="J363" t="n">
        <v>0</v>
      </c>
      <c r="K363" t="n">
        <v>0</v>
      </c>
      <c r="L363" t="n">
        <v>0</v>
      </c>
      <c r="M363" t="n">
        <v>0</v>
      </c>
      <c r="N363" t="n">
        <v>0</v>
      </c>
      <c r="O363" t="n">
        <v>0</v>
      </c>
      <c r="P363" t="n">
        <v>0</v>
      </c>
      <c r="Q363" t="n">
        <v>0</v>
      </c>
      <c r="R363" s="2" t="inlineStr"/>
    </row>
    <row r="364" ht="15" customHeight="1">
      <c r="A364" t="inlineStr">
        <is>
          <t>A 12317-2025</t>
        </is>
      </c>
      <c r="B364" s="1" t="n">
        <v>45729.8487037037</v>
      </c>
      <c r="C364" s="1" t="n">
        <v>45890</v>
      </c>
      <c r="D364" t="inlineStr">
        <is>
          <t>ÖSTERGÖTLANDS LÄN</t>
        </is>
      </c>
      <c r="E364" t="inlineStr">
        <is>
          <t>LINKÖPING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63554-2023</t>
        </is>
      </c>
      <c r="B365" s="1" t="n">
        <v>45275</v>
      </c>
      <c r="C365" s="1" t="n">
        <v>45890</v>
      </c>
      <c r="D365" t="inlineStr">
        <is>
          <t>ÖSTERGÖTLANDS LÄN</t>
        </is>
      </c>
      <c r="E365" t="inlineStr">
        <is>
          <t>LINKÖPING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36557-2023</t>
        </is>
      </c>
      <c r="B366" s="1" t="n">
        <v>45153</v>
      </c>
      <c r="C366" s="1" t="n">
        <v>45890</v>
      </c>
      <c r="D366" t="inlineStr">
        <is>
          <t>ÖSTERGÖTLANDS LÄN</t>
        </is>
      </c>
      <c r="E366" t="inlineStr">
        <is>
          <t>LINKÖPING</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22364-2025</t>
        </is>
      </c>
      <c r="B367" s="1" t="n">
        <v>45786.46930555555</v>
      </c>
      <c r="C367" s="1" t="n">
        <v>45890</v>
      </c>
      <c r="D367" t="inlineStr">
        <is>
          <t>ÖSTERGÖTLANDS LÄN</t>
        </is>
      </c>
      <c r="E367" t="inlineStr">
        <is>
          <t>LINKÖPING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2085-2024</t>
        </is>
      </c>
      <c r="B368" s="1" t="n">
        <v>45309</v>
      </c>
      <c r="C368" s="1" t="n">
        <v>45890</v>
      </c>
      <c r="D368" t="inlineStr">
        <is>
          <t>ÖSTERGÖTLANDS LÄN</t>
        </is>
      </c>
      <c r="E368" t="inlineStr">
        <is>
          <t>LINKÖPING</t>
        </is>
      </c>
      <c r="G368" t="n">
        <v>4.5</v>
      </c>
      <c r="H368" t="n">
        <v>0</v>
      </c>
      <c r="I368" t="n">
        <v>0</v>
      </c>
      <c r="J368" t="n">
        <v>0</v>
      </c>
      <c r="K368" t="n">
        <v>0</v>
      </c>
      <c r="L368" t="n">
        <v>0</v>
      </c>
      <c r="M368" t="n">
        <v>0</v>
      </c>
      <c r="N368" t="n">
        <v>0</v>
      </c>
      <c r="O368" t="n">
        <v>0</v>
      </c>
      <c r="P368" t="n">
        <v>0</v>
      </c>
      <c r="Q368" t="n">
        <v>0</v>
      </c>
      <c r="R368" s="2" t="inlineStr"/>
    </row>
    <row r="369" ht="15" customHeight="1">
      <c r="A369" t="inlineStr">
        <is>
          <t>A 63638-2023</t>
        </is>
      </c>
      <c r="B369" s="1" t="n">
        <v>45275</v>
      </c>
      <c r="C369" s="1" t="n">
        <v>45890</v>
      </c>
      <c r="D369" t="inlineStr">
        <is>
          <t>ÖSTERGÖTLANDS LÄN</t>
        </is>
      </c>
      <c r="E369" t="inlineStr">
        <is>
          <t>LINKÖPING</t>
        </is>
      </c>
      <c r="F369" t="inlineStr">
        <is>
          <t>Övriga Aktiebolag</t>
        </is>
      </c>
      <c r="G369" t="n">
        <v>2.4</v>
      </c>
      <c r="H369" t="n">
        <v>0</v>
      </c>
      <c r="I369" t="n">
        <v>0</v>
      </c>
      <c r="J369" t="n">
        <v>0</v>
      </c>
      <c r="K369" t="n">
        <v>0</v>
      </c>
      <c r="L369" t="n">
        <v>0</v>
      </c>
      <c r="M369" t="n">
        <v>0</v>
      </c>
      <c r="N369" t="n">
        <v>0</v>
      </c>
      <c r="O369" t="n">
        <v>0</v>
      </c>
      <c r="P369" t="n">
        <v>0</v>
      </c>
      <c r="Q369" t="n">
        <v>0</v>
      </c>
      <c r="R369" s="2" t="inlineStr"/>
    </row>
    <row r="370" ht="15" customHeight="1">
      <c r="A370" t="inlineStr">
        <is>
          <t>A 63658-2023</t>
        </is>
      </c>
      <c r="B370" s="1" t="n">
        <v>45275</v>
      </c>
      <c r="C370" s="1" t="n">
        <v>45890</v>
      </c>
      <c r="D370" t="inlineStr">
        <is>
          <t>ÖSTERGÖTLANDS LÄN</t>
        </is>
      </c>
      <c r="E370" t="inlineStr">
        <is>
          <t>LINKÖPING</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30468-2023</t>
        </is>
      </c>
      <c r="B371" s="1" t="n">
        <v>45111.58732638889</v>
      </c>
      <c r="C371" s="1" t="n">
        <v>45890</v>
      </c>
      <c r="D371" t="inlineStr">
        <is>
          <t>ÖSTERGÖTLANDS LÄN</t>
        </is>
      </c>
      <c r="E371" t="inlineStr">
        <is>
          <t>LINKÖPING</t>
        </is>
      </c>
      <c r="G371" t="n">
        <v>10.1</v>
      </c>
      <c r="H371" t="n">
        <v>0</v>
      </c>
      <c r="I371" t="n">
        <v>0</v>
      </c>
      <c r="J371" t="n">
        <v>0</v>
      </c>
      <c r="K371" t="n">
        <v>0</v>
      </c>
      <c r="L371" t="n">
        <v>0</v>
      </c>
      <c r="M371" t="n">
        <v>0</v>
      </c>
      <c r="N371" t="n">
        <v>0</v>
      </c>
      <c r="O371" t="n">
        <v>0</v>
      </c>
      <c r="P371" t="n">
        <v>0</v>
      </c>
      <c r="Q371" t="n">
        <v>0</v>
      </c>
      <c r="R371" s="2" t="inlineStr"/>
    </row>
    <row r="372" ht="15" customHeight="1">
      <c r="A372" t="inlineStr">
        <is>
          <t>A 47364-2020</t>
        </is>
      </c>
      <c r="B372" s="1" t="n">
        <v>44097</v>
      </c>
      <c r="C372" s="1" t="n">
        <v>45890</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38715-2023</t>
        </is>
      </c>
      <c r="B373" s="1" t="n">
        <v>45160</v>
      </c>
      <c r="C373" s="1" t="n">
        <v>45890</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572-2025</t>
        </is>
      </c>
      <c r="B374" s="1" t="n">
        <v>45664.56349537037</v>
      </c>
      <c r="C374" s="1" t="n">
        <v>45890</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10797-2024</t>
        </is>
      </c>
      <c r="B375" s="1" t="n">
        <v>45369.6190162037</v>
      </c>
      <c r="C375" s="1" t="n">
        <v>45890</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16820-2024</t>
        </is>
      </c>
      <c r="B376" s="1" t="n">
        <v>45411.46809027778</v>
      </c>
      <c r="C376" s="1" t="n">
        <v>45890</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4456-2024</t>
        </is>
      </c>
      <c r="B377" s="1" t="n">
        <v>45327.52847222222</v>
      </c>
      <c r="C377" s="1" t="n">
        <v>45890</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38580-2024</t>
        </is>
      </c>
      <c r="B378" s="1" t="n">
        <v>45546.64825231482</v>
      </c>
      <c r="C378" s="1" t="n">
        <v>45890</v>
      </c>
      <c r="D378" t="inlineStr">
        <is>
          <t>ÖSTERGÖTLANDS LÄN</t>
        </is>
      </c>
      <c r="E378" t="inlineStr">
        <is>
          <t>LINKÖPING</t>
        </is>
      </c>
      <c r="G378" t="n">
        <v>4.8</v>
      </c>
      <c r="H378" t="n">
        <v>0</v>
      </c>
      <c r="I378" t="n">
        <v>0</v>
      </c>
      <c r="J378" t="n">
        <v>0</v>
      </c>
      <c r="K378" t="n">
        <v>0</v>
      </c>
      <c r="L378" t="n">
        <v>0</v>
      </c>
      <c r="M378" t="n">
        <v>0</v>
      </c>
      <c r="N378" t="n">
        <v>0</v>
      </c>
      <c r="O378" t="n">
        <v>0</v>
      </c>
      <c r="P378" t="n">
        <v>0</v>
      </c>
      <c r="Q378" t="n">
        <v>0</v>
      </c>
      <c r="R378" s="2" t="inlineStr"/>
    </row>
    <row r="379" ht="15" customHeight="1">
      <c r="A379" t="inlineStr">
        <is>
          <t>A 57752-2023</t>
        </is>
      </c>
      <c r="B379" s="1" t="n">
        <v>45246.78474537037</v>
      </c>
      <c r="C379" s="1" t="n">
        <v>45890</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20298-2025</t>
        </is>
      </c>
      <c r="B380" s="1" t="n">
        <v>45774.75024305555</v>
      </c>
      <c r="C380" s="1" t="n">
        <v>45890</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34864-2023</t>
        </is>
      </c>
      <c r="B381" s="1" t="n">
        <v>45141</v>
      </c>
      <c r="C381" s="1" t="n">
        <v>45890</v>
      </c>
      <c r="D381" t="inlineStr">
        <is>
          <t>ÖSTERGÖTLANDS LÄN</t>
        </is>
      </c>
      <c r="E381" t="inlineStr">
        <is>
          <t>LINKÖPING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15121-2022</t>
        </is>
      </c>
      <c r="B382" s="1" t="n">
        <v>44658</v>
      </c>
      <c r="C382" s="1" t="n">
        <v>45890</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50743-2023</t>
        </is>
      </c>
      <c r="B383" s="1" t="n">
        <v>45217</v>
      </c>
      <c r="C383" s="1" t="n">
        <v>45890</v>
      </c>
      <c r="D383" t="inlineStr">
        <is>
          <t>ÖSTERGÖTLANDS LÄN</t>
        </is>
      </c>
      <c r="E383" t="inlineStr">
        <is>
          <t>LINKÖPING</t>
        </is>
      </c>
      <c r="G383" t="n">
        <v>2.7</v>
      </c>
      <c r="H383" t="n">
        <v>0</v>
      </c>
      <c r="I383" t="n">
        <v>0</v>
      </c>
      <c r="J383" t="n">
        <v>0</v>
      </c>
      <c r="K383" t="n">
        <v>0</v>
      </c>
      <c r="L383" t="n">
        <v>0</v>
      </c>
      <c r="M383" t="n">
        <v>0</v>
      </c>
      <c r="N383" t="n">
        <v>0</v>
      </c>
      <c r="O383" t="n">
        <v>0</v>
      </c>
      <c r="P383" t="n">
        <v>0</v>
      </c>
      <c r="Q383" t="n">
        <v>0</v>
      </c>
      <c r="R383" s="2" t="inlineStr"/>
    </row>
    <row r="384" ht="15" customHeight="1">
      <c r="A384" t="inlineStr">
        <is>
          <t>A 1440-2021</t>
        </is>
      </c>
      <c r="B384" s="1" t="n">
        <v>44208</v>
      </c>
      <c r="C384" s="1" t="n">
        <v>45890</v>
      </c>
      <c r="D384" t="inlineStr">
        <is>
          <t>ÖSTERGÖTLANDS LÄN</t>
        </is>
      </c>
      <c r="E384" t="inlineStr">
        <is>
          <t>LINKÖPING</t>
        </is>
      </c>
      <c r="G384" t="n">
        <v>8.4</v>
      </c>
      <c r="H384" t="n">
        <v>0</v>
      </c>
      <c r="I384" t="n">
        <v>0</v>
      </c>
      <c r="J384" t="n">
        <v>0</v>
      </c>
      <c r="K384" t="n">
        <v>0</v>
      </c>
      <c r="L384" t="n">
        <v>0</v>
      </c>
      <c r="M384" t="n">
        <v>0</v>
      </c>
      <c r="N384" t="n">
        <v>0</v>
      </c>
      <c r="O384" t="n">
        <v>0</v>
      </c>
      <c r="P384" t="n">
        <v>0</v>
      </c>
      <c r="Q384" t="n">
        <v>0</v>
      </c>
      <c r="R384" s="2" t="inlineStr"/>
    </row>
    <row r="385" ht="15" customHeight="1">
      <c r="A385" t="inlineStr">
        <is>
          <t>A 46687-2021</t>
        </is>
      </c>
      <c r="B385" s="1" t="n">
        <v>44445</v>
      </c>
      <c r="C385" s="1" t="n">
        <v>45890</v>
      </c>
      <c r="D385" t="inlineStr">
        <is>
          <t>ÖSTERGÖTLANDS LÄN</t>
        </is>
      </c>
      <c r="E385" t="inlineStr">
        <is>
          <t>LINKÖPING</t>
        </is>
      </c>
      <c r="F385" t="inlineStr">
        <is>
          <t>Övriga statliga verk och myndigheter</t>
        </is>
      </c>
      <c r="G385" t="n">
        <v>2.3</v>
      </c>
      <c r="H385" t="n">
        <v>0</v>
      </c>
      <c r="I385" t="n">
        <v>0</v>
      </c>
      <c r="J385" t="n">
        <v>0</v>
      </c>
      <c r="K385" t="n">
        <v>0</v>
      </c>
      <c r="L385" t="n">
        <v>0</v>
      </c>
      <c r="M385" t="n">
        <v>0</v>
      </c>
      <c r="N385" t="n">
        <v>0</v>
      </c>
      <c r="O385" t="n">
        <v>0</v>
      </c>
      <c r="P385" t="n">
        <v>0</v>
      </c>
      <c r="Q385" t="n">
        <v>0</v>
      </c>
      <c r="R385" s="2" t="inlineStr"/>
    </row>
    <row r="386" ht="15" customHeight="1">
      <c r="A386" t="inlineStr">
        <is>
          <t>A 13687-2025</t>
        </is>
      </c>
      <c r="B386" s="1" t="n">
        <v>45737.31425925926</v>
      </c>
      <c r="C386" s="1" t="n">
        <v>45890</v>
      </c>
      <c r="D386" t="inlineStr">
        <is>
          <t>ÖSTERGÖTLANDS LÄN</t>
        </is>
      </c>
      <c r="E386" t="inlineStr">
        <is>
          <t>LINKÖPING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13688-2025</t>
        </is>
      </c>
      <c r="B387" s="1" t="n">
        <v>45737.3153125</v>
      </c>
      <c r="C387" s="1" t="n">
        <v>45890</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13695-2025</t>
        </is>
      </c>
      <c r="B388" s="1" t="n">
        <v>45737.32219907407</v>
      </c>
      <c r="C388" s="1" t="n">
        <v>45890</v>
      </c>
      <c r="D388" t="inlineStr">
        <is>
          <t>ÖSTERGÖTLANDS LÄN</t>
        </is>
      </c>
      <c r="E388" t="inlineStr">
        <is>
          <t>LINKÖPING</t>
        </is>
      </c>
      <c r="G388" t="n">
        <v>5.3</v>
      </c>
      <c r="H388" t="n">
        <v>0</v>
      </c>
      <c r="I388" t="n">
        <v>0</v>
      </c>
      <c r="J388" t="n">
        <v>0</v>
      </c>
      <c r="K388" t="n">
        <v>0</v>
      </c>
      <c r="L388" t="n">
        <v>0</v>
      </c>
      <c r="M388" t="n">
        <v>0</v>
      </c>
      <c r="N388" t="n">
        <v>0</v>
      </c>
      <c r="O388" t="n">
        <v>0</v>
      </c>
      <c r="P388" t="n">
        <v>0</v>
      </c>
      <c r="Q388" t="n">
        <v>0</v>
      </c>
      <c r="R388" s="2" t="inlineStr"/>
    </row>
    <row r="389" ht="15" customHeight="1">
      <c r="A389" t="inlineStr">
        <is>
          <t>A 17103-2025</t>
        </is>
      </c>
      <c r="B389" s="1" t="n">
        <v>45755.66143518518</v>
      </c>
      <c r="C389" s="1" t="n">
        <v>45890</v>
      </c>
      <c r="D389" t="inlineStr">
        <is>
          <t>ÖSTERGÖTLANDS LÄN</t>
        </is>
      </c>
      <c r="E389" t="inlineStr">
        <is>
          <t>LINKÖPING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20294-2025</t>
        </is>
      </c>
      <c r="B390" s="1" t="n">
        <v>45774.74667824074</v>
      </c>
      <c r="C390" s="1" t="n">
        <v>45890</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17128-2025</t>
        </is>
      </c>
      <c r="B391" s="1" t="n">
        <v>45755.72622685185</v>
      </c>
      <c r="C391" s="1" t="n">
        <v>45890</v>
      </c>
      <c r="D391" t="inlineStr">
        <is>
          <t>ÖSTERGÖTLANDS LÄN</t>
        </is>
      </c>
      <c r="E391" t="inlineStr">
        <is>
          <t>LINKÖPING</t>
        </is>
      </c>
      <c r="G391" t="n">
        <v>2.9</v>
      </c>
      <c r="H391" t="n">
        <v>0</v>
      </c>
      <c r="I391" t="n">
        <v>0</v>
      </c>
      <c r="J391" t="n">
        <v>0</v>
      </c>
      <c r="K391" t="n">
        <v>0</v>
      </c>
      <c r="L391" t="n">
        <v>0</v>
      </c>
      <c r="M391" t="n">
        <v>0</v>
      </c>
      <c r="N391" t="n">
        <v>0</v>
      </c>
      <c r="O391" t="n">
        <v>0</v>
      </c>
      <c r="P391" t="n">
        <v>0</v>
      </c>
      <c r="Q391" t="n">
        <v>0</v>
      </c>
      <c r="R391" s="2" t="inlineStr"/>
    </row>
    <row r="392" ht="15" customHeight="1">
      <c r="A392" t="inlineStr">
        <is>
          <t>A 52125-2022</t>
        </is>
      </c>
      <c r="B392" s="1" t="n">
        <v>44873</v>
      </c>
      <c r="C392" s="1" t="n">
        <v>45890</v>
      </c>
      <c r="D392" t="inlineStr">
        <is>
          <t>ÖSTERGÖTLANDS LÄN</t>
        </is>
      </c>
      <c r="E392" t="inlineStr">
        <is>
          <t>LINKÖPING</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40618-2021</t>
        </is>
      </c>
      <c r="B393" s="1" t="n">
        <v>44420.49575231481</v>
      </c>
      <c r="C393" s="1" t="n">
        <v>45890</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56180-2024</t>
        </is>
      </c>
      <c r="B394" s="1" t="n">
        <v>45624.56611111111</v>
      </c>
      <c r="C394" s="1" t="n">
        <v>45890</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27343-2023</t>
        </is>
      </c>
      <c r="B395" s="1" t="n">
        <v>45096</v>
      </c>
      <c r="C395" s="1" t="n">
        <v>45890</v>
      </c>
      <c r="D395" t="inlineStr">
        <is>
          <t>ÖSTERGÖTLANDS LÄN</t>
        </is>
      </c>
      <c r="E395" t="inlineStr">
        <is>
          <t>LINKÖPING</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row>
    <row r="396" ht="15" customHeight="1">
      <c r="A396" t="inlineStr">
        <is>
          <t>A 30471-2023</t>
        </is>
      </c>
      <c r="B396" s="1" t="n">
        <v>45111.58931712963</v>
      </c>
      <c r="C396" s="1" t="n">
        <v>45890</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22842-2023</t>
        </is>
      </c>
      <c r="B397" s="1" t="n">
        <v>45071</v>
      </c>
      <c r="C397" s="1" t="n">
        <v>45890</v>
      </c>
      <c r="D397" t="inlineStr">
        <is>
          <t>ÖSTERGÖTLANDS LÄN</t>
        </is>
      </c>
      <c r="E397" t="inlineStr">
        <is>
          <t>LINKÖPING</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227-2024</t>
        </is>
      </c>
      <c r="B398" s="1" t="n">
        <v>45294.73603009259</v>
      </c>
      <c r="C398" s="1" t="n">
        <v>45890</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29312-2024</t>
        </is>
      </c>
      <c r="B399" s="1" t="n">
        <v>45483</v>
      </c>
      <c r="C399" s="1" t="n">
        <v>45890</v>
      </c>
      <c r="D399" t="inlineStr">
        <is>
          <t>ÖSTERGÖTLANDS LÄN</t>
        </is>
      </c>
      <c r="E399" t="inlineStr">
        <is>
          <t>LINKÖPING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23120-2025</t>
        </is>
      </c>
      <c r="B400" s="1" t="n">
        <v>45791.37481481482</v>
      </c>
      <c r="C400" s="1" t="n">
        <v>45890</v>
      </c>
      <c r="D400" t="inlineStr">
        <is>
          <t>ÖSTERGÖTLANDS LÄN</t>
        </is>
      </c>
      <c r="E400" t="inlineStr">
        <is>
          <t>LINKÖPING</t>
        </is>
      </c>
      <c r="G400" t="n">
        <v>2.9</v>
      </c>
      <c r="H400" t="n">
        <v>0</v>
      </c>
      <c r="I400" t="n">
        <v>0</v>
      </c>
      <c r="J400" t="n">
        <v>0</v>
      </c>
      <c r="K400" t="n">
        <v>0</v>
      </c>
      <c r="L400" t="n">
        <v>0</v>
      </c>
      <c r="M400" t="n">
        <v>0</v>
      </c>
      <c r="N400" t="n">
        <v>0</v>
      </c>
      <c r="O400" t="n">
        <v>0</v>
      </c>
      <c r="P400" t="n">
        <v>0</v>
      </c>
      <c r="Q400" t="n">
        <v>0</v>
      </c>
      <c r="R400" s="2" t="inlineStr"/>
    </row>
    <row r="401" ht="15" customHeight="1">
      <c r="A401" t="inlineStr">
        <is>
          <t>A 14520-2025</t>
        </is>
      </c>
      <c r="B401" s="1" t="n">
        <v>45741</v>
      </c>
      <c r="C401" s="1" t="n">
        <v>45890</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31548-2022</t>
        </is>
      </c>
      <c r="B402" s="1" t="n">
        <v>44775.39832175926</v>
      </c>
      <c r="C402" s="1" t="n">
        <v>45890</v>
      </c>
      <c r="D402" t="inlineStr">
        <is>
          <t>ÖSTERGÖTLANDS LÄN</t>
        </is>
      </c>
      <c r="E402" t="inlineStr">
        <is>
          <t>LINKÖPING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44155-2024</t>
        </is>
      </c>
      <c r="B403" s="1" t="n">
        <v>45572.68226851852</v>
      </c>
      <c r="C403" s="1" t="n">
        <v>45890</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62017-2024</t>
        </is>
      </c>
      <c r="B404" s="1" t="n">
        <v>45655.81140046296</v>
      </c>
      <c r="C404" s="1" t="n">
        <v>45890</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17785-2023</t>
        </is>
      </c>
      <c r="B405" s="1" t="n">
        <v>45037.55094907407</v>
      </c>
      <c r="C405" s="1" t="n">
        <v>45890</v>
      </c>
      <c r="D405" t="inlineStr">
        <is>
          <t>ÖSTERGÖTLANDS LÄN</t>
        </is>
      </c>
      <c r="E405" t="inlineStr">
        <is>
          <t>LINKÖPING</t>
        </is>
      </c>
      <c r="F405" t="inlineStr">
        <is>
          <t>Allmännings- och besparingsskogar</t>
        </is>
      </c>
      <c r="G405" t="n">
        <v>3.1</v>
      </c>
      <c r="H405" t="n">
        <v>0</v>
      </c>
      <c r="I405" t="n">
        <v>0</v>
      </c>
      <c r="J405" t="n">
        <v>0</v>
      </c>
      <c r="K405" t="n">
        <v>0</v>
      </c>
      <c r="L405" t="n">
        <v>0</v>
      </c>
      <c r="M405" t="n">
        <v>0</v>
      </c>
      <c r="N405" t="n">
        <v>0</v>
      </c>
      <c r="O405" t="n">
        <v>0</v>
      </c>
      <c r="P405" t="n">
        <v>0</v>
      </c>
      <c r="Q405" t="n">
        <v>0</v>
      </c>
      <c r="R405" s="2" t="inlineStr"/>
    </row>
    <row r="406" ht="15" customHeight="1">
      <c r="A406" t="inlineStr">
        <is>
          <t>A 30434-2024</t>
        </is>
      </c>
      <c r="B406" s="1" t="n">
        <v>45491.69811342593</v>
      </c>
      <c r="C406" s="1" t="n">
        <v>45890</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56917-2022</t>
        </is>
      </c>
      <c r="B407" s="1" t="n">
        <v>44894</v>
      </c>
      <c r="C407" s="1" t="n">
        <v>45890</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23768-2025</t>
        </is>
      </c>
      <c r="B408" s="1" t="n">
        <v>45793.47493055555</v>
      </c>
      <c r="C408" s="1" t="n">
        <v>45890</v>
      </c>
      <c r="D408" t="inlineStr">
        <is>
          <t>ÖSTERGÖTLANDS LÄN</t>
        </is>
      </c>
      <c r="E408" t="inlineStr">
        <is>
          <t>LINKÖPING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57766-2023</t>
        </is>
      </c>
      <c r="B409" s="1" t="n">
        <v>45246</v>
      </c>
      <c r="C409" s="1" t="n">
        <v>45890</v>
      </c>
      <c r="D409" t="inlineStr">
        <is>
          <t>ÖSTERGÖTLANDS LÄN</t>
        </is>
      </c>
      <c r="E409" t="inlineStr">
        <is>
          <t>LINKÖPING</t>
        </is>
      </c>
      <c r="F409" t="inlineStr">
        <is>
          <t>Allmännings- och besparingsskogar</t>
        </is>
      </c>
      <c r="G409" t="n">
        <v>12.8</v>
      </c>
      <c r="H409" t="n">
        <v>0</v>
      </c>
      <c r="I409" t="n">
        <v>0</v>
      </c>
      <c r="J409" t="n">
        <v>0</v>
      </c>
      <c r="K409" t="n">
        <v>0</v>
      </c>
      <c r="L409" t="n">
        <v>0</v>
      </c>
      <c r="M409" t="n">
        <v>0</v>
      </c>
      <c r="N409" t="n">
        <v>0</v>
      </c>
      <c r="O409" t="n">
        <v>0</v>
      </c>
      <c r="P409" t="n">
        <v>0</v>
      </c>
      <c r="Q409" t="n">
        <v>0</v>
      </c>
      <c r="R409" s="2" t="inlineStr"/>
    </row>
    <row r="410" ht="15" customHeight="1">
      <c r="A410" t="inlineStr">
        <is>
          <t>A 62686-2023</t>
        </is>
      </c>
      <c r="B410" s="1" t="n">
        <v>45271</v>
      </c>
      <c r="C410" s="1" t="n">
        <v>45890</v>
      </c>
      <c r="D410" t="inlineStr">
        <is>
          <t>ÖSTERGÖTLANDS LÄN</t>
        </is>
      </c>
      <c r="E410" t="inlineStr">
        <is>
          <t>LINKÖPING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42044-2023</t>
        </is>
      </c>
      <c r="B411" s="1" t="n">
        <v>45177</v>
      </c>
      <c r="C411" s="1" t="n">
        <v>45890</v>
      </c>
      <c r="D411" t="inlineStr">
        <is>
          <t>ÖSTERGÖTLANDS LÄN</t>
        </is>
      </c>
      <c r="E411" t="inlineStr">
        <is>
          <t>LINKÖPING</t>
        </is>
      </c>
      <c r="G411" t="n">
        <v>3.9</v>
      </c>
      <c r="H411" t="n">
        <v>0</v>
      </c>
      <c r="I411" t="n">
        <v>0</v>
      </c>
      <c r="J411" t="n">
        <v>0</v>
      </c>
      <c r="K411" t="n">
        <v>0</v>
      </c>
      <c r="L411" t="n">
        <v>0</v>
      </c>
      <c r="M411" t="n">
        <v>0</v>
      </c>
      <c r="N411" t="n">
        <v>0</v>
      </c>
      <c r="O411" t="n">
        <v>0</v>
      </c>
      <c r="P411" t="n">
        <v>0</v>
      </c>
      <c r="Q411" t="n">
        <v>0</v>
      </c>
      <c r="R411" s="2" t="inlineStr"/>
    </row>
    <row r="412" ht="15" customHeight="1">
      <c r="A412" t="inlineStr">
        <is>
          <t>A 5314-2021</t>
        </is>
      </c>
      <c r="B412" s="1" t="n">
        <v>44229</v>
      </c>
      <c r="C412" s="1" t="n">
        <v>45890</v>
      </c>
      <c r="D412" t="inlineStr">
        <is>
          <t>ÖSTERGÖTLANDS LÄN</t>
        </is>
      </c>
      <c r="E412" t="inlineStr">
        <is>
          <t>LINKÖPING</t>
        </is>
      </c>
      <c r="G412" t="n">
        <v>6.2</v>
      </c>
      <c r="H412" t="n">
        <v>0</v>
      </c>
      <c r="I412" t="n">
        <v>0</v>
      </c>
      <c r="J412" t="n">
        <v>0</v>
      </c>
      <c r="K412" t="n">
        <v>0</v>
      </c>
      <c r="L412" t="n">
        <v>0</v>
      </c>
      <c r="M412" t="n">
        <v>0</v>
      </c>
      <c r="N412" t="n">
        <v>0</v>
      </c>
      <c r="O412" t="n">
        <v>0</v>
      </c>
      <c r="P412" t="n">
        <v>0</v>
      </c>
      <c r="Q412" t="n">
        <v>0</v>
      </c>
      <c r="R412" s="2" t="inlineStr"/>
    </row>
    <row r="413" ht="15" customHeight="1">
      <c r="A413" t="inlineStr">
        <is>
          <t>A 53616-2020</t>
        </is>
      </c>
      <c r="B413" s="1" t="n">
        <v>44123</v>
      </c>
      <c r="C413" s="1" t="n">
        <v>45890</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49656-2021</t>
        </is>
      </c>
      <c r="B414" s="1" t="n">
        <v>44454</v>
      </c>
      <c r="C414" s="1" t="n">
        <v>45890</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25568-2024</t>
        </is>
      </c>
      <c r="B415" s="1" t="n">
        <v>45463.58699074074</v>
      </c>
      <c r="C415" s="1" t="n">
        <v>45890</v>
      </c>
      <c r="D415" t="inlineStr">
        <is>
          <t>ÖSTERGÖTLANDS LÄN</t>
        </is>
      </c>
      <c r="E415" t="inlineStr">
        <is>
          <t>LINKÖPING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38230-2023</t>
        </is>
      </c>
      <c r="B416" s="1" t="n">
        <v>45161.55373842592</v>
      </c>
      <c r="C416" s="1" t="n">
        <v>45890</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45442-2024</t>
        </is>
      </c>
      <c r="B417" s="1" t="n">
        <v>45576.64189814815</v>
      </c>
      <c r="C417" s="1" t="n">
        <v>45890</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48699-2024</t>
        </is>
      </c>
      <c r="B418" s="1" t="n">
        <v>45593.52091435185</v>
      </c>
      <c r="C418" s="1" t="n">
        <v>45890</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4908-2023</t>
        </is>
      </c>
      <c r="B419" s="1" t="n">
        <v>44958</v>
      </c>
      <c r="C419" s="1" t="n">
        <v>45890</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42697-2020</t>
        </is>
      </c>
      <c r="B420" s="1" t="n">
        <v>44077</v>
      </c>
      <c r="C420" s="1" t="n">
        <v>45890</v>
      </c>
      <c r="D420" t="inlineStr">
        <is>
          <t>ÖSTERGÖTLANDS LÄN</t>
        </is>
      </c>
      <c r="E420" t="inlineStr">
        <is>
          <t>LINKÖPING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1265-2023</t>
        </is>
      </c>
      <c r="B421" s="1" t="n">
        <v>44936</v>
      </c>
      <c r="C421" s="1" t="n">
        <v>45890</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22833-2023</t>
        </is>
      </c>
      <c r="B422" s="1" t="n">
        <v>45071</v>
      </c>
      <c r="C422" s="1" t="n">
        <v>45890</v>
      </c>
      <c r="D422" t="inlineStr">
        <is>
          <t>ÖSTERGÖTLANDS LÄN</t>
        </is>
      </c>
      <c r="E422" t="inlineStr">
        <is>
          <t>LINKÖPING</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2997-2025</t>
        </is>
      </c>
      <c r="B423" s="1" t="n">
        <v>45678.54631944445</v>
      </c>
      <c r="C423" s="1" t="n">
        <v>45890</v>
      </c>
      <c r="D423" t="inlineStr">
        <is>
          <t>ÖSTERGÖTLANDS LÄN</t>
        </is>
      </c>
      <c r="E423" t="inlineStr">
        <is>
          <t>LINKÖPING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12411-2022</t>
        </is>
      </c>
      <c r="B424" s="1" t="n">
        <v>44638.21601851852</v>
      </c>
      <c r="C424" s="1" t="n">
        <v>45890</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41345-2021</t>
        </is>
      </c>
      <c r="B425" s="1" t="n">
        <v>44424.61851851852</v>
      </c>
      <c r="C425" s="1" t="n">
        <v>45890</v>
      </c>
      <c r="D425" t="inlineStr">
        <is>
          <t>ÖSTERGÖTLANDS LÄN</t>
        </is>
      </c>
      <c r="E425" t="inlineStr">
        <is>
          <t>LINKÖPING</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13266-2025</t>
        </is>
      </c>
      <c r="B426" s="1" t="n">
        <v>45735.53318287037</v>
      </c>
      <c r="C426" s="1" t="n">
        <v>45890</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16213-2025</t>
        </is>
      </c>
      <c r="B427" s="1" t="n">
        <v>45750.62740740741</v>
      </c>
      <c r="C427" s="1" t="n">
        <v>45890</v>
      </c>
      <c r="D427" t="inlineStr">
        <is>
          <t>ÖSTERGÖTLANDS LÄN</t>
        </is>
      </c>
      <c r="E427" t="inlineStr">
        <is>
          <t>LINKÖPING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13911-2025</t>
        </is>
      </c>
      <c r="B428" s="1" t="n">
        <v>45737.64784722222</v>
      </c>
      <c r="C428" s="1" t="n">
        <v>45890</v>
      </c>
      <c r="D428" t="inlineStr">
        <is>
          <t>ÖSTERGÖTLANDS LÄN</t>
        </is>
      </c>
      <c r="E428" t="inlineStr">
        <is>
          <t>LINKÖPING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44739-2020</t>
        </is>
      </c>
      <c r="B429" s="1" t="n">
        <v>44085</v>
      </c>
      <c r="C429" s="1" t="n">
        <v>45890</v>
      </c>
      <c r="D429" t="inlineStr">
        <is>
          <t>ÖSTERGÖTLANDS LÄN</t>
        </is>
      </c>
      <c r="E429" t="inlineStr">
        <is>
          <t>LINKÖPING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23491-2024</t>
        </is>
      </c>
      <c r="B430" s="1" t="n">
        <v>45453</v>
      </c>
      <c r="C430" s="1" t="n">
        <v>45890</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70-2024</t>
        </is>
      </c>
      <c r="B431" s="1" t="n">
        <v>45293</v>
      </c>
      <c r="C431" s="1" t="n">
        <v>45890</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6054-2022</t>
        </is>
      </c>
      <c r="B432" s="1" t="n">
        <v>44599.53623842593</v>
      </c>
      <c r="C432" s="1" t="n">
        <v>45890</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31725-2022</t>
        </is>
      </c>
      <c r="B433" s="1" t="n">
        <v>44776.48541666667</v>
      </c>
      <c r="C433" s="1" t="n">
        <v>45890</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44280-2024</t>
        </is>
      </c>
      <c r="B434" s="1" t="n">
        <v>45573.49461805556</v>
      </c>
      <c r="C434" s="1" t="n">
        <v>45890</v>
      </c>
      <c r="D434" t="inlineStr">
        <is>
          <t>ÖSTERGÖTLANDS LÄN</t>
        </is>
      </c>
      <c r="E434" t="inlineStr">
        <is>
          <t>LINKÖPING</t>
        </is>
      </c>
      <c r="G434" t="n">
        <v>5.3</v>
      </c>
      <c r="H434" t="n">
        <v>0</v>
      </c>
      <c r="I434" t="n">
        <v>0</v>
      </c>
      <c r="J434" t="n">
        <v>0</v>
      </c>
      <c r="K434" t="n">
        <v>0</v>
      </c>
      <c r="L434" t="n">
        <v>0</v>
      </c>
      <c r="M434" t="n">
        <v>0</v>
      </c>
      <c r="N434" t="n">
        <v>0</v>
      </c>
      <c r="O434" t="n">
        <v>0</v>
      </c>
      <c r="P434" t="n">
        <v>0</v>
      </c>
      <c r="Q434" t="n">
        <v>0</v>
      </c>
      <c r="R434" s="2" t="inlineStr"/>
    </row>
    <row r="435" ht="15" customHeight="1">
      <c r="A435" t="inlineStr">
        <is>
          <t>A 37683-2024</t>
        </is>
      </c>
      <c r="B435" s="1" t="n">
        <v>45541.59120370371</v>
      </c>
      <c r="C435" s="1" t="n">
        <v>45890</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72567-2021</t>
        </is>
      </c>
      <c r="B436" s="1" t="n">
        <v>44546.45023148148</v>
      </c>
      <c r="C436" s="1" t="n">
        <v>45890</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46225-2021</t>
        </is>
      </c>
      <c r="B437" s="1" t="n">
        <v>44442</v>
      </c>
      <c r="C437" s="1" t="n">
        <v>45890</v>
      </c>
      <c r="D437" t="inlineStr">
        <is>
          <t>ÖSTERGÖTLANDS LÄN</t>
        </is>
      </c>
      <c r="E437" t="inlineStr">
        <is>
          <t>LINKÖPING</t>
        </is>
      </c>
      <c r="G437" t="n">
        <v>2.9</v>
      </c>
      <c r="H437" t="n">
        <v>0</v>
      </c>
      <c r="I437" t="n">
        <v>0</v>
      </c>
      <c r="J437" t="n">
        <v>0</v>
      </c>
      <c r="K437" t="n">
        <v>0</v>
      </c>
      <c r="L437" t="n">
        <v>0</v>
      </c>
      <c r="M437" t="n">
        <v>0</v>
      </c>
      <c r="N437" t="n">
        <v>0</v>
      </c>
      <c r="O437" t="n">
        <v>0</v>
      </c>
      <c r="P437" t="n">
        <v>0</v>
      </c>
      <c r="Q437" t="n">
        <v>0</v>
      </c>
      <c r="R437" s="2" t="inlineStr"/>
    </row>
    <row r="438" ht="15" customHeight="1">
      <c r="A438" t="inlineStr">
        <is>
          <t>A 25776-2021</t>
        </is>
      </c>
      <c r="B438" s="1" t="n">
        <v>44343</v>
      </c>
      <c r="C438" s="1" t="n">
        <v>45890</v>
      </c>
      <c r="D438" t="inlineStr">
        <is>
          <t>ÖSTERGÖTLANDS LÄN</t>
        </is>
      </c>
      <c r="E438" t="inlineStr">
        <is>
          <t>LINKÖPING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51484-2023</t>
        </is>
      </c>
      <c r="B439" s="1" t="n">
        <v>45222</v>
      </c>
      <c r="C439" s="1" t="n">
        <v>45890</v>
      </c>
      <c r="D439" t="inlineStr">
        <is>
          <t>ÖSTERGÖTLANDS LÄN</t>
        </is>
      </c>
      <c r="E439" t="inlineStr">
        <is>
          <t>LINKÖPING</t>
        </is>
      </c>
      <c r="F439" t="inlineStr">
        <is>
          <t>Övriga Aktiebolag</t>
        </is>
      </c>
      <c r="G439" t="n">
        <v>7.7</v>
      </c>
      <c r="H439" t="n">
        <v>0</v>
      </c>
      <c r="I439" t="n">
        <v>0</v>
      </c>
      <c r="J439" t="n">
        <v>0</v>
      </c>
      <c r="K439" t="n">
        <v>0</v>
      </c>
      <c r="L439" t="n">
        <v>0</v>
      </c>
      <c r="M439" t="n">
        <v>0</v>
      </c>
      <c r="N439" t="n">
        <v>0</v>
      </c>
      <c r="O439" t="n">
        <v>0</v>
      </c>
      <c r="P439" t="n">
        <v>0</v>
      </c>
      <c r="Q439" t="n">
        <v>0</v>
      </c>
      <c r="R439" s="2" t="inlineStr"/>
    </row>
    <row r="440" ht="15" customHeight="1">
      <c r="A440" t="inlineStr">
        <is>
          <t>A 17898-2022</t>
        </is>
      </c>
      <c r="B440" s="1" t="n">
        <v>44683</v>
      </c>
      <c r="C440" s="1" t="n">
        <v>45890</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63487-2023</t>
        </is>
      </c>
      <c r="B441" s="1" t="n">
        <v>45274.66712962963</v>
      </c>
      <c r="C441" s="1" t="n">
        <v>45890</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35463-2023</t>
        </is>
      </c>
      <c r="B442" s="1" t="n">
        <v>45146</v>
      </c>
      <c r="C442" s="1" t="n">
        <v>45890</v>
      </c>
      <c r="D442" t="inlineStr">
        <is>
          <t>ÖSTERGÖTLANDS LÄN</t>
        </is>
      </c>
      <c r="E442" t="inlineStr">
        <is>
          <t>LINKÖPING</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57391-2023</t>
        </is>
      </c>
      <c r="B443" s="1" t="n">
        <v>45245</v>
      </c>
      <c r="C443" s="1" t="n">
        <v>45890</v>
      </c>
      <c r="D443" t="inlineStr">
        <is>
          <t>ÖSTERGÖTLANDS LÄN</t>
        </is>
      </c>
      <c r="E443" t="inlineStr">
        <is>
          <t>LINKÖPING</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25829-2025</t>
        </is>
      </c>
      <c r="B444" s="1" t="n">
        <v>45804.44505787037</v>
      </c>
      <c r="C444" s="1" t="n">
        <v>45890</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7992-2023</t>
        </is>
      </c>
      <c r="B445" s="1" t="n">
        <v>44970</v>
      </c>
      <c r="C445" s="1" t="n">
        <v>45890</v>
      </c>
      <c r="D445" t="inlineStr">
        <is>
          <t>ÖSTERGÖTLANDS LÄN</t>
        </is>
      </c>
      <c r="E445" t="inlineStr">
        <is>
          <t>LINKÖPING</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3042-2024</t>
        </is>
      </c>
      <c r="B446" s="1" t="n">
        <v>45316.35028935185</v>
      </c>
      <c r="C446" s="1" t="n">
        <v>45890</v>
      </c>
      <c r="D446" t="inlineStr">
        <is>
          <t>ÖSTERGÖTLANDS LÄN</t>
        </is>
      </c>
      <c r="E446" t="inlineStr">
        <is>
          <t>LINKÖPING</t>
        </is>
      </c>
      <c r="G446" t="n">
        <v>3.1</v>
      </c>
      <c r="H446" t="n">
        <v>0</v>
      </c>
      <c r="I446" t="n">
        <v>0</v>
      </c>
      <c r="J446" t="n">
        <v>0</v>
      </c>
      <c r="K446" t="n">
        <v>0</v>
      </c>
      <c r="L446" t="n">
        <v>0</v>
      </c>
      <c r="M446" t="n">
        <v>0</v>
      </c>
      <c r="N446" t="n">
        <v>0</v>
      </c>
      <c r="O446" t="n">
        <v>0</v>
      </c>
      <c r="P446" t="n">
        <v>0</v>
      </c>
      <c r="Q446" t="n">
        <v>0</v>
      </c>
      <c r="R446" s="2" t="inlineStr"/>
    </row>
    <row r="447" ht="15" customHeight="1">
      <c r="A447" t="inlineStr">
        <is>
          <t>A 26002-2025</t>
        </is>
      </c>
      <c r="B447" s="1" t="n">
        <v>45804.66534722222</v>
      </c>
      <c r="C447" s="1" t="n">
        <v>45890</v>
      </c>
      <c r="D447" t="inlineStr">
        <is>
          <t>ÖSTERGÖTLANDS LÄN</t>
        </is>
      </c>
      <c r="E447" t="inlineStr">
        <is>
          <t>LINKÖPING</t>
        </is>
      </c>
      <c r="G447" t="n">
        <v>2.5</v>
      </c>
      <c r="H447" t="n">
        <v>0</v>
      </c>
      <c r="I447" t="n">
        <v>0</v>
      </c>
      <c r="J447" t="n">
        <v>0</v>
      </c>
      <c r="K447" t="n">
        <v>0</v>
      </c>
      <c r="L447" t="n">
        <v>0</v>
      </c>
      <c r="M447" t="n">
        <v>0</v>
      </c>
      <c r="N447" t="n">
        <v>0</v>
      </c>
      <c r="O447" t="n">
        <v>0</v>
      </c>
      <c r="P447" t="n">
        <v>0</v>
      </c>
      <c r="Q447" t="n">
        <v>0</v>
      </c>
      <c r="R447" s="2" t="inlineStr"/>
    </row>
    <row r="448" ht="15" customHeight="1">
      <c r="A448" t="inlineStr">
        <is>
          <t>A 13689-2025</t>
        </is>
      </c>
      <c r="B448" s="1" t="n">
        <v>45737.31590277778</v>
      </c>
      <c r="C448" s="1" t="n">
        <v>45890</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13696-2025</t>
        </is>
      </c>
      <c r="B449" s="1" t="n">
        <v>45737.32273148148</v>
      </c>
      <c r="C449" s="1" t="n">
        <v>45890</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61227-2024</t>
        </is>
      </c>
      <c r="B450" s="1" t="n">
        <v>45645.66853009259</v>
      </c>
      <c r="C450" s="1" t="n">
        <v>45890</v>
      </c>
      <c r="D450" t="inlineStr">
        <is>
          <t>ÖSTERGÖTLANDS LÄN</t>
        </is>
      </c>
      <c r="E450" t="inlineStr">
        <is>
          <t>LINKÖPING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1924-2024</t>
        </is>
      </c>
      <c r="B451" s="1" t="n">
        <v>45308</v>
      </c>
      <c r="C451" s="1" t="n">
        <v>45890</v>
      </c>
      <c r="D451" t="inlineStr">
        <is>
          <t>ÖSTERGÖTLANDS LÄN</t>
        </is>
      </c>
      <c r="E451" t="inlineStr">
        <is>
          <t>LINKÖPING</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26007-2025</t>
        </is>
      </c>
      <c r="B452" s="1" t="n">
        <v>45804.67081018518</v>
      </c>
      <c r="C452" s="1" t="n">
        <v>45890</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25996-2025</t>
        </is>
      </c>
      <c r="B453" s="1" t="n">
        <v>45804.65851851852</v>
      </c>
      <c r="C453" s="1" t="n">
        <v>45890</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55632-2022</t>
        </is>
      </c>
      <c r="B454" s="1" t="n">
        <v>44888</v>
      </c>
      <c r="C454" s="1" t="n">
        <v>45890</v>
      </c>
      <c r="D454" t="inlineStr">
        <is>
          <t>ÖSTERGÖTLANDS LÄN</t>
        </is>
      </c>
      <c r="E454" t="inlineStr">
        <is>
          <t>LINKÖPING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32346-2023</t>
        </is>
      </c>
      <c r="B455" s="1" t="n">
        <v>45120</v>
      </c>
      <c r="C455" s="1" t="n">
        <v>45890</v>
      </c>
      <c r="D455" t="inlineStr">
        <is>
          <t>ÖSTERGÖTLANDS LÄN</t>
        </is>
      </c>
      <c r="E455" t="inlineStr">
        <is>
          <t>LINKÖPING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63559-2023</t>
        </is>
      </c>
      <c r="B456" s="1" t="n">
        <v>45275.35924768518</v>
      </c>
      <c r="C456" s="1" t="n">
        <v>45890</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50508-2024</t>
        </is>
      </c>
      <c r="B457" s="1" t="n">
        <v>45601.53907407408</v>
      </c>
      <c r="C457" s="1" t="n">
        <v>45890</v>
      </c>
      <c r="D457" t="inlineStr">
        <is>
          <t>ÖSTERGÖTLANDS LÄN</t>
        </is>
      </c>
      <c r="E457" t="inlineStr">
        <is>
          <t>LINKÖPING</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25831-2025</t>
        </is>
      </c>
      <c r="B458" s="1" t="n">
        <v>45804.44638888889</v>
      </c>
      <c r="C458" s="1" t="n">
        <v>45890</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7808-2022</t>
        </is>
      </c>
      <c r="B459" s="1" t="n">
        <v>44608</v>
      </c>
      <c r="C459" s="1" t="n">
        <v>45890</v>
      </c>
      <c r="D459" t="inlineStr">
        <is>
          <t>ÖSTERGÖTLANDS LÄN</t>
        </is>
      </c>
      <c r="E459" t="inlineStr">
        <is>
          <t>LINKÖPING</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27844-2024</t>
        </is>
      </c>
      <c r="B460" s="1" t="n">
        <v>45475.63047453704</v>
      </c>
      <c r="C460" s="1" t="n">
        <v>45890</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58114-2021</t>
        </is>
      </c>
      <c r="B461" s="1" t="n">
        <v>44487</v>
      </c>
      <c r="C461" s="1" t="n">
        <v>45890</v>
      </c>
      <c r="D461" t="inlineStr">
        <is>
          <t>ÖSTERGÖTLANDS LÄN</t>
        </is>
      </c>
      <c r="E461" t="inlineStr">
        <is>
          <t>LINKÖPING</t>
        </is>
      </c>
      <c r="F461" t="inlineStr">
        <is>
          <t>Övriga Aktiebolag</t>
        </is>
      </c>
      <c r="G461" t="n">
        <v>0.8</v>
      </c>
      <c r="H461" t="n">
        <v>0</v>
      </c>
      <c r="I461" t="n">
        <v>0</v>
      </c>
      <c r="J461" t="n">
        <v>0</v>
      </c>
      <c r="K461" t="n">
        <v>0</v>
      </c>
      <c r="L461" t="n">
        <v>0</v>
      </c>
      <c r="M461" t="n">
        <v>0</v>
      </c>
      <c r="N461" t="n">
        <v>0</v>
      </c>
      <c r="O461" t="n">
        <v>0</v>
      </c>
      <c r="P461" t="n">
        <v>0</v>
      </c>
      <c r="Q461" t="n">
        <v>0</v>
      </c>
      <c r="R461" s="2" t="inlineStr"/>
    </row>
    <row r="462" ht="15" customHeight="1">
      <c r="A462" t="inlineStr">
        <is>
          <t>A 40810-2022</t>
        </is>
      </c>
      <c r="B462" s="1" t="n">
        <v>44824</v>
      </c>
      <c r="C462" s="1" t="n">
        <v>45890</v>
      </c>
      <c r="D462" t="inlineStr">
        <is>
          <t>ÖSTERGÖTLANDS LÄN</t>
        </is>
      </c>
      <c r="E462" t="inlineStr">
        <is>
          <t>LINKÖPING</t>
        </is>
      </c>
      <c r="G462" t="n">
        <v>2.8</v>
      </c>
      <c r="H462" t="n">
        <v>0</v>
      </c>
      <c r="I462" t="n">
        <v>0</v>
      </c>
      <c r="J462" t="n">
        <v>0</v>
      </c>
      <c r="K462" t="n">
        <v>0</v>
      </c>
      <c r="L462" t="n">
        <v>0</v>
      </c>
      <c r="M462" t="n">
        <v>0</v>
      </c>
      <c r="N462" t="n">
        <v>0</v>
      </c>
      <c r="O462" t="n">
        <v>0</v>
      </c>
      <c r="P462" t="n">
        <v>0</v>
      </c>
      <c r="Q462" t="n">
        <v>0</v>
      </c>
      <c r="R462" s="2" t="inlineStr"/>
    </row>
    <row r="463" ht="15" customHeight="1">
      <c r="A463" t="inlineStr">
        <is>
          <t>A 51559-2024</t>
        </is>
      </c>
      <c r="B463" s="1" t="n">
        <v>45604.61431712963</v>
      </c>
      <c r="C463" s="1" t="n">
        <v>45890</v>
      </c>
      <c r="D463" t="inlineStr">
        <is>
          <t>ÖSTERGÖTLANDS LÄN</t>
        </is>
      </c>
      <c r="E463" t="inlineStr">
        <is>
          <t>LINKÖPING</t>
        </is>
      </c>
      <c r="F463" t="inlineStr">
        <is>
          <t>Övriga Aktiebolag</t>
        </is>
      </c>
      <c r="G463" t="n">
        <v>2.4</v>
      </c>
      <c r="H463" t="n">
        <v>0</v>
      </c>
      <c r="I463" t="n">
        <v>0</v>
      </c>
      <c r="J463" t="n">
        <v>0</v>
      </c>
      <c r="K463" t="n">
        <v>0</v>
      </c>
      <c r="L463" t="n">
        <v>0</v>
      </c>
      <c r="M463" t="n">
        <v>0</v>
      </c>
      <c r="N463" t="n">
        <v>0</v>
      </c>
      <c r="O463" t="n">
        <v>0</v>
      </c>
      <c r="P463" t="n">
        <v>0</v>
      </c>
      <c r="Q463" t="n">
        <v>0</v>
      </c>
      <c r="R463" s="2" t="inlineStr"/>
    </row>
    <row r="464" ht="15" customHeight="1">
      <c r="A464" t="inlineStr">
        <is>
          <t>A 49979-2022</t>
        </is>
      </c>
      <c r="B464" s="1" t="n">
        <v>44865</v>
      </c>
      <c r="C464" s="1" t="n">
        <v>45890</v>
      </c>
      <c r="D464" t="inlineStr">
        <is>
          <t>ÖSTERGÖTLANDS LÄN</t>
        </is>
      </c>
      <c r="E464" t="inlineStr">
        <is>
          <t>LINKÖPING</t>
        </is>
      </c>
      <c r="F464" t="inlineStr">
        <is>
          <t>Övriga Aktiebolag</t>
        </is>
      </c>
      <c r="G464" t="n">
        <v>11.4</v>
      </c>
      <c r="H464" t="n">
        <v>0</v>
      </c>
      <c r="I464" t="n">
        <v>0</v>
      </c>
      <c r="J464" t="n">
        <v>0</v>
      </c>
      <c r="K464" t="n">
        <v>0</v>
      </c>
      <c r="L464" t="n">
        <v>0</v>
      </c>
      <c r="M464" t="n">
        <v>0</v>
      </c>
      <c r="N464" t="n">
        <v>0</v>
      </c>
      <c r="O464" t="n">
        <v>0</v>
      </c>
      <c r="P464" t="n">
        <v>0</v>
      </c>
      <c r="Q464" t="n">
        <v>0</v>
      </c>
      <c r="R464" s="2" t="inlineStr"/>
    </row>
    <row r="465" ht="15" customHeight="1">
      <c r="A465" t="inlineStr">
        <is>
          <t>A 39219-2021</t>
        </is>
      </c>
      <c r="B465" s="1" t="n">
        <v>44413</v>
      </c>
      <c r="C465" s="1" t="n">
        <v>45890</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39224-2021</t>
        </is>
      </c>
      <c r="B466" s="1" t="n">
        <v>44413</v>
      </c>
      <c r="C466" s="1" t="n">
        <v>45890</v>
      </c>
      <c r="D466" t="inlineStr">
        <is>
          <t>ÖSTERGÖTLANDS LÄN</t>
        </is>
      </c>
      <c r="E466" t="inlineStr">
        <is>
          <t>LINKÖPING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35174-2025</t>
        </is>
      </c>
      <c r="B467" s="1" t="n">
        <v>45852.90648148148</v>
      </c>
      <c r="C467" s="1" t="n">
        <v>45890</v>
      </c>
      <c r="D467" t="inlineStr">
        <is>
          <t>ÖSTERGÖTLANDS LÄN</t>
        </is>
      </c>
      <c r="E467" t="inlineStr">
        <is>
          <t>LINKÖPING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62495-2023</t>
        </is>
      </c>
      <c r="B468" s="1" t="n">
        <v>45268.59717592593</v>
      </c>
      <c r="C468" s="1" t="n">
        <v>45890</v>
      </c>
      <c r="D468" t="inlineStr">
        <is>
          <t>ÖSTERGÖTLANDS LÄN</t>
        </is>
      </c>
      <c r="E468" t="inlineStr">
        <is>
          <t>LINKÖPING</t>
        </is>
      </c>
      <c r="G468" t="n">
        <v>4.1</v>
      </c>
      <c r="H468" t="n">
        <v>0</v>
      </c>
      <c r="I468" t="n">
        <v>0</v>
      </c>
      <c r="J468" t="n">
        <v>0</v>
      </c>
      <c r="K468" t="n">
        <v>0</v>
      </c>
      <c r="L468" t="n">
        <v>0</v>
      </c>
      <c r="M468" t="n">
        <v>0</v>
      </c>
      <c r="N468" t="n">
        <v>0</v>
      </c>
      <c r="O468" t="n">
        <v>0</v>
      </c>
      <c r="P468" t="n">
        <v>0</v>
      </c>
      <c r="Q468" t="n">
        <v>0</v>
      </c>
      <c r="R468" s="2" t="inlineStr"/>
    </row>
    <row r="469" ht="15" customHeight="1">
      <c r="A469" t="inlineStr">
        <is>
          <t>A 35178-2025</t>
        </is>
      </c>
      <c r="B469" s="1" t="n">
        <v>45852.91939814815</v>
      </c>
      <c r="C469" s="1" t="n">
        <v>45890</v>
      </c>
      <c r="D469" t="inlineStr">
        <is>
          <t>ÖSTERGÖTLANDS LÄN</t>
        </is>
      </c>
      <c r="E469" t="inlineStr">
        <is>
          <t>LINKÖPING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35180-2025</t>
        </is>
      </c>
      <c r="B470" s="1" t="n">
        <v>45852.9413425926</v>
      </c>
      <c r="C470" s="1" t="n">
        <v>45890</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29413-2023</t>
        </is>
      </c>
      <c r="B471" s="1" t="n">
        <v>45106.46465277778</v>
      </c>
      <c r="C471" s="1" t="n">
        <v>45890</v>
      </c>
      <c r="D471" t="inlineStr">
        <is>
          <t>ÖSTERGÖTLANDS LÄN</t>
        </is>
      </c>
      <c r="E471" t="inlineStr">
        <is>
          <t>LINKÖPING</t>
        </is>
      </c>
      <c r="G471" t="n">
        <v>8</v>
      </c>
      <c r="H471" t="n">
        <v>0</v>
      </c>
      <c r="I471" t="n">
        <v>0</v>
      </c>
      <c r="J471" t="n">
        <v>0</v>
      </c>
      <c r="K471" t="n">
        <v>0</v>
      </c>
      <c r="L471" t="n">
        <v>0</v>
      </c>
      <c r="M471" t="n">
        <v>0</v>
      </c>
      <c r="N471" t="n">
        <v>0</v>
      </c>
      <c r="O471" t="n">
        <v>0</v>
      </c>
      <c r="P471" t="n">
        <v>0</v>
      </c>
      <c r="Q471" t="n">
        <v>0</v>
      </c>
      <c r="R471" s="2" t="inlineStr"/>
    </row>
    <row r="472" ht="15" customHeight="1">
      <c r="A472" t="inlineStr">
        <is>
          <t>A 55944-2024</t>
        </is>
      </c>
      <c r="B472" s="1" t="n">
        <v>45623.61640046296</v>
      </c>
      <c r="C472" s="1" t="n">
        <v>45890</v>
      </c>
      <c r="D472" t="inlineStr">
        <is>
          <t>ÖSTERGÖTLANDS LÄN</t>
        </is>
      </c>
      <c r="E472" t="inlineStr">
        <is>
          <t>LINKÖPING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55947-2024</t>
        </is>
      </c>
      <c r="B473" s="1" t="n">
        <v>45623</v>
      </c>
      <c r="C473" s="1" t="n">
        <v>45890</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3374-2023</t>
        </is>
      </c>
      <c r="B474" s="1" t="n">
        <v>44949</v>
      </c>
      <c r="C474" s="1" t="n">
        <v>45890</v>
      </c>
      <c r="D474" t="inlineStr">
        <is>
          <t>ÖSTERGÖTLANDS LÄN</t>
        </is>
      </c>
      <c r="E474" t="inlineStr">
        <is>
          <t>LINKÖPING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24151-2024</t>
        </is>
      </c>
      <c r="B475" s="1" t="n">
        <v>45456.67717592593</v>
      </c>
      <c r="C475" s="1" t="n">
        <v>45890</v>
      </c>
      <c r="D475" t="inlineStr">
        <is>
          <t>ÖSTERGÖTLANDS LÄN</t>
        </is>
      </c>
      <c r="E475" t="inlineStr">
        <is>
          <t>LINKÖPING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35179-2025</t>
        </is>
      </c>
      <c r="B476" s="1" t="n">
        <v>45852.93737268518</v>
      </c>
      <c r="C476" s="1" t="n">
        <v>45890</v>
      </c>
      <c r="D476" t="inlineStr">
        <is>
          <t>ÖSTERGÖTLANDS LÄN</t>
        </is>
      </c>
      <c r="E476" t="inlineStr">
        <is>
          <t>LINKÖPING</t>
        </is>
      </c>
      <c r="G476" t="n">
        <v>2.2</v>
      </c>
      <c r="H476" t="n">
        <v>0</v>
      </c>
      <c r="I476" t="n">
        <v>0</v>
      </c>
      <c r="J476" t="n">
        <v>0</v>
      </c>
      <c r="K476" t="n">
        <v>0</v>
      </c>
      <c r="L476" t="n">
        <v>0</v>
      </c>
      <c r="M476" t="n">
        <v>0</v>
      </c>
      <c r="N476" t="n">
        <v>0</v>
      </c>
      <c r="O476" t="n">
        <v>0</v>
      </c>
      <c r="P476" t="n">
        <v>0</v>
      </c>
      <c r="Q476" t="n">
        <v>0</v>
      </c>
      <c r="R476" s="2" t="inlineStr"/>
    </row>
    <row r="477" ht="15" customHeight="1">
      <c r="A477" t="inlineStr">
        <is>
          <t>A 67123-2020</t>
        </is>
      </c>
      <c r="B477" s="1" t="n">
        <v>44180</v>
      </c>
      <c r="C477" s="1" t="n">
        <v>45890</v>
      </c>
      <c r="D477" t="inlineStr">
        <is>
          <t>ÖSTERGÖTLANDS LÄN</t>
        </is>
      </c>
      <c r="E477" t="inlineStr">
        <is>
          <t>LINKÖPING</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25948-2023</t>
        </is>
      </c>
      <c r="B478" s="1" t="n">
        <v>45090</v>
      </c>
      <c r="C478" s="1" t="n">
        <v>45890</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14576-2023</t>
        </is>
      </c>
      <c r="B479" s="1" t="n">
        <v>45013</v>
      </c>
      <c r="C479" s="1" t="n">
        <v>45890</v>
      </c>
      <c r="D479" t="inlineStr">
        <is>
          <t>ÖSTERGÖTLANDS LÄN</t>
        </is>
      </c>
      <c r="E479" t="inlineStr">
        <is>
          <t>LINKÖPING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1627-2023</t>
        </is>
      </c>
      <c r="B480" s="1" t="n">
        <v>44937</v>
      </c>
      <c r="C480" s="1" t="n">
        <v>45890</v>
      </c>
      <c r="D480" t="inlineStr">
        <is>
          <t>ÖSTERGÖTLANDS LÄN</t>
        </is>
      </c>
      <c r="E480" t="inlineStr">
        <is>
          <t>LINKÖPING</t>
        </is>
      </c>
      <c r="G480" t="n">
        <v>10.8</v>
      </c>
      <c r="H480" t="n">
        <v>0</v>
      </c>
      <c r="I480" t="n">
        <v>0</v>
      </c>
      <c r="J480" t="n">
        <v>0</v>
      </c>
      <c r="K480" t="n">
        <v>0</v>
      </c>
      <c r="L480" t="n">
        <v>0</v>
      </c>
      <c r="M480" t="n">
        <v>0</v>
      </c>
      <c r="N480" t="n">
        <v>0</v>
      </c>
      <c r="O480" t="n">
        <v>0</v>
      </c>
      <c r="P480" t="n">
        <v>0</v>
      </c>
      <c r="Q480" t="n">
        <v>0</v>
      </c>
      <c r="R480" s="2" t="inlineStr"/>
    </row>
    <row r="481" ht="15" customHeight="1">
      <c r="A481" t="inlineStr">
        <is>
          <t>A 30481-2023</t>
        </is>
      </c>
      <c r="B481" s="1" t="n">
        <v>45111</v>
      </c>
      <c r="C481" s="1" t="n">
        <v>45890</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21782-2024</t>
        </is>
      </c>
      <c r="B482" s="1" t="n">
        <v>45442.63368055555</v>
      </c>
      <c r="C482" s="1" t="n">
        <v>45890</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11671-2023</t>
        </is>
      </c>
      <c r="B483" s="1" t="n">
        <v>44994.48125</v>
      </c>
      <c r="C483" s="1" t="n">
        <v>45890</v>
      </c>
      <c r="D483" t="inlineStr">
        <is>
          <t>ÖSTERGÖTLANDS LÄN</t>
        </is>
      </c>
      <c r="E483" t="inlineStr">
        <is>
          <t>LINKÖPING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3013-2023</t>
        </is>
      </c>
      <c r="B484" s="1" t="n">
        <v>44945.8092824074</v>
      </c>
      <c r="C484" s="1" t="n">
        <v>45890</v>
      </c>
      <c r="D484" t="inlineStr">
        <is>
          <t>ÖSTERGÖTLANDS LÄN</t>
        </is>
      </c>
      <c r="E484" t="inlineStr">
        <is>
          <t>LINKÖPING</t>
        </is>
      </c>
      <c r="G484" t="n">
        <v>5.2</v>
      </c>
      <c r="H484" t="n">
        <v>0</v>
      </c>
      <c r="I484" t="n">
        <v>0</v>
      </c>
      <c r="J484" t="n">
        <v>0</v>
      </c>
      <c r="K484" t="n">
        <v>0</v>
      </c>
      <c r="L484" t="n">
        <v>0</v>
      </c>
      <c r="M484" t="n">
        <v>0</v>
      </c>
      <c r="N484" t="n">
        <v>0</v>
      </c>
      <c r="O484" t="n">
        <v>0</v>
      </c>
      <c r="P484" t="n">
        <v>0</v>
      </c>
      <c r="Q484" t="n">
        <v>0</v>
      </c>
      <c r="R484" s="2" t="inlineStr"/>
    </row>
    <row r="485" ht="15" customHeight="1">
      <c r="A485" t="inlineStr">
        <is>
          <t>A 49747-2024</t>
        </is>
      </c>
      <c r="B485" s="1" t="n">
        <v>45596</v>
      </c>
      <c r="C485" s="1" t="n">
        <v>45890</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42997-2021</t>
        </is>
      </c>
      <c r="B486" s="1" t="n">
        <v>44431.45556712963</v>
      </c>
      <c r="C486" s="1" t="n">
        <v>45890</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74160-2021</t>
        </is>
      </c>
      <c r="B487" s="1" t="n">
        <v>44558</v>
      </c>
      <c r="C487" s="1" t="n">
        <v>45890</v>
      </c>
      <c r="D487" t="inlineStr">
        <is>
          <t>ÖSTERGÖTLANDS LÄN</t>
        </is>
      </c>
      <c r="E487" t="inlineStr">
        <is>
          <t>LINKÖPING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45890</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27264-2025</t>
        </is>
      </c>
      <c r="B489" s="1" t="n">
        <v>45812.4794212963</v>
      </c>
      <c r="C489" s="1" t="n">
        <v>45890</v>
      </c>
      <c r="D489" t="inlineStr">
        <is>
          <t>ÖSTERGÖTLANDS LÄN</t>
        </is>
      </c>
      <c r="E489" t="inlineStr">
        <is>
          <t>LINKÖPING</t>
        </is>
      </c>
      <c r="G489" t="n">
        <v>2.6</v>
      </c>
      <c r="H489" t="n">
        <v>0</v>
      </c>
      <c r="I489" t="n">
        <v>0</v>
      </c>
      <c r="J489" t="n">
        <v>0</v>
      </c>
      <c r="K489" t="n">
        <v>0</v>
      </c>
      <c r="L489" t="n">
        <v>0</v>
      </c>
      <c r="M489" t="n">
        <v>0</v>
      </c>
      <c r="N489" t="n">
        <v>0</v>
      </c>
      <c r="O489" t="n">
        <v>0</v>
      </c>
      <c r="P489" t="n">
        <v>0</v>
      </c>
      <c r="Q489" t="n">
        <v>0</v>
      </c>
      <c r="R489" s="2" t="inlineStr"/>
    </row>
    <row r="490" ht="15" customHeight="1">
      <c r="A490" t="inlineStr">
        <is>
          <t>A 23735-2023</t>
        </is>
      </c>
      <c r="B490" s="1" t="n">
        <v>45077</v>
      </c>
      <c r="C490" s="1" t="n">
        <v>45890</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45821-2024</t>
        </is>
      </c>
      <c r="B491" s="1" t="n">
        <v>45579.75803240741</v>
      </c>
      <c r="C491" s="1" t="n">
        <v>45890</v>
      </c>
      <c r="D491" t="inlineStr">
        <is>
          <t>ÖSTERGÖTLANDS LÄN</t>
        </is>
      </c>
      <c r="E491" t="inlineStr">
        <is>
          <t>LINKÖPING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27950-2025</t>
        </is>
      </c>
      <c r="B492" s="1" t="n">
        <v>45817.52960648148</v>
      </c>
      <c r="C492" s="1" t="n">
        <v>45890</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27797-2025</t>
        </is>
      </c>
      <c r="B493" s="1" t="n">
        <v>45816.80521990741</v>
      </c>
      <c r="C493" s="1" t="n">
        <v>45890</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27798-2025</t>
        </is>
      </c>
      <c r="B494" s="1" t="n">
        <v>45816.81532407407</v>
      </c>
      <c r="C494" s="1" t="n">
        <v>45890</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53647-2021</t>
        </is>
      </c>
      <c r="B495" s="1" t="n">
        <v>44469</v>
      </c>
      <c r="C495" s="1" t="n">
        <v>45890</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27766-2022</t>
        </is>
      </c>
      <c r="B496" s="1" t="n">
        <v>44743.53112268518</v>
      </c>
      <c r="C496" s="1" t="n">
        <v>45890</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53641-2023</t>
        </is>
      </c>
      <c r="B497" s="1" t="n">
        <v>45230</v>
      </c>
      <c r="C497" s="1" t="n">
        <v>45890</v>
      </c>
      <c r="D497" t="inlineStr">
        <is>
          <t>ÖSTERGÖTLANDS LÄN</t>
        </is>
      </c>
      <c r="E497" t="inlineStr">
        <is>
          <t>LINKÖPING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33000-2023</t>
        </is>
      </c>
      <c r="B498" s="1" t="n">
        <v>45125</v>
      </c>
      <c r="C498" s="1" t="n">
        <v>45890</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55265-2020</t>
        </is>
      </c>
      <c r="B499" s="1" t="n">
        <v>44130</v>
      </c>
      <c r="C499" s="1" t="n">
        <v>45890</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52892-2024</t>
        </is>
      </c>
      <c r="B500" s="1" t="n">
        <v>45610</v>
      </c>
      <c r="C500" s="1" t="n">
        <v>45890</v>
      </c>
      <c r="D500" t="inlineStr">
        <is>
          <t>ÖSTERGÖTLANDS LÄN</t>
        </is>
      </c>
      <c r="E500" t="inlineStr">
        <is>
          <t>LINKÖPING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6599-2023</t>
        </is>
      </c>
      <c r="B501" s="1" t="n">
        <v>44966.52603009259</v>
      </c>
      <c r="C501" s="1" t="n">
        <v>45890</v>
      </c>
      <c r="D501" t="inlineStr">
        <is>
          <t>ÖSTERGÖTLANDS LÄN</t>
        </is>
      </c>
      <c r="E501" t="inlineStr">
        <is>
          <t>LINKÖPING</t>
        </is>
      </c>
      <c r="G501" t="n">
        <v>1.9</v>
      </c>
      <c r="H501" t="n">
        <v>0</v>
      </c>
      <c r="I501" t="n">
        <v>0</v>
      </c>
      <c r="J501" t="n">
        <v>0</v>
      </c>
      <c r="K501" t="n">
        <v>0</v>
      </c>
      <c r="L501" t="n">
        <v>0</v>
      </c>
      <c r="M501" t="n">
        <v>0</v>
      </c>
      <c r="N501" t="n">
        <v>0</v>
      </c>
      <c r="O501" t="n">
        <v>0</v>
      </c>
      <c r="P501" t="n">
        <v>0</v>
      </c>
      <c r="Q501" t="n">
        <v>0</v>
      </c>
      <c r="R501" s="2" t="inlineStr"/>
    </row>
    <row r="502" ht="15" customHeight="1">
      <c r="A502" t="inlineStr">
        <is>
          <t>A 28200-2025</t>
        </is>
      </c>
      <c r="B502" s="1" t="n">
        <v>45818.4428125</v>
      </c>
      <c r="C502" s="1" t="n">
        <v>45890</v>
      </c>
      <c r="D502" t="inlineStr">
        <is>
          <t>ÖSTERGÖTLANDS LÄN</t>
        </is>
      </c>
      <c r="E502" t="inlineStr">
        <is>
          <t>LINKÖPING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28204-2025</t>
        </is>
      </c>
      <c r="B503" s="1" t="n">
        <v>45818.4477662037</v>
      </c>
      <c r="C503" s="1" t="n">
        <v>45890</v>
      </c>
      <c r="D503" t="inlineStr">
        <is>
          <t>ÖSTERGÖTLANDS LÄN</t>
        </is>
      </c>
      <c r="E503" t="inlineStr">
        <is>
          <t>LINKÖPING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35757-2025</t>
        </is>
      </c>
      <c r="B504" s="1" t="n">
        <v>45860.59876157407</v>
      </c>
      <c r="C504" s="1" t="n">
        <v>45890</v>
      </c>
      <c r="D504" t="inlineStr">
        <is>
          <t>ÖSTERGÖTLANDS LÄN</t>
        </is>
      </c>
      <c r="E504" t="inlineStr">
        <is>
          <t>LINKÖPING</t>
        </is>
      </c>
      <c r="G504" t="n">
        <v>5.7</v>
      </c>
      <c r="H504" t="n">
        <v>0</v>
      </c>
      <c r="I504" t="n">
        <v>0</v>
      </c>
      <c r="J504" t="n">
        <v>0</v>
      </c>
      <c r="K504" t="n">
        <v>0</v>
      </c>
      <c r="L504" t="n">
        <v>0</v>
      </c>
      <c r="M504" t="n">
        <v>0</v>
      </c>
      <c r="N504" t="n">
        <v>0</v>
      </c>
      <c r="O504" t="n">
        <v>0</v>
      </c>
      <c r="P504" t="n">
        <v>0</v>
      </c>
      <c r="Q504" t="n">
        <v>0</v>
      </c>
      <c r="R504" s="2" t="inlineStr"/>
    </row>
    <row r="505" ht="15" customHeight="1">
      <c r="A505" t="inlineStr">
        <is>
          <t>A 28416-2025</t>
        </is>
      </c>
      <c r="B505" s="1" t="n">
        <v>45819.35346064815</v>
      </c>
      <c r="C505" s="1" t="n">
        <v>45890</v>
      </c>
      <c r="D505" t="inlineStr">
        <is>
          <t>ÖSTERGÖTLANDS LÄN</t>
        </is>
      </c>
      <c r="E505" t="inlineStr">
        <is>
          <t>LINKÖPING</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30521-2024</t>
        </is>
      </c>
      <c r="B506" s="1" t="n">
        <v>45492</v>
      </c>
      <c r="C506" s="1" t="n">
        <v>45890</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51191-2022</t>
        </is>
      </c>
      <c r="B507" s="1" t="n">
        <v>44865</v>
      </c>
      <c r="C507" s="1" t="n">
        <v>45890</v>
      </c>
      <c r="D507" t="inlineStr">
        <is>
          <t>ÖSTERGÖTLANDS LÄN</t>
        </is>
      </c>
      <c r="E507" t="inlineStr">
        <is>
          <t>LINKÖPING</t>
        </is>
      </c>
      <c r="G507" t="n">
        <v>2.2</v>
      </c>
      <c r="H507" t="n">
        <v>0</v>
      </c>
      <c r="I507" t="n">
        <v>0</v>
      </c>
      <c r="J507" t="n">
        <v>0</v>
      </c>
      <c r="K507" t="n">
        <v>0</v>
      </c>
      <c r="L507" t="n">
        <v>0</v>
      </c>
      <c r="M507" t="n">
        <v>0</v>
      </c>
      <c r="N507" t="n">
        <v>0</v>
      </c>
      <c r="O507" t="n">
        <v>0</v>
      </c>
      <c r="P507" t="n">
        <v>0</v>
      </c>
      <c r="Q507" t="n">
        <v>0</v>
      </c>
      <c r="R507" s="2" t="inlineStr"/>
    </row>
    <row r="508" ht="15" customHeight="1">
      <c r="A508" t="inlineStr">
        <is>
          <t>A 49088-2020</t>
        </is>
      </c>
      <c r="B508" s="1" t="n">
        <v>44104</v>
      </c>
      <c r="C508" s="1" t="n">
        <v>45890</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35735-2023</t>
        </is>
      </c>
      <c r="B509" s="1" t="n">
        <v>45147</v>
      </c>
      <c r="C509" s="1" t="n">
        <v>45890</v>
      </c>
      <c r="D509" t="inlineStr">
        <is>
          <t>ÖSTERGÖTLANDS LÄN</t>
        </is>
      </c>
      <c r="E509" t="inlineStr">
        <is>
          <t>LINKÖPING</t>
        </is>
      </c>
      <c r="G509" t="n">
        <v>2.8</v>
      </c>
      <c r="H509" t="n">
        <v>0</v>
      </c>
      <c r="I509" t="n">
        <v>0</v>
      </c>
      <c r="J509" t="n">
        <v>0</v>
      </c>
      <c r="K509" t="n">
        <v>0</v>
      </c>
      <c r="L509" t="n">
        <v>0</v>
      </c>
      <c r="M509" t="n">
        <v>0</v>
      </c>
      <c r="N509" t="n">
        <v>0</v>
      </c>
      <c r="O509" t="n">
        <v>0</v>
      </c>
      <c r="P509" t="n">
        <v>0</v>
      </c>
      <c r="Q509" t="n">
        <v>0</v>
      </c>
      <c r="R509" s="2" t="inlineStr"/>
    </row>
    <row r="510" ht="15" customHeight="1">
      <c r="A510" t="inlineStr">
        <is>
          <t>A 12289-2025</t>
        </is>
      </c>
      <c r="B510" s="1" t="n">
        <v>45729</v>
      </c>
      <c r="C510" s="1" t="n">
        <v>45890</v>
      </c>
      <c r="D510" t="inlineStr">
        <is>
          <t>ÖSTERGÖTLANDS LÄN</t>
        </is>
      </c>
      <c r="E510" t="inlineStr">
        <is>
          <t>LINKÖPING</t>
        </is>
      </c>
      <c r="F510" t="inlineStr">
        <is>
          <t>Övriga statliga verk och myndigheter</t>
        </is>
      </c>
      <c r="G510" t="n">
        <v>6.5</v>
      </c>
      <c r="H510" t="n">
        <v>0</v>
      </c>
      <c r="I510" t="n">
        <v>0</v>
      </c>
      <c r="J510" t="n">
        <v>0</v>
      </c>
      <c r="K510" t="n">
        <v>0</v>
      </c>
      <c r="L510" t="n">
        <v>0</v>
      </c>
      <c r="M510" t="n">
        <v>0</v>
      </c>
      <c r="N510" t="n">
        <v>0</v>
      </c>
      <c r="O510" t="n">
        <v>0</v>
      </c>
      <c r="P510" t="n">
        <v>0</v>
      </c>
      <c r="Q510" t="n">
        <v>0</v>
      </c>
      <c r="R510" s="2" t="inlineStr"/>
    </row>
    <row r="511" ht="15" customHeight="1">
      <c r="A511" t="inlineStr">
        <is>
          <t>A 35745-2025</t>
        </is>
      </c>
      <c r="B511" s="1" t="n">
        <v>45860.54739583333</v>
      </c>
      <c r="C511" s="1" t="n">
        <v>45890</v>
      </c>
      <c r="D511" t="inlineStr">
        <is>
          <t>ÖSTERGÖTLANDS LÄN</t>
        </is>
      </c>
      <c r="E511" t="inlineStr">
        <is>
          <t>LINKÖPING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45831-2024</t>
        </is>
      </c>
      <c r="B512" s="1" t="n">
        <v>45579.90508101852</v>
      </c>
      <c r="C512" s="1" t="n">
        <v>45890</v>
      </c>
      <c r="D512" t="inlineStr">
        <is>
          <t>ÖSTERGÖTLANDS LÄN</t>
        </is>
      </c>
      <c r="E512" t="inlineStr">
        <is>
          <t>LINKÖPING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17157-2024</t>
        </is>
      </c>
      <c r="B513" s="1" t="n">
        <v>45412.70567129629</v>
      </c>
      <c r="C513" s="1" t="n">
        <v>45890</v>
      </c>
      <c r="D513" t="inlineStr">
        <is>
          <t>ÖSTERGÖTLANDS LÄN</t>
        </is>
      </c>
      <c r="E513" t="inlineStr">
        <is>
          <t>LINKÖPING</t>
        </is>
      </c>
      <c r="G513" t="n">
        <v>0.8</v>
      </c>
      <c r="H513" t="n">
        <v>0</v>
      </c>
      <c r="I513" t="n">
        <v>0</v>
      </c>
      <c r="J513" t="n">
        <v>0</v>
      </c>
      <c r="K513" t="n">
        <v>0</v>
      </c>
      <c r="L513" t="n">
        <v>0</v>
      </c>
      <c r="M513" t="n">
        <v>0</v>
      </c>
      <c r="N513" t="n">
        <v>0</v>
      </c>
      <c r="O513" t="n">
        <v>0</v>
      </c>
      <c r="P513" t="n">
        <v>0</v>
      </c>
      <c r="Q513" t="n">
        <v>0</v>
      </c>
      <c r="R513" s="2" t="inlineStr"/>
    </row>
    <row r="514" ht="15" customHeight="1">
      <c r="A514" t="inlineStr">
        <is>
          <t>A 35747-2025</t>
        </is>
      </c>
      <c r="B514" s="1" t="n">
        <v>45860.56385416666</v>
      </c>
      <c r="C514" s="1" t="n">
        <v>45890</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28398-2025</t>
        </is>
      </c>
      <c r="B515" s="1" t="n">
        <v>45819.34208333334</v>
      </c>
      <c r="C515" s="1" t="n">
        <v>45890</v>
      </c>
      <c r="D515" t="inlineStr">
        <is>
          <t>ÖSTERGÖTLANDS LÄN</t>
        </is>
      </c>
      <c r="E515" t="inlineStr">
        <is>
          <t>LINKÖPING</t>
        </is>
      </c>
      <c r="F515" t="inlineStr">
        <is>
          <t>Sveaskog</t>
        </is>
      </c>
      <c r="G515" t="n">
        <v>7.9</v>
      </c>
      <c r="H515" t="n">
        <v>0</v>
      </c>
      <c r="I515" t="n">
        <v>0</v>
      </c>
      <c r="J515" t="n">
        <v>0</v>
      </c>
      <c r="K515" t="n">
        <v>0</v>
      </c>
      <c r="L515" t="n">
        <v>0</v>
      </c>
      <c r="M515" t="n">
        <v>0</v>
      </c>
      <c r="N515" t="n">
        <v>0</v>
      </c>
      <c r="O515" t="n">
        <v>0</v>
      </c>
      <c r="P515" t="n">
        <v>0</v>
      </c>
      <c r="Q515" t="n">
        <v>0</v>
      </c>
      <c r="R515" s="2" t="inlineStr"/>
    </row>
    <row r="516" ht="15" customHeight="1">
      <c r="A516" t="inlineStr">
        <is>
          <t>A 28209-2025</t>
        </is>
      </c>
      <c r="B516" s="1" t="n">
        <v>45818.45112268518</v>
      </c>
      <c r="C516" s="1" t="n">
        <v>45890</v>
      </c>
      <c r="D516" t="inlineStr">
        <is>
          <t>ÖSTERGÖTLANDS LÄN</t>
        </is>
      </c>
      <c r="E516" t="inlineStr">
        <is>
          <t>LINKÖPING</t>
        </is>
      </c>
      <c r="G516" t="n">
        <v>4.2</v>
      </c>
      <c r="H516" t="n">
        <v>0</v>
      </c>
      <c r="I516" t="n">
        <v>0</v>
      </c>
      <c r="J516" t="n">
        <v>0</v>
      </c>
      <c r="K516" t="n">
        <v>0</v>
      </c>
      <c r="L516" t="n">
        <v>0</v>
      </c>
      <c r="M516" t="n">
        <v>0</v>
      </c>
      <c r="N516" t="n">
        <v>0</v>
      </c>
      <c r="O516" t="n">
        <v>0</v>
      </c>
      <c r="P516" t="n">
        <v>0</v>
      </c>
      <c r="Q516" t="n">
        <v>0</v>
      </c>
      <c r="R516" s="2" t="inlineStr"/>
    </row>
    <row r="517" ht="15" customHeight="1">
      <c r="A517" t="inlineStr">
        <is>
          <t>A 9434-2024</t>
        </is>
      </c>
      <c r="B517" s="1" t="n">
        <v>45359</v>
      </c>
      <c r="C517" s="1" t="n">
        <v>45890</v>
      </c>
      <c r="D517" t="inlineStr">
        <is>
          <t>ÖSTERGÖTLANDS LÄN</t>
        </is>
      </c>
      <c r="E517" t="inlineStr">
        <is>
          <t>LINKÖPING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42054-2022</t>
        </is>
      </c>
      <c r="B518" s="1" t="n">
        <v>44830</v>
      </c>
      <c r="C518" s="1" t="n">
        <v>45890</v>
      </c>
      <c r="D518" t="inlineStr">
        <is>
          <t>ÖSTERGÖTLANDS LÄN</t>
        </is>
      </c>
      <c r="E518" t="inlineStr">
        <is>
          <t>LINKÖPING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50182-2023</t>
        </is>
      </c>
      <c r="B519" s="1" t="n">
        <v>45208</v>
      </c>
      <c r="C519" s="1" t="n">
        <v>45890</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37154-2023</t>
        </is>
      </c>
      <c r="B520" s="1" t="n">
        <v>45155</v>
      </c>
      <c r="C520" s="1" t="n">
        <v>45890</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35781-2023</t>
        </is>
      </c>
      <c r="B521" s="1" t="n">
        <v>45147</v>
      </c>
      <c r="C521" s="1" t="n">
        <v>45890</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35759-2025</t>
        </is>
      </c>
      <c r="B522" s="1" t="n">
        <v>45860</v>
      </c>
      <c r="C522" s="1" t="n">
        <v>45890</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53812-2023</t>
        </is>
      </c>
      <c r="B523" s="1" t="n">
        <v>45231.39583333334</v>
      </c>
      <c r="C523" s="1" t="n">
        <v>45890</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53830-2023</t>
        </is>
      </c>
      <c r="B524" s="1" t="n">
        <v>45230</v>
      </c>
      <c r="C524" s="1" t="n">
        <v>45890</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29027-2025</t>
        </is>
      </c>
      <c r="B525" s="1" t="n">
        <v>45821.4375462963</v>
      </c>
      <c r="C525" s="1" t="n">
        <v>45890</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29411-2025</t>
        </is>
      </c>
      <c r="B526" s="1" t="n">
        <v>45824.6219212963</v>
      </c>
      <c r="C526" s="1" t="n">
        <v>45890</v>
      </c>
      <c r="D526" t="inlineStr">
        <is>
          <t>ÖSTERGÖTLANDS LÄN</t>
        </is>
      </c>
      <c r="E526" t="inlineStr">
        <is>
          <t>LINKÖPING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6387-2022</t>
        </is>
      </c>
      <c r="B527" s="1" t="n">
        <v>44600</v>
      </c>
      <c r="C527" s="1" t="n">
        <v>45890</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48707-2023</t>
        </is>
      </c>
      <c r="B528" s="1" t="n">
        <v>45202</v>
      </c>
      <c r="C528" s="1" t="n">
        <v>45890</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56841-2023</t>
        </is>
      </c>
      <c r="B529" s="1" t="n">
        <v>45244</v>
      </c>
      <c r="C529" s="1" t="n">
        <v>45890</v>
      </c>
      <c r="D529" t="inlineStr">
        <is>
          <t>ÖSTERGÖTLANDS LÄN</t>
        </is>
      </c>
      <c r="E529" t="inlineStr">
        <is>
          <t>LINKÖPING</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56741-2023</t>
        </is>
      </c>
      <c r="B530" s="1" t="n">
        <v>45244</v>
      </c>
      <c r="C530" s="1" t="n">
        <v>45890</v>
      </c>
      <c r="D530" t="inlineStr">
        <is>
          <t>ÖSTERGÖTLANDS LÄN</t>
        </is>
      </c>
      <c r="E530" t="inlineStr">
        <is>
          <t>LINKÖPING</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53816-2023</t>
        </is>
      </c>
      <c r="B531" s="1" t="n">
        <v>45231.40012731482</v>
      </c>
      <c r="C531" s="1" t="n">
        <v>45890</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24765-2025</t>
        </is>
      </c>
      <c r="B532" s="1" t="n">
        <v>45799</v>
      </c>
      <c r="C532" s="1" t="n">
        <v>45890</v>
      </c>
      <c r="D532" t="inlineStr">
        <is>
          <t>ÖSTERGÖTLANDS LÄN</t>
        </is>
      </c>
      <c r="E532" t="inlineStr">
        <is>
          <t>LINKÖPING</t>
        </is>
      </c>
      <c r="G532" t="n">
        <v>4.9</v>
      </c>
      <c r="H532" t="n">
        <v>0</v>
      </c>
      <c r="I532" t="n">
        <v>0</v>
      </c>
      <c r="J532" t="n">
        <v>0</v>
      </c>
      <c r="K532" t="n">
        <v>0</v>
      </c>
      <c r="L532" t="n">
        <v>0</v>
      </c>
      <c r="M532" t="n">
        <v>0</v>
      </c>
      <c r="N532" t="n">
        <v>0</v>
      </c>
      <c r="O532" t="n">
        <v>0</v>
      </c>
      <c r="P532" t="n">
        <v>0</v>
      </c>
      <c r="Q532" t="n">
        <v>0</v>
      </c>
      <c r="R532" s="2" t="inlineStr"/>
    </row>
    <row r="533" ht="15" customHeight="1">
      <c r="A533" t="inlineStr">
        <is>
          <t>A 63935-2021</t>
        </is>
      </c>
      <c r="B533" s="1" t="n">
        <v>44509</v>
      </c>
      <c r="C533" s="1" t="n">
        <v>45890</v>
      </c>
      <c r="D533" t="inlineStr">
        <is>
          <t>ÖSTERGÖTLANDS LÄN</t>
        </is>
      </c>
      <c r="E533" t="inlineStr">
        <is>
          <t>LINKÖPING</t>
        </is>
      </c>
      <c r="F533" t="inlineStr">
        <is>
          <t>Övriga statliga verk och myndigheter</t>
        </is>
      </c>
      <c r="G533" t="n">
        <v>2.8</v>
      </c>
      <c r="H533" t="n">
        <v>0</v>
      </c>
      <c r="I533" t="n">
        <v>0</v>
      </c>
      <c r="J533" t="n">
        <v>0</v>
      </c>
      <c r="K533" t="n">
        <v>0</v>
      </c>
      <c r="L533" t="n">
        <v>0</v>
      </c>
      <c r="M533" t="n">
        <v>0</v>
      </c>
      <c r="N533" t="n">
        <v>0</v>
      </c>
      <c r="O533" t="n">
        <v>0</v>
      </c>
      <c r="P533" t="n">
        <v>0</v>
      </c>
      <c r="Q533" t="n">
        <v>0</v>
      </c>
      <c r="R533" s="2" t="inlineStr"/>
    </row>
    <row r="534" ht="15" customHeight="1">
      <c r="A534" t="inlineStr">
        <is>
          <t>A 29393-2025</t>
        </is>
      </c>
      <c r="B534" s="1" t="n">
        <v>45824.6057175926</v>
      </c>
      <c r="C534" s="1" t="n">
        <v>45890</v>
      </c>
      <c r="D534" t="inlineStr">
        <is>
          <t>ÖSTERGÖTLANDS LÄN</t>
        </is>
      </c>
      <c r="E534" t="inlineStr">
        <is>
          <t>LINKÖPING</t>
        </is>
      </c>
      <c r="F534" t="inlineStr">
        <is>
          <t>Sveaskog</t>
        </is>
      </c>
      <c r="G534" t="n">
        <v>24.6</v>
      </c>
      <c r="H534" t="n">
        <v>0</v>
      </c>
      <c r="I534" t="n">
        <v>0</v>
      </c>
      <c r="J534" t="n">
        <v>0</v>
      </c>
      <c r="K534" t="n">
        <v>0</v>
      </c>
      <c r="L534" t="n">
        <v>0</v>
      </c>
      <c r="M534" t="n">
        <v>0</v>
      </c>
      <c r="N534" t="n">
        <v>0</v>
      </c>
      <c r="O534" t="n">
        <v>0</v>
      </c>
      <c r="P534" t="n">
        <v>0</v>
      </c>
      <c r="Q534" t="n">
        <v>0</v>
      </c>
      <c r="R534" s="2" t="inlineStr"/>
    </row>
    <row r="535" ht="15" customHeight="1">
      <c r="A535" t="inlineStr">
        <is>
          <t>A 6726-2024</t>
        </is>
      </c>
      <c r="B535" s="1" t="n">
        <v>45341</v>
      </c>
      <c r="C535" s="1" t="n">
        <v>45890</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29599-2025</t>
        </is>
      </c>
      <c r="B536" s="1" t="n">
        <v>45825.41101851852</v>
      </c>
      <c r="C536" s="1" t="n">
        <v>45890</v>
      </c>
      <c r="D536" t="inlineStr">
        <is>
          <t>ÖSTERGÖTLANDS LÄN</t>
        </is>
      </c>
      <c r="E536" t="inlineStr">
        <is>
          <t>LINKÖPING</t>
        </is>
      </c>
      <c r="G536" t="n">
        <v>0.9</v>
      </c>
      <c r="H536" t="n">
        <v>0</v>
      </c>
      <c r="I536" t="n">
        <v>0</v>
      </c>
      <c r="J536" t="n">
        <v>0</v>
      </c>
      <c r="K536" t="n">
        <v>0</v>
      </c>
      <c r="L536" t="n">
        <v>0</v>
      </c>
      <c r="M536" t="n">
        <v>0</v>
      </c>
      <c r="N536" t="n">
        <v>0</v>
      </c>
      <c r="O536" t="n">
        <v>0</v>
      </c>
      <c r="P536" t="n">
        <v>0</v>
      </c>
      <c r="Q536" t="n">
        <v>0</v>
      </c>
      <c r="R536" s="2" t="inlineStr"/>
    </row>
    <row r="537" ht="15" customHeight="1">
      <c r="A537" t="inlineStr">
        <is>
          <t>A 3007-2023</t>
        </is>
      </c>
      <c r="B537" s="1" t="n">
        <v>44945</v>
      </c>
      <c r="C537" s="1" t="n">
        <v>45890</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18145-2021</t>
        </is>
      </c>
      <c r="B538" s="1" t="n">
        <v>44302</v>
      </c>
      <c r="C538" s="1" t="n">
        <v>45890</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47876-2020</t>
        </is>
      </c>
      <c r="B539" s="1" t="n">
        <v>44099</v>
      </c>
      <c r="C539" s="1" t="n">
        <v>45890</v>
      </c>
      <c r="D539" t="inlineStr">
        <is>
          <t>ÖSTERGÖTLANDS LÄN</t>
        </is>
      </c>
      <c r="E539" t="inlineStr">
        <is>
          <t>LINKÖPING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29309-2024</t>
        </is>
      </c>
      <c r="B540" s="1" t="n">
        <v>45483</v>
      </c>
      <c r="C540" s="1" t="n">
        <v>45890</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29293-2025</t>
        </is>
      </c>
      <c r="B541" s="1" t="n">
        <v>45824</v>
      </c>
      <c r="C541" s="1" t="n">
        <v>45890</v>
      </c>
      <c r="D541" t="inlineStr">
        <is>
          <t>ÖSTERGÖTLANDS LÄN</t>
        </is>
      </c>
      <c r="E541" t="inlineStr">
        <is>
          <t>LINKÖPING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12089-2025</t>
        </is>
      </c>
      <c r="B542" s="1" t="n">
        <v>45729</v>
      </c>
      <c r="C542" s="1" t="n">
        <v>45890</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15658-2023</t>
        </is>
      </c>
      <c r="B543" s="1" t="n">
        <v>45021.41194444444</v>
      </c>
      <c r="C543" s="1" t="n">
        <v>45890</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30355-2025</t>
        </is>
      </c>
      <c r="B544" s="1" t="n">
        <v>45827</v>
      </c>
      <c r="C544" s="1" t="n">
        <v>45890</v>
      </c>
      <c r="D544" t="inlineStr">
        <is>
          <t>ÖSTERGÖTLANDS LÄN</t>
        </is>
      </c>
      <c r="E544" t="inlineStr">
        <is>
          <t>LINKÖPING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55305-2020</t>
        </is>
      </c>
      <c r="B545" s="1" t="n">
        <v>44130</v>
      </c>
      <c r="C545" s="1" t="n">
        <v>45890</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30353-2025</t>
        </is>
      </c>
      <c r="B546" s="1" t="n">
        <v>45827</v>
      </c>
      <c r="C546" s="1" t="n">
        <v>45890</v>
      </c>
      <c r="D546" t="inlineStr">
        <is>
          <t>ÖSTERGÖTLANDS LÄN</t>
        </is>
      </c>
      <c r="E546" t="inlineStr">
        <is>
          <t>LINKÖPING</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38886-2024</t>
        </is>
      </c>
      <c r="B547" s="1" t="n">
        <v>45547.66443287037</v>
      </c>
      <c r="C547" s="1" t="n">
        <v>45890</v>
      </c>
      <c r="D547" t="inlineStr">
        <is>
          <t>ÖSTERGÖTLANDS LÄN</t>
        </is>
      </c>
      <c r="E547" t="inlineStr">
        <is>
          <t>LINKÖPING</t>
        </is>
      </c>
      <c r="G547" t="n">
        <v>5.3</v>
      </c>
      <c r="H547" t="n">
        <v>0</v>
      </c>
      <c r="I547" t="n">
        <v>0</v>
      </c>
      <c r="J547" t="n">
        <v>0</v>
      </c>
      <c r="K547" t="n">
        <v>0</v>
      </c>
      <c r="L547" t="n">
        <v>0</v>
      </c>
      <c r="M547" t="n">
        <v>0</v>
      </c>
      <c r="N547" t="n">
        <v>0</v>
      </c>
      <c r="O547" t="n">
        <v>0</v>
      </c>
      <c r="P547" t="n">
        <v>0</v>
      </c>
      <c r="Q547" t="n">
        <v>0</v>
      </c>
      <c r="R547" s="2" t="inlineStr"/>
    </row>
    <row r="548" ht="15" customHeight="1">
      <c r="A548" t="inlineStr">
        <is>
          <t>A 51583-2024</t>
        </is>
      </c>
      <c r="B548" s="1" t="n">
        <v>45604.6397337963</v>
      </c>
      <c r="C548" s="1" t="n">
        <v>45890</v>
      </c>
      <c r="D548" t="inlineStr">
        <is>
          <t>ÖSTERGÖTLANDS LÄN</t>
        </is>
      </c>
      <c r="E548" t="inlineStr">
        <is>
          <t>LINKÖPING</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58714-2020</t>
        </is>
      </c>
      <c r="B549" s="1" t="n">
        <v>44146</v>
      </c>
      <c r="C549" s="1" t="n">
        <v>45890</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64694-2023</t>
        </is>
      </c>
      <c r="B550" s="1" t="n">
        <v>45281</v>
      </c>
      <c r="C550" s="1" t="n">
        <v>45890</v>
      </c>
      <c r="D550" t="inlineStr">
        <is>
          <t>ÖSTERGÖTLANDS LÄN</t>
        </is>
      </c>
      <c r="E550" t="inlineStr">
        <is>
          <t>LINKÖPING</t>
        </is>
      </c>
      <c r="F550" t="inlineStr">
        <is>
          <t>Övriga statliga verk och myndigheter</t>
        </is>
      </c>
      <c r="G550" t="n">
        <v>4.9</v>
      </c>
      <c r="H550" t="n">
        <v>0</v>
      </c>
      <c r="I550" t="n">
        <v>0</v>
      </c>
      <c r="J550" t="n">
        <v>0</v>
      </c>
      <c r="K550" t="n">
        <v>0</v>
      </c>
      <c r="L550" t="n">
        <v>0</v>
      </c>
      <c r="M550" t="n">
        <v>0</v>
      </c>
      <c r="N550" t="n">
        <v>0</v>
      </c>
      <c r="O550" t="n">
        <v>0</v>
      </c>
      <c r="P550" t="n">
        <v>0</v>
      </c>
      <c r="Q550" t="n">
        <v>0</v>
      </c>
      <c r="R550" s="2" t="inlineStr"/>
    </row>
    <row r="551" ht="15" customHeight="1">
      <c r="A551" t="inlineStr">
        <is>
          <t>A 32602-2022</t>
        </is>
      </c>
      <c r="B551" s="1" t="n">
        <v>44783.43192129629</v>
      </c>
      <c r="C551" s="1" t="n">
        <v>45890</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53411-2023</t>
        </is>
      </c>
      <c r="B552" s="1" t="n">
        <v>45229.81049768518</v>
      </c>
      <c r="C552" s="1" t="n">
        <v>45890</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26788-2022</t>
        </is>
      </c>
      <c r="B553" s="1" t="n">
        <v>44740</v>
      </c>
      <c r="C553" s="1" t="n">
        <v>45890</v>
      </c>
      <c r="D553" t="inlineStr">
        <is>
          <t>ÖSTERGÖTLANDS LÄN</t>
        </is>
      </c>
      <c r="E553" t="inlineStr">
        <is>
          <t>LINKÖPING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62321-2022</t>
        </is>
      </c>
      <c r="B554" s="1" t="n">
        <v>44916</v>
      </c>
      <c r="C554" s="1" t="n">
        <v>45890</v>
      </c>
      <c r="D554" t="inlineStr">
        <is>
          <t>ÖSTERGÖTLANDS LÄN</t>
        </is>
      </c>
      <c r="E554" t="inlineStr">
        <is>
          <t>LINKÖPING</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24462-2023</t>
        </is>
      </c>
      <c r="B555" s="1" t="n">
        <v>45082</v>
      </c>
      <c r="C555" s="1" t="n">
        <v>45890</v>
      </c>
      <c r="D555" t="inlineStr">
        <is>
          <t>ÖSTERGÖTLANDS LÄN</t>
        </is>
      </c>
      <c r="E555" t="inlineStr">
        <is>
          <t>LINKÖPING</t>
        </is>
      </c>
      <c r="G555" t="n">
        <v>3.5</v>
      </c>
      <c r="H555" t="n">
        <v>0</v>
      </c>
      <c r="I555" t="n">
        <v>0</v>
      </c>
      <c r="J555" t="n">
        <v>0</v>
      </c>
      <c r="K555" t="n">
        <v>0</v>
      </c>
      <c r="L555" t="n">
        <v>0</v>
      </c>
      <c r="M555" t="n">
        <v>0</v>
      </c>
      <c r="N555" t="n">
        <v>0</v>
      </c>
      <c r="O555" t="n">
        <v>0</v>
      </c>
      <c r="P555" t="n">
        <v>0</v>
      </c>
      <c r="Q555" t="n">
        <v>0</v>
      </c>
      <c r="R555" s="2" t="inlineStr"/>
    </row>
    <row r="556" ht="15" customHeight="1">
      <c r="A556" t="inlineStr">
        <is>
          <t>A 62015-2024</t>
        </is>
      </c>
      <c r="B556" s="1" t="n">
        <v>45655.80457175926</v>
      </c>
      <c r="C556" s="1" t="n">
        <v>45890</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1084-2023</t>
        </is>
      </c>
      <c r="B557" s="1" t="n">
        <v>44929</v>
      </c>
      <c r="C557" s="1" t="n">
        <v>45890</v>
      </c>
      <c r="D557" t="inlineStr">
        <is>
          <t>ÖSTERGÖTLANDS LÄN</t>
        </is>
      </c>
      <c r="E557" t="inlineStr">
        <is>
          <t>LINKÖPING</t>
        </is>
      </c>
      <c r="G557" t="n">
        <v>10.4</v>
      </c>
      <c r="H557" t="n">
        <v>0</v>
      </c>
      <c r="I557" t="n">
        <v>0</v>
      </c>
      <c r="J557" t="n">
        <v>0</v>
      </c>
      <c r="K557" t="n">
        <v>0</v>
      </c>
      <c r="L557" t="n">
        <v>0</v>
      </c>
      <c r="M557" t="n">
        <v>0</v>
      </c>
      <c r="N557" t="n">
        <v>0</v>
      </c>
      <c r="O557" t="n">
        <v>0</v>
      </c>
      <c r="P557" t="n">
        <v>0</v>
      </c>
      <c r="Q557" t="n">
        <v>0</v>
      </c>
      <c r="R557" s="2" t="inlineStr"/>
    </row>
    <row r="558" ht="15" customHeight="1">
      <c r="A558" t="inlineStr">
        <is>
          <t>A 10741-2023</t>
        </is>
      </c>
      <c r="B558" s="1" t="n">
        <v>44988.70084490741</v>
      </c>
      <c r="C558" s="1" t="n">
        <v>45890</v>
      </c>
      <c r="D558" t="inlineStr">
        <is>
          <t>ÖSTERGÖTLANDS LÄN</t>
        </is>
      </c>
      <c r="E558" t="inlineStr">
        <is>
          <t>LINKÖPING</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267-2023</t>
        </is>
      </c>
      <c r="B559" s="1" t="n">
        <v>44928.80907407407</v>
      </c>
      <c r="C559" s="1" t="n">
        <v>45890</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940-2023</t>
        </is>
      </c>
      <c r="B560" s="1" t="n">
        <v>44933</v>
      </c>
      <c r="C560" s="1" t="n">
        <v>45890</v>
      </c>
      <c r="D560" t="inlineStr">
        <is>
          <t>ÖSTERGÖTLANDS LÄN</t>
        </is>
      </c>
      <c r="E560" t="inlineStr">
        <is>
          <t>LINKÖPING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6369-2023</t>
        </is>
      </c>
      <c r="B561" s="1" t="n">
        <v>44965.61106481482</v>
      </c>
      <c r="C561" s="1" t="n">
        <v>45890</v>
      </c>
      <c r="D561" t="inlineStr">
        <is>
          <t>ÖSTERGÖTLANDS LÄN</t>
        </is>
      </c>
      <c r="E561" t="inlineStr">
        <is>
          <t>LINKÖPING</t>
        </is>
      </c>
      <c r="G561" t="n">
        <v>4</v>
      </c>
      <c r="H561" t="n">
        <v>0</v>
      </c>
      <c r="I561" t="n">
        <v>0</v>
      </c>
      <c r="J561" t="n">
        <v>0</v>
      </c>
      <c r="K561" t="n">
        <v>0</v>
      </c>
      <c r="L561" t="n">
        <v>0</v>
      </c>
      <c r="M561" t="n">
        <v>0</v>
      </c>
      <c r="N561" t="n">
        <v>0</v>
      </c>
      <c r="O561" t="n">
        <v>0</v>
      </c>
      <c r="P561" t="n">
        <v>0</v>
      </c>
      <c r="Q561" t="n">
        <v>0</v>
      </c>
      <c r="R561" s="2" t="inlineStr"/>
    </row>
    <row r="562" ht="15" customHeight="1">
      <c r="A562" t="inlineStr">
        <is>
          <t>A 43473-2024</t>
        </is>
      </c>
      <c r="B562" s="1" t="n">
        <v>45568</v>
      </c>
      <c r="C562" s="1" t="n">
        <v>45890</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43475-2024</t>
        </is>
      </c>
      <c r="B563" s="1" t="n">
        <v>45568</v>
      </c>
      <c r="C563" s="1" t="n">
        <v>45890</v>
      </c>
      <c r="D563" t="inlineStr">
        <is>
          <t>ÖSTERGÖTLANDS LÄN</t>
        </is>
      </c>
      <c r="E563" t="inlineStr">
        <is>
          <t>LINKÖPING</t>
        </is>
      </c>
      <c r="G563" t="n">
        <v>3.2</v>
      </c>
      <c r="H563" t="n">
        <v>0</v>
      </c>
      <c r="I563" t="n">
        <v>0</v>
      </c>
      <c r="J563" t="n">
        <v>0</v>
      </c>
      <c r="K563" t="n">
        <v>0</v>
      </c>
      <c r="L563" t="n">
        <v>0</v>
      </c>
      <c r="M563" t="n">
        <v>0</v>
      </c>
      <c r="N563" t="n">
        <v>0</v>
      </c>
      <c r="O563" t="n">
        <v>0</v>
      </c>
      <c r="P563" t="n">
        <v>0</v>
      </c>
      <c r="Q563" t="n">
        <v>0</v>
      </c>
      <c r="R563" s="2" t="inlineStr"/>
    </row>
    <row r="564" ht="15" customHeight="1">
      <c r="A564" t="inlineStr">
        <is>
          <t>A 1207-2023</t>
        </is>
      </c>
      <c r="B564" s="1" t="n">
        <v>44930</v>
      </c>
      <c r="C564" s="1" t="n">
        <v>45890</v>
      </c>
      <c r="D564" t="inlineStr">
        <is>
          <t>ÖSTERGÖTLANDS LÄN</t>
        </is>
      </c>
      <c r="E564" t="inlineStr">
        <is>
          <t>LINKÖPING</t>
        </is>
      </c>
      <c r="F564" t="inlineStr">
        <is>
          <t>Övriga statliga verk och myndigheter</t>
        </is>
      </c>
      <c r="G564" t="n">
        <v>32.8</v>
      </c>
      <c r="H564" t="n">
        <v>0</v>
      </c>
      <c r="I564" t="n">
        <v>0</v>
      </c>
      <c r="J564" t="n">
        <v>0</v>
      </c>
      <c r="K564" t="n">
        <v>0</v>
      </c>
      <c r="L564" t="n">
        <v>0</v>
      </c>
      <c r="M564" t="n">
        <v>0</v>
      </c>
      <c r="N564" t="n">
        <v>0</v>
      </c>
      <c r="O564" t="n">
        <v>0</v>
      </c>
      <c r="P564" t="n">
        <v>0</v>
      </c>
      <c r="Q564" t="n">
        <v>0</v>
      </c>
      <c r="R564" s="2" t="inlineStr"/>
    </row>
    <row r="565" ht="15" customHeight="1">
      <c r="A565" t="inlineStr">
        <is>
          <t>A 29859-2024</t>
        </is>
      </c>
      <c r="B565" s="1" t="n">
        <v>45485.6846412037</v>
      </c>
      <c r="C565" s="1" t="n">
        <v>45890</v>
      </c>
      <c r="D565" t="inlineStr">
        <is>
          <t>ÖSTERGÖTLANDS LÄN</t>
        </is>
      </c>
      <c r="E565" t="inlineStr">
        <is>
          <t>LINKÖPING</t>
        </is>
      </c>
      <c r="G565" t="n">
        <v>0.4</v>
      </c>
      <c r="H565" t="n">
        <v>0</v>
      </c>
      <c r="I565" t="n">
        <v>0</v>
      </c>
      <c r="J565" t="n">
        <v>0</v>
      </c>
      <c r="K565" t="n">
        <v>0</v>
      </c>
      <c r="L565" t="n">
        <v>0</v>
      </c>
      <c r="M565" t="n">
        <v>0</v>
      </c>
      <c r="N565" t="n">
        <v>0</v>
      </c>
      <c r="O565" t="n">
        <v>0</v>
      </c>
      <c r="P565" t="n">
        <v>0</v>
      </c>
      <c r="Q565" t="n">
        <v>0</v>
      </c>
      <c r="R565" s="2" t="inlineStr"/>
    </row>
    <row r="566" ht="15" customHeight="1">
      <c r="A566" t="inlineStr">
        <is>
          <t>A 45819-2024</t>
        </is>
      </c>
      <c r="B566" s="1" t="n">
        <v>45579.7454050926</v>
      </c>
      <c r="C566" s="1" t="n">
        <v>45890</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30980-2022</t>
        </is>
      </c>
      <c r="B567" s="1" t="n">
        <v>44768</v>
      </c>
      <c r="C567" s="1" t="n">
        <v>45890</v>
      </c>
      <c r="D567" t="inlineStr">
        <is>
          <t>ÖSTERGÖTLANDS LÄN</t>
        </is>
      </c>
      <c r="E567" t="inlineStr">
        <is>
          <t>LINKÖPING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15748-2025</t>
        </is>
      </c>
      <c r="B568" s="1" t="n">
        <v>45748.55282407408</v>
      </c>
      <c r="C568" s="1" t="n">
        <v>45890</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15754-2025</t>
        </is>
      </c>
      <c r="B569" s="1" t="n">
        <v>45748.56105324074</v>
      </c>
      <c r="C569" s="1" t="n">
        <v>45890</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30518-2024</t>
        </is>
      </c>
      <c r="B570" s="1" t="n">
        <v>45492</v>
      </c>
      <c r="C570" s="1" t="n">
        <v>45890</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53797-2023</t>
        </is>
      </c>
      <c r="B571" s="1" t="n">
        <v>45230</v>
      </c>
      <c r="C571" s="1" t="n">
        <v>45890</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60007-2022</t>
        </is>
      </c>
      <c r="B572" s="1" t="n">
        <v>44909.47282407407</v>
      </c>
      <c r="C572" s="1" t="n">
        <v>45890</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37057-2025</t>
        </is>
      </c>
      <c r="B573" s="1" t="n">
        <v>45875.37489583333</v>
      </c>
      <c r="C573" s="1" t="n">
        <v>45890</v>
      </c>
      <c r="D573" t="inlineStr">
        <is>
          <t>ÖSTERGÖTLANDS LÄN</t>
        </is>
      </c>
      <c r="E573" t="inlineStr">
        <is>
          <t>LINKÖPING</t>
        </is>
      </c>
      <c r="G573" t="n">
        <v>3.3</v>
      </c>
      <c r="H573" t="n">
        <v>0</v>
      </c>
      <c r="I573" t="n">
        <v>0</v>
      </c>
      <c r="J573" t="n">
        <v>0</v>
      </c>
      <c r="K573" t="n">
        <v>0</v>
      </c>
      <c r="L573" t="n">
        <v>0</v>
      </c>
      <c r="M573" t="n">
        <v>0</v>
      </c>
      <c r="N573" t="n">
        <v>0</v>
      </c>
      <c r="O573" t="n">
        <v>0</v>
      </c>
      <c r="P573" t="n">
        <v>0</v>
      </c>
      <c r="Q573" t="n">
        <v>0</v>
      </c>
      <c r="R573" s="2" t="inlineStr"/>
    </row>
    <row r="574" ht="15" customHeight="1">
      <c r="A574" t="inlineStr">
        <is>
          <t>A 50799-2022</t>
        </is>
      </c>
      <c r="B574" s="1" t="n">
        <v>44862</v>
      </c>
      <c r="C574" s="1" t="n">
        <v>45890</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31581-2025</t>
        </is>
      </c>
      <c r="B575" s="1" t="n">
        <v>45833.6840162037</v>
      </c>
      <c r="C575" s="1" t="n">
        <v>45890</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31585-2025</t>
        </is>
      </c>
      <c r="B576" s="1" t="n">
        <v>45833.68815972222</v>
      </c>
      <c r="C576" s="1" t="n">
        <v>45890</v>
      </c>
      <c r="D576" t="inlineStr">
        <is>
          <t>ÖSTERGÖTLANDS LÄN</t>
        </is>
      </c>
      <c r="E576" t="inlineStr">
        <is>
          <t>LINKÖPING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55345-2021</t>
        </is>
      </c>
      <c r="B577" s="1" t="n">
        <v>44475</v>
      </c>
      <c r="C577" s="1" t="n">
        <v>45890</v>
      </c>
      <c r="D577" t="inlineStr">
        <is>
          <t>ÖSTERGÖTLANDS LÄN</t>
        </is>
      </c>
      <c r="E577" t="inlineStr">
        <is>
          <t>LINKÖPING</t>
        </is>
      </c>
      <c r="G577" t="n">
        <v>5.7</v>
      </c>
      <c r="H577" t="n">
        <v>0</v>
      </c>
      <c r="I577" t="n">
        <v>0</v>
      </c>
      <c r="J577" t="n">
        <v>0</v>
      </c>
      <c r="K577" t="n">
        <v>0</v>
      </c>
      <c r="L577" t="n">
        <v>0</v>
      </c>
      <c r="M577" t="n">
        <v>0</v>
      </c>
      <c r="N577" t="n">
        <v>0</v>
      </c>
      <c r="O577" t="n">
        <v>0</v>
      </c>
      <c r="P577" t="n">
        <v>0</v>
      </c>
      <c r="Q577" t="n">
        <v>0</v>
      </c>
      <c r="R577" s="2" t="inlineStr"/>
    </row>
    <row r="578" ht="15" customHeight="1">
      <c r="A578" t="inlineStr">
        <is>
          <t>A 59954-2020</t>
        </is>
      </c>
      <c r="B578" s="1" t="n">
        <v>44151</v>
      </c>
      <c r="C578" s="1" t="n">
        <v>45890</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59969-2020</t>
        </is>
      </c>
      <c r="B579" s="1" t="n">
        <v>44151</v>
      </c>
      <c r="C579" s="1" t="n">
        <v>45890</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56064-2022</t>
        </is>
      </c>
      <c r="B580" s="1" t="n">
        <v>44889.59107638889</v>
      </c>
      <c r="C580" s="1" t="n">
        <v>45890</v>
      </c>
      <c r="D580" t="inlineStr">
        <is>
          <t>ÖSTERGÖTLANDS LÄN</t>
        </is>
      </c>
      <c r="E580" t="inlineStr">
        <is>
          <t>LINKÖPING</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47703-2023</t>
        </is>
      </c>
      <c r="B581" s="1" t="n">
        <v>45203</v>
      </c>
      <c r="C581" s="1" t="n">
        <v>45890</v>
      </c>
      <c r="D581" t="inlineStr">
        <is>
          <t>ÖSTERGÖTLANDS LÄN</t>
        </is>
      </c>
      <c r="E581" t="inlineStr">
        <is>
          <t>LINKÖPING</t>
        </is>
      </c>
      <c r="G581" t="n">
        <v>4.1</v>
      </c>
      <c r="H581" t="n">
        <v>0</v>
      </c>
      <c r="I581" t="n">
        <v>0</v>
      </c>
      <c r="J581" t="n">
        <v>0</v>
      </c>
      <c r="K581" t="n">
        <v>0</v>
      </c>
      <c r="L581" t="n">
        <v>0</v>
      </c>
      <c r="M581" t="n">
        <v>0</v>
      </c>
      <c r="N581" t="n">
        <v>0</v>
      </c>
      <c r="O581" t="n">
        <v>0</v>
      </c>
      <c r="P581" t="n">
        <v>0</v>
      </c>
      <c r="Q581" t="n">
        <v>0</v>
      </c>
      <c r="R581" s="2" t="inlineStr"/>
    </row>
    <row r="582" ht="15" customHeight="1">
      <c r="A582" t="inlineStr">
        <is>
          <t>A 10198-2023</t>
        </is>
      </c>
      <c r="B582" s="1" t="n">
        <v>44986.54665509259</v>
      </c>
      <c r="C582" s="1" t="n">
        <v>45890</v>
      </c>
      <c r="D582" t="inlineStr">
        <is>
          <t>ÖSTERGÖTLANDS LÄN</t>
        </is>
      </c>
      <c r="E582" t="inlineStr">
        <is>
          <t>LINKÖPING</t>
        </is>
      </c>
      <c r="G582" t="n">
        <v>4.6</v>
      </c>
      <c r="H582" t="n">
        <v>0</v>
      </c>
      <c r="I582" t="n">
        <v>0</v>
      </c>
      <c r="J582" t="n">
        <v>0</v>
      </c>
      <c r="K582" t="n">
        <v>0</v>
      </c>
      <c r="L582" t="n">
        <v>0</v>
      </c>
      <c r="M582" t="n">
        <v>0</v>
      </c>
      <c r="N582" t="n">
        <v>0</v>
      </c>
      <c r="O582" t="n">
        <v>0</v>
      </c>
      <c r="P582" t="n">
        <v>0</v>
      </c>
      <c r="Q582" t="n">
        <v>0</v>
      </c>
      <c r="R582" s="2" t="inlineStr"/>
    </row>
    <row r="583" ht="15" customHeight="1">
      <c r="A583" t="inlineStr">
        <is>
          <t>A 4298-2023</t>
        </is>
      </c>
      <c r="B583" s="1" t="n">
        <v>44953</v>
      </c>
      <c r="C583" s="1" t="n">
        <v>45890</v>
      </c>
      <c r="D583" t="inlineStr">
        <is>
          <t>ÖSTERGÖTLANDS LÄN</t>
        </is>
      </c>
      <c r="E583" t="inlineStr">
        <is>
          <t>LINKÖPING</t>
        </is>
      </c>
      <c r="G583" t="n">
        <v>2.8</v>
      </c>
      <c r="H583" t="n">
        <v>0</v>
      </c>
      <c r="I583" t="n">
        <v>0</v>
      </c>
      <c r="J583" t="n">
        <v>0</v>
      </c>
      <c r="K583" t="n">
        <v>0</v>
      </c>
      <c r="L583" t="n">
        <v>0</v>
      </c>
      <c r="M583" t="n">
        <v>0</v>
      </c>
      <c r="N583" t="n">
        <v>0</v>
      </c>
      <c r="O583" t="n">
        <v>0</v>
      </c>
      <c r="P583" t="n">
        <v>0</v>
      </c>
      <c r="Q583" t="n">
        <v>0</v>
      </c>
      <c r="R583" s="2" t="inlineStr"/>
    </row>
    <row r="584" ht="15" customHeight="1">
      <c r="A584" t="inlineStr">
        <is>
          <t>A 25825-2025</t>
        </is>
      </c>
      <c r="B584" s="1" t="n">
        <v>45804</v>
      </c>
      <c r="C584" s="1" t="n">
        <v>45890</v>
      </c>
      <c r="D584" t="inlineStr">
        <is>
          <t>ÖSTERGÖTLANDS LÄN</t>
        </is>
      </c>
      <c r="E584" t="inlineStr">
        <is>
          <t>LINKÖPING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12428-2024</t>
        </is>
      </c>
      <c r="B585" s="1" t="n">
        <v>45379</v>
      </c>
      <c r="C585" s="1" t="n">
        <v>45890</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26618-2023</t>
        </is>
      </c>
      <c r="B586" s="1" t="n">
        <v>45092.70306712963</v>
      </c>
      <c r="C586" s="1" t="n">
        <v>45890</v>
      </c>
      <c r="D586" t="inlineStr">
        <is>
          <t>ÖSTERGÖTLANDS LÄN</t>
        </is>
      </c>
      <c r="E586" t="inlineStr">
        <is>
          <t>LINKÖPING</t>
        </is>
      </c>
      <c r="G586" t="n">
        <v>6.9</v>
      </c>
      <c r="H586" t="n">
        <v>0</v>
      </c>
      <c r="I586" t="n">
        <v>0</v>
      </c>
      <c r="J586" t="n">
        <v>0</v>
      </c>
      <c r="K586" t="n">
        <v>0</v>
      </c>
      <c r="L586" t="n">
        <v>0</v>
      </c>
      <c r="M586" t="n">
        <v>0</v>
      </c>
      <c r="N586" t="n">
        <v>0</v>
      </c>
      <c r="O586" t="n">
        <v>0</v>
      </c>
      <c r="P586" t="n">
        <v>0</v>
      </c>
      <c r="Q586" t="n">
        <v>0</v>
      </c>
      <c r="R586" s="2" t="inlineStr"/>
    </row>
    <row r="587" ht="15" customHeight="1">
      <c r="A587" t="inlineStr">
        <is>
          <t>A 16111-2022</t>
        </is>
      </c>
      <c r="B587" s="1" t="n">
        <v>44665</v>
      </c>
      <c r="C587" s="1" t="n">
        <v>45890</v>
      </c>
      <c r="D587" t="inlineStr">
        <is>
          <t>ÖSTERGÖTLANDS LÄN</t>
        </is>
      </c>
      <c r="E587" t="inlineStr">
        <is>
          <t>LINKÖPING</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34930-2023</t>
        </is>
      </c>
      <c r="B588" s="1" t="n">
        <v>45142</v>
      </c>
      <c r="C588" s="1" t="n">
        <v>45890</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670-2024</t>
        </is>
      </c>
      <c r="B589" s="1" t="n">
        <v>45300.3408912037</v>
      </c>
      <c r="C589" s="1" t="n">
        <v>45890</v>
      </c>
      <c r="D589" t="inlineStr">
        <is>
          <t>ÖSTERGÖTLANDS LÄN</t>
        </is>
      </c>
      <c r="E589" t="inlineStr">
        <is>
          <t>LINKÖPING</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48962-2022</t>
        </is>
      </c>
      <c r="B590" s="1" t="n">
        <v>44860.31635416667</v>
      </c>
      <c r="C590" s="1" t="n">
        <v>45890</v>
      </c>
      <c r="D590" t="inlineStr">
        <is>
          <t>ÖSTERGÖTLANDS LÄN</t>
        </is>
      </c>
      <c r="E590" t="inlineStr">
        <is>
          <t>LINKÖPING</t>
        </is>
      </c>
      <c r="G590" t="n">
        <v>2.9</v>
      </c>
      <c r="H590" t="n">
        <v>0</v>
      </c>
      <c r="I590" t="n">
        <v>0</v>
      </c>
      <c r="J590" t="n">
        <v>0</v>
      </c>
      <c r="K590" t="n">
        <v>0</v>
      </c>
      <c r="L590" t="n">
        <v>0</v>
      </c>
      <c r="M590" t="n">
        <v>0</v>
      </c>
      <c r="N590" t="n">
        <v>0</v>
      </c>
      <c r="O590" t="n">
        <v>0</v>
      </c>
      <c r="P590" t="n">
        <v>0</v>
      </c>
      <c r="Q590" t="n">
        <v>0</v>
      </c>
      <c r="R590" s="2" t="inlineStr"/>
    </row>
    <row r="591" ht="15" customHeight="1">
      <c r="A591" t="inlineStr">
        <is>
          <t>A 63845-2021</t>
        </is>
      </c>
      <c r="B591" s="1" t="n">
        <v>44509</v>
      </c>
      <c r="C591" s="1" t="n">
        <v>45890</v>
      </c>
      <c r="D591" t="inlineStr">
        <is>
          <t>ÖSTERGÖTLANDS LÄN</t>
        </is>
      </c>
      <c r="E591" t="inlineStr">
        <is>
          <t>LINKÖPING</t>
        </is>
      </c>
      <c r="G591" t="n">
        <v>5</v>
      </c>
      <c r="H591" t="n">
        <v>0</v>
      </c>
      <c r="I591" t="n">
        <v>0</v>
      </c>
      <c r="J591" t="n">
        <v>0</v>
      </c>
      <c r="K591" t="n">
        <v>0</v>
      </c>
      <c r="L591" t="n">
        <v>0</v>
      </c>
      <c r="M591" t="n">
        <v>0</v>
      </c>
      <c r="N591" t="n">
        <v>0</v>
      </c>
      <c r="O591" t="n">
        <v>0</v>
      </c>
      <c r="P591" t="n">
        <v>0</v>
      </c>
      <c r="Q591" t="n">
        <v>0</v>
      </c>
      <c r="R591" s="2" t="inlineStr"/>
    </row>
    <row r="592" ht="15" customHeight="1">
      <c r="A592" t="inlineStr">
        <is>
          <t>A 27891-2021</t>
        </is>
      </c>
      <c r="B592" s="1" t="n">
        <v>44354.65108796296</v>
      </c>
      <c r="C592" s="1" t="n">
        <v>45890</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54491-2020</t>
        </is>
      </c>
      <c r="B593" s="1" t="n">
        <v>44126.64</v>
      </c>
      <c r="C593" s="1" t="n">
        <v>45890</v>
      </c>
      <c r="D593" t="inlineStr">
        <is>
          <t>ÖSTERGÖTLANDS LÄN</t>
        </is>
      </c>
      <c r="E593" t="inlineStr">
        <is>
          <t>LINKÖPING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54034-2022</t>
        </is>
      </c>
      <c r="B594" s="1" t="n">
        <v>44881</v>
      </c>
      <c r="C594" s="1" t="n">
        <v>45890</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36336-2023</t>
        </is>
      </c>
      <c r="B595" s="1" t="n">
        <v>45152.45078703704</v>
      </c>
      <c r="C595" s="1" t="n">
        <v>45890</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48829-2023</t>
        </is>
      </c>
      <c r="B596" s="1" t="n">
        <v>45209.38177083333</v>
      </c>
      <c r="C596" s="1" t="n">
        <v>45890</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1268-2023</t>
        </is>
      </c>
      <c r="B597" s="1" t="n">
        <v>44936</v>
      </c>
      <c r="C597" s="1" t="n">
        <v>45890</v>
      </c>
      <c r="D597" t="inlineStr">
        <is>
          <t>ÖSTERGÖTLANDS LÄN</t>
        </is>
      </c>
      <c r="E597" t="inlineStr">
        <is>
          <t>LINKÖPING</t>
        </is>
      </c>
      <c r="G597" t="n">
        <v>4.6</v>
      </c>
      <c r="H597" t="n">
        <v>0</v>
      </c>
      <c r="I597" t="n">
        <v>0</v>
      </c>
      <c r="J597" t="n">
        <v>0</v>
      </c>
      <c r="K597" t="n">
        <v>0</v>
      </c>
      <c r="L597" t="n">
        <v>0</v>
      </c>
      <c r="M597" t="n">
        <v>0</v>
      </c>
      <c r="N597" t="n">
        <v>0</v>
      </c>
      <c r="O597" t="n">
        <v>0</v>
      </c>
      <c r="P597" t="n">
        <v>0</v>
      </c>
      <c r="Q597" t="n">
        <v>0</v>
      </c>
      <c r="R597" s="2" t="inlineStr"/>
    </row>
    <row r="598" ht="15" customHeight="1">
      <c r="A598" t="inlineStr">
        <is>
          <t>A 45506-2020</t>
        </is>
      </c>
      <c r="B598" s="1" t="n">
        <v>44089</v>
      </c>
      <c r="C598" s="1" t="n">
        <v>45890</v>
      </c>
      <c r="D598" t="inlineStr">
        <is>
          <t>ÖSTERGÖTLANDS LÄN</t>
        </is>
      </c>
      <c r="E598" t="inlineStr">
        <is>
          <t>LINKÖPING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32723-2025</t>
        </is>
      </c>
      <c r="B599" s="1" t="n">
        <v>45838</v>
      </c>
      <c r="C599" s="1" t="n">
        <v>45890</v>
      </c>
      <c r="D599" t="inlineStr">
        <is>
          <t>ÖSTERGÖTLANDS LÄN</t>
        </is>
      </c>
      <c r="E599" t="inlineStr">
        <is>
          <t>LINKÖPING</t>
        </is>
      </c>
      <c r="G599" t="n">
        <v>2.1</v>
      </c>
      <c r="H599" t="n">
        <v>0</v>
      </c>
      <c r="I599" t="n">
        <v>0</v>
      </c>
      <c r="J599" t="n">
        <v>0</v>
      </c>
      <c r="K599" t="n">
        <v>0</v>
      </c>
      <c r="L599" t="n">
        <v>0</v>
      </c>
      <c r="M599" t="n">
        <v>0</v>
      </c>
      <c r="N599" t="n">
        <v>0</v>
      </c>
      <c r="O599" t="n">
        <v>0</v>
      </c>
      <c r="P599" t="n">
        <v>0</v>
      </c>
      <c r="Q599" t="n">
        <v>0</v>
      </c>
      <c r="R599" s="2" t="inlineStr"/>
    </row>
    <row r="600" ht="15" customHeight="1">
      <c r="A600" t="inlineStr">
        <is>
          <t>A 62687-2023</t>
        </is>
      </c>
      <c r="B600" s="1" t="n">
        <v>45271</v>
      </c>
      <c r="C600" s="1" t="n">
        <v>45890</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34641-2022</t>
        </is>
      </c>
      <c r="B601" s="1" t="n">
        <v>44795</v>
      </c>
      <c r="C601" s="1" t="n">
        <v>45890</v>
      </c>
      <c r="D601" t="inlineStr">
        <is>
          <t>ÖSTERGÖTLANDS LÄN</t>
        </is>
      </c>
      <c r="E601" t="inlineStr">
        <is>
          <t>LINKÖPING</t>
        </is>
      </c>
      <c r="G601" t="n">
        <v>2.4</v>
      </c>
      <c r="H601" t="n">
        <v>0</v>
      </c>
      <c r="I601" t="n">
        <v>0</v>
      </c>
      <c r="J601" t="n">
        <v>0</v>
      </c>
      <c r="K601" t="n">
        <v>0</v>
      </c>
      <c r="L601" t="n">
        <v>0</v>
      </c>
      <c r="M601" t="n">
        <v>0</v>
      </c>
      <c r="N601" t="n">
        <v>0</v>
      </c>
      <c r="O601" t="n">
        <v>0</v>
      </c>
      <c r="P601" t="n">
        <v>0</v>
      </c>
      <c r="Q601" t="n">
        <v>0</v>
      </c>
      <c r="R601" s="2" t="inlineStr"/>
    </row>
    <row r="602" ht="15" customHeight="1">
      <c r="A602" t="inlineStr">
        <is>
          <t>A 938-2023</t>
        </is>
      </c>
      <c r="B602" s="1" t="n">
        <v>44933</v>
      </c>
      <c r="C602" s="1" t="n">
        <v>45890</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2389-2023</t>
        </is>
      </c>
      <c r="B603" s="1" t="n">
        <v>44942</v>
      </c>
      <c r="C603" s="1" t="n">
        <v>45890</v>
      </c>
      <c r="D603" t="inlineStr">
        <is>
          <t>ÖSTERGÖTLANDS LÄN</t>
        </is>
      </c>
      <c r="E603" t="inlineStr">
        <is>
          <t>LINKÖPING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38046-2025</t>
        </is>
      </c>
      <c r="B604" s="1" t="n">
        <v>45882.39939814815</v>
      </c>
      <c r="C604" s="1" t="n">
        <v>45890</v>
      </c>
      <c r="D604" t="inlineStr">
        <is>
          <t>ÖSTERGÖTLANDS LÄN</t>
        </is>
      </c>
      <c r="E604" t="inlineStr">
        <is>
          <t>LINKÖPING</t>
        </is>
      </c>
      <c r="G604" t="n">
        <v>1.3</v>
      </c>
      <c r="H604" t="n">
        <v>0</v>
      </c>
      <c r="I604" t="n">
        <v>0</v>
      </c>
      <c r="J604" t="n">
        <v>0</v>
      </c>
      <c r="K604" t="n">
        <v>0</v>
      </c>
      <c r="L604" t="n">
        <v>0</v>
      </c>
      <c r="M604" t="n">
        <v>0</v>
      </c>
      <c r="N604" t="n">
        <v>0</v>
      </c>
      <c r="O604" t="n">
        <v>0</v>
      </c>
      <c r="P604" t="n">
        <v>0</v>
      </c>
      <c r="Q604" t="n">
        <v>0</v>
      </c>
      <c r="R604" s="2" t="inlineStr"/>
    </row>
    <row r="605" ht="15" customHeight="1">
      <c r="A605" t="inlineStr">
        <is>
          <t>A 48-2024</t>
        </is>
      </c>
      <c r="B605" s="1" t="n">
        <v>45293</v>
      </c>
      <c r="C605" s="1" t="n">
        <v>45890</v>
      </c>
      <c r="D605" t="inlineStr">
        <is>
          <t>ÖSTERGÖTLANDS LÄN</t>
        </is>
      </c>
      <c r="E605" t="inlineStr">
        <is>
          <t>LINKÖPING</t>
        </is>
      </c>
      <c r="G605" t="n">
        <v>4.6</v>
      </c>
      <c r="H605" t="n">
        <v>0</v>
      </c>
      <c r="I605" t="n">
        <v>0</v>
      </c>
      <c r="J605" t="n">
        <v>0</v>
      </c>
      <c r="K605" t="n">
        <v>0</v>
      </c>
      <c r="L605" t="n">
        <v>0</v>
      </c>
      <c r="M605" t="n">
        <v>0</v>
      </c>
      <c r="N605" t="n">
        <v>0</v>
      </c>
      <c r="O605" t="n">
        <v>0</v>
      </c>
      <c r="P605" t="n">
        <v>0</v>
      </c>
      <c r="Q605" t="n">
        <v>0</v>
      </c>
      <c r="R605" s="2" t="inlineStr"/>
    </row>
    <row r="606" ht="15" customHeight="1">
      <c r="A606" t="inlineStr">
        <is>
          <t>A 45771-2023</t>
        </is>
      </c>
      <c r="B606" s="1" t="n">
        <v>45195.4384375</v>
      </c>
      <c r="C606" s="1" t="n">
        <v>45890</v>
      </c>
      <c r="D606" t="inlineStr">
        <is>
          <t>ÖSTERGÖTLANDS LÄN</t>
        </is>
      </c>
      <c r="E606" t="inlineStr">
        <is>
          <t>LINKÖPING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30547-2023</t>
        </is>
      </c>
      <c r="B607" s="1" t="n">
        <v>45111.75905092592</v>
      </c>
      <c r="C607" s="1" t="n">
        <v>45890</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40502-2024</t>
        </is>
      </c>
      <c r="B608" s="1" t="n">
        <v>45555.57263888889</v>
      </c>
      <c r="C608" s="1" t="n">
        <v>45890</v>
      </c>
      <c r="D608" t="inlineStr">
        <is>
          <t>ÖSTERGÖTLANDS LÄN</t>
        </is>
      </c>
      <c r="E608" t="inlineStr">
        <is>
          <t>LINKÖPING</t>
        </is>
      </c>
      <c r="F608" t="inlineStr">
        <is>
          <t>Allmännings- och besparingsskogar</t>
        </is>
      </c>
      <c r="G608" t="n">
        <v>17.5</v>
      </c>
      <c r="H608" t="n">
        <v>0</v>
      </c>
      <c r="I608" t="n">
        <v>0</v>
      </c>
      <c r="J608" t="n">
        <v>0</v>
      </c>
      <c r="K608" t="n">
        <v>0</v>
      </c>
      <c r="L608" t="n">
        <v>0</v>
      </c>
      <c r="M608" t="n">
        <v>0</v>
      </c>
      <c r="N608" t="n">
        <v>0</v>
      </c>
      <c r="O608" t="n">
        <v>0</v>
      </c>
      <c r="P608" t="n">
        <v>0</v>
      </c>
      <c r="Q608" t="n">
        <v>0</v>
      </c>
      <c r="R608" s="2" t="inlineStr"/>
    </row>
    <row r="609" ht="15" customHeight="1">
      <c r="A609" t="inlineStr">
        <is>
          <t>A 48186-2022</t>
        </is>
      </c>
      <c r="B609" s="1" t="n">
        <v>44858</v>
      </c>
      <c r="C609" s="1" t="n">
        <v>45890</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63669-2023</t>
        </is>
      </c>
      <c r="B610" s="1" t="n">
        <v>45275</v>
      </c>
      <c r="C610" s="1" t="n">
        <v>45890</v>
      </c>
      <c r="D610" t="inlineStr">
        <is>
          <t>ÖSTERGÖTLANDS LÄN</t>
        </is>
      </c>
      <c r="E610" t="inlineStr">
        <is>
          <t>LINKÖPING</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24586-2024</t>
        </is>
      </c>
      <c r="B611" s="1" t="n">
        <v>45460.46664351852</v>
      </c>
      <c r="C611" s="1" t="n">
        <v>45890</v>
      </c>
      <c r="D611" t="inlineStr">
        <is>
          <t>ÖSTERGÖTLANDS LÄN</t>
        </is>
      </c>
      <c r="E611" t="inlineStr">
        <is>
          <t>LINKÖPING</t>
        </is>
      </c>
      <c r="G611" t="n">
        <v>4</v>
      </c>
      <c r="H611" t="n">
        <v>0</v>
      </c>
      <c r="I611" t="n">
        <v>0</v>
      </c>
      <c r="J611" t="n">
        <v>0</v>
      </c>
      <c r="K611" t="n">
        <v>0</v>
      </c>
      <c r="L611" t="n">
        <v>0</v>
      </c>
      <c r="M611" t="n">
        <v>0</v>
      </c>
      <c r="N611" t="n">
        <v>0</v>
      </c>
      <c r="O611" t="n">
        <v>0</v>
      </c>
      <c r="P611" t="n">
        <v>0</v>
      </c>
      <c r="Q611" t="n">
        <v>0</v>
      </c>
      <c r="R611" s="2" t="inlineStr"/>
    </row>
    <row r="612" ht="15" customHeight="1">
      <c r="A612" t="inlineStr">
        <is>
          <t>A 59576-2024</t>
        </is>
      </c>
      <c r="B612" s="1" t="n">
        <v>45638.66378472222</v>
      </c>
      <c r="C612" s="1" t="n">
        <v>45890</v>
      </c>
      <c r="D612" t="inlineStr">
        <is>
          <t>ÖSTERGÖTLANDS LÄN</t>
        </is>
      </c>
      <c r="E612" t="inlineStr">
        <is>
          <t>LINKÖPING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59642-2024</t>
        </is>
      </c>
      <c r="B613" s="1" t="n">
        <v>45639.31511574074</v>
      </c>
      <c r="C613" s="1" t="n">
        <v>45890</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59674-2024</t>
        </is>
      </c>
      <c r="B614" s="1" t="n">
        <v>45639</v>
      </c>
      <c r="C614" s="1" t="n">
        <v>45890</v>
      </c>
      <c r="D614" t="inlineStr">
        <is>
          <t>ÖSTERGÖTLANDS LÄN</t>
        </is>
      </c>
      <c r="E614" t="inlineStr">
        <is>
          <t>LINKÖPING</t>
        </is>
      </c>
      <c r="G614" t="n">
        <v>6.3</v>
      </c>
      <c r="H614" t="n">
        <v>0</v>
      </c>
      <c r="I614" t="n">
        <v>0</v>
      </c>
      <c r="J614" t="n">
        <v>0</v>
      </c>
      <c r="K614" t="n">
        <v>0</v>
      </c>
      <c r="L614" t="n">
        <v>0</v>
      </c>
      <c r="M614" t="n">
        <v>0</v>
      </c>
      <c r="N614" t="n">
        <v>0</v>
      </c>
      <c r="O614" t="n">
        <v>0</v>
      </c>
      <c r="P614" t="n">
        <v>0</v>
      </c>
      <c r="Q614" t="n">
        <v>0</v>
      </c>
      <c r="R614" s="2" t="inlineStr"/>
    </row>
    <row r="615" ht="15" customHeight="1">
      <c r="A615" t="inlineStr">
        <is>
          <t>A 3742-2021</t>
        </is>
      </c>
      <c r="B615" s="1" t="n">
        <v>44221</v>
      </c>
      <c r="C615" s="1" t="n">
        <v>45890</v>
      </c>
      <c r="D615" t="inlineStr">
        <is>
          <t>ÖSTERGÖTLANDS LÄN</t>
        </is>
      </c>
      <c r="E615" t="inlineStr">
        <is>
          <t>LINKÖPING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18916-2024</t>
        </is>
      </c>
      <c r="B616" s="1" t="n">
        <v>45427.39541666667</v>
      </c>
      <c r="C616" s="1" t="n">
        <v>45890</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24464-2023</t>
        </is>
      </c>
      <c r="B617" s="1" t="n">
        <v>45082.58068287037</v>
      </c>
      <c r="C617" s="1" t="n">
        <v>45890</v>
      </c>
      <c r="D617" t="inlineStr">
        <is>
          <t>ÖSTERGÖTLANDS LÄN</t>
        </is>
      </c>
      <c r="E617" t="inlineStr">
        <is>
          <t>LINKÖPING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24467-2023</t>
        </is>
      </c>
      <c r="B618" s="1" t="n">
        <v>45082</v>
      </c>
      <c r="C618" s="1" t="n">
        <v>45890</v>
      </c>
      <c r="D618" t="inlineStr">
        <is>
          <t>ÖSTERGÖTLANDS LÄN</t>
        </is>
      </c>
      <c r="E618" t="inlineStr">
        <is>
          <t>LINKÖPING</t>
        </is>
      </c>
      <c r="G618" t="n">
        <v>2.4</v>
      </c>
      <c r="H618" t="n">
        <v>0</v>
      </c>
      <c r="I618" t="n">
        <v>0</v>
      </c>
      <c r="J618" t="n">
        <v>0</v>
      </c>
      <c r="K618" t="n">
        <v>0</v>
      </c>
      <c r="L618" t="n">
        <v>0</v>
      </c>
      <c r="M618" t="n">
        <v>0</v>
      </c>
      <c r="N618" t="n">
        <v>0</v>
      </c>
      <c r="O618" t="n">
        <v>0</v>
      </c>
      <c r="P618" t="n">
        <v>0</v>
      </c>
      <c r="Q618" t="n">
        <v>0</v>
      </c>
      <c r="R618" s="2" t="inlineStr"/>
    </row>
    <row r="619" ht="15" customHeight="1">
      <c r="A619" t="inlineStr">
        <is>
          <t>A 48389-2024</t>
        </is>
      </c>
      <c r="B619" s="1" t="n">
        <v>45590.59991898148</v>
      </c>
      <c r="C619" s="1" t="n">
        <v>45890</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11084-2022</t>
        </is>
      </c>
      <c r="B620" s="1" t="n">
        <v>44628</v>
      </c>
      <c r="C620" s="1" t="n">
        <v>45890</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56792-2023</t>
        </is>
      </c>
      <c r="B621" s="1" t="n">
        <v>45244</v>
      </c>
      <c r="C621" s="1" t="n">
        <v>45890</v>
      </c>
      <c r="D621" t="inlineStr">
        <is>
          <t>ÖSTERGÖTLANDS LÄN</t>
        </is>
      </c>
      <c r="E621" t="inlineStr">
        <is>
          <t>LINKÖPING</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10203-2023</t>
        </is>
      </c>
      <c r="B622" s="1" t="n">
        <v>44986.55711805556</v>
      </c>
      <c r="C622" s="1" t="n">
        <v>45890</v>
      </c>
      <c r="D622" t="inlineStr">
        <is>
          <t>ÖSTERGÖTLANDS LÄN</t>
        </is>
      </c>
      <c r="E622" t="inlineStr">
        <is>
          <t>LINKÖPING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39017-2021</t>
        </is>
      </c>
      <c r="B623" s="1" t="n">
        <v>44412</v>
      </c>
      <c r="C623" s="1" t="n">
        <v>45890</v>
      </c>
      <c r="D623" t="inlineStr">
        <is>
          <t>ÖSTERGÖTLANDS LÄN</t>
        </is>
      </c>
      <c r="E623" t="inlineStr">
        <is>
          <t>LINKÖPING</t>
        </is>
      </c>
      <c r="F623" t="inlineStr">
        <is>
          <t>Övriga statliga verk och myndigheter</t>
        </is>
      </c>
      <c r="G623" t="n">
        <v>0.8</v>
      </c>
      <c r="H623" t="n">
        <v>0</v>
      </c>
      <c r="I623" t="n">
        <v>0</v>
      </c>
      <c r="J623" t="n">
        <v>0</v>
      </c>
      <c r="K623" t="n">
        <v>0</v>
      </c>
      <c r="L623" t="n">
        <v>0</v>
      </c>
      <c r="M623" t="n">
        <v>0</v>
      </c>
      <c r="N623" t="n">
        <v>0</v>
      </c>
      <c r="O623" t="n">
        <v>0</v>
      </c>
      <c r="P623" t="n">
        <v>0</v>
      </c>
      <c r="Q623" t="n">
        <v>0</v>
      </c>
      <c r="R623" s="2" t="inlineStr"/>
    </row>
    <row r="624" ht="15" customHeight="1">
      <c r="A624" t="inlineStr">
        <is>
          <t>A 2618-2023</t>
        </is>
      </c>
      <c r="B624" s="1" t="n">
        <v>44944.35847222222</v>
      </c>
      <c r="C624" s="1" t="n">
        <v>45890</v>
      </c>
      <c r="D624" t="inlineStr">
        <is>
          <t>ÖSTERGÖTLANDS LÄN</t>
        </is>
      </c>
      <c r="E624" t="inlineStr">
        <is>
          <t>LINKÖPING</t>
        </is>
      </c>
      <c r="G624" t="n">
        <v>4.3</v>
      </c>
      <c r="H624" t="n">
        <v>0</v>
      </c>
      <c r="I624" t="n">
        <v>0</v>
      </c>
      <c r="J624" t="n">
        <v>0</v>
      </c>
      <c r="K624" t="n">
        <v>0</v>
      </c>
      <c r="L624" t="n">
        <v>0</v>
      </c>
      <c r="M624" t="n">
        <v>0</v>
      </c>
      <c r="N624" t="n">
        <v>0</v>
      </c>
      <c r="O624" t="n">
        <v>0</v>
      </c>
      <c r="P624" t="n">
        <v>0</v>
      </c>
      <c r="Q624" t="n">
        <v>0</v>
      </c>
      <c r="R624" s="2" t="inlineStr"/>
    </row>
    <row r="625" ht="15" customHeight="1">
      <c r="A625" t="inlineStr">
        <is>
          <t>A 25292-2021</t>
        </is>
      </c>
      <c r="B625" s="1" t="n">
        <v>44342</v>
      </c>
      <c r="C625" s="1" t="n">
        <v>45890</v>
      </c>
      <c r="D625" t="inlineStr">
        <is>
          <t>ÖSTERGÖTLANDS LÄN</t>
        </is>
      </c>
      <c r="E625" t="inlineStr">
        <is>
          <t>LINKÖPING</t>
        </is>
      </c>
      <c r="F625" t="inlineStr">
        <is>
          <t>Övriga Aktiebolag</t>
        </is>
      </c>
      <c r="G625" t="n">
        <v>12.8</v>
      </c>
      <c r="H625" t="n">
        <v>0</v>
      </c>
      <c r="I625" t="n">
        <v>0</v>
      </c>
      <c r="J625" t="n">
        <v>0</v>
      </c>
      <c r="K625" t="n">
        <v>0</v>
      </c>
      <c r="L625" t="n">
        <v>0</v>
      </c>
      <c r="M625" t="n">
        <v>0</v>
      </c>
      <c r="N625" t="n">
        <v>0</v>
      </c>
      <c r="O625" t="n">
        <v>0</v>
      </c>
      <c r="P625" t="n">
        <v>0</v>
      </c>
      <c r="Q625" t="n">
        <v>0</v>
      </c>
      <c r="R625" s="2" t="inlineStr"/>
    </row>
    <row r="626" ht="15" customHeight="1">
      <c r="A626" t="inlineStr">
        <is>
          <t>A 33947-2025</t>
        </is>
      </c>
      <c r="B626" s="1" t="n">
        <v>45842.65444444444</v>
      </c>
      <c r="C626" s="1" t="n">
        <v>45890</v>
      </c>
      <c r="D626" t="inlineStr">
        <is>
          <t>ÖSTERGÖTLANDS LÄN</t>
        </is>
      </c>
      <c r="E626" t="inlineStr">
        <is>
          <t>LINKÖPING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53529-2024</t>
        </is>
      </c>
      <c r="B627" s="1" t="n">
        <v>45614</v>
      </c>
      <c r="C627" s="1" t="n">
        <v>45890</v>
      </c>
      <c r="D627" t="inlineStr">
        <is>
          <t>ÖSTERGÖTLANDS LÄN</t>
        </is>
      </c>
      <c r="E627" t="inlineStr">
        <is>
          <t>LINKÖPING</t>
        </is>
      </c>
      <c r="G627" t="n">
        <v>6.7</v>
      </c>
      <c r="H627" t="n">
        <v>0</v>
      </c>
      <c r="I627" t="n">
        <v>0</v>
      </c>
      <c r="J627" t="n">
        <v>0</v>
      </c>
      <c r="K627" t="n">
        <v>0</v>
      </c>
      <c r="L627" t="n">
        <v>0</v>
      </c>
      <c r="M627" t="n">
        <v>0</v>
      </c>
      <c r="N627" t="n">
        <v>0</v>
      </c>
      <c r="O627" t="n">
        <v>0</v>
      </c>
      <c r="P627" t="n">
        <v>0</v>
      </c>
      <c r="Q627" t="n">
        <v>0</v>
      </c>
      <c r="R627" s="2" t="inlineStr"/>
    </row>
    <row r="628" ht="15" customHeight="1">
      <c r="A628" t="inlineStr">
        <is>
          <t>A 62012-2024</t>
        </is>
      </c>
      <c r="B628" s="1" t="n">
        <v>45655.79679398148</v>
      </c>
      <c r="C628" s="1" t="n">
        <v>45890</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38971-2025</t>
        </is>
      </c>
      <c r="B629" s="1" t="n">
        <v>45887.71827546296</v>
      </c>
      <c r="C629" s="1" t="n">
        <v>45890</v>
      </c>
      <c r="D629" t="inlineStr">
        <is>
          <t>ÖSTERGÖTLANDS LÄN</t>
        </is>
      </c>
      <c r="E629" t="inlineStr">
        <is>
          <t>LINKÖPING</t>
        </is>
      </c>
      <c r="G629" t="n">
        <v>3.9</v>
      </c>
      <c r="H629" t="n">
        <v>0</v>
      </c>
      <c r="I629" t="n">
        <v>0</v>
      </c>
      <c r="J629" t="n">
        <v>0</v>
      </c>
      <c r="K629" t="n">
        <v>0</v>
      </c>
      <c r="L629" t="n">
        <v>0</v>
      </c>
      <c r="M629" t="n">
        <v>0</v>
      </c>
      <c r="N629" t="n">
        <v>0</v>
      </c>
      <c r="O629" t="n">
        <v>0</v>
      </c>
      <c r="P629" t="n">
        <v>0</v>
      </c>
      <c r="Q629" t="n">
        <v>0</v>
      </c>
      <c r="R629" s="2" t="inlineStr"/>
    </row>
    <row r="630" ht="15" customHeight="1">
      <c r="A630" t="inlineStr">
        <is>
          <t>A 62020-2024</t>
        </is>
      </c>
      <c r="B630" s="1" t="n">
        <v>45655.83563657408</v>
      </c>
      <c r="C630" s="1" t="n">
        <v>45890</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62021-2024</t>
        </is>
      </c>
      <c r="B631" s="1" t="n">
        <v>45655.84232638889</v>
      </c>
      <c r="C631" s="1" t="n">
        <v>45890</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1260-2023</t>
        </is>
      </c>
      <c r="B632" s="1" t="n">
        <v>44936</v>
      </c>
      <c r="C632" s="1" t="n">
        <v>45890</v>
      </c>
      <c r="D632" t="inlineStr">
        <is>
          <t>ÖSTERGÖTLANDS LÄN</t>
        </is>
      </c>
      <c r="E632" t="inlineStr">
        <is>
          <t>LINKÖPING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1355-2023</t>
        </is>
      </c>
      <c r="B633" s="1" t="n">
        <v>44931</v>
      </c>
      <c r="C633" s="1" t="n">
        <v>45890</v>
      </c>
      <c r="D633" t="inlineStr">
        <is>
          <t>ÖSTERGÖTLANDS LÄN</t>
        </is>
      </c>
      <c r="E633" t="inlineStr">
        <is>
          <t>LINKÖPING</t>
        </is>
      </c>
      <c r="G633" t="n">
        <v>4</v>
      </c>
      <c r="H633" t="n">
        <v>0</v>
      </c>
      <c r="I633" t="n">
        <v>0</v>
      </c>
      <c r="J633" t="n">
        <v>0</v>
      </c>
      <c r="K633" t="n">
        <v>0</v>
      </c>
      <c r="L633" t="n">
        <v>0</v>
      </c>
      <c r="M633" t="n">
        <v>0</v>
      </c>
      <c r="N633" t="n">
        <v>0</v>
      </c>
      <c r="O633" t="n">
        <v>0</v>
      </c>
      <c r="P633" t="n">
        <v>0</v>
      </c>
      <c r="Q633" t="n">
        <v>0</v>
      </c>
      <c r="R633" s="2" t="inlineStr"/>
    </row>
    <row r="634" ht="15" customHeight="1">
      <c r="A634" t="inlineStr">
        <is>
          <t>A 39457-2023</t>
        </is>
      </c>
      <c r="B634" s="1" t="n">
        <v>45166</v>
      </c>
      <c r="C634" s="1" t="n">
        <v>45890</v>
      </c>
      <c r="D634" t="inlineStr">
        <is>
          <t>ÖSTERGÖTLANDS LÄN</t>
        </is>
      </c>
      <c r="E634" t="inlineStr">
        <is>
          <t>LINKÖPING</t>
        </is>
      </c>
      <c r="G634" t="n">
        <v>2.1</v>
      </c>
      <c r="H634" t="n">
        <v>0</v>
      </c>
      <c r="I634" t="n">
        <v>0</v>
      </c>
      <c r="J634" t="n">
        <v>0</v>
      </c>
      <c r="K634" t="n">
        <v>0</v>
      </c>
      <c r="L634" t="n">
        <v>0</v>
      </c>
      <c r="M634" t="n">
        <v>0</v>
      </c>
      <c r="N634" t="n">
        <v>0</v>
      </c>
      <c r="O634" t="n">
        <v>0</v>
      </c>
      <c r="P634" t="n">
        <v>0</v>
      </c>
      <c r="Q634" t="n">
        <v>0</v>
      </c>
      <c r="R634" s="2" t="inlineStr"/>
    </row>
    <row r="635" ht="15" customHeight="1">
      <c r="A635" t="inlineStr">
        <is>
          <t>A 3007-2025</t>
        </is>
      </c>
      <c r="B635" s="1" t="n">
        <v>45678.56328703704</v>
      </c>
      <c r="C635" s="1" t="n">
        <v>45890</v>
      </c>
      <c r="D635" t="inlineStr">
        <is>
          <t>ÖSTERGÖTLANDS LÄN</t>
        </is>
      </c>
      <c r="E635" t="inlineStr">
        <is>
          <t>LINKÖPING</t>
        </is>
      </c>
      <c r="G635" t="n">
        <v>3.1</v>
      </c>
      <c r="H635" t="n">
        <v>0</v>
      </c>
      <c r="I635" t="n">
        <v>0</v>
      </c>
      <c r="J635" t="n">
        <v>0</v>
      </c>
      <c r="K635" t="n">
        <v>0</v>
      </c>
      <c r="L635" t="n">
        <v>0</v>
      </c>
      <c r="M635" t="n">
        <v>0</v>
      </c>
      <c r="N635" t="n">
        <v>0</v>
      </c>
      <c r="O635" t="n">
        <v>0</v>
      </c>
      <c r="P635" t="n">
        <v>0</v>
      </c>
      <c r="Q635" t="n">
        <v>0</v>
      </c>
      <c r="R635" s="2" t="inlineStr"/>
    </row>
    <row r="636" ht="15" customHeight="1">
      <c r="A636" t="inlineStr">
        <is>
          <t>A 10492-2022</t>
        </is>
      </c>
      <c r="B636" s="1" t="n">
        <v>44623.6377199074</v>
      </c>
      <c r="C636" s="1" t="n">
        <v>45890</v>
      </c>
      <c r="D636" t="inlineStr">
        <is>
          <t>ÖSTERGÖTLANDS LÄN</t>
        </is>
      </c>
      <c r="E636" t="inlineStr">
        <is>
          <t>LINKÖPING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1362-2023</t>
        </is>
      </c>
      <c r="B637" s="1" t="n">
        <v>44931</v>
      </c>
      <c r="C637" s="1" t="n">
        <v>45890</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30465-2023</t>
        </is>
      </c>
      <c r="B638" s="1" t="n">
        <v>45111</v>
      </c>
      <c r="C638" s="1" t="n">
        <v>45890</v>
      </c>
      <c r="D638" t="inlineStr">
        <is>
          <t>ÖSTERGÖTLANDS LÄN</t>
        </is>
      </c>
      <c r="E638" t="inlineStr">
        <is>
          <t>LINKÖPING</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20469-2025</t>
        </is>
      </c>
      <c r="B639" s="1" t="n">
        <v>45775</v>
      </c>
      <c r="C639" s="1" t="n">
        <v>45890</v>
      </c>
      <c r="D639" t="inlineStr">
        <is>
          <t>ÖSTERGÖTLANDS LÄN</t>
        </is>
      </c>
      <c r="E639" t="inlineStr">
        <is>
          <t>LINKÖPING</t>
        </is>
      </c>
      <c r="F639" t="inlineStr">
        <is>
          <t>Kyrkan</t>
        </is>
      </c>
      <c r="G639" t="n">
        <v>6.1</v>
      </c>
      <c r="H639" t="n">
        <v>0</v>
      </c>
      <c r="I639" t="n">
        <v>0</v>
      </c>
      <c r="J639" t="n">
        <v>0</v>
      </c>
      <c r="K639" t="n">
        <v>0</v>
      </c>
      <c r="L639" t="n">
        <v>0</v>
      </c>
      <c r="M639" t="n">
        <v>0</v>
      </c>
      <c r="N639" t="n">
        <v>0</v>
      </c>
      <c r="O639" t="n">
        <v>0</v>
      </c>
      <c r="P639" t="n">
        <v>0</v>
      </c>
      <c r="Q639" t="n">
        <v>0</v>
      </c>
      <c r="R639" s="2" t="inlineStr"/>
    </row>
    <row r="640" ht="15" customHeight="1">
      <c r="A640" t="inlineStr">
        <is>
          <t>A 49928-2024</t>
        </is>
      </c>
      <c r="B640" s="1" t="n">
        <v>45597.57811342592</v>
      </c>
      <c r="C640" s="1" t="n">
        <v>45890</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39021-2021</t>
        </is>
      </c>
      <c r="B641" s="1" t="n">
        <v>44412</v>
      </c>
      <c r="C641" s="1" t="n">
        <v>45890</v>
      </c>
      <c r="D641" t="inlineStr">
        <is>
          <t>ÖSTERGÖTLANDS LÄN</t>
        </is>
      </c>
      <c r="E641" t="inlineStr">
        <is>
          <t>LINKÖPING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3627-2023</t>
        </is>
      </c>
      <c r="B642" s="1" t="n">
        <v>44950.64782407408</v>
      </c>
      <c r="C642" s="1" t="n">
        <v>45890</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39438-2025</t>
        </is>
      </c>
      <c r="B643" s="1" t="n">
        <v>45889.68641203704</v>
      </c>
      <c r="C643" s="1" t="n">
        <v>45890</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39074-2025</t>
        </is>
      </c>
      <c r="B644" s="1" t="n">
        <v>45888</v>
      </c>
      <c r="C644" s="1" t="n">
        <v>45890</v>
      </c>
      <c r="D644" t="inlineStr">
        <is>
          <t>ÖSTERGÖTLANDS LÄN</t>
        </is>
      </c>
      <c r="E644" t="inlineStr">
        <is>
          <t>LINKÖPING</t>
        </is>
      </c>
      <c r="G644" t="n">
        <v>2.9</v>
      </c>
      <c r="H644" t="n">
        <v>0</v>
      </c>
      <c r="I644" t="n">
        <v>0</v>
      </c>
      <c r="J644" t="n">
        <v>0</v>
      </c>
      <c r="K644" t="n">
        <v>0</v>
      </c>
      <c r="L644" t="n">
        <v>0</v>
      </c>
      <c r="M644" t="n">
        <v>0</v>
      </c>
      <c r="N644" t="n">
        <v>0</v>
      </c>
      <c r="O644" t="n">
        <v>0</v>
      </c>
      <c r="P644" t="n">
        <v>0</v>
      </c>
      <c r="Q644" t="n">
        <v>0</v>
      </c>
      <c r="R644" s="2" t="inlineStr"/>
    </row>
    <row r="645" ht="15" customHeight="1">
      <c r="A645" t="inlineStr">
        <is>
          <t>A 51405-2023</t>
        </is>
      </c>
      <c r="B645" s="1" t="n">
        <v>45219</v>
      </c>
      <c r="C645" s="1" t="n">
        <v>45890</v>
      </c>
      <c r="D645" t="inlineStr">
        <is>
          <t>ÖSTERGÖTLANDS LÄN</t>
        </is>
      </c>
      <c r="E645" t="inlineStr">
        <is>
          <t>LINKÖPING</t>
        </is>
      </c>
      <c r="F645" t="inlineStr">
        <is>
          <t>Övriga Aktiebolag</t>
        </is>
      </c>
      <c r="G645" t="n">
        <v>3</v>
      </c>
      <c r="H645" t="n">
        <v>0</v>
      </c>
      <c r="I645" t="n">
        <v>0</v>
      </c>
      <c r="J645" t="n">
        <v>0</v>
      </c>
      <c r="K645" t="n">
        <v>0</v>
      </c>
      <c r="L645" t="n">
        <v>0</v>
      </c>
      <c r="M645" t="n">
        <v>0</v>
      </c>
      <c r="N645" t="n">
        <v>0</v>
      </c>
      <c r="O645" t="n">
        <v>0</v>
      </c>
      <c r="P645" t="n">
        <v>0</v>
      </c>
      <c r="Q645" t="n">
        <v>0</v>
      </c>
      <c r="R645" s="2" t="inlineStr"/>
    </row>
    <row r="646" ht="15" customHeight="1">
      <c r="A646" t="inlineStr">
        <is>
          <t>A 11601-2023</t>
        </is>
      </c>
      <c r="B646" s="1" t="n">
        <v>44994</v>
      </c>
      <c r="C646" s="1" t="n">
        <v>45890</v>
      </c>
      <c r="D646" t="inlineStr">
        <is>
          <t>ÖSTERGÖTLANDS LÄN</t>
        </is>
      </c>
      <c r="E646" t="inlineStr">
        <is>
          <t>LINKÖPING</t>
        </is>
      </c>
      <c r="G646" t="n">
        <v>1.7</v>
      </c>
      <c r="H646" t="n">
        <v>0</v>
      </c>
      <c r="I646" t="n">
        <v>0</v>
      </c>
      <c r="J646" t="n">
        <v>0</v>
      </c>
      <c r="K646" t="n">
        <v>0</v>
      </c>
      <c r="L646" t="n">
        <v>0</v>
      </c>
      <c r="M646" t="n">
        <v>0</v>
      </c>
      <c r="N646" t="n">
        <v>0</v>
      </c>
      <c r="O646" t="n">
        <v>0</v>
      </c>
      <c r="P646" t="n">
        <v>0</v>
      </c>
      <c r="Q646" t="n">
        <v>0</v>
      </c>
      <c r="R646" s="2" t="inlineStr"/>
    </row>
    <row r="647" ht="15" customHeight="1">
      <c r="A647" t="inlineStr">
        <is>
          <t>A 62353-2022</t>
        </is>
      </c>
      <c r="B647" s="1" t="n">
        <v>44923</v>
      </c>
      <c r="C647" s="1" t="n">
        <v>45890</v>
      </c>
      <c r="D647" t="inlineStr">
        <is>
          <t>ÖSTERGÖTLANDS LÄN</t>
        </is>
      </c>
      <c r="E647" t="inlineStr">
        <is>
          <t>LINKÖPING</t>
        </is>
      </c>
      <c r="F647" t="inlineStr">
        <is>
          <t>Allmännings- och besparingsskogar</t>
        </is>
      </c>
      <c r="G647" t="n">
        <v>1.7</v>
      </c>
      <c r="H647" t="n">
        <v>0</v>
      </c>
      <c r="I647" t="n">
        <v>0</v>
      </c>
      <c r="J647" t="n">
        <v>0</v>
      </c>
      <c r="K647" t="n">
        <v>0</v>
      </c>
      <c r="L647" t="n">
        <v>0</v>
      </c>
      <c r="M647" t="n">
        <v>0</v>
      </c>
      <c r="N647" t="n">
        <v>0</v>
      </c>
      <c r="O647" t="n">
        <v>0</v>
      </c>
      <c r="P647" t="n">
        <v>0</v>
      </c>
      <c r="Q647" t="n">
        <v>0</v>
      </c>
      <c r="R647" s="2" t="inlineStr"/>
    </row>
    <row r="648" ht="15" customHeight="1">
      <c r="A648" t="inlineStr">
        <is>
          <t>A 30111-2024</t>
        </is>
      </c>
      <c r="B648" s="1" t="n">
        <v>45489.46947916667</v>
      </c>
      <c r="C648" s="1" t="n">
        <v>45890</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30119-2024</t>
        </is>
      </c>
      <c r="B649" s="1" t="n">
        <v>45489</v>
      </c>
      <c r="C649" s="1" t="n">
        <v>45890</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40338-2024</t>
        </is>
      </c>
      <c r="B650" s="1" t="n">
        <v>45555.32940972222</v>
      </c>
      <c r="C650" s="1" t="n">
        <v>45890</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33800-2023</t>
        </is>
      </c>
      <c r="B651" s="1" t="n">
        <v>45121</v>
      </c>
      <c r="C651" s="1" t="n">
        <v>45890</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29411-2023</t>
        </is>
      </c>
      <c r="B652" s="1" t="n">
        <v>45106.46225694445</v>
      </c>
      <c r="C652" s="1" t="n">
        <v>45890</v>
      </c>
      <c r="D652" t="inlineStr">
        <is>
          <t>ÖSTERGÖTLANDS LÄN</t>
        </is>
      </c>
      <c r="E652" t="inlineStr">
        <is>
          <t>LINKÖPING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29412-2023</t>
        </is>
      </c>
      <c r="B653" s="1" t="n">
        <v>45106.46359953703</v>
      </c>
      <c r="C653" s="1" t="n">
        <v>45890</v>
      </c>
      <c r="D653" t="inlineStr">
        <is>
          <t>ÖSTERGÖTLANDS LÄN</t>
        </is>
      </c>
      <c r="E653" t="inlineStr">
        <is>
          <t>LINKÖPING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167-2024</t>
        </is>
      </c>
      <c r="B654" s="1" t="n">
        <v>45294</v>
      </c>
      <c r="C654" s="1" t="n">
        <v>45890</v>
      </c>
      <c r="D654" t="inlineStr">
        <is>
          <t>ÖSTERGÖTLANDS LÄN</t>
        </is>
      </c>
      <c r="E654" t="inlineStr">
        <is>
          <t>LINKÖPING</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27186-2021</t>
        </is>
      </c>
      <c r="B655" s="1" t="n">
        <v>44350.67715277777</v>
      </c>
      <c r="C655" s="1" t="n">
        <v>45890</v>
      </c>
      <c r="D655" t="inlineStr">
        <is>
          <t>ÖSTERGÖTLANDS LÄN</t>
        </is>
      </c>
      <c r="E655" t="inlineStr">
        <is>
          <t>LINKÖPING</t>
        </is>
      </c>
      <c r="F655" t="inlineStr">
        <is>
          <t>Allmännings- och besparingsskogar</t>
        </is>
      </c>
      <c r="G655" t="n">
        <v>1.4</v>
      </c>
      <c r="H655" t="n">
        <v>0</v>
      </c>
      <c r="I655" t="n">
        <v>0</v>
      </c>
      <c r="J655" t="n">
        <v>0</v>
      </c>
      <c r="K655" t="n">
        <v>0</v>
      </c>
      <c r="L655" t="n">
        <v>0</v>
      </c>
      <c r="M655" t="n">
        <v>0</v>
      </c>
      <c r="N655" t="n">
        <v>0</v>
      </c>
      <c r="O655" t="n">
        <v>0</v>
      </c>
      <c r="P655" t="n">
        <v>0</v>
      </c>
      <c r="Q655" t="n">
        <v>0</v>
      </c>
      <c r="R655" s="2" t="inlineStr"/>
    </row>
    <row r="656" ht="15" customHeight="1">
      <c r="A656" t="inlineStr">
        <is>
          <t>A 31792-2021</t>
        </is>
      </c>
      <c r="B656" s="1" t="n">
        <v>44369</v>
      </c>
      <c r="C656" s="1" t="n">
        <v>45890</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7343-2025</t>
        </is>
      </c>
      <c r="B657" s="1" t="n">
        <v>45703.67853009259</v>
      </c>
      <c r="C657" s="1" t="n">
        <v>45890</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421-2024</t>
        </is>
      </c>
      <c r="B658" s="1" t="n">
        <v>45296.51877314815</v>
      </c>
      <c r="C658" s="1" t="n">
        <v>45890</v>
      </c>
      <c r="D658" t="inlineStr">
        <is>
          <t>ÖSTERGÖTLANDS LÄN</t>
        </is>
      </c>
      <c r="E658" t="inlineStr">
        <is>
          <t>LINKÖPING</t>
        </is>
      </c>
      <c r="G658" t="n">
        <v>3.7</v>
      </c>
      <c r="H658" t="n">
        <v>0</v>
      </c>
      <c r="I658" t="n">
        <v>0</v>
      </c>
      <c r="J658" t="n">
        <v>0</v>
      </c>
      <c r="K658" t="n">
        <v>0</v>
      </c>
      <c r="L658" t="n">
        <v>0</v>
      </c>
      <c r="M658" t="n">
        <v>0</v>
      </c>
      <c r="N658" t="n">
        <v>0</v>
      </c>
      <c r="O658" t="n">
        <v>0</v>
      </c>
      <c r="P658" t="n">
        <v>0</v>
      </c>
      <c r="Q658" t="n">
        <v>0</v>
      </c>
      <c r="R658" s="2" t="inlineStr"/>
    </row>
    <row r="659" ht="15" customHeight="1">
      <c r="A659" t="inlineStr">
        <is>
          <t>A 13691-2025</t>
        </is>
      </c>
      <c r="B659" s="1" t="n">
        <v>45737.31671296297</v>
      </c>
      <c r="C659" s="1" t="n">
        <v>45890</v>
      </c>
      <c r="D659" t="inlineStr">
        <is>
          <t>ÖSTERGÖTLANDS LÄN</t>
        </is>
      </c>
      <c r="E659" t="inlineStr">
        <is>
          <t>LINKÖPING</t>
        </is>
      </c>
      <c r="G659" t="n">
        <v>2.5</v>
      </c>
      <c r="H659" t="n">
        <v>0</v>
      </c>
      <c r="I659" t="n">
        <v>0</v>
      </c>
      <c r="J659" t="n">
        <v>0</v>
      </c>
      <c r="K659" t="n">
        <v>0</v>
      </c>
      <c r="L659" t="n">
        <v>0</v>
      </c>
      <c r="M659" t="n">
        <v>0</v>
      </c>
      <c r="N659" t="n">
        <v>0</v>
      </c>
      <c r="O659" t="n">
        <v>0</v>
      </c>
      <c r="P659" t="n">
        <v>0</v>
      </c>
      <c r="Q659" t="n">
        <v>0</v>
      </c>
      <c r="R659" s="2" t="inlineStr"/>
    </row>
    <row r="660" ht="15" customHeight="1">
      <c r="A660" t="inlineStr">
        <is>
          <t>A 22043-2023</t>
        </is>
      </c>
      <c r="B660" s="1" t="n">
        <v>45069.39050925926</v>
      </c>
      <c r="C660" s="1" t="n">
        <v>45890</v>
      </c>
      <c r="D660" t="inlineStr">
        <is>
          <t>ÖSTERGÖTLANDS LÄN</t>
        </is>
      </c>
      <c r="E660" t="inlineStr">
        <is>
          <t>LINKÖPING</t>
        </is>
      </c>
      <c r="G660" t="n">
        <v>5.9</v>
      </c>
      <c r="H660" t="n">
        <v>0</v>
      </c>
      <c r="I660" t="n">
        <v>0</v>
      </c>
      <c r="J660" t="n">
        <v>0</v>
      </c>
      <c r="K660" t="n">
        <v>0</v>
      </c>
      <c r="L660" t="n">
        <v>0</v>
      </c>
      <c r="M660" t="n">
        <v>0</v>
      </c>
      <c r="N660" t="n">
        <v>0</v>
      </c>
      <c r="O660" t="n">
        <v>0</v>
      </c>
      <c r="P660" t="n">
        <v>0</v>
      </c>
      <c r="Q660" t="n">
        <v>0</v>
      </c>
      <c r="R660" s="2" t="inlineStr"/>
    </row>
    <row r="661" ht="15" customHeight="1">
      <c r="A661" t="inlineStr">
        <is>
          <t>A 48271-2023</t>
        </is>
      </c>
      <c r="B661" s="1" t="n">
        <v>45205</v>
      </c>
      <c r="C661" s="1" t="n">
        <v>45890</v>
      </c>
      <c r="D661" t="inlineStr">
        <is>
          <t>ÖSTERGÖTLANDS LÄN</t>
        </is>
      </c>
      <c r="E661" t="inlineStr">
        <is>
          <t>LINKÖPING</t>
        </is>
      </c>
      <c r="G661" t="n">
        <v>3</v>
      </c>
      <c r="H661" t="n">
        <v>0</v>
      </c>
      <c r="I661" t="n">
        <v>0</v>
      </c>
      <c r="J661" t="n">
        <v>0</v>
      </c>
      <c r="K661" t="n">
        <v>0</v>
      </c>
      <c r="L661" t="n">
        <v>0</v>
      </c>
      <c r="M661" t="n">
        <v>0</v>
      </c>
      <c r="N661" t="n">
        <v>0</v>
      </c>
      <c r="O661" t="n">
        <v>0</v>
      </c>
      <c r="P661" t="n">
        <v>0</v>
      </c>
      <c r="Q661" t="n">
        <v>0</v>
      </c>
      <c r="R661" s="2" t="inlineStr"/>
    </row>
    <row r="662" ht="15" customHeight="1">
      <c r="A662" t="inlineStr">
        <is>
          <t>A 61532-2021</t>
        </is>
      </c>
      <c r="B662" s="1" t="n">
        <v>44501</v>
      </c>
      <c r="C662" s="1" t="n">
        <v>45890</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14028-2024</t>
        </is>
      </c>
      <c r="B663" s="1" t="n">
        <v>45392</v>
      </c>
      <c r="C663" s="1" t="n">
        <v>45890</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40431-2024</t>
        </is>
      </c>
      <c r="B664" s="1" t="n">
        <v>45555.47070601852</v>
      </c>
      <c r="C664" s="1" t="n">
        <v>45890</v>
      </c>
      <c r="D664" t="inlineStr">
        <is>
          <t>ÖSTERGÖTLANDS LÄN</t>
        </is>
      </c>
      <c r="E664" t="inlineStr">
        <is>
          <t>LINKÖPING</t>
        </is>
      </c>
      <c r="F664" t="inlineStr">
        <is>
          <t>Allmännings- och besparingsskogar</t>
        </is>
      </c>
      <c r="G664" t="n">
        <v>2.9</v>
      </c>
      <c r="H664" t="n">
        <v>0</v>
      </c>
      <c r="I664" t="n">
        <v>0</v>
      </c>
      <c r="J664" t="n">
        <v>0</v>
      </c>
      <c r="K664" t="n">
        <v>0</v>
      </c>
      <c r="L664" t="n">
        <v>0</v>
      </c>
      <c r="M664" t="n">
        <v>0</v>
      </c>
      <c r="N664" t="n">
        <v>0</v>
      </c>
      <c r="O664" t="n">
        <v>0</v>
      </c>
      <c r="P664" t="n">
        <v>0</v>
      </c>
      <c r="Q664" t="n">
        <v>0</v>
      </c>
      <c r="R664" s="2" t="inlineStr"/>
    </row>
    <row r="665" ht="15" customHeight="1">
      <c r="A665" t="inlineStr">
        <is>
          <t>A 12720-2022</t>
        </is>
      </c>
      <c r="B665" s="1" t="n">
        <v>44641</v>
      </c>
      <c r="C665" s="1" t="n">
        <v>45890</v>
      </c>
      <c r="D665" t="inlineStr">
        <is>
          <t>ÖSTERGÖTLANDS LÄN</t>
        </is>
      </c>
      <c r="E665" t="inlineStr">
        <is>
          <t>LINKÖPING</t>
        </is>
      </c>
      <c r="F665" t="inlineStr">
        <is>
          <t>Övriga Aktiebolag</t>
        </is>
      </c>
      <c r="G665" t="n">
        <v>2</v>
      </c>
      <c r="H665" t="n">
        <v>0</v>
      </c>
      <c r="I665" t="n">
        <v>0</v>
      </c>
      <c r="J665" t="n">
        <v>0</v>
      </c>
      <c r="K665" t="n">
        <v>0</v>
      </c>
      <c r="L665" t="n">
        <v>0</v>
      </c>
      <c r="M665" t="n">
        <v>0</v>
      </c>
      <c r="N665" t="n">
        <v>0</v>
      </c>
      <c r="O665" t="n">
        <v>0</v>
      </c>
      <c r="P665" t="n">
        <v>0</v>
      </c>
      <c r="Q665" t="n">
        <v>0</v>
      </c>
      <c r="R665" s="2" t="inlineStr"/>
    </row>
    <row r="666" ht="15" customHeight="1">
      <c r="A666" t="inlineStr">
        <is>
          <t>A 62018-2024</t>
        </is>
      </c>
      <c r="B666" s="1" t="n">
        <v>45655.81387731482</v>
      </c>
      <c r="C666" s="1" t="n">
        <v>45890</v>
      </c>
      <c r="D666" t="inlineStr">
        <is>
          <t>ÖSTERGÖTLANDS LÄN</t>
        </is>
      </c>
      <c r="E666" t="inlineStr">
        <is>
          <t>LINKÖPING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60860-2024</t>
        </is>
      </c>
      <c r="B667" s="1" t="n">
        <v>45644.6893287037</v>
      </c>
      <c r="C667" s="1" t="n">
        <v>45890</v>
      </c>
      <c r="D667" t="inlineStr">
        <is>
          <t>ÖSTERGÖTLANDS LÄN</t>
        </is>
      </c>
      <c r="E667" t="inlineStr">
        <is>
          <t>LINKÖPING</t>
        </is>
      </c>
      <c r="G667" t="n">
        <v>1.3</v>
      </c>
      <c r="H667" t="n">
        <v>0</v>
      </c>
      <c r="I667" t="n">
        <v>0</v>
      </c>
      <c r="J667" t="n">
        <v>0</v>
      </c>
      <c r="K667" t="n">
        <v>0</v>
      </c>
      <c r="L667" t="n">
        <v>0</v>
      </c>
      <c r="M667" t="n">
        <v>0</v>
      </c>
      <c r="N667" t="n">
        <v>0</v>
      </c>
      <c r="O667" t="n">
        <v>0</v>
      </c>
      <c r="P667" t="n">
        <v>0</v>
      </c>
      <c r="Q667" t="n">
        <v>0</v>
      </c>
      <c r="R667" s="2" t="inlineStr"/>
    </row>
    <row r="668" ht="15" customHeight="1">
      <c r="A668" t="inlineStr">
        <is>
          <t>A 2697-2023</t>
        </is>
      </c>
      <c r="B668" s="1" t="n">
        <v>44944</v>
      </c>
      <c r="C668" s="1" t="n">
        <v>45890</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30551-2023</t>
        </is>
      </c>
      <c r="B669" s="1" t="n">
        <v>45111</v>
      </c>
      <c r="C669" s="1" t="n">
        <v>45890</v>
      </c>
      <c r="D669" t="inlineStr">
        <is>
          <t>ÖSTERGÖTLANDS LÄN</t>
        </is>
      </c>
      <c r="E669" t="inlineStr">
        <is>
          <t>LINKÖPING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30860-2022</t>
        </is>
      </c>
      <c r="B670" s="1" t="n">
        <v>44767</v>
      </c>
      <c r="C670" s="1" t="n">
        <v>45890</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45806-2024</t>
        </is>
      </c>
      <c r="B671" s="1" t="n">
        <v>45579.69619212963</v>
      </c>
      <c r="C671" s="1" t="n">
        <v>45890</v>
      </c>
      <c r="D671" t="inlineStr">
        <is>
          <t>ÖSTERGÖTLANDS LÄN</t>
        </is>
      </c>
      <c r="E671" t="inlineStr">
        <is>
          <t>LINKÖPING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60004-2022</t>
        </is>
      </c>
      <c r="B672" s="1" t="n">
        <v>44909.47206018519</v>
      </c>
      <c r="C672" s="1" t="n">
        <v>45890</v>
      </c>
      <c r="D672" t="inlineStr">
        <is>
          <t>ÖSTERGÖTLANDS LÄN</t>
        </is>
      </c>
      <c r="E672" t="inlineStr">
        <is>
          <t>LINKÖPING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60010-2022</t>
        </is>
      </c>
      <c r="B673" s="1" t="n">
        <v>44909.4740625</v>
      </c>
      <c r="C673" s="1" t="n">
        <v>45890</v>
      </c>
      <c r="D673" t="inlineStr">
        <is>
          <t>ÖSTERGÖTLANDS LÄN</t>
        </is>
      </c>
      <c r="E673" t="inlineStr">
        <is>
          <t>LINKÖPING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53827-2023</t>
        </is>
      </c>
      <c r="B674" s="1" t="n">
        <v>45230</v>
      </c>
      <c r="C674" s="1" t="n">
        <v>45890</v>
      </c>
      <c r="D674" t="inlineStr">
        <is>
          <t>ÖSTERGÖTLANDS LÄN</t>
        </is>
      </c>
      <c r="E674" t="inlineStr">
        <is>
          <t>LINKÖPING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56756-2023</t>
        </is>
      </c>
      <c r="B675" s="1" t="n">
        <v>45244</v>
      </c>
      <c r="C675" s="1" t="n">
        <v>45890</v>
      </c>
      <c r="D675" t="inlineStr">
        <is>
          <t>ÖSTERGÖTLANDS LÄN</t>
        </is>
      </c>
      <c r="E675" t="inlineStr">
        <is>
          <t>LINKÖPING</t>
        </is>
      </c>
      <c r="F675" t="inlineStr">
        <is>
          <t>Övriga Aktiebolag</t>
        </is>
      </c>
      <c r="G675" t="n">
        <v>0.8</v>
      </c>
      <c r="H675" t="n">
        <v>0</v>
      </c>
      <c r="I675" t="n">
        <v>0</v>
      </c>
      <c r="J675" t="n">
        <v>0</v>
      </c>
      <c r="K675" t="n">
        <v>0</v>
      </c>
      <c r="L675" t="n">
        <v>0</v>
      </c>
      <c r="M675" t="n">
        <v>0</v>
      </c>
      <c r="N675" t="n">
        <v>0</v>
      </c>
      <c r="O675" t="n">
        <v>0</v>
      </c>
      <c r="P675" t="n">
        <v>0</v>
      </c>
      <c r="Q675" t="n">
        <v>0</v>
      </c>
      <c r="R675" s="2" t="inlineStr"/>
    </row>
    <row r="676" ht="15" customHeight="1">
      <c r="A676" t="inlineStr">
        <is>
          <t>A 4256-2022</t>
        </is>
      </c>
      <c r="B676" s="1" t="n">
        <v>44588</v>
      </c>
      <c r="C676" s="1" t="n">
        <v>45890</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45890</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45890</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223-2024</t>
        </is>
      </c>
      <c r="B679" s="1" t="n">
        <v>45294.72739583333</v>
      </c>
      <c r="C679" s="1" t="n">
        <v>45890</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24904-2024</t>
        </is>
      </c>
      <c r="B680" s="1" t="n">
        <v>45461</v>
      </c>
      <c r="C680" s="1" t="n">
        <v>45890</v>
      </c>
      <c r="D680" t="inlineStr">
        <is>
          <t>ÖSTERGÖTLANDS LÄN</t>
        </is>
      </c>
      <c r="E680" t="inlineStr">
        <is>
          <t>LINKÖPING</t>
        </is>
      </c>
      <c r="G680" t="n">
        <v>3.8</v>
      </c>
      <c r="H680" t="n">
        <v>0</v>
      </c>
      <c r="I680" t="n">
        <v>0</v>
      </c>
      <c r="J680" t="n">
        <v>0</v>
      </c>
      <c r="K680" t="n">
        <v>0</v>
      </c>
      <c r="L680" t="n">
        <v>0</v>
      </c>
      <c r="M680" t="n">
        <v>0</v>
      </c>
      <c r="N680" t="n">
        <v>0</v>
      </c>
      <c r="O680" t="n">
        <v>0</v>
      </c>
      <c r="P680" t="n">
        <v>0</v>
      </c>
      <c r="Q680" t="n">
        <v>0</v>
      </c>
      <c r="R680" s="2" t="inlineStr"/>
    </row>
    <row r="681" ht="15" customHeight="1">
      <c r="A681" t="inlineStr">
        <is>
          <t>A 55009-2023</t>
        </is>
      </c>
      <c r="B681" s="1" t="n">
        <v>45237</v>
      </c>
      <c r="C681" s="1" t="n">
        <v>45890</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34872-2023</t>
        </is>
      </c>
      <c r="B682" s="1" t="n">
        <v>45140</v>
      </c>
      <c r="C682" s="1" t="n">
        <v>45890</v>
      </c>
      <c r="D682" t="inlineStr">
        <is>
          <t>ÖSTERGÖTLANDS LÄN</t>
        </is>
      </c>
      <c r="E682" t="inlineStr">
        <is>
          <t>LINKÖPING</t>
        </is>
      </c>
      <c r="G682" t="n">
        <v>4.8</v>
      </c>
      <c r="H682" t="n">
        <v>0</v>
      </c>
      <c r="I682" t="n">
        <v>0</v>
      </c>
      <c r="J682" t="n">
        <v>0</v>
      </c>
      <c r="K682" t="n">
        <v>0</v>
      </c>
      <c r="L682" t="n">
        <v>0</v>
      </c>
      <c r="M682" t="n">
        <v>0</v>
      </c>
      <c r="N682" t="n">
        <v>0</v>
      </c>
      <c r="O682" t="n">
        <v>0</v>
      </c>
      <c r="P682" t="n">
        <v>0</v>
      </c>
      <c r="Q682" t="n">
        <v>0</v>
      </c>
      <c r="R682" s="2" t="inlineStr"/>
    </row>
    <row r="683" ht="15" customHeight="1">
      <c r="A683" t="inlineStr">
        <is>
          <t>A 19464-2024</t>
        </is>
      </c>
      <c r="B683" s="1" t="n">
        <v>45429</v>
      </c>
      <c r="C683" s="1" t="n">
        <v>45890</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630-2024</t>
        </is>
      </c>
      <c r="B684" s="1" t="n">
        <v>45299.67736111111</v>
      </c>
      <c r="C684" s="1" t="n">
        <v>45890</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36336-2022</t>
        </is>
      </c>
      <c r="B685" s="1" t="n">
        <v>44803</v>
      </c>
      <c r="C685" s="1" t="n">
        <v>45890</v>
      </c>
      <c r="D685" t="inlineStr">
        <is>
          <t>ÖSTERGÖTLANDS LÄN</t>
        </is>
      </c>
      <c r="E685" t="inlineStr">
        <is>
          <t>LINKÖPING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30433-2024</t>
        </is>
      </c>
      <c r="B686" s="1" t="n">
        <v>45491.69741898148</v>
      </c>
      <c r="C686" s="1" t="n">
        <v>45890</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50471-2024</t>
        </is>
      </c>
      <c r="B687" s="1" t="n">
        <v>45601.47166666666</v>
      </c>
      <c r="C687" s="1" t="n">
        <v>45890</v>
      </c>
      <c r="D687" t="inlineStr">
        <is>
          <t>ÖSTERGÖTLANDS LÄN</t>
        </is>
      </c>
      <c r="E687" t="inlineStr">
        <is>
          <t>LINKÖPING</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25097-2023</t>
        </is>
      </c>
      <c r="B688" s="1" t="n">
        <v>45086</v>
      </c>
      <c r="C688" s="1" t="n">
        <v>45890</v>
      </c>
      <c r="D688" t="inlineStr">
        <is>
          <t>ÖSTERGÖTLANDS LÄN</t>
        </is>
      </c>
      <c r="E688" t="inlineStr">
        <is>
          <t>LINKÖPING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42093-2020</t>
        </is>
      </c>
      <c r="B689" s="1" t="n">
        <v>44075</v>
      </c>
      <c r="C689" s="1" t="n">
        <v>45890</v>
      </c>
      <c r="D689" t="inlineStr">
        <is>
          <t>ÖSTERGÖTLANDS LÄN</t>
        </is>
      </c>
      <c r="E689" t="inlineStr">
        <is>
          <t>LINKÖPING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10461-2023</t>
        </is>
      </c>
      <c r="B690" s="1" t="n">
        <v>44987.5969212963</v>
      </c>
      <c r="C690" s="1" t="n">
        <v>45890</v>
      </c>
      <c r="D690" t="inlineStr">
        <is>
          <t>ÖSTERGÖTLANDS LÄN</t>
        </is>
      </c>
      <c r="E690" t="inlineStr">
        <is>
          <t>LINKÖPING</t>
        </is>
      </c>
      <c r="G690" t="n">
        <v>7.8</v>
      </c>
      <c r="H690" t="n">
        <v>0</v>
      </c>
      <c r="I690" t="n">
        <v>0</v>
      </c>
      <c r="J690" t="n">
        <v>0</v>
      </c>
      <c r="K690" t="n">
        <v>0</v>
      </c>
      <c r="L690" t="n">
        <v>0</v>
      </c>
      <c r="M690" t="n">
        <v>0</v>
      </c>
      <c r="N690" t="n">
        <v>0</v>
      </c>
      <c r="O690" t="n">
        <v>0</v>
      </c>
      <c r="P690" t="n">
        <v>0</v>
      </c>
      <c r="Q690" t="n">
        <v>0</v>
      </c>
      <c r="R690" s="2" t="inlineStr"/>
    </row>
    <row r="691" ht="15" customHeight="1">
      <c r="A691" t="inlineStr">
        <is>
          <t>A 50386-2021</t>
        </is>
      </c>
      <c r="B691" s="1" t="n">
        <v>44459</v>
      </c>
      <c r="C691" s="1" t="n">
        <v>45890</v>
      </c>
      <c r="D691" t="inlineStr">
        <is>
          <t>ÖSTERGÖTLANDS LÄN</t>
        </is>
      </c>
      <c r="E691" t="inlineStr">
        <is>
          <t>LINKÖPING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350-2022</t>
        </is>
      </c>
      <c r="B692" s="1" t="n">
        <v>44565</v>
      </c>
      <c r="C692" s="1" t="n">
        <v>45890</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18891-2022</t>
        </is>
      </c>
      <c r="B693" s="1" t="n">
        <v>44690</v>
      </c>
      <c r="C693" s="1" t="n">
        <v>45890</v>
      </c>
      <c r="D693" t="inlineStr">
        <is>
          <t>ÖSTERGÖTLANDS LÄN</t>
        </is>
      </c>
      <c r="E693" t="inlineStr">
        <is>
          <t>LINKÖPING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30976-2022</t>
        </is>
      </c>
      <c r="B694" s="1" t="n">
        <v>44768</v>
      </c>
      <c r="C694" s="1" t="n">
        <v>45890</v>
      </c>
      <c r="D694" t="inlineStr">
        <is>
          <t>ÖSTERGÖTLANDS LÄN</t>
        </is>
      </c>
      <c r="E694" t="inlineStr">
        <is>
          <t>LINKÖPING</t>
        </is>
      </c>
      <c r="G694" t="n">
        <v>0.6</v>
      </c>
      <c r="H694" t="n">
        <v>0</v>
      </c>
      <c r="I694" t="n">
        <v>0</v>
      </c>
      <c r="J694" t="n">
        <v>0</v>
      </c>
      <c r="K694" t="n">
        <v>0</v>
      </c>
      <c r="L694" t="n">
        <v>0</v>
      </c>
      <c r="M694" t="n">
        <v>0</v>
      </c>
      <c r="N694" t="n">
        <v>0</v>
      </c>
      <c r="O694" t="n">
        <v>0</v>
      </c>
      <c r="P694" t="n">
        <v>0</v>
      </c>
      <c r="Q694" t="n">
        <v>0</v>
      </c>
      <c r="R694" s="2" t="inlineStr"/>
    </row>
    <row r="695">
      <c r="A695" t="inlineStr">
        <is>
          <t>A 55736-2022</t>
        </is>
      </c>
      <c r="B695" s="1" t="n">
        <v>44888</v>
      </c>
      <c r="C695" s="1" t="n">
        <v>45890</v>
      </c>
      <c r="D695" t="inlineStr">
        <is>
          <t>ÖSTERGÖTLANDS LÄN</t>
        </is>
      </c>
      <c r="E695" t="inlineStr">
        <is>
          <t>LINKÖPING</t>
        </is>
      </c>
      <c r="G695" t="n">
        <v>5.5</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2025-08-21T08:28:38Z</dcterms:created>
  <dcterms:modified xmlns:dcterms="http://purl.org/dc/terms/" xmlns:xsi="http://www.w3.org/2001/XMLSchema-instance" xsi:type="dcterms:W3CDTF">2025-08-21T08:28:39Z</dcterms:modified>
</cp:coreProperties>
</file>