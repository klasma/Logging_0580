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46194</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46194</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c r="Z3">
        <f>HYPERLINK("https://klasma.github.io/Logging_0580/fåglar/A 60643-2024 prioriterade fågelarter.docx", "A 60643-2024")</f>
        <v/>
      </c>
    </row>
    <row r="4" ht="15" customHeight="1">
      <c r="A4" t="inlineStr">
        <is>
          <t>A 17515-2022</t>
        </is>
      </c>
      <c r="B4" s="1" t="n">
        <v>44679</v>
      </c>
      <c r="C4" s="1" t="n">
        <v>46194</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46194</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46194</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46194</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c r="Z7">
        <f>HYPERLINK("https://klasma.github.io/Logging_0580/fåglar/A 40970-2021 prioriterade fågelarter.docx", "A 40970-2021")</f>
        <v/>
      </c>
    </row>
    <row r="8" ht="15" customHeight="1">
      <c r="A8" t="inlineStr">
        <is>
          <t>A 12486-2026</t>
        </is>
      </c>
      <c r="B8" s="1" t="n">
        <v>46090</v>
      </c>
      <c r="C8" s="1" t="n">
        <v>46194</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46194</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46194</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46194</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46194</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46194</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46194</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46194</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46194</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3395-2023</t>
        </is>
      </c>
      <c r="B17" s="1" t="n">
        <v>44949</v>
      </c>
      <c r="C17" s="1" t="n">
        <v>46194</v>
      </c>
      <c r="D17" t="inlineStr">
        <is>
          <t>ÖSTERGÖTLANDS LÄN</t>
        </is>
      </c>
      <c r="E17" t="inlineStr">
        <is>
          <t>LINKÖPING</t>
        </is>
      </c>
      <c r="G17" t="n">
        <v>2</v>
      </c>
      <c r="H17" t="n">
        <v>0</v>
      </c>
      <c r="I17" t="n">
        <v>0</v>
      </c>
      <c r="J17" t="n">
        <v>5</v>
      </c>
      <c r="K17" t="n">
        <v>0</v>
      </c>
      <c r="L17" t="n">
        <v>0</v>
      </c>
      <c r="M17" t="n">
        <v>0</v>
      </c>
      <c r="N17" t="n">
        <v>0</v>
      </c>
      <c r="O17" t="n">
        <v>5</v>
      </c>
      <c r="P17" t="n">
        <v>0</v>
      </c>
      <c r="Q17" t="n">
        <v>5</v>
      </c>
      <c r="R17" s="2" t="inlineStr">
        <is>
          <t>Backstarr
Jungfrulin
Sommarfibbla
Svinrot
Vårstarr</t>
        </is>
      </c>
      <c r="S17">
        <f>HYPERLINK("https://klasma.github.io/Logging_0580/artfynd/A 3395-2023 artfynd.xlsx", "A 3395-2023")</f>
        <v/>
      </c>
      <c r="T17">
        <f>HYPERLINK("https://klasma.github.io/Logging_0580/kartor/A 3395-2023 karta.png", "A 3395-2023")</f>
        <v/>
      </c>
      <c r="V17">
        <f>HYPERLINK("https://klasma.github.io/Logging_0580/klagomål/A 3395-2023 FSC-klagomål.docx", "A 3395-2023")</f>
        <v/>
      </c>
      <c r="W17">
        <f>HYPERLINK("https://klasma.github.io/Logging_0580/klagomålsmail/A 3395-2023 FSC-klagomål mail.docx", "A 3395-2023")</f>
        <v/>
      </c>
      <c r="X17">
        <f>HYPERLINK("https://klasma.github.io/Logging_0580/tillsyn/A 3395-2023 tillsynsbegäran.docx", "A 3395-2023")</f>
        <v/>
      </c>
      <c r="Y17">
        <f>HYPERLINK("https://klasma.github.io/Logging_0580/tillsynsmail/A 3395-2023 tillsynsbegäran mail.docx", "A 3395-2023")</f>
        <v/>
      </c>
    </row>
    <row r="18" ht="15" customHeight="1">
      <c r="A18" t="inlineStr">
        <is>
          <t>A 22040-2023</t>
        </is>
      </c>
      <c r="B18" s="1" t="n">
        <v>45068</v>
      </c>
      <c r="C18" s="1" t="n">
        <v>46194</v>
      </c>
      <c r="D18" t="inlineStr">
        <is>
          <t>ÖSTERGÖTLANDS LÄN</t>
        </is>
      </c>
      <c r="E18" t="inlineStr">
        <is>
          <t>LINKÖPING</t>
        </is>
      </c>
      <c r="F18" t="inlineStr">
        <is>
          <t>Kommuner</t>
        </is>
      </c>
      <c r="G18" t="n">
        <v>1</v>
      </c>
      <c r="H18" t="n">
        <v>1</v>
      </c>
      <c r="I18" t="n">
        <v>2</v>
      </c>
      <c r="J18" t="n">
        <v>2</v>
      </c>
      <c r="K18" t="n">
        <v>0</v>
      </c>
      <c r="L18" t="n">
        <v>1</v>
      </c>
      <c r="M18" t="n">
        <v>0</v>
      </c>
      <c r="N18" t="n">
        <v>0</v>
      </c>
      <c r="O18" t="n">
        <v>3</v>
      </c>
      <c r="P18" t="n">
        <v>1</v>
      </c>
      <c r="Q18" t="n">
        <v>5</v>
      </c>
      <c r="R18" s="2" t="inlineStr">
        <is>
          <t>Bombmurkla
Persiljespindling
Skarp dropptaggsvamp
Fällmossa
Strutbräken</t>
        </is>
      </c>
      <c r="S18">
        <f>HYPERLINK("https://klasma.github.io/Logging_0580/artfynd/A 22040-2023 artfynd.xlsx", "A 22040-2023")</f>
        <v/>
      </c>
      <c r="T18">
        <f>HYPERLINK("https://klasma.github.io/Logging_0580/kartor/A 22040-2023 karta.png", "A 22040-2023")</f>
        <v/>
      </c>
      <c r="V18">
        <f>HYPERLINK("https://klasma.github.io/Logging_0580/klagomål/A 22040-2023 FSC-klagomål.docx", "A 22040-2023")</f>
        <v/>
      </c>
      <c r="W18">
        <f>HYPERLINK("https://klasma.github.io/Logging_0580/klagomålsmail/A 22040-2023 FSC-klagomål mail.docx", "A 22040-2023")</f>
        <v/>
      </c>
      <c r="X18">
        <f>HYPERLINK("https://klasma.github.io/Logging_0580/tillsyn/A 22040-2023 tillsynsbegäran.docx", "A 22040-2023")</f>
        <v/>
      </c>
      <c r="Y18">
        <f>HYPERLINK("https://klasma.github.io/Logging_0580/tillsynsmail/A 22040-2023 tillsynsbegäran mail.docx", "A 22040-2023")</f>
        <v/>
      </c>
    </row>
    <row r="19" ht="15" customHeight="1">
      <c r="A19" t="inlineStr">
        <is>
          <t>A 21228-2026</t>
        </is>
      </c>
      <c r="B19" s="1" t="n">
        <v>46146</v>
      </c>
      <c r="C19" s="1" t="n">
        <v>46194</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c r="Z19">
        <f>HYPERLINK("https://klasma.github.io/Logging_0580/fåglar/A 21228-2026 prioriterade fågelarter.docx", "A 21228-2026")</f>
        <v/>
      </c>
    </row>
    <row r="20" ht="15" customHeight="1">
      <c r="A20" t="inlineStr">
        <is>
          <t>A 38129-2021</t>
        </is>
      </c>
      <c r="B20" s="1" t="n">
        <v>44405</v>
      </c>
      <c r="C20" s="1" t="n">
        <v>46194</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46194</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46194</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46194</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9192-2025</t>
        </is>
      </c>
      <c r="B24" s="1" t="n">
        <v>45714</v>
      </c>
      <c r="C24" s="1" t="n">
        <v>46194</v>
      </c>
      <c r="D24" t="inlineStr">
        <is>
          <t>ÖSTERGÖTLANDS LÄN</t>
        </is>
      </c>
      <c r="E24" t="inlineStr">
        <is>
          <t>LINKÖPING</t>
        </is>
      </c>
      <c r="F24" t="inlineStr">
        <is>
          <t>Allmännings- och besparingsskogar</t>
        </is>
      </c>
      <c r="G24" t="n">
        <v>17.4</v>
      </c>
      <c r="H24" t="n">
        <v>2</v>
      </c>
      <c r="I24" t="n">
        <v>3</v>
      </c>
      <c r="J24" t="n">
        <v>0</v>
      </c>
      <c r="K24" t="n">
        <v>0</v>
      </c>
      <c r="L24" t="n">
        <v>0</v>
      </c>
      <c r="M24" t="n">
        <v>0</v>
      </c>
      <c r="N24" t="n">
        <v>0</v>
      </c>
      <c r="O24" t="n">
        <v>0</v>
      </c>
      <c r="P24" t="n">
        <v>0</v>
      </c>
      <c r="Q24" t="n">
        <v>4</v>
      </c>
      <c r="R24" s="2" t="inlineStr">
        <is>
          <t>Grönpyrola
Purpurknipprot
Svart jordtunga
Fläcknycklar</t>
        </is>
      </c>
      <c r="S24">
        <f>HYPERLINK("https://klasma.github.io/Logging_0580/artfynd/A 9192-2025 artfynd.xlsx", "A 9192-2025")</f>
        <v/>
      </c>
      <c r="T24">
        <f>HYPERLINK("https://klasma.github.io/Logging_0580/kartor/A 9192-2025 karta.png", "A 9192-2025")</f>
        <v/>
      </c>
      <c r="V24">
        <f>HYPERLINK("https://klasma.github.io/Logging_0580/klagomål/A 9192-2025 FSC-klagomål.docx", "A 9192-2025")</f>
        <v/>
      </c>
      <c r="W24">
        <f>HYPERLINK("https://klasma.github.io/Logging_0580/klagomålsmail/A 9192-2025 FSC-klagomål mail.docx", "A 9192-2025")</f>
        <v/>
      </c>
      <c r="X24">
        <f>HYPERLINK("https://klasma.github.io/Logging_0580/tillsyn/A 9192-2025 tillsynsbegäran.docx", "A 9192-2025")</f>
        <v/>
      </c>
      <c r="Y24">
        <f>HYPERLINK("https://klasma.github.io/Logging_0580/tillsynsmail/A 9192-2025 tillsynsbegäran mail.docx", "A 9192-2025")</f>
        <v/>
      </c>
    </row>
    <row r="25" ht="15" customHeight="1">
      <c r="A25" t="inlineStr">
        <is>
          <t>A 4256-2022</t>
        </is>
      </c>
      <c r="B25" s="1" t="n">
        <v>44588</v>
      </c>
      <c r="C25" s="1" t="n">
        <v>46194</v>
      </c>
      <c r="D25" t="inlineStr">
        <is>
          <t>ÖSTERGÖTLANDS LÄN</t>
        </is>
      </c>
      <c r="E25" t="inlineStr">
        <is>
          <t>LINKÖPING</t>
        </is>
      </c>
      <c r="G25" t="n">
        <v>1.4</v>
      </c>
      <c r="H25" t="n">
        <v>3</v>
      </c>
      <c r="I25" t="n">
        <v>0</v>
      </c>
      <c r="J25" t="n">
        <v>3</v>
      </c>
      <c r="K25" t="n">
        <v>1</v>
      </c>
      <c r="L25" t="n">
        <v>0</v>
      </c>
      <c r="M25" t="n">
        <v>0</v>
      </c>
      <c r="N25" t="n">
        <v>0</v>
      </c>
      <c r="O25" t="n">
        <v>4</v>
      </c>
      <c r="P25" t="n">
        <v>1</v>
      </c>
      <c r="Q25" t="n">
        <v>4</v>
      </c>
      <c r="R25" s="2" t="inlineStr">
        <is>
          <t>Stare
Asksolvecklare
Gulsparv
Ladusvala</t>
        </is>
      </c>
      <c r="S25">
        <f>HYPERLINK("https://klasma.github.io/Logging_0580/artfynd/A 4256-2022 artfynd.xlsx", "A 4256-2022")</f>
        <v/>
      </c>
      <c r="T25">
        <f>HYPERLINK("https://klasma.github.io/Logging_0580/kartor/A 4256-2022 karta.png", "A 4256-2022")</f>
        <v/>
      </c>
      <c r="V25">
        <f>HYPERLINK("https://klasma.github.io/Logging_0580/klagomål/A 4256-2022 FSC-klagomål.docx", "A 4256-2022")</f>
        <v/>
      </c>
      <c r="W25">
        <f>HYPERLINK("https://klasma.github.io/Logging_0580/klagomålsmail/A 4256-2022 FSC-klagomål mail.docx", "A 4256-2022")</f>
        <v/>
      </c>
      <c r="X25">
        <f>HYPERLINK("https://klasma.github.io/Logging_0580/tillsyn/A 4256-2022 tillsynsbegäran.docx", "A 4256-2022")</f>
        <v/>
      </c>
      <c r="Y25">
        <f>HYPERLINK("https://klasma.github.io/Logging_0580/tillsynsmail/A 4256-2022 tillsynsbegäran mail.docx", "A 4256-2022")</f>
        <v/>
      </c>
      <c r="Z25">
        <f>HYPERLINK("https://klasma.github.io/Logging_0580/fåglar/A 4256-2022 prioriterade fågelarter.docx", "A 4256-2022")</f>
        <v/>
      </c>
    </row>
    <row r="26" ht="15" customHeight="1">
      <c r="A26" t="inlineStr">
        <is>
          <t>A 49999-2025</t>
        </is>
      </c>
      <c r="B26" s="1" t="n">
        <v>45943</v>
      </c>
      <c r="C26" s="1" t="n">
        <v>46194</v>
      </c>
      <c r="D26" t="inlineStr">
        <is>
          <t>ÖSTERGÖTLANDS LÄN</t>
        </is>
      </c>
      <c r="E26" t="inlineStr">
        <is>
          <t>LINKÖPING</t>
        </is>
      </c>
      <c r="G26" t="n">
        <v>2.3</v>
      </c>
      <c r="H26" t="n">
        <v>2</v>
      </c>
      <c r="I26" t="n">
        <v>0</v>
      </c>
      <c r="J26" t="n">
        <v>1</v>
      </c>
      <c r="K26" t="n">
        <v>0</v>
      </c>
      <c r="L26" t="n">
        <v>1</v>
      </c>
      <c r="M26" t="n">
        <v>0</v>
      </c>
      <c r="N26" t="n">
        <v>0</v>
      </c>
      <c r="O26" t="n">
        <v>2</v>
      </c>
      <c r="P26" t="n">
        <v>1</v>
      </c>
      <c r="Q26" t="n">
        <v>4</v>
      </c>
      <c r="R26" s="2" t="inlineStr">
        <is>
          <t>Ask
Vårärt
Nattviol
Gullviva</t>
        </is>
      </c>
      <c r="S26">
        <f>HYPERLINK("https://klasma.github.io/Logging_0580/artfynd/A 49999-2025 artfynd.xlsx", "A 49999-2025")</f>
        <v/>
      </c>
      <c r="T26">
        <f>HYPERLINK("https://klasma.github.io/Logging_0580/kartor/A 49999-2025 karta.png", "A 49999-2025")</f>
        <v/>
      </c>
      <c r="V26">
        <f>HYPERLINK("https://klasma.github.io/Logging_0580/klagomål/A 49999-2025 FSC-klagomål.docx", "A 49999-2025")</f>
        <v/>
      </c>
      <c r="W26">
        <f>HYPERLINK("https://klasma.github.io/Logging_0580/klagomålsmail/A 49999-2025 FSC-klagomål mail.docx", "A 49999-2025")</f>
        <v/>
      </c>
      <c r="X26">
        <f>HYPERLINK("https://klasma.github.io/Logging_0580/tillsyn/A 49999-2025 tillsynsbegäran.docx", "A 49999-2025")</f>
        <v/>
      </c>
      <c r="Y26">
        <f>HYPERLINK("https://klasma.github.io/Logging_0580/tillsynsmail/A 49999-2025 tillsynsbegäran mail.docx", "A 49999-2025")</f>
        <v/>
      </c>
    </row>
    <row r="27" ht="15" customHeight="1">
      <c r="A27" t="inlineStr">
        <is>
          <t>A 5545-2026</t>
        </is>
      </c>
      <c r="B27" s="1" t="n">
        <v>46050</v>
      </c>
      <c r="C27" s="1" t="n">
        <v>46194</v>
      </c>
      <c r="D27" t="inlineStr">
        <is>
          <t>ÖSTERGÖTLANDS LÄN</t>
        </is>
      </c>
      <c r="E27" t="inlineStr">
        <is>
          <t>LINKÖPING</t>
        </is>
      </c>
      <c r="G27" t="n">
        <v>1.4</v>
      </c>
      <c r="H27" t="n">
        <v>2</v>
      </c>
      <c r="I27" t="n">
        <v>1</v>
      </c>
      <c r="J27" t="n">
        <v>1</v>
      </c>
      <c r="K27" t="n">
        <v>0</v>
      </c>
      <c r="L27" t="n">
        <v>0</v>
      </c>
      <c r="M27" t="n">
        <v>0</v>
      </c>
      <c r="N27" t="n">
        <v>0</v>
      </c>
      <c r="O27" t="n">
        <v>1</v>
      </c>
      <c r="P27" t="n">
        <v>0</v>
      </c>
      <c r="Q27" t="n">
        <v>4</v>
      </c>
      <c r="R27" s="2" t="inlineStr">
        <is>
          <t>Loppstarr
Granbräken
Ängsnycklar
Ängsnycklar × fläcknycklar</t>
        </is>
      </c>
      <c r="S27">
        <f>HYPERLINK("https://klasma.github.io/Logging_0580/artfynd/A 5545-2026 artfynd.xlsx", "A 5545-2026")</f>
        <v/>
      </c>
      <c r="T27">
        <f>HYPERLINK("https://klasma.github.io/Logging_0580/kartor/A 5545-2026 karta.png", "A 5545-2026")</f>
        <v/>
      </c>
      <c r="V27">
        <f>HYPERLINK("https://klasma.github.io/Logging_0580/klagomål/A 5545-2026 FSC-klagomål.docx", "A 5545-2026")</f>
        <v/>
      </c>
      <c r="W27">
        <f>HYPERLINK("https://klasma.github.io/Logging_0580/klagomålsmail/A 5545-2026 FSC-klagomål mail.docx", "A 5545-2026")</f>
        <v/>
      </c>
      <c r="X27">
        <f>HYPERLINK("https://klasma.github.io/Logging_0580/tillsyn/A 5545-2026 tillsynsbegäran.docx", "A 5545-2026")</f>
        <v/>
      </c>
      <c r="Y27">
        <f>HYPERLINK("https://klasma.github.io/Logging_0580/tillsynsmail/A 5545-2026 tillsynsbegäran mail.docx", "A 5545-2026")</f>
        <v/>
      </c>
    </row>
    <row r="28" ht="15" customHeight="1">
      <c r="A28" t="inlineStr">
        <is>
          <t>A 11048-2026</t>
        </is>
      </c>
      <c r="B28" s="1" t="n">
        <v>46079</v>
      </c>
      <c r="C28" s="1" t="n">
        <v>46194</v>
      </c>
      <c r="D28" t="inlineStr">
        <is>
          <t>ÖSTERGÖTLANDS LÄN</t>
        </is>
      </c>
      <c r="E28" t="inlineStr">
        <is>
          <t>LINKÖPING</t>
        </is>
      </c>
      <c r="G28" t="n">
        <v>4.1</v>
      </c>
      <c r="H28" t="n">
        <v>0</v>
      </c>
      <c r="I28" t="n">
        <v>3</v>
      </c>
      <c r="J28" t="n">
        <v>1</v>
      </c>
      <c r="K28" t="n">
        <v>0</v>
      </c>
      <c r="L28" t="n">
        <v>0</v>
      </c>
      <c r="M28" t="n">
        <v>0</v>
      </c>
      <c r="N28" t="n">
        <v>0</v>
      </c>
      <c r="O28" t="n">
        <v>1</v>
      </c>
      <c r="P28" t="n">
        <v>0</v>
      </c>
      <c r="Q28" t="n">
        <v>4</v>
      </c>
      <c r="R28" s="2" t="inlineStr">
        <is>
          <t>Sårläka
Scharlakansvårskål agg.
Svart trolldruva
Tibast</t>
        </is>
      </c>
      <c r="S28">
        <f>HYPERLINK("https://klasma.github.io/Logging_0580/artfynd/A 11048-2026 artfynd.xlsx", "A 11048-2026")</f>
        <v/>
      </c>
      <c r="T28">
        <f>HYPERLINK("https://klasma.github.io/Logging_0580/kartor/A 11048-2026 karta.png", "A 11048-2026")</f>
        <v/>
      </c>
      <c r="V28">
        <f>HYPERLINK("https://klasma.github.io/Logging_0580/klagomål/A 11048-2026 FSC-klagomål.docx", "A 11048-2026")</f>
        <v/>
      </c>
      <c r="W28">
        <f>HYPERLINK("https://klasma.github.io/Logging_0580/klagomålsmail/A 11048-2026 FSC-klagomål mail.docx", "A 11048-2026")</f>
        <v/>
      </c>
      <c r="X28">
        <f>HYPERLINK("https://klasma.github.io/Logging_0580/tillsyn/A 11048-2026 tillsynsbegäran.docx", "A 11048-2026")</f>
        <v/>
      </c>
      <c r="Y28">
        <f>HYPERLINK("https://klasma.github.io/Logging_0580/tillsynsmail/A 11048-2026 tillsynsbegäran mail.docx", "A 11048-2026")</f>
        <v/>
      </c>
    </row>
    <row r="29" ht="15" customHeight="1">
      <c r="A29" t="inlineStr">
        <is>
          <t>A 40469-2024</t>
        </is>
      </c>
      <c r="B29" s="1" t="n">
        <v>45555</v>
      </c>
      <c r="C29" s="1" t="n">
        <v>46194</v>
      </c>
      <c r="D29" t="inlineStr">
        <is>
          <t>ÖSTERGÖTLANDS LÄN</t>
        </is>
      </c>
      <c r="E29" t="inlineStr">
        <is>
          <t>LINKÖPING</t>
        </is>
      </c>
      <c r="F29" t="inlineStr">
        <is>
          <t>Allmännings- och besparingsskogar</t>
        </is>
      </c>
      <c r="G29" t="n">
        <v>24.5</v>
      </c>
      <c r="H29" t="n">
        <v>0</v>
      </c>
      <c r="I29" t="n">
        <v>3</v>
      </c>
      <c r="J29" t="n">
        <v>1</v>
      </c>
      <c r="K29" t="n">
        <v>0</v>
      </c>
      <c r="L29" t="n">
        <v>0</v>
      </c>
      <c r="M29" t="n">
        <v>0</v>
      </c>
      <c r="N29" t="n">
        <v>0</v>
      </c>
      <c r="O29" t="n">
        <v>1</v>
      </c>
      <c r="P29" t="n">
        <v>0</v>
      </c>
      <c r="Q29" t="n">
        <v>4</v>
      </c>
      <c r="R29" s="2" t="inlineStr">
        <is>
          <t>Brunpudrad nållav
Brandticka
Gulnål
Kornig nållav</t>
        </is>
      </c>
      <c r="S29">
        <f>HYPERLINK("https://klasma.github.io/Logging_0580/artfynd/A 40469-2024 artfynd.xlsx", "A 40469-2024")</f>
        <v/>
      </c>
      <c r="T29">
        <f>HYPERLINK("https://klasma.github.io/Logging_0580/kartor/A 40469-2024 karta.png", "A 40469-2024")</f>
        <v/>
      </c>
      <c r="V29">
        <f>HYPERLINK("https://klasma.github.io/Logging_0580/klagomål/A 40469-2024 FSC-klagomål.docx", "A 40469-2024")</f>
        <v/>
      </c>
      <c r="W29">
        <f>HYPERLINK("https://klasma.github.io/Logging_0580/klagomålsmail/A 40469-2024 FSC-klagomål mail.docx", "A 40469-2024")</f>
        <v/>
      </c>
      <c r="X29">
        <f>HYPERLINK("https://klasma.github.io/Logging_0580/tillsyn/A 40469-2024 tillsynsbegäran.docx", "A 40469-2024")</f>
        <v/>
      </c>
      <c r="Y29">
        <f>HYPERLINK("https://klasma.github.io/Logging_0580/tillsynsmail/A 40469-2024 tillsynsbegäran mail.docx", "A 40469-2024")</f>
        <v/>
      </c>
    </row>
    <row r="30" ht="15" customHeight="1">
      <c r="A30" t="inlineStr">
        <is>
          <t>A 15856-2026</t>
        </is>
      </c>
      <c r="B30" s="1" t="n">
        <v>46107</v>
      </c>
      <c r="C30" s="1" t="n">
        <v>46194</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46194</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46194</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56250-2021</t>
        </is>
      </c>
      <c r="B33" s="1" t="n">
        <v>44479</v>
      </c>
      <c r="C33" s="1" t="n">
        <v>46194</v>
      </c>
      <c r="D33" t="inlineStr">
        <is>
          <t>ÖSTERGÖTLANDS LÄN</t>
        </is>
      </c>
      <c r="E33" t="inlineStr">
        <is>
          <t>LINKÖPING</t>
        </is>
      </c>
      <c r="F33" t="inlineStr">
        <is>
          <t>Övriga Aktiebolag</t>
        </is>
      </c>
      <c r="G33" t="n">
        <v>3.2</v>
      </c>
      <c r="H33" t="n">
        <v>0</v>
      </c>
      <c r="I33" t="n">
        <v>1</v>
      </c>
      <c r="J33" t="n">
        <v>2</v>
      </c>
      <c r="K33" t="n">
        <v>0</v>
      </c>
      <c r="L33" t="n">
        <v>0</v>
      </c>
      <c r="M33" t="n">
        <v>0</v>
      </c>
      <c r="N33" t="n">
        <v>0</v>
      </c>
      <c r="O33" t="n">
        <v>2</v>
      </c>
      <c r="P33" t="n">
        <v>0</v>
      </c>
      <c r="Q33" t="n">
        <v>3</v>
      </c>
      <c r="R33" s="2" t="inlineStr">
        <is>
          <t>Gullpudra
Sårläka
Strutbräken</t>
        </is>
      </c>
      <c r="S33">
        <f>HYPERLINK("https://klasma.github.io/Logging_0580/artfynd/A 56250-2021 artfynd.xlsx", "A 56250-2021")</f>
        <v/>
      </c>
      <c r="T33">
        <f>HYPERLINK("https://klasma.github.io/Logging_0580/kartor/A 56250-2021 karta.png", "A 56250-2021")</f>
        <v/>
      </c>
      <c r="V33">
        <f>HYPERLINK("https://klasma.github.io/Logging_0580/klagomål/A 56250-2021 FSC-klagomål.docx", "A 56250-2021")</f>
        <v/>
      </c>
      <c r="W33">
        <f>HYPERLINK("https://klasma.github.io/Logging_0580/klagomålsmail/A 56250-2021 FSC-klagomål mail.docx", "A 56250-2021")</f>
        <v/>
      </c>
      <c r="X33">
        <f>HYPERLINK("https://klasma.github.io/Logging_0580/tillsyn/A 56250-2021 tillsynsbegäran.docx", "A 56250-2021")</f>
        <v/>
      </c>
      <c r="Y33">
        <f>HYPERLINK("https://klasma.github.io/Logging_0580/tillsynsmail/A 56250-2021 tillsynsbegäran mail.docx", "A 56250-2021")</f>
        <v/>
      </c>
    </row>
    <row r="34" ht="15" customHeight="1">
      <c r="A34" t="inlineStr">
        <is>
          <t>A 17520-2022</t>
        </is>
      </c>
      <c r="B34" s="1" t="n">
        <v>44679</v>
      </c>
      <c r="C34" s="1" t="n">
        <v>46194</v>
      </c>
      <c r="D34" t="inlineStr">
        <is>
          <t>ÖSTERGÖTLANDS LÄN</t>
        </is>
      </c>
      <c r="E34" t="inlineStr">
        <is>
          <t>LINKÖPING</t>
        </is>
      </c>
      <c r="F34" t="inlineStr">
        <is>
          <t>Kommuner</t>
        </is>
      </c>
      <c r="G34" t="n">
        <v>4.6</v>
      </c>
      <c r="H34" t="n">
        <v>1</v>
      </c>
      <c r="I34" t="n">
        <v>2</v>
      </c>
      <c r="J34" t="n">
        <v>0</v>
      </c>
      <c r="K34" t="n">
        <v>0</v>
      </c>
      <c r="L34" t="n">
        <v>0</v>
      </c>
      <c r="M34" t="n">
        <v>0</v>
      </c>
      <c r="N34" t="n">
        <v>0</v>
      </c>
      <c r="O34" t="n">
        <v>0</v>
      </c>
      <c r="P34" t="n">
        <v>0</v>
      </c>
      <c r="Q34" t="n">
        <v>3</v>
      </c>
      <c r="R34" s="2" t="inlineStr">
        <is>
          <t>Blåmossa
Trådticka
Mindre vattensalamander</t>
        </is>
      </c>
      <c r="S34">
        <f>HYPERLINK("https://klasma.github.io/Logging_0580/artfynd/A 17520-2022 artfynd.xlsx", "A 17520-2022")</f>
        <v/>
      </c>
      <c r="T34">
        <f>HYPERLINK("https://klasma.github.io/Logging_0580/kartor/A 17520-2022 karta.png", "A 17520-2022")</f>
        <v/>
      </c>
      <c r="V34">
        <f>HYPERLINK("https://klasma.github.io/Logging_0580/klagomål/A 17520-2022 FSC-klagomål.docx", "A 17520-2022")</f>
        <v/>
      </c>
      <c r="W34">
        <f>HYPERLINK("https://klasma.github.io/Logging_0580/klagomålsmail/A 17520-2022 FSC-klagomål mail.docx", "A 17520-2022")</f>
        <v/>
      </c>
      <c r="X34">
        <f>HYPERLINK("https://klasma.github.io/Logging_0580/tillsyn/A 17520-2022 tillsynsbegäran.docx", "A 17520-2022")</f>
        <v/>
      </c>
      <c r="Y34">
        <f>HYPERLINK("https://klasma.github.io/Logging_0580/tillsynsmail/A 17520-2022 tillsynsbegäran mail.docx", "A 17520-2022")</f>
        <v/>
      </c>
    </row>
    <row r="35" ht="15" customHeight="1">
      <c r="A35" t="inlineStr">
        <is>
          <t>A 1213-2023</t>
        </is>
      </c>
      <c r="B35" s="1" t="n">
        <v>44930</v>
      </c>
      <c r="C35" s="1" t="n">
        <v>46194</v>
      </c>
      <c r="D35" t="inlineStr">
        <is>
          <t>ÖSTERGÖTLANDS LÄN</t>
        </is>
      </c>
      <c r="E35" t="inlineStr">
        <is>
          <t>LINKÖPING</t>
        </is>
      </c>
      <c r="F35" t="inlineStr">
        <is>
          <t>Övriga statliga verk och myndigheter</t>
        </is>
      </c>
      <c r="G35" t="n">
        <v>17.8</v>
      </c>
      <c r="H35" t="n">
        <v>1</v>
      </c>
      <c r="I35" t="n">
        <v>1</v>
      </c>
      <c r="J35" t="n">
        <v>2</v>
      </c>
      <c r="K35" t="n">
        <v>0</v>
      </c>
      <c r="L35" t="n">
        <v>0</v>
      </c>
      <c r="M35" t="n">
        <v>0</v>
      </c>
      <c r="N35" t="n">
        <v>0</v>
      </c>
      <c r="O35" t="n">
        <v>2</v>
      </c>
      <c r="P35" t="n">
        <v>0</v>
      </c>
      <c r="Q35" t="n">
        <v>3</v>
      </c>
      <c r="R35" s="2" t="inlineStr">
        <is>
          <t>Bivråk
Jungfrulin
Stubbspretmossa</t>
        </is>
      </c>
      <c r="S35">
        <f>HYPERLINK("https://klasma.github.io/Logging_0580/artfynd/A 1213-2023 artfynd.xlsx", "A 1213-2023")</f>
        <v/>
      </c>
      <c r="T35">
        <f>HYPERLINK("https://klasma.github.io/Logging_0580/kartor/A 1213-2023 karta.png", "A 1213-2023")</f>
        <v/>
      </c>
      <c r="V35">
        <f>HYPERLINK("https://klasma.github.io/Logging_0580/klagomål/A 1213-2023 FSC-klagomål.docx", "A 1213-2023")</f>
        <v/>
      </c>
      <c r="W35">
        <f>HYPERLINK("https://klasma.github.io/Logging_0580/klagomålsmail/A 1213-2023 FSC-klagomål mail.docx", "A 1213-2023")</f>
        <v/>
      </c>
      <c r="X35">
        <f>HYPERLINK("https://klasma.github.io/Logging_0580/tillsyn/A 1213-2023 tillsynsbegäran.docx", "A 1213-2023")</f>
        <v/>
      </c>
      <c r="Y35">
        <f>HYPERLINK("https://klasma.github.io/Logging_0580/tillsynsmail/A 1213-2023 tillsynsbegäran mail.docx", "A 1213-2023")</f>
        <v/>
      </c>
      <c r="Z35">
        <f>HYPERLINK("https://klasma.github.io/Logging_0580/fåglar/A 1213-2023 prioriterade fågelarter.docx", "A 1213-2023")</f>
        <v/>
      </c>
    </row>
    <row r="36" ht="15" customHeight="1">
      <c r="A36" t="inlineStr">
        <is>
          <t>A 48042-2022</t>
        </is>
      </c>
      <c r="B36" s="1" t="n">
        <v>44855</v>
      </c>
      <c r="C36" s="1" t="n">
        <v>46194</v>
      </c>
      <c r="D36" t="inlineStr">
        <is>
          <t>ÖSTERGÖTLANDS LÄN</t>
        </is>
      </c>
      <c r="E36" t="inlineStr">
        <is>
          <t>LINKÖPING</t>
        </is>
      </c>
      <c r="G36" t="n">
        <v>0.5</v>
      </c>
      <c r="H36" t="n">
        <v>3</v>
      </c>
      <c r="I36" t="n">
        <v>0</v>
      </c>
      <c r="J36" t="n">
        <v>0</v>
      </c>
      <c r="K36" t="n">
        <v>0</v>
      </c>
      <c r="L36" t="n">
        <v>0</v>
      </c>
      <c r="M36" t="n">
        <v>0</v>
      </c>
      <c r="N36" t="n">
        <v>0</v>
      </c>
      <c r="O36" t="n">
        <v>0</v>
      </c>
      <c r="P36" t="n">
        <v>0</v>
      </c>
      <c r="Q36" t="n">
        <v>3</v>
      </c>
      <c r="R36" s="2" t="inlineStr">
        <is>
          <t>Kungsfågel
Röd glada
Törnskata</t>
        </is>
      </c>
      <c r="S36">
        <f>HYPERLINK("https://klasma.github.io/Logging_0580/artfynd/A 48042-2022 artfynd.xlsx", "A 48042-2022")</f>
        <v/>
      </c>
      <c r="T36">
        <f>HYPERLINK("https://klasma.github.io/Logging_0580/kartor/A 48042-2022 karta.png", "A 48042-2022")</f>
        <v/>
      </c>
      <c r="V36">
        <f>HYPERLINK("https://klasma.github.io/Logging_0580/klagomål/A 48042-2022 FSC-klagomål.docx", "A 48042-2022")</f>
        <v/>
      </c>
      <c r="W36">
        <f>HYPERLINK("https://klasma.github.io/Logging_0580/klagomålsmail/A 48042-2022 FSC-klagomål mail.docx", "A 48042-2022")</f>
        <v/>
      </c>
      <c r="X36">
        <f>HYPERLINK("https://klasma.github.io/Logging_0580/tillsyn/A 48042-2022 tillsynsbegäran.docx", "A 48042-2022")</f>
        <v/>
      </c>
      <c r="Y36">
        <f>HYPERLINK("https://klasma.github.io/Logging_0580/tillsynsmail/A 48042-2022 tillsynsbegäran mail.docx", "A 48042-2022")</f>
        <v/>
      </c>
      <c r="Z36">
        <f>HYPERLINK("https://klasma.github.io/Logging_0580/fåglar/A 48042-2022 prioriterade fågelarter.docx", "A 48042-2022")</f>
        <v/>
      </c>
    </row>
    <row r="37" ht="15" customHeight="1">
      <c r="A37" t="inlineStr">
        <is>
          <t>A 55341-2024</t>
        </is>
      </c>
      <c r="B37" s="1" t="n">
        <v>45621</v>
      </c>
      <c r="C37" s="1" t="n">
        <v>46194</v>
      </c>
      <c r="D37" t="inlineStr">
        <is>
          <t>ÖSTERGÖTLANDS LÄN</t>
        </is>
      </c>
      <c r="E37" t="inlineStr">
        <is>
          <t>LINKÖPING</t>
        </is>
      </c>
      <c r="G37" t="n">
        <v>4.3</v>
      </c>
      <c r="H37" t="n">
        <v>0</v>
      </c>
      <c r="I37" t="n">
        <v>2</v>
      </c>
      <c r="J37" t="n">
        <v>1</v>
      </c>
      <c r="K37" t="n">
        <v>0</v>
      </c>
      <c r="L37" t="n">
        <v>0</v>
      </c>
      <c r="M37" t="n">
        <v>0</v>
      </c>
      <c r="N37" t="n">
        <v>0</v>
      </c>
      <c r="O37" t="n">
        <v>1</v>
      </c>
      <c r="P37" t="n">
        <v>0</v>
      </c>
      <c r="Q37" t="n">
        <v>3</v>
      </c>
      <c r="R37" s="2" t="inlineStr">
        <is>
          <t>Rynkskinn
Barkticka
Smal svampklubba</t>
        </is>
      </c>
      <c r="S37">
        <f>HYPERLINK("https://klasma.github.io/Logging_0580/artfynd/A 55341-2024 artfynd.xlsx", "A 55341-2024")</f>
        <v/>
      </c>
      <c r="T37">
        <f>HYPERLINK("https://klasma.github.io/Logging_0580/kartor/A 55341-2024 karta.png", "A 55341-2024")</f>
        <v/>
      </c>
      <c r="V37">
        <f>HYPERLINK("https://klasma.github.io/Logging_0580/klagomål/A 55341-2024 FSC-klagomål.docx", "A 55341-2024")</f>
        <v/>
      </c>
      <c r="W37">
        <f>HYPERLINK("https://klasma.github.io/Logging_0580/klagomålsmail/A 55341-2024 FSC-klagomål mail.docx", "A 55341-2024")</f>
        <v/>
      </c>
      <c r="X37">
        <f>HYPERLINK("https://klasma.github.io/Logging_0580/tillsyn/A 55341-2024 tillsynsbegäran.docx", "A 55341-2024")</f>
        <v/>
      </c>
      <c r="Y37">
        <f>HYPERLINK("https://klasma.github.io/Logging_0580/tillsynsmail/A 55341-2024 tillsynsbegäran mail.docx", "A 55341-2024")</f>
        <v/>
      </c>
    </row>
    <row r="38" ht="15" customHeight="1">
      <c r="A38" t="inlineStr">
        <is>
          <t>A 50806-2023</t>
        </is>
      </c>
      <c r="B38" s="1" t="n">
        <v>45217</v>
      </c>
      <c r="C38" s="1" t="n">
        <v>46194</v>
      </c>
      <c r="D38" t="inlineStr">
        <is>
          <t>ÖSTERGÖTLANDS LÄN</t>
        </is>
      </c>
      <c r="E38" t="inlineStr">
        <is>
          <t>LINKÖPING</t>
        </is>
      </c>
      <c r="F38" t="inlineStr">
        <is>
          <t>Övriga Aktiebolag</t>
        </is>
      </c>
      <c r="G38" t="n">
        <v>0.7</v>
      </c>
      <c r="H38" t="n">
        <v>1</v>
      </c>
      <c r="I38" t="n">
        <v>2</v>
      </c>
      <c r="J38" t="n">
        <v>0</v>
      </c>
      <c r="K38" t="n">
        <v>0</v>
      </c>
      <c r="L38" t="n">
        <v>0</v>
      </c>
      <c r="M38" t="n">
        <v>0</v>
      </c>
      <c r="N38" t="n">
        <v>0</v>
      </c>
      <c r="O38" t="n">
        <v>0</v>
      </c>
      <c r="P38" t="n">
        <v>0</v>
      </c>
      <c r="Q38" t="n">
        <v>3</v>
      </c>
      <c r="R38" s="2" t="inlineStr">
        <is>
          <t>Brun nållav
Fällmossa
Gullviva</t>
        </is>
      </c>
      <c r="S38">
        <f>HYPERLINK("https://klasma.github.io/Logging_0580/artfynd/A 50806-2023 artfynd.xlsx", "A 50806-2023")</f>
        <v/>
      </c>
      <c r="T38">
        <f>HYPERLINK("https://klasma.github.io/Logging_0580/kartor/A 50806-2023 karta.png", "A 50806-2023")</f>
        <v/>
      </c>
      <c r="V38">
        <f>HYPERLINK("https://klasma.github.io/Logging_0580/klagomål/A 50806-2023 FSC-klagomål.docx", "A 50806-2023")</f>
        <v/>
      </c>
      <c r="W38">
        <f>HYPERLINK("https://klasma.github.io/Logging_0580/klagomålsmail/A 50806-2023 FSC-klagomål mail.docx", "A 50806-2023")</f>
        <v/>
      </c>
      <c r="X38">
        <f>HYPERLINK("https://klasma.github.io/Logging_0580/tillsyn/A 50806-2023 tillsynsbegäran.docx", "A 50806-2023")</f>
        <v/>
      </c>
      <c r="Y38">
        <f>HYPERLINK("https://klasma.github.io/Logging_0580/tillsynsmail/A 50806-2023 tillsynsbegäran mail.docx", "A 50806-2023")</f>
        <v/>
      </c>
    </row>
    <row r="39" ht="15" customHeight="1">
      <c r="A39" t="inlineStr">
        <is>
          <t>A 126-2024</t>
        </is>
      </c>
      <c r="B39" s="1" t="n">
        <v>45294</v>
      </c>
      <c r="C39" s="1" t="n">
        <v>46194</v>
      </c>
      <c r="D39" t="inlineStr">
        <is>
          <t>ÖSTERGÖTLANDS LÄN</t>
        </is>
      </c>
      <c r="E39" t="inlineStr">
        <is>
          <t>LINKÖPING</t>
        </is>
      </c>
      <c r="G39" t="n">
        <v>1</v>
      </c>
      <c r="H39" t="n">
        <v>0</v>
      </c>
      <c r="I39" t="n">
        <v>3</v>
      </c>
      <c r="J39" t="n">
        <v>0</v>
      </c>
      <c r="K39" t="n">
        <v>0</v>
      </c>
      <c r="L39" t="n">
        <v>0</v>
      </c>
      <c r="M39" t="n">
        <v>0</v>
      </c>
      <c r="N39" t="n">
        <v>0</v>
      </c>
      <c r="O39" t="n">
        <v>0</v>
      </c>
      <c r="P39" t="n">
        <v>0</v>
      </c>
      <c r="Q39" t="n">
        <v>3</v>
      </c>
      <c r="R39" s="2" t="inlineStr">
        <is>
          <t>Blåmossa
Bronshjon
Granbarkgnagare</t>
        </is>
      </c>
      <c r="S39">
        <f>HYPERLINK("https://klasma.github.io/Logging_0580/artfynd/A 126-2024 artfynd.xlsx", "A 126-2024")</f>
        <v/>
      </c>
      <c r="T39">
        <f>HYPERLINK("https://klasma.github.io/Logging_0580/kartor/A 126-2024 karta.png", "A 126-2024")</f>
        <v/>
      </c>
      <c r="V39">
        <f>HYPERLINK("https://klasma.github.io/Logging_0580/klagomål/A 126-2024 FSC-klagomål.docx", "A 126-2024")</f>
        <v/>
      </c>
      <c r="W39">
        <f>HYPERLINK("https://klasma.github.io/Logging_0580/klagomålsmail/A 126-2024 FSC-klagomål mail.docx", "A 126-2024")</f>
        <v/>
      </c>
      <c r="X39">
        <f>HYPERLINK("https://klasma.github.io/Logging_0580/tillsyn/A 126-2024 tillsynsbegäran.docx", "A 126-2024")</f>
        <v/>
      </c>
      <c r="Y39">
        <f>HYPERLINK("https://klasma.github.io/Logging_0580/tillsynsmail/A 126-2024 tillsynsbegäran mail.docx", "A 126-2024")</f>
        <v/>
      </c>
    </row>
    <row r="40" ht="15" customHeight="1">
      <c r="A40" t="inlineStr">
        <is>
          <t>A 577-2025</t>
        </is>
      </c>
      <c r="B40" s="1" t="n">
        <v>45664</v>
      </c>
      <c r="C40" s="1" t="n">
        <v>46194</v>
      </c>
      <c r="D40" t="inlineStr">
        <is>
          <t>ÖSTERGÖTLANDS LÄN</t>
        </is>
      </c>
      <c r="E40" t="inlineStr">
        <is>
          <t>LINKÖPING</t>
        </is>
      </c>
      <c r="G40" t="n">
        <v>3.7</v>
      </c>
      <c r="H40" t="n">
        <v>3</v>
      </c>
      <c r="I40" t="n">
        <v>0</v>
      </c>
      <c r="J40" t="n">
        <v>1</v>
      </c>
      <c r="K40" t="n">
        <v>0</v>
      </c>
      <c r="L40" t="n">
        <v>0</v>
      </c>
      <c r="M40" t="n">
        <v>0</v>
      </c>
      <c r="N40" t="n">
        <v>0</v>
      </c>
      <c r="O40" t="n">
        <v>1</v>
      </c>
      <c r="P40" t="n">
        <v>0</v>
      </c>
      <c r="Q40" t="n">
        <v>3</v>
      </c>
      <c r="R40" s="2" t="inlineStr">
        <is>
          <t>Brunlångöra
Dvärgpipistrell
Större brunfladdermus</t>
        </is>
      </c>
      <c r="S40">
        <f>HYPERLINK("https://klasma.github.io/Logging_0580/artfynd/A 577-2025 artfynd.xlsx", "A 577-2025")</f>
        <v/>
      </c>
      <c r="T40">
        <f>HYPERLINK("https://klasma.github.io/Logging_0580/kartor/A 577-2025 karta.png", "A 577-2025")</f>
        <v/>
      </c>
      <c r="V40">
        <f>HYPERLINK("https://klasma.github.io/Logging_0580/klagomål/A 577-2025 FSC-klagomål.docx", "A 577-2025")</f>
        <v/>
      </c>
      <c r="W40">
        <f>HYPERLINK("https://klasma.github.io/Logging_0580/klagomålsmail/A 577-2025 FSC-klagomål mail.docx", "A 577-2025")</f>
        <v/>
      </c>
      <c r="X40">
        <f>HYPERLINK("https://klasma.github.io/Logging_0580/tillsyn/A 577-2025 tillsynsbegäran.docx", "A 577-2025")</f>
        <v/>
      </c>
      <c r="Y40">
        <f>HYPERLINK("https://klasma.github.io/Logging_0580/tillsynsmail/A 577-2025 tillsynsbegäran mail.docx", "A 577-2025")</f>
        <v/>
      </c>
    </row>
    <row r="41" ht="15" customHeight="1">
      <c r="A41" t="inlineStr">
        <is>
          <t>A 62321-2022</t>
        </is>
      </c>
      <c r="B41" s="1" t="n">
        <v>44916</v>
      </c>
      <c r="C41" s="1" t="n">
        <v>46194</v>
      </c>
      <c r="D41" t="inlineStr">
        <is>
          <t>ÖSTERGÖTLANDS LÄN</t>
        </is>
      </c>
      <c r="E41" t="inlineStr">
        <is>
          <t>LINKÖPING</t>
        </is>
      </c>
      <c r="F41" t="inlineStr">
        <is>
          <t>Kommuner</t>
        </is>
      </c>
      <c r="G41" t="n">
        <v>5.3</v>
      </c>
      <c r="H41" t="n">
        <v>0</v>
      </c>
      <c r="I41" t="n">
        <v>0</v>
      </c>
      <c r="J41" t="n">
        <v>3</v>
      </c>
      <c r="K41" t="n">
        <v>0</v>
      </c>
      <c r="L41" t="n">
        <v>0</v>
      </c>
      <c r="M41" t="n">
        <v>0</v>
      </c>
      <c r="N41" t="n">
        <v>0</v>
      </c>
      <c r="O41" t="n">
        <v>3</v>
      </c>
      <c r="P41" t="n">
        <v>0</v>
      </c>
      <c r="Q41" t="n">
        <v>3</v>
      </c>
      <c r="R41" s="2" t="inlineStr">
        <is>
          <t>Reliktbock
Svinrot
Vintertagging</t>
        </is>
      </c>
      <c r="S41">
        <f>HYPERLINK("https://klasma.github.io/Logging_0580/artfynd/A 62321-2022 artfynd.xlsx", "A 62321-2022")</f>
        <v/>
      </c>
      <c r="T41">
        <f>HYPERLINK("https://klasma.github.io/Logging_0580/kartor/A 62321-2022 karta.png", "A 62321-2022")</f>
        <v/>
      </c>
      <c r="V41">
        <f>HYPERLINK("https://klasma.github.io/Logging_0580/klagomål/A 62321-2022 FSC-klagomål.docx", "A 62321-2022")</f>
        <v/>
      </c>
      <c r="W41">
        <f>HYPERLINK("https://klasma.github.io/Logging_0580/klagomålsmail/A 62321-2022 FSC-klagomål mail.docx", "A 62321-2022")</f>
        <v/>
      </c>
      <c r="X41">
        <f>HYPERLINK("https://klasma.github.io/Logging_0580/tillsyn/A 62321-2022 tillsynsbegäran.docx", "A 62321-2022")</f>
        <v/>
      </c>
      <c r="Y41">
        <f>HYPERLINK("https://klasma.github.io/Logging_0580/tillsynsmail/A 62321-2022 tillsynsbegäran mail.docx", "A 62321-2022")</f>
        <v/>
      </c>
    </row>
    <row r="42" ht="15" customHeight="1">
      <c r="A42" t="inlineStr">
        <is>
          <t>A 50048-2025</t>
        </is>
      </c>
      <c r="B42" s="1" t="n">
        <v>45941</v>
      </c>
      <c r="C42" s="1" t="n">
        <v>46194</v>
      </c>
      <c r="D42" t="inlineStr">
        <is>
          <t>ÖSTERGÖTLANDS LÄN</t>
        </is>
      </c>
      <c r="E42" t="inlineStr">
        <is>
          <t>LINKÖPING</t>
        </is>
      </c>
      <c r="G42" t="n">
        <v>2.4</v>
      </c>
      <c r="H42" t="n">
        <v>3</v>
      </c>
      <c r="I42" t="n">
        <v>0</v>
      </c>
      <c r="J42" t="n">
        <v>2</v>
      </c>
      <c r="K42" t="n">
        <v>0</v>
      </c>
      <c r="L42" t="n">
        <v>0</v>
      </c>
      <c r="M42" t="n">
        <v>0</v>
      </c>
      <c r="N42" t="n">
        <v>0</v>
      </c>
      <c r="O42" t="n">
        <v>2</v>
      </c>
      <c r="P42" t="n">
        <v>0</v>
      </c>
      <c r="Q42" t="n">
        <v>3</v>
      </c>
      <c r="R42" s="2" t="inlineStr">
        <is>
          <t>Grönsångare
Gulsparv
Trädlärka</t>
        </is>
      </c>
      <c r="S42">
        <f>HYPERLINK("https://klasma.github.io/Logging_0580/artfynd/A 50048-2025 artfynd.xlsx", "A 50048-2025")</f>
        <v/>
      </c>
      <c r="T42">
        <f>HYPERLINK("https://klasma.github.io/Logging_0580/kartor/A 50048-2025 karta.png", "A 50048-2025")</f>
        <v/>
      </c>
      <c r="V42">
        <f>HYPERLINK("https://klasma.github.io/Logging_0580/klagomål/A 50048-2025 FSC-klagomål.docx", "A 50048-2025")</f>
        <v/>
      </c>
      <c r="W42">
        <f>HYPERLINK("https://klasma.github.io/Logging_0580/klagomålsmail/A 50048-2025 FSC-klagomål mail.docx", "A 50048-2025")</f>
        <v/>
      </c>
      <c r="X42">
        <f>HYPERLINK("https://klasma.github.io/Logging_0580/tillsyn/A 50048-2025 tillsynsbegäran.docx", "A 50048-2025")</f>
        <v/>
      </c>
      <c r="Y42">
        <f>HYPERLINK("https://klasma.github.io/Logging_0580/tillsynsmail/A 50048-2025 tillsynsbegäran mail.docx", "A 50048-2025")</f>
        <v/>
      </c>
      <c r="Z42">
        <f>HYPERLINK("https://klasma.github.io/Logging_0580/fåglar/A 50048-2025 prioriterade fågelarter.docx", "A 50048-2025")</f>
        <v/>
      </c>
    </row>
    <row r="43" ht="15" customHeight="1">
      <c r="A43" t="inlineStr">
        <is>
          <t>A 36557-2023</t>
        </is>
      </c>
      <c r="B43" s="1" t="n">
        <v>45153</v>
      </c>
      <c r="C43" s="1" t="n">
        <v>46194</v>
      </c>
      <c r="D43" t="inlineStr">
        <is>
          <t>ÖSTERGÖTLANDS LÄN</t>
        </is>
      </c>
      <c r="E43" t="inlineStr">
        <is>
          <t>LINKÖPING</t>
        </is>
      </c>
      <c r="F43" t="inlineStr">
        <is>
          <t>Övriga Aktiebolag</t>
        </is>
      </c>
      <c r="G43" t="n">
        <v>3.1</v>
      </c>
      <c r="H43" t="n">
        <v>0</v>
      </c>
      <c r="I43" t="n">
        <v>3</v>
      </c>
      <c r="J43" t="n">
        <v>0</v>
      </c>
      <c r="K43" t="n">
        <v>0</v>
      </c>
      <c r="L43" t="n">
        <v>0</v>
      </c>
      <c r="M43" t="n">
        <v>0</v>
      </c>
      <c r="N43" t="n">
        <v>0</v>
      </c>
      <c r="O43" t="n">
        <v>0</v>
      </c>
      <c r="P43" t="n">
        <v>0</v>
      </c>
      <c r="Q43" t="n">
        <v>3</v>
      </c>
      <c r="R43" s="2" t="inlineStr">
        <is>
          <t>Dorcatoma dresdensis
Noshornsoxe
Robust tickgnagare</t>
        </is>
      </c>
      <c r="S43">
        <f>HYPERLINK("https://klasma.github.io/Logging_0580/artfynd/A 36557-2023 artfynd.xlsx", "A 36557-2023")</f>
        <v/>
      </c>
      <c r="T43">
        <f>HYPERLINK("https://klasma.github.io/Logging_0580/kartor/A 36557-2023 karta.png", "A 36557-2023")</f>
        <v/>
      </c>
      <c r="V43">
        <f>HYPERLINK("https://klasma.github.io/Logging_0580/klagomål/A 36557-2023 FSC-klagomål.docx", "A 36557-2023")</f>
        <v/>
      </c>
      <c r="W43">
        <f>HYPERLINK("https://klasma.github.io/Logging_0580/klagomålsmail/A 36557-2023 FSC-klagomål mail.docx", "A 36557-2023")</f>
        <v/>
      </c>
      <c r="X43">
        <f>HYPERLINK("https://klasma.github.io/Logging_0580/tillsyn/A 36557-2023 tillsynsbegäran.docx", "A 36557-2023")</f>
        <v/>
      </c>
      <c r="Y43">
        <f>HYPERLINK("https://klasma.github.io/Logging_0580/tillsynsmail/A 36557-2023 tillsynsbegäran mail.docx", "A 36557-2023")</f>
        <v/>
      </c>
    </row>
    <row r="44" ht="15" customHeight="1">
      <c r="A44" t="inlineStr">
        <is>
          <t>A 54835-2023</t>
        </is>
      </c>
      <c r="B44" s="1" t="n">
        <v>45236</v>
      </c>
      <c r="C44" s="1" t="n">
        <v>46194</v>
      </c>
      <c r="D44" t="inlineStr">
        <is>
          <t>ÖSTERGÖTLANDS LÄN</t>
        </is>
      </c>
      <c r="E44" t="inlineStr">
        <is>
          <t>LINKÖPING</t>
        </is>
      </c>
      <c r="G44" t="n">
        <v>2</v>
      </c>
      <c r="H44" t="n">
        <v>1</v>
      </c>
      <c r="I44" t="n">
        <v>0</v>
      </c>
      <c r="J44" t="n">
        <v>3</v>
      </c>
      <c r="K44" t="n">
        <v>0</v>
      </c>
      <c r="L44" t="n">
        <v>0</v>
      </c>
      <c r="M44" t="n">
        <v>0</v>
      </c>
      <c r="N44" t="n">
        <v>0</v>
      </c>
      <c r="O44" t="n">
        <v>3</v>
      </c>
      <c r="P44" t="n">
        <v>0</v>
      </c>
      <c r="Q44" t="n">
        <v>3</v>
      </c>
      <c r="R44" s="2" t="inlineStr">
        <is>
          <t>Krusfrö
Sparvuggla
Storgröe</t>
        </is>
      </c>
      <c r="S44">
        <f>HYPERLINK("https://klasma.github.io/Logging_0580/artfynd/A 54835-2023 artfynd.xlsx", "A 54835-2023")</f>
        <v/>
      </c>
      <c r="T44">
        <f>HYPERLINK("https://klasma.github.io/Logging_0580/kartor/A 54835-2023 karta.png", "A 54835-2023")</f>
        <v/>
      </c>
      <c r="V44">
        <f>HYPERLINK("https://klasma.github.io/Logging_0580/klagomål/A 54835-2023 FSC-klagomål.docx", "A 54835-2023")</f>
        <v/>
      </c>
      <c r="W44">
        <f>HYPERLINK("https://klasma.github.io/Logging_0580/klagomålsmail/A 54835-2023 FSC-klagomål mail.docx", "A 54835-2023")</f>
        <v/>
      </c>
      <c r="X44">
        <f>HYPERLINK("https://klasma.github.io/Logging_0580/tillsyn/A 54835-2023 tillsynsbegäran.docx", "A 54835-2023")</f>
        <v/>
      </c>
      <c r="Y44">
        <f>HYPERLINK("https://klasma.github.io/Logging_0580/tillsynsmail/A 54835-2023 tillsynsbegäran mail.docx", "A 54835-2023")</f>
        <v/>
      </c>
      <c r="Z44">
        <f>HYPERLINK("https://klasma.github.io/Logging_0580/fåglar/A 54835-2023 prioriterade fågelarter.docx", "A 54835-2023")</f>
        <v/>
      </c>
    </row>
    <row r="45" ht="15" customHeight="1">
      <c r="A45" t="inlineStr">
        <is>
          <t>A 38913-2023</t>
        </is>
      </c>
      <c r="B45" s="1" t="n">
        <v>45163</v>
      </c>
      <c r="C45" s="1" t="n">
        <v>46194</v>
      </c>
      <c r="D45" t="inlineStr">
        <is>
          <t>ÖSTERGÖTLANDS LÄN</t>
        </is>
      </c>
      <c r="E45" t="inlineStr">
        <is>
          <t>LINKÖPING</t>
        </is>
      </c>
      <c r="G45" t="n">
        <v>2.7</v>
      </c>
      <c r="H45" t="n">
        <v>2</v>
      </c>
      <c r="I45" t="n">
        <v>1</v>
      </c>
      <c r="J45" t="n">
        <v>0</v>
      </c>
      <c r="K45" t="n">
        <v>0</v>
      </c>
      <c r="L45" t="n">
        <v>0</v>
      </c>
      <c r="M45" t="n">
        <v>0</v>
      </c>
      <c r="N45" t="n">
        <v>0</v>
      </c>
      <c r="O45" t="n">
        <v>0</v>
      </c>
      <c r="P45" t="n">
        <v>0</v>
      </c>
      <c r="Q45" t="n">
        <v>3</v>
      </c>
      <c r="R45" s="2" t="inlineStr">
        <is>
          <t>Skogsbräsma
Dubbelnycklar
Revlummer</t>
        </is>
      </c>
      <c r="S45">
        <f>HYPERLINK("https://klasma.github.io/Logging_0580/artfynd/A 38913-2023 artfynd.xlsx", "A 38913-2023")</f>
        <v/>
      </c>
      <c r="T45">
        <f>HYPERLINK("https://klasma.github.io/Logging_0580/kartor/A 38913-2023 karta.png", "A 38913-2023")</f>
        <v/>
      </c>
      <c r="V45">
        <f>HYPERLINK("https://klasma.github.io/Logging_0580/klagomål/A 38913-2023 FSC-klagomål.docx", "A 38913-2023")</f>
        <v/>
      </c>
      <c r="W45">
        <f>HYPERLINK("https://klasma.github.io/Logging_0580/klagomålsmail/A 38913-2023 FSC-klagomål mail.docx", "A 38913-2023")</f>
        <v/>
      </c>
      <c r="X45">
        <f>HYPERLINK("https://klasma.github.io/Logging_0580/tillsyn/A 38913-2023 tillsynsbegäran.docx", "A 38913-2023")</f>
        <v/>
      </c>
      <c r="Y45">
        <f>HYPERLINK("https://klasma.github.io/Logging_0580/tillsynsmail/A 38913-2023 tillsynsbegäran mail.docx", "A 38913-2023")</f>
        <v/>
      </c>
    </row>
    <row r="46" ht="15" customHeight="1">
      <c r="A46" t="inlineStr">
        <is>
          <t>A 59474-2025</t>
        </is>
      </c>
      <c r="B46" s="1" t="n">
        <v>45989</v>
      </c>
      <c r="C46" s="1" t="n">
        <v>46194</v>
      </c>
      <c r="D46" t="inlineStr">
        <is>
          <t>ÖSTERGÖTLANDS LÄN</t>
        </is>
      </c>
      <c r="E46" t="inlineStr">
        <is>
          <t>LINKÖPING</t>
        </is>
      </c>
      <c r="G46" t="n">
        <v>8</v>
      </c>
      <c r="H46" t="n">
        <v>0</v>
      </c>
      <c r="I46" t="n">
        <v>2</v>
      </c>
      <c r="J46" t="n">
        <v>1</v>
      </c>
      <c r="K46" t="n">
        <v>0</v>
      </c>
      <c r="L46" t="n">
        <v>0</v>
      </c>
      <c r="M46" t="n">
        <v>0</v>
      </c>
      <c r="N46" t="n">
        <v>0</v>
      </c>
      <c r="O46" t="n">
        <v>1</v>
      </c>
      <c r="P46" t="n">
        <v>0</v>
      </c>
      <c r="Q46" t="n">
        <v>3</v>
      </c>
      <c r="R46" s="2" t="inlineStr">
        <is>
          <t>Gullpudra
Fällmossa
Tibast</t>
        </is>
      </c>
      <c r="S46">
        <f>HYPERLINK("https://klasma.github.io/Logging_0580/artfynd/A 59474-2025 artfynd.xlsx", "A 59474-2025")</f>
        <v/>
      </c>
      <c r="T46">
        <f>HYPERLINK("https://klasma.github.io/Logging_0580/kartor/A 59474-2025 karta.png", "A 59474-2025")</f>
        <v/>
      </c>
      <c r="V46">
        <f>HYPERLINK("https://klasma.github.io/Logging_0580/klagomål/A 59474-2025 FSC-klagomål.docx", "A 59474-2025")</f>
        <v/>
      </c>
      <c r="W46">
        <f>HYPERLINK("https://klasma.github.io/Logging_0580/klagomålsmail/A 59474-2025 FSC-klagomål mail.docx", "A 59474-2025")</f>
        <v/>
      </c>
      <c r="X46">
        <f>HYPERLINK("https://klasma.github.io/Logging_0580/tillsyn/A 59474-2025 tillsynsbegäran.docx", "A 59474-2025")</f>
        <v/>
      </c>
      <c r="Y46">
        <f>HYPERLINK("https://klasma.github.io/Logging_0580/tillsynsmail/A 59474-2025 tillsynsbegäran mail.docx", "A 59474-2025")</f>
        <v/>
      </c>
    </row>
    <row r="47" ht="15" customHeight="1">
      <c r="A47" t="inlineStr">
        <is>
          <t>A 21227-2026</t>
        </is>
      </c>
      <c r="B47" s="1" t="n">
        <v>46146</v>
      </c>
      <c r="C47" s="1" t="n">
        <v>46194</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42054-2022</t>
        </is>
      </c>
      <c r="B48" s="1" t="n">
        <v>44830</v>
      </c>
      <c r="C48" s="1" t="n">
        <v>46194</v>
      </c>
      <c r="D48" t="inlineStr">
        <is>
          <t>ÖSTERGÖTLANDS LÄN</t>
        </is>
      </c>
      <c r="E48" t="inlineStr">
        <is>
          <t>LINKÖPING</t>
        </is>
      </c>
      <c r="G48" t="n">
        <v>1.7</v>
      </c>
      <c r="H48" t="n">
        <v>0</v>
      </c>
      <c r="I48" t="n">
        <v>1</v>
      </c>
      <c r="J48" t="n">
        <v>2</v>
      </c>
      <c r="K48" t="n">
        <v>0</v>
      </c>
      <c r="L48" t="n">
        <v>0</v>
      </c>
      <c r="M48" t="n">
        <v>0</v>
      </c>
      <c r="N48" t="n">
        <v>0</v>
      </c>
      <c r="O48" t="n">
        <v>2</v>
      </c>
      <c r="P48" t="n">
        <v>0</v>
      </c>
      <c r="Q48" t="n">
        <v>3</v>
      </c>
      <c r="R48" s="2" t="inlineStr">
        <is>
          <t>Tallticka
Älg
Mindre märgborre</t>
        </is>
      </c>
      <c r="S48">
        <f>HYPERLINK("https://klasma.github.io/Logging_0580/artfynd/A 42054-2022 artfynd.xlsx", "A 42054-2022")</f>
        <v/>
      </c>
      <c r="T48">
        <f>HYPERLINK("https://klasma.github.io/Logging_0580/kartor/A 42054-2022 karta.png", "A 42054-2022")</f>
        <v/>
      </c>
      <c r="V48">
        <f>HYPERLINK("https://klasma.github.io/Logging_0580/klagomål/A 42054-2022 FSC-klagomål.docx", "A 42054-2022")</f>
        <v/>
      </c>
      <c r="W48">
        <f>HYPERLINK("https://klasma.github.io/Logging_0580/klagomålsmail/A 42054-2022 FSC-klagomål mail.docx", "A 42054-2022")</f>
        <v/>
      </c>
      <c r="X48">
        <f>HYPERLINK("https://klasma.github.io/Logging_0580/tillsyn/A 42054-2022 tillsynsbegäran.docx", "A 42054-2022")</f>
        <v/>
      </c>
      <c r="Y48">
        <f>HYPERLINK("https://klasma.github.io/Logging_0580/tillsynsmail/A 42054-2022 tillsynsbegäran mail.docx", "A 42054-2022")</f>
        <v/>
      </c>
    </row>
    <row r="49" ht="15" customHeight="1">
      <c r="A49" t="inlineStr">
        <is>
          <t>A 12247-2026</t>
        </is>
      </c>
      <c r="B49" s="1" t="n">
        <v>46087</v>
      </c>
      <c r="C49" s="1" t="n">
        <v>46194</v>
      </c>
      <c r="D49" t="inlineStr">
        <is>
          <t>ÖSTERGÖTLANDS LÄN</t>
        </is>
      </c>
      <c r="E49" t="inlineStr">
        <is>
          <t>LINKÖPING</t>
        </is>
      </c>
      <c r="G49" t="n">
        <v>0.9</v>
      </c>
      <c r="H49" t="n">
        <v>1</v>
      </c>
      <c r="I49" t="n">
        <v>1</v>
      </c>
      <c r="J49" t="n">
        <v>1</v>
      </c>
      <c r="K49" t="n">
        <v>0</v>
      </c>
      <c r="L49" t="n">
        <v>0</v>
      </c>
      <c r="M49" t="n">
        <v>0</v>
      </c>
      <c r="N49" t="n">
        <v>0</v>
      </c>
      <c r="O49" t="n">
        <v>1</v>
      </c>
      <c r="P49" t="n">
        <v>0</v>
      </c>
      <c r="Q49" t="n">
        <v>3</v>
      </c>
      <c r="R49" s="2" t="inlineStr">
        <is>
          <t>Vedtrappmossa
Svart trolldruva
Spillkråka</t>
        </is>
      </c>
      <c r="S49">
        <f>HYPERLINK("https://klasma.github.io/Logging_0580/artfynd/A 12247-2026 artfynd.xlsx", "A 12247-2026")</f>
        <v/>
      </c>
      <c r="T49">
        <f>HYPERLINK("https://klasma.github.io/Logging_0580/kartor/A 12247-2026 karta.png", "A 12247-2026")</f>
        <v/>
      </c>
      <c r="V49">
        <f>HYPERLINK("https://klasma.github.io/Logging_0580/klagomål/A 12247-2026 FSC-klagomål.docx", "A 12247-2026")</f>
        <v/>
      </c>
      <c r="W49">
        <f>HYPERLINK("https://klasma.github.io/Logging_0580/klagomålsmail/A 12247-2026 FSC-klagomål mail.docx", "A 12247-2026")</f>
        <v/>
      </c>
      <c r="X49">
        <f>HYPERLINK("https://klasma.github.io/Logging_0580/tillsyn/A 12247-2026 tillsynsbegäran.docx", "A 12247-2026")</f>
        <v/>
      </c>
      <c r="Y49">
        <f>HYPERLINK("https://klasma.github.io/Logging_0580/tillsynsmail/A 12247-2026 tillsynsbegäran mail.docx", "A 12247-2026")</f>
        <v/>
      </c>
      <c r="Z49">
        <f>HYPERLINK("https://klasma.github.io/Logging_0580/fåglar/A 12247-2026 prioriterade fågelarter.docx", "A 12247-2026")</f>
        <v/>
      </c>
    </row>
    <row r="50" ht="15" customHeight="1">
      <c r="A50" t="inlineStr">
        <is>
          <t>A 20292-2025</t>
        </is>
      </c>
      <c r="B50" s="1" t="n">
        <v>45774</v>
      </c>
      <c r="C50" s="1" t="n">
        <v>46194</v>
      </c>
      <c r="D50" t="inlineStr">
        <is>
          <t>ÖSTERGÖTLANDS LÄN</t>
        </is>
      </c>
      <c r="E50" t="inlineStr">
        <is>
          <t>LINKÖPING</t>
        </is>
      </c>
      <c r="G50" t="n">
        <v>8.4</v>
      </c>
      <c r="H50" t="n">
        <v>2</v>
      </c>
      <c r="I50" t="n">
        <v>1</v>
      </c>
      <c r="J50" t="n">
        <v>1</v>
      </c>
      <c r="K50" t="n">
        <v>0</v>
      </c>
      <c r="L50" t="n">
        <v>0</v>
      </c>
      <c r="M50" t="n">
        <v>0</v>
      </c>
      <c r="N50" t="n">
        <v>0</v>
      </c>
      <c r="O50" t="n">
        <v>1</v>
      </c>
      <c r="P50" t="n">
        <v>0</v>
      </c>
      <c r="Q50" t="n">
        <v>3</v>
      </c>
      <c r="R50" s="2" t="inlineStr">
        <is>
          <t>Gulsparv
Blåmossa
Blåsippa</t>
        </is>
      </c>
      <c r="S50">
        <f>HYPERLINK("https://klasma.github.io/Logging_0580/artfynd/A 20292-2025 artfynd.xlsx", "A 20292-2025")</f>
        <v/>
      </c>
      <c r="T50">
        <f>HYPERLINK("https://klasma.github.io/Logging_0580/kartor/A 20292-2025 karta.png", "A 20292-2025")</f>
        <v/>
      </c>
      <c r="V50">
        <f>HYPERLINK("https://klasma.github.io/Logging_0580/klagomål/A 20292-2025 FSC-klagomål.docx", "A 20292-2025")</f>
        <v/>
      </c>
      <c r="W50">
        <f>HYPERLINK("https://klasma.github.io/Logging_0580/klagomålsmail/A 20292-2025 FSC-klagomål mail.docx", "A 20292-2025")</f>
        <v/>
      </c>
      <c r="X50">
        <f>HYPERLINK("https://klasma.github.io/Logging_0580/tillsyn/A 20292-2025 tillsynsbegäran.docx", "A 20292-2025")</f>
        <v/>
      </c>
      <c r="Y50">
        <f>HYPERLINK("https://klasma.github.io/Logging_0580/tillsynsmail/A 20292-2025 tillsynsbegäran mail.docx", "A 20292-2025")</f>
        <v/>
      </c>
      <c r="Z50">
        <f>HYPERLINK("https://klasma.github.io/Logging_0580/fåglar/A 20292-2025 prioriterade fågelarter.docx", "A 20292-2025")</f>
        <v/>
      </c>
    </row>
    <row r="51" ht="15" customHeight="1">
      <c r="A51" t="inlineStr">
        <is>
          <t>A 38137-2021</t>
        </is>
      </c>
      <c r="B51" s="1" t="n">
        <v>44405</v>
      </c>
      <c r="C51" s="1" t="n">
        <v>46194</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40309-2024</t>
        </is>
      </c>
      <c r="B52" s="1" t="n">
        <v>45554</v>
      </c>
      <c r="C52" s="1" t="n">
        <v>46194</v>
      </c>
      <c r="D52" t="inlineStr">
        <is>
          <t>ÖSTERGÖTLANDS LÄN</t>
        </is>
      </c>
      <c r="E52" t="inlineStr">
        <is>
          <t>LINKÖPING</t>
        </is>
      </c>
      <c r="F52" t="inlineStr">
        <is>
          <t>Allmännings- och besparingsskogar</t>
        </is>
      </c>
      <c r="G52" t="n">
        <v>6</v>
      </c>
      <c r="H52" t="n">
        <v>1</v>
      </c>
      <c r="I52" t="n">
        <v>0</v>
      </c>
      <c r="J52" t="n">
        <v>1</v>
      </c>
      <c r="K52" t="n">
        <v>0</v>
      </c>
      <c r="L52" t="n">
        <v>1</v>
      </c>
      <c r="M52" t="n">
        <v>0</v>
      </c>
      <c r="N52" t="n">
        <v>0</v>
      </c>
      <c r="O52" t="n">
        <v>2</v>
      </c>
      <c r="P52" t="n">
        <v>1</v>
      </c>
      <c r="Q52" t="n">
        <v>2</v>
      </c>
      <c r="R52" s="2" t="inlineStr">
        <is>
          <t>Almlav
Talltita</t>
        </is>
      </c>
      <c r="S52">
        <f>HYPERLINK("https://klasma.github.io/Logging_0580/artfynd/A 40309-2024 artfynd.xlsx", "A 40309-2024")</f>
        <v/>
      </c>
      <c r="T52">
        <f>HYPERLINK("https://klasma.github.io/Logging_0580/kartor/A 40309-2024 karta.png", "A 40309-2024")</f>
        <v/>
      </c>
      <c r="V52">
        <f>HYPERLINK("https://klasma.github.io/Logging_0580/klagomål/A 40309-2024 FSC-klagomål.docx", "A 40309-2024")</f>
        <v/>
      </c>
      <c r="W52">
        <f>HYPERLINK("https://klasma.github.io/Logging_0580/klagomålsmail/A 40309-2024 FSC-klagomål mail.docx", "A 40309-2024")</f>
        <v/>
      </c>
      <c r="X52">
        <f>HYPERLINK("https://klasma.github.io/Logging_0580/tillsyn/A 40309-2024 tillsynsbegäran.docx", "A 40309-2024")</f>
        <v/>
      </c>
      <c r="Y52">
        <f>HYPERLINK("https://klasma.github.io/Logging_0580/tillsynsmail/A 40309-2024 tillsynsbegäran mail.docx", "A 40309-2024")</f>
        <v/>
      </c>
      <c r="Z52">
        <f>HYPERLINK("https://klasma.github.io/Logging_0580/fåglar/A 40309-2024 prioriterade fågelarter.docx", "A 40309-2024")</f>
        <v/>
      </c>
    </row>
    <row r="53" ht="15" customHeight="1">
      <c r="A53" t="inlineStr">
        <is>
          <t>A 61302-2021</t>
        </is>
      </c>
      <c r="B53" s="1" t="n">
        <v>44498</v>
      </c>
      <c r="C53" s="1" t="n">
        <v>46194</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58068-2021</t>
        </is>
      </c>
      <c r="B54" s="1" t="n">
        <v>44487</v>
      </c>
      <c r="C54" s="1" t="n">
        <v>46194</v>
      </c>
      <c r="D54" t="inlineStr">
        <is>
          <t>ÖSTERGÖTLANDS LÄN</t>
        </is>
      </c>
      <c r="E54" t="inlineStr">
        <is>
          <t>LINKÖPING</t>
        </is>
      </c>
      <c r="F54" t="inlineStr">
        <is>
          <t>Övriga Aktiebolag</t>
        </is>
      </c>
      <c r="G54" t="n">
        <v>1.2</v>
      </c>
      <c r="H54" t="n">
        <v>0</v>
      </c>
      <c r="I54" t="n">
        <v>0</v>
      </c>
      <c r="J54" t="n">
        <v>2</v>
      </c>
      <c r="K54" t="n">
        <v>0</v>
      </c>
      <c r="L54" t="n">
        <v>0</v>
      </c>
      <c r="M54" t="n">
        <v>0</v>
      </c>
      <c r="N54" t="n">
        <v>0</v>
      </c>
      <c r="O54" t="n">
        <v>2</v>
      </c>
      <c r="P54" t="n">
        <v>0</v>
      </c>
      <c r="Q54" t="n">
        <v>2</v>
      </c>
      <c r="R54" s="2" t="inlineStr">
        <is>
          <t>Rödbrun blekspik
Skuggorangelav</t>
        </is>
      </c>
      <c r="S54">
        <f>HYPERLINK("https://klasma.github.io/Logging_0580/artfynd/A 58068-2021 artfynd.xlsx", "A 58068-2021")</f>
        <v/>
      </c>
      <c r="T54">
        <f>HYPERLINK("https://klasma.github.io/Logging_0580/kartor/A 58068-2021 karta.png", "A 58068-2021")</f>
        <v/>
      </c>
      <c r="V54">
        <f>HYPERLINK("https://klasma.github.io/Logging_0580/klagomål/A 58068-2021 FSC-klagomål.docx", "A 58068-2021")</f>
        <v/>
      </c>
      <c r="W54">
        <f>HYPERLINK("https://klasma.github.io/Logging_0580/klagomålsmail/A 58068-2021 FSC-klagomål mail.docx", "A 58068-2021")</f>
        <v/>
      </c>
      <c r="X54">
        <f>HYPERLINK("https://klasma.github.io/Logging_0580/tillsyn/A 58068-2021 tillsynsbegäran.docx", "A 58068-2021")</f>
        <v/>
      </c>
      <c r="Y54">
        <f>HYPERLINK("https://klasma.github.io/Logging_0580/tillsynsmail/A 58068-2021 tillsynsbegäran mail.docx", "A 58068-2021")</f>
        <v/>
      </c>
    </row>
    <row r="55" ht="15" customHeight="1">
      <c r="A55" t="inlineStr">
        <is>
          <t>A 24904-2024</t>
        </is>
      </c>
      <c r="B55" s="1" t="n">
        <v>45461</v>
      </c>
      <c r="C55" s="1" t="n">
        <v>46194</v>
      </c>
      <c r="D55" t="inlineStr">
        <is>
          <t>ÖSTERGÖTLANDS LÄN</t>
        </is>
      </c>
      <c r="E55" t="inlineStr">
        <is>
          <t>LINKÖPING</t>
        </is>
      </c>
      <c r="G55" t="n">
        <v>3.8</v>
      </c>
      <c r="H55" t="n">
        <v>0</v>
      </c>
      <c r="I55" t="n">
        <v>0</v>
      </c>
      <c r="J55" t="n">
        <v>2</v>
      </c>
      <c r="K55" t="n">
        <v>0</v>
      </c>
      <c r="L55" t="n">
        <v>0</v>
      </c>
      <c r="M55" t="n">
        <v>0</v>
      </c>
      <c r="N55" t="n">
        <v>0</v>
      </c>
      <c r="O55" t="n">
        <v>2</v>
      </c>
      <c r="P55" t="n">
        <v>0</v>
      </c>
      <c r="Q55" t="n">
        <v>2</v>
      </c>
      <c r="R55" s="2" t="inlineStr">
        <is>
          <t>Solvända
Svinrot</t>
        </is>
      </c>
      <c r="S55">
        <f>HYPERLINK("https://klasma.github.io/Logging_0580/artfynd/A 24904-2024 artfynd.xlsx", "A 24904-2024")</f>
        <v/>
      </c>
      <c r="T55">
        <f>HYPERLINK("https://klasma.github.io/Logging_0580/kartor/A 24904-2024 karta.png", "A 24904-2024")</f>
        <v/>
      </c>
      <c r="V55">
        <f>HYPERLINK("https://klasma.github.io/Logging_0580/klagomål/A 24904-2024 FSC-klagomål.docx", "A 24904-2024")</f>
        <v/>
      </c>
      <c r="W55">
        <f>HYPERLINK("https://klasma.github.io/Logging_0580/klagomålsmail/A 24904-2024 FSC-klagomål mail.docx", "A 24904-2024")</f>
        <v/>
      </c>
      <c r="X55">
        <f>HYPERLINK("https://klasma.github.io/Logging_0580/tillsyn/A 24904-2024 tillsynsbegäran.docx", "A 24904-2024")</f>
        <v/>
      </c>
      <c r="Y55">
        <f>HYPERLINK("https://klasma.github.io/Logging_0580/tillsynsmail/A 24904-2024 tillsynsbegäran mail.docx", "A 24904-2024")</f>
        <v/>
      </c>
    </row>
    <row r="56" ht="15" customHeight="1">
      <c r="A56" t="inlineStr">
        <is>
          <t>A 46496-2022</t>
        </is>
      </c>
      <c r="B56" s="1" t="n">
        <v>44848</v>
      </c>
      <c r="C56" s="1" t="n">
        <v>46194</v>
      </c>
      <c r="D56" t="inlineStr">
        <is>
          <t>ÖSTERGÖTLANDS LÄN</t>
        </is>
      </c>
      <c r="E56" t="inlineStr">
        <is>
          <t>LINKÖPING</t>
        </is>
      </c>
      <c r="G56" t="n">
        <v>1.1</v>
      </c>
      <c r="H56" t="n">
        <v>0</v>
      </c>
      <c r="I56" t="n">
        <v>0</v>
      </c>
      <c r="J56" t="n">
        <v>0</v>
      </c>
      <c r="K56" t="n">
        <v>2</v>
      </c>
      <c r="L56" t="n">
        <v>0</v>
      </c>
      <c r="M56" t="n">
        <v>0</v>
      </c>
      <c r="N56" t="n">
        <v>0</v>
      </c>
      <c r="O56" t="n">
        <v>2</v>
      </c>
      <c r="P56" t="n">
        <v>2</v>
      </c>
      <c r="Q56" t="n">
        <v>2</v>
      </c>
      <c r="R56" s="2" t="inlineStr">
        <is>
          <t>Bredbrämad bastardsvärmare
Silverblåvinge</t>
        </is>
      </c>
      <c r="S56">
        <f>HYPERLINK("https://klasma.github.io/Logging_0580/artfynd/A 46496-2022 artfynd.xlsx", "A 46496-2022")</f>
        <v/>
      </c>
      <c r="T56">
        <f>HYPERLINK("https://klasma.github.io/Logging_0580/kartor/A 46496-2022 karta.png", "A 46496-2022")</f>
        <v/>
      </c>
      <c r="V56">
        <f>HYPERLINK("https://klasma.github.io/Logging_0580/klagomål/A 46496-2022 FSC-klagomål.docx", "A 46496-2022")</f>
        <v/>
      </c>
      <c r="W56">
        <f>HYPERLINK("https://klasma.github.io/Logging_0580/klagomålsmail/A 46496-2022 FSC-klagomål mail.docx", "A 46496-2022")</f>
        <v/>
      </c>
      <c r="X56">
        <f>HYPERLINK("https://klasma.github.io/Logging_0580/tillsyn/A 46496-2022 tillsynsbegäran.docx", "A 46496-2022")</f>
        <v/>
      </c>
      <c r="Y56">
        <f>HYPERLINK("https://klasma.github.io/Logging_0580/tillsynsmail/A 46496-2022 tillsynsbegäran mail.docx", "A 46496-2022")</f>
        <v/>
      </c>
    </row>
    <row r="57" ht="15" customHeight="1">
      <c r="A57" t="inlineStr">
        <is>
          <t>A 44155-2024</t>
        </is>
      </c>
      <c r="B57" s="1" t="n">
        <v>45572</v>
      </c>
      <c r="C57" s="1" t="n">
        <v>46194</v>
      </c>
      <c r="D57" t="inlineStr">
        <is>
          <t>ÖSTERGÖTLANDS LÄN</t>
        </is>
      </c>
      <c r="E57" t="inlineStr">
        <is>
          <t>LINKÖPING</t>
        </is>
      </c>
      <c r="G57" t="n">
        <v>1.8</v>
      </c>
      <c r="H57" t="n">
        <v>0</v>
      </c>
      <c r="I57" t="n">
        <v>2</v>
      </c>
      <c r="J57" t="n">
        <v>0</v>
      </c>
      <c r="K57" t="n">
        <v>0</v>
      </c>
      <c r="L57" t="n">
        <v>0</v>
      </c>
      <c r="M57" t="n">
        <v>0</v>
      </c>
      <c r="N57" t="n">
        <v>0</v>
      </c>
      <c r="O57" t="n">
        <v>0</v>
      </c>
      <c r="P57" t="n">
        <v>0</v>
      </c>
      <c r="Q57" t="n">
        <v>2</v>
      </c>
      <c r="R57" s="2" t="inlineStr">
        <is>
          <t>Dolkstekelsglasvinge
Sotlav</t>
        </is>
      </c>
      <c r="S57">
        <f>HYPERLINK("https://klasma.github.io/Logging_0580/artfynd/A 44155-2024 artfynd.xlsx", "A 44155-2024")</f>
        <v/>
      </c>
      <c r="T57">
        <f>HYPERLINK("https://klasma.github.io/Logging_0580/kartor/A 44155-2024 karta.png", "A 44155-2024")</f>
        <v/>
      </c>
      <c r="V57">
        <f>HYPERLINK("https://klasma.github.io/Logging_0580/klagomål/A 44155-2024 FSC-klagomål.docx", "A 44155-2024")</f>
        <v/>
      </c>
      <c r="W57">
        <f>HYPERLINK("https://klasma.github.io/Logging_0580/klagomålsmail/A 44155-2024 FSC-klagomål mail.docx", "A 44155-2024")</f>
        <v/>
      </c>
      <c r="X57">
        <f>HYPERLINK("https://klasma.github.io/Logging_0580/tillsyn/A 44155-2024 tillsynsbegäran.docx", "A 44155-2024")</f>
        <v/>
      </c>
      <c r="Y57">
        <f>HYPERLINK("https://klasma.github.io/Logging_0580/tillsynsmail/A 44155-2024 tillsynsbegäran mail.docx", "A 44155-2024")</f>
        <v/>
      </c>
    </row>
    <row r="58" ht="15" customHeight="1">
      <c r="A58" t="inlineStr">
        <is>
          <t>A 20297-2025</t>
        </is>
      </c>
      <c r="B58" s="1" t="n">
        <v>45774</v>
      </c>
      <c r="C58" s="1" t="n">
        <v>46194</v>
      </c>
      <c r="D58" t="inlineStr">
        <is>
          <t>ÖSTERGÖTLANDS LÄN</t>
        </is>
      </c>
      <c r="E58" t="inlineStr">
        <is>
          <t>LINKÖPING</t>
        </is>
      </c>
      <c r="G58" t="n">
        <v>1.5</v>
      </c>
      <c r="H58" t="n">
        <v>1</v>
      </c>
      <c r="I58" t="n">
        <v>1</v>
      </c>
      <c r="J58" t="n">
        <v>0</v>
      </c>
      <c r="K58" t="n">
        <v>0</v>
      </c>
      <c r="L58" t="n">
        <v>0</v>
      </c>
      <c r="M58" t="n">
        <v>0</v>
      </c>
      <c r="N58" t="n">
        <v>0</v>
      </c>
      <c r="O58" t="n">
        <v>0</v>
      </c>
      <c r="P58" t="n">
        <v>0</v>
      </c>
      <c r="Q58" t="n">
        <v>2</v>
      </c>
      <c r="R58" s="2" t="inlineStr">
        <is>
          <t>Blanksvart trämyra
Blåsippa</t>
        </is>
      </c>
      <c r="S58">
        <f>HYPERLINK("https://klasma.github.io/Logging_0580/artfynd/A 20297-2025 artfynd.xlsx", "A 20297-2025")</f>
        <v/>
      </c>
      <c r="T58">
        <f>HYPERLINK("https://klasma.github.io/Logging_0580/kartor/A 20297-2025 karta.png", "A 20297-2025")</f>
        <v/>
      </c>
      <c r="V58">
        <f>HYPERLINK("https://klasma.github.io/Logging_0580/klagomål/A 20297-2025 FSC-klagomål.docx", "A 20297-2025")</f>
        <v/>
      </c>
      <c r="W58">
        <f>HYPERLINK("https://klasma.github.io/Logging_0580/klagomålsmail/A 20297-2025 FSC-klagomål mail.docx", "A 20297-2025")</f>
        <v/>
      </c>
      <c r="X58">
        <f>HYPERLINK("https://klasma.github.io/Logging_0580/tillsyn/A 20297-2025 tillsynsbegäran.docx", "A 20297-2025")</f>
        <v/>
      </c>
      <c r="Y58">
        <f>HYPERLINK("https://klasma.github.io/Logging_0580/tillsynsmail/A 20297-2025 tillsynsbegäran mail.docx", "A 20297-2025")</f>
        <v/>
      </c>
    </row>
    <row r="59" ht="15" customHeight="1">
      <c r="A59" t="inlineStr">
        <is>
          <t>A 55344-2024</t>
        </is>
      </c>
      <c r="B59" s="1" t="n">
        <v>45621</v>
      </c>
      <c r="C59" s="1" t="n">
        <v>46194</v>
      </c>
      <c r="D59" t="inlineStr">
        <is>
          <t>ÖSTERGÖTLANDS LÄN</t>
        </is>
      </c>
      <c r="E59" t="inlineStr">
        <is>
          <t>LINKÖPING</t>
        </is>
      </c>
      <c r="G59" t="n">
        <v>6.6</v>
      </c>
      <c r="H59" t="n">
        <v>0</v>
      </c>
      <c r="I59" t="n">
        <v>0</v>
      </c>
      <c r="J59" t="n">
        <v>2</v>
      </c>
      <c r="K59" t="n">
        <v>0</v>
      </c>
      <c r="L59" t="n">
        <v>0</v>
      </c>
      <c r="M59" t="n">
        <v>0</v>
      </c>
      <c r="N59" t="n">
        <v>0</v>
      </c>
      <c r="O59" t="n">
        <v>2</v>
      </c>
      <c r="P59" t="n">
        <v>0</v>
      </c>
      <c r="Q59" t="n">
        <v>2</v>
      </c>
      <c r="R59" s="2" t="inlineStr">
        <is>
          <t>Kandelabersvamp
Stjärnnästing</t>
        </is>
      </c>
      <c r="S59">
        <f>HYPERLINK("https://klasma.github.io/Logging_0580/artfynd/A 55344-2024 artfynd.xlsx", "A 55344-2024")</f>
        <v/>
      </c>
      <c r="T59">
        <f>HYPERLINK("https://klasma.github.io/Logging_0580/kartor/A 55344-2024 karta.png", "A 55344-2024")</f>
        <v/>
      </c>
      <c r="V59">
        <f>HYPERLINK("https://klasma.github.io/Logging_0580/klagomål/A 55344-2024 FSC-klagomål.docx", "A 55344-2024")</f>
        <v/>
      </c>
      <c r="W59">
        <f>HYPERLINK("https://klasma.github.io/Logging_0580/klagomålsmail/A 55344-2024 FSC-klagomål mail.docx", "A 55344-2024")</f>
        <v/>
      </c>
      <c r="X59">
        <f>HYPERLINK("https://klasma.github.io/Logging_0580/tillsyn/A 55344-2024 tillsynsbegäran.docx", "A 55344-2024")</f>
        <v/>
      </c>
      <c r="Y59">
        <f>HYPERLINK("https://klasma.github.io/Logging_0580/tillsynsmail/A 55344-2024 tillsynsbegäran mail.docx", "A 55344-2024")</f>
        <v/>
      </c>
    </row>
    <row r="60" ht="15" customHeight="1">
      <c r="A60" t="inlineStr">
        <is>
          <t>A 56741-2023</t>
        </is>
      </c>
      <c r="B60" s="1" t="n">
        <v>45244</v>
      </c>
      <c r="C60" s="1" t="n">
        <v>46194</v>
      </c>
      <c r="D60" t="inlineStr">
        <is>
          <t>ÖSTERGÖTLANDS LÄN</t>
        </is>
      </c>
      <c r="E60" t="inlineStr">
        <is>
          <t>LINKÖPING</t>
        </is>
      </c>
      <c r="F60" t="inlineStr">
        <is>
          <t>Övriga Aktiebolag</t>
        </is>
      </c>
      <c r="G60" t="n">
        <v>1.1</v>
      </c>
      <c r="H60" t="n">
        <v>0</v>
      </c>
      <c r="I60" t="n">
        <v>2</v>
      </c>
      <c r="J60" t="n">
        <v>0</v>
      </c>
      <c r="K60" t="n">
        <v>0</v>
      </c>
      <c r="L60" t="n">
        <v>0</v>
      </c>
      <c r="M60" t="n">
        <v>0</v>
      </c>
      <c r="N60" t="n">
        <v>0</v>
      </c>
      <c r="O60" t="n">
        <v>0</v>
      </c>
      <c r="P60" t="n">
        <v>0</v>
      </c>
      <c r="Q60" t="n">
        <v>2</v>
      </c>
      <c r="R60" s="2" t="inlineStr">
        <is>
          <t>Fällmossa
Guldlockmossa</t>
        </is>
      </c>
      <c r="S60">
        <f>HYPERLINK("https://klasma.github.io/Logging_0580/artfynd/A 56741-2023 artfynd.xlsx", "A 56741-2023")</f>
        <v/>
      </c>
      <c r="T60">
        <f>HYPERLINK("https://klasma.github.io/Logging_0580/kartor/A 56741-2023 karta.png", "A 56741-2023")</f>
        <v/>
      </c>
      <c r="V60">
        <f>HYPERLINK("https://klasma.github.io/Logging_0580/klagomål/A 56741-2023 FSC-klagomål.docx", "A 56741-2023")</f>
        <v/>
      </c>
      <c r="W60">
        <f>HYPERLINK("https://klasma.github.io/Logging_0580/klagomålsmail/A 56741-2023 FSC-klagomål mail.docx", "A 56741-2023")</f>
        <v/>
      </c>
      <c r="X60">
        <f>HYPERLINK("https://klasma.github.io/Logging_0580/tillsyn/A 56741-2023 tillsynsbegäran.docx", "A 56741-2023")</f>
        <v/>
      </c>
      <c r="Y60">
        <f>HYPERLINK("https://klasma.github.io/Logging_0580/tillsynsmail/A 56741-2023 tillsynsbegäran mail.docx", "A 56741-2023")</f>
        <v/>
      </c>
    </row>
    <row r="61" ht="15" customHeight="1">
      <c r="A61" t="inlineStr">
        <is>
          <t>A 58068-2021</t>
        </is>
      </c>
      <c r="B61" s="1" t="n">
        <v>44487</v>
      </c>
      <c r="C61" s="1" t="n">
        <v>46194</v>
      </c>
      <c r="D61" t="inlineStr">
        <is>
          <t>ÖSTERGÖTLANDS LÄN</t>
        </is>
      </c>
      <c r="E61" t="inlineStr">
        <is>
          <t>LINKÖPING</t>
        </is>
      </c>
      <c r="F61" t="inlineStr">
        <is>
          <t>Övriga Aktiebolag</t>
        </is>
      </c>
      <c r="G61" t="n">
        <v>1.2</v>
      </c>
      <c r="H61" t="n">
        <v>0</v>
      </c>
      <c r="I61" t="n">
        <v>0</v>
      </c>
      <c r="J61" t="n">
        <v>2</v>
      </c>
      <c r="K61" t="n">
        <v>0</v>
      </c>
      <c r="L61" t="n">
        <v>0</v>
      </c>
      <c r="M61" t="n">
        <v>0</v>
      </c>
      <c r="N61" t="n">
        <v>0</v>
      </c>
      <c r="O61" t="n">
        <v>2</v>
      </c>
      <c r="P61" t="n">
        <v>0</v>
      </c>
      <c r="Q61" t="n">
        <v>2</v>
      </c>
      <c r="R61" s="2" t="inlineStr">
        <is>
          <t>Rödbrun blekspik
Skuggorangelav</t>
        </is>
      </c>
      <c r="S61">
        <f>HYPERLINK("https://klasma.github.io/Logging_0580/artfynd/A 58068-2021 artfynd.xlsx", "A 58068-2021")</f>
        <v/>
      </c>
      <c r="T61">
        <f>HYPERLINK("https://klasma.github.io/Logging_0580/kartor/A 58068-2021 karta.png", "A 58068-2021")</f>
        <v/>
      </c>
      <c r="V61">
        <f>HYPERLINK("https://klasma.github.io/Logging_0580/klagomål/A 58068-2021 FSC-klagomål.docx", "A 58068-2021")</f>
        <v/>
      </c>
      <c r="W61">
        <f>HYPERLINK("https://klasma.github.io/Logging_0580/klagomålsmail/A 58068-2021 FSC-klagomål mail.docx", "A 58068-2021")</f>
        <v/>
      </c>
      <c r="X61">
        <f>HYPERLINK("https://klasma.github.io/Logging_0580/tillsyn/A 58068-2021 tillsynsbegäran.docx", "A 58068-2021")</f>
        <v/>
      </c>
      <c r="Y61">
        <f>HYPERLINK("https://klasma.github.io/Logging_0580/tillsynsmail/A 58068-2021 tillsynsbegäran mail.docx", "A 58068-2021")</f>
        <v/>
      </c>
    </row>
    <row r="62" ht="15" customHeight="1">
      <c r="A62" t="inlineStr">
        <is>
          <t>A 49188-2024</t>
        </is>
      </c>
      <c r="B62" s="1" t="n">
        <v>45595</v>
      </c>
      <c r="C62" s="1" t="n">
        <v>46194</v>
      </c>
      <c r="D62" t="inlineStr">
        <is>
          <t>ÖSTERGÖTLANDS LÄN</t>
        </is>
      </c>
      <c r="E62" t="inlineStr">
        <is>
          <t>LINKÖPING</t>
        </is>
      </c>
      <c r="G62" t="n">
        <v>3.1</v>
      </c>
      <c r="H62" t="n">
        <v>0</v>
      </c>
      <c r="I62" t="n">
        <v>0</v>
      </c>
      <c r="J62" t="n">
        <v>0</v>
      </c>
      <c r="K62" t="n">
        <v>0</v>
      </c>
      <c r="L62" t="n">
        <v>2</v>
      </c>
      <c r="M62" t="n">
        <v>0</v>
      </c>
      <c r="N62" t="n">
        <v>0</v>
      </c>
      <c r="O62" t="n">
        <v>2</v>
      </c>
      <c r="P62" t="n">
        <v>2</v>
      </c>
      <c r="Q62" t="n">
        <v>2</v>
      </c>
      <c r="R62" s="2" t="inlineStr">
        <is>
          <t>Ask
Skogsalm</t>
        </is>
      </c>
      <c r="S62">
        <f>HYPERLINK("https://klasma.github.io/Logging_0580/artfynd/A 49188-2024 artfynd.xlsx", "A 49188-2024")</f>
        <v/>
      </c>
      <c r="T62">
        <f>HYPERLINK("https://klasma.github.io/Logging_0580/kartor/A 49188-2024 karta.png", "A 49188-2024")</f>
        <v/>
      </c>
      <c r="V62">
        <f>HYPERLINK("https://klasma.github.io/Logging_0580/klagomål/A 49188-2024 FSC-klagomål.docx", "A 49188-2024")</f>
        <v/>
      </c>
      <c r="W62">
        <f>HYPERLINK("https://klasma.github.io/Logging_0580/klagomålsmail/A 49188-2024 FSC-klagomål mail.docx", "A 49188-2024")</f>
        <v/>
      </c>
      <c r="X62">
        <f>HYPERLINK("https://klasma.github.io/Logging_0580/tillsyn/A 49188-2024 tillsynsbegäran.docx", "A 49188-2024")</f>
        <v/>
      </c>
      <c r="Y62">
        <f>HYPERLINK("https://klasma.github.io/Logging_0580/tillsynsmail/A 49188-2024 tillsynsbegäran mail.docx", "A 49188-2024")</f>
        <v/>
      </c>
    </row>
    <row r="63" ht="15" customHeight="1">
      <c r="A63" t="inlineStr">
        <is>
          <t>A 1268-2023</t>
        </is>
      </c>
      <c r="B63" s="1" t="n">
        <v>44936</v>
      </c>
      <c r="C63" s="1" t="n">
        <v>46194</v>
      </c>
      <c r="D63" t="inlineStr">
        <is>
          <t>ÖSTERGÖTLANDS LÄN</t>
        </is>
      </c>
      <c r="E63" t="inlineStr">
        <is>
          <t>LINKÖPING</t>
        </is>
      </c>
      <c r="G63" t="n">
        <v>4.6</v>
      </c>
      <c r="H63" t="n">
        <v>0</v>
      </c>
      <c r="I63" t="n">
        <v>2</v>
      </c>
      <c r="J63" t="n">
        <v>0</v>
      </c>
      <c r="K63" t="n">
        <v>0</v>
      </c>
      <c r="L63" t="n">
        <v>0</v>
      </c>
      <c r="M63" t="n">
        <v>0</v>
      </c>
      <c r="N63" t="n">
        <v>0</v>
      </c>
      <c r="O63" t="n">
        <v>0</v>
      </c>
      <c r="P63" t="n">
        <v>0</v>
      </c>
      <c r="Q63" t="n">
        <v>2</v>
      </c>
      <c r="R63" s="2" t="inlineStr">
        <is>
          <t>Brun nållav
Gulpudrad spiklav</t>
        </is>
      </c>
      <c r="S63">
        <f>HYPERLINK("https://klasma.github.io/Logging_0580/artfynd/A 1268-2023 artfynd.xlsx", "A 1268-2023")</f>
        <v/>
      </c>
      <c r="T63">
        <f>HYPERLINK("https://klasma.github.io/Logging_0580/kartor/A 1268-2023 karta.png", "A 1268-2023")</f>
        <v/>
      </c>
      <c r="V63">
        <f>HYPERLINK("https://klasma.github.io/Logging_0580/klagomål/A 1268-2023 FSC-klagomål.docx", "A 1268-2023")</f>
        <v/>
      </c>
      <c r="W63">
        <f>HYPERLINK("https://klasma.github.io/Logging_0580/klagomålsmail/A 1268-2023 FSC-klagomål mail.docx", "A 1268-2023")</f>
        <v/>
      </c>
      <c r="X63">
        <f>HYPERLINK("https://klasma.github.io/Logging_0580/tillsyn/A 1268-2023 tillsynsbegäran.docx", "A 1268-2023")</f>
        <v/>
      </c>
      <c r="Y63">
        <f>HYPERLINK("https://klasma.github.io/Logging_0580/tillsynsmail/A 1268-2023 tillsynsbegäran mail.docx", "A 1268-2023")</f>
        <v/>
      </c>
    </row>
    <row r="64" ht="15" customHeight="1">
      <c r="A64" t="inlineStr">
        <is>
          <t>A 1207-2023</t>
        </is>
      </c>
      <c r="B64" s="1" t="n">
        <v>44930</v>
      </c>
      <c r="C64" s="1" t="n">
        <v>46194</v>
      </c>
      <c r="D64" t="inlineStr">
        <is>
          <t>ÖSTERGÖTLANDS LÄN</t>
        </is>
      </c>
      <c r="E64" t="inlineStr">
        <is>
          <t>LINKÖPING</t>
        </is>
      </c>
      <c r="F64" t="inlineStr">
        <is>
          <t>Övriga statliga verk och myndigheter</t>
        </is>
      </c>
      <c r="G64" t="n">
        <v>32.8</v>
      </c>
      <c r="H64" t="n">
        <v>0</v>
      </c>
      <c r="I64" t="n">
        <v>1</v>
      </c>
      <c r="J64" t="n">
        <v>1</v>
      </c>
      <c r="K64" t="n">
        <v>0</v>
      </c>
      <c r="L64" t="n">
        <v>0</v>
      </c>
      <c r="M64" t="n">
        <v>0</v>
      </c>
      <c r="N64" t="n">
        <v>0</v>
      </c>
      <c r="O64" t="n">
        <v>1</v>
      </c>
      <c r="P64" t="n">
        <v>0</v>
      </c>
      <c r="Q64" t="n">
        <v>2</v>
      </c>
      <c r="R64" s="2" t="inlineStr">
        <is>
          <t>Jungfrulin
Platt fjädermossa</t>
        </is>
      </c>
      <c r="S64">
        <f>HYPERLINK("https://klasma.github.io/Logging_0580/artfynd/A 1207-2023 artfynd.xlsx", "A 1207-2023")</f>
        <v/>
      </c>
      <c r="T64">
        <f>HYPERLINK("https://klasma.github.io/Logging_0580/kartor/A 1207-2023 karta.png", "A 1207-2023")</f>
        <v/>
      </c>
      <c r="V64">
        <f>HYPERLINK("https://klasma.github.io/Logging_0580/klagomål/A 1207-2023 FSC-klagomål.docx", "A 1207-2023")</f>
        <v/>
      </c>
      <c r="W64">
        <f>HYPERLINK("https://klasma.github.io/Logging_0580/klagomålsmail/A 1207-2023 FSC-klagomål mail.docx", "A 1207-2023")</f>
        <v/>
      </c>
      <c r="X64">
        <f>HYPERLINK("https://klasma.github.io/Logging_0580/tillsyn/A 1207-2023 tillsynsbegäran.docx", "A 1207-2023")</f>
        <v/>
      </c>
      <c r="Y64">
        <f>HYPERLINK("https://klasma.github.io/Logging_0580/tillsynsmail/A 1207-2023 tillsynsbegäran mail.docx", "A 1207-2023")</f>
        <v/>
      </c>
    </row>
    <row r="65" ht="15" customHeight="1">
      <c r="A65" t="inlineStr">
        <is>
          <t>A 50404-2023</t>
        </is>
      </c>
      <c r="B65" s="1" t="n">
        <v>45216</v>
      </c>
      <c r="C65" s="1" t="n">
        <v>46194</v>
      </c>
      <c r="D65" t="inlineStr">
        <is>
          <t>ÖSTERGÖTLANDS LÄN</t>
        </is>
      </c>
      <c r="E65" t="inlineStr">
        <is>
          <t>LINKÖPING</t>
        </is>
      </c>
      <c r="G65" t="n">
        <v>1.2</v>
      </c>
      <c r="H65" t="n">
        <v>1</v>
      </c>
      <c r="I65" t="n">
        <v>1</v>
      </c>
      <c r="J65" t="n">
        <v>0</v>
      </c>
      <c r="K65" t="n">
        <v>0</v>
      </c>
      <c r="L65" t="n">
        <v>0</v>
      </c>
      <c r="M65" t="n">
        <v>0</v>
      </c>
      <c r="N65" t="n">
        <v>0</v>
      </c>
      <c r="O65" t="n">
        <v>0</v>
      </c>
      <c r="P65" t="n">
        <v>0</v>
      </c>
      <c r="Q65" t="n">
        <v>2</v>
      </c>
      <c r="R65" s="2" t="inlineStr">
        <is>
          <t>Hasselticka
Gullviva</t>
        </is>
      </c>
      <c r="S65">
        <f>HYPERLINK("https://klasma.github.io/Logging_0580/artfynd/A 50404-2023 artfynd.xlsx", "A 50404-2023")</f>
        <v/>
      </c>
      <c r="T65">
        <f>HYPERLINK("https://klasma.github.io/Logging_0580/kartor/A 50404-2023 karta.png", "A 50404-2023")</f>
        <v/>
      </c>
      <c r="V65">
        <f>HYPERLINK("https://klasma.github.io/Logging_0580/klagomål/A 50404-2023 FSC-klagomål.docx", "A 50404-2023")</f>
        <v/>
      </c>
      <c r="W65">
        <f>HYPERLINK("https://klasma.github.io/Logging_0580/klagomålsmail/A 50404-2023 FSC-klagomål mail.docx", "A 50404-2023")</f>
        <v/>
      </c>
      <c r="X65">
        <f>HYPERLINK("https://klasma.github.io/Logging_0580/tillsyn/A 50404-2023 tillsynsbegäran.docx", "A 50404-2023")</f>
        <v/>
      </c>
      <c r="Y65">
        <f>HYPERLINK("https://klasma.github.io/Logging_0580/tillsynsmail/A 50404-2023 tillsynsbegäran mail.docx", "A 50404-2023")</f>
        <v/>
      </c>
    </row>
    <row r="66" ht="15" customHeight="1">
      <c r="A66" t="inlineStr">
        <is>
          <t>A 5911-2022</t>
        </is>
      </c>
      <c r="B66" s="1" t="n">
        <v>44597</v>
      </c>
      <c r="C66" s="1" t="n">
        <v>46194</v>
      </c>
      <c r="D66" t="inlineStr">
        <is>
          <t>ÖSTERGÖTLANDS LÄN</t>
        </is>
      </c>
      <c r="E66" t="inlineStr">
        <is>
          <t>LINKÖPING</t>
        </is>
      </c>
      <c r="G66" t="n">
        <v>3.5</v>
      </c>
      <c r="H66" t="n">
        <v>1</v>
      </c>
      <c r="I66" t="n">
        <v>1</v>
      </c>
      <c r="J66" t="n">
        <v>1</v>
      </c>
      <c r="K66" t="n">
        <v>0</v>
      </c>
      <c r="L66" t="n">
        <v>0</v>
      </c>
      <c r="M66" t="n">
        <v>0</v>
      </c>
      <c r="N66" t="n">
        <v>0</v>
      </c>
      <c r="O66" t="n">
        <v>1</v>
      </c>
      <c r="P66" t="n">
        <v>0</v>
      </c>
      <c r="Q66" t="n">
        <v>2</v>
      </c>
      <c r="R66" s="2" t="inlineStr">
        <is>
          <t>Spindelört
Ekoxe</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27795-2025</t>
        </is>
      </c>
      <c r="B67" s="1" t="n">
        <v>45816</v>
      </c>
      <c r="C67" s="1" t="n">
        <v>46194</v>
      </c>
      <c r="D67" t="inlineStr">
        <is>
          <t>ÖSTERGÖTLANDS LÄN</t>
        </is>
      </c>
      <c r="E67" t="inlineStr">
        <is>
          <t>LINKÖPING</t>
        </is>
      </c>
      <c r="G67" t="n">
        <v>5</v>
      </c>
      <c r="H67" t="n">
        <v>0</v>
      </c>
      <c r="I67" t="n">
        <v>0</v>
      </c>
      <c r="J67" t="n">
        <v>2</v>
      </c>
      <c r="K67" t="n">
        <v>0</v>
      </c>
      <c r="L67" t="n">
        <v>0</v>
      </c>
      <c r="M67" t="n">
        <v>0</v>
      </c>
      <c r="N67" t="n">
        <v>0</v>
      </c>
      <c r="O67" t="n">
        <v>2</v>
      </c>
      <c r="P67" t="n">
        <v>0</v>
      </c>
      <c r="Q67" t="n">
        <v>2</v>
      </c>
      <c r="R67" s="2" t="inlineStr">
        <is>
          <t>Svinrot
Ängsskära</t>
        </is>
      </c>
      <c r="S67">
        <f>HYPERLINK("https://klasma.github.io/Logging_0580/artfynd/A 27795-2025 artfynd.xlsx", "A 27795-2025")</f>
        <v/>
      </c>
      <c r="T67">
        <f>HYPERLINK("https://klasma.github.io/Logging_0580/kartor/A 27795-2025 karta.png", "A 27795-2025")</f>
        <v/>
      </c>
      <c r="V67">
        <f>HYPERLINK("https://klasma.github.io/Logging_0580/klagomål/A 27795-2025 FSC-klagomål.docx", "A 27795-2025")</f>
        <v/>
      </c>
      <c r="W67">
        <f>HYPERLINK("https://klasma.github.io/Logging_0580/klagomålsmail/A 27795-2025 FSC-klagomål mail.docx", "A 27795-2025")</f>
        <v/>
      </c>
      <c r="X67">
        <f>HYPERLINK("https://klasma.github.io/Logging_0580/tillsyn/A 27795-2025 tillsynsbegäran.docx", "A 27795-2025")</f>
        <v/>
      </c>
      <c r="Y67">
        <f>HYPERLINK("https://klasma.github.io/Logging_0580/tillsynsmail/A 27795-2025 tillsynsbegäran mail.docx", "A 27795-2025")</f>
        <v/>
      </c>
    </row>
    <row r="68" ht="15" customHeight="1">
      <c r="A68" t="inlineStr">
        <is>
          <t>A 34881-2023</t>
        </is>
      </c>
      <c r="B68" s="1" t="n">
        <v>45140</v>
      </c>
      <c r="C68" s="1" t="n">
        <v>46194</v>
      </c>
      <c r="D68" t="inlineStr">
        <is>
          <t>ÖSTERGÖTLANDS LÄN</t>
        </is>
      </c>
      <c r="E68" t="inlineStr">
        <is>
          <t>LINKÖPING</t>
        </is>
      </c>
      <c r="G68" t="n">
        <v>1.9</v>
      </c>
      <c r="H68" t="n">
        <v>1</v>
      </c>
      <c r="I68" t="n">
        <v>0</v>
      </c>
      <c r="J68" t="n">
        <v>1</v>
      </c>
      <c r="K68" t="n">
        <v>0</v>
      </c>
      <c r="L68" t="n">
        <v>0</v>
      </c>
      <c r="M68" t="n">
        <v>0</v>
      </c>
      <c r="N68" t="n">
        <v>0</v>
      </c>
      <c r="O68" t="n">
        <v>1</v>
      </c>
      <c r="P68" t="n">
        <v>0</v>
      </c>
      <c r="Q68" t="n">
        <v>2</v>
      </c>
      <c r="R68" s="2" t="inlineStr">
        <is>
          <t>Tallticka
Kopparödla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26007-2025</t>
        </is>
      </c>
      <c r="B69" s="1" t="n">
        <v>45804</v>
      </c>
      <c r="C69" s="1" t="n">
        <v>46194</v>
      </c>
      <c r="D69" t="inlineStr">
        <is>
          <t>ÖSTERGÖTLANDS LÄN</t>
        </is>
      </c>
      <c r="E69" t="inlineStr">
        <is>
          <t>LINKÖPING</t>
        </is>
      </c>
      <c r="G69" t="n">
        <v>1.5</v>
      </c>
      <c r="H69" t="n">
        <v>0</v>
      </c>
      <c r="I69" t="n">
        <v>0</v>
      </c>
      <c r="J69" t="n">
        <v>2</v>
      </c>
      <c r="K69" t="n">
        <v>0</v>
      </c>
      <c r="L69" t="n">
        <v>0</v>
      </c>
      <c r="M69" t="n">
        <v>0</v>
      </c>
      <c r="N69" t="n">
        <v>0</v>
      </c>
      <c r="O69" t="n">
        <v>2</v>
      </c>
      <c r="P69" t="n">
        <v>0</v>
      </c>
      <c r="Q69" t="n">
        <v>2</v>
      </c>
      <c r="R69" s="2" t="inlineStr">
        <is>
          <t>Gul dropplav
Ängsskära</t>
        </is>
      </c>
      <c r="S69">
        <f>HYPERLINK("https://klasma.github.io/Logging_0580/artfynd/A 26007-2025 artfynd.xlsx", "A 26007-2025")</f>
        <v/>
      </c>
      <c r="T69">
        <f>HYPERLINK("https://klasma.github.io/Logging_0580/kartor/A 26007-2025 karta.png", "A 26007-2025")</f>
        <v/>
      </c>
      <c r="V69">
        <f>HYPERLINK("https://klasma.github.io/Logging_0580/klagomål/A 26007-2025 FSC-klagomål.docx", "A 26007-2025")</f>
        <v/>
      </c>
      <c r="W69">
        <f>HYPERLINK("https://klasma.github.io/Logging_0580/klagomålsmail/A 26007-2025 FSC-klagomål mail.docx", "A 26007-2025")</f>
        <v/>
      </c>
      <c r="X69">
        <f>HYPERLINK("https://klasma.github.io/Logging_0580/tillsyn/A 26007-2025 tillsynsbegäran.docx", "A 26007-2025")</f>
        <v/>
      </c>
      <c r="Y69">
        <f>HYPERLINK("https://klasma.github.io/Logging_0580/tillsynsmail/A 26007-2025 tillsynsbegäran mail.docx", "A 26007-2025")</f>
        <v/>
      </c>
    </row>
    <row r="70" ht="15" customHeight="1">
      <c r="A70" t="inlineStr">
        <is>
          <t>A 45317-2023</t>
        </is>
      </c>
      <c r="B70" s="1" t="n">
        <v>45191</v>
      </c>
      <c r="C70" s="1" t="n">
        <v>46194</v>
      </c>
      <c r="D70" t="inlineStr">
        <is>
          <t>ÖSTERGÖTLANDS LÄN</t>
        </is>
      </c>
      <c r="E70" t="inlineStr">
        <is>
          <t>LINKÖPING</t>
        </is>
      </c>
      <c r="F70" t="inlineStr">
        <is>
          <t>Allmännings- och besparingsskogar</t>
        </is>
      </c>
      <c r="G70" t="n">
        <v>29.3</v>
      </c>
      <c r="H70" t="n">
        <v>0</v>
      </c>
      <c r="I70" t="n">
        <v>1</v>
      </c>
      <c r="J70" t="n">
        <v>1</v>
      </c>
      <c r="K70" t="n">
        <v>0</v>
      </c>
      <c r="L70" t="n">
        <v>0</v>
      </c>
      <c r="M70" t="n">
        <v>0</v>
      </c>
      <c r="N70" t="n">
        <v>0</v>
      </c>
      <c r="O70" t="n">
        <v>1</v>
      </c>
      <c r="P70" t="n">
        <v>0</v>
      </c>
      <c r="Q70" t="n">
        <v>2</v>
      </c>
      <c r="R70" s="2" t="inlineStr">
        <is>
          <t>Svinrot
Källpraktmossa</t>
        </is>
      </c>
      <c r="S70">
        <f>HYPERLINK("https://klasma.github.io/Logging_0580/artfynd/A 45317-2023 artfynd.xlsx", "A 45317-2023")</f>
        <v/>
      </c>
      <c r="T70">
        <f>HYPERLINK("https://klasma.github.io/Logging_0580/kartor/A 45317-2023 karta.png", "A 45317-2023")</f>
        <v/>
      </c>
      <c r="V70">
        <f>HYPERLINK("https://klasma.github.io/Logging_0580/klagomål/A 45317-2023 FSC-klagomål.docx", "A 45317-2023")</f>
        <v/>
      </c>
      <c r="W70">
        <f>HYPERLINK("https://klasma.github.io/Logging_0580/klagomålsmail/A 45317-2023 FSC-klagomål mail.docx", "A 45317-2023")</f>
        <v/>
      </c>
      <c r="X70">
        <f>HYPERLINK("https://klasma.github.io/Logging_0580/tillsyn/A 45317-2023 tillsynsbegäran.docx", "A 45317-2023")</f>
        <v/>
      </c>
      <c r="Y70">
        <f>HYPERLINK("https://klasma.github.io/Logging_0580/tillsynsmail/A 45317-2023 tillsynsbegäran mail.docx", "A 45317-2023")</f>
        <v/>
      </c>
    </row>
    <row r="71" ht="15" customHeight="1">
      <c r="A71" t="inlineStr">
        <is>
          <t>A 15844-2026</t>
        </is>
      </c>
      <c r="B71" s="1" t="n">
        <v>46107</v>
      </c>
      <c r="C71" s="1" t="n">
        <v>46194</v>
      </c>
      <c r="D71" t="inlineStr">
        <is>
          <t>ÖSTERGÖTLANDS LÄN</t>
        </is>
      </c>
      <c r="E71" t="inlineStr">
        <is>
          <t>LINKÖPING</t>
        </is>
      </c>
      <c r="F71" t="inlineStr">
        <is>
          <t>Sveaskog</t>
        </is>
      </c>
      <c r="G71" t="n">
        <v>10.6</v>
      </c>
      <c r="H71" t="n">
        <v>0</v>
      </c>
      <c r="I71" t="n">
        <v>2</v>
      </c>
      <c r="J71" t="n">
        <v>0</v>
      </c>
      <c r="K71" t="n">
        <v>0</v>
      </c>
      <c r="L71" t="n">
        <v>0</v>
      </c>
      <c r="M71" t="n">
        <v>0</v>
      </c>
      <c r="N71" t="n">
        <v>0</v>
      </c>
      <c r="O71" t="n">
        <v>0</v>
      </c>
      <c r="P71" t="n">
        <v>0</v>
      </c>
      <c r="Q71" t="n">
        <v>2</v>
      </c>
      <c r="R71" s="2" t="inlineStr">
        <is>
          <t>Fällmossa
Toppvaxing</t>
        </is>
      </c>
      <c r="S71">
        <f>HYPERLINK("https://klasma.github.io/Logging_0580/artfynd/A 15844-2026 artfynd.xlsx", "A 15844-2026")</f>
        <v/>
      </c>
      <c r="T71">
        <f>HYPERLINK("https://klasma.github.io/Logging_0580/kartor/A 15844-2026 karta.png", "A 15844-2026")</f>
        <v/>
      </c>
      <c r="V71">
        <f>HYPERLINK("https://klasma.github.io/Logging_0580/klagomål/A 15844-2026 FSC-klagomål.docx", "A 15844-2026")</f>
        <v/>
      </c>
      <c r="W71">
        <f>HYPERLINK("https://klasma.github.io/Logging_0580/klagomålsmail/A 15844-2026 FSC-klagomål mail.docx", "A 15844-2026")</f>
        <v/>
      </c>
      <c r="X71">
        <f>HYPERLINK("https://klasma.github.io/Logging_0580/tillsyn/A 15844-2026 tillsynsbegäran.docx", "A 15844-2026")</f>
        <v/>
      </c>
      <c r="Y71">
        <f>HYPERLINK("https://klasma.github.io/Logging_0580/tillsynsmail/A 15844-2026 tillsynsbegäran mail.docx", "A 15844-2026")</f>
        <v/>
      </c>
    </row>
    <row r="72" ht="15" customHeight="1">
      <c r="A72" t="inlineStr">
        <is>
          <t>A 20295-2025</t>
        </is>
      </c>
      <c r="B72" s="1" t="n">
        <v>45774</v>
      </c>
      <c r="C72" s="1" t="n">
        <v>46194</v>
      </c>
      <c r="D72" t="inlineStr">
        <is>
          <t>ÖSTERGÖTLANDS LÄN</t>
        </is>
      </c>
      <c r="E72" t="inlineStr">
        <is>
          <t>LINKÖPING</t>
        </is>
      </c>
      <c r="G72" t="n">
        <v>3</v>
      </c>
      <c r="H72" t="n">
        <v>1</v>
      </c>
      <c r="I72" t="n">
        <v>0</v>
      </c>
      <c r="J72" t="n">
        <v>1</v>
      </c>
      <c r="K72" t="n">
        <v>0</v>
      </c>
      <c r="L72" t="n">
        <v>0</v>
      </c>
      <c r="M72" t="n">
        <v>0</v>
      </c>
      <c r="N72" t="n">
        <v>0</v>
      </c>
      <c r="O72" t="n">
        <v>1</v>
      </c>
      <c r="P72" t="n">
        <v>0</v>
      </c>
      <c r="Q72" t="n">
        <v>2</v>
      </c>
      <c r="R72" s="2" t="inlineStr">
        <is>
          <t>Tallticka
Röd glada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c r="Z72">
        <f>HYPERLINK("https://klasma.github.io/Logging_0580/fåglar/A 20295-2025 prioriterade fågelarter.docx", "A 20295-2025")</f>
        <v/>
      </c>
    </row>
    <row r="73" ht="15" customHeight="1">
      <c r="A73" t="inlineStr">
        <is>
          <t>A 35948-2023</t>
        </is>
      </c>
      <c r="B73" s="1" t="n">
        <v>45148</v>
      </c>
      <c r="C73" s="1" t="n">
        <v>46194</v>
      </c>
      <c r="D73" t="inlineStr">
        <is>
          <t>ÖSTERGÖTLANDS LÄN</t>
        </is>
      </c>
      <c r="E73" t="inlineStr">
        <is>
          <t>LINKÖPING</t>
        </is>
      </c>
      <c r="G73" t="n">
        <v>1.9</v>
      </c>
      <c r="H73" t="n">
        <v>0</v>
      </c>
      <c r="I73" t="n">
        <v>2</v>
      </c>
      <c r="J73" t="n">
        <v>0</v>
      </c>
      <c r="K73" t="n">
        <v>0</v>
      </c>
      <c r="L73" t="n">
        <v>0</v>
      </c>
      <c r="M73" t="n">
        <v>0</v>
      </c>
      <c r="N73" t="n">
        <v>0</v>
      </c>
      <c r="O73" t="n">
        <v>0</v>
      </c>
      <c r="P73" t="n">
        <v>0</v>
      </c>
      <c r="Q73" t="n">
        <v>2</v>
      </c>
      <c r="R73" s="2" t="inlineStr">
        <is>
          <t>Brun nållav
Fällmossa</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22833-2023</t>
        </is>
      </c>
      <c r="B74" s="1" t="n">
        <v>45071</v>
      </c>
      <c r="C74" s="1" t="n">
        <v>46194</v>
      </c>
      <c r="D74" t="inlineStr">
        <is>
          <t>ÖSTERGÖTLANDS LÄN</t>
        </is>
      </c>
      <c r="E74" t="inlineStr">
        <is>
          <t>LINKÖPING</t>
        </is>
      </c>
      <c r="F74" t="inlineStr">
        <is>
          <t>Kommuner</t>
        </is>
      </c>
      <c r="G74" t="n">
        <v>1</v>
      </c>
      <c r="H74" t="n">
        <v>1</v>
      </c>
      <c r="I74" t="n">
        <v>1</v>
      </c>
      <c r="J74" t="n">
        <v>0</v>
      </c>
      <c r="K74" t="n">
        <v>0</v>
      </c>
      <c r="L74" t="n">
        <v>1</v>
      </c>
      <c r="M74" t="n">
        <v>0</v>
      </c>
      <c r="N74" t="n">
        <v>0</v>
      </c>
      <c r="O74" t="n">
        <v>1</v>
      </c>
      <c r="P74" t="n">
        <v>1</v>
      </c>
      <c r="Q74" t="n">
        <v>2</v>
      </c>
      <c r="R74" s="2" t="inlineStr">
        <is>
          <t>Bombmurkla
Trådticka</t>
        </is>
      </c>
      <c r="S74">
        <f>HYPERLINK("https://klasma.github.io/Logging_0580/artfynd/A 22833-2023 artfynd.xlsx", "A 22833-2023")</f>
        <v/>
      </c>
      <c r="T74">
        <f>HYPERLINK("https://klasma.github.io/Logging_0580/kartor/A 22833-2023 karta.png", "A 22833-2023")</f>
        <v/>
      </c>
      <c r="V74">
        <f>HYPERLINK("https://klasma.github.io/Logging_0580/klagomål/A 22833-2023 FSC-klagomål.docx", "A 22833-2023")</f>
        <v/>
      </c>
      <c r="W74">
        <f>HYPERLINK("https://klasma.github.io/Logging_0580/klagomålsmail/A 22833-2023 FSC-klagomål mail.docx", "A 22833-2023")</f>
        <v/>
      </c>
      <c r="X74">
        <f>HYPERLINK("https://klasma.github.io/Logging_0580/tillsyn/A 22833-2023 tillsynsbegäran.docx", "A 22833-2023")</f>
        <v/>
      </c>
      <c r="Y74">
        <f>HYPERLINK("https://klasma.github.io/Logging_0580/tillsynsmail/A 22833-2023 tillsynsbegäran mail.docx", "A 22833-2023")</f>
        <v/>
      </c>
    </row>
    <row r="75" ht="15" customHeight="1">
      <c r="A75" t="inlineStr">
        <is>
          <t>A 3912-2026</t>
        </is>
      </c>
      <c r="B75" s="1" t="n">
        <v>46043</v>
      </c>
      <c r="C75" s="1" t="n">
        <v>46194</v>
      </c>
      <c r="D75" t="inlineStr">
        <is>
          <t>ÖSTERGÖTLANDS LÄN</t>
        </is>
      </c>
      <c r="E75" t="inlineStr">
        <is>
          <t>LINKÖPING</t>
        </is>
      </c>
      <c r="F75" t="inlineStr">
        <is>
          <t>Kyrkan</t>
        </is>
      </c>
      <c r="G75" t="n">
        <v>6.8</v>
      </c>
      <c r="H75" t="n">
        <v>1</v>
      </c>
      <c r="I75" t="n">
        <v>1</v>
      </c>
      <c r="J75" t="n">
        <v>0</v>
      </c>
      <c r="K75" t="n">
        <v>1</v>
      </c>
      <c r="L75" t="n">
        <v>0</v>
      </c>
      <c r="M75" t="n">
        <v>0</v>
      </c>
      <c r="N75" t="n">
        <v>0</v>
      </c>
      <c r="O75" t="n">
        <v>1</v>
      </c>
      <c r="P75" t="n">
        <v>1</v>
      </c>
      <c r="Q75" t="n">
        <v>2</v>
      </c>
      <c r="R75" s="2" t="inlineStr">
        <is>
          <t>Knärot
Grönpyrola</t>
        </is>
      </c>
      <c r="S75">
        <f>HYPERLINK("https://klasma.github.io/Logging_0580/artfynd/A 3912-2026 artfynd.xlsx", "A 3912-2026")</f>
        <v/>
      </c>
      <c r="T75">
        <f>HYPERLINK("https://klasma.github.io/Logging_0580/kartor/A 3912-2026 karta.png", "A 3912-2026")</f>
        <v/>
      </c>
      <c r="U75">
        <f>HYPERLINK("https://klasma.github.io/Logging_0580/knärot/A 3912-2026 karta knärot.png", "A 3912-2026")</f>
        <v/>
      </c>
      <c r="V75">
        <f>HYPERLINK("https://klasma.github.io/Logging_0580/klagomål/A 3912-2026 FSC-klagomål.docx", "A 3912-2026")</f>
        <v/>
      </c>
      <c r="W75">
        <f>HYPERLINK("https://klasma.github.io/Logging_0580/klagomålsmail/A 3912-2026 FSC-klagomål mail.docx", "A 3912-2026")</f>
        <v/>
      </c>
      <c r="X75">
        <f>HYPERLINK("https://klasma.github.io/Logging_0580/tillsyn/A 3912-2026 tillsynsbegäran.docx", "A 3912-2026")</f>
        <v/>
      </c>
      <c r="Y75">
        <f>HYPERLINK("https://klasma.github.io/Logging_0580/tillsynsmail/A 3912-2026 tillsynsbegäran mail.docx", "A 3912-2026")</f>
        <v/>
      </c>
    </row>
    <row r="76" ht="15" customHeight="1">
      <c r="A76" t="inlineStr">
        <is>
          <t>A 59948-2022</t>
        </is>
      </c>
      <c r="B76" s="1" t="n">
        <v>44909</v>
      </c>
      <c r="C76" s="1" t="n">
        <v>46194</v>
      </c>
      <c r="D76" t="inlineStr">
        <is>
          <t>ÖSTERGÖTLANDS LÄN</t>
        </is>
      </c>
      <c r="E76" t="inlineStr">
        <is>
          <t>LINKÖPING</t>
        </is>
      </c>
      <c r="G76" t="n">
        <v>6.7</v>
      </c>
      <c r="H76" t="n">
        <v>1</v>
      </c>
      <c r="I76" t="n">
        <v>0</v>
      </c>
      <c r="J76" t="n">
        <v>1</v>
      </c>
      <c r="K76" t="n">
        <v>0</v>
      </c>
      <c r="L76" t="n">
        <v>1</v>
      </c>
      <c r="M76" t="n">
        <v>0</v>
      </c>
      <c r="N76" t="n">
        <v>0</v>
      </c>
      <c r="O76" t="n">
        <v>2</v>
      </c>
      <c r="P76" t="n">
        <v>1</v>
      </c>
      <c r="Q76" t="n">
        <v>2</v>
      </c>
      <c r="R76" s="2" t="inlineStr">
        <is>
          <t>Skogsalm
Duvhök</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c r="Z76">
        <f>HYPERLINK("https://klasma.github.io/Logging_0580/fåglar/A 59948-2022 prioriterade fågelarter.docx", "A 59948-2022")</f>
        <v/>
      </c>
    </row>
    <row r="77" ht="15" customHeight="1">
      <c r="A77" t="inlineStr">
        <is>
          <t>A 38886-2024</t>
        </is>
      </c>
      <c r="B77" s="1" t="n">
        <v>45547</v>
      </c>
      <c r="C77" s="1" t="n">
        <v>46194</v>
      </c>
      <c r="D77" t="inlineStr">
        <is>
          <t>ÖSTERGÖTLANDS LÄN</t>
        </is>
      </c>
      <c r="E77" t="inlineStr">
        <is>
          <t>LINKÖPING</t>
        </is>
      </c>
      <c r="G77" t="n">
        <v>5.3</v>
      </c>
      <c r="H77" t="n">
        <v>1</v>
      </c>
      <c r="I77" t="n">
        <v>1</v>
      </c>
      <c r="J77" t="n">
        <v>1</v>
      </c>
      <c r="K77" t="n">
        <v>0</v>
      </c>
      <c r="L77" t="n">
        <v>0</v>
      </c>
      <c r="M77" t="n">
        <v>0</v>
      </c>
      <c r="N77" t="n">
        <v>0</v>
      </c>
      <c r="O77" t="n">
        <v>1</v>
      </c>
      <c r="P77" t="n">
        <v>0</v>
      </c>
      <c r="Q77" t="n">
        <v>2</v>
      </c>
      <c r="R77" s="2" t="inlineStr">
        <is>
          <t>Gulsparv
Hasselticka</t>
        </is>
      </c>
      <c r="S77">
        <f>HYPERLINK("https://klasma.github.io/Logging_0580/artfynd/A 38886-2024 artfynd.xlsx", "A 38886-2024")</f>
        <v/>
      </c>
      <c r="T77">
        <f>HYPERLINK("https://klasma.github.io/Logging_0580/kartor/A 38886-2024 karta.png", "A 38886-2024")</f>
        <v/>
      </c>
      <c r="V77">
        <f>HYPERLINK("https://klasma.github.io/Logging_0580/klagomål/A 38886-2024 FSC-klagomål.docx", "A 38886-2024")</f>
        <v/>
      </c>
      <c r="W77">
        <f>HYPERLINK("https://klasma.github.io/Logging_0580/klagomålsmail/A 38886-2024 FSC-klagomål mail.docx", "A 38886-2024")</f>
        <v/>
      </c>
      <c r="X77">
        <f>HYPERLINK("https://klasma.github.io/Logging_0580/tillsyn/A 38886-2024 tillsynsbegäran.docx", "A 38886-2024")</f>
        <v/>
      </c>
      <c r="Y77">
        <f>HYPERLINK("https://klasma.github.io/Logging_0580/tillsynsmail/A 38886-2024 tillsynsbegäran mail.docx", "A 38886-2024")</f>
        <v/>
      </c>
      <c r="Z77">
        <f>HYPERLINK("https://klasma.github.io/Logging_0580/fåglar/A 38886-2024 prioriterade fågelarter.docx", "A 38886-2024")</f>
        <v/>
      </c>
    </row>
    <row r="78" ht="15" customHeight="1">
      <c r="A78" t="inlineStr">
        <is>
          <t>A 42858-2023</t>
        </is>
      </c>
      <c r="B78" s="1" t="n">
        <v>45177</v>
      </c>
      <c r="C78" s="1" t="n">
        <v>46194</v>
      </c>
      <c r="D78" t="inlineStr">
        <is>
          <t>ÖSTERGÖTLANDS LÄN</t>
        </is>
      </c>
      <c r="E78" t="inlineStr">
        <is>
          <t>LINKÖPING</t>
        </is>
      </c>
      <c r="G78" t="n">
        <v>5.3</v>
      </c>
      <c r="H78" t="n">
        <v>1</v>
      </c>
      <c r="I78" t="n">
        <v>0</v>
      </c>
      <c r="J78" t="n">
        <v>1</v>
      </c>
      <c r="K78" t="n">
        <v>0</v>
      </c>
      <c r="L78" t="n">
        <v>0</v>
      </c>
      <c r="M78" t="n">
        <v>0</v>
      </c>
      <c r="N78" t="n">
        <v>0</v>
      </c>
      <c r="O78" t="n">
        <v>1</v>
      </c>
      <c r="P78" t="n">
        <v>0</v>
      </c>
      <c r="Q78" t="n">
        <v>2</v>
      </c>
      <c r="R78" s="2" t="inlineStr">
        <is>
          <t>Svinrot
Skogsödla</t>
        </is>
      </c>
      <c r="S78">
        <f>HYPERLINK("https://klasma.github.io/Logging_0580/artfynd/A 42858-2023 artfynd.xlsx", "A 42858-2023")</f>
        <v/>
      </c>
      <c r="T78">
        <f>HYPERLINK("https://klasma.github.io/Logging_0580/kartor/A 42858-2023 karta.png", "A 42858-2023")</f>
        <v/>
      </c>
      <c r="V78">
        <f>HYPERLINK("https://klasma.github.io/Logging_0580/klagomål/A 42858-2023 FSC-klagomål.docx", "A 42858-2023")</f>
        <v/>
      </c>
      <c r="W78">
        <f>HYPERLINK("https://klasma.github.io/Logging_0580/klagomålsmail/A 42858-2023 FSC-klagomål mail.docx", "A 42858-2023")</f>
        <v/>
      </c>
      <c r="X78">
        <f>HYPERLINK("https://klasma.github.io/Logging_0580/tillsyn/A 42858-2023 tillsynsbegäran.docx", "A 42858-2023")</f>
        <v/>
      </c>
      <c r="Y78">
        <f>HYPERLINK("https://klasma.github.io/Logging_0580/tillsynsmail/A 42858-2023 tillsynsbegäran mail.docx", "A 42858-2023")</f>
        <v/>
      </c>
    </row>
    <row r="79" ht="15" customHeight="1">
      <c r="A79" t="inlineStr">
        <is>
          <t>A 41751-2023</t>
        </is>
      </c>
      <c r="B79" s="1" t="n">
        <v>45176</v>
      </c>
      <c r="C79" s="1" t="n">
        <v>46194</v>
      </c>
      <c r="D79" t="inlineStr">
        <is>
          <t>ÖSTERGÖTLANDS LÄN</t>
        </is>
      </c>
      <c r="E79" t="inlineStr">
        <is>
          <t>LINKÖPING</t>
        </is>
      </c>
      <c r="G79" t="n">
        <v>1.5</v>
      </c>
      <c r="H79" t="n">
        <v>1</v>
      </c>
      <c r="I79" t="n">
        <v>0</v>
      </c>
      <c r="J79" t="n">
        <v>1</v>
      </c>
      <c r="K79" t="n">
        <v>0</v>
      </c>
      <c r="L79" t="n">
        <v>0</v>
      </c>
      <c r="M79" t="n">
        <v>0</v>
      </c>
      <c r="N79" t="n">
        <v>0</v>
      </c>
      <c r="O79" t="n">
        <v>1</v>
      </c>
      <c r="P79" t="n">
        <v>0</v>
      </c>
      <c r="Q79" t="n">
        <v>2</v>
      </c>
      <c r="R79" s="2" t="inlineStr">
        <is>
          <t>Svinrot
Grönvit nattviol</t>
        </is>
      </c>
      <c r="S79">
        <f>HYPERLINK("https://klasma.github.io/Logging_0580/artfynd/A 41751-2023 artfynd.xlsx", "A 41751-2023")</f>
        <v/>
      </c>
      <c r="T79">
        <f>HYPERLINK("https://klasma.github.io/Logging_0580/kartor/A 41751-2023 karta.png", "A 41751-2023")</f>
        <v/>
      </c>
      <c r="V79">
        <f>HYPERLINK("https://klasma.github.io/Logging_0580/klagomål/A 41751-2023 FSC-klagomål.docx", "A 41751-2023")</f>
        <v/>
      </c>
      <c r="W79">
        <f>HYPERLINK("https://klasma.github.io/Logging_0580/klagomålsmail/A 41751-2023 FSC-klagomål mail.docx", "A 41751-2023")</f>
        <v/>
      </c>
      <c r="X79">
        <f>HYPERLINK("https://klasma.github.io/Logging_0580/tillsyn/A 41751-2023 tillsynsbegäran.docx", "A 41751-2023")</f>
        <v/>
      </c>
      <c r="Y79">
        <f>HYPERLINK("https://klasma.github.io/Logging_0580/tillsynsmail/A 41751-2023 tillsynsbegäran mail.docx", "A 41751-2023")</f>
        <v/>
      </c>
    </row>
    <row r="80" ht="15" customHeight="1">
      <c r="A80" t="inlineStr">
        <is>
          <t>A 8818-2025</t>
        </is>
      </c>
      <c r="B80" s="1" t="n">
        <v>45712</v>
      </c>
      <c r="C80" s="1" t="n">
        <v>46194</v>
      </c>
      <c r="D80" t="inlineStr">
        <is>
          <t>ÖSTERGÖTLANDS LÄN</t>
        </is>
      </c>
      <c r="E80" t="inlineStr">
        <is>
          <t>LINKÖPING</t>
        </is>
      </c>
      <c r="F80" t="inlineStr">
        <is>
          <t>Kommuner</t>
        </is>
      </c>
      <c r="G80" t="n">
        <v>0.6</v>
      </c>
      <c r="H80" t="n">
        <v>0</v>
      </c>
      <c r="I80" t="n">
        <v>0</v>
      </c>
      <c r="J80" t="n">
        <v>2</v>
      </c>
      <c r="K80" t="n">
        <v>0</v>
      </c>
      <c r="L80" t="n">
        <v>0</v>
      </c>
      <c r="M80" t="n">
        <v>0</v>
      </c>
      <c r="N80" t="n">
        <v>0</v>
      </c>
      <c r="O80" t="n">
        <v>2</v>
      </c>
      <c r="P80" t="n">
        <v>0</v>
      </c>
      <c r="Q80" t="n">
        <v>2</v>
      </c>
      <c r="R80" s="2" t="inlineStr">
        <is>
          <t>Klubbsprötad bastardsvärmare
Luddvicker</t>
        </is>
      </c>
      <c r="S80">
        <f>HYPERLINK("https://klasma.github.io/Logging_0580/artfynd/A 8818-2025 artfynd.xlsx", "A 8818-2025")</f>
        <v/>
      </c>
      <c r="T80">
        <f>HYPERLINK("https://klasma.github.io/Logging_0580/kartor/A 8818-2025 karta.png", "A 8818-2025")</f>
        <v/>
      </c>
      <c r="V80">
        <f>HYPERLINK("https://klasma.github.io/Logging_0580/klagomål/A 8818-2025 FSC-klagomål.docx", "A 8818-2025")</f>
        <v/>
      </c>
      <c r="W80">
        <f>HYPERLINK("https://klasma.github.io/Logging_0580/klagomålsmail/A 8818-2025 FSC-klagomål mail.docx", "A 8818-2025")</f>
        <v/>
      </c>
      <c r="X80">
        <f>HYPERLINK("https://klasma.github.io/Logging_0580/tillsyn/A 8818-2025 tillsynsbegäran.docx", "A 8818-2025")</f>
        <v/>
      </c>
      <c r="Y80">
        <f>HYPERLINK("https://klasma.github.io/Logging_0580/tillsynsmail/A 8818-2025 tillsynsbegäran mail.docx", "A 8818-2025")</f>
        <v/>
      </c>
    </row>
    <row r="81" ht="15" customHeight="1">
      <c r="A81" t="inlineStr">
        <is>
          <t>A 22074-2026</t>
        </is>
      </c>
      <c r="B81" s="1" t="n">
        <v>46153</v>
      </c>
      <c r="C81" s="1" t="n">
        <v>46194</v>
      </c>
      <c r="D81" t="inlineStr">
        <is>
          <t>ÖSTERGÖTLANDS LÄN</t>
        </is>
      </c>
      <c r="E81" t="inlineStr">
        <is>
          <t>LINKÖPING</t>
        </is>
      </c>
      <c r="G81" t="n">
        <v>1.9</v>
      </c>
      <c r="H81" t="n">
        <v>0</v>
      </c>
      <c r="I81" t="n">
        <v>2</v>
      </c>
      <c r="J81" t="n">
        <v>0</v>
      </c>
      <c r="K81" t="n">
        <v>0</v>
      </c>
      <c r="L81" t="n">
        <v>0</v>
      </c>
      <c r="M81" t="n">
        <v>0</v>
      </c>
      <c r="N81" t="n">
        <v>0</v>
      </c>
      <c r="O81" t="n">
        <v>0</v>
      </c>
      <c r="P81" t="n">
        <v>0</v>
      </c>
      <c r="Q81" t="n">
        <v>2</v>
      </c>
      <c r="R81" s="2" t="inlineStr">
        <is>
          <t>Blomkålssvamp
Mandelriska</t>
        </is>
      </c>
      <c r="S81">
        <f>HYPERLINK("https://klasma.github.io/Logging_0580/artfynd/A 22074-2026 artfynd.xlsx", "A 22074-2026")</f>
        <v/>
      </c>
      <c r="T81">
        <f>HYPERLINK("https://klasma.github.io/Logging_0580/kartor/A 22074-2026 karta.png", "A 22074-2026")</f>
        <v/>
      </c>
      <c r="V81">
        <f>HYPERLINK("https://klasma.github.io/Logging_0580/klagomål/A 22074-2026 FSC-klagomål.docx", "A 22074-2026")</f>
        <v/>
      </c>
      <c r="W81">
        <f>HYPERLINK("https://klasma.github.io/Logging_0580/klagomålsmail/A 22074-2026 FSC-klagomål mail.docx", "A 22074-2026")</f>
        <v/>
      </c>
      <c r="X81">
        <f>HYPERLINK("https://klasma.github.io/Logging_0580/tillsyn/A 22074-2026 tillsynsbegäran.docx", "A 22074-2026")</f>
        <v/>
      </c>
      <c r="Y81">
        <f>HYPERLINK("https://klasma.github.io/Logging_0580/tillsynsmail/A 22074-2026 tillsynsbegäran mail.docx", "A 22074-2026")</f>
        <v/>
      </c>
    </row>
    <row r="82" ht="15" customHeight="1">
      <c r="A82" t="inlineStr">
        <is>
          <t>A 59674-2024</t>
        </is>
      </c>
      <c r="B82" s="1" t="n">
        <v>45639</v>
      </c>
      <c r="C82" s="1" t="n">
        <v>46194</v>
      </c>
      <c r="D82" t="inlineStr">
        <is>
          <t>ÖSTERGÖTLANDS LÄN</t>
        </is>
      </c>
      <c r="E82" t="inlineStr">
        <is>
          <t>LINKÖPING</t>
        </is>
      </c>
      <c r="G82" t="n">
        <v>6.3</v>
      </c>
      <c r="H82" t="n">
        <v>0</v>
      </c>
      <c r="I82" t="n">
        <v>1</v>
      </c>
      <c r="J82" t="n">
        <v>1</v>
      </c>
      <c r="K82" t="n">
        <v>0</v>
      </c>
      <c r="L82" t="n">
        <v>0</v>
      </c>
      <c r="M82" t="n">
        <v>0</v>
      </c>
      <c r="N82" t="n">
        <v>0</v>
      </c>
      <c r="O82" t="n">
        <v>1</v>
      </c>
      <c r="P82" t="n">
        <v>0</v>
      </c>
      <c r="Q82" t="n">
        <v>2</v>
      </c>
      <c r="R82" s="2" t="inlineStr">
        <is>
          <t>Rödbrun blekspik
Brun nållav</t>
        </is>
      </c>
      <c r="S82">
        <f>HYPERLINK("https://klasma.github.io/Logging_0580/artfynd/A 59674-2024 artfynd.xlsx", "A 59674-2024")</f>
        <v/>
      </c>
      <c r="T82">
        <f>HYPERLINK("https://klasma.github.io/Logging_0580/kartor/A 59674-2024 karta.png", "A 59674-2024")</f>
        <v/>
      </c>
      <c r="V82">
        <f>HYPERLINK("https://klasma.github.io/Logging_0580/klagomål/A 59674-2024 FSC-klagomål.docx", "A 59674-2024")</f>
        <v/>
      </c>
      <c r="W82">
        <f>HYPERLINK("https://klasma.github.io/Logging_0580/klagomålsmail/A 59674-2024 FSC-klagomål mail.docx", "A 59674-2024")</f>
        <v/>
      </c>
      <c r="X82">
        <f>HYPERLINK("https://klasma.github.io/Logging_0580/tillsyn/A 59674-2024 tillsynsbegäran.docx", "A 59674-2024")</f>
        <v/>
      </c>
      <c r="Y82">
        <f>HYPERLINK("https://klasma.github.io/Logging_0580/tillsynsmail/A 59674-2024 tillsynsbegäran mail.docx", "A 59674-2024")</f>
        <v/>
      </c>
    </row>
    <row r="83" ht="15" customHeight="1">
      <c r="A83" t="inlineStr">
        <is>
          <t>A 15290-2025</t>
        </is>
      </c>
      <c r="B83" s="1" t="n">
        <v>45745</v>
      </c>
      <c r="C83" s="1" t="n">
        <v>46194</v>
      </c>
      <c r="D83" t="inlineStr">
        <is>
          <t>ÖSTERGÖTLANDS LÄN</t>
        </is>
      </c>
      <c r="E83" t="inlineStr">
        <is>
          <t>LINKÖPING</t>
        </is>
      </c>
      <c r="G83" t="n">
        <v>18.4</v>
      </c>
      <c r="H83" t="n">
        <v>1</v>
      </c>
      <c r="I83" t="n">
        <v>0</v>
      </c>
      <c r="J83" t="n">
        <v>1</v>
      </c>
      <c r="K83" t="n">
        <v>0</v>
      </c>
      <c r="L83" t="n">
        <v>0</v>
      </c>
      <c r="M83" t="n">
        <v>0</v>
      </c>
      <c r="N83" t="n">
        <v>0</v>
      </c>
      <c r="O83" t="n">
        <v>1</v>
      </c>
      <c r="P83" t="n">
        <v>0</v>
      </c>
      <c r="Q83" t="n">
        <v>2</v>
      </c>
      <c r="R83" s="2" t="inlineStr">
        <is>
          <t>Storgröe
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48298-2025</t>
        </is>
      </c>
      <c r="B84" s="1" t="n">
        <v>45932</v>
      </c>
      <c r="C84" s="1" t="n">
        <v>46194</v>
      </c>
      <c r="D84" t="inlineStr">
        <is>
          <t>ÖSTERGÖTLANDS LÄN</t>
        </is>
      </c>
      <c r="E84" t="inlineStr">
        <is>
          <t>LINKÖPING</t>
        </is>
      </c>
      <c r="F84" t="inlineStr">
        <is>
          <t>Övriga Aktiebolag</t>
        </is>
      </c>
      <c r="G84" t="n">
        <v>1.7</v>
      </c>
      <c r="H84" t="n">
        <v>1</v>
      </c>
      <c r="I84" t="n">
        <v>1</v>
      </c>
      <c r="J84" t="n">
        <v>0</v>
      </c>
      <c r="K84" t="n">
        <v>0</v>
      </c>
      <c r="L84" t="n">
        <v>1</v>
      </c>
      <c r="M84" t="n">
        <v>0</v>
      </c>
      <c r="N84" t="n">
        <v>0</v>
      </c>
      <c r="O84" t="n">
        <v>1</v>
      </c>
      <c r="P84" t="n">
        <v>1</v>
      </c>
      <c r="Q84" t="n">
        <v>2</v>
      </c>
      <c r="R84" s="2" t="inlineStr">
        <is>
          <t>Bombmurkla
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25900-2026</t>
        </is>
      </c>
      <c r="B85" s="1" t="n">
        <v>46178</v>
      </c>
      <c r="C85" s="1" t="n">
        <v>46194</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46194</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46194</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46194</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54034-2022</t>
        </is>
      </c>
      <c r="B89" s="1" t="n">
        <v>44881</v>
      </c>
      <c r="C89" s="1" t="n">
        <v>46194</v>
      </c>
      <c r="D89" t="inlineStr">
        <is>
          <t>ÖSTERGÖTLANDS LÄN</t>
        </is>
      </c>
      <c r="E89" t="inlineStr">
        <is>
          <t>LINKÖPING</t>
        </is>
      </c>
      <c r="G89" t="n">
        <v>0.5</v>
      </c>
      <c r="H89" t="n">
        <v>0</v>
      </c>
      <c r="I89" t="n">
        <v>0</v>
      </c>
      <c r="J89" t="n">
        <v>1</v>
      </c>
      <c r="K89" t="n">
        <v>0</v>
      </c>
      <c r="L89" t="n">
        <v>0</v>
      </c>
      <c r="M89" t="n">
        <v>0</v>
      </c>
      <c r="N89" t="n">
        <v>0</v>
      </c>
      <c r="O89" t="n">
        <v>1</v>
      </c>
      <c r="P89" t="n">
        <v>0</v>
      </c>
      <c r="Q89" t="n">
        <v>1</v>
      </c>
      <c r="R89" s="2" t="inlineStr">
        <is>
          <t>Klasefibbla</t>
        </is>
      </c>
      <c r="S89">
        <f>HYPERLINK("https://klasma.github.io/Logging_0580/artfynd/A 54034-2022 artfynd.xlsx", "A 54034-2022")</f>
        <v/>
      </c>
      <c r="T89">
        <f>HYPERLINK("https://klasma.github.io/Logging_0580/kartor/A 54034-2022 karta.png", "A 54034-2022")</f>
        <v/>
      </c>
      <c r="V89">
        <f>HYPERLINK("https://klasma.github.io/Logging_0580/klagomål/A 54034-2022 FSC-klagomål.docx", "A 54034-2022")</f>
        <v/>
      </c>
      <c r="W89">
        <f>HYPERLINK("https://klasma.github.io/Logging_0580/klagomålsmail/A 54034-2022 FSC-klagomål mail.docx", "A 54034-2022")</f>
        <v/>
      </c>
      <c r="X89">
        <f>HYPERLINK("https://klasma.github.io/Logging_0580/tillsyn/A 54034-2022 tillsynsbegäran.docx", "A 54034-2022")</f>
        <v/>
      </c>
      <c r="Y89">
        <f>HYPERLINK("https://klasma.github.io/Logging_0580/tillsynsmail/A 54034-2022 tillsynsbegäran mail.docx", "A 54034-2022")</f>
        <v/>
      </c>
    </row>
    <row r="90" ht="15" customHeight="1">
      <c r="A90" t="inlineStr">
        <is>
          <t>A 22842-2023</t>
        </is>
      </c>
      <c r="B90" s="1" t="n">
        <v>45071</v>
      </c>
      <c r="C90" s="1" t="n">
        <v>46194</v>
      </c>
      <c r="D90" t="inlineStr">
        <is>
          <t>ÖSTERGÖTLANDS LÄN</t>
        </is>
      </c>
      <c r="E90" t="inlineStr">
        <is>
          <t>LINKÖPING</t>
        </is>
      </c>
      <c r="F90" t="inlineStr">
        <is>
          <t>Kommuner</t>
        </is>
      </c>
      <c r="G90" t="n">
        <v>1.3</v>
      </c>
      <c r="H90" t="n">
        <v>1</v>
      </c>
      <c r="I90" t="n">
        <v>0</v>
      </c>
      <c r="J90" t="n">
        <v>0</v>
      </c>
      <c r="K90" t="n">
        <v>0</v>
      </c>
      <c r="L90" t="n">
        <v>0</v>
      </c>
      <c r="M90" t="n">
        <v>0</v>
      </c>
      <c r="N90" t="n">
        <v>0</v>
      </c>
      <c r="O90" t="n">
        <v>0</v>
      </c>
      <c r="P90" t="n">
        <v>0</v>
      </c>
      <c r="Q90" t="n">
        <v>1</v>
      </c>
      <c r="R90" s="2" t="inlineStr">
        <is>
          <t>Grönvit nattviol</t>
        </is>
      </c>
      <c r="S90">
        <f>HYPERLINK("https://klasma.github.io/Logging_0580/artfynd/A 22842-2023 artfynd.xlsx", "A 22842-2023")</f>
        <v/>
      </c>
      <c r="T90">
        <f>HYPERLINK("https://klasma.github.io/Logging_0580/kartor/A 22842-2023 karta.png", "A 22842-2023")</f>
        <v/>
      </c>
      <c r="V90">
        <f>HYPERLINK("https://klasma.github.io/Logging_0580/klagomål/A 22842-2023 FSC-klagomål.docx", "A 22842-2023")</f>
        <v/>
      </c>
      <c r="W90">
        <f>HYPERLINK("https://klasma.github.io/Logging_0580/klagomålsmail/A 22842-2023 FSC-klagomål mail.docx", "A 22842-2023")</f>
        <v/>
      </c>
      <c r="X90">
        <f>HYPERLINK("https://klasma.github.io/Logging_0580/tillsyn/A 22842-2023 tillsynsbegäran.docx", "A 22842-2023")</f>
        <v/>
      </c>
      <c r="Y90">
        <f>HYPERLINK("https://klasma.github.io/Logging_0580/tillsynsmail/A 22842-2023 tillsynsbegäran mail.docx", "A 22842-2023")</f>
        <v/>
      </c>
    </row>
    <row r="91" ht="15" customHeight="1">
      <c r="A91" t="inlineStr">
        <is>
          <t>A 71127-2021</t>
        </is>
      </c>
      <c r="B91" s="1" t="n">
        <v>44537</v>
      </c>
      <c r="C91" s="1" t="n">
        <v>46194</v>
      </c>
      <c r="D91" t="inlineStr">
        <is>
          <t>ÖSTERGÖTLANDS LÄN</t>
        </is>
      </c>
      <c r="E91" t="inlineStr">
        <is>
          <t>LINKÖPING</t>
        </is>
      </c>
      <c r="F91" t="inlineStr">
        <is>
          <t>Kommuner</t>
        </is>
      </c>
      <c r="G91" t="n">
        <v>7.2</v>
      </c>
      <c r="H91" t="n">
        <v>0</v>
      </c>
      <c r="I91" t="n">
        <v>0</v>
      </c>
      <c r="J91" t="n">
        <v>1</v>
      </c>
      <c r="K91" t="n">
        <v>0</v>
      </c>
      <c r="L91" t="n">
        <v>0</v>
      </c>
      <c r="M91" t="n">
        <v>0</v>
      </c>
      <c r="N91" t="n">
        <v>0</v>
      </c>
      <c r="O91" t="n">
        <v>1</v>
      </c>
      <c r="P91" t="n">
        <v>0</v>
      </c>
      <c r="Q91" t="n">
        <v>1</v>
      </c>
      <c r="R91" s="2" t="inlineStr">
        <is>
          <t>Svinrot</t>
        </is>
      </c>
      <c r="S91">
        <f>HYPERLINK("https://klasma.github.io/Logging_0580/artfynd/A 71127-2021 artfynd.xlsx", "A 71127-2021")</f>
        <v/>
      </c>
      <c r="T91">
        <f>HYPERLINK("https://klasma.github.io/Logging_0580/kartor/A 71127-2021 karta.png", "A 71127-2021")</f>
        <v/>
      </c>
      <c r="V91">
        <f>HYPERLINK("https://klasma.github.io/Logging_0580/klagomål/A 71127-2021 FSC-klagomål.docx", "A 71127-2021")</f>
        <v/>
      </c>
      <c r="W91">
        <f>HYPERLINK("https://klasma.github.io/Logging_0580/klagomålsmail/A 71127-2021 FSC-klagomål mail.docx", "A 71127-2021")</f>
        <v/>
      </c>
      <c r="X91">
        <f>HYPERLINK("https://klasma.github.io/Logging_0580/tillsyn/A 71127-2021 tillsynsbegäran.docx", "A 71127-2021")</f>
        <v/>
      </c>
      <c r="Y91">
        <f>HYPERLINK("https://klasma.github.io/Logging_0580/tillsynsmail/A 71127-2021 tillsynsbegäran mail.docx", "A 71127-2021")</f>
        <v/>
      </c>
    </row>
    <row r="92" ht="15" customHeight="1">
      <c r="A92" t="inlineStr">
        <is>
          <t>A 51484-2023</t>
        </is>
      </c>
      <c r="B92" s="1" t="n">
        <v>45222</v>
      </c>
      <c r="C92" s="1" t="n">
        <v>46194</v>
      </c>
      <c r="D92" t="inlineStr">
        <is>
          <t>ÖSTERGÖTLANDS LÄN</t>
        </is>
      </c>
      <c r="E92" t="inlineStr">
        <is>
          <t>LINKÖPING</t>
        </is>
      </c>
      <c r="F92" t="inlineStr">
        <is>
          <t>Övriga Aktiebolag</t>
        </is>
      </c>
      <c r="G92" t="n">
        <v>7.7</v>
      </c>
      <c r="H92" t="n">
        <v>1</v>
      </c>
      <c r="I92" t="n">
        <v>0</v>
      </c>
      <c r="J92" t="n">
        <v>1</v>
      </c>
      <c r="K92" t="n">
        <v>0</v>
      </c>
      <c r="L92" t="n">
        <v>0</v>
      </c>
      <c r="M92" t="n">
        <v>0</v>
      </c>
      <c r="N92" t="n">
        <v>0</v>
      </c>
      <c r="O92" t="n">
        <v>1</v>
      </c>
      <c r="P92" t="n">
        <v>0</v>
      </c>
      <c r="Q92" t="n">
        <v>1</v>
      </c>
      <c r="R92" s="2" t="inlineStr">
        <is>
          <t>Järnsparv</t>
        </is>
      </c>
      <c r="S92">
        <f>HYPERLINK("https://klasma.github.io/Logging_0580/artfynd/A 51484-2023 artfynd.xlsx", "A 51484-2023")</f>
        <v/>
      </c>
      <c r="T92">
        <f>HYPERLINK("https://klasma.github.io/Logging_0580/kartor/A 51484-2023 karta.png", "A 51484-2023")</f>
        <v/>
      </c>
      <c r="V92">
        <f>HYPERLINK("https://klasma.github.io/Logging_0580/klagomål/A 51484-2023 FSC-klagomål.docx", "A 51484-2023")</f>
        <v/>
      </c>
      <c r="W92">
        <f>HYPERLINK("https://klasma.github.io/Logging_0580/klagomålsmail/A 51484-2023 FSC-klagomål mail.docx", "A 51484-2023")</f>
        <v/>
      </c>
      <c r="X92">
        <f>HYPERLINK("https://klasma.github.io/Logging_0580/tillsyn/A 51484-2023 tillsynsbegäran.docx", "A 51484-2023")</f>
        <v/>
      </c>
      <c r="Y92">
        <f>HYPERLINK("https://klasma.github.io/Logging_0580/tillsynsmail/A 51484-2023 tillsynsbegäran mail.docx", "A 51484-2023")</f>
        <v/>
      </c>
      <c r="Z92">
        <f>HYPERLINK("https://klasma.github.io/Logging_0580/fåglar/A 51484-2023 prioriterade fågelarter.docx", "A 51484-2023")</f>
        <v/>
      </c>
    </row>
    <row r="93" ht="15" customHeight="1">
      <c r="A93" t="inlineStr">
        <is>
          <t>A 17157-2024</t>
        </is>
      </c>
      <c r="B93" s="1" t="n">
        <v>45412</v>
      </c>
      <c r="C93" s="1" t="n">
        <v>46194</v>
      </c>
      <c r="D93" t="inlineStr">
        <is>
          <t>ÖSTERGÖTLANDS LÄN</t>
        </is>
      </c>
      <c r="E93" t="inlineStr">
        <is>
          <t>LINKÖPING</t>
        </is>
      </c>
      <c r="G93" t="n">
        <v>0.8</v>
      </c>
      <c r="H93" t="n">
        <v>1</v>
      </c>
      <c r="I93" t="n">
        <v>1</v>
      </c>
      <c r="J93" t="n">
        <v>0</v>
      </c>
      <c r="K93" t="n">
        <v>0</v>
      </c>
      <c r="L93" t="n">
        <v>0</v>
      </c>
      <c r="M93" t="n">
        <v>0</v>
      </c>
      <c r="N93" t="n">
        <v>0</v>
      </c>
      <c r="O93" t="n">
        <v>0</v>
      </c>
      <c r="P93" t="n">
        <v>0</v>
      </c>
      <c r="Q93" t="n">
        <v>1</v>
      </c>
      <c r="R93" s="2" t="inlineStr">
        <is>
          <t>Ekoxe</t>
        </is>
      </c>
      <c r="S93">
        <f>HYPERLINK("https://klasma.github.io/Logging_0580/artfynd/A 17157-2024 artfynd.xlsx", "A 17157-2024")</f>
        <v/>
      </c>
      <c r="T93">
        <f>HYPERLINK("https://klasma.github.io/Logging_0580/kartor/A 17157-2024 karta.png", "A 17157-2024")</f>
        <v/>
      </c>
      <c r="V93">
        <f>HYPERLINK("https://klasma.github.io/Logging_0580/klagomål/A 17157-2024 FSC-klagomål.docx", "A 17157-2024")</f>
        <v/>
      </c>
      <c r="W93">
        <f>HYPERLINK("https://klasma.github.io/Logging_0580/klagomålsmail/A 17157-2024 FSC-klagomål mail.docx", "A 17157-2024")</f>
        <v/>
      </c>
      <c r="X93">
        <f>HYPERLINK("https://klasma.github.io/Logging_0580/tillsyn/A 17157-2024 tillsynsbegäran.docx", "A 17157-2024")</f>
        <v/>
      </c>
      <c r="Y93">
        <f>HYPERLINK("https://klasma.github.io/Logging_0580/tillsynsmail/A 17157-2024 tillsynsbegäran mail.docx", "A 17157-2024")</f>
        <v/>
      </c>
    </row>
    <row r="94" ht="15" customHeight="1">
      <c r="A94" t="inlineStr">
        <is>
          <t>A 3007-2023</t>
        </is>
      </c>
      <c r="B94" s="1" t="n">
        <v>44945</v>
      </c>
      <c r="C94" s="1" t="n">
        <v>46194</v>
      </c>
      <c r="D94" t="inlineStr">
        <is>
          <t>ÖSTERGÖTLANDS LÄN</t>
        </is>
      </c>
      <c r="E94" t="inlineStr">
        <is>
          <t>LINKÖPING</t>
        </is>
      </c>
      <c r="G94" t="n">
        <v>2.6</v>
      </c>
      <c r="H94" t="n">
        <v>0</v>
      </c>
      <c r="I94" t="n">
        <v>0</v>
      </c>
      <c r="J94" t="n">
        <v>1</v>
      </c>
      <c r="K94" t="n">
        <v>0</v>
      </c>
      <c r="L94" t="n">
        <v>0</v>
      </c>
      <c r="M94" t="n">
        <v>0</v>
      </c>
      <c r="N94" t="n">
        <v>0</v>
      </c>
      <c r="O94" t="n">
        <v>1</v>
      </c>
      <c r="P94" t="n">
        <v>0</v>
      </c>
      <c r="Q94" t="n">
        <v>1</v>
      </c>
      <c r="R94" s="2" t="inlineStr">
        <is>
          <t>Sårläka</t>
        </is>
      </c>
      <c r="S94">
        <f>HYPERLINK("https://klasma.github.io/Logging_0580/artfynd/A 3007-2023 artfynd.xlsx", "A 3007-2023")</f>
        <v/>
      </c>
      <c r="T94">
        <f>HYPERLINK("https://klasma.github.io/Logging_0580/kartor/A 3007-2023 karta.png", "A 3007-2023")</f>
        <v/>
      </c>
      <c r="V94">
        <f>HYPERLINK("https://klasma.github.io/Logging_0580/klagomål/A 3007-2023 FSC-klagomål.docx", "A 3007-2023")</f>
        <v/>
      </c>
      <c r="W94">
        <f>HYPERLINK("https://klasma.github.io/Logging_0580/klagomålsmail/A 3007-2023 FSC-klagomål mail.docx", "A 3007-2023")</f>
        <v/>
      </c>
      <c r="X94">
        <f>HYPERLINK("https://klasma.github.io/Logging_0580/tillsyn/A 3007-2023 tillsynsbegäran.docx", "A 3007-2023")</f>
        <v/>
      </c>
      <c r="Y94">
        <f>HYPERLINK("https://klasma.github.io/Logging_0580/tillsynsmail/A 3007-2023 tillsynsbegäran mail.docx", "A 3007-2023")</f>
        <v/>
      </c>
    </row>
    <row r="95" ht="15" customHeight="1">
      <c r="A95" t="inlineStr">
        <is>
          <t>A 1716-2023</t>
        </is>
      </c>
      <c r="B95" s="1" t="n">
        <v>44938</v>
      </c>
      <c r="C95" s="1" t="n">
        <v>46194</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1716-2023 artfynd.xlsx", "A 1716-2023")</f>
        <v/>
      </c>
      <c r="T95">
        <f>HYPERLINK("https://klasma.github.io/Logging_0580/kartor/A 1716-2023 karta.png", "A 1716-2023")</f>
        <v/>
      </c>
      <c r="V95">
        <f>HYPERLINK("https://klasma.github.io/Logging_0580/klagomål/A 1716-2023 FSC-klagomål.docx", "A 1716-2023")</f>
        <v/>
      </c>
      <c r="W95">
        <f>HYPERLINK("https://klasma.github.io/Logging_0580/klagomålsmail/A 1716-2023 FSC-klagomål mail.docx", "A 1716-2023")</f>
        <v/>
      </c>
      <c r="X95">
        <f>HYPERLINK("https://klasma.github.io/Logging_0580/tillsyn/A 1716-2023 tillsynsbegäran.docx", "A 1716-2023")</f>
        <v/>
      </c>
      <c r="Y95">
        <f>HYPERLINK("https://klasma.github.io/Logging_0580/tillsynsmail/A 1716-2023 tillsynsbegäran mail.docx", "A 1716-2023")</f>
        <v/>
      </c>
    </row>
    <row r="96" ht="15" customHeight="1">
      <c r="A96" t="inlineStr">
        <is>
          <t>A 40315-2024</t>
        </is>
      </c>
      <c r="B96" s="1" t="n">
        <v>45554</v>
      </c>
      <c r="C96" s="1" t="n">
        <v>46194</v>
      </c>
      <c r="D96" t="inlineStr">
        <is>
          <t>ÖSTERGÖTLANDS LÄN</t>
        </is>
      </c>
      <c r="E96" t="inlineStr">
        <is>
          <t>LINKÖPING</t>
        </is>
      </c>
      <c r="F96" t="inlineStr">
        <is>
          <t>Allmännings- och besparingsskogar</t>
        </is>
      </c>
      <c r="G96" t="n">
        <v>15.8</v>
      </c>
      <c r="H96" t="n">
        <v>0</v>
      </c>
      <c r="I96" t="n">
        <v>0</v>
      </c>
      <c r="J96" t="n">
        <v>0</v>
      </c>
      <c r="K96" t="n">
        <v>0</v>
      </c>
      <c r="L96" t="n">
        <v>1</v>
      </c>
      <c r="M96" t="n">
        <v>0</v>
      </c>
      <c r="N96" t="n">
        <v>0</v>
      </c>
      <c r="O96" t="n">
        <v>1</v>
      </c>
      <c r="P96" t="n">
        <v>1</v>
      </c>
      <c r="Q96" t="n">
        <v>1</v>
      </c>
      <c r="R96" s="2" t="inlineStr">
        <is>
          <t>Skogsalm</t>
        </is>
      </c>
      <c r="S96">
        <f>HYPERLINK("https://klasma.github.io/Logging_0580/artfynd/A 40315-2024 artfynd.xlsx", "A 40315-2024")</f>
        <v/>
      </c>
      <c r="T96">
        <f>HYPERLINK("https://klasma.github.io/Logging_0580/kartor/A 40315-2024 karta.png", "A 40315-2024")</f>
        <v/>
      </c>
      <c r="V96">
        <f>HYPERLINK("https://klasma.github.io/Logging_0580/klagomål/A 40315-2024 FSC-klagomål.docx", "A 40315-2024")</f>
        <v/>
      </c>
      <c r="W96">
        <f>HYPERLINK("https://klasma.github.io/Logging_0580/klagomålsmail/A 40315-2024 FSC-klagomål mail.docx", "A 40315-2024")</f>
        <v/>
      </c>
      <c r="X96">
        <f>HYPERLINK("https://klasma.github.io/Logging_0580/tillsyn/A 40315-2024 tillsynsbegäran.docx", "A 40315-2024")</f>
        <v/>
      </c>
      <c r="Y96">
        <f>HYPERLINK("https://klasma.github.io/Logging_0580/tillsynsmail/A 40315-2024 tillsynsbegäran mail.docx", "A 40315-2024")</f>
        <v/>
      </c>
    </row>
    <row r="97" ht="15" customHeight="1">
      <c r="A97" t="inlineStr">
        <is>
          <t>A 24586-2024</t>
        </is>
      </c>
      <c r="B97" s="1" t="n">
        <v>45460</v>
      </c>
      <c r="C97" s="1" t="n">
        <v>46194</v>
      </c>
      <c r="D97" t="inlineStr">
        <is>
          <t>ÖSTERGÖTLANDS LÄN</t>
        </is>
      </c>
      <c r="E97" t="inlineStr">
        <is>
          <t>LINKÖPING</t>
        </is>
      </c>
      <c r="G97" t="n">
        <v>4</v>
      </c>
      <c r="H97" t="n">
        <v>0</v>
      </c>
      <c r="I97" t="n">
        <v>0</v>
      </c>
      <c r="J97" t="n">
        <v>1</v>
      </c>
      <c r="K97" t="n">
        <v>0</v>
      </c>
      <c r="L97" t="n">
        <v>0</v>
      </c>
      <c r="M97" t="n">
        <v>0</v>
      </c>
      <c r="N97" t="n">
        <v>0</v>
      </c>
      <c r="O97" t="n">
        <v>1</v>
      </c>
      <c r="P97" t="n">
        <v>0</v>
      </c>
      <c r="Q97" t="n">
        <v>1</v>
      </c>
      <c r="R97" s="2" t="inlineStr">
        <is>
          <t>Reliktbock</t>
        </is>
      </c>
      <c r="S97">
        <f>HYPERLINK("https://klasma.github.io/Logging_0580/artfynd/A 24586-2024 artfynd.xlsx", "A 24586-2024")</f>
        <v/>
      </c>
      <c r="T97">
        <f>HYPERLINK("https://klasma.github.io/Logging_0580/kartor/A 24586-2024 karta.png", "A 24586-2024")</f>
        <v/>
      </c>
      <c r="V97">
        <f>HYPERLINK("https://klasma.github.io/Logging_0580/klagomål/A 24586-2024 FSC-klagomål.docx", "A 24586-2024")</f>
        <v/>
      </c>
      <c r="W97">
        <f>HYPERLINK("https://klasma.github.io/Logging_0580/klagomålsmail/A 24586-2024 FSC-klagomål mail.docx", "A 24586-2024")</f>
        <v/>
      </c>
      <c r="X97">
        <f>HYPERLINK("https://klasma.github.io/Logging_0580/tillsyn/A 24586-2024 tillsynsbegäran.docx", "A 24586-2024")</f>
        <v/>
      </c>
      <c r="Y97">
        <f>HYPERLINK("https://klasma.github.io/Logging_0580/tillsynsmail/A 24586-2024 tillsynsbegäran mail.docx", "A 24586-2024")</f>
        <v/>
      </c>
    </row>
    <row r="98" ht="15" customHeight="1">
      <c r="A98" t="inlineStr">
        <is>
          <t>A 931-2025</t>
        </is>
      </c>
      <c r="B98" s="1" t="n">
        <v>45665</v>
      </c>
      <c r="C98" s="1" t="n">
        <v>46194</v>
      </c>
      <c r="D98" t="inlineStr">
        <is>
          <t>ÖSTERGÖTLANDS LÄN</t>
        </is>
      </c>
      <c r="E98" t="inlineStr">
        <is>
          <t>LINKÖPING</t>
        </is>
      </c>
      <c r="F98" t="inlineStr">
        <is>
          <t>Övriga Aktiebolag</t>
        </is>
      </c>
      <c r="G98" t="n">
        <v>0.8</v>
      </c>
      <c r="H98" t="n">
        <v>0</v>
      </c>
      <c r="I98" t="n">
        <v>0</v>
      </c>
      <c r="J98" t="n">
        <v>1</v>
      </c>
      <c r="K98" t="n">
        <v>0</v>
      </c>
      <c r="L98" t="n">
        <v>0</v>
      </c>
      <c r="M98" t="n">
        <v>0</v>
      </c>
      <c r="N98" t="n">
        <v>0</v>
      </c>
      <c r="O98" t="n">
        <v>1</v>
      </c>
      <c r="P98" t="n">
        <v>0</v>
      </c>
      <c r="Q98" t="n">
        <v>1</v>
      </c>
      <c r="R98" s="2" t="inlineStr">
        <is>
          <t>Tallticka</t>
        </is>
      </c>
      <c r="S98">
        <f>HYPERLINK("https://klasma.github.io/Logging_0580/artfynd/A 931-2025 artfynd.xlsx", "A 931-2025")</f>
        <v/>
      </c>
      <c r="T98">
        <f>HYPERLINK("https://klasma.github.io/Logging_0580/kartor/A 931-2025 karta.png", "A 931-2025")</f>
        <v/>
      </c>
      <c r="V98">
        <f>HYPERLINK("https://klasma.github.io/Logging_0580/klagomål/A 931-2025 FSC-klagomål.docx", "A 931-2025")</f>
        <v/>
      </c>
      <c r="W98">
        <f>HYPERLINK("https://klasma.github.io/Logging_0580/klagomålsmail/A 931-2025 FSC-klagomål mail.docx", "A 931-2025")</f>
        <v/>
      </c>
      <c r="X98">
        <f>HYPERLINK("https://klasma.github.io/Logging_0580/tillsyn/A 931-2025 tillsynsbegäran.docx", "A 931-2025")</f>
        <v/>
      </c>
      <c r="Y98">
        <f>HYPERLINK("https://klasma.github.io/Logging_0580/tillsynsmail/A 931-2025 tillsynsbegäran mail.docx", "A 931-2025")</f>
        <v/>
      </c>
    </row>
    <row r="99" ht="15" customHeight="1">
      <c r="A99" t="inlineStr">
        <is>
          <t>A 1924-2024</t>
        </is>
      </c>
      <c r="B99" s="1" t="n">
        <v>45308</v>
      </c>
      <c r="C99" s="1" t="n">
        <v>46194</v>
      </c>
      <c r="D99" t="inlineStr">
        <is>
          <t>ÖSTERGÖTLANDS LÄN</t>
        </is>
      </c>
      <c r="E99" t="inlineStr">
        <is>
          <t>LINKÖPING</t>
        </is>
      </c>
      <c r="F99" t="inlineStr">
        <is>
          <t>Övriga Aktiebolag</t>
        </is>
      </c>
      <c r="G99" t="n">
        <v>0.5</v>
      </c>
      <c r="H99" t="n">
        <v>0</v>
      </c>
      <c r="I99" t="n">
        <v>1</v>
      </c>
      <c r="J99" t="n">
        <v>0</v>
      </c>
      <c r="K99" t="n">
        <v>0</v>
      </c>
      <c r="L99" t="n">
        <v>0</v>
      </c>
      <c r="M99" t="n">
        <v>0</v>
      </c>
      <c r="N99" t="n">
        <v>0</v>
      </c>
      <c r="O99" t="n">
        <v>0</v>
      </c>
      <c r="P99" t="n">
        <v>0</v>
      </c>
      <c r="Q99" t="n">
        <v>1</v>
      </c>
      <c r="R99" s="2" t="inlineStr">
        <is>
          <t>Svart trolldruva</t>
        </is>
      </c>
      <c r="S99">
        <f>HYPERLINK("https://klasma.github.io/Logging_0580/artfynd/A 1924-2024 artfynd.xlsx", "A 1924-2024")</f>
        <v/>
      </c>
      <c r="T99">
        <f>HYPERLINK("https://klasma.github.io/Logging_0580/kartor/A 1924-2024 karta.png", "A 1924-2024")</f>
        <v/>
      </c>
      <c r="V99">
        <f>HYPERLINK("https://klasma.github.io/Logging_0580/klagomål/A 1924-2024 FSC-klagomål.docx", "A 1924-2024")</f>
        <v/>
      </c>
      <c r="W99">
        <f>HYPERLINK("https://klasma.github.io/Logging_0580/klagomålsmail/A 1924-2024 FSC-klagomål mail.docx", "A 1924-2024")</f>
        <v/>
      </c>
      <c r="X99">
        <f>HYPERLINK("https://klasma.github.io/Logging_0580/tillsyn/A 1924-2024 tillsynsbegäran.docx", "A 1924-2024")</f>
        <v/>
      </c>
      <c r="Y99">
        <f>HYPERLINK("https://klasma.github.io/Logging_0580/tillsynsmail/A 1924-2024 tillsynsbegäran mail.docx", "A 1924-2024")</f>
        <v/>
      </c>
    </row>
    <row r="100" ht="15" customHeight="1">
      <c r="A100" t="inlineStr">
        <is>
          <t>A 3627-2023</t>
        </is>
      </c>
      <c r="B100" s="1" t="n">
        <v>44950</v>
      </c>
      <c r="C100" s="1" t="n">
        <v>46194</v>
      </c>
      <c r="D100" t="inlineStr">
        <is>
          <t>ÖSTERGÖTLANDS LÄN</t>
        </is>
      </c>
      <c r="E100" t="inlineStr">
        <is>
          <t>LINKÖPING</t>
        </is>
      </c>
      <c r="G100" t="n">
        <v>3.1</v>
      </c>
      <c r="H100" t="n">
        <v>0</v>
      </c>
      <c r="I100" t="n">
        <v>0</v>
      </c>
      <c r="J100" t="n">
        <v>1</v>
      </c>
      <c r="K100" t="n">
        <v>0</v>
      </c>
      <c r="L100" t="n">
        <v>0</v>
      </c>
      <c r="M100" t="n">
        <v>0</v>
      </c>
      <c r="N100" t="n">
        <v>0</v>
      </c>
      <c r="O100" t="n">
        <v>1</v>
      </c>
      <c r="P100" t="n">
        <v>0</v>
      </c>
      <c r="Q100" t="n">
        <v>1</v>
      </c>
      <c r="R100" s="2" t="inlineStr">
        <is>
          <t>Svinrot</t>
        </is>
      </c>
      <c r="S100">
        <f>HYPERLINK("https://klasma.github.io/Logging_0580/artfynd/A 3627-2023 artfynd.xlsx", "A 3627-2023")</f>
        <v/>
      </c>
      <c r="T100">
        <f>HYPERLINK("https://klasma.github.io/Logging_0580/kartor/A 3627-2023 karta.png", "A 3627-2023")</f>
        <v/>
      </c>
      <c r="V100">
        <f>HYPERLINK("https://klasma.github.io/Logging_0580/klagomål/A 3627-2023 FSC-klagomål.docx", "A 3627-2023")</f>
        <v/>
      </c>
      <c r="W100">
        <f>HYPERLINK("https://klasma.github.io/Logging_0580/klagomålsmail/A 3627-2023 FSC-klagomål mail.docx", "A 3627-2023")</f>
        <v/>
      </c>
      <c r="X100">
        <f>HYPERLINK("https://klasma.github.io/Logging_0580/tillsyn/A 3627-2023 tillsynsbegäran.docx", "A 3627-2023")</f>
        <v/>
      </c>
      <c r="Y100">
        <f>HYPERLINK("https://klasma.github.io/Logging_0580/tillsynsmail/A 3627-2023 tillsynsbegäran mail.docx", "A 3627-2023")</f>
        <v/>
      </c>
    </row>
    <row r="101" ht="15" customHeight="1">
      <c r="A101" t="inlineStr">
        <is>
          <t>A 3397-2023</t>
        </is>
      </c>
      <c r="B101" s="1" t="n">
        <v>44949</v>
      </c>
      <c r="C101" s="1" t="n">
        <v>46194</v>
      </c>
      <c r="D101" t="inlineStr">
        <is>
          <t>ÖSTERGÖTLANDS LÄN</t>
        </is>
      </c>
      <c r="E101" t="inlineStr">
        <is>
          <t>LINKÖPING</t>
        </is>
      </c>
      <c r="G101" t="n">
        <v>4.1</v>
      </c>
      <c r="H101" t="n">
        <v>0</v>
      </c>
      <c r="I101" t="n">
        <v>0</v>
      </c>
      <c r="J101" t="n">
        <v>1</v>
      </c>
      <c r="K101" t="n">
        <v>0</v>
      </c>
      <c r="L101" t="n">
        <v>0</v>
      </c>
      <c r="M101" t="n">
        <v>0</v>
      </c>
      <c r="N101" t="n">
        <v>0</v>
      </c>
      <c r="O101" t="n">
        <v>1</v>
      </c>
      <c r="P101" t="n">
        <v>0</v>
      </c>
      <c r="Q101" t="n">
        <v>1</v>
      </c>
      <c r="R101" s="2" t="inlineStr">
        <is>
          <t>Svinrot</t>
        </is>
      </c>
      <c r="S101">
        <f>HYPERLINK("https://klasma.github.io/Logging_0580/artfynd/A 3397-2023 artfynd.xlsx", "A 3397-2023")</f>
        <v/>
      </c>
      <c r="T101">
        <f>HYPERLINK("https://klasma.github.io/Logging_0580/kartor/A 3397-2023 karta.png", "A 3397-2023")</f>
        <v/>
      </c>
      <c r="V101">
        <f>HYPERLINK("https://klasma.github.io/Logging_0580/klagomål/A 3397-2023 FSC-klagomål.docx", "A 3397-2023")</f>
        <v/>
      </c>
      <c r="W101">
        <f>HYPERLINK("https://klasma.github.io/Logging_0580/klagomålsmail/A 3397-2023 FSC-klagomål mail.docx", "A 3397-2023")</f>
        <v/>
      </c>
      <c r="X101">
        <f>HYPERLINK("https://klasma.github.io/Logging_0580/tillsyn/A 3397-2023 tillsynsbegäran.docx", "A 3397-2023")</f>
        <v/>
      </c>
      <c r="Y101">
        <f>HYPERLINK("https://klasma.github.io/Logging_0580/tillsynsmail/A 3397-2023 tillsynsbegäran mail.docx", "A 3397-2023")</f>
        <v/>
      </c>
    </row>
    <row r="102" ht="15" customHeight="1">
      <c r="A102" t="inlineStr">
        <is>
          <t>A 21782-2024</t>
        </is>
      </c>
      <c r="B102" s="1" t="n">
        <v>45442</v>
      </c>
      <c r="C102" s="1" t="n">
        <v>46194</v>
      </c>
      <c r="D102" t="inlineStr">
        <is>
          <t>ÖSTERGÖTLANDS LÄN</t>
        </is>
      </c>
      <c r="E102" t="inlineStr">
        <is>
          <t>LINKÖPING</t>
        </is>
      </c>
      <c r="G102" t="n">
        <v>1.4</v>
      </c>
      <c r="H102" t="n">
        <v>1</v>
      </c>
      <c r="I102" t="n">
        <v>0</v>
      </c>
      <c r="J102" t="n">
        <v>0</v>
      </c>
      <c r="K102" t="n">
        <v>0</v>
      </c>
      <c r="L102" t="n">
        <v>0</v>
      </c>
      <c r="M102" t="n">
        <v>0</v>
      </c>
      <c r="N102" t="n">
        <v>0</v>
      </c>
      <c r="O102" t="n">
        <v>0</v>
      </c>
      <c r="P102" t="n">
        <v>0</v>
      </c>
      <c r="Q102" t="n">
        <v>1</v>
      </c>
      <c r="R102" s="2" t="inlineStr">
        <is>
          <t>Fjällvråk</t>
        </is>
      </c>
      <c r="S102">
        <f>HYPERLINK("https://klasma.github.io/Logging_0580/artfynd/A 21782-2024 artfynd.xlsx", "A 21782-2024")</f>
        <v/>
      </c>
      <c r="T102">
        <f>HYPERLINK("https://klasma.github.io/Logging_0580/kartor/A 21782-2024 karta.png", "A 21782-2024")</f>
        <v/>
      </c>
      <c r="V102">
        <f>HYPERLINK("https://klasma.github.io/Logging_0580/klagomål/A 21782-2024 FSC-klagomål.docx", "A 21782-2024")</f>
        <v/>
      </c>
      <c r="W102">
        <f>HYPERLINK("https://klasma.github.io/Logging_0580/klagomålsmail/A 21782-2024 FSC-klagomål mail.docx", "A 21782-2024")</f>
        <v/>
      </c>
      <c r="X102">
        <f>HYPERLINK("https://klasma.github.io/Logging_0580/tillsyn/A 21782-2024 tillsynsbegäran.docx", "A 21782-2024")</f>
        <v/>
      </c>
      <c r="Y102">
        <f>HYPERLINK("https://klasma.github.io/Logging_0580/tillsynsmail/A 21782-2024 tillsynsbegäran mail.docx", "A 21782-2024")</f>
        <v/>
      </c>
      <c r="Z102">
        <f>HYPERLINK("https://klasma.github.io/Logging_0580/fåglar/A 21782-2024 prioriterade fågelarter.docx", "A 21782-2024")</f>
        <v/>
      </c>
    </row>
    <row r="103" ht="15" customHeight="1">
      <c r="A103" t="inlineStr">
        <is>
          <t>A 60573-2021</t>
        </is>
      </c>
      <c r="B103" s="1" t="n">
        <v>44496</v>
      </c>
      <c r="C103" s="1" t="n">
        <v>46194</v>
      </c>
      <c r="D103" t="inlineStr">
        <is>
          <t>ÖSTERGÖTLANDS LÄN</t>
        </is>
      </c>
      <c r="E103" t="inlineStr">
        <is>
          <t>LINKÖPING</t>
        </is>
      </c>
      <c r="F103" t="inlineStr">
        <is>
          <t>Övriga Aktiebolag</t>
        </is>
      </c>
      <c r="G103" t="n">
        <v>5.6</v>
      </c>
      <c r="H103" t="n">
        <v>0</v>
      </c>
      <c r="I103" t="n">
        <v>0</v>
      </c>
      <c r="J103" t="n">
        <v>1</v>
      </c>
      <c r="K103" t="n">
        <v>0</v>
      </c>
      <c r="L103" t="n">
        <v>0</v>
      </c>
      <c r="M103" t="n">
        <v>0</v>
      </c>
      <c r="N103" t="n">
        <v>0</v>
      </c>
      <c r="O103" t="n">
        <v>1</v>
      </c>
      <c r="P103" t="n">
        <v>0</v>
      </c>
      <c r="Q103" t="n">
        <v>1</v>
      </c>
      <c r="R103" s="2" t="inlineStr">
        <is>
          <t>Sommarfibbla</t>
        </is>
      </c>
      <c r="S103">
        <f>HYPERLINK("https://klasma.github.io/Logging_0580/artfynd/A 60573-2021 artfynd.xlsx", "A 60573-2021")</f>
        <v/>
      </c>
      <c r="T103">
        <f>HYPERLINK("https://klasma.github.io/Logging_0580/kartor/A 60573-2021 karta.png", "A 60573-2021")</f>
        <v/>
      </c>
      <c r="V103">
        <f>HYPERLINK("https://klasma.github.io/Logging_0580/klagomål/A 60573-2021 FSC-klagomål.docx", "A 60573-2021")</f>
        <v/>
      </c>
      <c r="W103">
        <f>HYPERLINK("https://klasma.github.io/Logging_0580/klagomålsmail/A 60573-2021 FSC-klagomål mail.docx", "A 60573-2021")</f>
        <v/>
      </c>
      <c r="X103">
        <f>HYPERLINK("https://klasma.github.io/Logging_0580/tillsyn/A 60573-2021 tillsynsbegäran.docx", "A 60573-2021")</f>
        <v/>
      </c>
      <c r="Y103">
        <f>HYPERLINK("https://klasma.github.io/Logging_0580/tillsynsmail/A 60573-2021 tillsynsbegäran mail.docx", "A 60573-2021")</f>
        <v/>
      </c>
    </row>
    <row r="104" ht="15" customHeight="1">
      <c r="A104" t="inlineStr">
        <is>
          <t>A 167-2024</t>
        </is>
      </c>
      <c r="B104" s="1" t="n">
        <v>45294</v>
      </c>
      <c r="C104" s="1" t="n">
        <v>46194</v>
      </c>
      <c r="D104" t="inlineStr">
        <is>
          <t>ÖSTERGÖTLANDS LÄN</t>
        </is>
      </c>
      <c r="E104" t="inlineStr">
        <is>
          <t>LINKÖPING</t>
        </is>
      </c>
      <c r="F104" t="inlineStr">
        <is>
          <t>Allmännings- och besparingsskogar</t>
        </is>
      </c>
      <c r="G104" t="n">
        <v>11.6</v>
      </c>
      <c r="H104" t="n">
        <v>0</v>
      </c>
      <c r="I104" t="n">
        <v>0</v>
      </c>
      <c r="J104" t="n">
        <v>0</v>
      </c>
      <c r="K104" t="n">
        <v>1</v>
      </c>
      <c r="L104" t="n">
        <v>0</v>
      </c>
      <c r="M104" t="n">
        <v>0</v>
      </c>
      <c r="N104" t="n">
        <v>0</v>
      </c>
      <c r="O104" t="n">
        <v>1</v>
      </c>
      <c r="P104" t="n">
        <v>1</v>
      </c>
      <c r="Q104" t="n">
        <v>1</v>
      </c>
      <c r="R104" s="2" t="inlineStr">
        <is>
          <t>Silverblåvinge</t>
        </is>
      </c>
      <c r="S104">
        <f>HYPERLINK("https://klasma.github.io/Logging_0580/artfynd/A 167-2024 artfynd.xlsx", "A 167-2024")</f>
        <v/>
      </c>
      <c r="T104">
        <f>HYPERLINK("https://klasma.github.io/Logging_0580/kartor/A 167-2024 karta.png", "A 167-2024")</f>
        <v/>
      </c>
      <c r="V104">
        <f>HYPERLINK("https://klasma.github.io/Logging_0580/klagomål/A 167-2024 FSC-klagomål.docx", "A 167-2024")</f>
        <v/>
      </c>
      <c r="W104">
        <f>HYPERLINK("https://klasma.github.io/Logging_0580/klagomålsmail/A 167-2024 FSC-klagomål mail.docx", "A 167-2024")</f>
        <v/>
      </c>
      <c r="X104">
        <f>HYPERLINK("https://klasma.github.io/Logging_0580/tillsyn/A 167-2024 tillsynsbegäran.docx", "A 167-2024")</f>
        <v/>
      </c>
      <c r="Y104">
        <f>HYPERLINK("https://klasma.github.io/Logging_0580/tillsynsmail/A 167-2024 tillsynsbegäran mail.docx", "A 167-2024")</f>
        <v/>
      </c>
    </row>
    <row r="105" ht="15" customHeight="1">
      <c r="A105" t="inlineStr">
        <is>
          <t>A 34864-2023</t>
        </is>
      </c>
      <c r="B105" s="1" t="n">
        <v>45141</v>
      </c>
      <c r="C105" s="1" t="n">
        <v>46194</v>
      </c>
      <c r="D105" t="inlineStr">
        <is>
          <t>ÖSTERGÖTLANDS LÄN</t>
        </is>
      </c>
      <c r="E105" t="inlineStr">
        <is>
          <t>LINKÖPING</t>
        </is>
      </c>
      <c r="G105" t="n">
        <v>3.3</v>
      </c>
      <c r="H105" t="n">
        <v>0</v>
      </c>
      <c r="I105" t="n">
        <v>0</v>
      </c>
      <c r="J105" t="n">
        <v>1</v>
      </c>
      <c r="K105" t="n">
        <v>0</v>
      </c>
      <c r="L105" t="n">
        <v>0</v>
      </c>
      <c r="M105" t="n">
        <v>0</v>
      </c>
      <c r="N105" t="n">
        <v>0</v>
      </c>
      <c r="O105" t="n">
        <v>1</v>
      </c>
      <c r="P105" t="n">
        <v>0</v>
      </c>
      <c r="Q105" t="n">
        <v>1</v>
      </c>
      <c r="R105" s="2" t="inlineStr">
        <is>
          <t>Svinrot</t>
        </is>
      </c>
      <c r="S105">
        <f>HYPERLINK("https://klasma.github.io/Logging_0580/artfynd/A 34864-2023 artfynd.xlsx", "A 34864-2023")</f>
        <v/>
      </c>
      <c r="T105">
        <f>HYPERLINK("https://klasma.github.io/Logging_0580/kartor/A 34864-2023 karta.png", "A 34864-2023")</f>
        <v/>
      </c>
      <c r="V105">
        <f>HYPERLINK("https://klasma.github.io/Logging_0580/klagomål/A 34864-2023 FSC-klagomål.docx", "A 34864-2023")</f>
        <v/>
      </c>
      <c r="W105">
        <f>HYPERLINK("https://klasma.github.io/Logging_0580/klagomålsmail/A 34864-2023 FSC-klagomål mail.docx", "A 34864-2023")</f>
        <v/>
      </c>
      <c r="X105">
        <f>HYPERLINK("https://klasma.github.io/Logging_0580/tillsyn/A 34864-2023 tillsynsbegäran.docx", "A 34864-2023")</f>
        <v/>
      </c>
      <c r="Y105">
        <f>HYPERLINK("https://klasma.github.io/Logging_0580/tillsynsmail/A 34864-2023 tillsynsbegäran mail.docx", "A 34864-2023")</f>
        <v/>
      </c>
    </row>
    <row r="106" ht="15" customHeight="1">
      <c r="A106" t="inlineStr">
        <is>
          <t>A 1084-2023</t>
        </is>
      </c>
      <c r="B106" s="1" t="n">
        <v>44929</v>
      </c>
      <c r="C106" s="1" t="n">
        <v>46194</v>
      </c>
      <c r="D106" t="inlineStr">
        <is>
          <t>ÖSTERGÖTLANDS LÄN</t>
        </is>
      </c>
      <c r="E106" t="inlineStr">
        <is>
          <t>LINKÖPING</t>
        </is>
      </c>
      <c r="G106" t="n">
        <v>10.4</v>
      </c>
      <c r="H106" t="n">
        <v>0</v>
      </c>
      <c r="I106" t="n">
        <v>1</v>
      </c>
      <c r="J106" t="n">
        <v>0</v>
      </c>
      <c r="K106" t="n">
        <v>0</v>
      </c>
      <c r="L106" t="n">
        <v>0</v>
      </c>
      <c r="M106" t="n">
        <v>0</v>
      </c>
      <c r="N106" t="n">
        <v>0</v>
      </c>
      <c r="O106" t="n">
        <v>0</v>
      </c>
      <c r="P106" t="n">
        <v>0</v>
      </c>
      <c r="Q106" t="n">
        <v>1</v>
      </c>
      <c r="R106" s="2" t="inlineStr">
        <is>
          <t>Grovticka</t>
        </is>
      </c>
      <c r="S106">
        <f>HYPERLINK("https://klasma.github.io/Logging_0580/artfynd/A 1084-2023 artfynd.xlsx", "A 1084-2023")</f>
        <v/>
      </c>
      <c r="T106">
        <f>HYPERLINK("https://klasma.github.io/Logging_0580/kartor/A 1084-2023 karta.png", "A 1084-2023")</f>
        <v/>
      </c>
      <c r="V106">
        <f>HYPERLINK("https://klasma.github.io/Logging_0580/klagomål/A 1084-2023 FSC-klagomål.docx", "A 1084-2023")</f>
        <v/>
      </c>
      <c r="W106">
        <f>HYPERLINK("https://klasma.github.io/Logging_0580/klagomålsmail/A 1084-2023 FSC-klagomål mail.docx", "A 1084-2023")</f>
        <v/>
      </c>
      <c r="X106">
        <f>HYPERLINK("https://klasma.github.io/Logging_0580/tillsyn/A 1084-2023 tillsynsbegäran.docx", "A 1084-2023")</f>
        <v/>
      </c>
      <c r="Y106">
        <f>HYPERLINK("https://klasma.github.io/Logging_0580/tillsynsmail/A 1084-2023 tillsynsbegäran mail.docx", "A 1084-2023")</f>
        <v/>
      </c>
    </row>
    <row r="107" ht="15" customHeight="1">
      <c r="A107" t="inlineStr">
        <is>
          <t>A 30985-2022</t>
        </is>
      </c>
      <c r="B107" s="1" t="n">
        <v>44768</v>
      </c>
      <c r="C107" s="1" t="n">
        <v>46194</v>
      </c>
      <c r="D107" t="inlineStr">
        <is>
          <t>ÖSTERGÖTLANDS LÄN</t>
        </is>
      </c>
      <c r="E107" t="inlineStr">
        <is>
          <t>LINKÖPING</t>
        </is>
      </c>
      <c r="G107" t="n">
        <v>1.1</v>
      </c>
      <c r="H107" t="n">
        <v>1</v>
      </c>
      <c r="I107" t="n">
        <v>0</v>
      </c>
      <c r="J107" t="n">
        <v>0</v>
      </c>
      <c r="K107" t="n">
        <v>0</v>
      </c>
      <c r="L107" t="n">
        <v>0</v>
      </c>
      <c r="M107" t="n">
        <v>0</v>
      </c>
      <c r="N107" t="n">
        <v>0</v>
      </c>
      <c r="O107" t="n">
        <v>0</v>
      </c>
      <c r="P107" t="n">
        <v>0</v>
      </c>
      <c r="Q107" t="n">
        <v>1</v>
      </c>
      <c r="R107" s="2" t="inlineStr">
        <is>
          <t>Vanliga ängsnycklar</t>
        </is>
      </c>
      <c r="S107">
        <f>HYPERLINK("https://klasma.github.io/Logging_0580/artfynd/A 30985-2022 artfynd.xlsx", "A 30985-2022")</f>
        <v/>
      </c>
      <c r="T107">
        <f>HYPERLINK("https://klasma.github.io/Logging_0580/kartor/A 30985-2022 karta.png", "A 30985-2022")</f>
        <v/>
      </c>
      <c r="V107">
        <f>HYPERLINK("https://klasma.github.io/Logging_0580/klagomål/A 30985-2022 FSC-klagomål.docx", "A 30985-2022")</f>
        <v/>
      </c>
      <c r="W107">
        <f>HYPERLINK("https://klasma.github.io/Logging_0580/klagomålsmail/A 30985-2022 FSC-klagomål mail.docx", "A 30985-2022")</f>
        <v/>
      </c>
      <c r="X107">
        <f>HYPERLINK("https://klasma.github.io/Logging_0580/tillsyn/A 30985-2022 tillsynsbegäran.docx", "A 30985-2022")</f>
        <v/>
      </c>
      <c r="Y107">
        <f>HYPERLINK("https://klasma.github.io/Logging_0580/tillsynsmail/A 30985-2022 tillsynsbegäran mail.docx", "A 30985-2022")</f>
        <v/>
      </c>
    </row>
    <row r="108" ht="15" customHeight="1">
      <c r="A108" t="inlineStr">
        <is>
          <t>A 25568-2024</t>
        </is>
      </c>
      <c r="B108" s="1" t="n">
        <v>45463</v>
      </c>
      <c r="C108" s="1" t="n">
        <v>46194</v>
      </c>
      <c r="D108" t="inlineStr">
        <is>
          <t>ÖSTERGÖTLANDS LÄN</t>
        </is>
      </c>
      <c r="E108" t="inlineStr">
        <is>
          <t>LINKÖPING</t>
        </is>
      </c>
      <c r="G108" t="n">
        <v>1.8</v>
      </c>
      <c r="H108" t="n">
        <v>1</v>
      </c>
      <c r="I108" t="n">
        <v>0</v>
      </c>
      <c r="J108" t="n">
        <v>0</v>
      </c>
      <c r="K108" t="n">
        <v>0</v>
      </c>
      <c r="L108" t="n">
        <v>0</v>
      </c>
      <c r="M108" t="n">
        <v>0</v>
      </c>
      <c r="N108" t="n">
        <v>0</v>
      </c>
      <c r="O108" t="n">
        <v>0</v>
      </c>
      <c r="P108" t="n">
        <v>0</v>
      </c>
      <c r="Q108" t="n">
        <v>1</v>
      </c>
      <c r="R108" s="2" t="inlineStr">
        <is>
          <t>Gröngöling</t>
        </is>
      </c>
      <c r="S108">
        <f>HYPERLINK("https://klasma.github.io/Logging_0580/artfynd/A 25568-2024 artfynd.xlsx", "A 25568-2024")</f>
        <v/>
      </c>
      <c r="T108">
        <f>HYPERLINK("https://klasma.github.io/Logging_0580/kartor/A 25568-2024 karta.png", "A 25568-2024")</f>
        <v/>
      </c>
      <c r="V108">
        <f>HYPERLINK("https://klasma.github.io/Logging_0580/klagomål/A 25568-2024 FSC-klagomål.docx", "A 25568-2024")</f>
        <v/>
      </c>
      <c r="W108">
        <f>HYPERLINK("https://klasma.github.io/Logging_0580/klagomålsmail/A 25568-2024 FSC-klagomål mail.docx", "A 25568-2024")</f>
        <v/>
      </c>
      <c r="X108">
        <f>HYPERLINK("https://klasma.github.io/Logging_0580/tillsyn/A 25568-2024 tillsynsbegäran.docx", "A 25568-2024")</f>
        <v/>
      </c>
      <c r="Y108">
        <f>HYPERLINK("https://klasma.github.io/Logging_0580/tillsynsmail/A 25568-2024 tillsynsbegäran mail.docx", "A 25568-2024")</f>
        <v/>
      </c>
      <c r="Z108">
        <f>HYPERLINK("https://klasma.github.io/Logging_0580/fåglar/A 25568-2024 prioriterade fågelarter.docx", "A 25568-2024")</f>
        <v/>
      </c>
    </row>
    <row r="109" ht="15" customHeight="1">
      <c r="A109" t="inlineStr">
        <is>
          <t>A 51571-2024</t>
        </is>
      </c>
      <c r="B109" s="1" t="n">
        <v>45604</v>
      </c>
      <c r="C109" s="1" t="n">
        <v>46194</v>
      </c>
      <c r="D109" t="inlineStr">
        <is>
          <t>ÖSTERGÖTLANDS LÄN</t>
        </is>
      </c>
      <c r="E109" t="inlineStr">
        <is>
          <t>LINKÖPING</t>
        </is>
      </c>
      <c r="F109" t="inlineStr">
        <is>
          <t>Övriga Aktiebolag</t>
        </is>
      </c>
      <c r="G109" t="n">
        <v>1.4</v>
      </c>
      <c r="H109" t="n">
        <v>0</v>
      </c>
      <c r="I109" t="n">
        <v>0</v>
      </c>
      <c r="J109" t="n">
        <v>1</v>
      </c>
      <c r="K109" t="n">
        <v>0</v>
      </c>
      <c r="L109" t="n">
        <v>0</v>
      </c>
      <c r="M109" t="n">
        <v>0</v>
      </c>
      <c r="N109" t="n">
        <v>0</v>
      </c>
      <c r="O109" t="n">
        <v>1</v>
      </c>
      <c r="P109" t="n">
        <v>0</v>
      </c>
      <c r="Q109" t="n">
        <v>1</v>
      </c>
      <c r="R109" s="2" t="inlineStr">
        <is>
          <t>Ekticka</t>
        </is>
      </c>
      <c r="S109">
        <f>HYPERLINK("https://klasma.github.io/Logging_0580/artfynd/A 51571-2024 artfynd.xlsx", "A 51571-2024")</f>
        <v/>
      </c>
      <c r="T109">
        <f>HYPERLINK("https://klasma.github.io/Logging_0580/kartor/A 51571-2024 karta.png", "A 51571-2024")</f>
        <v/>
      </c>
      <c r="V109">
        <f>HYPERLINK("https://klasma.github.io/Logging_0580/klagomål/A 51571-2024 FSC-klagomål.docx", "A 51571-2024")</f>
        <v/>
      </c>
      <c r="W109">
        <f>HYPERLINK("https://klasma.github.io/Logging_0580/klagomålsmail/A 51571-2024 FSC-klagomål mail.docx", "A 51571-2024")</f>
        <v/>
      </c>
      <c r="X109">
        <f>HYPERLINK("https://klasma.github.io/Logging_0580/tillsyn/A 51571-2024 tillsynsbegäran.docx", "A 51571-2024")</f>
        <v/>
      </c>
      <c r="Y109">
        <f>HYPERLINK("https://klasma.github.io/Logging_0580/tillsynsmail/A 51571-2024 tillsynsbegäran mail.docx", "A 51571-2024")</f>
        <v/>
      </c>
    </row>
    <row r="110" ht="15" customHeight="1">
      <c r="A110" t="inlineStr">
        <is>
          <t>A 43989-2025</t>
        </is>
      </c>
      <c r="B110" s="1" t="n">
        <v>45915</v>
      </c>
      <c r="C110" s="1" t="n">
        <v>46194</v>
      </c>
      <c r="D110" t="inlineStr">
        <is>
          <t>ÖSTERGÖTLANDS LÄN</t>
        </is>
      </c>
      <c r="E110" t="inlineStr">
        <is>
          <t>LINKÖPING</t>
        </is>
      </c>
      <c r="F110" t="inlineStr">
        <is>
          <t>Allmännings- och besparingsskogar</t>
        </is>
      </c>
      <c r="G110" t="n">
        <v>3.5</v>
      </c>
      <c r="H110" t="n">
        <v>0</v>
      </c>
      <c r="I110" t="n">
        <v>0</v>
      </c>
      <c r="J110" t="n">
        <v>1</v>
      </c>
      <c r="K110" t="n">
        <v>0</v>
      </c>
      <c r="L110" t="n">
        <v>0</v>
      </c>
      <c r="M110" t="n">
        <v>0</v>
      </c>
      <c r="N110" t="n">
        <v>0</v>
      </c>
      <c r="O110" t="n">
        <v>1</v>
      </c>
      <c r="P110" t="n">
        <v>0</v>
      </c>
      <c r="Q110" t="n">
        <v>1</v>
      </c>
      <c r="R110" s="2" t="inlineStr">
        <is>
          <t>Kavelhirs</t>
        </is>
      </c>
      <c r="S110">
        <f>HYPERLINK("https://klasma.github.io/Logging_0580/artfynd/A 43989-2025 artfynd.xlsx", "A 43989-2025")</f>
        <v/>
      </c>
      <c r="T110">
        <f>HYPERLINK("https://klasma.github.io/Logging_0580/kartor/A 43989-2025 karta.png", "A 43989-2025")</f>
        <v/>
      </c>
      <c r="V110">
        <f>HYPERLINK("https://klasma.github.io/Logging_0580/klagomål/A 43989-2025 FSC-klagomål.docx", "A 43989-2025")</f>
        <v/>
      </c>
      <c r="W110">
        <f>HYPERLINK("https://klasma.github.io/Logging_0580/klagomålsmail/A 43989-2025 FSC-klagomål mail.docx", "A 43989-2025")</f>
        <v/>
      </c>
      <c r="X110">
        <f>HYPERLINK("https://klasma.github.io/Logging_0580/tillsyn/A 43989-2025 tillsynsbegäran.docx", "A 43989-2025")</f>
        <v/>
      </c>
      <c r="Y110">
        <f>HYPERLINK("https://klasma.github.io/Logging_0580/tillsynsmail/A 43989-2025 tillsynsbegäran mail.docx", "A 43989-2025")</f>
        <v/>
      </c>
    </row>
    <row r="111" ht="15" customHeight="1">
      <c r="A111" t="inlineStr">
        <is>
          <t>A 51583-2024</t>
        </is>
      </c>
      <c r="B111" s="1" t="n">
        <v>45604</v>
      </c>
      <c r="C111" s="1" t="n">
        <v>46194</v>
      </c>
      <c r="D111" t="inlineStr">
        <is>
          <t>ÖSTERGÖTLANDS LÄN</t>
        </is>
      </c>
      <c r="E111" t="inlineStr">
        <is>
          <t>LINKÖPING</t>
        </is>
      </c>
      <c r="F111" t="inlineStr">
        <is>
          <t>Övriga Aktiebolag</t>
        </is>
      </c>
      <c r="G111" t="n">
        <v>8.699999999999999</v>
      </c>
      <c r="H111" t="n">
        <v>1</v>
      </c>
      <c r="I111" t="n">
        <v>0</v>
      </c>
      <c r="J111" t="n">
        <v>0</v>
      </c>
      <c r="K111" t="n">
        <v>1</v>
      </c>
      <c r="L111" t="n">
        <v>0</v>
      </c>
      <c r="M111" t="n">
        <v>0</v>
      </c>
      <c r="N111" t="n">
        <v>0</v>
      </c>
      <c r="O111" t="n">
        <v>1</v>
      </c>
      <c r="P111" t="n">
        <v>1</v>
      </c>
      <c r="Q111" t="n">
        <v>1</v>
      </c>
      <c r="R111" s="2" t="inlineStr">
        <is>
          <t>Läderbagge</t>
        </is>
      </c>
      <c r="S111">
        <f>HYPERLINK("https://klasma.github.io/Logging_0580/artfynd/A 51583-2024 artfynd.xlsx", "A 51583-2024")</f>
        <v/>
      </c>
      <c r="T111">
        <f>HYPERLINK("https://klasma.github.io/Logging_0580/kartor/A 51583-2024 karta.png", "A 51583-2024")</f>
        <v/>
      </c>
      <c r="V111">
        <f>HYPERLINK("https://klasma.github.io/Logging_0580/klagomål/A 51583-2024 FSC-klagomål.docx", "A 51583-2024")</f>
        <v/>
      </c>
      <c r="W111">
        <f>HYPERLINK("https://klasma.github.io/Logging_0580/klagomålsmail/A 51583-2024 FSC-klagomål mail.docx", "A 51583-2024")</f>
        <v/>
      </c>
      <c r="X111">
        <f>HYPERLINK("https://klasma.github.io/Logging_0580/tillsyn/A 51583-2024 tillsynsbegäran.docx", "A 51583-2024")</f>
        <v/>
      </c>
      <c r="Y111">
        <f>HYPERLINK("https://klasma.github.io/Logging_0580/tillsynsmail/A 51583-2024 tillsynsbegäran mail.docx", "A 51583-2024")</f>
        <v/>
      </c>
    </row>
    <row r="112" ht="15" customHeight="1">
      <c r="A112" t="inlineStr">
        <is>
          <t>A 10797-2024</t>
        </is>
      </c>
      <c r="B112" s="1" t="n">
        <v>45369</v>
      </c>
      <c r="C112" s="1" t="n">
        <v>46194</v>
      </c>
      <c r="D112" t="inlineStr">
        <is>
          <t>ÖSTERGÖTLANDS LÄN</t>
        </is>
      </c>
      <c r="E112" t="inlineStr">
        <is>
          <t>LINKÖPING</t>
        </is>
      </c>
      <c r="G112" t="n">
        <v>1.5</v>
      </c>
      <c r="H112" t="n">
        <v>0</v>
      </c>
      <c r="I112" t="n">
        <v>0</v>
      </c>
      <c r="J112" t="n">
        <v>0</v>
      </c>
      <c r="K112" t="n">
        <v>0</v>
      </c>
      <c r="L112" t="n">
        <v>1</v>
      </c>
      <c r="M112" t="n">
        <v>0</v>
      </c>
      <c r="N112" t="n">
        <v>0</v>
      </c>
      <c r="O112" t="n">
        <v>1</v>
      </c>
      <c r="P112" t="n">
        <v>1</v>
      </c>
      <c r="Q112" t="n">
        <v>1</v>
      </c>
      <c r="R112" s="2" t="inlineStr">
        <is>
          <t>Skogsalm</t>
        </is>
      </c>
      <c r="S112">
        <f>HYPERLINK("https://klasma.github.io/Logging_0580/artfynd/A 10797-2024 artfynd.xlsx", "A 10797-2024")</f>
        <v/>
      </c>
      <c r="T112">
        <f>HYPERLINK("https://klasma.github.io/Logging_0580/kartor/A 10797-2024 karta.png", "A 10797-2024")</f>
        <v/>
      </c>
      <c r="V112">
        <f>HYPERLINK("https://klasma.github.io/Logging_0580/klagomål/A 10797-2024 FSC-klagomål.docx", "A 10797-2024")</f>
        <v/>
      </c>
      <c r="W112">
        <f>HYPERLINK("https://klasma.github.io/Logging_0580/klagomålsmail/A 10797-2024 FSC-klagomål mail.docx", "A 10797-2024")</f>
        <v/>
      </c>
      <c r="X112">
        <f>HYPERLINK("https://klasma.github.io/Logging_0580/tillsyn/A 10797-2024 tillsynsbegäran.docx", "A 10797-2024")</f>
        <v/>
      </c>
      <c r="Y112">
        <f>HYPERLINK("https://klasma.github.io/Logging_0580/tillsynsmail/A 10797-2024 tillsynsbegäran mail.docx", "A 10797-2024")</f>
        <v/>
      </c>
    </row>
    <row r="113" ht="15" customHeight="1">
      <c r="A113" t="inlineStr">
        <is>
          <t>A 30551-2023</t>
        </is>
      </c>
      <c r="B113" s="1" t="n">
        <v>45111</v>
      </c>
      <c r="C113" s="1" t="n">
        <v>46194</v>
      </c>
      <c r="D113" t="inlineStr">
        <is>
          <t>ÖSTERGÖTLANDS LÄN</t>
        </is>
      </c>
      <c r="E113" t="inlineStr">
        <is>
          <t>LINKÖPING</t>
        </is>
      </c>
      <c r="G113" t="n">
        <v>0.6</v>
      </c>
      <c r="H113" t="n">
        <v>0</v>
      </c>
      <c r="I113" t="n">
        <v>1</v>
      </c>
      <c r="J113" t="n">
        <v>0</v>
      </c>
      <c r="K113" t="n">
        <v>0</v>
      </c>
      <c r="L113" t="n">
        <v>0</v>
      </c>
      <c r="M113" t="n">
        <v>0</v>
      </c>
      <c r="N113" t="n">
        <v>0</v>
      </c>
      <c r="O113" t="n">
        <v>0</v>
      </c>
      <c r="P113" t="n">
        <v>0</v>
      </c>
      <c r="Q113" t="n">
        <v>1</v>
      </c>
      <c r="R113" s="2" t="inlineStr">
        <is>
          <t>Fällmossa</t>
        </is>
      </c>
      <c r="S113">
        <f>HYPERLINK("https://klasma.github.io/Logging_0580/artfynd/A 30551-2023 artfynd.xlsx", "A 30551-2023")</f>
        <v/>
      </c>
      <c r="T113">
        <f>HYPERLINK("https://klasma.github.io/Logging_0580/kartor/A 30551-2023 karta.png", "A 30551-2023")</f>
        <v/>
      </c>
      <c r="V113">
        <f>HYPERLINK("https://klasma.github.io/Logging_0580/klagomål/A 30551-2023 FSC-klagomål.docx", "A 30551-2023")</f>
        <v/>
      </c>
      <c r="W113">
        <f>HYPERLINK("https://klasma.github.io/Logging_0580/klagomålsmail/A 30551-2023 FSC-klagomål mail.docx", "A 30551-2023")</f>
        <v/>
      </c>
      <c r="X113">
        <f>HYPERLINK("https://klasma.github.io/Logging_0580/tillsyn/A 30551-2023 tillsynsbegäran.docx", "A 30551-2023")</f>
        <v/>
      </c>
      <c r="Y113">
        <f>HYPERLINK("https://klasma.github.io/Logging_0580/tillsynsmail/A 30551-2023 tillsynsbegäran mail.docx", "A 30551-2023")</f>
        <v/>
      </c>
    </row>
    <row r="114" ht="15" customHeight="1">
      <c r="A114" t="inlineStr">
        <is>
          <t>A 41749-2023</t>
        </is>
      </c>
      <c r="B114" s="1" t="n">
        <v>45176</v>
      </c>
      <c r="C114" s="1" t="n">
        <v>46194</v>
      </c>
      <c r="D114" t="inlineStr">
        <is>
          <t>ÖSTERGÖTLANDS LÄN</t>
        </is>
      </c>
      <c r="E114" t="inlineStr">
        <is>
          <t>LINKÖPING</t>
        </is>
      </c>
      <c r="G114" t="n">
        <v>3.6</v>
      </c>
      <c r="H114" t="n">
        <v>0</v>
      </c>
      <c r="I114" t="n">
        <v>0</v>
      </c>
      <c r="J114" t="n">
        <v>1</v>
      </c>
      <c r="K114" t="n">
        <v>0</v>
      </c>
      <c r="L114" t="n">
        <v>0</v>
      </c>
      <c r="M114" t="n">
        <v>0</v>
      </c>
      <c r="N114" t="n">
        <v>0</v>
      </c>
      <c r="O114" t="n">
        <v>1</v>
      </c>
      <c r="P114" t="n">
        <v>0</v>
      </c>
      <c r="Q114" t="n">
        <v>1</v>
      </c>
      <c r="R114" s="2" t="inlineStr">
        <is>
          <t>Svinrot</t>
        </is>
      </c>
      <c r="S114">
        <f>HYPERLINK("https://klasma.github.io/Logging_0580/artfynd/A 41749-2023 artfynd.xlsx", "A 41749-2023")</f>
        <v/>
      </c>
      <c r="T114">
        <f>HYPERLINK("https://klasma.github.io/Logging_0580/kartor/A 41749-2023 karta.png", "A 41749-2023")</f>
        <v/>
      </c>
      <c r="V114">
        <f>HYPERLINK("https://klasma.github.io/Logging_0580/klagomål/A 41749-2023 FSC-klagomål.docx", "A 41749-2023")</f>
        <v/>
      </c>
      <c r="W114">
        <f>HYPERLINK("https://klasma.github.io/Logging_0580/klagomålsmail/A 41749-2023 FSC-klagomål mail.docx", "A 41749-2023")</f>
        <v/>
      </c>
      <c r="X114">
        <f>HYPERLINK("https://klasma.github.io/Logging_0580/tillsyn/A 41749-2023 tillsynsbegäran.docx", "A 41749-2023")</f>
        <v/>
      </c>
      <c r="Y114">
        <f>HYPERLINK("https://klasma.github.io/Logging_0580/tillsynsmail/A 41749-2023 tillsynsbegäran mail.docx", "A 41749-2023")</f>
        <v/>
      </c>
    </row>
    <row r="115" ht="15" customHeight="1">
      <c r="A115" t="inlineStr">
        <is>
          <t>A 50034-2025</t>
        </is>
      </c>
      <c r="B115" s="1" t="n">
        <v>45941</v>
      </c>
      <c r="C115" s="1" t="n">
        <v>46194</v>
      </c>
      <c r="D115" t="inlineStr">
        <is>
          <t>ÖSTERGÖTLANDS LÄN</t>
        </is>
      </c>
      <c r="E115" t="inlineStr">
        <is>
          <t>LINKÖPING</t>
        </is>
      </c>
      <c r="G115" t="n">
        <v>6.2</v>
      </c>
      <c r="H115" t="n">
        <v>0</v>
      </c>
      <c r="I115" t="n">
        <v>0</v>
      </c>
      <c r="J115" t="n">
        <v>0</v>
      </c>
      <c r="K115" t="n">
        <v>0</v>
      </c>
      <c r="L115" t="n">
        <v>1</v>
      </c>
      <c r="M115" t="n">
        <v>0</v>
      </c>
      <c r="N115" t="n">
        <v>0</v>
      </c>
      <c r="O115" t="n">
        <v>1</v>
      </c>
      <c r="P115" t="n">
        <v>1</v>
      </c>
      <c r="Q115" t="n">
        <v>1</v>
      </c>
      <c r="R115" s="2" t="inlineStr">
        <is>
          <t>Skogsalm</t>
        </is>
      </c>
      <c r="S115">
        <f>HYPERLINK("https://klasma.github.io/Logging_0580/artfynd/A 50034-2025 artfynd.xlsx", "A 50034-2025")</f>
        <v/>
      </c>
      <c r="T115">
        <f>HYPERLINK("https://klasma.github.io/Logging_0580/kartor/A 50034-2025 karta.png", "A 50034-2025")</f>
        <v/>
      </c>
      <c r="V115">
        <f>HYPERLINK("https://klasma.github.io/Logging_0580/klagomål/A 50034-2025 FSC-klagomål.docx", "A 50034-2025")</f>
        <v/>
      </c>
      <c r="W115">
        <f>HYPERLINK("https://klasma.github.io/Logging_0580/klagomålsmail/A 50034-2025 FSC-klagomål mail.docx", "A 50034-2025")</f>
        <v/>
      </c>
      <c r="X115">
        <f>HYPERLINK("https://klasma.github.io/Logging_0580/tillsyn/A 50034-2025 tillsynsbegäran.docx", "A 50034-2025")</f>
        <v/>
      </c>
      <c r="Y115">
        <f>HYPERLINK("https://klasma.github.io/Logging_0580/tillsynsmail/A 50034-2025 tillsynsbegäran mail.docx", "A 50034-2025")</f>
        <v/>
      </c>
    </row>
    <row r="116" ht="15" customHeight="1">
      <c r="A116" t="inlineStr">
        <is>
          <t>A 56128-2022</t>
        </is>
      </c>
      <c r="B116" s="1" t="n">
        <v>44889</v>
      </c>
      <c r="C116" s="1" t="n">
        <v>46194</v>
      </c>
      <c r="D116" t="inlineStr">
        <is>
          <t>ÖSTERGÖTLANDS LÄN</t>
        </is>
      </c>
      <c r="E116" t="inlineStr">
        <is>
          <t>LINKÖPING</t>
        </is>
      </c>
      <c r="G116" t="n">
        <v>2</v>
      </c>
      <c r="H116" t="n">
        <v>0</v>
      </c>
      <c r="I116" t="n">
        <v>1</v>
      </c>
      <c r="J116" t="n">
        <v>0</v>
      </c>
      <c r="K116" t="n">
        <v>0</v>
      </c>
      <c r="L116" t="n">
        <v>0</v>
      </c>
      <c r="M116" t="n">
        <v>0</v>
      </c>
      <c r="N116" t="n">
        <v>0</v>
      </c>
      <c r="O116" t="n">
        <v>0</v>
      </c>
      <c r="P116" t="n">
        <v>0</v>
      </c>
      <c r="Q116" t="n">
        <v>1</v>
      </c>
      <c r="R116" s="2" t="inlineStr">
        <is>
          <t>Tibast</t>
        </is>
      </c>
      <c r="S116">
        <f>HYPERLINK("https://klasma.github.io/Logging_0580/artfynd/A 56128-2022 artfynd.xlsx", "A 56128-2022")</f>
        <v/>
      </c>
      <c r="T116">
        <f>HYPERLINK("https://klasma.github.io/Logging_0580/kartor/A 56128-2022 karta.png", "A 56128-2022")</f>
        <v/>
      </c>
      <c r="V116">
        <f>HYPERLINK("https://klasma.github.io/Logging_0580/klagomål/A 56128-2022 FSC-klagomål.docx", "A 56128-2022")</f>
        <v/>
      </c>
      <c r="W116">
        <f>HYPERLINK("https://klasma.github.io/Logging_0580/klagomålsmail/A 56128-2022 FSC-klagomål mail.docx", "A 56128-2022")</f>
        <v/>
      </c>
      <c r="X116">
        <f>HYPERLINK("https://klasma.github.io/Logging_0580/tillsyn/A 56128-2022 tillsynsbegäran.docx", "A 56128-2022")</f>
        <v/>
      </c>
      <c r="Y116">
        <f>HYPERLINK("https://klasma.github.io/Logging_0580/tillsynsmail/A 56128-2022 tillsynsbegäran mail.docx", "A 56128-2022")</f>
        <v/>
      </c>
    </row>
    <row r="117" ht="15" customHeight="1">
      <c r="A117" t="inlineStr">
        <is>
          <t>A 30429-2024</t>
        </is>
      </c>
      <c r="B117" s="1" t="n">
        <v>45491</v>
      </c>
      <c r="C117" s="1" t="n">
        <v>46194</v>
      </c>
      <c r="D117" t="inlineStr">
        <is>
          <t>ÖSTERGÖTLANDS LÄN</t>
        </is>
      </c>
      <c r="E117" t="inlineStr">
        <is>
          <t>LINKÖPING</t>
        </is>
      </c>
      <c r="G117" t="n">
        <v>2.2</v>
      </c>
      <c r="H117" t="n">
        <v>0</v>
      </c>
      <c r="I117" t="n">
        <v>0</v>
      </c>
      <c r="J117" t="n">
        <v>1</v>
      </c>
      <c r="K117" t="n">
        <v>0</v>
      </c>
      <c r="L117" t="n">
        <v>0</v>
      </c>
      <c r="M117" t="n">
        <v>0</v>
      </c>
      <c r="N117" t="n">
        <v>0</v>
      </c>
      <c r="O117" t="n">
        <v>1</v>
      </c>
      <c r="P117" t="n">
        <v>0</v>
      </c>
      <c r="Q117" t="n">
        <v>1</v>
      </c>
      <c r="R117" s="2" t="inlineStr">
        <is>
          <t>Rödlånke</t>
        </is>
      </c>
      <c r="S117">
        <f>HYPERLINK("https://klasma.github.io/Logging_0580/artfynd/A 30429-2024 artfynd.xlsx", "A 30429-2024")</f>
        <v/>
      </c>
      <c r="T117">
        <f>HYPERLINK("https://klasma.github.io/Logging_0580/kartor/A 30429-2024 karta.png", "A 30429-2024")</f>
        <v/>
      </c>
      <c r="V117">
        <f>HYPERLINK("https://klasma.github.io/Logging_0580/klagomål/A 30429-2024 FSC-klagomål.docx", "A 30429-2024")</f>
        <v/>
      </c>
      <c r="W117">
        <f>HYPERLINK("https://klasma.github.io/Logging_0580/klagomålsmail/A 30429-2024 FSC-klagomål mail.docx", "A 30429-2024")</f>
        <v/>
      </c>
      <c r="X117">
        <f>HYPERLINK("https://klasma.github.io/Logging_0580/tillsyn/A 30429-2024 tillsynsbegäran.docx", "A 30429-2024")</f>
        <v/>
      </c>
      <c r="Y117">
        <f>HYPERLINK("https://klasma.github.io/Logging_0580/tillsynsmail/A 30429-2024 tillsynsbegäran mail.docx", "A 30429-2024")</f>
        <v/>
      </c>
    </row>
    <row r="118" ht="15" customHeight="1">
      <c r="A118" t="inlineStr">
        <is>
          <t>A 27403-2025</t>
        </is>
      </c>
      <c r="B118" s="1" t="n">
        <v>45812</v>
      </c>
      <c r="C118" s="1" t="n">
        <v>46194</v>
      </c>
      <c r="D118" t="inlineStr">
        <is>
          <t>ÖSTERGÖTLANDS LÄN</t>
        </is>
      </c>
      <c r="E118" t="inlineStr">
        <is>
          <t>LINKÖPING</t>
        </is>
      </c>
      <c r="G118" t="n">
        <v>1.4</v>
      </c>
      <c r="H118" t="n">
        <v>0</v>
      </c>
      <c r="I118" t="n">
        <v>0</v>
      </c>
      <c r="J118" t="n">
        <v>1</v>
      </c>
      <c r="K118" t="n">
        <v>0</v>
      </c>
      <c r="L118" t="n">
        <v>0</v>
      </c>
      <c r="M118" t="n">
        <v>0</v>
      </c>
      <c r="N118" t="n">
        <v>0</v>
      </c>
      <c r="O118" t="n">
        <v>1</v>
      </c>
      <c r="P118" t="n">
        <v>0</v>
      </c>
      <c r="Q118" t="n">
        <v>1</v>
      </c>
      <c r="R118" s="2" t="inlineStr">
        <is>
          <t>Tallticka</t>
        </is>
      </c>
      <c r="S118">
        <f>HYPERLINK("https://klasma.github.io/Logging_0580/artfynd/A 27403-2025 artfynd.xlsx", "A 27403-2025")</f>
        <v/>
      </c>
      <c r="T118">
        <f>HYPERLINK("https://klasma.github.io/Logging_0580/kartor/A 27403-2025 karta.png", "A 27403-2025")</f>
        <v/>
      </c>
      <c r="V118">
        <f>HYPERLINK("https://klasma.github.io/Logging_0580/klagomål/A 27403-2025 FSC-klagomål.docx", "A 27403-2025")</f>
        <v/>
      </c>
      <c r="W118">
        <f>HYPERLINK("https://klasma.github.io/Logging_0580/klagomålsmail/A 27403-2025 FSC-klagomål mail.docx", "A 27403-2025")</f>
        <v/>
      </c>
      <c r="X118">
        <f>HYPERLINK("https://klasma.github.io/Logging_0580/tillsyn/A 27403-2025 tillsynsbegäran.docx", "A 27403-2025")</f>
        <v/>
      </c>
      <c r="Y118">
        <f>HYPERLINK("https://klasma.github.io/Logging_0580/tillsynsmail/A 27403-2025 tillsynsbegäran mail.docx", "A 27403-2025")</f>
        <v/>
      </c>
    </row>
    <row r="119" ht="15" customHeight="1">
      <c r="A119" t="inlineStr">
        <is>
          <t>A 27798-2025</t>
        </is>
      </c>
      <c r="B119" s="1" t="n">
        <v>45816</v>
      </c>
      <c r="C119" s="1" t="n">
        <v>46194</v>
      </c>
      <c r="D119" t="inlineStr">
        <is>
          <t>ÖSTERGÖTLANDS LÄN</t>
        </is>
      </c>
      <c r="E119" t="inlineStr">
        <is>
          <t>LINKÖPING</t>
        </is>
      </c>
      <c r="G119" t="n">
        <v>1.9</v>
      </c>
      <c r="H119" t="n">
        <v>0</v>
      </c>
      <c r="I119" t="n">
        <v>0</v>
      </c>
      <c r="J119" t="n">
        <v>0</v>
      </c>
      <c r="K119" t="n">
        <v>1</v>
      </c>
      <c r="L119" t="n">
        <v>0</v>
      </c>
      <c r="M119" t="n">
        <v>0</v>
      </c>
      <c r="N119" t="n">
        <v>0</v>
      </c>
      <c r="O119" t="n">
        <v>1</v>
      </c>
      <c r="P119" t="n">
        <v>1</v>
      </c>
      <c r="Q119" t="n">
        <v>1</v>
      </c>
      <c r="R119" s="2" t="inlineStr">
        <is>
          <t>Igelkott</t>
        </is>
      </c>
      <c r="S119">
        <f>HYPERLINK("https://klasma.github.io/Logging_0580/artfynd/A 27798-2025 artfynd.xlsx", "A 27798-2025")</f>
        <v/>
      </c>
      <c r="T119">
        <f>HYPERLINK("https://klasma.github.io/Logging_0580/kartor/A 27798-2025 karta.png", "A 27798-2025")</f>
        <v/>
      </c>
      <c r="V119">
        <f>HYPERLINK("https://klasma.github.io/Logging_0580/klagomål/A 27798-2025 FSC-klagomål.docx", "A 27798-2025")</f>
        <v/>
      </c>
      <c r="W119">
        <f>HYPERLINK("https://klasma.github.io/Logging_0580/klagomålsmail/A 27798-2025 FSC-klagomål mail.docx", "A 27798-2025")</f>
        <v/>
      </c>
      <c r="X119">
        <f>HYPERLINK("https://klasma.github.io/Logging_0580/tillsyn/A 27798-2025 tillsynsbegäran.docx", "A 27798-2025")</f>
        <v/>
      </c>
      <c r="Y119">
        <f>HYPERLINK("https://klasma.github.io/Logging_0580/tillsynsmail/A 27798-2025 tillsynsbegäran mail.docx", "A 27798-2025")</f>
        <v/>
      </c>
    </row>
    <row r="120" ht="15" customHeight="1">
      <c r="A120" t="inlineStr">
        <is>
          <t>A 55165-2025</t>
        </is>
      </c>
      <c r="B120" s="1" t="n">
        <v>45968</v>
      </c>
      <c r="C120" s="1" t="n">
        <v>46194</v>
      </c>
      <c r="D120" t="inlineStr">
        <is>
          <t>ÖSTERGÖTLANDS LÄN</t>
        </is>
      </c>
      <c r="E120" t="inlineStr">
        <is>
          <t>LINKÖPING</t>
        </is>
      </c>
      <c r="G120" t="n">
        <v>2.4</v>
      </c>
      <c r="H120" t="n">
        <v>0</v>
      </c>
      <c r="I120" t="n">
        <v>0</v>
      </c>
      <c r="J120" t="n">
        <v>1</v>
      </c>
      <c r="K120" t="n">
        <v>0</v>
      </c>
      <c r="L120" t="n">
        <v>0</v>
      </c>
      <c r="M120" t="n">
        <v>0</v>
      </c>
      <c r="N120" t="n">
        <v>0</v>
      </c>
      <c r="O120" t="n">
        <v>1</v>
      </c>
      <c r="P120" t="n">
        <v>0</v>
      </c>
      <c r="Q120" t="n">
        <v>1</v>
      </c>
      <c r="R120" s="2" t="inlineStr">
        <is>
          <t>Kandelabersvamp</t>
        </is>
      </c>
      <c r="S120">
        <f>HYPERLINK("https://klasma.github.io/Logging_0580/artfynd/A 55165-2025 artfynd.xlsx", "A 55165-2025")</f>
        <v/>
      </c>
      <c r="T120">
        <f>HYPERLINK("https://klasma.github.io/Logging_0580/kartor/A 55165-2025 karta.png", "A 55165-2025")</f>
        <v/>
      </c>
      <c r="V120">
        <f>HYPERLINK("https://klasma.github.io/Logging_0580/klagomål/A 55165-2025 FSC-klagomål.docx", "A 55165-2025")</f>
        <v/>
      </c>
      <c r="W120">
        <f>HYPERLINK("https://klasma.github.io/Logging_0580/klagomålsmail/A 55165-2025 FSC-klagomål mail.docx", "A 55165-2025")</f>
        <v/>
      </c>
      <c r="X120">
        <f>HYPERLINK("https://klasma.github.io/Logging_0580/tillsyn/A 55165-2025 tillsynsbegäran.docx", "A 55165-2025")</f>
        <v/>
      </c>
      <c r="Y120">
        <f>HYPERLINK("https://klasma.github.io/Logging_0580/tillsynsmail/A 55165-2025 tillsynsbegäran mail.docx", "A 55165-2025")</f>
        <v/>
      </c>
    </row>
    <row r="121" ht="15" customHeight="1">
      <c r="A121" t="inlineStr">
        <is>
          <t>A 59205-2025</t>
        </is>
      </c>
      <c r="B121" s="1" t="n">
        <v>45988</v>
      </c>
      <c r="C121" s="1" t="n">
        <v>46194</v>
      </c>
      <c r="D121" t="inlineStr">
        <is>
          <t>ÖSTERGÖTLANDS LÄN</t>
        </is>
      </c>
      <c r="E121" t="inlineStr">
        <is>
          <t>LINKÖPING</t>
        </is>
      </c>
      <c r="F121" t="inlineStr">
        <is>
          <t>Sveaskog</t>
        </is>
      </c>
      <c r="G121" t="n">
        <v>11.3</v>
      </c>
      <c r="H121" t="n">
        <v>0</v>
      </c>
      <c r="I121" t="n">
        <v>0</v>
      </c>
      <c r="J121" t="n">
        <v>0</v>
      </c>
      <c r="K121" t="n">
        <v>1</v>
      </c>
      <c r="L121" t="n">
        <v>0</v>
      </c>
      <c r="M121" t="n">
        <v>0</v>
      </c>
      <c r="N121" t="n">
        <v>0</v>
      </c>
      <c r="O121" t="n">
        <v>1</v>
      </c>
      <c r="P121" t="n">
        <v>1</v>
      </c>
      <c r="Q121" t="n">
        <v>1</v>
      </c>
      <c r="R121" s="2" t="inlineStr">
        <is>
          <t>Smalsprötad bastardsvärmare</t>
        </is>
      </c>
      <c r="S121">
        <f>HYPERLINK("https://klasma.github.io/Logging_0580/artfynd/A 59205-2025 artfynd.xlsx", "A 59205-2025")</f>
        <v/>
      </c>
      <c r="T121">
        <f>HYPERLINK("https://klasma.github.io/Logging_0580/kartor/A 59205-2025 karta.png", "A 59205-2025")</f>
        <v/>
      </c>
      <c r="V121">
        <f>HYPERLINK("https://klasma.github.io/Logging_0580/klagomål/A 59205-2025 FSC-klagomål.docx", "A 59205-2025")</f>
        <v/>
      </c>
      <c r="W121">
        <f>HYPERLINK("https://klasma.github.io/Logging_0580/klagomålsmail/A 59205-2025 FSC-klagomål mail.docx", "A 59205-2025")</f>
        <v/>
      </c>
      <c r="X121">
        <f>HYPERLINK("https://klasma.github.io/Logging_0580/tillsyn/A 59205-2025 tillsynsbegäran.docx", "A 59205-2025")</f>
        <v/>
      </c>
      <c r="Y121">
        <f>HYPERLINK("https://klasma.github.io/Logging_0580/tillsynsmail/A 59205-2025 tillsynsbegäran mail.docx", "A 59205-2025")</f>
        <v/>
      </c>
    </row>
    <row r="122" ht="15" customHeight="1">
      <c r="A122" t="inlineStr">
        <is>
          <t>A 45806-2024</t>
        </is>
      </c>
      <c r="B122" s="1" t="n">
        <v>45579</v>
      </c>
      <c r="C122" s="1" t="n">
        <v>46194</v>
      </c>
      <c r="D122" t="inlineStr">
        <is>
          <t>ÖSTERGÖTLANDS LÄN</t>
        </is>
      </c>
      <c r="E122" t="inlineStr">
        <is>
          <t>LINKÖPING</t>
        </is>
      </c>
      <c r="G122" t="n">
        <v>1.6</v>
      </c>
      <c r="H122" t="n">
        <v>0</v>
      </c>
      <c r="I122" t="n">
        <v>1</v>
      </c>
      <c r="J122" t="n">
        <v>0</v>
      </c>
      <c r="K122" t="n">
        <v>0</v>
      </c>
      <c r="L122" t="n">
        <v>0</v>
      </c>
      <c r="M122" t="n">
        <v>0</v>
      </c>
      <c r="N122" t="n">
        <v>0</v>
      </c>
      <c r="O122" t="n">
        <v>0</v>
      </c>
      <c r="P122" t="n">
        <v>0</v>
      </c>
      <c r="Q122" t="n">
        <v>1</v>
      </c>
      <c r="R122" s="2" t="inlineStr">
        <is>
          <t>Brun nållav</t>
        </is>
      </c>
      <c r="S122">
        <f>HYPERLINK("https://klasma.github.io/Logging_0580/artfynd/A 45806-2024 artfynd.xlsx", "A 45806-2024")</f>
        <v/>
      </c>
      <c r="T122">
        <f>HYPERLINK("https://klasma.github.io/Logging_0580/kartor/A 45806-2024 karta.png", "A 45806-2024")</f>
        <v/>
      </c>
      <c r="V122">
        <f>HYPERLINK("https://klasma.github.io/Logging_0580/klagomål/A 45806-2024 FSC-klagomål.docx", "A 45806-2024")</f>
        <v/>
      </c>
      <c r="W122">
        <f>HYPERLINK("https://klasma.github.io/Logging_0580/klagomålsmail/A 45806-2024 FSC-klagomål mail.docx", "A 45806-2024")</f>
        <v/>
      </c>
      <c r="X122">
        <f>HYPERLINK("https://klasma.github.io/Logging_0580/tillsyn/A 45806-2024 tillsynsbegäran.docx", "A 45806-2024")</f>
        <v/>
      </c>
      <c r="Y122">
        <f>HYPERLINK("https://klasma.github.io/Logging_0580/tillsynsmail/A 45806-2024 tillsynsbegäran mail.docx", "A 45806-2024")</f>
        <v/>
      </c>
    </row>
    <row r="123" ht="15" customHeight="1">
      <c r="A123" t="inlineStr">
        <is>
          <t>A 36723-2023</t>
        </is>
      </c>
      <c r="B123" s="1" t="n">
        <v>45153</v>
      </c>
      <c r="C123" s="1" t="n">
        <v>46194</v>
      </c>
      <c r="D123" t="inlineStr">
        <is>
          <t>ÖSTERGÖTLANDS LÄN</t>
        </is>
      </c>
      <c r="E123" t="inlineStr">
        <is>
          <t>LINKÖPING</t>
        </is>
      </c>
      <c r="F123" t="inlineStr">
        <is>
          <t>Allmännings- och besparingsskogar</t>
        </is>
      </c>
      <c r="G123" t="n">
        <v>9.9</v>
      </c>
      <c r="H123" t="n">
        <v>0</v>
      </c>
      <c r="I123" t="n">
        <v>0</v>
      </c>
      <c r="J123" t="n">
        <v>0</v>
      </c>
      <c r="K123" t="n">
        <v>0</v>
      </c>
      <c r="L123" t="n">
        <v>1</v>
      </c>
      <c r="M123" t="n">
        <v>0</v>
      </c>
      <c r="N123" t="n">
        <v>0</v>
      </c>
      <c r="O123" t="n">
        <v>1</v>
      </c>
      <c r="P123" t="n">
        <v>1</v>
      </c>
      <c r="Q123" t="n">
        <v>1</v>
      </c>
      <c r="R123" s="2" t="inlineStr">
        <is>
          <t>Bitter taggsvamp</t>
        </is>
      </c>
      <c r="S123">
        <f>HYPERLINK("https://klasma.github.io/Logging_0580/artfynd/A 36723-2023 artfynd.xlsx", "A 36723-2023")</f>
        <v/>
      </c>
      <c r="T123">
        <f>HYPERLINK("https://klasma.github.io/Logging_0580/kartor/A 36723-2023 karta.png", "A 36723-2023")</f>
        <v/>
      </c>
      <c r="V123">
        <f>HYPERLINK("https://klasma.github.io/Logging_0580/klagomål/A 36723-2023 FSC-klagomål.docx", "A 36723-2023")</f>
        <v/>
      </c>
      <c r="W123">
        <f>HYPERLINK("https://klasma.github.io/Logging_0580/klagomålsmail/A 36723-2023 FSC-klagomål mail.docx", "A 36723-2023")</f>
        <v/>
      </c>
      <c r="X123">
        <f>HYPERLINK("https://klasma.github.io/Logging_0580/tillsyn/A 36723-2023 tillsynsbegäran.docx", "A 36723-2023")</f>
        <v/>
      </c>
      <c r="Y123">
        <f>HYPERLINK("https://klasma.github.io/Logging_0580/tillsynsmail/A 36723-2023 tillsynsbegäran mail.docx", "A 36723-2023")</f>
        <v/>
      </c>
    </row>
    <row r="124" ht="15" customHeight="1">
      <c r="A124" t="inlineStr">
        <is>
          <t>A 37683-2024</t>
        </is>
      </c>
      <c r="B124" s="1" t="n">
        <v>45541</v>
      </c>
      <c r="C124" s="1" t="n">
        <v>46194</v>
      </c>
      <c r="D124" t="inlineStr">
        <is>
          <t>ÖSTERGÖTLANDS LÄN</t>
        </is>
      </c>
      <c r="E124" t="inlineStr">
        <is>
          <t>LINKÖPING</t>
        </is>
      </c>
      <c r="G124" t="n">
        <v>0.6</v>
      </c>
      <c r="H124" t="n">
        <v>0</v>
      </c>
      <c r="I124" t="n">
        <v>1</v>
      </c>
      <c r="J124" t="n">
        <v>0</v>
      </c>
      <c r="K124" t="n">
        <v>0</v>
      </c>
      <c r="L124" t="n">
        <v>0</v>
      </c>
      <c r="M124" t="n">
        <v>0</v>
      </c>
      <c r="N124" t="n">
        <v>0</v>
      </c>
      <c r="O124" t="n">
        <v>0</v>
      </c>
      <c r="P124" t="n">
        <v>0</v>
      </c>
      <c r="Q124" t="n">
        <v>1</v>
      </c>
      <c r="R124" s="2" t="inlineStr">
        <is>
          <t>Tibast</t>
        </is>
      </c>
      <c r="S124">
        <f>HYPERLINK("https://klasma.github.io/Logging_0580/artfynd/A 37683-2024 artfynd.xlsx", "A 37683-2024")</f>
        <v/>
      </c>
      <c r="T124">
        <f>HYPERLINK("https://klasma.github.io/Logging_0580/kartor/A 37683-2024 karta.png", "A 37683-2024")</f>
        <v/>
      </c>
      <c r="V124">
        <f>HYPERLINK("https://klasma.github.io/Logging_0580/klagomål/A 37683-2024 FSC-klagomål.docx", "A 37683-2024")</f>
        <v/>
      </c>
      <c r="W124">
        <f>HYPERLINK("https://klasma.github.io/Logging_0580/klagomålsmail/A 37683-2024 FSC-klagomål mail.docx", "A 37683-2024")</f>
        <v/>
      </c>
      <c r="X124">
        <f>HYPERLINK("https://klasma.github.io/Logging_0580/tillsyn/A 37683-2024 tillsynsbegäran.docx", "A 37683-2024")</f>
        <v/>
      </c>
      <c r="Y124">
        <f>HYPERLINK("https://klasma.github.io/Logging_0580/tillsynsmail/A 37683-2024 tillsynsbegäran mail.docx", "A 37683-2024")</f>
        <v/>
      </c>
    </row>
    <row r="125" ht="15" customHeight="1">
      <c r="A125" t="inlineStr">
        <is>
          <t>A 56841-2023</t>
        </is>
      </c>
      <c r="B125" s="1" t="n">
        <v>45244</v>
      </c>
      <c r="C125" s="1" t="n">
        <v>46194</v>
      </c>
      <c r="D125" t="inlineStr">
        <is>
          <t>ÖSTERGÖTLANDS LÄN</t>
        </is>
      </c>
      <c r="E125" t="inlineStr">
        <is>
          <t>LINKÖPING</t>
        </is>
      </c>
      <c r="F125" t="inlineStr">
        <is>
          <t>Övriga Aktiebolag</t>
        </is>
      </c>
      <c r="G125" t="n">
        <v>0.5</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56841-2023 artfynd.xlsx", "A 56841-2023")</f>
        <v/>
      </c>
      <c r="T125">
        <f>HYPERLINK("https://klasma.github.io/Logging_0580/kartor/A 56841-2023 karta.png", "A 56841-2023")</f>
        <v/>
      </c>
      <c r="V125">
        <f>HYPERLINK("https://klasma.github.io/Logging_0580/klagomål/A 56841-2023 FSC-klagomål.docx", "A 56841-2023")</f>
        <v/>
      </c>
      <c r="W125">
        <f>HYPERLINK("https://klasma.github.io/Logging_0580/klagomålsmail/A 56841-2023 FSC-klagomål mail.docx", "A 56841-2023")</f>
        <v/>
      </c>
      <c r="X125">
        <f>HYPERLINK("https://klasma.github.io/Logging_0580/tillsyn/A 56841-2023 tillsynsbegäran.docx", "A 56841-2023")</f>
        <v/>
      </c>
      <c r="Y125">
        <f>HYPERLINK("https://klasma.github.io/Logging_0580/tillsynsmail/A 56841-2023 tillsynsbegäran mail.docx", "A 56841-2023")</f>
        <v/>
      </c>
    </row>
    <row r="126" ht="15" customHeight="1">
      <c r="A126" t="inlineStr">
        <is>
          <t>A 56651-2023</t>
        </is>
      </c>
      <c r="B126" s="1" t="n">
        <v>45243</v>
      </c>
      <c r="C126" s="1" t="n">
        <v>46194</v>
      </c>
      <c r="D126" t="inlineStr">
        <is>
          <t>ÖSTERGÖTLANDS LÄN</t>
        </is>
      </c>
      <c r="E126" t="inlineStr">
        <is>
          <t>LINKÖPING</t>
        </is>
      </c>
      <c r="F126" t="inlineStr">
        <is>
          <t>Övriga Aktiebolag</t>
        </is>
      </c>
      <c r="G126" t="n">
        <v>2.3</v>
      </c>
      <c r="H126" t="n">
        <v>0</v>
      </c>
      <c r="I126" t="n">
        <v>0</v>
      </c>
      <c r="J126" t="n">
        <v>1</v>
      </c>
      <c r="K126" t="n">
        <v>0</v>
      </c>
      <c r="L126" t="n">
        <v>0</v>
      </c>
      <c r="M126" t="n">
        <v>0</v>
      </c>
      <c r="N126" t="n">
        <v>0</v>
      </c>
      <c r="O126" t="n">
        <v>1</v>
      </c>
      <c r="P126" t="n">
        <v>0</v>
      </c>
      <c r="Q126" t="n">
        <v>1</v>
      </c>
      <c r="R126" s="2" t="inlineStr">
        <is>
          <t>Gul dropplav</t>
        </is>
      </c>
      <c r="S126">
        <f>HYPERLINK("https://klasma.github.io/Logging_0580/artfynd/A 56651-2023 artfynd.xlsx", "A 56651-2023")</f>
        <v/>
      </c>
      <c r="T126">
        <f>HYPERLINK("https://klasma.github.io/Logging_0580/kartor/A 56651-2023 karta.png", "A 56651-2023")</f>
        <v/>
      </c>
      <c r="V126">
        <f>HYPERLINK("https://klasma.github.io/Logging_0580/klagomål/A 56651-2023 FSC-klagomål.docx", "A 56651-2023")</f>
        <v/>
      </c>
      <c r="W126">
        <f>HYPERLINK("https://klasma.github.io/Logging_0580/klagomålsmail/A 56651-2023 FSC-klagomål mail.docx", "A 56651-2023")</f>
        <v/>
      </c>
      <c r="X126">
        <f>HYPERLINK("https://klasma.github.io/Logging_0580/tillsyn/A 56651-2023 tillsynsbegäran.docx", "A 56651-2023")</f>
        <v/>
      </c>
      <c r="Y126">
        <f>HYPERLINK("https://klasma.github.io/Logging_0580/tillsynsmail/A 56651-2023 tillsynsbegäran mail.docx", "A 56651-2023")</f>
        <v/>
      </c>
    </row>
    <row r="127" ht="15" customHeight="1">
      <c r="A127" t="inlineStr">
        <is>
          <t>A 62071-2023</t>
        </is>
      </c>
      <c r="B127" s="1" t="n">
        <v>45266</v>
      </c>
      <c r="C127" s="1" t="n">
        <v>46194</v>
      </c>
      <c r="D127" t="inlineStr">
        <is>
          <t>ÖSTERGÖTLANDS LÄN</t>
        </is>
      </c>
      <c r="E127" t="inlineStr">
        <is>
          <t>LINKÖPING</t>
        </is>
      </c>
      <c r="G127" t="n">
        <v>6.5</v>
      </c>
      <c r="H127" t="n">
        <v>0</v>
      </c>
      <c r="I127" t="n">
        <v>0</v>
      </c>
      <c r="J127" t="n">
        <v>1</v>
      </c>
      <c r="K127" t="n">
        <v>0</v>
      </c>
      <c r="L127" t="n">
        <v>0</v>
      </c>
      <c r="M127" t="n">
        <v>0</v>
      </c>
      <c r="N127" t="n">
        <v>0</v>
      </c>
      <c r="O127" t="n">
        <v>1</v>
      </c>
      <c r="P127" t="n">
        <v>0</v>
      </c>
      <c r="Q127" t="n">
        <v>1</v>
      </c>
      <c r="R127" s="2" t="inlineStr">
        <is>
          <t>Svinrot</t>
        </is>
      </c>
      <c r="S127">
        <f>HYPERLINK("https://klasma.github.io/Logging_0580/artfynd/A 62071-2023 artfynd.xlsx", "A 62071-2023")</f>
        <v/>
      </c>
      <c r="T127">
        <f>HYPERLINK("https://klasma.github.io/Logging_0580/kartor/A 62071-2023 karta.png", "A 62071-2023")</f>
        <v/>
      </c>
      <c r="V127">
        <f>HYPERLINK("https://klasma.github.io/Logging_0580/klagomål/A 62071-2023 FSC-klagomål.docx", "A 62071-2023")</f>
        <v/>
      </c>
      <c r="W127">
        <f>HYPERLINK("https://klasma.github.io/Logging_0580/klagomålsmail/A 62071-2023 FSC-klagomål mail.docx", "A 62071-2023")</f>
        <v/>
      </c>
      <c r="X127">
        <f>HYPERLINK("https://klasma.github.io/Logging_0580/tillsyn/A 62071-2023 tillsynsbegäran.docx", "A 62071-2023")</f>
        <v/>
      </c>
      <c r="Y127">
        <f>HYPERLINK("https://klasma.github.io/Logging_0580/tillsynsmail/A 62071-2023 tillsynsbegäran mail.docx", "A 62071-2023")</f>
        <v/>
      </c>
    </row>
    <row r="128" ht="15" customHeight="1">
      <c r="A128" t="inlineStr">
        <is>
          <t>A 17444-2025</t>
        </is>
      </c>
      <c r="B128" s="1" t="n">
        <v>45757</v>
      </c>
      <c r="C128" s="1" t="n">
        <v>46194</v>
      </c>
      <c r="D128" t="inlineStr">
        <is>
          <t>ÖSTERGÖTLANDS LÄN</t>
        </is>
      </c>
      <c r="E128" t="inlineStr">
        <is>
          <t>LINKÖPING</t>
        </is>
      </c>
      <c r="G128" t="n">
        <v>1.3</v>
      </c>
      <c r="H128" t="n">
        <v>1</v>
      </c>
      <c r="I128" t="n">
        <v>0</v>
      </c>
      <c r="J128" t="n">
        <v>1</v>
      </c>
      <c r="K128" t="n">
        <v>0</v>
      </c>
      <c r="L128" t="n">
        <v>0</v>
      </c>
      <c r="M128" t="n">
        <v>0</v>
      </c>
      <c r="N128" t="n">
        <v>0</v>
      </c>
      <c r="O128" t="n">
        <v>1</v>
      </c>
      <c r="P128" t="n">
        <v>0</v>
      </c>
      <c r="Q128" t="n">
        <v>1</v>
      </c>
      <c r="R128" s="2" t="inlineStr">
        <is>
          <t>Dårgräsfjäril</t>
        </is>
      </c>
      <c r="S128">
        <f>HYPERLINK("https://klasma.github.io/Logging_0580/artfynd/A 17444-2025 artfynd.xlsx", "A 17444-2025")</f>
        <v/>
      </c>
      <c r="T128">
        <f>HYPERLINK("https://klasma.github.io/Logging_0580/kartor/A 17444-2025 karta.png", "A 17444-2025")</f>
        <v/>
      </c>
      <c r="V128">
        <f>HYPERLINK("https://klasma.github.io/Logging_0580/klagomål/A 17444-2025 FSC-klagomål.docx", "A 17444-2025")</f>
        <v/>
      </c>
      <c r="W128">
        <f>HYPERLINK("https://klasma.github.io/Logging_0580/klagomålsmail/A 17444-2025 FSC-klagomål mail.docx", "A 17444-2025")</f>
        <v/>
      </c>
      <c r="X128">
        <f>HYPERLINK("https://klasma.github.io/Logging_0580/tillsyn/A 17444-2025 tillsynsbegäran.docx", "A 17444-2025")</f>
        <v/>
      </c>
      <c r="Y128">
        <f>HYPERLINK("https://klasma.github.io/Logging_0580/tillsynsmail/A 17444-2025 tillsynsbegäran mail.docx", "A 17444-2025")</f>
        <v/>
      </c>
    </row>
    <row r="129" ht="15" customHeight="1">
      <c r="A129" t="inlineStr">
        <is>
          <t>A 11033-2026</t>
        </is>
      </c>
      <c r="B129" s="1" t="n">
        <v>46079</v>
      </c>
      <c r="C129" s="1" t="n">
        <v>46194</v>
      </c>
      <c r="D129" t="inlineStr">
        <is>
          <t>ÖSTERGÖTLANDS LÄN</t>
        </is>
      </c>
      <c r="E129" t="inlineStr">
        <is>
          <t>LINKÖPING</t>
        </is>
      </c>
      <c r="G129" t="n">
        <v>7.9</v>
      </c>
      <c r="H129" t="n">
        <v>0</v>
      </c>
      <c r="I129" t="n">
        <v>0</v>
      </c>
      <c r="J129" t="n">
        <v>1</v>
      </c>
      <c r="K129" t="n">
        <v>0</v>
      </c>
      <c r="L129" t="n">
        <v>0</v>
      </c>
      <c r="M129" t="n">
        <v>0</v>
      </c>
      <c r="N129" t="n">
        <v>0</v>
      </c>
      <c r="O129" t="n">
        <v>1</v>
      </c>
      <c r="P129" t="n">
        <v>0</v>
      </c>
      <c r="Q129" t="n">
        <v>1</v>
      </c>
      <c r="R129" s="2" t="inlineStr">
        <is>
          <t>Gullpudra</t>
        </is>
      </c>
      <c r="S129">
        <f>HYPERLINK("https://klasma.github.io/Logging_0580/artfynd/A 11033-2026 artfynd.xlsx", "A 11033-2026")</f>
        <v/>
      </c>
      <c r="T129">
        <f>HYPERLINK("https://klasma.github.io/Logging_0580/kartor/A 11033-2026 karta.png", "A 11033-2026")</f>
        <v/>
      </c>
      <c r="V129">
        <f>HYPERLINK("https://klasma.github.io/Logging_0580/klagomål/A 11033-2026 FSC-klagomål.docx", "A 11033-2026")</f>
        <v/>
      </c>
      <c r="W129">
        <f>HYPERLINK("https://klasma.github.io/Logging_0580/klagomålsmail/A 11033-2026 FSC-klagomål mail.docx", "A 11033-2026")</f>
        <v/>
      </c>
      <c r="X129">
        <f>HYPERLINK("https://klasma.github.io/Logging_0580/tillsyn/A 11033-2026 tillsynsbegäran.docx", "A 11033-2026")</f>
        <v/>
      </c>
      <c r="Y129">
        <f>HYPERLINK("https://klasma.github.io/Logging_0580/tillsynsmail/A 11033-2026 tillsynsbegäran mail.docx", "A 11033-2026")</f>
        <v/>
      </c>
    </row>
    <row r="130" ht="15" customHeight="1">
      <c r="A130" t="inlineStr">
        <is>
          <t>A 56756-2023</t>
        </is>
      </c>
      <c r="B130" s="1" t="n">
        <v>45244</v>
      </c>
      <c r="C130" s="1" t="n">
        <v>46194</v>
      </c>
      <c r="D130" t="inlineStr">
        <is>
          <t>ÖSTERGÖTLANDS LÄN</t>
        </is>
      </c>
      <c r="E130" t="inlineStr">
        <is>
          <t>LINKÖPING</t>
        </is>
      </c>
      <c r="F130" t="inlineStr">
        <is>
          <t>Övriga Aktiebolag</t>
        </is>
      </c>
      <c r="G130" t="n">
        <v>0.8</v>
      </c>
      <c r="H130" t="n">
        <v>1</v>
      </c>
      <c r="I130" t="n">
        <v>0</v>
      </c>
      <c r="J130" t="n">
        <v>0</v>
      </c>
      <c r="K130" t="n">
        <v>0</v>
      </c>
      <c r="L130" t="n">
        <v>0</v>
      </c>
      <c r="M130" t="n">
        <v>0</v>
      </c>
      <c r="N130" t="n">
        <v>0</v>
      </c>
      <c r="O130" t="n">
        <v>0</v>
      </c>
      <c r="P130" t="n">
        <v>0</v>
      </c>
      <c r="Q130" t="n">
        <v>1</v>
      </c>
      <c r="R130" s="2" t="inlineStr">
        <is>
          <t>Kråka</t>
        </is>
      </c>
      <c r="S130">
        <f>HYPERLINK("https://klasma.github.io/Logging_0580/artfynd/A 56756-2023 artfynd.xlsx", "A 56756-2023")</f>
        <v/>
      </c>
      <c r="T130">
        <f>HYPERLINK("https://klasma.github.io/Logging_0580/kartor/A 56756-2023 karta.png", "A 56756-2023")</f>
        <v/>
      </c>
      <c r="V130">
        <f>HYPERLINK("https://klasma.github.io/Logging_0580/klagomål/A 56756-2023 FSC-klagomål.docx", "A 56756-2023")</f>
        <v/>
      </c>
      <c r="W130">
        <f>HYPERLINK("https://klasma.github.io/Logging_0580/klagomålsmail/A 56756-2023 FSC-klagomål mail.docx", "A 56756-2023")</f>
        <v/>
      </c>
      <c r="X130">
        <f>HYPERLINK("https://klasma.github.io/Logging_0580/tillsyn/A 56756-2023 tillsynsbegäran.docx", "A 56756-2023")</f>
        <v/>
      </c>
      <c r="Y130">
        <f>HYPERLINK("https://klasma.github.io/Logging_0580/tillsynsmail/A 56756-2023 tillsynsbegäran mail.docx", "A 56756-2023")</f>
        <v/>
      </c>
      <c r="Z130">
        <f>HYPERLINK("https://klasma.github.io/Logging_0580/fåglar/A 56756-2023 prioriterade fågelarter.docx", "A 56756-2023")</f>
        <v/>
      </c>
    </row>
    <row r="131" ht="15" customHeight="1">
      <c r="A131" t="inlineStr">
        <is>
          <t>A 3011-2023</t>
        </is>
      </c>
      <c r="B131" s="1" t="n">
        <v>44945</v>
      </c>
      <c r="C131" s="1" t="n">
        <v>46194</v>
      </c>
      <c r="D131" t="inlineStr">
        <is>
          <t>ÖSTERGÖTLANDS LÄN</t>
        </is>
      </c>
      <c r="E131" t="inlineStr">
        <is>
          <t>LINKÖPING</t>
        </is>
      </c>
      <c r="G131" t="n">
        <v>0.6</v>
      </c>
      <c r="H131" t="n">
        <v>1</v>
      </c>
      <c r="I131" t="n">
        <v>0</v>
      </c>
      <c r="J131" t="n">
        <v>1</v>
      </c>
      <c r="K131" t="n">
        <v>0</v>
      </c>
      <c r="L131" t="n">
        <v>0</v>
      </c>
      <c r="M131" t="n">
        <v>0</v>
      </c>
      <c r="N131" t="n">
        <v>0</v>
      </c>
      <c r="O131" t="n">
        <v>1</v>
      </c>
      <c r="P131" t="n">
        <v>0</v>
      </c>
      <c r="Q131" t="n">
        <v>1</v>
      </c>
      <c r="R131" s="2" t="inlineStr">
        <is>
          <t>Dårgräsfjäril</t>
        </is>
      </c>
      <c r="S131">
        <f>HYPERLINK("https://klasma.github.io/Logging_0580/artfynd/A 3011-2023 artfynd.xlsx", "A 3011-2023")</f>
        <v/>
      </c>
      <c r="T131">
        <f>HYPERLINK("https://klasma.github.io/Logging_0580/kartor/A 3011-2023 karta.png", "A 3011-2023")</f>
        <v/>
      </c>
      <c r="V131">
        <f>HYPERLINK("https://klasma.github.io/Logging_0580/klagomål/A 3011-2023 FSC-klagomål.docx", "A 3011-2023")</f>
        <v/>
      </c>
      <c r="W131">
        <f>HYPERLINK("https://klasma.github.io/Logging_0580/klagomålsmail/A 3011-2023 FSC-klagomål mail.docx", "A 3011-2023")</f>
        <v/>
      </c>
      <c r="X131">
        <f>HYPERLINK("https://klasma.github.io/Logging_0580/tillsyn/A 3011-2023 tillsynsbegäran.docx", "A 3011-2023")</f>
        <v/>
      </c>
      <c r="Y131">
        <f>HYPERLINK("https://klasma.github.io/Logging_0580/tillsynsmail/A 3011-2023 tillsynsbegäran mail.docx", "A 3011-2023")</f>
        <v/>
      </c>
    </row>
    <row r="132" ht="15" customHeight="1">
      <c r="A132" t="inlineStr">
        <is>
          <t>A 25229-2026</t>
        </is>
      </c>
      <c r="B132" s="1" t="n">
        <v>46175</v>
      </c>
      <c r="C132" s="1" t="n">
        <v>46194</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46194</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57766-2023</t>
        </is>
      </c>
      <c r="B134" s="1" t="n">
        <v>45246</v>
      </c>
      <c r="C134" s="1" t="n">
        <v>46194</v>
      </c>
      <c r="D134" t="inlineStr">
        <is>
          <t>ÖSTERGÖTLANDS LÄN</t>
        </is>
      </c>
      <c r="E134" t="inlineStr">
        <is>
          <t>LINKÖPING</t>
        </is>
      </c>
      <c r="F134" t="inlineStr">
        <is>
          <t>Allmännings- och besparingsskogar</t>
        </is>
      </c>
      <c r="G134" t="n">
        <v>12.8</v>
      </c>
      <c r="H134" t="n">
        <v>1</v>
      </c>
      <c r="I134" t="n">
        <v>0</v>
      </c>
      <c r="J134" t="n">
        <v>0</v>
      </c>
      <c r="K134" t="n">
        <v>0</v>
      </c>
      <c r="L134" t="n">
        <v>0</v>
      </c>
      <c r="M134" t="n">
        <v>0</v>
      </c>
      <c r="N134" t="n">
        <v>0</v>
      </c>
      <c r="O134" t="n">
        <v>0</v>
      </c>
      <c r="P134" t="n">
        <v>0</v>
      </c>
      <c r="Q134" t="n">
        <v>1</v>
      </c>
      <c r="R134" s="2" t="inlineStr">
        <is>
          <t>Vanlig padda</t>
        </is>
      </c>
      <c r="S134">
        <f>HYPERLINK("https://klasma.github.io/Logging_0580/artfynd/A 57766-2023 artfynd.xlsx", "A 57766-2023")</f>
        <v/>
      </c>
      <c r="T134">
        <f>HYPERLINK("https://klasma.github.io/Logging_0580/kartor/A 57766-2023 karta.png", "A 57766-2023")</f>
        <v/>
      </c>
      <c r="V134">
        <f>HYPERLINK("https://klasma.github.io/Logging_0580/klagomål/A 57766-2023 FSC-klagomål.docx", "A 57766-2023")</f>
        <v/>
      </c>
      <c r="W134">
        <f>HYPERLINK("https://klasma.github.io/Logging_0580/klagomålsmail/A 57766-2023 FSC-klagomål mail.docx", "A 57766-2023")</f>
        <v/>
      </c>
      <c r="X134">
        <f>HYPERLINK("https://klasma.github.io/Logging_0580/tillsyn/A 57766-2023 tillsynsbegäran.docx", "A 57766-2023")</f>
        <v/>
      </c>
      <c r="Y134">
        <f>HYPERLINK("https://klasma.github.io/Logging_0580/tillsynsmail/A 57766-2023 tillsynsbegäran mail.docx", "A 57766-2023")</f>
        <v/>
      </c>
    </row>
    <row r="135" ht="15" customHeight="1">
      <c r="A135" t="inlineStr">
        <is>
          <t>A 25262-2026</t>
        </is>
      </c>
      <c r="B135" s="1" t="n">
        <v>46175</v>
      </c>
      <c r="C135" s="1" t="n">
        <v>46194</v>
      </c>
      <c r="D135" t="inlineStr">
        <is>
          <t>ÖSTERGÖTLANDS LÄN</t>
        </is>
      </c>
      <c r="E135" t="inlineStr">
        <is>
          <t>LINKÖPING</t>
        </is>
      </c>
      <c r="G135" t="n">
        <v>0.9</v>
      </c>
      <c r="H135" t="n">
        <v>0</v>
      </c>
      <c r="I135" t="n">
        <v>0</v>
      </c>
      <c r="J135" t="n">
        <v>1</v>
      </c>
      <c r="K135" t="n">
        <v>0</v>
      </c>
      <c r="L135" t="n">
        <v>0</v>
      </c>
      <c r="M135" t="n">
        <v>0</v>
      </c>
      <c r="N135" t="n">
        <v>0</v>
      </c>
      <c r="O135" t="n">
        <v>1</v>
      </c>
      <c r="P135" t="n">
        <v>0</v>
      </c>
      <c r="Q135" t="n">
        <v>1</v>
      </c>
      <c r="R135" s="2" t="inlineStr">
        <is>
          <t>Gullklöver</t>
        </is>
      </c>
      <c r="S135">
        <f>HYPERLINK("https://klasma.github.io/Logging_0580/artfynd/A 25262-2026 artfynd.xlsx", "A 25262-2026")</f>
        <v/>
      </c>
      <c r="T135">
        <f>HYPERLINK("https://klasma.github.io/Logging_0580/kartor/A 25262-2026 karta.png", "A 25262-2026")</f>
        <v/>
      </c>
      <c r="V135">
        <f>HYPERLINK("https://klasma.github.io/Logging_0580/klagomål/A 25262-2026 FSC-klagomål.docx", "A 25262-2026")</f>
        <v/>
      </c>
      <c r="W135">
        <f>HYPERLINK("https://klasma.github.io/Logging_0580/klagomålsmail/A 25262-2026 FSC-klagomål mail.docx", "A 25262-2026")</f>
        <v/>
      </c>
      <c r="X135">
        <f>HYPERLINK("https://klasma.github.io/Logging_0580/tillsyn/A 25262-2026 tillsynsbegäran.docx", "A 25262-2026")</f>
        <v/>
      </c>
      <c r="Y135">
        <f>HYPERLINK("https://klasma.github.io/Logging_0580/tillsynsmail/A 25262-2026 tillsynsbegäran mail.docx", "A 25262-2026")</f>
        <v/>
      </c>
    </row>
    <row r="136" ht="15" customHeight="1">
      <c r="A136" t="inlineStr">
        <is>
          <t>A 54332-2025</t>
        </is>
      </c>
      <c r="B136" s="1" t="n">
        <v>45965</v>
      </c>
      <c r="C136" s="1" t="n">
        <v>46194</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25901-2026</t>
        </is>
      </c>
      <c r="B137" s="1" t="n">
        <v>46178</v>
      </c>
      <c r="C137" s="1" t="n">
        <v>46194</v>
      </c>
      <c r="D137" t="inlineStr">
        <is>
          <t>ÖSTERGÖTLANDS LÄN</t>
        </is>
      </c>
      <c r="E137" t="inlineStr">
        <is>
          <t>LINKÖPING</t>
        </is>
      </c>
      <c r="G137" t="n">
        <v>4.9</v>
      </c>
      <c r="H137" t="n">
        <v>1</v>
      </c>
      <c r="I137" t="n">
        <v>1</v>
      </c>
      <c r="J137" t="n">
        <v>0</v>
      </c>
      <c r="K137" t="n">
        <v>0</v>
      </c>
      <c r="L137" t="n">
        <v>0</v>
      </c>
      <c r="M137" t="n">
        <v>0</v>
      </c>
      <c r="N137" t="n">
        <v>0</v>
      </c>
      <c r="O137" t="n">
        <v>0</v>
      </c>
      <c r="P137" t="n">
        <v>0</v>
      </c>
      <c r="Q137" t="n">
        <v>1</v>
      </c>
      <c r="R137" s="2" t="inlineStr">
        <is>
          <t>Skogsknipprot</t>
        </is>
      </c>
      <c r="S137">
        <f>HYPERLINK("https://klasma.github.io/Logging_0580/artfynd/A 25901-2026 artfynd.xlsx", "A 25901-2026")</f>
        <v/>
      </c>
      <c r="T137">
        <f>HYPERLINK("https://klasma.github.io/Logging_0580/kartor/A 25901-2026 karta.png", "A 25901-2026")</f>
        <v/>
      </c>
      <c r="V137">
        <f>HYPERLINK("https://klasma.github.io/Logging_0580/klagomål/A 25901-2026 FSC-klagomål.docx", "A 25901-2026")</f>
        <v/>
      </c>
      <c r="W137">
        <f>HYPERLINK("https://klasma.github.io/Logging_0580/klagomålsmail/A 25901-2026 FSC-klagomål mail.docx", "A 25901-2026")</f>
        <v/>
      </c>
      <c r="X137">
        <f>HYPERLINK("https://klasma.github.io/Logging_0580/tillsyn/A 25901-2026 tillsynsbegäran.docx", "A 25901-2026")</f>
        <v/>
      </c>
      <c r="Y137">
        <f>HYPERLINK("https://klasma.github.io/Logging_0580/tillsynsmail/A 25901-2026 tillsynsbegäran mail.docx", "A 25901-2026")</f>
        <v/>
      </c>
    </row>
    <row r="138" ht="15" customHeight="1">
      <c r="A138" t="inlineStr">
        <is>
          <t>A 38881-2021</t>
        </is>
      </c>
      <c r="B138" s="1" t="n">
        <v>44411</v>
      </c>
      <c r="C138" s="1" t="n">
        <v>46194</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46194</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46194</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46194</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46194</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46194</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46194</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46194</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46194</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46194</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46194</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46194</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46194</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46194</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46194</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46194</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46194</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46194</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53146-2021</t>
        </is>
      </c>
      <c r="B156" s="1" t="n">
        <v>44466</v>
      </c>
      <c r="C156" s="1" t="n">
        <v>46194</v>
      </c>
      <c r="D156" t="inlineStr">
        <is>
          <t>ÖSTERGÖTLANDS LÄN</t>
        </is>
      </c>
      <c r="E156" t="inlineStr">
        <is>
          <t>LINKÖPING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46194</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31703-2022</t>
        </is>
      </c>
      <c r="B158" s="1" t="n">
        <v>44776</v>
      </c>
      <c r="C158" s="1" t="n">
        <v>46194</v>
      </c>
      <c r="D158" t="inlineStr">
        <is>
          <t>ÖSTERGÖTLANDS LÄN</t>
        </is>
      </c>
      <c r="E158" t="inlineStr">
        <is>
          <t>LINKÖPING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46194</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46194</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46194</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46194</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37012-2021</t>
        </is>
      </c>
      <c r="B163" s="1" t="n">
        <v>44393</v>
      </c>
      <c r="C163" s="1" t="n">
        <v>46194</v>
      </c>
      <c r="D163" t="inlineStr">
        <is>
          <t>ÖSTERGÖTLANDS LÄN</t>
        </is>
      </c>
      <c r="E163" t="inlineStr">
        <is>
          <t>LINKÖPING</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46730-2021</t>
        </is>
      </c>
      <c r="B164" s="1" t="n">
        <v>44445</v>
      </c>
      <c r="C164" s="1" t="n">
        <v>46194</v>
      </c>
      <c r="D164" t="inlineStr">
        <is>
          <t>ÖSTERGÖTLANDS LÄN</t>
        </is>
      </c>
      <c r="E164" t="inlineStr">
        <is>
          <t>LINKÖPING</t>
        </is>
      </c>
      <c r="F164" t="inlineStr">
        <is>
          <t>Övriga statliga verk och myndigheter</t>
        </is>
      </c>
      <c r="G164" t="n">
        <v>1.1</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46194</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29470-2022</t>
        </is>
      </c>
      <c r="B166" s="1" t="n">
        <v>44753</v>
      </c>
      <c r="C166" s="1" t="n">
        <v>46194</v>
      </c>
      <c r="D166" t="inlineStr">
        <is>
          <t>ÖSTERGÖTLANDS LÄN</t>
        </is>
      </c>
      <c r="E166" t="inlineStr">
        <is>
          <t>LINKÖPING</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46194</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46194</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46194</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58258-2021</t>
        </is>
      </c>
      <c r="B170" s="1" t="n">
        <v>44487</v>
      </c>
      <c r="C170" s="1" t="n">
        <v>46194</v>
      </c>
      <c r="D170" t="inlineStr">
        <is>
          <t>ÖSTERGÖTLANDS LÄN</t>
        </is>
      </c>
      <c r="E170" t="inlineStr">
        <is>
          <t>LINKÖPING</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46194</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53660-2021</t>
        </is>
      </c>
      <c r="B172" s="1" t="n">
        <v>44469</v>
      </c>
      <c r="C172" s="1" t="n">
        <v>46194</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46194</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46194</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46194</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46194</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46194</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46194</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46194</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46194</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46194</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46194</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46194</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54467-2022</t>
        </is>
      </c>
      <c r="B184" s="1" t="n">
        <v>44882</v>
      </c>
      <c r="C184" s="1" t="n">
        <v>46194</v>
      </c>
      <c r="D184" t="inlineStr">
        <is>
          <t>ÖSTERGÖTLANDS LÄN</t>
        </is>
      </c>
      <c r="E184" t="inlineStr">
        <is>
          <t>LINKÖPING</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46194</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46194</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46194</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46194</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46194</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46194</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46194</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46194</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46194</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46194</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46194</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46194</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46194</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46194</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46194</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46194</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46194</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46194</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56917-2022</t>
        </is>
      </c>
      <c r="B203" s="1" t="n">
        <v>44894</v>
      </c>
      <c r="C203" s="1" t="n">
        <v>46194</v>
      </c>
      <c r="D203" t="inlineStr">
        <is>
          <t>ÖSTERGÖTLANDS LÄN</t>
        </is>
      </c>
      <c r="E203" t="inlineStr">
        <is>
          <t>LINKÖPING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23416-2022</t>
        </is>
      </c>
      <c r="B204" s="1" t="n">
        <v>44720</v>
      </c>
      <c r="C204" s="1" t="n">
        <v>46194</v>
      </c>
      <c r="D204" t="inlineStr">
        <is>
          <t>ÖSTERGÖTLANDS LÄN</t>
        </is>
      </c>
      <c r="E204" t="inlineStr">
        <is>
          <t>LINKÖPING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31732-2022</t>
        </is>
      </c>
      <c r="B205" s="1" t="n">
        <v>44776</v>
      </c>
      <c r="C205" s="1" t="n">
        <v>46194</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5605-2022</t>
        </is>
      </c>
      <c r="B206" s="1" t="n">
        <v>44595</v>
      </c>
      <c r="C206" s="1" t="n">
        <v>46194</v>
      </c>
      <c r="D206" t="inlineStr">
        <is>
          <t>ÖSTERGÖTLANDS LÄN</t>
        </is>
      </c>
      <c r="E206" t="inlineStr">
        <is>
          <t>LINKÖPING</t>
        </is>
      </c>
      <c r="F206" t="inlineStr">
        <is>
          <t>Övriga statliga verk och myndigheter</t>
        </is>
      </c>
      <c r="G206" t="n">
        <v>3</v>
      </c>
      <c r="H206" t="n">
        <v>0</v>
      </c>
      <c r="I206" t="n">
        <v>0</v>
      </c>
      <c r="J206" t="n">
        <v>0</v>
      </c>
      <c r="K206" t="n">
        <v>0</v>
      </c>
      <c r="L206" t="n">
        <v>0</v>
      </c>
      <c r="M206" t="n">
        <v>0</v>
      </c>
      <c r="N206" t="n">
        <v>0</v>
      </c>
      <c r="O206" t="n">
        <v>0</v>
      </c>
      <c r="P206" t="n">
        <v>0</v>
      </c>
      <c r="Q206" t="n">
        <v>0</v>
      </c>
      <c r="R206" s="2" t="inlineStr"/>
    </row>
    <row r="207" ht="15" customHeight="1">
      <c r="A207" t="inlineStr">
        <is>
          <t>A 56688-2021</t>
        </is>
      </c>
      <c r="B207" s="1" t="n">
        <v>44481</v>
      </c>
      <c r="C207" s="1" t="n">
        <v>46194</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1265-2023</t>
        </is>
      </c>
      <c r="B208" s="1" t="n">
        <v>44936</v>
      </c>
      <c r="C208" s="1" t="n">
        <v>46194</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55493-2021</t>
        </is>
      </c>
      <c r="B209" s="1" t="n">
        <v>44475</v>
      </c>
      <c r="C209" s="1" t="n">
        <v>46194</v>
      </c>
      <c r="D209" t="inlineStr">
        <is>
          <t>ÖSTERGÖTLANDS LÄN</t>
        </is>
      </c>
      <c r="E209" t="inlineStr">
        <is>
          <t>LINKÖPING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46194</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6054-2022</t>
        </is>
      </c>
      <c r="B211" s="1" t="n">
        <v>44599</v>
      </c>
      <c r="C211" s="1" t="n">
        <v>46194</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45831-2024</t>
        </is>
      </c>
      <c r="B212" s="1" t="n">
        <v>45579</v>
      </c>
      <c r="C212" s="1" t="n">
        <v>46194</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25119-2023</t>
        </is>
      </c>
      <c r="B213" s="1" t="n">
        <v>45086</v>
      </c>
      <c r="C213" s="1" t="n">
        <v>46194</v>
      </c>
      <c r="D213" t="inlineStr">
        <is>
          <t>ÖSTERGÖTLANDS LÄN</t>
        </is>
      </c>
      <c r="E213" t="inlineStr">
        <is>
          <t>LINKÖPING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57396-2021</t>
        </is>
      </c>
      <c r="B214" s="1" t="n">
        <v>44483</v>
      </c>
      <c r="C214" s="1" t="n">
        <v>46194</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50386-2021</t>
        </is>
      </c>
      <c r="B215" s="1" t="n">
        <v>44459</v>
      </c>
      <c r="C215" s="1" t="n">
        <v>46194</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35781-2023</t>
        </is>
      </c>
      <c r="B216" s="1" t="n">
        <v>45147</v>
      </c>
      <c r="C216" s="1" t="n">
        <v>46194</v>
      </c>
      <c r="D216" t="inlineStr">
        <is>
          <t>ÖSTERGÖTLANDS LÄN</t>
        </is>
      </c>
      <c r="E216" t="inlineStr">
        <is>
          <t>LINKÖPING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46194</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34162-2022</t>
        </is>
      </c>
      <c r="B218" s="1" t="n">
        <v>44791</v>
      </c>
      <c r="C218" s="1" t="n">
        <v>46194</v>
      </c>
      <c r="D218" t="inlineStr">
        <is>
          <t>ÖSTERGÖTLANDS LÄN</t>
        </is>
      </c>
      <c r="E218" t="inlineStr">
        <is>
          <t>LINKÖPING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11671-2023</t>
        </is>
      </c>
      <c r="B219" s="1" t="n">
        <v>44994</v>
      </c>
      <c r="C219" s="1" t="n">
        <v>46194</v>
      </c>
      <c r="D219" t="inlineStr">
        <is>
          <t>ÖSTERGÖTLANDS LÄN</t>
        </is>
      </c>
      <c r="E219" t="inlineStr">
        <is>
          <t>LINKÖPING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61333-2021</t>
        </is>
      </c>
      <c r="B220" s="1" t="n">
        <v>44498</v>
      </c>
      <c r="C220" s="1" t="n">
        <v>46194</v>
      </c>
      <c r="D220" t="inlineStr">
        <is>
          <t>ÖSTERGÖTLANDS LÄN</t>
        </is>
      </c>
      <c r="E220" t="inlineStr">
        <is>
          <t>LINKÖPING</t>
        </is>
      </c>
      <c r="G220" t="n">
        <v>7.5</v>
      </c>
      <c r="H220" t="n">
        <v>0</v>
      </c>
      <c r="I220" t="n">
        <v>0</v>
      </c>
      <c r="J220" t="n">
        <v>0</v>
      </c>
      <c r="K220" t="n">
        <v>0</v>
      </c>
      <c r="L220" t="n">
        <v>0</v>
      </c>
      <c r="M220" t="n">
        <v>0</v>
      </c>
      <c r="N220" t="n">
        <v>0</v>
      </c>
      <c r="O220" t="n">
        <v>0</v>
      </c>
      <c r="P220" t="n">
        <v>0</v>
      </c>
      <c r="Q220" t="n">
        <v>0</v>
      </c>
      <c r="R220" s="2" t="inlineStr"/>
    </row>
    <row r="221" ht="15" customHeight="1">
      <c r="A221" t="inlineStr">
        <is>
          <t>A 58114-2021</t>
        </is>
      </c>
      <c r="B221" s="1" t="n">
        <v>44487</v>
      </c>
      <c r="C221" s="1" t="n">
        <v>46194</v>
      </c>
      <c r="D221" t="inlineStr">
        <is>
          <t>ÖSTERGÖTLANDS LÄN</t>
        </is>
      </c>
      <c r="E221" t="inlineStr">
        <is>
          <t>LINKÖPING</t>
        </is>
      </c>
      <c r="F221" t="inlineStr">
        <is>
          <t>Övriga Aktiebolag</t>
        </is>
      </c>
      <c r="G221" t="n">
        <v>0.8</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46194</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54425-2022</t>
        </is>
      </c>
      <c r="B223" s="1" t="n">
        <v>44882</v>
      </c>
      <c r="C223" s="1" t="n">
        <v>46194</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52892-2024</t>
        </is>
      </c>
      <c r="B224" s="1" t="n">
        <v>45610</v>
      </c>
      <c r="C224" s="1" t="n">
        <v>46194</v>
      </c>
      <c r="D224" t="inlineStr">
        <is>
          <t>ÖSTERGÖTLANDS LÄN</t>
        </is>
      </c>
      <c r="E224" t="inlineStr">
        <is>
          <t>LINKÖPING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33891-2021</t>
        </is>
      </c>
      <c r="B225" s="1" t="n">
        <v>44378</v>
      </c>
      <c r="C225" s="1" t="n">
        <v>46194</v>
      </c>
      <c r="D225" t="inlineStr">
        <is>
          <t>ÖSTERGÖTLANDS LÄN</t>
        </is>
      </c>
      <c r="E225" t="inlineStr">
        <is>
          <t>LINKÖPING</t>
        </is>
      </c>
      <c r="G225" t="n">
        <v>5.1</v>
      </c>
      <c r="H225" t="n">
        <v>0</v>
      </c>
      <c r="I225" t="n">
        <v>0</v>
      </c>
      <c r="J225" t="n">
        <v>0</v>
      </c>
      <c r="K225" t="n">
        <v>0</v>
      </c>
      <c r="L225" t="n">
        <v>0</v>
      </c>
      <c r="M225" t="n">
        <v>0</v>
      </c>
      <c r="N225" t="n">
        <v>0</v>
      </c>
      <c r="O225" t="n">
        <v>0</v>
      </c>
      <c r="P225" t="n">
        <v>0</v>
      </c>
      <c r="Q225" t="n">
        <v>0</v>
      </c>
      <c r="R225" s="2" t="inlineStr"/>
    </row>
    <row r="226" ht="15" customHeight="1">
      <c r="A226" t="inlineStr">
        <is>
          <t>A 30547-2023</t>
        </is>
      </c>
      <c r="B226" s="1" t="n">
        <v>45111</v>
      </c>
      <c r="C226" s="1" t="n">
        <v>46194</v>
      </c>
      <c r="D226" t="inlineStr">
        <is>
          <t>ÖSTERGÖTLANDS LÄN</t>
        </is>
      </c>
      <c r="E226" t="inlineStr">
        <is>
          <t>LINKÖPING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3008-2023</t>
        </is>
      </c>
      <c r="B227" s="1" t="n">
        <v>44945</v>
      </c>
      <c r="C227" s="1" t="n">
        <v>46194</v>
      </c>
      <c r="D227" t="inlineStr">
        <is>
          <t>ÖSTERGÖTLANDS LÄN</t>
        </is>
      </c>
      <c r="E227" t="inlineStr">
        <is>
          <t>LINKÖPING</t>
        </is>
      </c>
      <c r="G227" t="n">
        <v>19.3</v>
      </c>
      <c r="H227" t="n">
        <v>0</v>
      </c>
      <c r="I227" t="n">
        <v>0</v>
      </c>
      <c r="J227" t="n">
        <v>0</v>
      </c>
      <c r="K227" t="n">
        <v>0</v>
      </c>
      <c r="L227" t="n">
        <v>0</v>
      </c>
      <c r="M227" t="n">
        <v>0</v>
      </c>
      <c r="N227" t="n">
        <v>0</v>
      </c>
      <c r="O227" t="n">
        <v>0</v>
      </c>
      <c r="P227" t="n">
        <v>0</v>
      </c>
      <c r="Q227" t="n">
        <v>0</v>
      </c>
      <c r="R227" s="2" t="inlineStr"/>
    </row>
    <row r="228" ht="15" customHeight="1">
      <c r="A228" t="inlineStr">
        <is>
          <t>A 26788-2022</t>
        </is>
      </c>
      <c r="B228" s="1" t="n">
        <v>44740</v>
      </c>
      <c r="C228" s="1" t="n">
        <v>46194</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15121-2022</t>
        </is>
      </c>
      <c r="B229" s="1" t="n">
        <v>44658</v>
      </c>
      <c r="C229" s="1" t="n">
        <v>46194</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61153-2021</t>
        </is>
      </c>
      <c r="B230" s="1" t="n">
        <v>44497</v>
      </c>
      <c r="C230" s="1" t="n">
        <v>46194</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55009-2023</t>
        </is>
      </c>
      <c r="B231" s="1" t="n">
        <v>45237</v>
      </c>
      <c r="C231" s="1" t="n">
        <v>46194</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v>
      </c>
      <c r="C232" s="1" t="n">
        <v>46194</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55736-2022</t>
        </is>
      </c>
      <c r="B233" s="1" t="n">
        <v>44888</v>
      </c>
      <c r="C233" s="1" t="n">
        <v>46194</v>
      </c>
      <c r="D233" t="inlineStr">
        <is>
          <t>ÖSTERGÖTLANDS LÄN</t>
        </is>
      </c>
      <c r="E233" t="inlineStr">
        <is>
          <t>LINKÖPING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660-2023</t>
        </is>
      </c>
      <c r="B234" s="1" t="n">
        <v>44930</v>
      </c>
      <c r="C234" s="1" t="n">
        <v>46194</v>
      </c>
      <c r="D234" t="inlineStr">
        <is>
          <t>ÖSTERGÖTLANDS LÄN</t>
        </is>
      </c>
      <c r="E234" t="inlineStr">
        <is>
          <t>LINKÖPING</t>
        </is>
      </c>
      <c r="F234" t="inlineStr">
        <is>
          <t>Kyrkan</t>
        </is>
      </c>
      <c r="G234" t="n">
        <v>1.6</v>
      </c>
      <c r="H234" t="n">
        <v>0</v>
      </c>
      <c r="I234" t="n">
        <v>0</v>
      </c>
      <c r="J234" t="n">
        <v>0</v>
      </c>
      <c r="K234" t="n">
        <v>0</v>
      </c>
      <c r="L234" t="n">
        <v>0</v>
      </c>
      <c r="M234" t="n">
        <v>0</v>
      </c>
      <c r="N234" t="n">
        <v>0</v>
      </c>
      <c r="O234" t="n">
        <v>0</v>
      </c>
      <c r="P234" t="n">
        <v>0</v>
      </c>
      <c r="Q234" t="n">
        <v>0</v>
      </c>
      <c r="R234" s="2" t="inlineStr"/>
    </row>
    <row r="235" ht="15" customHeight="1">
      <c r="A235" t="inlineStr">
        <is>
          <t>A 33885-2021</t>
        </is>
      </c>
      <c r="B235" s="1" t="n">
        <v>44378</v>
      </c>
      <c r="C235" s="1" t="n">
        <v>46194</v>
      </c>
      <c r="D235" t="inlineStr">
        <is>
          <t>ÖSTERGÖTLANDS LÄN</t>
        </is>
      </c>
      <c r="E235" t="inlineStr">
        <is>
          <t>LINKÖPING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64694-2023</t>
        </is>
      </c>
      <c r="B236" s="1" t="n">
        <v>45281</v>
      </c>
      <c r="C236" s="1" t="n">
        <v>46194</v>
      </c>
      <c r="D236" t="inlineStr">
        <is>
          <t>ÖSTERGÖTLANDS LÄN</t>
        </is>
      </c>
      <c r="E236" t="inlineStr">
        <is>
          <t>LINKÖPING</t>
        </is>
      </c>
      <c r="F236" t="inlineStr">
        <is>
          <t>Övriga statliga verk och myndigheter</t>
        </is>
      </c>
      <c r="G236" t="n">
        <v>4.9</v>
      </c>
      <c r="H236" t="n">
        <v>0</v>
      </c>
      <c r="I236" t="n">
        <v>0</v>
      </c>
      <c r="J236" t="n">
        <v>0</v>
      </c>
      <c r="K236" t="n">
        <v>0</v>
      </c>
      <c r="L236" t="n">
        <v>0</v>
      </c>
      <c r="M236" t="n">
        <v>0</v>
      </c>
      <c r="N236" t="n">
        <v>0</v>
      </c>
      <c r="O236" t="n">
        <v>0</v>
      </c>
      <c r="P236" t="n">
        <v>0</v>
      </c>
      <c r="Q236" t="n">
        <v>0</v>
      </c>
      <c r="R236" s="2" t="inlineStr"/>
    </row>
    <row r="237" ht="15" customHeight="1">
      <c r="A237" t="inlineStr">
        <is>
          <t>A 30434-2024</t>
        </is>
      </c>
      <c r="B237" s="1" t="n">
        <v>45491</v>
      </c>
      <c r="C237" s="1" t="n">
        <v>46194</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32255-2021</t>
        </is>
      </c>
      <c r="B238" s="1" t="n">
        <v>44371</v>
      </c>
      <c r="C238" s="1" t="n">
        <v>46194</v>
      </c>
      <c r="D238" t="inlineStr">
        <is>
          <t>ÖSTERGÖTLANDS LÄN</t>
        </is>
      </c>
      <c r="E238" t="inlineStr">
        <is>
          <t>LINKÖPING</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63487-2023</t>
        </is>
      </c>
      <c r="B239" s="1" t="n">
        <v>45274</v>
      </c>
      <c r="C239" s="1" t="n">
        <v>46194</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38235-2022</t>
        </is>
      </c>
      <c r="B240" s="1" t="n">
        <v>44812</v>
      </c>
      <c r="C240" s="1" t="n">
        <v>46194</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11084-2022</t>
        </is>
      </c>
      <c r="B241" s="1" t="n">
        <v>44628</v>
      </c>
      <c r="C241" s="1" t="n">
        <v>46194</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46490-2022</t>
        </is>
      </c>
      <c r="B242" s="1" t="n">
        <v>44848</v>
      </c>
      <c r="C242" s="1" t="n">
        <v>46194</v>
      </c>
      <c r="D242" t="inlineStr">
        <is>
          <t>ÖSTERGÖTLANDS LÄN</t>
        </is>
      </c>
      <c r="E242" t="inlineStr">
        <is>
          <t>LINKÖPING</t>
        </is>
      </c>
      <c r="G242" t="n">
        <v>3.5</v>
      </c>
      <c r="H242" t="n">
        <v>0</v>
      </c>
      <c r="I242" t="n">
        <v>0</v>
      </c>
      <c r="J242" t="n">
        <v>0</v>
      </c>
      <c r="K242" t="n">
        <v>0</v>
      </c>
      <c r="L242" t="n">
        <v>0</v>
      </c>
      <c r="M242" t="n">
        <v>0</v>
      </c>
      <c r="N242" t="n">
        <v>0</v>
      </c>
      <c r="O242" t="n">
        <v>0</v>
      </c>
      <c r="P242" t="n">
        <v>0</v>
      </c>
      <c r="Q242" t="n">
        <v>0</v>
      </c>
      <c r="R242" s="2" t="inlineStr"/>
    </row>
    <row r="243" ht="15" customHeight="1">
      <c r="A243" t="inlineStr">
        <is>
          <t>A 34880-2022</t>
        </is>
      </c>
      <c r="B243" s="1" t="n">
        <v>44796</v>
      </c>
      <c r="C243" s="1" t="n">
        <v>46194</v>
      </c>
      <c r="D243" t="inlineStr">
        <is>
          <t>ÖSTERGÖTLANDS LÄN</t>
        </is>
      </c>
      <c r="E243" t="inlineStr">
        <is>
          <t>LINKÖPING</t>
        </is>
      </c>
      <c r="F243" t="inlineStr">
        <is>
          <t>Övriga statliga verk och myndigheter</t>
        </is>
      </c>
      <c r="G243" t="n">
        <v>4</v>
      </c>
      <c r="H243" t="n">
        <v>0</v>
      </c>
      <c r="I243" t="n">
        <v>0</v>
      </c>
      <c r="J243" t="n">
        <v>0</v>
      </c>
      <c r="K243" t="n">
        <v>0</v>
      </c>
      <c r="L243" t="n">
        <v>0</v>
      </c>
      <c r="M243" t="n">
        <v>0</v>
      </c>
      <c r="N243" t="n">
        <v>0</v>
      </c>
      <c r="O243" t="n">
        <v>0</v>
      </c>
      <c r="P243" t="n">
        <v>0</v>
      </c>
      <c r="Q243" t="n">
        <v>0</v>
      </c>
      <c r="R243" s="2" t="inlineStr"/>
    </row>
    <row r="244" ht="15" customHeight="1">
      <c r="A244" t="inlineStr">
        <is>
          <t>A 57745-2022</t>
        </is>
      </c>
      <c r="B244" s="1" t="n">
        <v>44897</v>
      </c>
      <c r="C244" s="1" t="n">
        <v>46194</v>
      </c>
      <c r="D244" t="inlineStr">
        <is>
          <t>ÖSTERGÖTLANDS LÄN</t>
        </is>
      </c>
      <c r="E244" t="inlineStr">
        <is>
          <t>LINKÖPING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20455-2024</t>
        </is>
      </c>
      <c r="B245" s="1" t="n">
        <v>45435</v>
      </c>
      <c r="C245" s="1" t="n">
        <v>46194</v>
      </c>
      <c r="D245" t="inlineStr">
        <is>
          <t>ÖSTERGÖTLANDS LÄN</t>
        </is>
      </c>
      <c r="E245" t="inlineStr">
        <is>
          <t>LINKÖPING</t>
        </is>
      </c>
      <c r="G245" t="n">
        <v>2.6</v>
      </c>
      <c r="H245" t="n">
        <v>0</v>
      </c>
      <c r="I245" t="n">
        <v>0</v>
      </c>
      <c r="J245" t="n">
        <v>0</v>
      </c>
      <c r="K245" t="n">
        <v>0</v>
      </c>
      <c r="L245" t="n">
        <v>0</v>
      </c>
      <c r="M245" t="n">
        <v>0</v>
      </c>
      <c r="N245" t="n">
        <v>0</v>
      </c>
      <c r="O245" t="n">
        <v>0</v>
      </c>
      <c r="P245" t="n">
        <v>0</v>
      </c>
      <c r="Q245" t="n">
        <v>0</v>
      </c>
      <c r="R245" s="2" t="inlineStr"/>
    </row>
    <row r="246" ht="15" customHeight="1">
      <c r="A246" t="inlineStr">
        <is>
          <t>A 30471-2023</t>
        </is>
      </c>
      <c r="B246" s="1" t="n">
        <v>45111</v>
      </c>
      <c r="C246" s="1" t="n">
        <v>46194</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14520-2025</t>
        </is>
      </c>
      <c r="B247" s="1" t="n">
        <v>45741</v>
      </c>
      <c r="C247" s="1" t="n">
        <v>46194</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14093-2024</t>
        </is>
      </c>
      <c r="B248" s="1" t="n">
        <v>45392</v>
      </c>
      <c r="C248" s="1" t="n">
        <v>46194</v>
      </c>
      <c r="D248" t="inlineStr">
        <is>
          <t>ÖSTERGÖTLANDS LÄN</t>
        </is>
      </c>
      <c r="E248" t="inlineStr">
        <is>
          <t>LINKÖPING</t>
        </is>
      </c>
      <c r="F248" t="inlineStr">
        <is>
          <t>Övriga Aktiebolag</t>
        </is>
      </c>
      <c r="G248" t="n">
        <v>0.6</v>
      </c>
      <c r="H248" t="n">
        <v>0</v>
      </c>
      <c r="I248" t="n">
        <v>0</v>
      </c>
      <c r="J248" t="n">
        <v>0</v>
      </c>
      <c r="K248" t="n">
        <v>0</v>
      </c>
      <c r="L248" t="n">
        <v>0</v>
      </c>
      <c r="M248" t="n">
        <v>0</v>
      </c>
      <c r="N248" t="n">
        <v>0</v>
      </c>
      <c r="O248" t="n">
        <v>0</v>
      </c>
      <c r="P248" t="n">
        <v>0</v>
      </c>
      <c r="Q248" t="n">
        <v>0</v>
      </c>
      <c r="R248" s="2" t="inlineStr"/>
    </row>
    <row r="249" ht="15" customHeight="1">
      <c r="A249" t="inlineStr">
        <is>
          <t>A 10407-2025</t>
        </is>
      </c>
      <c r="B249" s="1" t="n">
        <v>45720</v>
      </c>
      <c r="C249" s="1" t="n">
        <v>46194</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56064-2022</t>
        </is>
      </c>
      <c r="B250" s="1" t="n">
        <v>44889</v>
      </c>
      <c r="C250" s="1" t="n">
        <v>46194</v>
      </c>
      <c r="D250" t="inlineStr">
        <is>
          <t>ÖSTERGÖTLANDS LÄN</t>
        </is>
      </c>
      <c r="E250" t="inlineStr">
        <is>
          <t>LINKÖPING</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39021-2021</t>
        </is>
      </c>
      <c r="B251" s="1" t="n">
        <v>44412</v>
      </c>
      <c r="C251" s="1" t="n">
        <v>46194</v>
      </c>
      <c r="D251" t="inlineStr">
        <is>
          <t>ÖSTERGÖTLANDS LÄN</t>
        </is>
      </c>
      <c r="E251" t="inlineStr">
        <is>
          <t>LINKÖPING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40502-2024</t>
        </is>
      </c>
      <c r="B252" s="1" t="n">
        <v>45555</v>
      </c>
      <c r="C252" s="1" t="n">
        <v>46194</v>
      </c>
      <c r="D252" t="inlineStr">
        <is>
          <t>ÖSTERGÖTLANDS LÄN</t>
        </is>
      </c>
      <c r="E252" t="inlineStr">
        <is>
          <t>LINKÖPING</t>
        </is>
      </c>
      <c r="F252" t="inlineStr">
        <is>
          <t>Allmännings- och besparingsskogar</t>
        </is>
      </c>
      <c r="G252" t="n">
        <v>17.5</v>
      </c>
      <c r="H252" t="n">
        <v>0</v>
      </c>
      <c r="I252" t="n">
        <v>0</v>
      </c>
      <c r="J252" t="n">
        <v>0</v>
      </c>
      <c r="K252" t="n">
        <v>0</v>
      </c>
      <c r="L252" t="n">
        <v>0</v>
      </c>
      <c r="M252" t="n">
        <v>0</v>
      </c>
      <c r="N252" t="n">
        <v>0</v>
      </c>
      <c r="O252" t="n">
        <v>0</v>
      </c>
      <c r="P252" t="n">
        <v>0</v>
      </c>
      <c r="Q252" t="n">
        <v>0</v>
      </c>
      <c r="R252" s="2" t="inlineStr"/>
    </row>
    <row r="253" ht="15" customHeight="1">
      <c r="A253" t="inlineStr">
        <is>
          <t>A 63304-2021</t>
        </is>
      </c>
      <c r="B253" s="1" t="n">
        <v>44508</v>
      </c>
      <c r="C253" s="1" t="n">
        <v>46194</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19362-2023</t>
        </is>
      </c>
      <c r="B254" s="1" t="n">
        <v>45049</v>
      </c>
      <c r="C254" s="1" t="n">
        <v>46194</v>
      </c>
      <c r="D254" t="inlineStr">
        <is>
          <t>ÖSTERGÖTLANDS LÄN</t>
        </is>
      </c>
      <c r="E254" t="inlineStr">
        <is>
          <t>LINKÖPING</t>
        </is>
      </c>
      <c r="G254" t="n">
        <v>0.1</v>
      </c>
      <c r="H254" t="n">
        <v>0</v>
      </c>
      <c r="I254" t="n">
        <v>0</v>
      </c>
      <c r="J254" t="n">
        <v>0</v>
      </c>
      <c r="K254" t="n">
        <v>0</v>
      </c>
      <c r="L254" t="n">
        <v>0</v>
      </c>
      <c r="M254" t="n">
        <v>0</v>
      </c>
      <c r="N254" t="n">
        <v>0</v>
      </c>
      <c r="O254" t="n">
        <v>0</v>
      </c>
      <c r="P254" t="n">
        <v>0</v>
      </c>
      <c r="Q254" t="n">
        <v>0</v>
      </c>
      <c r="R254" s="2" t="inlineStr"/>
    </row>
    <row r="255" ht="15" customHeight="1">
      <c r="A255" t="inlineStr">
        <is>
          <t>A 12035-2025</t>
        </is>
      </c>
      <c r="B255" s="1" t="n">
        <v>45728</v>
      </c>
      <c r="C255" s="1" t="n">
        <v>46194</v>
      </c>
      <c r="D255" t="inlineStr">
        <is>
          <t>ÖSTERGÖTLANDS LÄN</t>
        </is>
      </c>
      <c r="E255" t="inlineStr">
        <is>
          <t>LINKÖPING</t>
        </is>
      </c>
      <c r="G255" t="n">
        <v>3.7</v>
      </c>
      <c r="H255" t="n">
        <v>0</v>
      </c>
      <c r="I255" t="n">
        <v>0</v>
      </c>
      <c r="J255" t="n">
        <v>0</v>
      </c>
      <c r="K255" t="n">
        <v>0</v>
      </c>
      <c r="L255" t="n">
        <v>0</v>
      </c>
      <c r="M255" t="n">
        <v>0</v>
      </c>
      <c r="N255" t="n">
        <v>0</v>
      </c>
      <c r="O255" t="n">
        <v>0</v>
      </c>
      <c r="P255" t="n">
        <v>0</v>
      </c>
      <c r="Q255" t="n">
        <v>0</v>
      </c>
      <c r="R255" s="2" t="inlineStr"/>
    </row>
    <row r="256" ht="15" customHeight="1">
      <c r="A256" t="inlineStr">
        <is>
          <t>A 35463-2023</t>
        </is>
      </c>
      <c r="B256" s="1" t="n">
        <v>45146</v>
      </c>
      <c r="C256" s="1" t="n">
        <v>46194</v>
      </c>
      <c r="D256" t="inlineStr">
        <is>
          <t>ÖSTERGÖTLANDS LÄN</t>
        </is>
      </c>
      <c r="E256" t="inlineStr">
        <is>
          <t>LINKÖPING</t>
        </is>
      </c>
      <c r="F256" t="inlineStr">
        <is>
          <t>Övriga Aktiebolag</t>
        </is>
      </c>
      <c r="G256" t="n">
        <v>1.8</v>
      </c>
      <c r="H256" t="n">
        <v>0</v>
      </c>
      <c r="I256" t="n">
        <v>0</v>
      </c>
      <c r="J256" t="n">
        <v>0</v>
      </c>
      <c r="K256" t="n">
        <v>0</v>
      </c>
      <c r="L256" t="n">
        <v>0</v>
      </c>
      <c r="M256" t="n">
        <v>0</v>
      </c>
      <c r="N256" t="n">
        <v>0</v>
      </c>
      <c r="O256" t="n">
        <v>0</v>
      </c>
      <c r="P256" t="n">
        <v>0</v>
      </c>
      <c r="Q256" t="n">
        <v>0</v>
      </c>
      <c r="R256" s="2" t="inlineStr"/>
    </row>
    <row r="257" ht="15" customHeight="1">
      <c r="A257" t="inlineStr">
        <is>
          <t>A 16111-2022</t>
        </is>
      </c>
      <c r="B257" s="1" t="n">
        <v>44665</v>
      </c>
      <c r="C257" s="1" t="n">
        <v>46194</v>
      </c>
      <c r="D257" t="inlineStr">
        <is>
          <t>ÖSTERGÖTLANDS LÄN</t>
        </is>
      </c>
      <c r="E257" t="inlineStr">
        <is>
          <t>LINKÖPING</t>
        </is>
      </c>
      <c r="F257" t="inlineStr">
        <is>
          <t>Övriga Aktiebolag</t>
        </is>
      </c>
      <c r="G257" t="n">
        <v>2.9</v>
      </c>
      <c r="H257" t="n">
        <v>0</v>
      </c>
      <c r="I257" t="n">
        <v>0</v>
      </c>
      <c r="J257" t="n">
        <v>0</v>
      </c>
      <c r="K257" t="n">
        <v>0</v>
      </c>
      <c r="L257" t="n">
        <v>0</v>
      </c>
      <c r="M257" t="n">
        <v>0</v>
      </c>
      <c r="N257" t="n">
        <v>0</v>
      </c>
      <c r="O257" t="n">
        <v>0</v>
      </c>
      <c r="P257" t="n">
        <v>0</v>
      </c>
      <c r="Q257" t="n">
        <v>0</v>
      </c>
      <c r="R257" s="2" t="inlineStr"/>
    </row>
    <row r="258" ht="15" customHeight="1">
      <c r="A258" t="inlineStr">
        <is>
          <t>A 31635-2023</t>
        </is>
      </c>
      <c r="B258" s="1" t="n">
        <v>45105</v>
      </c>
      <c r="C258" s="1" t="n">
        <v>46194</v>
      </c>
      <c r="D258" t="inlineStr">
        <is>
          <t>ÖSTERGÖTLANDS LÄN</t>
        </is>
      </c>
      <c r="E258" t="inlineStr">
        <is>
          <t>LINKÖPING</t>
        </is>
      </c>
      <c r="F258" t="inlineStr">
        <is>
          <t>Övriga statliga verk och myndigheter</t>
        </is>
      </c>
      <c r="G258" t="n">
        <v>4.6</v>
      </c>
      <c r="H258" t="n">
        <v>0</v>
      </c>
      <c r="I258" t="n">
        <v>0</v>
      </c>
      <c r="J258" t="n">
        <v>0</v>
      </c>
      <c r="K258" t="n">
        <v>0</v>
      </c>
      <c r="L258" t="n">
        <v>0</v>
      </c>
      <c r="M258" t="n">
        <v>0</v>
      </c>
      <c r="N258" t="n">
        <v>0</v>
      </c>
      <c r="O258" t="n">
        <v>0</v>
      </c>
      <c r="P258" t="n">
        <v>0</v>
      </c>
      <c r="Q258" t="n">
        <v>0</v>
      </c>
      <c r="R258" s="2" t="inlineStr"/>
    </row>
    <row r="259" ht="15" customHeight="1">
      <c r="A259" t="inlineStr">
        <is>
          <t>A 49928-2024</t>
        </is>
      </c>
      <c r="B259" s="1" t="n">
        <v>45597</v>
      </c>
      <c r="C259" s="1" t="n">
        <v>46194</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42997-2021</t>
        </is>
      </c>
      <c r="B260" s="1" t="n">
        <v>44431</v>
      </c>
      <c r="C260" s="1" t="n">
        <v>46194</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54845-2023</t>
        </is>
      </c>
      <c r="B261" s="1" t="n">
        <v>45236</v>
      </c>
      <c r="C261" s="1" t="n">
        <v>46194</v>
      </c>
      <c r="D261" t="inlineStr">
        <is>
          <t>ÖSTERGÖTLANDS LÄN</t>
        </is>
      </c>
      <c r="E261" t="inlineStr">
        <is>
          <t>LINKÖPING</t>
        </is>
      </c>
      <c r="F261" t="inlineStr">
        <is>
          <t>Övriga Aktiebolag</t>
        </is>
      </c>
      <c r="G261" t="n">
        <v>5.7</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46194</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46194</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1355-2023</t>
        </is>
      </c>
      <c r="B264" s="1" t="n">
        <v>44931</v>
      </c>
      <c r="C264" s="1" t="n">
        <v>46194</v>
      </c>
      <c r="D264" t="inlineStr">
        <is>
          <t>ÖSTERGÖTLANDS LÄN</t>
        </is>
      </c>
      <c r="E264" t="inlineStr">
        <is>
          <t>LINKÖPING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27844-2024</t>
        </is>
      </c>
      <c r="B265" s="1" t="n">
        <v>45475</v>
      </c>
      <c r="C265" s="1" t="n">
        <v>46194</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34486-2021</t>
        </is>
      </c>
      <c r="B266" s="1" t="n">
        <v>44382</v>
      </c>
      <c r="C266" s="1" t="n">
        <v>46194</v>
      </c>
      <c r="D266" t="inlineStr">
        <is>
          <t>ÖSTERGÖTLANDS LÄN</t>
        </is>
      </c>
      <c r="E266" t="inlineStr">
        <is>
          <t>LINKÖPING</t>
        </is>
      </c>
      <c r="G266" t="n">
        <v>4.4</v>
      </c>
      <c r="H266" t="n">
        <v>0</v>
      </c>
      <c r="I266" t="n">
        <v>0</v>
      </c>
      <c r="J266" t="n">
        <v>0</v>
      </c>
      <c r="K266" t="n">
        <v>0</v>
      </c>
      <c r="L266" t="n">
        <v>0</v>
      </c>
      <c r="M266" t="n">
        <v>0</v>
      </c>
      <c r="N266" t="n">
        <v>0</v>
      </c>
      <c r="O266" t="n">
        <v>0</v>
      </c>
      <c r="P266" t="n">
        <v>0</v>
      </c>
      <c r="Q266" t="n">
        <v>0</v>
      </c>
      <c r="R266" s="2" t="inlineStr"/>
    </row>
    <row r="267" ht="15" customHeight="1">
      <c r="A267" t="inlineStr">
        <is>
          <t>A 9434-2024</t>
        </is>
      </c>
      <c r="B267" s="1" t="n">
        <v>45359</v>
      </c>
      <c r="C267" s="1" t="n">
        <v>46194</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63678-2023</t>
        </is>
      </c>
      <c r="B268" s="1" t="n">
        <v>45275</v>
      </c>
      <c r="C268" s="1" t="n">
        <v>46194</v>
      </c>
      <c r="D268" t="inlineStr">
        <is>
          <t>ÖSTERGÖTLANDS LÄN</t>
        </is>
      </c>
      <c r="E268" t="inlineStr">
        <is>
          <t>LINKÖPING</t>
        </is>
      </c>
      <c r="F268" t="inlineStr">
        <is>
          <t>Övriga Aktiebolag</t>
        </is>
      </c>
      <c r="G268" t="n">
        <v>0.4</v>
      </c>
      <c r="H268" t="n">
        <v>0</v>
      </c>
      <c r="I268" t="n">
        <v>0</v>
      </c>
      <c r="J268" t="n">
        <v>0</v>
      </c>
      <c r="K268" t="n">
        <v>0</v>
      </c>
      <c r="L268" t="n">
        <v>0</v>
      </c>
      <c r="M268" t="n">
        <v>0</v>
      </c>
      <c r="N268" t="n">
        <v>0</v>
      </c>
      <c r="O268" t="n">
        <v>0</v>
      </c>
      <c r="P268" t="n">
        <v>0</v>
      </c>
      <c r="Q268" t="n">
        <v>0</v>
      </c>
      <c r="R268" s="2" t="inlineStr"/>
    </row>
    <row r="269" ht="15" customHeight="1">
      <c r="A269" t="inlineStr">
        <is>
          <t>A 63688-2023</t>
        </is>
      </c>
      <c r="B269" s="1" t="n">
        <v>45275</v>
      </c>
      <c r="C269" s="1" t="n">
        <v>46194</v>
      </c>
      <c r="D269" t="inlineStr">
        <is>
          <t>ÖSTERGÖTLANDS LÄN</t>
        </is>
      </c>
      <c r="E269" t="inlineStr">
        <is>
          <t>LINKÖPING</t>
        </is>
      </c>
      <c r="F269" t="inlineStr">
        <is>
          <t>Övriga Aktiebolag</t>
        </is>
      </c>
      <c r="G269" t="n">
        <v>2.4</v>
      </c>
      <c r="H269" t="n">
        <v>0</v>
      </c>
      <c r="I269" t="n">
        <v>0</v>
      </c>
      <c r="J269" t="n">
        <v>0</v>
      </c>
      <c r="K269" t="n">
        <v>0</v>
      </c>
      <c r="L269" t="n">
        <v>0</v>
      </c>
      <c r="M269" t="n">
        <v>0</v>
      </c>
      <c r="N269" t="n">
        <v>0</v>
      </c>
      <c r="O269" t="n">
        <v>0</v>
      </c>
      <c r="P269" t="n">
        <v>0</v>
      </c>
      <c r="Q269" t="n">
        <v>0</v>
      </c>
      <c r="R269" s="2" t="inlineStr"/>
    </row>
    <row r="270" ht="15" customHeight="1">
      <c r="A270" t="inlineStr">
        <is>
          <t>A 63691-2023</t>
        </is>
      </c>
      <c r="B270" s="1" t="n">
        <v>45275</v>
      </c>
      <c r="C270" s="1" t="n">
        <v>46194</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34557-2022</t>
        </is>
      </c>
      <c r="B271" s="1" t="n">
        <v>44794</v>
      </c>
      <c r="C271" s="1" t="n">
        <v>46194</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14028-2024</t>
        </is>
      </c>
      <c r="B272" s="1" t="n">
        <v>45392</v>
      </c>
      <c r="C272" s="1" t="n">
        <v>46194</v>
      </c>
      <c r="D272" t="inlineStr">
        <is>
          <t>ÖSTERGÖTLANDS LÄN</t>
        </is>
      </c>
      <c r="E272" t="inlineStr">
        <is>
          <t>LINKÖPING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10741-2023</t>
        </is>
      </c>
      <c r="B273" s="1" t="n">
        <v>44988</v>
      </c>
      <c r="C273" s="1" t="n">
        <v>46194</v>
      </c>
      <c r="D273" t="inlineStr">
        <is>
          <t>ÖSTERGÖTLANDS LÄN</t>
        </is>
      </c>
      <c r="E273" t="inlineStr">
        <is>
          <t>LINKÖPING</t>
        </is>
      </c>
      <c r="F273" t="inlineStr">
        <is>
          <t>Allmännings- och besparingsskogar</t>
        </is>
      </c>
      <c r="G273" t="n">
        <v>11.2</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46194</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45821-2024</t>
        </is>
      </c>
      <c r="B275" s="1" t="n">
        <v>45579</v>
      </c>
      <c r="C275" s="1" t="n">
        <v>46194</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13689-2025</t>
        </is>
      </c>
      <c r="B276" s="1" t="n">
        <v>45737</v>
      </c>
      <c r="C276" s="1" t="n">
        <v>46194</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13696-2025</t>
        </is>
      </c>
      <c r="B277" s="1" t="n">
        <v>45737</v>
      </c>
      <c r="C277" s="1" t="n">
        <v>46194</v>
      </c>
      <c r="D277" t="inlineStr">
        <is>
          <t>ÖSTERGÖTLANDS LÄN</t>
        </is>
      </c>
      <c r="E277" t="inlineStr">
        <is>
          <t>LINKÖPING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14667-2024</t>
        </is>
      </c>
      <c r="B278" s="1" t="n">
        <v>45397</v>
      </c>
      <c r="C278" s="1" t="n">
        <v>46194</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2697-2023</t>
        </is>
      </c>
      <c r="B279" s="1" t="n">
        <v>44944</v>
      </c>
      <c r="C279" s="1" t="n">
        <v>46194</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61936-2023</t>
        </is>
      </c>
      <c r="B280" s="1" t="n">
        <v>45266</v>
      </c>
      <c r="C280" s="1" t="n">
        <v>46194</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1263-2024</t>
        </is>
      </c>
      <c r="B281" s="1" t="n">
        <v>45302</v>
      </c>
      <c r="C281" s="1" t="n">
        <v>46194</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53641-2023</t>
        </is>
      </c>
      <c r="B282" s="1" t="n">
        <v>45230</v>
      </c>
      <c r="C282" s="1" t="n">
        <v>46194</v>
      </c>
      <c r="D282" t="inlineStr">
        <is>
          <t>ÖSTERGÖTLANDS LÄN</t>
        </is>
      </c>
      <c r="E282" t="inlineStr">
        <is>
          <t>LINKÖPING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12428-2024</t>
        </is>
      </c>
      <c r="B283" s="1" t="n">
        <v>45379</v>
      </c>
      <c r="C283" s="1" t="n">
        <v>46194</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48707-2023</t>
        </is>
      </c>
      <c r="B284" s="1" t="n">
        <v>45202</v>
      </c>
      <c r="C284" s="1" t="n">
        <v>46194</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53411-2023</t>
        </is>
      </c>
      <c r="B285" s="1" t="n">
        <v>45229</v>
      </c>
      <c r="C285" s="1" t="n">
        <v>46194</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24464-2023</t>
        </is>
      </c>
      <c r="B286" s="1" t="n">
        <v>45082</v>
      </c>
      <c r="C286" s="1" t="n">
        <v>46194</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56792-2023</t>
        </is>
      </c>
      <c r="B287" s="1" t="n">
        <v>45244</v>
      </c>
      <c r="C287" s="1" t="n">
        <v>46194</v>
      </c>
      <c r="D287" t="inlineStr">
        <is>
          <t>ÖSTERGÖTLANDS LÄN</t>
        </is>
      </c>
      <c r="E287" t="inlineStr">
        <is>
          <t>LINKÖPING</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48389-2024</t>
        </is>
      </c>
      <c r="B288" s="1" t="n">
        <v>45590</v>
      </c>
      <c r="C288" s="1" t="n">
        <v>46194</v>
      </c>
      <c r="D288" t="inlineStr">
        <is>
          <t>ÖSTERGÖTLANDS LÄN</t>
        </is>
      </c>
      <c r="E288" t="inlineStr">
        <is>
          <t>LINKÖPING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61281-2021</t>
        </is>
      </c>
      <c r="B289" s="1" t="n">
        <v>44498</v>
      </c>
      <c r="C289" s="1" t="n">
        <v>46194</v>
      </c>
      <c r="D289" t="inlineStr">
        <is>
          <t>ÖSTERGÖTLANDS LÄN</t>
        </is>
      </c>
      <c r="E289" t="inlineStr">
        <is>
          <t>LINKÖPING</t>
        </is>
      </c>
      <c r="G289" t="n">
        <v>4.5</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46194</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3013-2023</t>
        </is>
      </c>
      <c r="B291" s="1" t="n">
        <v>44945</v>
      </c>
      <c r="C291" s="1" t="n">
        <v>46194</v>
      </c>
      <c r="D291" t="inlineStr">
        <is>
          <t>ÖSTERGÖTLANDS LÄN</t>
        </is>
      </c>
      <c r="E291" t="inlineStr">
        <is>
          <t>LINKÖPING</t>
        </is>
      </c>
      <c r="G291" t="n">
        <v>5.2</v>
      </c>
      <c r="H291" t="n">
        <v>0</v>
      </c>
      <c r="I291" t="n">
        <v>0</v>
      </c>
      <c r="J291" t="n">
        <v>0</v>
      </c>
      <c r="K291" t="n">
        <v>0</v>
      </c>
      <c r="L291" t="n">
        <v>0</v>
      </c>
      <c r="M291" t="n">
        <v>0</v>
      </c>
      <c r="N291" t="n">
        <v>0</v>
      </c>
      <c r="O291" t="n">
        <v>0</v>
      </c>
      <c r="P291" t="n">
        <v>0</v>
      </c>
      <c r="Q291" t="n">
        <v>0</v>
      </c>
      <c r="R291" s="2" t="inlineStr"/>
    </row>
    <row r="292" ht="15" customHeight="1">
      <c r="A292" t="inlineStr">
        <is>
          <t>A 55945-2024</t>
        </is>
      </c>
      <c r="B292" s="1" t="n">
        <v>45623</v>
      </c>
      <c r="C292" s="1" t="n">
        <v>46194</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1993-2023</t>
        </is>
      </c>
      <c r="B293" s="1" t="n">
        <v>44939</v>
      </c>
      <c r="C293" s="1" t="n">
        <v>46194</v>
      </c>
      <c r="D293" t="inlineStr">
        <is>
          <t>ÖSTERGÖTLANDS LÄN</t>
        </is>
      </c>
      <c r="E293" t="inlineStr">
        <is>
          <t>LINKÖPING</t>
        </is>
      </c>
      <c r="G293" t="n">
        <v>3.7</v>
      </c>
      <c r="H293" t="n">
        <v>0</v>
      </c>
      <c r="I293" t="n">
        <v>0</v>
      </c>
      <c r="J293" t="n">
        <v>0</v>
      </c>
      <c r="K293" t="n">
        <v>0</v>
      </c>
      <c r="L293" t="n">
        <v>0</v>
      </c>
      <c r="M293" t="n">
        <v>0</v>
      </c>
      <c r="N293" t="n">
        <v>0</v>
      </c>
      <c r="O293" t="n">
        <v>0</v>
      </c>
      <c r="P293" t="n">
        <v>0</v>
      </c>
      <c r="Q293" t="n">
        <v>0</v>
      </c>
      <c r="R293" s="2" t="inlineStr"/>
    </row>
    <row r="294" ht="15" customHeight="1">
      <c r="A294" t="inlineStr">
        <is>
          <t>A 2618-2023</t>
        </is>
      </c>
      <c r="B294" s="1" t="n">
        <v>44944</v>
      </c>
      <c r="C294" s="1" t="n">
        <v>46194</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10203-2023</t>
        </is>
      </c>
      <c r="B295" s="1" t="n">
        <v>44986</v>
      </c>
      <c r="C295" s="1" t="n">
        <v>46194</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v>
      </c>
      <c r="C296" s="1" t="n">
        <v>46194</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46225-2021</t>
        </is>
      </c>
      <c r="B297" s="1" t="n">
        <v>44442</v>
      </c>
      <c r="C297" s="1" t="n">
        <v>46194</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54428-2022</t>
        </is>
      </c>
      <c r="B298" s="1" t="n">
        <v>44882</v>
      </c>
      <c r="C298" s="1" t="n">
        <v>46194</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34928-2023</t>
        </is>
      </c>
      <c r="B299" s="1" t="n">
        <v>45142</v>
      </c>
      <c r="C299" s="1" t="n">
        <v>46194</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46194</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10094-2024</t>
        </is>
      </c>
      <c r="B301" s="1" t="n">
        <v>45364</v>
      </c>
      <c r="C301" s="1" t="n">
        <v>46194</v>
      </c>
      <c r="D301" t="inlineStr">
        <is>
          <t>ÖSTERGÖTLANDS LÄN</t>
        </is>
      </c>
      <c r="E301" t="inlineStr">
        <is>
          <t>LINKÖPING</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11790-2024</t>
        </is>
      </c>
      <c r="B302" s="1" t="n">
        <v>45374</v>
      </c>
      <c r="C302" s="1" t="n">
        <v>46194</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48962-2022</t>
        </is>
      </c>
      <c r="B303" s="1" t="n">
        <v>44860</v>
      </c>
      <c r="C303" s="1" t="n">
        <v>46194</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62015-2024</t>
        </is>
      </c>
      <c r="B304" s="1" t="n">
        <v>45655</v>
      </c>
      <c r="C304" s="1" t="n">
        <v>46194</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62020-2024</t>
        </is>
      </c>
      <c r="B305" s="1" t="n">
        <v>45655</v>
      </c>
      <c r="C305" s="1" t="n">
        <v>46194</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62021-2024</t>
        </is>
      </c>
      <c r="B306" s="1" t="n">
        <v>45655</v>
      </c>
      <c r="C306" s="1" t="n">
        <v>46194</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53647-2021</t>
        </is>
      </c>
      <c r="B307" s="1" t="n">
        <v>44469</v>
      </c>
      <c r="C307" s="1" t="n">
        <v>46194</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18916-2024</t>
        </is>
      </c>
      <c r="B308" s="1" t="n">
        <v>45427</v>
      </c>
      <c r="C308" s="1" t="n">
        <v>46194</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46194</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17124-2025</t>
        </is>
      </c>
      <c r="B310" s="1" t="n">
        <v>45755</v>
      </c>
      <c r="C310" s="1" t="n">
        <v>46194</v>
      </c>
      <c r="D310" t="inlineStr">
        <is>
          <t>ÖSTERGÖTLANDS LÄN</t>
        </is>
      </c>
      <c r="E310" t="inlineStr">
        <is>
          <t>LINKÖPING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17126-2025</t>
        </is>
      </c>
      <c r="B311" s="1" t="n">
        <v>45755</v>
      </c>
      <c r="C311" s="1" t="n">
        <v>46194</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17143-2025</t>
        </is>
      </c>
      <c r="B312" s="1" t="n">
        <v>45755</v>
      </c>
      <c r="C312" s="1" t="n">
        <v>46194</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57391-2023</t>
        </is>
      </c>
      <c r="B313" s="1" t="n">
        <v>45245</v>
      </c>
      <c r="C313" s="1" t="n">
        <v>46194</v>
      </c>
      <c r="D313" t="inlineStr">
        <is>
          <t>ÖSTERGÖTLANDS LÄN</t>
        </is>
      </c>
      <c r="E313" t="inlineStr">
        <is>
          <t>LINKÖPING</t>
        </is>
      </c>
      <c r="F313" t="inlineStr">
        <is>
          <t>Övriga Aktiebolag</t>
        </is>
      </c>
      <c r="G313" t="n">
        <v>1.7</v>
      </c>
      <c r="H313" t="n">
        <v>0</v>
      </c>
      <c r="I313" t="n">
        <v>0</v>
      </c>
      <c r="J313" t="n">
        <v>0</v>
      </c>
      <c r="K313" t="n">
        <v>0</v>
      </c>
      <c r="L313" t="n">
        <v>0</v>
      </c>
      <c r="M313" t="n">
        <v>0</v>
      </c>
      <c r="N313" t="n">
        <v>0</v>
      </c>
      <c r="O313" t="n">
        <v>0</v>
      </c>
      <c r="P313" t="n">
        <v>0</v>
      </c>
      <c r="Q313" t="n">
        <v>0</v>
      </c>
      <c r="R313" s="2" t="inlineStr"/>
    </row>
    <row r="314" ht="15" customHeight="1">
      <c r="A314" t="inlineStr">
        <is>
          <t>A 61281-2021</t>
        </is>
      </c>
      <c r="B314" s="1" t="n">
        <v>44498</v>
      </c>
      <c r="C314" s="1" t="n">
        <v>46194</v>
      </c>
      <c r="D314" t="inlineStr">
        <is>
          <t>ÖSTERGÖTLANDS LÄN</t>
        </is>
      </c>
      <c r="E314" t="inlineStr">
        <is>
          <t>LINKÖPING</t>
        </is>
      </c>
      <c r="G314" t="n">
        <v>4.5</v>
      </c>
      <c r="H314" t="n">
        <v>0</v>
      </c>
      <c r="I314" t="n">
        <v>0</v>
      </c>
      <c r="J314" t="n">
        <v>0</v>
      </c>
      <c r="K314" t="n">
        <v>0</v>
      </c>
      <c r="L314" t="n">
        <v>0</v>
      </c>
      <c r="M314" t="n">
        <v>0</v>
      </c>
      <c r="N314" t="n">
        <v>0</v>
      </c>
      <c r="O314" t="n">
        <v>0</v>
      </c>
      <c r="P314" t="n">
        <v>0</v>
      </c>
      <c r="Q314" t="n">
        <v>0</v>
      </c>
      <c r="R314" s="2" t="inlineStr"/>
    </row>
    <row r="315" ht="15" customHeight="1">
      <c r="A315" t="inlineStr">
        <is>
          <t>A 63935-2021</t>
        </is>
      </c>
      <c r="B315" s="1" t="n">
        <v>44509</v>
      </c>
      <c r="C315" s="1" t="n">
        <v>46194</v>
      </c>
      <c r="D315" t="inlineStr">
        <is>
          <t>ÖSTERGÖTLANDS LÄN</t>
        </is>
      </c>
      <c r="E315" t="inlineStr">
        <is>
          <t>LINKÖPING</t>
        </is>
      </c>
      <c r="F315" t="inlineStr">
        <is>
          <t>Övriga statliga verk och myndigheter</t>
        </is>
      </c>
      <c r="G315" t="n">
        <v>2.8</v>
      </c>
      <c r="H315" t="n">
        <v>0</v>
      </c>
      <c r="I315" t="n">
        <v>0</v>
      </c>
      <c r="J315" t="n">
        <v>0</v>
      </c>
      <c r="K315" t="n">
        <v>0</v>
      </c>
      <c r="L315" t="n">
        <v>0</v>
      </c>
      <c r="M315" t="n">
        <v>0</v>
      </c>
      <c r="N315" t="n">
        <v>0</v>
      </c>
      <c r="O315" t="n">
        <v>0</v>
      </c>
      <c r="P315" t="n">
        <v>0</v>
      </c>
      <c r="Q315" t="n">
        <v>0</v>
      </c>
      <c r="R315" s="2" t="inlineStr"/>
    </row>
    <row r="316" ht="15" customHeight="1">
      <c r="A316" t="inlineStr">
        <is>
          <t>A 20294-2025</t>
        </is>
      </c>
      <c r="B316" s="1" t="n">
        <v>45774</v>
      </c>
      <c r="C316" s="1" t="n">
        <v>46194</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60013-2022</t>
        </is>
      </c>
      <c r="B317" s="1" t="n">
        <v>44909</v>
      </c>
      <c r="C317" s="1" t="n">
        <v>46194</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46194</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31725-2022</t>
        </is>
      </c>
      <c r="B319" s="1" t="n">
        <v>44776</v>
      </c>
      <c r="C319" s="1" t="n">
        <v>46194</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16820-2024</t>
        </is>
      </c>
      <c r="B320" s="1" t="n">
        <v>45411</v>
      </c>
      <c r="C320" s="1" t="n">
        <v>46194</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3007-2025</t>
        </is>
      </c>
      <c r="B321" s="1" t="n">
        <v>45678</v>
      </c>
      <c r="C321" s="1" t="n">
        <v>46194</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34877-2023</t>
        </is>
      </c>
      <c r="B322" s="1" t="n">
        <v>45140</v>
      </c>
      <c r="C322" s="1" t="n">
        <v>46194</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30980-2022</t>
        </is>
      </c>
      <c r="B323" s="1" t="n">
        <v>44768</v>
      </c>
      <c r="C323" s="1" t="n">
        <v>46194</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46194</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34558-2022</t>
        </is>
      </c>
      <c r="B325" s="1" t="n">
        <v>44794</v>
      </c>
      <c r="C325" s="1" t="n">
        <v>46194</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24351-2024</t>
        </is>
      </c>
      <c r="B326" s="1" t="n">
        <v>45457</v>
      </c>
      <c r="C326" s="1" t="n">
        <v>46194</v>
      </c>
      <c r="D326" t="inlineStr">
        <is>
          <t>ÖSTERGÖTLANDS LÄN</t>
        </is>
      </c>
      <c r="E326" t="inlineStr">
        <is>
          <t>LINKÖPING</t>
        </is>
      </c>
      <c r="G326" t="n">
        <v>11.9</v>
      </c>
      <c r="H326" t="n">
        <v>0</v>
      </c>
      <c r="I326" t="n">
        <v>0</v>
      </c>
      <c r="J326" t="n">
        <v>0</v>
      </c>
      <c r="K326" t="n">
        <v>0</v>
      </c>
      <c r="L326" t="n">
        <v>0</v>
      </c>
      <c r="M326" t="n">
        <v>0</v>
      </c>
      <c r="N326" t="n">
        <v>0</v>
      </c>
      <c r="O326" t="n">
        <v>0</v>
      </c>
      <c r="P326" t="n">
        <v>0</v>
      </c>
      <c r="Q326" t="n">
        <v>0</v>
      </c>
      <c r="R326" s="2" t="inlineStr"/>
    </row>
    <row r="327" ht="15" customHeight="1">
      <c r="A327" t="inlineStr">
        <is>
          <t>A 168-2024</t>
        </is>
      </c>
      <c r="B327" s="1" t="n">
        <v>45294</v>
      </c>
      <c r="C327" s="1" t="n">
        <v>46194</v>
      </c>
      <c r="D327" t="inlineStr">
        <is>
          <t>ÖSTERGÖTLANDS LÄN</t>
        </is>
      </c>
      <c r="E327" t="inlineStr">
        <is>
          <t>LINKÖPING</t>
        </is>
      </c>
      <c r="F327" t="inlineStr">
        <is>
          <t>Allmännings- och besparingsskogar</t>
        </is>
      </c>
      <c r="G327" t="n">
        <v>8.9</v>
      </c>
      <c r="H327" t="n">
        <v>0</v>
      </c>
      <c r="I327" t="n">
        <v>0</v>
      </c>
      <c r="J327" t="n">
        <v>0</v>
      </c>
      <c r="K327" t="n">
        <v>0</v>
      </c>
      <c r="L327" t="n">
        <v>0</v>
      </c>
      <c r="M327" t="n">
        <v>0</v>
      </c>
      <c r="N327" t="n">
        <v>0</v>
      </c>
      <c r="O327" t="n">
        <v>0</v>
      </c>
      <c r="P327" t="n">
        <v>0</v>
      </c>
      <c r="Q327" t="n">
        <v>0</v>
      </c>
      <c r="R327" s="2" t="inlineStr"/>
    </row>
    <row r="328" ht="15" customHeight="1">
      <c r="A328" t="inlineStr">
        <is>
          <t>A 18891-2022</t>
        </is>
      </c>
      <c r="B328" s="1" t="n">
        <v>44690</v>
      </c>
      <c r="C328" s="1" t="n">
        <v>46194</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62501-2023</t>
        </is>
      </c>
      <c r="B329" s="1" t="n">
        <v>45268</v>
      </c>
      <c r="C329" s="1" t="n">
        <v>46194</v>
      </c>
      <c r="D329" t="inlineStr">
        <is>
          <t>ÖSTERGÖTLANDS LÄN</t>
        </is>
      </c>
      <c r="E329" t="inlineStr">
        <is>
          <t>LINKÖPING</t>
        </is>
      </c>
      <c r="G329" t="n">
        <v>7.4</v>
      </c>
      <c r="H329" t="n">
        <v>0</v>
      </c>
      <c r="I329" t="n">
        <v>0</v>
      </c>
      <c r="J329" t="n">
        <v>0</v>
      </c>
      <c r="K329" t="n">
        <v>0</v>
      </c>
      <c r="L329" t="n">
        <v>0</v>
      </c>
      <c r="M329" t="n">
        <v>0</v>
      </c>
      <c r="N329" t="n">
        <v>0</v>
      </c>
      <c r="O329" t="n">
        <v>0</v>
      </c>
      <c r="P329" t="n">
        <v>0</v>
      </c>
      <c r="Q329" t="n">
        <v>0</v>
      </c>
      <c r="R329" s="2" t="inlineStr"/>
    </row>
    <row r="330" ht="15" customHeight="1">
      <c r="A330" t="inlineStr">
        <is>
          <t>A 58947-2022</t>
        </is>
      </c>
      <c r="B330" s="1" t="n">
        <v>44903</v>
      </c>
      <c r="C330" s="1" t="n">
        <v>46194</v>
      </c>
      <c r="D330" t="inlineStr">
        <is>
          <t>ÖSTERGÖTLANDS LÄN</t>
        </is>
      </c>
      <c r="E330" t="inlineStr">
        <is>
          <t>LINKÖPING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v>
      </c>
      <c r="C331" s="1" t="n">
        <v>46194</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49979-2022</t>
        </is>
      </c>
      <c r="B332" s="1" t="n">
        <v>44865</v>
      </c>
      <c r="C332" s="1" t="n">
        <v>46194</v>
      </c>
      <c r="D332" t="inlineStr">
        <is>
          <t>ÖSTERGÖTLANDS LÄN</t>
        </is>
      </c>
      <c r="E332" t="inlineStr">
        <is>
          <t>LINKÖPING</t>
        </is>
      </c>
      <c r="F332" t="inlineStr">
        <is>
          <t>Övriga Aktiebolag</t>
        </is>
      </c>
      <c r="G332" t="n">
        <v>11.4</v>
      </c>
      <c r="H332" t="n">
        <v>0</v>
      </c>
      <c r="I332" t="n">
        <v>0</v>
      </c>
      <c r="J332" t="n">
        <v>0</v>
      </c>
      <c r="K332" t="n">
        <v>0</v>
      </c>
      <c r="L332" t="n">
        <v>0</v>
      </c>
      <c r="M332" t="n">
        <v>0</v>
      </c>
      <c r="N332" t="n">
        <v>0</v>
      </c>
      <c r="O332" t="n">
        <v>0</v>
      </c>
      <c r="P332" t="n">
        <v>0</v>
      </c>
      <c r="Q332" t="n">
        <v>0</v>
      </c>
      <c r="R332" s="2" t="inlineStr"/>
    </row>
    <row r="333" ht="15" customHeight="1">
      <c r="A333" t="inlineStr">
        <is>
          <t>A 30433-2024</t>
        </is>
      </c>
      <c r="B333" s="1" t="n">
        <v>45491</v>
      </c>
      <c r="C333" s="1" t="n">
        <v>46194</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26620-2023</t>
        </is>
      </c>
      <c r="B334" s="1" t="n">
        <v>45092</v>
      </c>
      <c r="C334" s="1" t="n">
        <v>46194</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53827-2023</t>
        </is>
      </c>
      <c r="B335" s="1" t="n">
        <v>45230</v>
      </c>
      <c r="C335" s="1" t="n">
        <v>46194</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52220-2023</t>
        </is>
      </c>
      <c r="B336" s="1" t="n">
        <v>45217</v>
      </c>
      <c r="C336" s="1" t="n">
        <v>46194</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52225-2023</t>
        </is>
      </c>
      <c r="B337" s="1" t="n">
        <v>45217</v>
      </c>
      <c r="C337" s="1" t="n">
        <v>46194</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19464-2024</t>
        </is>
      </c>
      <c r="B338" s="1" t="n">
        <v>45429</v>
      </c>
      <c r="C338" s="1" t="n">
        <v>46194</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42044-2023</t>
        </is>
      </c>
      <c r="B339" s="1" t="n">
        <v>45177</v>
      </c>
      <c r="C339" s="1" t="n">
        <v>46194</v>
      </c>
      <c r="D339" t="inlineStr">
        <is>
          <t>ÖSTERGÖTLANDS LÄN</t>
        </is>
      </c>
      <c r="E339" t="inlineStr">
        <is>
          <t>LINKÖPING</t>
        </is>
      </c>
      <c r="G339" t="n">
        <v>3.9</v>
      </c>
      <c r="H339" t="n">
        <v>0</v>
      </c>
      <c r="I339" t="n">
        <v>0</v>
      </c>
      <c r="J339" t="n">
        <v>0</v>
      </c>
      <c r="K339" t="n">
        <v>0</v>
      </c>
      <c r="L339" t="n">
        <v>0</v>
      </c>
      <c r="M339" t="n">
        <v>0</v>
      </c>
      <c r="N339" t="n">
        <v>0</v>
      </c>
      <c r="O339" t="n">
        <v>0</v>
      </c>
      <c r="P339" t="n">
        <v>0</v>
      </c>
      <c r="Q339" t="n">
        <v>0</v>
      </c>
      <c r="R339" s="2" t="inlineStr"/>
    </row>
    <row r="340" ht="15" customHeight="1">
      <c r="A340" t="inlineStr">
        <is>
          <t>A 56180-2024</t>
        </is>
      </c>
      <c r="B340" s="1" t="n">
        <v>45624</v>
      </c>
      <c r="C340" s="1" t="n">
        <v>46194</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938-2023</t>
        </is>
      </c>
      <c r="B341" s="1" t="n">
        <v>44933</v>
      </c>
      <c r="C341" s="1" t="n">
        <v>46194</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940-2023</t>
        </is>
      </c>
      <c r="B342" s="1" t="n">
        <v>44933</v>
      </c>
      <c r="C342" s="1" t="n">
        <v>46194</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25418-2023</t>
        </is>
      </c>
      <c r="B343" s="1" t="n">
        <v>45089</v>
      </c>
      <c r="C343" s="1" t="n">
        <v>46194</v>
      </c>
      <c r="D343" t="inlineStr">
        <is>
          <t>ÖSTERGÖTLANDS LÄN</t>
        </is>
      </c>
      <c r="E343" t="inlineStr">
        <is>
          <t>LINKÖPING</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60007-2022</t>
        </is>
      </c>
      <c r="B344" s="1" t="n">
        <v>44909</v>
      </c>
      <c r="C344" s="1" t="n">
        <v>46194</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630-2024</t>
        </is>
      </c>
      <c r="B345" s="1" t="n">
        <v>45299</v>
      </c>
      <c r="C345" s="1" t="n">
        <v>46194</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7992-2023</t>
        </is>
      </c>
      <c r="B346" s="1" t="n">
        <v>44970</v>
      </c>
      <c r="C346" s="1" t="n">
        <v>46194</v>
      </c>
      <c r="D346" t="inlineStr">
        <is>
          <t>ÖSTERGÖTLANDS LÄN</t>
        </is>
      </c>
      <c r="E346" t="inlineStr">
        <is>
          <t>LINKÖPING</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45819-2024</t>
        </is>
      </c>
      <c r="B347" s="1" t="n">
        <v>45579</v>
      </c>
      <c r="C347" s="1" t="n">
        <v>46194</v>
      </c>
      <c r="D347" t="inlineStr">
        <is>
          <t>ÖSTERGÖTLANDS LÄN</t>
        </is>
      </c>
      <c r="E347" t="inlineStr">
        <is>
          <t>LINKÖPING</t>
        </is>
      </c>
      <c r="G347" t="n">
        <v>5</v>
      </c>
      <c r="H347" t="n">
        <v>0</v>
      </c>
      <c r="I347" t="n">
        <v>0</v>
      </c>
      <c r="J347" t="n">
        <v>0</v>
      </c>
      <c r="K347" t="n">
        <v>0</v>
      </c>
      <c r="L347" t="n">
        <v>0</v>
      </c>
      <c r="M347" t="n">
        <v>0</v>
      </c>
      <c r="N347" t="n">
        <v>0</v>
      </c>
      <c r="O347" t="n">
        <v>0</v>
      </c>
      <c r="P347" t="n">
        <v>0</v>
      </c>
      <c r="Q347" t="n">
        <v>0</v>
      </c>
      <c r="R347" s="2" t="inlineStr"/>
    </row>
    <row r="348" ht="15" customHeight="1">
      <c r="A348" t="inlineStr">
        <is>
          <t>A 11601-2023</t>
        </is>
      </c>
      <c r="B348" s="1" t="n">
        <v>44994</v>
      </c>
      <c r="C348" s="1" t="n">
        <v>46194</v>
      </c>
      <c r="D348" t="inlineStr">
        <is>
          <t>ÖSTERGÖTLANDS LÄN</t>
        </is>
      </c>
      <c r="E348" t="inlineStr">
        <is>
          <t>LINKÖPING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3530-2024</t>
        </is>
      </c>
      <c r="B349" s="1" t="n">
        <v>45320</v>
      </c>
      <c r="C349" s="1" t="n">
        <v>46194</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62686-2023</t>
        </is>
      </c>
      <c r="B350" s="1" t="n">
        <v>45271</v>
      </c>
      <c r="C350" s="1" t="n">
        <v>46194</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1260-2023</t>
        </is>
      </c>
      <c r="B351" s="1" t="n">
        <v>44936</v>
      </c>
      <c r="C351" s="1" t="n">
        <v>46194</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7702-2023</t>
        </is>
      </c>
      <c r="B352" s="1" t="n">
        <v>44967</v>
      </c>
      <c r="C352" s="1" t="n">
        <v>46194</v>
      </c>
      <c r="D352" t="inlineStr">
        <is>
          <t>ÖSTERGÖTLANDS LÄN</t>
        </is>
      </c>
      <c r="E352" t="inlineStr">
        <is>
          <t>LINKÖPING</t>
        </is>
      </c>
      <c r="F352" t="inlineStr">
        <is>
          <t>Övriga statliga verk och myndigheter</t>
        </is>
      </c>
      <c r="G352" t="n">
        <v>8</v>
      </c>
      <c r="H352" t="n">
        <v>0</v>
      </c>
      <c r="I352" t="n">
        <v>0</v>
      </c>
      <c r="J352" t="n">
        <v>0</v>
      </c>
      <c r="K352" t="n">
        <v>0</v>
      </c>
      <c r="L352" t="n">
        <v>0</v>
      </c>
      <c r="M352" t="n">
        <v>0</v>
      </c>
      <c r="N352" t="n">
        <v>0</v>
      </c>
      <c r="O352" t="n">
        <v>0</v>
      </c>
      <c r="P352" t="n">
        <v>0</v>
      </c>
      <c r="Q352" t="n">
        <v>0</v>
      </c>
      <c r="R352" s="2" t="inlineStr"/>
    </row>
    <row r="353" ht="15" customHeight="1">
      <c r="A353" t="inlineStr">
        <is>
          <t>A 674-2024</t>
        </is>
      </c>
      <c r="B353" s="1" t="n">
        <v>45300</v>
      </c>
      <c r="C353" s="1" t="n">
        <v>46194</v>
      </c>
      <c r="D353" t="inlineStr">
        <is>
          <t>ÖSTERGÖTLANDS LÄN</t>
        </is>
      </c>
      <c r="E353" t="inlineStr">
        <is>
          <t>LINKÖPING</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55345-2021</t>
        </is>
      </c>
      <c r="B354" s="1" t="n">
        <v>44475</v>
      </c>
      <c r="C354" s="1" t="n">
        <v>46194</v>
      </c>
      <c r="D354" t="inlineStr">
        <is>
          <t>ÖSTERGÖTLANDS LÄN</t>
        </is>
      </c>
      <c r="E354" t="inlineStr">
        <is>
          <t>LINKÖPING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v>
      </c>
      <c r="C355" s="1" t="n">
        <v>46194</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63684-2023</t>
        </is>
      </c>
      <c r="B356" s="1" t="n">
        <v>45275</v>
      </c>
      <c r="C356" s="1" t="n">
        <v>46194</v>
      </c>
      <c r="D356" t="inlineStr">
        <is>
          <t>ÖSTERGÖTLANDS LÄN</t>
        </is>
      </c>
      <c r="E356" t="inlineStr">
        <is>
          <t>LINKÖPING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36725-2023</t>
        </is>
      </c>
      <c r="B357" s="1" t="n">
        <v>45153</v>
      </c>
      <c r="C357" s="1" t="n">
        <v>46194</v>
      </c>
      <c r="D357" t="inlineStr">
        <is>
          <t>ÖSTERGÖTLANDS LÄN</t>
        </is>
      </c>
      <c r="E357" t="inlineStr">
        <is>
          <t>LINKÖPING</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70-2024</t>
        </is>
      </c>
      <c r="B358" s="1" t="n">
        <v>45293</v>
      </c>
      <c r="C358" s="1" t="n">
        <v>46194</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10194-2023</t>
        </is>
      </c>
      <c r="B359" s="1" t="n">
        <v>44986</v>
      </c>
      <c r="C359" s="1" t="n">
        <v>46194</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55944-2024</t>
        </is>
      </c>
      <c r="B360" s="1" t="n">
        <v>45623</v>
      </c>
      <c r="C360" s="1" t="n">
        <v>46194</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55947-2024</t>
        </is>
      </c>
      <c r="B361" s="1" t="n">
        <v>45623</v>
      </c>
      <c r="C361" s="1" t="n">
        <v>46194</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27343-2023</t>
        </is>
      </c>
      <c r="B362" s="1" t="n">
        <v>45096</v>
      </c>
      <c r="C362" s="1" t="n">
        <v>46194</v>
      </c>
      <c r="D362" t="inlineStr">
        <is>
          <t>ÖSTERGÖTLANDS LÄN</t>
        </is>
      </c>
      <c r="E362" t="inlineStr">
        <is>
          <t>LINKÖPING</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46194</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51559-2024</t>
        </is>
      </c>
      <c r="B364" s="1" t="n">
        <v>45604</v>
      </c>
      <c r="C364" s="1" t="n">
        <v>46194</v>
      </c>
      <c r="D364" t="inlineStr">
        <is>
          <t>ÖSTERGÖTLANDS LÄN</t>
        </is>
      </c>
      <c r="E364" t="inlineStr">
        <is>
          <t>LINKÖPING</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6782-2024</t>
        </is>
      </c>
      <c r="B365" s="1" t="n">
        <v>45342</v>
      </c>
      <c r="C365" s="1" t="n">
        <v>46194</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v>
      </c>
      <c r="C366" s="1" t="n">
        <v>46194</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v>
      </c>
      <c r="C367" s="1" t="n">
        <v>46194</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46194</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62353-2022</t>
        </is>
      </c>
      <c r="B369" s="1" t="n">
        <v>44923</v>
      </c>
      <c r="C369" s="1" t="n">
        <v>46194</v>
      </c>
      <c r="D369" t="inlineStr">
        <is>
          <t>ÖSTERGÖTLANDS LÄN</t>
        </is>
      </c>
      <c r="E369" t="inlineStr">
        <is>
          <t>LINKÖPING</t>
        </is>
      </c>
      <c r="F369" t="inlineStr">
        <is>
          <t>Allmännings- och besparingsskogar</t>
        </is>
      </c>
      <c r="G369" t="n">
        <v>1.7</v>
      </c>
      <c r="H369" t="n">
        <v>0</v>
      </c>
      <c r="I369" t="n">
        <v>0</v>
      </c>
      <c r="J369" t="n">
        <v>0</v>
      </c>
      <c r="K369" t="n">
        <v>0</v>
      </c>
      <c r="L369" t="n">
        <v>0</v>
      </c>
      <c r="M369" t="n">
        <v>0</v>
      </c>
      <c r="N369" t="n">
        <v>0</v>
      </c>
      <c r="O369" t="n">
        <v>0</v>
      </c>
      <c r="P369" t="n">
        <v>0</v>
      </c>
      <c r="Q369" t="n">
        <v>0</v>
      </c>
      <c r="R369" s="2" t="inlineStr"/>
    </row>
    <row r="370" ht="15" customHeight="1">
      <c r="A370" t="inlineStr">
        <is>
          <t>A 15754-2025</t>
        </is>
      </c>
      <c r="B370" s="1" t="n">
        <v>45748</v>
      </c>
      <c r="C370" s="1" t="n">
        <v>46194</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4298-2023</t>
        </is>
      </c>
      <c r="B371" s="1" t="n">
        <v>44953</v>
      </c>
      <c r="C371" s="1" t="n">
        <v>46194</v>
      </c>
      <c r="D371" t="inlineStr">
        <is>
          <t>ÖSTERGÖTLANDS LÄN</t>
        </is>
      </c>
      <c r="E371" t="inlineStr">
        <is>
          <t>LINKÖPING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52531-2023</t>
        </is>
      </c>
      <c r="B372" s="1" t="n">
        <v>45225</v>
      </c>
      <c r="C372" s="1" t="n">
        <v>46194</v>
      </c>
      <c r="D372" t="inlineStr">
        <is>
          <t>ÖSTERGÖTLANDS LÄN</t>
        </is>
      </c>
      <c r="E372" t="inlineStr">
        <is>
          <t>LINKÖPING</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34930-2023</t>
        </is>
      </c>
      <c r="B373" s="1" t="n">
        <v>45142</v>
      </c>
      <c r="C373" s="1" t="n">
        <v>46194</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38136-2023</t>
        </is>
      </c>
      <c r="B374" s="1" t="n">
        <v>45161</v>
      </c>
      <c r="C374" s="1" t="n">
        <v>46194</v>
      </c>
      <c r="D374" t="inlineStr">
        <is>
          <t>ÖSTERGÖTLANDS LÄN</t>
        </is>
      </c>
      <c r="E374" t="inlineStr">
        <is>
          <t>LINKÖPING</t>
        </is>
      </c>
      <c r="G374" t="n">
        <v>5.6</v>
      </c>
      <c r="H374" t="n">
        <v>0</v>
      </c>
      <c r="I374" t="n">
        <v>0</v>
      </c>
      <c r="J374" t="n">
        <v>0</v>
      </c>
      <c r="K374" t="n">
        <v>0</v>
      </c>
      <c r="L374" t="n">
        <v>0</v>
      </c>
      <c r="M374" t="n">
        <v>0</v>
      </c>
      <c r="N374" t="n">
        <v>0</v>
      </c>
      <c r="O374" t="n">
        <v>0</v>
      </c>
      <c r="P374" t="n">
        <v>0</v>
      </c>
      <c r="Q374" t="n">
        <v>0</v>
      </c>
      <c r="R374" s="2" t="inlineStr"/>
    </row>
    <row r="375" ht="15" customHeight="1">
      <c r="A375" t="inlineStr">
        <is>
          <t>A 14528-2025</t>
        </is>
      </c>
      <c r="B375" s="1" t="n">
        <v>45741</v>
      </c>
      <c r="C375" s="1" t="n">
        <v>46194</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61649-2023</t>
        </is>
      </c>
      <c r="B376" s="1" t="n">
        <v>45265</v>
      </c>
      <c r="C376" s="1" t="n">
        <v>46194</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29859-2024</t>
        </is>
      </c>
      <c r="B377" s="1" t="n">
        <v>45485</v>
      </c>
      <c r="C377" s="1" t="n">
        <v>46194</v>
      </c>
      <c r="D377" t="inlineStr">
        <is>
          <t>ÖSTERGÖTLANDS LÄN</t>
        </is>
      </c>
      <c r="E377" t="inlineStr">
        <is>
          <t>LINKÖPING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223-2024</t>
        </is>
      </c>
      <c r="B378" s="1" t="n">
        <v>45294</v>
      </c>
      <c r="C378" s="1" t="n">
        <v>46194</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227-2024</t>
        </is>
      </c>
      <c r="B379" s="1" t="n">
        <v>45294</v>
      </c>
      <c r="C379" s="1" t="n">
        <v>46194</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60985-2023</t>
        </is>
      </c>
      <c r="B380" s="1" t="n">
        <v>45261</v>
      </c>
      <c r="C380" s="1" t="n">
        <v>46194</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421-2024</t>
        </is>
      </c>
      <c r="B381" s="1" t="n">
        <v>45296</v>
      </c>
      <c r="C381" s="1" t="n">
        <v>46194</v>
      </c>
      <c r="D381" t="inlineStr">
        <is>
          <t>ÖSTERGÖTLANDS LÄN</t>
        </is>
      </c>
      <c r="E381" t="inlineStr">
        <is>
          <t>LINKÖPING</t>
        </is>
      </c>
      <c r="G381" t="n">
        <v>3.7</v>
      </c>
      <c r="H381" t="n">
        <v>0</v>
      </c>
      <c r="I381" t="n">
        <v>0</v>
      </c>
      <c r="J381" t="n">
        <v>0</v>
      </c>
      <c r="K381" t="n">
        <v>0</v>
      </c>
      <c r="L381" t="n">
        <v>0</v>
      </c>
      <c r="M381" t="n">
        <v>0</v>
      </c>
      <c r="N381" t="n">
        <v>0</v>
      </c>
      <c r="O381" t="n">
        <v>0</v>
      </c>
      <c r="P381" t="n">
        <v>0</v>
      </c>
      <c r="Q381" t="n">
        <v>0</v>
      </c>
      <c r="R381" s="2" t="inlineStr"/>
    </row>
    <row r="382" ht="15" customHeight="1">
      <c r="A382" t="inlineStr">
        <is>
          <t>A 51405-2023</t>
        </is>
      </c>
      <c r="B382" s="1" t="n">
        <v>45219</v>
      </c>
      <c r="C382" s="1" t="n">
        <v>46194</v>
      </c>
      <c r="D382" t="inlineStr">
        <is>
          <t>ÖSTERGÖTLANDS LÄN</t>
        </is>
      </c>
      <c r="E382" t="inlineStr">
        <is>
          <t>LINKÖPING</t>
        </is>
      </c>
      <c r="F382" t="inlineStr">
        <is>
          <t>Övriga Aktiebolag</t>
        </is>
      </c>
      <c r="G382" t="n">
        <v>3</v>
      </c>
      <c r="H382" t="n">
        <v>0</v>
      </c>
      <c r="I382" t="n">
        <v>0</v>
      </c>
      <c r="J382" t="n">
        <v>0</v>
      </c>
      <c r="K382" t="n">
        <v>0</v>
      </c>
      <c r="L382" t="n">
        <v>0</v>
      </c>
      <c r="M382" t="n">
        <v>0</v>
      </c>
      <c r="N382" t="n">
        <v>0</v>
      </c>
      <c r="O382" t="n">
        <v>0</v>
      </c>
      <c r="P382" t="n">
        <v>0</v>
      </c>
      <c r="Q382" t="n">
        <v>0</v>
      </c>
      <c r="R382" s="2" t="inlineStr"/>
    </row>
    <row r="383" ht="15" customHeight="1">
      <c r="A383" t="inlineStr">
        <is>
          <t>A 53639-2023</t>
        </is>
      </c>
      <c r="B383" s="1" t="n">
        <v>45230</v>
      </c>
      <c r="C383" s="1" t="n">
        <v>46194</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24467-2023</t>
        </is>
      </c>
      <c r="B384" s="1" t="n">
        <v>45082</v>
      </c>
      <c r="C384" s="1" t="n">
        <v>46194</v>
      </c>
      <c r="D384" t="inlineStr">
        <is>
          <t>ÖSTERGÖTLANDS LÄN</t>
        </is>
      </c>
      <c r="E384" t="inlineStr">
        <is>
          <t>LINKÖPING</t>
        </is>
      </c>
      <c r="G384" t="n">
        <v>2.4</v>
      </c>
      <c r="H384" t="n">
        <v>0</v>
      </c>
      <c r="I384" t="n">
        <v>0</v>
      </c>
      <c r="J384" t="n">
        <v>0</v>
      </c>
      <c r="K384" t="n">
        <v>0</v>
      </c>
      <c r="L384" t="n">
        <v>0</v>
      </c>
      <c r="M384" t="n">
        <v>0</v>
      </c>
      <c r="N384" t="n">
        <v>0</v>
      </c>
      <c r="O384" t="n">
        <v>0</v>
      </c>
      <c r="P384" t="n">
        <v>0</v>
      </c>
      <c r="Q384" t="n">
        <v>0</v>
      </c>
      <c r="R384" s="2" t="inlineStr"/>
    </row>
    <row r="385" ht="15" customHeight="1">
      <c r="A385" t="inlineStr">
        <is>
          <t>A 59642-2024</t>
        </is>
      </c>
      <c r="B385" s="1" t="n">
        <v>45639</v>
      </c>
      <c r="C385" s="1" t="n">
        <v>46194</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31792-2021</t>
        </is>
      </c>
      <c r="B386" s="1" t="n">
        <v>44369</v>
      </c>
      <c r="C386" s="1" t="n">
        <v>46194</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25097-2023</t>
        </is>
      </c>
      <c r="B387" s="1" t="n">
        <v>45086</v>
      </c>
      <c r="C387" s="1" t="n">
        <v>46194</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62495-2023</t>
        </is>
      </c>
      <c r="B388" s="1" t="n">
        <v>45268</v>
      </c>
      <c r="C388" s="1" t="n">
        <v>46194</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35735-2023</t>
        </is>
      </c>
      <c r="B389" s="1" t="n">
        <v>45147</v>
      </c>
      <c r="C389" s="1" t="n">
        <v>46194</v>
      </c>
      <c r="D389" t="inlineStr">
        <is>
          <t>ÖSTERGÖTLANDS LÄN</t>
        </is>
      </c>
      <c r="E389" t="inlineStr">
        <is>
          <t>LINKÖPING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30856-2022</t>
        </is>
      </c>
      <c r="B390" s="1" t="n">
        <v>44767</v>
      </c>
      <c r="C390" s="1" t="n">
        <v>46194</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41511-2025</t>
        </is>
      </c>
      <c r="B391" s="1" t="n">
        <v>45901</v>
      </c>
      <c r="C391" s="1" t="n">
        <v>46194</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29293-2025</t>
        </is>
      </c>
      <c r="B392" s="1" t="n">
        <v>45824</v>
      </c>
      <c r="C392" s="1" t="n">
        <v>46194</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10198-2023</t>
        </is>
      </c>
      <c r="B393" s="1" t="n">
        <v>44986</v>
      </c>
      <c r="C393" s="1" t="n">
        <v>46194</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39219-2021</t>
        </is>
      </c>
      <c r="B394" s="1" t="n">
        <v>44413</v>
      </c>
      <c r="C394" s="1" t="n">
        <v>46194</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39224-2021</t>
        </is>
      </c>
      <c r="B395" s="1" t="n">
        <v>44413</v>
      </c>
      <c r="C395" s="1" t="n">
        <v>46194</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43934-2023</t>
        </is>
      </c>
      <c r="B396" s="1" t="n">
        <v>45187</v>
      </c>
      <c r="C396" s="1" t="n">
        <v>46194</v>
      </c>
      <c r="D396" t="inlineStr">
        <is>
          <t>ÖSTERGÖTLANDS LÄN</t>
        </is>
      </c>
      <c r="E396" t="inlineStr">
        <is>
          <t>LINKÖPING</t>
        </is>
      </c>
      <c r="F396" t="inlineStr">
        <is>
          <t>Övriga Aktiebolag</t>
        </is>
      </c>
      <c r="G396" t="n">
        <v>3.8</v>
      </c>
      <c r="H396" t="n">
        <v>0</v>
      </c>
      <c r="I396" t="n">
        <v>0</v>
      </c>
      <c r="J396" t="n">
        <v>0</v>
      </c>
      <c r="K396" t="n">
        <v>0</v>
      </c>
      <c r="L396" t="n">
        <v>0</v>
      </c>
      <c r="M396" t="n">
        <v>0</v>
      </c>
      <c r="N396" t="n">
        <v>0</v>
      </c>
      <c r="O396" t="n">
        <v>0</v>
      </c>
      <c r="P396" t="n">
        <v>0</v>
      </c>
      <c r="Q396" t="n">
        <v>0</v>
      </c>
      <c r="R396" s="2" t="inlineStr"/>
    </row>
    <row r="397" ht="15" customHeight="1">
      <c r="A397" t="inlineStr">
        <is>
          <t>A 62018-2024</t>
        </is>
      </c>
      <c r="B397" s="1" t="n">
        <v>45655</v>
      </c>
      <c r="C397" s="1" t="n">
        <v>46194</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62073-2023</t>
        </is>
      </c>
      <c r="B398" s="1" t="n">
        <v>45266</v>
      </c>
      <c r="C398" s="1" t="n">
        <v>46194</v>
      </c>
      <c r="D398" t="inlineStr">
        <is>
          <t>ÖSTERGÖTLANDS LÄN</t>
        </is>
      </c>
      <c r="E398" t="inlineStr">
        <is>
          <t>LINKÖPING</t>
        </is>
      </c>
      <c r="F398" t="inlineStr">
        <is>
          <t>Allmännings- och besparingsskogar</t>
        </is>
      </c>
      <c r="G398" t="n">
        <v>1.8</v>
      </c>
      <c r="H398" t="n">
        <v>0</v>
      </c>
      <c r="I398" t="n">
        <v>0</v>
      </c>
      <c r="J398" t="n">
        <v>0</v>
      </c>
      <c r="K398" t="n">
        <v>0</v>
      </c>
      <c r="L398" t="n">
        <v>0</v>
      </c>
      <c r="M398" t="n">
        <v>0</v>
      </c>
      <c r="N398" t="n">
        <v>0</v>
      </c>
      <c r="O398" t="n">
        <v>0</v>
      </c>
      <c r="P398" t="n">
        <v>0</v>
      </c>
      <c r="Q398" t="n">
        <v>0</v>
      </c>
      <c r="R398" s="2" t="inlineStr"/>
    </row>
    <row r="399" ht="15" customHeight="1">
      <c r="A399" t="inlineStr">
        <is>
          <t>A 672-2024</t>
        </is>
      </c>
      <c r="B399" s="1" t="n">
        <v>45300</v>
      </c>
      <c r="C399" s="1" t="n">
        <v>46194</v>
      </c>
      <c r="D399" t="inlineStr">
        <is>
          <t>ÖSTERGÖTLANDS LÄN</t>
        </is>
      </c>
      <c r="E399" t="inlineStr">
        <is>
          <t>LINKÖPING</t>
        </is>
      </c>
      <c r="F399" t="inlineStr">
        <is>
          <t>Sveaskog</t>
        </is>
      </c>
      <c r="G399" t="n">
        <v>4.5</v>
      </c>
      <c r="H399" t="n">
        <v>0</v>
      </c>
      <c r="I399" t="n">
        <v>0</v>
      </c>
      <c r="J399" t="n">
        <v>0</v>
      </c>
      <c r="K399" t="n">
        <v>0</v>
      </c>
      <c r="L399" t="n">
        <v>0</v>
      </c>
      <c r="M399" t="n">
        <v>0</v>
      </c>
      <c r="N399" t="n">
        <v>0</v>
      </c>
      <c r="O399" t="n">
        <v>0</v>
      </c>
      <c r="P399" t="n">
        <v>0</v>
      </c>
      <c r="Q399" t="n">
        <v>0</v>
      </c>
      <c r="R399" s="2" t="inlineStr"/>
    </row>
    <row r="400" ht="15" customHeight="1">
      <c r="A400" t="inlineStr">
        <is>
          <t>A 42832-2023</t>
        </is>
      </c>
      <c r="B400" s="1" t="n">
        <v>45182</v>
      </c>
      <c r="C400" s="1" t="n">
        <v>46194</v>
      </c>
      <c r="D400" t="inlineStr">
        <is>
          <t>ÖSTERGÖTLANDS LÄN</t>
        </is>
      </c>
      <c r="E400" t="inlineStr">
        <is>
          <t>LINKÖPING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43755-2025</t>
        </is>
      </c>
      <c r="B401" s="1" t="n">
        <v>45912</v>
      </c>
      <c r="C401" s="1" t="n">
        <v>46194</v>
      </c>
      <c r="D401" t="inlineStr">
        <is>
          <t>ÖSTERGÖTLANDS LÄN</t>
        </is>
      </c>
      <c r="E401" t="inlineStr">
        <is>
          <t>LINKÖPING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43753-2025</t>
        </is>
      </c>
      <c r="B402" s="1" t="n">
        <v>45912</v>
      </c>
      <c r="C402" s="1" t="n">
        <v>46194</v>
      </c>
      <c r="D402" t="inlineStr">
        <is>
          <t>ÖSTERGÖTLANDS LÄN</t>
        </is>
      </c>
      <c r="E402" t="inlineStr">
        <is>
          <t>LINKÖPING</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43758-2025</t>
        </is>
      </c>
      <c r="B403" s="1" t="n">
        <v>45912</v>
      </c>
      <c r="C403" s="1" t="n">
        <v>46194</v>
      </c>
      <c r="D403" t="inlineStr">
        <is>
          <t>ÖSTERGÖTLANDS LÄN</t>
        </is>
      </c>
      <c r="E403" t="inlineStr">
        <is>
          <t>LINKÖPING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44170-2025</t>
        </is>
      </c>
      <c r="B404" s="1" t="n">
        <v>45915</v>
      </c>
      <c r="C404" s="1" t="n">
        <v>46194</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5872-2025</t>
        </is>
      </c>
      <c r="B405" s="1" t="n">
        <v>45695</v>
      </c>
      <c r="C405" s="1" t="n">
        <v>46194</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59576-2024</t>
        </is>
      </c>
      <c r="B406" s="1" t="n">
        <v>45638</v>
      </c>
      <c r="C406" s="1" t="n">
        <v>46194</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62019-2024</t>
        </is>
      </c>
      <c r="B407" s="1" t="n">
        <v>45655</v>
      </c>
      <c r="C407" s="1" t="n">
        <v>46194</v>
      </c>
      <c r="D407" t="inlineStr">
        <is>
          <t>ÖSTERGÖTLANDS LÄN</t>
        </is>
      </c>
      <c r="E407" t="inlineStr">
        <is>
          <t>LINKÖPING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63935-2021</t>
        </is>
      </c>
      <c r="B408" s="1" t="n">
        <v>44509</v>
      </c>
      <c r="C408" s="1" t="n">
        <v>46194</v>
      </c>
      <c r="D408" t="inlineStr">
        <is>
          <t>ÖSTERGÖTLANDS LÄN</t>
        </is>
      </c>
      <c r="E408" t="inlineStr">
        <is>
          <t>LINKÖPING</t>
        </is>
      </c>
      <c r="F408" t="inlineStr">
        <is>
          <t>Övriga statliga verk och myndigheter</t>
        </is>
      </c>
      <c r="G408" t="n">
        <v>2.8</v>
      </c>
      <c r="H408" t="n">
        <v>0</v>
      </c>
      <c r="I408" t="n">
        <v>0</v>
      </c>
      <c r="J408" t="n">
        <v>0</v>
      </c>
      <c r="K408" t="n">
        <v>0</v>
      </c>
      <c r="L408" t="n">
        <v>0</v>
      </c>
      <c r="M408" t="n">
        <v>0</v>
      </c>
      <c r="N408" t="n">
        <v>0</v>
      </c>
      <c r="O408" t="n">
        <v>0</v>
      </c>
      <c r="P408" t="n">
        <v>0</v>
      </c>
      <c r="Q408" t="n">
        <v>0</v>
      </c>
      <c r="R408" s="2" t="inlineStr"/>
    </row>
    <row r="409" ht="15" customHeight="1">
      <c r="A409" t="inlineStr">
        <is>
          <t>A 38317-2024</t>
        </is>
      </c>
      <c r="B409" s="1" t="n">
        <v>45545</v>
      </c>
      <c r="C409" s="1" t="n">
        <v>46194</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50182-2023</t>
        </is>
      </c>
      <c r="B410" s="1" t="n">
        <v>45208</v>
      </c>
      <c r="C410" s="1" t="n">
        <v>46194</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40810-2022</t>
        </is>
      </c>
      <c r="B411" s="1" t="n">
        <v>44824</v>
      </c>
      <c r="C411" s="1" t="n">
        <v>46194</v>
      </c>
      <c r="D411" t="inlineStr">
        <is>
          <t>ÖSTERGÖTLANDS LÄN</t>
        </is>
      </c>
      <c r="E411" t="inlineStr">
        <is>
          <t>LINKÖPING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1844-2025</t>
        </is>
      </c>
      <c r="B412" s="1" t="n">
        <v>45671</v>
      </c>
      <c r="C412" s="1" t="n">
        <v>46194</v>
      </c>
      <c r="D412" t="inlineStr">
        <is>
          <t>ÖSTERGÖTLANDS LÄN</t>
        </is>
      </c>
      <c r="E412" t="inlineStr">
        <is>
          <t>LINKÖPING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45112-2025</t>
        </is>
      </c>
      <c r="B413" s="1" t="n">
        <v>45919</v>
      </c>
      <c r="C413" s="1" t="n">
        <v>46194</v>
      </c>
      <c r="D413" t="inlineStr">
        <is>
          <t>ÖSTERGÖTLANDS LÄN</t>
        </is>
      </c>
      <c r="E413" t="inlineStr">
        <is>
          <t>LINKÖPING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33800-2023</t>
        </is>
      </c>
      <c r="B414" s="1" t="n">
        <v>45121</v>
      </c>
      <c r="C414" s="1" t="n">
        <v>46194</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45634-2025</t>
        </is>
      </c>
      <c r="B415" s="1" t="n">
        <v>45922</v>
      </c>
      <c r="C415" s="1" t="n">
        <v>46194</v>
      </c>
      <c r="D415" t="inlineStr">
        <is>
          <t>ÖSTERGÖTLANDS LÄN</t>
        </is>
      </c>
      <c r="E415" t="inlineStr">
        <is>
          <t>LINKÖPING</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21155-2025</t>
        </is>
      </c>
      <c r="B416" s="1" t="n">
        <v>45779</v>
      </c>
      <c r="C416" s="1" t="n">
        <v>46194</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21165-2025</t>
        </is>
      </c>
      <c r="B417" s="1" t="n">
        <v>45779</v>
      </c>
      <c r="C417" s="1" t="n">
        <v>46194</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14576-2023</t>
        </is>
      </c>
      <c r="B418" s="1" t="n">
        <v>45013</v>
      </c>
      <c r="C418" s="1" t="n">
        <v>46194</v>
      </c>
      <c r="D418" t="inlineStr">
        <is>
          <t>ÖSTERGÖTLANDS LÄN</t>
        </is>
      </c>
      <c r="E418" t="inlineStr">
        <is>
          <t>LINKÖPING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12089-2025</t>
        </is>
      </c>
      <c r="B419" s="1" t="n">
        <v>45729</v>
      </c>
      <c r="C419" s="1" t="n">
        <v>46194</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46377-2025</t>
        </is>
      </c>
      <c r="B420" s="1" t="n">
        <v>45925</v>
      </c>
      <c r="C420" s="1" t="n">
        <v>46194</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47233-2025</t>
        </is>
      </c>
      <c r="B421" s="1" t="n">
        <v>45930</v>
      </c>
      <c r="C421" s="1" t="n">
        <v>46194</v>
      </c>
      <c r="D421" t="inlineStr">
        <is>
          <t>ÖSTERGÖTLANDS LÄN</t>
        </is>
      </c>
      <c r="E421" t="inlineStr">
        <is>
          <t>LINKÖPING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57752-2023</t>
        </is>
      </c>
      <c r="B422" s="1" t="n">
        <v>45246</v>
      </c>
      <c r="C422" s="1" t="n">
        <v>46194</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46847-2025</t>
        </is>
      </c>
      <c r="B423" s="1" t="n">
        <v>45928</v>
      </c>
      <c r="C423" s="1" t="n">
        <v>46194</v>
      </c>
      <c r="D423" t="inlineStr">
        <is>
          <t>ÖSTERGÖTLANDS LÄN</t>
        </is>
      </c>
      <c r="E423" t="inlineStr">
        <is>
          <t>LINKÖPING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9473-2024</t>
        </is>
      </c>
      <c r="B424" s="1" t="n">
        <v>45359</v>
      </c>
      <c r="C424" s="1" t="n">
        <v>46194</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48266-2025</t>
        </is>
      </c>
      <c r="B425" s="1" t="n">
        <v>45932</v>
      </c>
      <c r="C425" s="1" t="n">
        <v>46194</v>
      </c>
      <c r="D425" t="inlineStr">
        <is>
          <t>ÖSTERGÖTLANDS LÄN</t>
        </is>
      </c>
      <c r="E425" t="inlineStr">
        <is>
          <t>LINKÖPING</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22264-2025</t>
        </is>
      </c>
      <c r="B426" s="1" t="n">
        <v>45785</v>
      </c>
      <c r="C426" s="1" t="n">
        <v>46194</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43475-2024</t>
        </is>
      </c>
      <c r="B427" s="1" t="n">
        <v>45568</v>
      </c>
      <c r="C427" s="1" t="n">
        <v>46194</v>
      </c>
      <c r="D427" t="inlineStr">
        <is>
          <t>ÖSTERGÖTLANDS LÄN</t>
        </is>
      </c>
      <c r="E427" t="inlineStr">
        <is>
          <t>LINKÖPING</t>
        </is>
      </c>
      <c r="G427" t="n">
        <v>3.2</v>
      </c>
      <c r="H427" t="n">
        <v>0</v>
      </c>
      <c r="I427" t="n">
        <v>0</v>
      </c>
      <c r="J427" t="n">
        <v>0</v>
      </c>
      <c r="K427" t="n">
        <v>0</v>
      </c>
      <c r="L427" t="n">
        <v>0</v>
      </c>
      <c r="M427" t="n">
        <v>0</v>
      </c>
      <c r="N427" t="n">
        <v>0</v>
      </c>
      <c r="O427" t="n">
        <v>0</v>
      </c>
      <c r="P427" t="n">
        <v>0</v>
      </c>
      <c r="Q427" t="n">
        <v>0</v>
      </c>
      <c r="R427" s="2" t="inlineStr"/>
    </row>
    <row r="428" ht="15" customHeight="1">
      <c r="A428" t="inlineStr">
        <is>
          <t>A 17103-2025</t>
        </is>
      </c>
      <c r="B428" s="1" t="n">
        <v>45755</v>
      </c>
      <c r="C428" s="1" t="n">
        <v>46194</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50784-2022</t>
        </is>
      </c>
      <c r="B429" s="1" t="n">
        <v>44862</v>
      </c>
      <c r="C429" s="1" t="n">
        <v>46194</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6859-2024</t>
        </is>
      </c>
      <c r="B430" s="1" t="n">
        <v>45342</v>
      </c>
      <c r="C430" s="1" t="n">
        <v>46194</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22043-2023</t>
        </is>
      </c>
      <c r="B431" s="1" t="n">
        <v>45069</v>
      </c>
      <c r="C431" s="1" t="n">
        <v>46194</v>
      </c>
      <c r="D431" t="inlineStr">
        <is>
          <t>ÖSTERGÖTLANDS LÄN</t>
        </is>
      </c>
      <c r="E431" t="inlineStr">
        <is>
          <t>LINKÖPING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38580-2024</t>
        </is>
      </c>
      <c r="B432" s="1" t="n">
        <v>45546</v>
      </c>
      <c r="C432" s="1" t="n">
        <v>46194</v>
      </c>
      <c r="D432" t="inlineStr">
        <is>
          <t>ÖSTERGÖTLANDS LÄN</t>
        </is>
      </c>
      <c r="E432" t="inlineStr">
        <is>
          <t>LINKÖPING</t>
        </is>
      </c>
      <c r="G432" t="n">
        <v>4.8</v>
      </c>
      <c r="H432" t="n">
        <v>0</v>
      </c>
      <c r="I432" t="n">
        <v>0</v>
      </c>
      <c r="J432" t="n">
        <v>0</v>
      </c>
      <c r="K432" t="n">
        <v>0</v>
      </c>
      <c r="L432" t="n">
        <v>0</v>
      </c>
      <c r="M432" t="n">
        <v>0</v>
      </c>
      <c r="N432" t="n">
        <v>0</v>
      </c>
      <c r="O432" t="n">
        <v>0</v>
      </c>
      <c r="P432" t="n">
        <v>0</v>
      </c>
      <c r="Q432" t="n">
        <v>0</v>
      </c>
      <c r="R432" s="2" t="inlineStr"/>
    </row>
    <row r="433" ht="15" customHeight="1">
      <c r="A433" t="inlineStr">
        <is>
          <t>A 572-2025</t>
        </is>
      </c>
      <c r="B433" s="1" t="n">
        <v>45664</v>
      </c>
      <c r="C433" s="1" t="n">
        <v>46194</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49656-2021</t>
        </is>
      </c>
      <c r="B434" s="1" t="n">
        <v>44454</v>
      </c>
      <c r="C434" s="1" t="n">
        <v>46194</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44287-2024</t>
        </is>
      </c>
      <c r="B435" s="1" t="n">
        <v>45573</v>
      </c>
      <c r="C435" s="1" t="n">
        <v>46194</v>
      </c>
      <c r="D435" t="inlineStr">
        <is>
          <t>ÖSTERGÖTLANDS LÄN</t>
        </is>
      </c>
      <c r="E435" t="inlineStr">
        <is>
          <t>LINKÖPING</t>
        </is>
      </c>
      <c r="G435" t="n">
        <v>12.7</v>
      </c>
      <c r="H435" t="n">
        <v>0</v>
      </c>
      <c r="I435" t="n">
        <v>0</v>
      </c>
      <c r="J435" t="n">
        <v>0</v>
      </c>
      <c r="K435" t="n">
        <v>0</v>
      </c>
      <c r="L435" t="n">
        <v>0</v>
      </c>
      <c r="M435" t="n">
        <v>0</v>
      </c>
      <c r="N435" t="n">
        <v>0</v>
      </c>
      <c r="O435" t="n">
        <v>0</v>
      </c>
      <c r="P435" t="n">
        <v>0</v>
      </c>
      <c r="Q435" t="n">
        <v>0</v>
      </c>
      <c r="R435" s="2" t="inlineStr"/>
    </row>
    <row r="436" ht="15" customHeight="1">
      <c r="A436" t="inlineStr">
        <is>
          <t>A 29312-2024</t>
        </is>
      </c>
      <c r="B436" s="1" t="n">
        <v>45483</v>
      </c>
      <c r="C436" s="1" t="n">
        <v>46194</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30465-2023</t>
        </is>
      </c>
      <c r="B437" s="1" t="n">
        <v>45111</v>
      </c>
      <c r="C437" s="1" t="n">
        <v>46194</v>
      </c>
      <c r="D437" t="inlineStr">
        <is>
          <t>ÖSTERGÖTLANDS LÄN</t>
        </is>
      </c>
      <c r="E437" t="inlineStr">
        <is>
          <t>LINKÖPING</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49647-2025</t>
        </is>
      </c>
      <c r="B438" s="1" t="n">
        <v>45938</v>
      </c>
      <c r="C438" s="1" t="n">
        <v>46194</v>
      </c>
      <c r="D438" t="inlineStr">
        <is>
          <t>ÖSTERGÖTLANDS LÄN</t>
        </is>
      </c>
      <c r="E438" t="inlineStr">
        <is>
          <t>LINKÖPING</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49633-2025</t>
        </is>
      </c>
      <c r="B439" s="1" t="n">
        <v>45938</v>
      </c>
      <c r="C439" s="1" t="n">
        <v>46194</v>
      </c>
      <c r="D439" t="inlineStr">
        <is>
          <t>ÖSTERGÖTLANDS LÄN</t>
        </is>
      </c>
      <c r="E439" t="inlineStr">
        <is>
          <t>LINKÖPING</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49654-2025</t>
        </is>
      </c>
      <c r="B440" s="1" t="n">
        <v>45938</v>
      </c>
      <c r="C440" s="1" t="n">
        <v>46194</v>
      </c>
      <c r="D440" t="inlineStr">
        <is>
          <t>ÖSTERGÖTLANDS LÄN</t>
        </is>
      </c>
      <c r="E440" t="inlineStr">
        <is>
          <t>LINKÖPING</t>
        </is>
      </c>
      <c r="F440" t="inlineStr">
        <is>
          <t>Övriga Aktiebolag</t>
        </is>
      </c>
      <c r="G440" t="n">
        <v>3.1</v>
      </c>
      <c r="H440" t="n">
        <v>0</v>
      </c>
      <c r="I440" t="n">
        <v>0</v>
      </c>
      <c r="J440" t="n">
        <v>0</v>
      </c>
      <c r="K440" t="n">
        <v>0</v>
      </c>
      <c r="L440" t="n">
        <v>0</v>
      </c>
      <c r="M440" t="n">
        <v>0</v>
      </c>
      <c r="N440" t="n">
        <v>0</v>
      </c>
      <c r="O440" t="n">
        <v>0</v>
      </c>
      <c r="P440" t="n">
        <v>0</v>
      </c>
      <c r="Q440" t="n">
        <v>0</v>
      </c>
      <c r="R440" s="2" t="inlineStr"/>
    </row>
    <row r="441" ht="15" customHeight="1">
      <c r="A441" t="inlineStr">
        <is>
          <t>A 40618-2021</t>
        </is>
      </c>
      <c r="B441" s="1" t="n">
        <v>44420</v>
      </c>
      <c r="C441" s="1" t="n">
        <v>46194</v>
      </c>
      <c r="D441" t="inlineStr">
        <is>
          <t>ÖSTERGÖTLANDS LÄN</t>
        </is>
      </c>
      <c r="E441" t="inlineStr">
        <is>
          <t>LINKÖPING</t>
        </is>
      </c>
      <c r="G441" t="n">
        <v>2.3</v>
      </c>
      <c r="H441" t="n">
        <v>0</v>
      </c>
      <c r="I441" t="n">
        <v>0</v>
      </c>
      <c r="J441" t="n">
        <v>0</v>
      </c>
      <c r="K441" t="n">
        <v>0</v>
      </c>
      <c r="L441" t="n">
        <v>0</v>
      </c>
      <c r="M441" t="n">
        <v>0</v>
      </c>
      <c r="N441" t="n">
        <v>0</v>
      </c>
      <c r="O441" t="n">
        <v>0</v>
      </c>
      <c r="P441" t="n">
        <v>0</v>
      </c>
      <c r="Q441" t="n">
        <v>0</v>
      </c>
      <c r="R441" s="2" t="inlineStr"/>
    </row>
    <row r="442" ht="15" customHeight="1">
      <c r="A442" t="inlineStr">
        <is>
          <t>A 49615-2025</t>
        </is>
      </c>
      <c r="B442" s="1" t="n">
        <v>45938</v>
      </c>
      <c r="C442" s="1" t="n">
        <v>46194</v>
      </c>
      <c r="D442" t="inlineStr">
        <is>
          <t>ÖSTERGÖTLANDS LÄN</t>
        </is>
      </c>
      <c r="E442" t="inlineStr">
        <is>
          <t>LINKÖPING</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23735-2023</t>
        </is>
      </c>
      <c r="B443" s="1" t="n">
        <v>45077</v>
      </c>
      <c r="C443" s="1" t="n">
        <v>46194</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350-2022</t>
        </is>
      </c>
      <c r="B444" s="1" t="n">
        <v>44565</v>
      </c>
      <c r="C444" s="1" t="n">
        <v>46194</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48699-2024</t>
        </is>
      </c>
      <c r="B445" s="1" t="n">
        <v>45593</v>
      </c>
      <c r="C445" s="1" t="n">
        <v>46194</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25948-2023</t>
        </is>
      </c>
      <c r="B446" s="1" t="n">
        <v>45090</v>
      </c>
      <c r="C446" s="1" t="n">
        <v>46194</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13911-2025</t>
        </is>
      </c>
      <c r="B447" s="1" t="n">
        <v>45737</v>
      </c>
      <c r="C447" s="1" t="n">
        <v>46194</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33867-2023</t>
        </is>
      </c>
      <c r="B448" s="1" t="n">
        <v>45133</v>
      </c>
      <c r="C448" s="1" t="n">
        <v>46194</v>
      </c>
      <c r="D448" t="inlineStr">
        <is>
          <t>ÖSTERGÖTLANDS LÄN</t>
        </is>
      </c>
      <c r="E448" t="inlineStr">
        <is>
          <t>LINKÖPING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50056-2025</t>
        </is>
      </c>
      <c r="B449" s="1" t="n">
        <v>45941</v>
      </c>
      <c r="C449" s="1" t="n">
        <v>46194</v>
      </c>
      <c r="D449" t="inlineStr">
        <is>
          <t>ÖSTERGÖTLANDS LÄN</t>
        </is>
      </c>
      <c r="E449" t="inlineStr">
        <is>
          <t>LINKÖPING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23768-2025</t>
        </is>
      </c>
      <c r="B450" s="1" t="n">
        <v>45793</v>
      </c>
      <c r="C450" s="1" t="n">
        <v>46194</v>
      </c>
      <c r="D450" t="inlineStr">
        <is>
          <t>ÖSTERGÖTLANDS LÄN</t>
        </is>
      </c>
      <c r="E450" t="inlineStr">
        <is>
          <t>LINKÖPING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50667-2025</t>
        </is>
      </c>
      <c r="B451" s="1" t="n">
        <v>45945</v>
      </c>
      <c r="C451" s="1" t="n">
        <v>46194</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24462-2023</t>
        </is>
      </c>
      <c r="B452" s="1" t="n">
        <v>45082</v>
      </c>
      <c r="C452" s="1" t="n">
        <v>46194</v>
      </c>
      <c r="D452" t="inlineStr">
        <is>
          <t>ÖSTERGÖTLANDS LÄN</t>
        </is>
      </c>
      <c r="E452" t="inlineStr">
        <is>
          <t>LINKÖPING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48829-2023</t>
        </is>
      </c>
      <c r="B453" s="1" t="n">
        <v>45209</v>
      </c>
      <c r="C453" s="1" t="n">
        <v>46194</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38231-2022</t>
        </is>
      </c>
      <c r="B454" s="1" t="n">
        <v>44812</v>
      </c>
      <c r="C454" s="1" t="n">
        <v>46194</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44280-2024</t>
        </is>
      </c>
      <c r="B455" s="1" t="n">
        <v>45573</v>
      </c>
      <c r="C455" s="1" t="n">
        <v>46194</v>
      </c>
      <c r="D455" t="inlineStr">
        <is>
          <t>ÖSTERGÖTLANDS LÄN</t>
        </is>
      </c>
      <c r="E455" t="inlineStr">
        <is>
          <t>LINKÖPING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50799-2022</t>
        </is>
      </c>
      <c r="B456" s="1" t="n">
        <v>44862</v>
      </c>
      <c r="C456" s="1" t="n">
        <v>46194</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40431-2024</t>
        </is>
      </c>
      <c r="B457" s="1" t="n">
        <v>45555</v>
      </c>
      <c r="C457" s="1" t="n">
        <v>46194</v>
      </c>
      <c r="D457" t="inlineStr">
        <is>
          <t>ÖSTERGÖTLANDS LÄN</t>
        </is>
      </c>
      <c r="E457" t="inlineStr">
        <is>
          <t>LINKÖPING</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267-2023</t>
        </is>
      </c>
      <c r="B458" s="1" t="n">
        <v>44928</v>
      </c>
      <c r="C458" s="1" t="n">
        <v>46194</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26618-2023</t>
        </is>
      </c>
      <c r="B459" s="1" t="n">
        <v>45092</v>
      </c>
      <c r="C459" s="1" t="n">
        <v>46194</v>
      </c>
      <c r="D459" t="inlineStr">
        <is>
          <t>ÖSTERGÖTLANDS LÄN</t>
        </is>
      </c>
      <c r="E459" t="inlineStr">
        <is>
          <t>LINKÖPING</t>
        </is>
      </c>
      <c r="G459" t="n">
        <v>6.9</v>
      </c>
      <c r="H459" t="n">
        <v>0</v>
      </c>
      <c r="I459" t="n">
        <v>0</v>
      </c>
      <c r="J459" t="n">
        <v>0</v>
      </c>
      <c r="K459" t="n">
        <v>0</v>
      </c>
      <c r="L459" t="n">
        <v>0</v>
      </c>
      <c r="M459" t="n">
        <v>0</v>
      </c>
      <c r="N459" t="n">
        <v>0</v>
      </c>
      <c r="O459" t="n">
        <v>0</v>
      </c>
      <c r="P459" t="n">
        <v>0</v>
      </c>
      <c r="Q459" t="n">
        <v>0</v>
      </c>
      <c r="R459" s="2" t="inlineStr"/>
    </row>
    <row r="460" ht="15" customHeight="1">
      <c r="A460" t="inlineStr">
        <is>
          <t>A 63665-2023</t>
        </is>
      </c>
      <c r="B460" s="1" t="n">
        <v>45275</v>
      </c>
      <c r="C460" s="1" t="n">
        <v>46194</v>
      </c>
      <c r="D460" t="inlineStr">
        <is>
          <t>ÖSTERGÖTLANDS LÄN</t>
        </is>
      </c>
      <c r="E460" t="inlineStr">
        <is>
          <t>LINKÖPING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52111-2025</t>
        </is>
      </c>
      <c r="B461" s="1" t="n">
        <v>45952</v>
      </c>
      <c r="C461" s="1" t="n">
        <v>46194</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25996-2025</t>
        </is>
      </c>
      <c r="B462" s="1" t="n">
        <v>45804</v>
      </c>
      <c r="C462" s="1" t="n">
        <v>46194</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26002-2025</t>
        </is>
      </c>
      <c r="B463" s="1" t="n">
        <v>45804</v>
      </c>
      <c r="C463" s="1" t="n">
        <v>46194</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30435-2024</t>
        </is>
      </c>
      <c r="B464" s="1" t="n">
        <v>45491</v>
      </c>
      <c r="C464" s="1" t="n">
        <v>46194</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46194</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6599-2023</t>
        </is>
      </c>
      <c r="B466" s="1" t="n">
        <v>44966</v>
      </c>
      <c r="C466" s="1" t="n">
        <v>46194</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43473-2024</t>
        </is>
      </c>
      <c r="B467" s="1" t="n">
        <v>45568</v>
      </c>
      <c r="C467" s="1" t="n">
        <v>46194</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52802-2025</t>
        </is>
      </c>
      <c r="B468" s="1" t="n">
        <v>45957</v>
      </c>
      <c r="C468" s="1" t="n">
        <v>46194</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52740-2025</t>
        </is>
      </c>
      <c r="B469" s="1" t="n">
        <v>45957</v>
      </c>
      <c r="C469" s="1" t="n">
        <v>46194</v>
      </c>
      <c r="D469" t="inlineStr">
        <is>
          <t>ÖSTERGÖTLANDS LÄN</t>
        </is>
      </c>
      <c r="E469" t="inlineStr">
        <is>
          <t>LINKÖPING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52743-2025</t>
        </is>
      </c>
      <c r="B470" s="1" t="n">
        <v>45957</v>
      </c>
      <c r="C470" s="1" t="n">
        <v>46194</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61532-2021</t>
        </is>
      </c>
      <c r="B471" s="1" t="n">
        <v>44501</v>
      </c>
      <c r="C471" s="1" t="n">
        <v>46194</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3374-2023</t>
        </is>
      </c>
      <c r="B472" s="1" t="n">
        <v>44949</v>
      </c>
      <c r="C472" s="1" t="n">
        <v>46194</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224-2024</t>
        </is>
      </c>
      <c r="B473" s="1" t="n">
        <v>45294</v>
      </c>
      <c r="C473" s="1" t="n">
        <v>46194</v>
      </c>
      <c r="D473" t="inlineStr">
        <is>
          <t>ÖSTERGÖTLANDS LÄN</t>
        </is>
      </c>
      <c r="E473" t="inlineStr">
        <is>
          <t>LINKÖPING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6726-2024</t>
        </is>
      </c>
      <c r="B474" s="1" t="n">
        <v>45341</v>
      </c>
      <c r="C474" s="1" t="n">
        <v>46194</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53814-2023</t>
        </is>
      </c>
      <c r="B475" s="1" t="n">
        <v>45231</v>
      </c>
      <c r="C475" s="1" t="n">
        <v>46194</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27797-2025</t>
        </is>
      </c>
      <c r="B476" s="1" t="n">
        <v>45816</v>
      </c>
      <c r="C476" s="1" t="n">
        <v>46194</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60004-2022</t>
        </is>
      </c>
      <c r="B477" s="1" t="n">
        <v>44909</v>
      </c>
      <c r="C477" s="1" t="n">
        <v>46194</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50743-2023</t>
        </is>
      </c>
      <c r="B478" s="1" t="n">
        <v>45217</v>
      </c>
      <c r="C478" s="1" t="n">
        <v>46194</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45771-2023</t>
        </is>
      </c>
      <c r="B479" s="1" t="n">
        <v>45195</v>
      </c>
      <c r="C479" s="1" t="n">
        <v>46194</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55109-2025</t>
        </is>
      </c>
      <c r="B480" s="1" t="n">
        <v>45968</v>
      </c>
      <c r="C480" s="1" t="n">
        <v>46194</v>
      </c>
      <c r="D480" t="inlineStr">
        <is>
          <t>ÖSTERGÖTLANDS LÄN</t>
        </is>
      </c>
      <c r="E480" t="inlineStr">
        <is>
          <t>LINKÖPING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63554-2023</t>
        </is>
      </c>
      <c r="B481" s="1" t="n">
        <v>45275</v>
      </c>
      <c r="C481" s="1" t="n">
        <v>46194</v>
      </c>
      <c r="D481" t="inlineStr">
        <is>
          <t>ÖSTERGÖTLANDS LÄN</t>
        </is>
      </c>
      <c r="E481" t="inlineStr">
        <is>
          <t>LINKÖPING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55102-2025</t>
        </is>
      </c>
      <c r="B482" s="1" t="n">
        <v>45968</v>
      </c>
      <c r="C482" s="1" t="n">
        <v>46194</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55132-2025</t>
        </is>
      </c>
      <c r="B483" s="1" t="n">
        <v>45968</v>
      </c>
      <c r="C483" s="1" t="n">
        <v>46194</v>
      </c>
      <c r="D483" t="inlineStr">
        <is>
          <t>ÖSTERGÖTLANDS LÄN</t>
        </is>
      </c>
      <c r="E483" t="inlineStr">
        <is>
          <t>LINKÖPING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29027-2025</t>
        </is>
      </c>
      <c r="B484" s="1" t="n">
        <v>45821</v>
      </c>
      <c r="C484" s="1" t="n">
        <v>46194</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30111-2024</t>
        </is>
      </c>
      <c r="B485" s="1" t="n">
        <v>45489</v>
      </c>
      <c r="C485" s="1" t="n">
        <v>46194</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30119-2024</t>
        </is>
      </c>
      <c r="B486" s="1" t="n">
        <v>45489</v>
      </c>
      <c r="C486" s="1" t="n">
        <v>46194</v>
      </c>
      <c r="D486" t="inlineStr">
        <is>
          <t>ÖSTERGÖTLANDS LÄN</t>
        </is>
      </c>
      <c r="E486" t="inlineStr">
        <is>
          <t>LINKÖPING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6206-2024</t>
        </is>
      </c>
      <c r="B487" s="1" t="n">
        <v>45337</v>
      </c>
      <c r="C487" s="1" t="n">
        <v>46194</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29599-2025</t>
        </is>
      </c>
      <c r="B488" s="1" t="n">
        <v>45825</v>
      </c>
      <c r="C488" s="1" t="n">
        <v>46194</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15714-2024</t>
        </is>
      </c>
      <c r="B489" s="1" t="n">
        <v>45404</v>
      </c>
      <c r="C489" s="1" t="n">
        <v>46194</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56105-2025</t>
        </is>
      </c>
      <c r="B490" s="1" t="n">
        <v>45973</v>
      </c>
      <c r="C490" s="1" t="n">
        <v>46194</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30481-2023</t>
        </is>
      </c>
      <c r="B491" s="1" t="n">
        <v>45111</v>
      </c>
      <c r="C491" s="1" t="n">
        <v>46194</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74160-2021</t>
        </is>
      </c>
      <c r="B492" s="1" t="n">
        <v>44558</v>
      </c>
      <c r="C492" s="1" t="n">
        <v>46194</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63559-2023</t>
        </is>
      </c>
      <c r="B493" s="1" t="n">
        <v>45275</v>
      </c>
      <c r="C493" s="1" t="n">
        <v>46194</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23491-2024</t>
        </is>
      </c>
      <c r="B494" s="1" t="n">
        <v>45453</v>
      </c>
      <c r="C494" s="1" t="n">
        <v>46194</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56113-2025</t>
        </is>
      </c>
      <c r="B495" s="1" t="n">
        <v>45973</v>
      </c>
      <c r="C495" s="1" t="n">
        <v>46194</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56704-2025</t>
        </is>
      </c>
      <c r="B496" s="1" t="n">
        <v>45977</v>
      </c>
      <c r="C496" s="1" t="n">
        <v>46194</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29309-2024</t>
        </is>
      </c>
      <c r="B497" s="1" t="n">
        <v>45483</v>
      </c>
      <c r="C497" s="1" t="n">
        <v>46194</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29411-2023</t>
        </is>
      </c>
      <c r="B498" s="1" t="n">
        <v>45106</v>
      </c>
      <c r="C498" s="1" t="n">
        <v>46194</v>
      </c>
      <c r="D498" t="inlineStr">
        <is>
          <t>ÖSTERGÖTLANDS LÄN</t>
        </is>
      </c>
      <c r="E498" t="inlineStr">
        <is>
          <t>LINKÖPING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29412-2023</t>
        </is>
      </c>
      <c r="B499" s="1" t="n">
        <v>45106</v>
      </c>
      <c r="C499" s="1" t="n">
        <v>46194</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29413-2023</t>
        </is>
      </c>
      <c r="B500" s="1" t="n">
        <v>45106</v>
      </c>
      <c r="C500" s="1" t="n">
        <v>46194</v>
      </c>
      <c r="D500" t="inlineStr">
        <is>
          <t>ÖSTERGÖTLANDS LÄN</t>
        </is>
      </c>
      <c r="E500" t="inlineStr">
        <is>
          <t>LINKÖPING</t>
        </is>
      </c>
      <c r="G500" t="n">
        <v>8</v>
      </c>
      <c r="H500" t="n">
        <v>0</v>
      </c>
      <c r="I500" t="n">
        <v>0</v>
      </c>
      <c r="J500" t="n">
        <v>0</v>
      </c>
      <c r="K500" t="n">
        <v>0</v>
      </c>
      <c r="L500" t="n">
        <v>0</v>
      </c>
      <c r="M500" t="n">
        <v>0</v>
      </c>
      <c r="N500" t="n">
        <v>0</v>
      </c>
      <c r="O500" t="n">
        <v>0</v>
      </c>
      <c r="P500" t="n">
        <v>0</v>
      </c>
      <c r="Q500" t="n">
        <v>0</v>
      </c>
      <c r="R500" s="2" t="inlineStr"/>
    </row>
    <row r="501" ht="15" customHeight="1">
      <c r="A501" t="inlineStr">
        <is>
          <t>A 24151-2024</t>
        </is>
      </c>
      <c r="B501" s="1" t="n">
        <v>45456</v>
      </c>
      <c r="C501" s="1" t="n">
        <v>46194</v>
      </c>
      <c r="D501" t="inlineStr">
        <is>
          <t>ÖSTERGÖTLANDS LÄN</t>
        </is>
      </c>
      <c r="E501" t="inlineStr">
        <is>
          <t>LINKÖPING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31581-2025</t>
        </is>
      </c>
      <c r="B502" s="1" t="n">
        <v>45833</v>
      </c>
      <c r="C502" s="1" t="n">
        <v>46194</v>
      </c>
      <c r="D502" t="inlineStr">
        <is>
          <t>ÖSTERGÖTLANDS LÄN</t>
        </is>
      </c>
      <c r="E502" t="inlineStr">
        <is>
          <t>LINKÖPING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31585-2025</t>
        </is>
      </c>
      <c r="B503" s="1" t="n">
        <v>45833</v>
      </c>
      <c r="C503" s="1" t="n">
        <v>46194</v>
      </c>
      <c r="D503" t="inlineStr">
        <is>
          <t>ÖSTERGÖTLANDS LÄN</t>
        </is>
      </c>
      <c r="E503" t="inlineStr">
        <is>
          <t>LINKÖPING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63845-2021</t>
        </is>
      </c>
      <c r="B504" s="1" t="n">
        <v>44509</v>
      </c>
      <c r="C504" s="1" t="n">
        <v>46194</v>
      </c>
      <c r="D504" t="inlineStr">
        <is>
          <t>ÖSTERGÖTLANDS LÄN</t>
        </is>
      </c>
      <c r="E504" t="inlineStr">
        <is>
          <t>LINKÖPING</t>
        </is>
      </c>
      <c r="G504" t="n">
        <v>5</v>
      </c>
      <c r="H504" t="n">
        <v>0</v>
      </c>
      <c r="I504" t="n">
        <v>0</v>
      </c>
      <c r="J504" t="n">
        <v>0</v>
      </c>
      <c r="K504" t="n">
        <v>0</v>
      </c>
      <c r="L504" t="n">
        <v>0</v>
      </c>
      <c r="M504" t="n">
        <v>0</v>
      </c>
      <c r="N504" t="n">
        <v>0</v>
      </c>
      <c r="O504" t="n">
        <v>0</v>
      </c>
      <c r="P504" t="n">
        <v>0</v>
      </c>
      <c r="Q504" t="n">
        <v>0</v>
      </c>
      <c r="R504" s="2" t="inlineStr"/>
    </row>
    <row r="505" ht="15" customHeight="1">
      <c r="A505" t="inlineStr">
        <is>
          <t>A 17785-2023</t>
        </is>
      </c>
      <c r="B505" s="1" t="n">
        <v>45037</v>
      </c>
      <c r="C505" s="1" t="n">
        <v>46194</v>
      </c>
      <c r="D505" t="inlineStr">
        <is>
          <t>ÖSTERGÖTLANDS LÄN</t>
        </is>
      </c>
      <c r="E505" t="inlineStr">
        <is>
          <t>LINKÖPING</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32346-2023</t>
        </is>
      </c>
      <c r="B506" s="1" t="n">
        <v>45120</v>
      </c>
      <c r="C506" s="1" t="n">
        <v>46194</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1627-2023</t>
        </is>
      </c>
      <c r="B507" s="1" t="n">
        <v>44937</v>
      </c>
      <c r="C507" s="1" t="n">
        <v>46194</v>
      </c>
      <c r="D507" t="inlineStr">
        <is>
          <t>ÖSTERGÖTLANDS LÄN</t>
        </is>
      </c>
      <c r="E507" t="inlineStr">
        <is>
          <t>LINKÖPING</t>
        </is>
      </c>
      <c r="G507" t="n">
        <v>10.8</v>
      </c>
      <c r="H507" t="n">
        <v>0</v>
      </c>
      <c r="I507" t="n">
        <v>0</v>
      </c>
      <c r="J507" t="n">
        <v>0</v>
      </c>
      <c r="K507" t="n">
        <v>0</v>
      </c>
      <c r="L507" t="n">
        <v>0</v>
      </c>
      <c r="M507" t="n">
        <v>0</v>
      </c>
      <c r="N507" t="n">
        <v>0</v>
      </c>
      <c r="O507" t="n">
        <v>0</v>
      </c>
      <c r="P507" t="n">
        <v>0</v>
      </c>
      <c r="Q507" t="n">
        <v>0</v>
      </c>
      <c r="R507" s="2" t="inlineStr"/>
    </row>
    <row r="508" ht="15" customHeight="1">
      <c r="A508" t="inlineStr">
        <is>
          <t>A 16665-2023</t>
        </is>
      </c>
      <c r="B508" s="1" t="n">
        <v>45030</v>
      </c>
      <c r="C508" s="1" t="n">
        <v>46194</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60860-2024</t>
        </is>
      </c>
      <c r="B509" s="1" t="n">
        <v>45644</v>
      </c>
      <c r="C509" s="1" t="n">
        <v>46194</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31640-2023</t>
        </is>
      </c>
      <c r="B510" s="1" t="n">
        <v>45117</v>
      </c>
      <c r="C510" s="1" t="n">
        <v>46194</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16213-2025</t>
        </is>
      </c>
      <c r="B511" s="1" t="n">
        <v>45750</v>
      </c>
      <c r="C511" s="1" t="n">
        <v>46194</v>
      </c>
      <c r="D511" t="inlineStr">
        <is>
          <t>ÖSTERGÖTLANDS LÄN</t>
        </is>
      </c>
      <c r="E511" t="inlineStr">
        <is>
          <t>LINKÖPING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34872-2023</t>
        </is>
      </c>
      <c r="B512" s="1" t="n">
        <v>45140</v>
      </c>
      <c r="C512" s="1" t="n">
        <v>46194</v>
      </c>
      <c r="D512" t="inlineStr">
        <is>
          <t>ÖSTERGÖTLANDS LÄN</t>
        </is>
      </c>
      <c r="E512" t="inlineStr">
        <is>
          <t>LINKÖPING</t>
        </is>
      </c>
      <c r="G512" t="n">
        <v>4.8</v>
      </c>
      <c r="H512" t="n">
        <v>0</v>
      </c>
      <c r="I512" t="n">
        <v>0</v>
      </c>
      <c r="J512" t="n">
        <v>0</v>
      </c>
      <c r="K512" t="n">
        <v>0</v>
      </c>
      <c r="L512" t="n">
        <v>0</v>
      </c>
      <c r="M512" t="n">
        <v>0</v>
      </c>
      <c r="N512" t="n">
        <v>0</v>
      </c>
      <c r="O512" t="n">
        <v>0</v>
      </c>
      <c r="P512" t="n">
        <v>0</v>
      </c>
      <c r="Q512" t="n">
        <v>0</v>
      </c>
      <c r="R512" s="2" t="inlineStr"/>
    </row>
    <row r="513" ht="15" customHeight="1">
      <c r="A513" t="inlineStr">
        <is>
          <t>A 33000-2023</t>
        </is>
      </c>
      <c r="B513" s="1" t="n">
        <v>45125</v>
      </c>
      <c r="C513" s="1" t="n">
        <v>46194</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62012-2024</t>
        </is>
      </c>
      <c r="B514" s="1" t="n">
        <v>45655</v>
      </c>
      <c r="C514" s="1" t="n">
        <v>46194</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21374-2026</t>
        </is>
      </c>
      <c r="B515" s="1" t="n">
        <v>46145</v>
      </c>
      <c r="C515" s="1" t="n">
        <v>46194</v>
      </c>
      <c r="D515" t="inlineStr">
        <is>
          <t>ÖSTERGÖTLANDS LÄN</t>
        </is>
      </c>
      <c r="E515" t="inlineStr">
        <is>
          <t>LINKÖPING</t>
        </is>
      </c>
      <c r="G515" t="n">
        <v>3.7</v>
      </c>
      <c r="H515" t="n">
        <v>0</v>
      </c>
      <c r="I515" t="n">
        <v>0</v>
      </c>
      <c r="J515" t="n">
        <v>0</v>
      </c>
      <c r="K515" t="n">
        <v>0</v>
      </c>
      <c r="L515" t="n">
        <v>0</v>
      </c>
      <c r="M515" t="n">
        <v>0</v>
      </c>
      <c r="N515" t="n">
        <v>0</v>
      </c>
      <c r="O515" t="n">
        <v>0</v>
      </c>
      <c r="P515" t="n">
        <v>0</v>
      </c>
      <c r="Q515" t="n">
        <v>0</v>
      </c>
      <c r="R515" s="2" t="inlineStr"/>
    </row>
    <row r="516" ht="15" customHeight="1">
      <c r="A516" t="inlineStr">
        <is>
          <t>A 53529-2024</t>
        </is>
      </c>
      <c r="B516" s="1" t="n">
        <v>45614</v>
      </c>
      <c r="C516" s="1" t="n">
        <v>46194</v>
      </c>
      <c r="D516" t="inlineStr">
        <is>
          <t>ÖSTERGÖTLANDS LÄN</t>
        </is>
      </c>
      <c r="E516" t="inlineStr">
        <is>
          <t>LINKÖPING</t>
        </is>
      </c>
      <c r="G516" t="n">
        <v>6.7</v>
      </c>
      <c r="H516" t="n">
        <v>0</v>
      </c>
      <c r="I516" t="n">
        <v>0</v>
      </c>
      <c r="J516" t="n">
        <v>0</v>
      </c>
      <c r="K516" t="n">
        <v>0</v>
      </c>
      <c r="L516" t="n">
        <v>0</v>
      </c>
      <c r="M516" t="n">
        <v>0</v>
      </c>
      <c r="N516" t="n">
        <v>0</v>
      </c>
      <c r="O516" t="n">
        <v>0</v>
      </c>
      <c r="P516" t="n">
        <v>0</v>
      </c>
      <c r="Q516" t="n">
        <v>0</v>
      </c>
      <c r="R516" s="2" t="inlineStr"/>
    </row>
    <row r="517" ht="15" customHeight="1">
      <c r="A517" t="inlineStr">
        <is>
          <t>A 2997-2025</t>
        </is>
      </c>
      <c r="B517" s="1" t="n">
        <v>45678</v>
      </c>
      <c r="C517" s="1" t="n">
        <v>46194</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31534-2023</t>
        </is>
      </c>
      <c r="B518" s="1" t="n">
        <v>45116</v>
      </c>
      <c r="C518" s="1" t="n">
        <v>46194</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59472-2025</t>
        </is>
      </c>
      <c r="B519" s="1" t="n">
        <v>45989</v>
      </c>
      <c r="C519" s="1" t="n">
        <v>46194</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26803-2024</t>
        </is>
      </c>
      <c r="B520" s="1" t="n">
        <v>45470</v>
      </c>
      <c r="C520" s="1" t="n">
        <v>46194</v>
      </c>
      <c r="D520" t="inlineStr">
        <is>
          <t>ÖSTERGÖTLANDS LÄN</t>
        </is>
      </c>
      <c r="E520" t="inlineStr">
        <is>
          <t>LINKÖPING</t>
        </is>
      </c>
      <c r="F520" t="inlineStr">
        <is>
          <t>Allmännings- och besparingsskogar</t>
        </is>
      </c>
      <c r="G520" t="n">
        <v>4.5</v>
      </c>
      <c r="H520" t="n">
        <v>0</v>
      </c>
      <c r="I520" t="n">
        <v>0</v>
      </c>
      <c r="J520" t="n">
        <v>0</v>
      </c>
      <c r="K520" t="n">
        <v>0</v>
      </c>
      <c r="L520" t="n">
        <v>0</v>
      </c>
      <c r="M520" t="n">
        <v>0</v>
      </c>
      <c r="N520" t="n">
        <v>0</v>
      </c>
      <c r="O520" t="n">
        <v>0</v>
      </c>
      <c r="P520" t="n">
        <v>0</v>
      </c>
      <c r="Q520" t="n">
        <v>0</v>
      </c>
      <c r="R520" s="2" t="inlineStr"/>
    </row>
    <row r="521" ht="15" customHeight="1">
      <c r="A521" t="inlineStr">
        <is>
          <t>A 35178-2025</t>
        </is>
      </c>
      <c r="B521" s="1" t="n">
        <v>45852</v>
      </c>
      <c r="C521" s="1" t="n">
        <v>46194</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37154-2023</t>
        </is>
      </c>
      <c r="B522" s="1" t="n">
        <v>45155</v>
      </c>
      <c r="C522" s="1" t="n">
        <v>46194</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v>
      </c>
      <c r="C523" s="1" t="n">
        <v>46194</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60087-2025</t>
        </is>
      </c>
      <c r="B524" s="1" t="n">
        <v>45993</v>
      </c>
      <c r="C524" s="1" t="n">
        <v>46194</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42000-2023</t>
        </is>
      </c>
      <c r="B525" s="1" t="n">
        <v>45177</v>
      </c>
      <c r="C525" s="1" t="n">
        <v>46194</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35747-2025</t>
        </is>
      </c>
      <c r="B526" s="1" t="n">
        <v>45860</v>
      </c>
      <c r="C526" s="1" t="n">
        <v>46194</v>
      </c>
      <c r="D526" t="inlineStr">
        <is>
          <t>ÖSTERGÖTLANDS LÄN</t>
        </is>
      </c>
      <c r="E526" t="inlineStr">
        <is>
          <t>LINKÖPING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35745-2025</t>
        </is>
      </c>
      <c r="B527" s="1" t="n">
        <v>45860</v>
      </c>
      <c r="C527" s="1" t="n">
        <v>46194</v>
      </c>
      <c r="D527" t="inlineStr">
        <is>
          <t>ÖSTERGÖTLANDS LÄN</t>
        </is>
      </c>
      <c r="E527" t="inlineStr">
        <is>
          <t>LINKÖPING</t>
        </is>
      </c>
      <c r="G527" t="n">
        <v>4.4</v>
      </c>
      <c r="H527" t="n">
        <v>0</v>
      </c>
      <c r="I527" t="n">
        <v>0</v>
      </c>
      <c r="J527" t="n">
        <v>0</v>
      </c>
      <c r="K527" t="n">
        <v>0</v>
      </c>
      <c r="L527" t="n">
        <v>0</v>
      </c>
      <c r="M527" t="n">
        <v>0</v>
      </c>
      <c r="N527" t="n">
        <v>0</v>
      </c>
      <c r="O527" t="n">
        <v>0</v>
      </c>
      <c r="P527" t="n">
        <v>0</v>
      </c>
      <c r="Q527" t="n">
        <v>0</v>
      </c>
      <c r="R527" s="2" t="inlineStr"/>
    </row>
    <row r="528" ht="15" customHeight="1">
      <c r="A528" t="inlineStr">
        <is>
          <t>A 35757-2025</t>
        </is>
      </c>
      <c r="B528" s="1" t="n">
        <v>45860</v>
      </c>
      <c r="C528" s="1" t="n">
        <v>46194</v>
      </c>
      <c r="D528" t="inlineStr">
        <is>
          <t>ÖSTERGÖTLANDS LÄN</t>
        </is>
      </c>
      <c r="E528" t="inlineStr">
        <is>
          <t>LINKÖPING</t>
        </is>
      </c>
      <c r="G528" t="n">
        <v>5.7</v>
      </c>
      <c r="H528" t="n">
        <v>0</v>
      </c>
      <c r="I528" t="n">
        <v>0</v>
      </c>
      <c r="J528" t="n">
        <v>0</v>
      </c>
      <c r="K528" t="n">
        <v>0</v>
      </c>
      <c r="L528" t="n">
        <v>0</v>
      </c>
      <c r="M528" t="n">
        <v>0</v>
      </c>
      <c r="N528" t="n">
        <v>0</v>
      </c>
      <c r="O528" t="n">
        <v>0</v>
      </c>
      <c r="P528" t="n">
        <v>0</v>
      </c>
      <c r="Q528" t="n">
        <v>0</v>
      </c>
      <c r="R528" s="2" t="inlineStr"/>
    </row>
    <row r="529" ht="15" customHeight="1">
      <c r="A529" t="inlineStr">
        <is>
          <t>A 35759-2025</t>
        </is>
      </c>
      <c r="B529" s="1" t="n">
        <v>45860</v>
      </c>
      <c r="C529" s="1" t="n">
        <v>46194</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60703-2025</t>
        </is>
      </c>
      <c r="B530" s="1" t="n">
        <v>45996</v>
      </c>
      <c r="C530" s="1" t="n">
        <v>46194</v>
      </c>
      <c r="D530" t="inlineStr">
        <is>
          <t>ÖSTERGÖTLANDS LÄN</t>
        </is>
      </c>
      <c r="E530" t="inlineStr">
        <is>
          <t>LINKÖPING</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32602-2022</t>
        </is>
      </c>
      <c r="B531" s="1" t="n">
        <v>44783</v>
      </c>
      <c r="C531" s="1" t="n">
        <v>46194</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21248-2026</t>
        </is>
      </c>
      <c r="B532" s="1" t="n">
        <v>46147</v>
      </c>
      <c r="C532" s="1" t="n">
        <v>46194</v>
      </c>
      <c r="D532" t="inlineStr">
        <is>
          <t>ÖSTERGÖTLANDS LÄN</t>
        </is>
      </c>
      <c r="E532" t="inlineStr">
        <is>
          <t>LINKÖPING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61230-2025</t>
        </is>
      </c>
      <c r="B533" s="1" t="n">
        <v>46000</v>
      </c>
      <c r="C533" s="1" t="n">
        <v>46194</v>
      </c>
      <c r="D533" t="inlineStr">
        <is>
          <t>ÖSTERGÖTLANDS LÄN</t>
        </is>
      </c>
      <c r="E533" t="inlineStr">
        <is>
          <t>LINKÖPING</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13413-2023</t>
        </is>
      </c>
      <c r="B534" s="1" t="n">
        <v>45005</v>
      </c>
      <c r="C534" s="1" t="n">
        <v>46194</v>
      </c>
      <c r="D534" t="inlineStr">
        <is>
          <t>ÖSTERGÖTLANDS LÄN</t>
        </is>
      </c>
      <c r="E534" t="inlineStr">
        <is>
          <t>LINKÖPING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61645-2025</t>
        </is>
      </c>
      <c r="B535" s="1" t="n">
        <v>46002</v>
      </c>
      <c r="C535" s="1" t="n">
        <v>46194</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v>
      </c>
      <c r="C536" s="1" t="n">
        <v>46194</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46194</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46194</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46194</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v>
      </c>
      <c r="C540" s="1" t="n">
        <v>46194</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21246-2026</t>
        </is>
      </c>
      <c r="B541" s="1" t="n">
        <v>46147</v>
      </c>
      <c r="C541" s="1" t="n">
        <v>46194</v>
      </c>
      <c r="D541" t="inlineStr">
        <is>
          <t>ÖSTERGÖTLANDS LÄN</t>
        </is>
      </c>
      <c r="E541" t="inlineStr">
        <is>
          <t>LINKÖPING</t>
        </is>
      </c>
      <c r="F541" t="inlineStr">
        <is>
          <t>Sveaskog</t>
        </is>
      </c>
      <c r="G541" t="n">
        <v>6.5</v>
      </c>
      <c r="H541" t="n">
        <v>0</v>
      </c>
      <c r="I541" t="n">
        <v>0</v>
      </c>
      <c r="J541" t="n">
        <v>0</v>
      </c>
      <c r="K541" t="n">
        <v>0</v>
      </c>
      <c r="L541" t="n">
        <v>0</v>
      </c>
      <c r="M541" t="n">
        <v>0</v>
      </c>
      <c r="N541" t="n">
        <v>0</v>
      </c>
      <c r="O541" t="n">
        <v>0</v>
      </c>
      <c r="P541" t="n">
        <v>0</v>
      </c>
      <c r="Q541" t="n">
        <v>0</v>
      </c>
      <c r="R541" s="2" t="inlineStr"/>
    </row>
    <row r="542" ht="15" customHeight="1">
      <c r="A542" t="inlineStr">
        <is>
          <t>A 56623-2024</t>
        </is>
      </c>
      <c r="B542" s="1" t="n">
        <v>45625</v>
      </c>
      <c r="C542" s="1" t="n">
        <v>46194</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13011-2022</t>
        </is>
      </c>
      <c r="B543" s="1" t="n">
        <v>44643</v>
      </c>
      <c r="C543" s="1" t="n">
        <v>46194</v>
      </c>
      <c r="D543" t="inlineStr">
        <is>
          <t>ÖSTERGÖTLANDS LÄN</t>
        </is>
      </c>
      <c r="E543" t="inlineStr">
        <is>
          <t>LINKÖPING</t>
        </is>
      </c>
      <c r="G543" t="n">
        <v>3.7</v>
      </c>
      <c r="H543" t="n">
        <v>0</v>
      </c>
      <c r="I543" t="n">
        <v>0</v>
      </c>
      <c r="J543" t="n">
        <v>0</v>
      </c>
      <c r="K543" t="n">
        <v>0</v>
      </c>
      <c r="L543" t="n">
        <v>0</v>
      </c>
      <c r="M543" t="n">
        <v>0</v>
      </c>
      <c r="N543" t="n">
        <v>0</v>
      </c>
      <c r="O543" t="n">
        <v>0</v>
      </c>
      <c r="P543" t="n">
        <v>0</v>
      </c>
      <c r="Q543" t="n">
        <v>0</v>
      </c>
      <c r="R543" s="2" t="inlineStr"/>
    </row>
    <row r="544" ht="15" customHeight="1">
      <c r="A544" t="inlineStr">
        <is>
          <t>A 21247-2026</t>
        </is>
      </c>
      <c r="B544" s="1" t="n">
        <v>46147</v>
      </c>
      <c r="C544" s="1" t="n">
        <v>46194</v>
      </c>
      <c r="D544" t="inlineStr">
        <is>
          <t>ÖSTERGÖTLANDS LÄN</t>
        </is>
      </c>
      <c r="E544" t="inlineStr">
        <is>
          <t>LINKÖPING</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63144-2025</t>
        </is>
      </c>
      <c r="B545" s="1" t="n">
        <v>46010</v>
      </c>
      <c r="C545" s="1" t="n">
        <v>46194</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36336-2022</t>
        </is>
      </c>
      <c r="B546" s="1" t="n">
        <v>44803</v>
      </c>
      <c r="C546" s="1" t="n">
        <v>46194</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25829-2025</t>
        </is>
      </c>
      <c r="B547" s="1" t="n">
        <v>45804</v>
      </c>
      <c r="C547" s="1" t="n">
        <v>46194</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48839-2022</t>
        </is>
      </c>
      <c r="B548" s="1" t="n">
        <v>44859</v>
      </c>
      <c r="C548" s="1" t="n">
        <v>46194</v>
      </c>
      <c r="D548" t="inlineStr">
        <is>
          <t>ÖSTERGÖTLANDS LÄN</t>
        </is>
      </c>
      <c r="E548" t="inlineStr">
        <is>
          <t>LINKÖPING</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6387-2022</t>
        </is>
      </c>
      <c r="B549" s="1" t="n">
        <v>44600</v>
      </c>
      <c r="C549" s="1" t="n">
        <v>46194</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34641-2022</t>
        </is>
      </c>
      <c r="B550" s="1" t="n">
        <v>44795</v>
      </c>
      <c r="C550" s="1" t="n">
        <v>46194</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13687-2025</t>
        </is>
      </c>
      <c r="B551" s="1" t="n">
        <v>45737</v>
      </c>
      <c r="C551" s="1" t="n">
        <v>46194</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13695-2025</t>
        </is>
      </c>
      <c r="B552" s="1" t="n">
        <v>45737</v>
      </c>
      <c r="C552" s="1" t="n">
        <v>46194</v>
      </c>
      <c r="D552" t="inlineStr">
        <is>
          <t>ÖSTERGÖTLANDS LÄN</t>
        </is>
      </c>
      <c r="E552" t="inlineStr">
        <is>
          <t>LINKÖPING</t>
        </is>
      </c>
      <c r="G552" t="n">
        <v>5.3</v>
      </c>
      <c r="H552" t="n">
        <v>0</v>
      </c>
      <c r="I552" t="n">
        <v>0</v>
      </c>
      <c r="J552" t="n">
        <v>0</v>
      </c>
      <c r="K552" t="n">
        <v>0</v>
      </c>
      <c r="L552" t="n">
        <v>0</v>
      </c>
      <c r="M552" t="n">
        <v>0</v>
      </c>
      <c r="N552" t="n">
        <v>0</v>
      </c>
      <c r="O552" t="n">
        <v>0</v>
      </c>
      <c r="P552" t="n">
        <v>0</v>
      </c>
      <c r="Q552" t="n">
        <v>0</v>
      </c>
      <c r="R552" s="2" t="inlineStr"/>
    </row>
    <row r="553" ht="15" customHeight="1">
      <c r="A553" t="inlineStr">
        <is>
          <t>A 52413-2023</t>
        </is>
      </c>
      <c r="B553" s="1" t="n">
        <v>45225</v>
      </c>
      <c r="C553" s="1" t="n">
        <v>46194</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53797-2023</t>
        </is>
      </c>
      <c r="B554" s="1" t="n">
        <v>45230</v>
      </c>
      <c r="C554" s="1" t="n">
        <v>46194</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46194</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v>
      </c>
      <c r="C556" s="1" t="n">
        <v>46194</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927-2026</t>
        </is>
      </c>
      <c r="B557" s="1" t="n">
        <v>46030</v>
      </c>
      <c r="C557" s="1" t="n">
        <v>46194</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856-2026</t>
        </is>
      </c>
      <c r="B558" s="1" t="n">
        <v>46030</v>
      </c>
      <c r="C558" s="1" t="n">
        <v>46194</v>
      </c>
      <c r="D558" t="inlineStr">
        <is>
          <t>ÖSTERGÖTLANDS LÄN</t>
        </is>
      </c>
      <c r="E558" t="inlineStr">
        <is>
          <t>LINKÖPING</t>
        </is>
      </c>
      <c r="G558" t="n">
        <v>6.4</v>
      </c>
      <c r="H558" t="n">
        <v>0</v>
      </c>
      <c r="I558" t="n">
        <v>0</v>
      </c>
      <c r="J558" t="n">
        <v>0</v>
      </c>
      <c r="K558" t="n">
        <v>0</v>
      </c>
      <c r="L558" t="n">
        <v>0</v>
      </c>
      <c r="M558" t="n">
        <v>0</v>
      </c>
      <c r="N558" t="n">
        <v>0</v>
      </c>
      <c r="O558" t="n">
        <v>0</v>
      </c>
      <c r="P558" t="n">
        <v>0</v>
      </c>
      <c r="Q558" t="n">
        <v>0</v>
      </c>
      <c r="R558" s="2" t="inlineStr"/>
    </row>
    <row r="559" ht="15" customHeight="1">
      <c r="A559" t="inlineStr">
        <is>
          <t>A 860-2026</t>
        </is>
      </c>
      <c r="B559" s="1" t="n">
        <v>46030</v>
      </c>
      <c r="C559" s="1" t="n">
        <v>46194</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873-2026</t>
        </is>
      </c>
      <c r="B560" s="1" t="n">
        <v>46030</v>
      </c>
      <c r="C560" s="1" t="n">
        <v>46194</v>
      </c>
      <c r="D560" t="inlineStr">
        <is>
          <t>ÖSTERGÖTLANDS LÄN</t>
        </is>
      </c>
      <c r="E560" t="inlineStr">
        <is>
          <t>LINKÖPING</t>
        </is>
      </c>
      <c r="G560" t="n">
        <v>4.1</v>
      </c>
      <c r="H560" t="n">
        <v>0</v>
      </c>
      <c r="I560" t="n">
        <v>0</v>
      </c>
      <c r="J560" t="n">
        <v>0</v>
      </c>
      <c r="K560" t="n">
        <v>0</v>
      </c>
      <c r="L560" t="n">
        <v>0</v>
      </c>
      <c r="M560" t="n">
        <v>0</v>
      </c>
      <c r="N560" t="n">
        <v>0</v>
      </c>
      <c r="O560" t="n">
        <v>0</v>
      </c>
      <c r="P560" t="n">
        <v>0</v>
      </c>
      <c r="Q560" t="n">
        <v>0</v>
      </c>
      <c r="R560" s="2" t="inlineStr"/>
    </row>
    <row r="561" ht="15" customHeight="1">
      <c r="A561" t="inlineStr">
        <is>
          <t>A 12411-2022</t>
        </is>
      </c>
      <c r="B561" s="1" t="n">
        <v>44638</v>
      </c>
      <c r="C561" s="1" t="n">
        <v>46194</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10492-2022</t>
        </is>
      </c>
      <c r="B562" s="1" t="n">
        <v>44623</v>
      </c>
      <c r="C562" s="1" t="n">
        <v>46194</v>
      </c>
      <c r="D562" t="inlineStr">
        <is>
          <t>ÖSTERGÖTLANDS LÄN</t>
        </is>
      </c>
      <c r="E562" t="inlineStr">
        <is>
          <t>LINKÖPING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858-2026</t>
        </is>
      </c>
      <c r="B563" s="1" t="n">
        <v>46030</v>
      </c>
      <c r="C563" s="1" t="n">
        <v>46194</v>
      </c>
      <c r="D563" t="inlineStr">
        <is>
          <t>ÖSTERGÖTLANDS LÄN</t>
        </is>
      </c>
      <c r="E563" t="inlineStr">
        <is>
          <t>LINKÖPING</t>
        </is>
      </c>
      <c r="G563" t="n">
        <v>1.9</v>
      </c>
      <c r="H563" t="n">
        <v>0</v>
      </c>
      <c r="I563" t="n">
        <v>0</v>
      </c>
      <c r="J563" t="n">
        <v>0</v>
      </c>
      <c r="K563" t="n">
        <v>0</v>
      </c>
      <c r="L563" t="n">
        <v>0</v>
      </c>
      <c r="M563" t="n">
        <v>0</v>
      </c>
      <c r="N563" t="n">
        <v>0</v>
      </c>
      <c r="O563" t="n">
        <v>0</v>
      </c>
      <c r="P563" t="n">
        <v>0</v>
      </c>
      <c r="Q563" t="n">
        <v>0</v>
      </c>
      <c r="R563" s="2" t="inlineStr"/>
    </row>
    <row r="564" ht="15" customHeight="1">
      <c r="A564" t="inlineStr">
        <is>
          <t>A 940-2026</t>
        </is>
      </c>
      <c r="B564" s="1" t="n">
        <v>46030</v>
      </c>
      <c r="C564" s="1" t="n">
        <v>46194</v>
      </c>
      <c r="D564" t="inlineStr">
        <is>
          <t>ÖSTERGÖTLANDS LÄN</t>
        </is>
      </c>
      <c r="E564" t="inlineStr">
        <is>
          <t>LINKÖPING</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944-2026</t>
        </is>
      </c>
      <c r="B565" s="1" t="n">
        <v>46030</v>
      </c>
      <c r="C565" s="1" t="n">
        <v>46194</v>
      </c>
      <c r="D565" t="inlineStr">
        <is>
          <t>ÖSTERGÖTLANDS LÄN</t>
        </is>
      </c>
      <c r="E565" t="inlineStr">
        <is>
          <t>LINKÖPING</t>
        </is>
      </c>
      <c r="F565" t="inlineStr">
        <is>
          <t>Allmännings- och besparingsskogar</t>
        </is>
      </c>
      <c r="G565" t="n">
        <v>0.9</v>
      </c>
      <c r="H565" t="n">
        <v>0</v>
      </c>
      <c r="I565" t="n">
        <v>0</v>
      </c>
      <c r="J565" t="n">
        <v>0</v>
      </c>
      <c r="K565" t="n">
        <v>0</v>
      </c>
      <c r="L565" t="n">
        <v>0</v>
      </c>
      <c r="M565" t="n">
        <v>0</v>
      </c>
      <c r="N565" t="n">
        <v>0</v>
      </c>
      <c r="O565" t="n">
        <v>0</v>
      </c>
      <c r="P565" t="n">
        <v>0</v>
      </c>
      <c r="Q565" t="n">
        <v>0</v>
      </c>
      <c r="R565" s="2" t="inlineStr"/>
    </row>
    <row r="566" ht="15" customHeight="1">
      <c r="A566" t="inlineStr">
        <is>
          <t>A 859-2026</t>
        </is>
      </c>
      <c r="B566" s="1" t="n">
        <v>46030</v>
      </c>
      <c r="C566" s="1" t="n">
        <v>46194</v>
      </c>
      <c r="D566" t="inlineStr">
        <is>
          <t>ÖSTERGÖTLANDS LÄN</t>
        </is>
      </c>
      <c r="E566" t="inlineStr">
        <is>
          <t>LINKÖPING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7343-2025</t>
        </is>
      </c>
      <c r="B567" s="1" t="n">
        <v>45703</v>
      </c>
      <c r="C567" s="1" t="n">
        <v>46194</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35427-2023</t>
        </is>
      </c>
      <c r="B568" s="1" t="n">
        <v>45146</v>
      </c>
      <c r="C568" s="1" t="n">
        <v>46194</v>
      </c>
      <c r="D568" t="inlineStr">
        <is>
          <t>ÖSTERGÖTLANDS LÄN</t>
        </is>
      </c>
      <c r="E568" t="inlineStr">
        <is>
          <t>LINKÖPING</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30468-2023</t>
        </is>
      </c>
      <c r="B569" s="1" t="n">
        <v>45111</v>
      </c>
      <c r="C569" s="1" t="n">
        <v>46194</v>
      </c>
      <c r="D569" t="inlineStr">
        <is>
          <t>ÖSTERGÖTLANDS LÄN</t>
        </is>
      </c>
      <c r="E569" t="inlineStr">
        <is>
          <t>LINKÖPING</t>
        </is>
      </c>
      <c r="G569" t="n">
        <v>10.1</v>
      </c>
      <c r="H569" t="n">
        <v>0</v>
      </c>
      <c r="I569" t="n">
        <v>0</v>
      </c>
      <c r="J569" t="n">
        <v>0</v>
      </c>
      <c r="K569" t="n">
        <v>0</v>
      </c>
      <c r="L569" t="n">
        <v>0</v>
      </c>
      <c r="M569" t="n">
        <v>0</v>
      </c>
      <c r="N569" t="n">
        <v>0</v>
      </c>
      <c r="O569" t="n">
        <v>0</v>
      </c>
      <c r="P569" t="n">
        <v>0</v>
      </c>
      <c r="Q569" t="n">
        <v>0</v>
      </c>
      <c r="R569" s="2" t="inlineStr"/>
    </row>
    <row r="570" ht="15" customHeight="1">
      <c r="A570" t="inlineStr">
        <is>
          <t>A 2030-2026</t>
        </is>
      </c>
      <c r="B570" s="1" t="n">
        <v>46035</v>
      </c>
      <c r="C570" s="1" t="n">
        <v>46194</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2031-2026</t>
        </is>
      </c>
      <c r="B571" s="1" t="n">
        <v>46035</v>
      </c>
      <c r="C571" s="1" t="n">
        <v>46194</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20296-2025</t>
        </is>
      </c>
      <c r="B572" s="1" t="n">
        <v>45774</v>
      </c>
      <c r="C572" s="1" t="n">
        <v>46194</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3044-2026</t>
        </is>
      </c>
      <c r="B573" s="1" t="n">
        <v>46038</v>
      </c>
      <c r="C573" s="1" t="n">
        <v>46194</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3043-2026</t>
        </is>
      </c>
      <c r="B574" s="1" t="n">
        <v>46038</v>
      </c>
      <c r="C574" s="1" t="n">
        <v>46194</v>
      </c>
      <c r="D574" t="inlineStr">
        <is>
          <t>ÖSTERGÖTLANDS LÄN</t>
        </is>
      </c>
      <c r="E574" t="inlineStr">
        <is>
          <t>LINKÖPING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53812-2023</t>
        </is>
      </c>
      <c r="B575" s="1" t="n">
        <v>45231</v>
      </c>
      <c r="C575" s="1" t="n">
        <v>46194</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53830-2023</t>
        </is>
      </c>
      <c r="B576" s="1" t="n">
        <v>45230</v>
      </c>
      <c r="C576" s="1" t="n">
        <v>46194</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38715-2023</t>
        </is>
      </c>
      <c r="B577" s="1" t="n">
        <v>45160</v>
      </c>
      <c r="C577" s="1" t="n">
        <v>46194</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27766-2022</t>
        </is>
      </c>
      <c r="B578" s="1" t="n">
        <v>44743</v>
      </c>
      <c r="C578" s="1" t="n">
        <v>46194</v>
      </c>
      <c r="D578" t="inlineStr">
        <is>
          <t>ÖSTERGÖTLANDS LÄN</t>
        </is>
      </c>
      <c r="E578" t="inlineStr">
        <is>
          <t>LINKÖPING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48271-2023</t>
        </is>
      </c>
      <c r="B579" s="1" t="n">
        <v>45205</v>
      </c>
      <c r="C579" s="1" t="n">
        <v>46194</v>
      </c>
      <c r="D579" t="inlineStr">
        <is>
          <t>ÖSTERGÖTLANDS LÄN</t>
        </is>
      </c>
      <c r="E579" t="inlineStr">
        <is>
          <t>LINKÖPING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6384-2026</t>
        </is>
      </c>
      <c r="B580" s="1" t="n">
        <v>46055</v>
      </c>
      <c r="C580" s="1" t="n">
        <v>46194</v>
      </c>
      <c r="D580" t="inlineStr">
        <is>
          <t>ÖSTERGÖTLANDS LÄN</t>
        </is>
      </c>
      <c r="E580" t="inlineStr">
        <is>
          <t>LINKÖPING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6164-2026</t>
        </is>
      </c>
      <c r="B581" s="1" t="n">
        <v>46055</v>
      </c>
      <c r="C581" s="1" t="n">
        <v>46194</v>
      </c>
      <c r="D581" t="inlineStr">
        <is>
          <t>ÖSTERGÖTLANDS LÄN</t>
        </is>
      </c>
      <c r="E581" t="inlineStr">
        <is>
          <t>LINKÖPING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60001-2022</t>
        </is>
      </c>
      <c r="B582" s="1" t="n">
        <v>44909</v>
      </c>
      <c r="C582" s="1" t="n">
        <v>46194</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v>
      </c>
      <c r="C583" s="1" t="n">
        <v>46194</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30976-2022</t>
        </is>
      </c>
      <c r="B584" s="1" t="n">
        <v>44768</v>
      </c>
      <c r="C584" s="1" t="n">
        <v>46194</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30860-2022</t>
        </is>
      </c>
      <c r="B585" s="1" t="n">
        <v>44767</v>
      </c>
      <c r="C585" s="1" t="n">
        <v>46194</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48186-2022</t>
        </is>
      </c>
      <c r="B586" s="1" t="n">
        <v>44858</v>
      </c>
      <c r="C586" s="1" t="n">
        <v>46194</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28266-2024</t>
        </is>
      </c>
      <c r="B587" s="1" t="n">
        <v>45477</v>
      </c>
      <c r="C587" s="1" t="n">
        <v>46194</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31548-2022</t>
        </is>
      </c>
      <c r="B588" s="1" t="n">
        <v>44775</v>
      </c>
      <c r="C588" s="1" t="n">
        <v>46194</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1211-2023</t>
        </is>
      </c>
      <c r="B589" s="1" t="n">
        <v>44930</v>
      </c>
      <c r="C589" s="1" t="n">
        <v>46194</v>
      </c>
      <c r="D589" t="inlineStr">
        <is>
          <t>ÖSTERGÖTLANDS LÄN</t>
        </is>
      </c>
      <c r="E589" t="inlineStr">
        <is>
          <t>LINKÖPING</t>
        </is>
      </c>
      <c r="F589" t="inlineStr">
        <is>
          <t>Övriga statliga verk och myndigheter</t>
        </is>
      </c>
      <c r="G589" t="n">
        <v>7.9</v>
      </c>
      <c r="H589" t="n">
        <v>0</v>
      </c>
      <c r="I589" t="n">
        <v>0</v>
      </c>
      <c r="J589" t="n">
        <v>0</v>
      </c>
      <c r="K589" t="n">
        <v>0</v>
      </c>
      <c r="L589" t="n">
        <v>0</v>
      </c>
      <c r="M589" t="n">
        <v>0</v>
      </c>
      <c r="N589" t="n">
        <v>0</v>
      </c>
      <c r="O589" t="n">
        <v>0</v>
      </c>
      <c r="P589" t="n">
        <v>0</v>
      </c>
      <c r="Q589" t="n">
        <v>0</v>
      </c>
      <c r="R589" s="2" t="inlineStr"/>
    </row>
    <row r="590" ht="15" customHeight="1">
      <c r="A590" t="inlineStr">
        <is>
          <t>A 51191-2022</t>
        </is>
      </c>
      <c r="B590" s="1" t="n">
        <v>44865</v>
      </c>
      <c r="C590" s="1" t="n">
        <v>46194</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55632-2022</t>
        </is>
      </c>
      <c r="B591" s="1" t="n">
        <v>44888</v>
      </c>
      <c r="C591" s="1" t="n">
        <v>46194</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63669-2023</t>
        </is>
      </c>
      <c r="B592" s="1" t="n">
        <v>45275</v>
      </c>
      <c r="C592" s="1" t="n">
        <v>46194</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12289-2025</t>
        </is>
      </c>
      <c r="B593" s="1" t="n">
        <v>45729</v>
      </c>
      <c r="C593" s="1" t="n">
        <v>46194</v>
      </c>
      <c r="D593" t="inlineStr">
        <is>
          <t>ÖSTERGÖTLANDS LÄN</t>
        </is>
      </c>
      <c r="E593" t="inlineStr">
        <is>
          <t>LINKÖPING</t>
        </is>
      </c>
      <c r="F593" t="inlineStr">
        <is>
          <t>Övriga statliga verk och myndigheter</t>
        </is>
      </c>
      <c r="G593" t="n">
        <v>6.5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v>
      </c>
      <c r="C594" s="1" t="n">
        <v>46194</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19169-2023</t>
        </is>
      </c>
      <c r="B595" s="1" t="n">
        <v>45044</v>
      </c>
      <c r="C595" s="1" t="n">
        <v>46194</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1209-2023</t>
        </is>
      </c>
      <c r="B596" s="1" t="n">
        <v>44930</v>
      </c>
      <c r="C596" s="1" t="n">
        <v>46194</v>
      </c>
      <c r="D596" t="inlineStr">
        <is>
          <t>ÖSTERGÖTLANDS LÄN</t>
        </is>
      </c>
      <c r="E596" t="inlineStr">
        <is>
          <t>LINKÖPING</t>
        </is>
      </c>
      <c r="F596" t="inlineStr">
        <is>
          <t>Övriga statliga verk och myndigheter</t>
        </is>
      </c>
      <c r="G596" t="n">
        <v>25.8</v>
      </c>
      <c r="H596" t="n">
        <v>0</v>
      </c>
      <c r="I596" t="n">
        <v>0</v>
      </c>
      <c r="J596" t="n">
        <v>0</v>
      </c>
      <c r="K596" t="n">
        <v>0</v>
      </c>
      <c r="L596" t="n">
        <v>0</v>
      </c>
      <c r="M596" t="n">
        <v>0</v>
      </c>
      <c r="N596" t="n">
        <v>0</v>
      </c>
      <c r="O596" t="n">
        <v>0</v>
      </c>
      <c r="P596" t="n">
        <v>0</v>
      </c>
      <c r="Q596" t="n">
        <v>0</v>
      </c>
      <c r="R596" s="2" t="inlineStr"/>
    </row>
    <row r="597" ht="15" customHeight="1">
      <c r="A597" t="inlineStr">
        <is>
          <t>A 2085-2024</t>
        </is>
      </c>
      <c r="B597" s="1" t="n">
        <v>45309</v>
      </c>
      <c r="C597" s="1" t="n">
        <v>46194</v>
      </c>
      <c r="D597" t="inlineStr">
        <is>
          <t>ÖSTERGÖTLANDS LÄN</t>
        </is>
      </c>
      <c r="E597" t="inlineStr">
        <is>
          <t>LINKÖPING</t>
        </is>
      </c>
      <c r="G597" t="n">
        <v>4.5</v>
      </c>
      <c r="H597" t="n">
        <v>0</v>
      </c>
      <c r="I597" t="n">
        <v>0</v>
      </c>
      <c r="J597" t="n">
        <v>0</v>
      </c>
      <c r="K597" t="n">
        <v>0</v>
      </c>
      <c r="L597" t="n">
        <v>0</v>
      </c>
      <c r="M597" t="n">
        <v>0</v>
      </c>
      <c r="N597" t="n">
        <v>0</v>
      </c>
      <c r="O597" t="n">
        <v>0</v>
      </c>
      <c r="P597" t="n">
        <v>0</v>
      </c>
      <c r="Q597" t="n">
        <v>0</v>
      </c>
      <c r="R597" s="2" t="inlineStr"/>
    </row>
    <row r="598" ht="15" customHeight="1">
      <c r="A598" t="inlineStr">
        <is>
          <t>A 48-2024</t>
        </is>
      </c>
      <c r="B598" s="1" t="n">
        <v>45293</v>
      </c>
      <c r="C598" s="1" t="n">
        <v>46194</v>
      </c>
      <c r="D598" t="inlineStr">
        <is>
          <t>ÖSTERGÖTLANDS LÄN</t>
        </is>
      </c>
      <c r="E598" t="inlineStr">
        <is>
          <t>LINKÖPING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10479-2026</t>
        </is>
      </c>
      <c r="B599" s="1" t="n">
        <v>46077</v>
      </c>
      <c r="C599" s="1" t="n">
        <v>46194</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56560-2023</t>
        </is>
      </c>
      <c r="B600" s="1" t="n">
        <v>45238</v>
      </c>
      <c r="C600" s="1" t="n">
        <v>46194</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10477-2026</t>
        </is>
      </c>
      <c r="B601" s="1" t="n">
        <v>46077</v>
      </c>
      <c r="C601" s="1" t="n">
        <v>46194</v>
      </c>
      <c r="D601" t="inlineStr">
        <is>
          <t>ÖSTERGÖTLANDS LÄN</t>
        </is>
      </c>
      <c r="E601" t="inlineStr">
        <is>
          <t>LINKÖPING</t>
        </is>
      </c>
      <c r="G601" t="n">
        <v>9.6</v>
      </c>
      <c r="H601" t="n">
        <v>0</v>
      </c>
      <c r="I601" t="n">
        <v>0</v>
      </c>
      <c r="J601" t="n">
        <v>0</v>
      </c>
      <c r="K601" t="n">
        <v>0</v>
      </c>
      <c r="L601" t="n">
        <v>0</v>
      </c>
      <c r="M601" t="n">
        <v>0</v>
      </c>
      <c r="N601" t="n">
        <v>0</v>
      </c>
      <c r="O601" t="n">
        <v>0</v>
      </c>
      <c r="P601" t="n">
        <v>0</v>
      </c>
      <c r="Q601" t="n">
        <v>0</v>
      </c>
      <c r="R601" s="2" t="inlineStr"/>
    </row>
    <row r="602" ht="15" customHeight="1">
      <c r="A602" t="inlineStr">
        <is>
          <t>A 19132-2023</t>
        </is>
      </c>
      <c r="B602" s="1" t="n">
        <v>45048</v>
      </c>
      <c r="C602" s="1" t="n">
        <v>46194</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52412-2023</t>
        </is>
      </c>
      <c r="B603" s="1" t="n">
        <v>45225</v>
      </c>
      <c r="C603" s="1" t="n">
        <v>46194</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62492-2023</t>
        </is>
      </c>
      <c r="B604" s="1" t="n">
        <v>45268</v>
      </c>
      <c r="C604" s="1" t="n">
        <v>46194</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11036-2026</t>
        </is>
      </c>
      <c r="B605" s="1" t="n">
        <v>46079</v>
      </c>
      <c r="C605" s="1" t="n">
        <v>46194</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38230-2023</t>
        </is>
      </c>
      <c r="B606" s="1" t="n">
        <v>45161</v>
      </c>
      <c r="C606" s="1" t="n">
        <v>46194</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11590-2023</t>
        </is>
      </c>
      <c r="B607" s="1" t="n">
        <v>44994</v>
      </c>
      <c r="C607" s="1" t="n">
        <v>46194</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v>
      </c>
      <c r="C608" s="1" t="n">
        <v>46194</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10461-2023</t>
        </is>
      </c>
      <c r="B609" s="1" t="n">
        <v>44987</v>
      </c>
      <c r="C609" s="1" t="n">
        <v>46194</v>
      </c>
      <c r="D609" t="inlineStr">
        <is>
          <t>ÖSTERGÖTLANDS LÄN</t>
        </is>
      </c>
      <c r="E609" t="inlineStr">
        <is>
          <t>LINKÖPING</t>
        </is>
      </c>
      <c r="G609" t="n">
        <v>7.8</v>
      </c>
      <c r="H609" t="n">
        <v>0</v>
      </c>
      <c r="I609" t="n">
        <v>0</v>
      </c>
      <c r="J609" t="n">
        <v>0</v>
      </c>
      <c r="K609" t="n">
        <v>0</v>
      </c>
      <c r="L609" t="n">
        <v>0</v>
      </c>
      <c r="M609" t="n">
        <v>0</v>
      </c>
      <c r="N609" t="n">
        <v>0</v>
      </c>
      <c r="O609" t="n">
        <v>0</v>
      </c>
      <c r="P609" t="n">
        <v>0</v>
      </c>
      <c r="Q609" t="n">
        <v>0</v>
      </c>
      <c r="R609" s="2" t="inlineStr"/>
    </row>
    <row r="610" ht="15" customHeight="1">
      <c r="A610" t="inlineStr">
        <is>
          <t>A 11891-2026</t>
        </is>
      </c>
      <c r="B610" s="1" t="n">
        <v>46085</v>
      </c>
      <c r="C610" s="1" t="n">
        <v>46194</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41345-2021</t>
        </is>
      </c>
      <c r="B611" s="1" t="n">
        <v>44424</v>
      </c>
      <c r="C611" s="1" t="n">
        <v>46194</v>
      </c>
      <c r="D611" t="inlineStr">
        <is>
          <t>ÖSTERGÖTLANDS LÄN</t>
        </is>
      </c>
      <c r="E611" t="inlineStr">
        <is>
          <t>LINKÖPING</t>
        </is>
      </c>
      <c r="F611" t="inlineStr">
        <is>
          <t>Sveaskog</t>
        </is>
      </c>
      <c r="G611" t="n">
        <v>6.3</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46194</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12251-2026</t>
        </is>
      </c>
      <c r="B613" s="1" t="n">
        <v>46087</v>
      </c>
      <c r="C613" s="1" t="n">
        <v>46194</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61307-2021</t>
        </is>
      </c>
      <c r="B614" s="1" t="n">
        <v>44498</v>
      </c>
      <c r="C614" s="1" t="n">
        <v>46194</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61325-2021</t>
        </is>
      </c>
      <c r="B615" s="1" t="n">
        <v>44498</v>
      </c>
      <c r="C615" s="1" t="n">
        <v>46194</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60010-2022</t>
        </is>
      </c>
      <c r="B616" s="1" t="n">
        <v>44909</v>
      </c>
      <c r="C616" s="1" t="n">
        <v>46194</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30518-2024</t>
        </is>
      </c>
      <c r="B617" s="1" t="n">
        <v>45492</v>
      </c>
      <c r="C617" s="1" t="n">
        <v>46194</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46194</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37715-2022</t>
        </is>
      </c>
      <c r="B619" s="1" t="n">
        <v>44810</v>
      </c>
      <c r="C619" s="1" t="n">
        <v>46194</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13565-2026</t>
        </is>
      </c>
      <c r="B620" s="1" t="n">
        <v>46094</v>
      </c>
      <c r="C620" s="1" t="n">
        <v>46194</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5099-2026</t>
        </is>
      </c>
      <c r="B621" s="1" t="n">
        <v>46049</v>
      </c>
      <c r="C621" s="1" t="n">
        <v>46194</v>
      </c>
      <c r="D621" t="inlineStr">
        <is>
          <t>ÖSTERGÖTLANDS LÄN</t>
        </is>
      </c>
      <c r="E621" t="inlineStr">
        <is>
          <t>LINKÖPING</t>
        </is>
      </c>
      <c r="G621" t="n">
        <v>5</v>
      </c>
      <c r="H621" t="n">
        <v>0</v>
      </c>
      <c r="I621" t="n">
        <v>0</v>
      </c>
      <c r="J621" t="n">
        <v>0</v>
      </c>
      <c r="K621" t="n">
        <v>0</v>
      </c>
      <c r="L621" t="n">
        <v>0</v>
      </c>
      <c r="M621" t="n">
        <v>0</v>
      </c>
      <c r="N621" t="n">
        <v>0</v>
      </c>
      <c r="O621" t="n">
        <v>0</v>
      </c>
      <c r="P621" t="n">
        <v>0</v>
      </c>
      <c r="Q621" t="n">
        <v>0</v>
      </c>
      <c r="R621" s="2" t="inlineStr"/>
    </row>
    <row r="622" ht="15" customHeight="1">
      <c r="A622" t="inlineStr">
        <is>
          <t>A 3432-2023</t>
        </is>
      </c>
      <c r="B622" s="1" t="n">
        <v>44949</v>
      </c>
      <c r="C622" s="1" t="n">
        <v>46194</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60472-2022</t>
        </is>
      </c>
      <c r="B623" s="1" t="n">
        <v>44911</v>
      </c>
      <c r="C623" s="1" t="n">
        <v>46194</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12720-2022</t>
        </is>
      </c>
      <c r="B624" s="1" t="n">
        <v>44641</v>
      </c>
      <c r="C624" s="1" t="n">
        <v>46194</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13927-2026</t>
        </is>
      </c>
      <c r="B625" s="1" t="n">
        <v>46098</v>
      </c>
      <c r="C625" s="1" t="n">
        <v>46194</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14157-2026</t>
        </is>
      </c>
      <c r="B626" s="1" t="n">
        <v>46099</v>
      </c>
      <c r="C626" s="1" t="n">
        <v>46194</v>
      </c>
      <c r="D626" t="inlineStr">
        <is>
          <t>ÖSTERGÖTLANDS LÄN</t>
        </is>
      </c>
      <c r="E626" t="inlineStr">
        <is>
          <t>LINKÖPING</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15850-2026</t>
        </is>
      </c>
      <c r="B627" s="1" t="n">
        <v>46107</v>
      </c>
      <c r="C627" s="1" t="n">
        <v>46194</v>
      </c>
      <c r="D627" t="inlineStr">
        <is>
          <t>ÖSTERGÖTLANDS LÄN</t>
        </is>
      </c>
      <c r="E627" t="inlineStr">
        <is>
          <t>LINKÖPING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22070-2026</t>
        </is>
      </c>
      <c r="B628" s="1" t="n">
        <v>46153</v>
      </c>
      <c r="C628" s="1" t="n">
        <v>46194</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22272-2026</t>
        </is>
      </c>
      <c r="B629" s="1" t="n">
        <v>46154</v>
      </c>
      <c r="C629" s="1" t="n">
        <v>46194</v>
      </c>
      <c r="D629" t="inlineStr">
        <is>
          <t>ÖSTERGÖTLANDS LÄN</t>
        </is>
      </c>
      <c r="E629" t="inlineStr">
        <is>
          <t>LINKÖPING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22286-2026</t>
        </is>
      </c>
      <c r="B630" s="1" t="n">
        <v>46154</v>
      </c>
      <c r="C630" s="1" t="n">
        <v>46194</v>
      </c>
      <c r="D630" t="inlineStr">
        <is>
          <t>ÖSTERGÖTLANDS LÄN</t>
        </is>
      </c>
      <c r="E630" t="inlineStr">
        <is>
          <t>LINKÖPING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22289-2026</t>
        </is>
      </c>
      <c r="B631" s="1" t="n">
        <v>46154</v>
      </c>
      <c r="C631" s="1" t="n">
        <v>46194</v>
      </c>
      <c r="D631" t="inlineStr">
        <is>
          <t>ÖSTERGÖTLANDS LÄN</t>
        </is>
      </c>
      <c r="E631" t="inlineStr">
        <is>
          <t>LINKÖPING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22271-2026</t>
        </is>
      </c>
      <c r="B632" s="1" t="n">
        <v>46154</v>
      </c>
      <c r="C632" s="1" t="n">
        <v>46194</v>
      </c>
      <c r="D632" t="inlineStr">
        <is>
          <t>ÖSTERGÖTLANDS LÄN</t>
        </is>
      </c>
      <c r="E632" t="inlineStr">
        <is>
          <t>LINKÖPING</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22282-2026</t>
        </is>
      </c>
      <c r="B633" s="1" t="n">
        <v>46154</v>
      </c>
      <c r="C633" s="1" t="n">
        <v>46194</v>
      </c>
      <c r="D633" t="inlineStr">
        <is>
          <t>ÖSTERGÖTLANDS LÄN</t>
        </is>
      </c>
      <c r="E633" t="inlineStr">
        <is>
          <t>LINKÖPING</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16967-2026</t>
        </is>
      </c>
      <c r="B634" s="1" t="n">
        <v>46114</v>
      </c>
      <c r="C634" s="1" t="n">
        <v>46194</v>
      </c>
      <c r="D634" t="inlineStr">
        <is>
          <t>ÖSTERGÖTLANDS LÄN</t>
        </is>
      </c>
      <c r="E634" t="inlineStr">
        <is>
          <t>LINKÖPING</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17513-2026</t>
        </is>
      </c>
      <c r="B635" s="1" t="n">
        <v>46120</v>
      </c>
      <c r="C635" s="1" t="n">
        <v>46194</v>
      </c>
      <c r="D635" t="inlineStr">
        <is>
          <t>ÖSTERGÖTLANDS LÄN</t>
        </is>
      </c>
      <c r="E635" t="inlineStr">
        <is>
          <t>LINKÖPING</t>
        </is>
      </c>
      <c r="G635" t="n">
        <v>0.9</v>
      </c>
      <c r="H635" t="n">
        <v>0</v>
      </c>
      <c r="I635" t="n">
        <v>0</v>
      </c>
      <c r="J635" t="n">
        <v>0</v>
      </c>
      <c r="K635" t="n">
        <v>0</v>
      </c>
      <c r="L635" t="n">
        <v>0</v>
      </c>
      <c r="M635" t="n">
        <v>0</v>
      </c>
      <c r="N635" t="n">
        <v>0</v>
      </c>
      <c r="O635" t="n">
        <v>0</v>
      </c>
      <c r="P635" t="n">
        <v>0</v>
      </c>
      <c r="Q635" t="n">
        <v>0</v>
      </c>
      <c r="R635" s="2" t="inlineStr"/>
    </row>
    <row r="636" ht="15" customHeight="1">
      <c r="A636" t="inlineStr">
        <is>
          <t>A 24436-2026</t>
        </is>
      </c>
      <c r="B636" s="1" t="n">
        <v>46169</v>
      </c>
      <c r="C636" s="1" t="n">
        <v>46194</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24619-2026</t>
        </is>
      </c>
      <c r="B637" s="1" t="n">
        <v>46169</v>
      </c>
      <c r="C637" s="1" t="n">
        <v>46194</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24618-2026</t>
        </is>
      </c>
      <c r="B638" s="1" t="n">
        <v>46169</v>
      </c>
      <c r="C638" s="1" t="n">
        <v>46194</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24792-2026</t>
        </is>
      </c>
      <c r="B639" s="1" t="n">
        <v>46170</v>
      </c>
      <c r="C639" s="1" t="n">
        <v>46194</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22284-2026</t>
        </is>
      </c>
      <c r="B640" s="1" t="n">
        <v>46154</v>
      </c>
      <c r="C640" s="1" t="n">
        <v>46194</v>
      </c>
      <c r="D640" t="inlineStr">
        <is>
          <t>ÖSTERGÖTLANDS LÄN</t>
        </is>
      </c>
      <c r="E640" t="inlineStr">
        <is>
          <t>LINKÖPING</t>
        </is>
      </c>
      <c r="F640" t="inlineStr">
        <is>
          <t>Sveaskog</t>
        </is>
      </c>
      <c r="G640" t="n">
        <v>4.4</v>
      </c>
      <c r="H640" t="n">
        <v>0</v>
      </c>
      <c r="I640" t="n">
        <v>0</v>
      </c>
      <c r="J640" t="n">
        <v>0</v>
      </c>
      <c r="K640" t="n">
        <v>0</v>
      </c>
      <c r="L640" t="n">
        <v>0</v>
      </c>
      <c r="M640" t="n">
        <v>0</v>
      </c>
      <c r="N640" t="n">
        <v>0</v>
      </c>
      <c r="O640" t="n">
        <v>0</v>
      </c>
      <c r="P640" t="n">
        <v>0</v>
      </c>
      <c r="Q640" t="n">
        <v>0</v>
      </c>
      <c r="R640" s="2" t="inlineStr"/>
    </row>
    <row r="641" ht="15" customHeight="1">
      <c r="A641" t="inlineStr">
        <is>
          <t>A 19523-2026</t>
        </is>
      </c>
      <c r="B641" s="1" t="n">
        <v>46134</v>
      </c>
      <c r="C641" s="1" t="n">
        <v>46194</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20298-2025</t>
        </is>
      </c>
      <c r="B642" s="1" t="n">
        <v>45774</v>
      </c>
      <c r="C642" s="1" t="n">
        <v>46194</v>
      </c>
      <c r="D642" t="inlineStr">
        <is>
          <t>ÖSTERGÖTLANDS LÄN</t>
        </is>
      </c>
      <c r="E642" t="inlineStr">
        <is>
          <t>LINKÖPING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55004-2025</t>
        </is>
      </c>
      <c r="B643" s="1" t="n">
        <v>45967</v>
      </c>
      <c r="C643" s="1" t="n">
        <v>46194</v>
      </c>
      <c r="D643" t="inlineStr">
        <is>
          <t>ÖSTERGÖTLANDS LÄN</t>
        </is>
      </c>
      <c r="E643" t="inlineStr">
        <is>
          <t>LINKÖPING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13266-2025</t>
        </is>
      </c>
      <c r="B644" s="1" t="n">
        <v>45735</v>
      </c>
      <c r="C644" s="1" t="n">
        <v>46194</v>
      </c>
      <c r="D644" t="inlineStr">
        <is>
          <t>ÖSTERGÖTLANDS LÄN</t>
        </is>
      </c>
      <c r="E644" t="inlineStr">
        <is>
          <t>LINKÖPING</t>
        </is>
      </c>
      <c r="G644" t="n">
        <v>3.1</v>
      </c>
      <c r="H644" t="n">
        <v>0</v>
      </c>
      <c r="I644" t="n">
        <v>0</v>
      </c>
      <c r="J644" t="n">
        <v>0</v>
      </c>
      <c r="K644" t="n">
        <v>0</v>
      </c>
      <c r="L644" t="n">
        <v>0</v>
      </c>
      <c r="M644" t="n">
        <v>0</v>
      </c>
      <c r="N644" t="n">
        <v>0</v>
      </c>
      <c r="O644" t="n">
        <v>0</v>
      </c>
      <c r="P644" t="n">
        <v>0</v>
      </c>
      <c r="Q644" t="n">
        <v>0</v>
      </c>
      <c r="R644" s="2" t="inlineStr"/>
    </row>
    <row r="645" ht="15" customHeight="1">
      <c r="A645" t="inlineStr">
        <is>
          <t>A 12174-2026</t>
        </is>
      </c>
      <c r="B645" s="1" t="n">
        <v>46086</v>
      </c>
      <c r="C645" s="1" t="n">
        <v>46194</v>
      </c>
      <c r="D645" t="inlineStr">
        <is>
          <t>ÖSTERGÖTLANDS LÄN</t>
        </is>
      </c>
      <c r="E645" t="inlineStr">
        <is>
          <t>LINKÖPING</t>
        </is>
      </c>
      <c r="G645" t="n">
        <v>7.2</v>
      </c>
      <c r="H645" t="n">
        <v>0</v>
      </c>
      <c r="I645" t="n">
        <v>0</v>
      </c>
      <c r="J645" t="n">
        <v>0</v>
      </c>
      <c r="K645" t="n">
        <v>0</v>
      </c>
      <c r="L645" t="n">
        <v>0</v>
      </c>
      <c r="M645" t="n">
        <v>0</v>
      </c>
      <c r="N645" t="n">
        <v>0</v>
      </c>
      <c r="O645" t="n">
        <v>0</v>
      </c>
      <c r="P645" t="n">
        <v>0</v>
      </c>
      <c r="Q645" t="n">
        <v>0</v>
      </c>
      <c r="R645" s="2" t="inlineStr"/>
    </row>
    <row r="646" ht="15" customHeight="1">
      <c r="A646" t="inlineStr">
        <is>
          <t>A 38971-2025</t>
        </is>
      </c>
      <c r="B646" s="1" t="n">
        <v>45887</v>
      </c>
      <c r="C646" s="1" t="n">
        <v>46194</v>
      </c>
      <c r="D646" t="inlineStr">
        <is>
          <t>ÖSTERGÖTLANDS LÄN</t>
        </is>
      </c>
      <c r="E646" t="inlineStr">
        <is>
          <t>LINKÖPING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8967-2025</t>
        </is>
      </c>
      <c r="B647" s="1" t="n">
        <v>45712</v>
      </c>
      <c r="C647" s="1" t="n">
        <v>46194</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42623-2025</t>
        </is>
      </c>
      <c r="B648" s="1" t="n">
        <v>45905</v>
      </c>
      <c r="C648" s="1" t="n">
        <v>46194</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49650-2025</t>
        </is>
      </c>
      <c r="B649" s="1" t="n">
        <v>45938</v>
      </c>
      <c r="C649" s="1" t="n">
        <v>46194</v>
      </c>
      <c r="D649" t="inlineStr">
        <is>
          <t>ÖSTERGÖTLANDS LÄN</t>
        </is>
      </c>
      <c r="E649" t="inlineStr">
        <is>
          <t>LINKÖPING</t>
        </is>
      </c>
      <c r="F649" t="inlineStr">
        <is>
          <t>Övriga Aktiebolag</t>
        </is>
      </c>
      <c r="G649" t="n">
        <v>1.5</v>
      </c>
      <c r="H649" t="n">
        <v>0</v>
      </c>
      <c r="I649" t="n">
        <v>0</v>
      </c>
      <c r="J649" t="n">
        <v>0</v>
      </c>
      <c r="K649" t="n">
        <v>0</v>
      </c>
      <c r="L649" t="n">
        <v>0</v>
      </c>
      <c r="M649" t="n">
        <v>0</v>
      </c>
      <c r="N649" t="n">
        <v>0</v>
      </c>
      <c r="O649" t="n">
        <v>0</v>
      </c>
      <c r="P649" t="n">
        <v>0</v>
      </c>
      <c r="Q649" t="n">
        <v>0</v>
      </c>
      <c r="R649" s="2" t="inlineStr"/>
    </row>
    <row r="650" ht="15" customHeight="1">
      <c r="A650" t="inlineStr">
        <is>
          <t>A 62791-2025</t>
        </is>
      </c>
      <c r="B650" s="1" t="n">
        <v>46008</v>
      </c>
      <c r="C650" s="1" t="n">
        <v>46194</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7133-2026</t>
        </is>
      </c>
      <c r="B651" s="1" t="n">
        <v>46057</v>
      </c>
      <c r="C651" s="1" t="n">
        <v>46194</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14135-2026</t>
        </is>
      </c>
      <c r="B652" s="1" t="n">
        <v>46099</v>
      </c>
      <c r="C652" s="1" t="n">
        <v>46194</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12175-2026</t>
        </is>
      </c>
      <c r="B653" s="1" t="n">
        <v>46086</v>
      </c>
      <c r="C653" s="1" t="n">
        <v>46194</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12181-2026</t>
        </is>
      </c>
      <c r="B654" s="1" t="n">
        <v>46086</v>
      </c>
      <c r="C654" s="1" t="n">
        <v>46194</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20291-2025</t>
        </is>
      </c>
      <c r="B655" s="1" t="n">
        <v>45774</v>
      </c>
      <c r="C655" s="1" t="n">
        <v>46194</v>
      </c>
      <c r="D655" t="inlineStr">
        <is>
          <t>ÖSTERGÖTLANDS LÄN</t>
        </is>
      </c>
      <c r="E655" t="inlineStr">
        <is>
          <t>LINKÖPING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61298-2021</t>
        </is>
      </c>
      <c r="B656" s="1" t="n">
        <v>44498</v>
      </c>
      <c r="C656" s="1" t="n">
        <v>46194</v>
      </c>
      <c r="D656" t="inlineStr">
        <is>
          <t>ÖSTERGÖTLANDS LÄN</t>
        </is>
      </c>
      <c r="E656" t="inlineStr">
        <is>
          <t>LINKÖPING</t>
        </is>
      </c>
      <c r="G656" t="n">
        <v>4.3</v>
      </c>
      <c r="H656" t="n">
        <v>0</v>
      </c>
      <c r="I656" t="n">
        <v>0</v>
      </c>
      <c r="J656" t="n">
        <v>0</v>
      </c>
      <c r="K656" t="n">
        <v>0</v>
      </c>
      <c r="L656" t="n">
        <v>0</v>
      </c>
      <c r="M656" t="n">
        <v>0</v>
      </c>
      <c r="N656" t="n">
        <v>0</v>
      </c>
      <c r="O656" t="n">
        <v>0</v>
      </c>
      <c r="P656" t="n">
        <v>0</v>
      </c>
      <c r="Q656" t="n">
        <v>0</v>
      </c>
      <c r="R656" s="2" t="inlineStr"/>
    </row>
    <row r="657" ht="15" customHeight="1">
      <c r="A657" t="inlineStr">
        <is>
          <t>A 25955-2026</t>
        </is>
      </c>
      <c r="B657" s="1" t="n">
        <v>46181</v>
      </c>
      <c r="C657" s="1" t="n">
        <v>46194</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c r="A658" t="inlineStr">
        <is>
          <t>A 25962-2026</t>
        </is>
      </c>
      <c r="B658" s="1" t="n">
        <v>46181</v>
      </c>
      <c r="C658" s="1" t="n">
        <v>46194</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2026-06-21T00:43:04Z</dcterms:created>
  <dcterms:modified xmlns:dcterms="http://purl.org/dc/terms/" xmlns:xsi="http://www.w3.org/2001/XMLSchema-instance" xsi:type="dcterms:W3CDTF">2026-06-21T00:43:05Z</dcterms:modified>
</cp:coreProperties>
</file>