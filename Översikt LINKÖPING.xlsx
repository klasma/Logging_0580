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45838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45838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45838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45838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45838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45838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45838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45838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45838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45838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45838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45838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45838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45838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45838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45838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45838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45838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45838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45838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45838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45838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45838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45838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45838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45838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45838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45838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45838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45838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45838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45838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45838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45838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45838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45838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9820-2020</t>
        </is>
      </c>
      <c r="B38" s="1" t="n">
        <v>43881</v>
      </c>
      <c r="C38" s="1" t="n">
        <v>45838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Allmännings- och besparingsskogar</t>
        </is>
      </c>
      <c r="G38" t="n">
        <v>24.8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Ekticka
Ekoxe</t>
        </is>
      </c>
      <c r="S38">
        <f>HYPERLINK("https://klasma.github.io/Logging_0580/artfynd/A 9820-2020 artfynd.xlsx", "A 9820-2020")</f>
        <v/>
      </c>
      <c r="T38">
        <f>HYPERLINK("https://klasma.github.io/Logging_0580/kartor/A 9820-2020 karta.png", "A 9820-2020")</f>
        <v/>
      </c>
      <c r="V38">
        <f>HYPERLINK("https://klasma.github.io/Logging_0580/klagomål/A 9820-2020 FSC-klagomål.docx", "A 9820-2020")</f>
        <v/>
      </c>
      <c r="W38">
        <f>HYPERLINK("https://klasma.github.io/Logging_0580/klagomålsmail/A 9820-2020 FSC-klagomål mail.docx", "A 9820-2020")</f>
        <v/>
      </c>
      <c r="X38">
        <f>HYPERLINK("https://klasma.github.io/Logging_0580/tillsyn/A 9820-2020 tillsynsbegäran.docx", "A 9820-2020")</f>
        <v/>
      </c>
      <c r="Y38">
        <f>HYPERLINK("https://klasma.github.io/Logging_0580/tillsynsmail/A 9820-2020 tillsynsbegäran mail.docx", "A 9820-2020")</f>
        <v/>
      </c>
    </row>
    <row r="39" ht="15" customHeight="1">
      <c r="A39" t="inlineStr">
        <is>
          <t>A 22939-2020</t>
        </is>
      </c>
      <c r="B39" s="1" t="n">
        <v>43965</v>
      </c>
      <c r="C39" s="1" t="n">
        <v>45838</v>
      </c>
      <c r="D39" t="inlineStr">
        <is>
          <t>ÖSTERGÖTLANDS LÄN</t>
        </is>
      </c>
      <c r="E39" t="inlineStr">
        <is>
          <t>LINKÖPING</t>
        </is>
      </c>
      <c r="G39" t="n">
        <v>3.4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Rödlånke
Svartvit flugsnappare</t>
        </is>
      </c>
      <c r="S39">
        <f>HYPERLINK("https://klasma.github.io/Logging_0580/artfynd/A 22939-2020 artfynd.xlsx", "A 22939-2020")</f>
        <v/>
      </c>
      <c r="T39">
        <f>HYPERLINK("https://klasma.github.io/Logging_0580/kartor/A 22939-2020 karta.png", "A 22939-2020")</f>
        <v/>
      </c>
      <c r="V39">
        <f>HYPERLINK("https://klasma.github.io/Logging_0580/klagomål/A 22939-2020 FSC-klagomål.docx", "A 22939-2020")</f>
        <v/>
      </c>
      <c r="W39">
        <f>HYPERLINK("https://klasma.github.io/Logging_0580/klagomålsmail/A 22939-2020 FSC-klagomål mail.docx", "A 22939-2020")</f>
        <v/>
      </c>
      <c r="X39">
        <f>HYPERLINK("https://klasma.github.io/Logging_0580/tillsyn/A 22939-2020 tillsynsbegäran.docx", "A 22939-2020")</f>
        <v/>
      </c>
      <c r="Y39">
        <f>HYPERLINK("https://klasma.github.io/Logging_0580/tillsynsmail/A 22939-2020 tillsynsbegäran mail.docx", "A 22939-2020")</f>
        <v/>
      </c>
      <c r="Z39">
        <f>HYPERLINK("https://klasma.github.io/Logging_0580/fåglar/A 22939-2020 prioriterade fågelarter.docx", "A 22939-2020")</f>
        <v/>
      </c>
    </row>
    <row r="40" ht="15" customHeight="1">
      <c r="A40" t="inlineStr">
        <is>
          <t>A 16760-2021</t>
        </is>
      </c>
      <c r="B40" s="1" t="n">
        <v>44294</v>
      </c>
      <c r="C40" s="1" t="n">
        <v>45838</v>
      </c>
      <c r="D40" t="inlineStr">
        <is>
          <t>ÖSTERGÖTLANDS LÄN</t>
        </is>
      </c>
      <c r="E40" t="inlineStr">
        <is>
          <t>LINKÖPING</t>
        </is>
      </c>
      <c r="G40" t="n">
        <v>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Blekticka
Skuggorangelav</t>
        </is>
      </c>
      <c r="S40">
        <f>HYPERLINK("https://klasma.github.io/Logging_0580/artfynd/A 16760-2021 artfynd.xlsx", "A 16760-2021")</f>
        <v/>
      </c>
      <c r="T40">
        <f>HYPERLINK("https://klasma.github.io/Logging_0580/kartor/A 16760-2021 karta.png", "A 16760-2021")</f>
        <v/>
      </c>
      <c r="V40">
        <f>HYPERLINK("https://klasma.github.io/Logging_0580/klagomål/A 16760-2021 FSC-klagomål.docx", "A 16760-2021")</f>
        <v/>
      </c>
      <c r="W40">
        <f>HYPERLINK("https://klasma.github.io/Logging_0580/klagomålsmail/A 16760-2021 FSC-klagomål mail.docx", "A 16760-2021")</f>
        <v/>
      </c>
      <c r="X40">
        <f>HYPERLINK("https://klasma.github.io/Logging_0580/tillsyn/A 16760-2021 tillsynsbegäran.docx", "A 16760-2021")</f>
        <v/>
      </c>
      <c r="Y40">
        <f>HYPERLINK("https://klasma.github.io/Logging_0580/tillsynsmail/A 16760-2021 tillsynsbegäran mail.docx", "A 16760-2021")</f>
        <v/>
      </c>
    </row>
    <row r="41" ht="15" customHeight="1">
      <c r="A41" t="inlineStr">
        <is>
          <t>A 38137-2021</t>
        </is>
      </c>
      <c r="B41" s="1" t="n">
        <v>44405</v>
      </c>
      <c r="C41" s="1" t="n">
        <v>45838</v>
      </c>
      <c r="D41" t="inlineStr">
        <is>
          <t>ÖSTERGÖTLANDS LÄN</t>
        </is>
      </c>
      <c r="E41" t="inlineStr">
        <is>
          <t>LINKÖPING</t>
        </is>
      </c>
      <c r="G41" t="n">
        <v>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Mandelriska</t>
        </is>
      </c>
      <c r="S41">
        <f>HYPERLINK("https://klasma.github.io/Logging_0580/artfynd/A 38137-2021 artfynd.xlsx", "A 38137-2021")</f>
        <v/>
      </c>
      <c r="T41">
        <f>HYPERLINK("https://klasma.github.io/Logging_0580/kartor/A 38137-2021 karta.png", "A 38137-2021")</f>
        <v/>
      </c>
      <c r="V41">
        <f>HYPERLINK("https://klasma.github.io/Logging_0580/klagomål/A 38137-2021 FSC-klagomål.docx", "A 38137-2021")</f>
        <v/>
      </c>
      <c r="W41">
        <f>HYPERLINK("https://klasma.github.io/Logging_0580/klagomålsmail/A 38137-2021 FSC-klagomål mail.docx", "A 38137-2021")</f>
        <v/>
      </c>
      <c r="X41">
        <f>HYPERLINK("https://klasma.github.io/Logging_0580/tillsyn/A 38137-2021 tillsynsbegäran.docx", "A 38137-2021")</f>
        <v/>
      </c>
      <c r="Y41">
        <f>HYPERLINK("https://klasma.github.io/Logging_0580/tillsynsmail/A 38137-2021 tillsynsbegäran mail.docx", "A 38137-2021")</f>
        <v/>
      </c>
    </row>
    <row r="42" ht="15" customHeight="1">
      <c r="A42" t="inlineStr">
        <is>
          <t>A 58068-2021</t>
        </is>
      </c>
      <c r="B42" s="1" t="n">
        <v>44487</v>
      </c>
      <c r="C42" s="1" t="n">
        <v>45838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Aktiebolag</t>
        </is>
      </c>
      <c r="G42" t="n">
        <v>1.2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Rödbrun blekspik
Skuggorangelav</t>
        </is>
      </c>
      <c r="S42">
        <f>HYPERLINK("https://klasma.github.io/Logging_0580/artfynd/A 58068-2021 artfynd.xlsx", "A 58068-2021")</f>
        <v/>
      </c>
      <c r="T42">
        <f>HYPERLINK("https://klasma.github.io/Logging_0580/kartor/A 58068-2021 karta.png", "A 58068-2021")</f>
        <v/>
      </c>
      <c r="V42">
        <f>HYPERLINK("https://klasma.github.io/Logging_0580/klagomål/A 58068-2021 FSC-klagomål.docx", "A 58068-2021")</f>
        <v/>
      </c>
      <c r="W42">
        <f>HYPERLINK("https://klasma.github.io/Logging_0580/klagomålsmail/A 58068-2021 FSC-klagomål mail.docx", "A 58068-2021")</f>
        <v/>
      </c>
      <c r="X42">
        <f>HYPERLINK("https://klasma.github.io/Logging_0580/tillsyn/A 58068-2021 tillsynsbegäran.docx", "A 58068-2021")</f>
        <v/>
      </c>
      <c r="Y42">
        <f>HYPERLINK("https://klasma.github.io/Logging_0580/tillsynsmail/A 58068-2021 tillsynsbegäran mail.docx", "A 58068-2021")</f>
        <v/>
      </c>
    </row>
    <row r="43" ht="15" customHeight="1">
      <c r="A43" t="inlineStr">
        <is>
          <t>A 17520-2022</t>
        </is>
      </c>
      <c r="B43" s="1" t="n">
        <v>44679</v>
      </c>
      <c r="C43" s="1" t="n">
        <v>45838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4.6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Trådticka</t>
        </is>
      </c>
      <c r="S43">
        <f>HYPERLINK("https://klasma.github.io/Logging_0580/artfynd/A 17520-2022 artfynd.xlsx", "A 17520-2022")</f>
        <v/>
      </c>
      <c r="T43">
        <f>HYPERLINK("https://klasma.github.io/Logging_0580/kartor/A 17520-2022 karta.png", "A 17520-2022")</f>
        <v/>
      </c>
      <c r="V43">
        <f>HYPERLINK("https://klasma.github.io/Logging_0580/klagomål/A 17520-2022 FSC-klagomål.docx", "A 17520-2022")</f>
        <v/>
      </c>
      <c r="W43">
        <f>HYPERLINK("https://klasma.github.io/Logging_0580/klagomålsmail/A 17520-2022 FSC-klagomål mail.docx", "A 17520-2022")</f>
        <v/>
      </c>
      <c r="X43">
        <f>HYPERLINK("https://klasma.github.io/Logging_0580/tillsyn/A 17520-2022 tillsynsbegäran.docx", "A 17520-2022")</f>
        <v/>
      </c>
      <c r="Y43">
        <f>HYPERLINK("https://klasma.github.io/Logging_0580/tillsynsmail/A 17520-2022 tillsynsbegäran mail.docx", "A 17520-2022")</f>
        <v/>
      </c>
    </row>
    <row r="44" ht="15" customHeight="1">
      <c r="A44" t="inlineStr">
        <is>
          <t>A 27981-2022</t>
        </is>
      </c>
      <c r="B44" s="1" t="n">
        <v>44745</v>
      </c>
      <c r="C44" s="1" t="n">
        <v>45838</v>
      </c>
      <c r="D44" t="inlineStr">
        <is>
          <t>ÖSTERGÖTLANDS LÄN</t>
        </is>
      </c>
      <c r="E44" t="inlineStr">
        <is>
          <t>LINKÖPING</t>
        </is>
      </c>
      <c r="G44" t="n">
        <v>8.4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Solvända
Svinrot</t>
        </is>
      </c>
      <c r="S44">
        <f>HYPERLINK("https://klasma.github.io/Logging_0580/artfynd/A 27981-2022 artfynd.xlsx", "A 27981-2022")</f>
        <v/>
      </c>
      <c r="T44">
        <f>HYPERLINK("https://klasma.github.io/Logging_0580/kartor/A 27981-2022 karta.png", "A 27981-2022")</f>
        <v/>
      </c>
      <c r="V44">
        <f>HYPERLINK("https://klasma.github.io/Logging_0580/klagomål/A 27981-2022 FSC-klagomål.docx", "A 27981-2022")</f>
        <v/>
      </c>
      <c r="W44">
        <f>HYPERLINK("https://klasma.github.io/Logging_0580/klagomålsmail/A 27981-2022 FSC-klagomål mail.docx", "A 27981-2022")</f>
        <v/>
      </c>
      <c r="X44">
        <f>HYPERLINK("https://klasma.github.io/Logging_0580/tillsyn/A 27981-2022 tillsynsbegäran.docx", "A 27981-2022")</f>
        <v/>
      </c>
      <c r="Y44">
        <f>HYPERLINK("https://klasma.github.io/Logging_0580/tillsynsmail/A 27981-2022 tillsynsbegäran mail.docx", "A 27981-2022")</f>
        <v/>
      </c>
    </row>
    <row r="45" ht="15" customHeight="1">
      <c r="A45" t="inlineStr">
        <is>
          <t>A 8446-2023</t>
        </is>
      </c>
      <c r="B45" s="1" t="n">
        <v>44977</v>
      </c>
      <c r="C45" s="1" t="n">
        <v>45838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Sveaskog</t>
        </is>
      </c>
      <c r="G45" t="n">
        <v>3.4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Tibast</t>
        </is>
      </c>
      <c r="S45">
        <f>HYPERLINK("https://klasma.github.io/Logging_0580/artfynd/A 8446-2023 artfynd.xlsx", "A 8446-2023")</f>
        <v/>
      </c>
      <c r="T45">
        <f>HYPERLINK("https://klasma.github.io/Logging_0580/kartor/A 8446-2023 karta.png", "A 8446-2023")</f>
        <v/>
      </c>
      <c r="V45">
        <f>HYPERLINK("https://klasma.github.io/Logging_0580/klagomål/A 8446-2023 FSC-klagomål.docx", "A 8446-2023")</f>
        <v/>
      </c>
      <c r="W45">
        <f>HYPERLINK("https://klasma.github.io/Logging_0580/klagomålsmail/A 8446-2023 FSC-klagomål mail.docx", "A 8446-2023")</f>
        <v/>
      </c>
      <c r="X45">
        <f>HYPERLINK("https://klasma.github.io/Logging_0580/tillsyn/A 8446-2023 tillsynsbegäran.docx", "A 8446-2023")</f>
        <v/>
      </c>
      <c r="Y45">
        <f>HYPERLINK("https://klasma.github.io/Logging_0580/tillsynsmail/A 8446-2023 tillsynsbegäran mail.docx", "A 8446-2023")</f>
        <v/>
      </c>
    </row>
    <row r="46" ht="15" customHeight="1">
      <c r="A46" t="inlineStr">
        <is>
          <t>A 11362-2023</t>
        </is>
      </c>
      <c r="B46" s="1" t="n">
        <v>44993</v>
      </c>
      <c r="C46" s="1" t="n">
        <v>45838</v>
      </c>
      <c r="D46" t="inlineStr">
        <is>
          <t>ÖSTERGÖTLANDS LÄN</t>
        </is>
      </c>
      <c r="E46" t="inlineStr">
        <is>
          <t>LINKÖPING</t>
        </is>
      </c>
      <c r="G46" t="n">
        <v>1.4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Gulbrunt nejlikfly
Glimfältmätare</t>
        </is>
      </c>
      <c r="S46">
        <f>HYPERLINK("https://klasma.github.io/Logging_0580/artfynd/A 11362-2023 artfynd.xlsx", "A 11362-2023")</f>
        <v/>
      </c>
      <c r="T46">
        <f>HYPERLINK("https://klasma.github.io/Logging_0580/kartor/A 11362-2023 karta.png", "A 11362-2023")</f>
        <v/>
      </c>
      <c r="V46">
        <f>HYPERLINK("https://klasma.github.io/Logging_0580/klagomål/A 11362-2023 FSC-klagomål.docx", "A 11362-2023")</f>
        <v/>
      </c>
      <c r="W46">
        <f>HYPERLINK("https://klasma.github.io/Logging_0580/klagomålsmail/A 11362-2023 FSC-klagomål mail.docx", "A 11362-2023")</f>
        <v/>
      </c>
      <c r="X46">
        <f>HYPERLINK("https://klasma.github.io/Logging_0580/tillsyn/A 11362-2023 tillsynsbegäran.docx", "A 11362-2023")</f>
        <v/>
      </c>
      <c r="Y46">
        <f>HYPERLINK("https://klasma.github.io/Logging_0580/tillsynsmail/A 11362-2023 tillsynsbegäran mail.docx", "A 11362-2023")</f>
        <v/>
      </c>
    </row>
    <row r="47" ht="15" customHeight="1">
      <c r="A47" t="inlineStr">
        <is>
          <t>A 38913-2023</t>
        </is>
      </c>
      <c r="B47" s="1" t="n">
        <v>45163</v>
      </c>
      <c r="C47" s="1" t="n">
        <v>45838</v>
      </c>
      <c r="D47" t="inlineStr">
        <is>
          <t>ÖSTERGÖTLANDS LÄN</t>
        </is>
      </c>
      <c r="E47" t="inlineStr">
        <is>
          <t>LINKÖPING</t>
        </is>
      </c>
      <c r="G47" t="n">
        <v>2.7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Skogsbräsma
Revlummer</t>
        </is>
      </c>
      <c r="S47">
        <f>HYPERLINK("https://klasma.github.io/Logging_0580/artfynd/A 38913-2023 artfynd.xlsx", "A 38913-2023")</f>
        <v/>
      </c>
      <c r="T47">
        <f>HYPERLINK("https://klasma.github.io/Logging_0580/kartor/A 38913-2023 karta.png", "A 38913-2023")</f>
        <v/>
      </c>
      <c r="V47">
        <f>HYPERLINK("https://klasma.github.io/Logging_0580/klagomål/A 38913-2023 FSC-klagomål.docx", "A 38913-2023")</f>
        <v/>
      </c>
      <c r="W47">
        <f>HYPERLINK("https://klasma.github.io/Logging_0580/klagomålsmail/A 38913-2023 FSC-klagomål mail.docx", "A 38913-2023")</f>
        <v/>
      </c>
      <c r="X47">
        <f>HYPERLINK("https://klasma.github.io/Logging_0580/tillsyn/A 38913-2023 tillsynsbegäran.docx", "A 38913-2023")</f>
        <v/>
      </c>
      <c r="Y47">
        <f>HYPERLINK("https://klasma.github.io/Logging_0580/tillsynsmail/A 38913-2023 tillsynsbegäran mail.docx", "A 38913-2023")</f>
        <v/>
      </c>
    </row>
    <row r="48" ht="15" customHeight="1">
      <c r="A48" t="inlineStr">
        <is>
          <t>A 41751-2023</t>
        </is>
      </c>
      <c r="B48" s="1" t="n">
        <v>45176</v>
      </c>
      <c r="C48" s="1" t="n">
        <v>45838</v>
      </c>
      <c r="D48" t="inlineStr">
        <is>
          <t>ÖSTERGÖTLANDS LÄN</t>
        </is>
      </c>
      <c r="E48" t="inlineStr">
        <is>
          <t>LINKÖPING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Grönvit nattviol</t>
        </is>
      </c>
      <c r="S48">
        <f>HYPERLINK("https://klasma.github.io/Logging_0580/artfynd/A 41751-2023 artfynd.xlsx", "A 41751-2023")</f>
        <v/>
      </c>
      <c r="T48">
        <f>HYPERLINK("https://klasma.github.io/Logging_0580/kartor/A 41751-2023 karta.png", "A 41751-2023")</f>
        <v/>
      </c>
      <c r="V48">
        <f>HYPERLINK("https://klasma.github.io/Logging_0580/klagomål/A 41751-2023 FSC-klagomål.docx", "A 41751-2023")</f>
        <v/>
      </c>
      <c r="W48">
        <f>HYPERLINK("https://klasma.github.io/Logging_0580/klagomålsmail/A 41751-2023 FSC-klagomål mail.docx", "A 41751-2023")</f>
        <v/>
      </c>
      <c r="X48">
        <f>HYPERLINK("https://klasma.github.io/Logging_0580/tillsyn/A 41751-2023 tillsynsbegäran.docx", "A 41751-2023")</f>
        <v/>
      </c>
      <c r="Y48">
        <f>HYPERLINK("https://klasma.github.io/Logging_0580/tillsynsmail/A 41751-2023 tillsynsbegäran mail.docx", "A 41751-2023")</f>
        <v/>
      </c>
    </row>
    <row r="49" ht="15" customHeight="1">
      <c r="A49" t="inlineStr">
        <is>
          <t>A 42858-2023</t>
        </is>
      </c>
      <c r="B49" s="1" t="n">
        <v>45177</v>
      </c>
      <c r="C49" s="1" t="n">
        <v>45838</v>
      </c>
      <c r="D49" t="inlineStr">
        <is>
          <t>ÖSTERGÖTLANDS LÄN</t>
        </is>
      </c>
      <c r="E49" t="inlineStr">
        <is>
          <t>LINKÖPING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Skogsödla</t>
        </is>
      </c>
      <c r="S49">
        <f>HYPERLINK("https://klasma.github.io/Logging_0580/artfynd/A 42858-2023 artfynd.xlsx", "A 42858-2023")</f>
        <v/>
      </c>
      <c r="T49">
        <f>HYPERLINK("https://klasma.github.io/Logging_0580/kartor/A 42858-2023 karta.png", "A 42858-2023")</f>
        <v/>
      </c>
      <c r="V49">
        <f>HYPERLINK("https://klasma.github.io/Logging_0580/klagomål/A 42858-2023 FSC-klagomål.docx", "A 42858-2023")</f>
        <v/>
      </c>
      <c r="W49">
        <f>HYPERLINK("https://klasma.github.io/Logging_0580/klagomålsmail/A 42858-2023 FSC-klagomål mail.docx", "A 42858-2023")</f>
        <v/>
      </c>
      <c r="X49">
        <f>HYPERLINK("https://klasma.github.io/Logging_0580/tillsyn/A 42858-2023 tillsynsbegäran.docx", "A 42858-2023")</f>
        <v/>
      </c>
      <c r="Y49">
        <f>HYPERLINK("https://klasma.github.io/Logging_0580/tillsynsmail/A 42858-2023 tillsynsbegäran mail.docx", "A 42858-2023")</f>
        <v/>
      </c>
    </row>
    <row r="50" ht="15" customHeight="1">
      <c r="A50" t="inlineStr">
        <is>
          <t>A 50404-2023</t>
        </is>
      </c>
      <c r="B50" s="1" t="n">
        <v>45216</v>
      </c>
      <c r="C50" s="1" t="n">
        <v>45838</v>
      </c>
      <c r="D50" t="inlineStr">
        <is>
          <t>ÖSTERGÖTLANDS LÄN</t>
        </is>
      </c>
      <c r="E50" t="inlineStr">
        <is>
          <t>LINKÖPING</t>
        </is>
      </c>
      <c r="G50" t="n">
        <v>1.2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Hasselticka
Gullviva</t>
        </is>
      </c>
      <c r="S50">
        <f>HYPERLINK("https://klasma.github.io/Logging_0580/artfynd/A 50404-2023 artfynd.xlsx", "A 50404-2023")</f>
        <v/>
      </c>
      <c r="T50">
        <f>HYPERLINK("https://klasma.github.io/Logging_0580/kartor/A 50404-2023 karta.png", "A 50404-2023")</f>
        <v/>
      </c>
      <c r="V50">
        <f>HYPERLINK("https://klasma.github.io/Logging_0580/klagomål/A 50404-2023 FSC-klagomål.docx", "A 50404-2023")</f>
        <v/>
      </c>
      <c r="W50">
        <f>HYPERLINK("https://klasma.github.io/Logging_0580/klagomålsmail/A 50404-2023 FSC-klagomål mail.docx", "A 50404-2023")</f>
        <v/>
      </c>
      <c r="X50">
        <f>HYPERLINK("https://klasma.github.io/Logging_0580/tillsyn/A 50404-2023 tillsynsbegäran.docx", "A 50404-2023")</f>
        <v/>
      </c>
      <c r="Y50">
        <f>HYPERLINK("https://klasma.github.io/Logging_0580/tillsynsmail/A 50404-2023 tillsynsbegäran mail.docx", "A 50404-2023")</f>
        <v/>
      </c>
    </row>
    <row r="51" ht="15" customHeight="1">
      <c r="A51" t="inlineStr">
        <is>
          <t>A 3078-2024</t>
        </is>
      </c>
      <c r="B51" s="1" t="n">
        <v>45316</v>
      </c>
      <c r="C51" s="1" t="n">
        <v>45838</v>
      </c>
      <c r="D51" t="inlineStr">
        <is>
          <t>ÖSTERGÖTLANDS LÄN</t>
        </is>
      </c>
      <c r="E51" t="inlineStr">
        <is>
          <t>LINKÖPING</t>
        </is>
      </c>
      <c r="G51" t="n">
        <v>12.6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Fällmossa</t>
        </is>
      </c>
      <c r="S51">
        <f>HYPERLINK("https://klasma.github.io/Logging_0580/artfynd/A 3078-2024 artfynd.xlsx", "A 3078-2024")</f>
        <v/>
      </c>
      <c r="T51">
        <f>HYPERLINK("https://klasma.github.io/Logging_0580/kartor/A 3078-2024 karta.png", "A 3078-2024")</f>
        <v/>
      </c>
      <c r="V51">
        <f>HYPERLINK("https://klasma.github.io/Logging_0580/klagomål/A 3078-2024 FSC-klagomål.docx", "A 3078-2024")</f>
        <v/>
      </c>
      <c r="W51">
        <f>HYPERLINK("https://klasma.github.io/Logging_0580/klagomålsmail/A 3078-2024 FSC-klagomål mail.docx", "A 3078-2024")</f>
        <v/>
      </c>
      <c r="X51">
        <f>HYPERLINK("https://klasma.github.io/Logging_0580/tillsyn/A 3078-2024 tillsynsbegäran.docx", "A 3078-2024")</f>
        <v/>
      </c>
      <c r="Y51">
        <f>HYPERLINK("https://klasma.github.io/Logging_0580/tillsynsmail/A 3078-2024 tillsynsbegäran mail.docx", "A 3078-2024")</f>
        <v/>
      </c>
    </row>
    <row r="52" ht="15" customHeight="1">
      <c r="A52" t="inlineStr">
        <is>
          <t>A 14879-2024</t>
        </is>
      </c>
      <c r="B52" s="1" t="n">
        <v>45398</v>
      </c>
      <c r="C52" s="1" t="n">
        <v>45838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Övriga Aktiebolag</t>
        </is>
      </c>
      <c r="G52" t="n">
        <v>1.7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Svart trolldruva
Grönvit nattviol</t>
        </is>
      </c>
      <c r="S52">
        <f>HYPERLINK("https://klasma.github.io/Logging_0580/artfynd/A 14879-2024 artfynd.xlsx", "A 14879-2024")</f>
        <v/>
      </c>
      <c r="T52">
        <f>HYPERLINK("https://klasma.github.io/Logging_0580/kartor/A 14879-2024 karta.png", "A 14879-2024")</f>
        <v/>
      </c>
      <c r="V52">
        <f>HYPERLINK("https://klasma.github.io/Logging_0580/klagomål/A 14879-2024 FSC-klagomål.docx", "A 14879-2024")</f>
        <v/>
      </c>
      <c r="W52">
        <f>HYPERLINK("https://klasma.github.io/Logging_0580/klagomålsmail/A 14879-2024 FSC-klagomål mail.docx", "A 14879-2024")</f>
        <v/>
      </c>
      <c r="X52">
        <f>HYPERLINK("https://klasma.github.io/Logging_0580/tillsyn/A 14879-2024 tillsynsbegäran.docx", "A 14879-2024")</f>
        <v/>
      </c>
      <c r="Y52">
        <f>HYPERLINK("https://klasma.github.io/Logging_0580/tillsynsmail/A 14879-2024 tillsynsbegäran mail.docx", "A 14879-2024")</f>
        <v/>
      </c>
    </row>
    <row r="53" ht="15" customHeight="1">
      <c r="A53" t="inlineStr">
        <is>
          <t>A 49188-2024</t>
        </is>
      </c>
      <c r="B53" s="1" t="n">
        <v>45595</v>
      </c>
      <c r="C53" s="1" t="n">
        <v>45838</v>
      </c>
      <c r="D53" t="inlineStr">
        <is>
          <t>ÖSTERGÖTLANDS LÄN</t>
        </is>
      </c>
      <c r="E53" t="inlineStr">
        <is>
          <t>LINKÖPING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1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Skogsalm
Ask</t>
        </is>
      </c>
      <c r="S53">
        <f>HYPERLINK("https://klasma.github.io/Logging_0580/artfynd/A 49188-2024 artfynd.xlsx", "A 49188-2024")</f>
        <v/>
      </c>
      <c r="T53">
        <f>HYPERLINK("https://klasma.github.io/Logging_0580/kartor/A 49188-2024 karta.png", "A 49188-2024")</f>
        <v/>
      </c>
      <c r="V53">
        <f>HYPERLINK("https://klasma.github.io/Logging_0580/klagomål/A 49188-2024 FSC-klagomål.docx", "A 49188-2024")</f>
        <v/>
      </c>
      <c r="W53">
        <f>HYPERLINK("https://klasma.github.io/Logging_0580/klagomålsmail/A 49188-2024 FSC-klagomål mail.docx", "A 49188-2024")</f>
        <v/>
      </c>
      <c r="X53">
        <f>HYPERLINK("https://klasma.github.io/Logging_0580/tillsyn/A 49188-2024 tillsynsbegäran.docx", "A 49188-2024")</f>
        <v/>
      </c>
      <c r="Y53">
        <f>HYPERLINK("https://klasma.github.io/Logging_0580/tillsynsmail/A 49188-2024 tillsynsbegäran mail.docx", "A 49188-2024")</f>
        <v/>
      </c>
    </row>
    <row r="54" ht="15" customHeight="1">
      <c r="A54" t="inlineStr">
        <is>
          <t>A 55344-2024</t>
        </is>
      </c>
      <c r="B54" s="1" t="n">
        <v>45621</v>
      </c>
      <c r="C54" s="1" t="n">
        <v>45838</v>
      </c>
      <c r="D54" t="inlineStr">
        <is>
          <t>ÖSTERGÖTLANDS LÄN</t>
        </is>
      </c>
      <c r="E54" t="inlineStr">
        <is>
          <t>LINKÖPING</t>
        </is>
      </c>
      <c r="G54" t="n">
        <v>6.6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Kandelabersvamp
Stjärnnästing</t>
        </is>
      </c>
      <c r="S54">
        <f>HYPERLINK("https://klasma.github.io/Logging_0580/artfynd/A 55344-2024 artfynd.xlsx", "A 55344-2024")</f>
        <v/>
      </c>
      <c r="T54">
        <f>HYPERLINK("https://klasma.github.io/Logging_0580/kartor/A 55344-2024 karta.png", "A 55344-2024")</f>
        <v/>
      </c>
      <c r="V54">
        <f>HYPERLINK("https://klasma.github.io/Logging_0580/klagomål/A 55344-2024 FSC-klagomål.docx", "A 55344-2024")</f>
        <v/>
      </c>
      <c r="W54">
        <f>HYPERLINK("https://klasma.github.io/Logging_0580/klagomålsmail/A 55344-2024 FSC-klagomål mail.docx", "A 55344-2024")</f>
        <v/>
      </c>
      <c r="X54">
        <f>HYPERLINK("https://klasma.github.io/Logging_0580/tillsyn/A 55344-2024 tillsynsbegäran.docx", "A 55344-2024")</f>
        <v/>
      </c>
      <c r="Y54">
        <f>HYPERLINK("https://klasma.github.io/Logging_0580/tillsynsmail/A 55344-2024 tillsynsbegäran mail.docx", "A 55344-2024")</f>
        <v/>
      </c>
    </row>
    <row r="55" ht="15" customHeight="1">
      <c r="A55" t="inlineStr">
        <is>
          <t>A 594-2025</t>
        </is>
      </c>
      <c r="B55" s="1" t="n">
        <v>45664</v>
      </c>
      <c r="C55" s="1" t="n">
        <v>45838</v>
      </c>
      <c r="D55" t="inlineStr">
        <is>
          <t>ÖSTERGÖTLANDS LÄN</t>
        </is>
      </c>
      <c r="E55" t="inlineStr">
        <is>
          <t>LINKÖPING</t>
        </is>
      </c>
      <c r="G55" t="n">
        <v>11.7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Blekticka
Veckticka</t>
        </is>
      </c>
      <c r="S55">
        <f>HYPERLINK("https://klasma.github.io/Logging_0580/artfynd/A 594-2025 artfynd.xlsx", "A 594-2025")</f>
        <v/>
      </c>
      <c r="T55">
        <f>HYPERLINK("https://klasma.github.io/Logging_0580/kartor/A 594-2025 karta.png", "A 594-2025")</f>
        <v/>
      </c>
      <c r="V55">
        <f>HYPERLINK("https://klasma.github.io/Logging_0580/klagomål/A 594-2025 FSC-klagomål.docx", "A 594-2025")</f>
        <v/>
      </c>
      <c r="W55">
        <f>HYPERLINK("https://klasma.github.io/Logging_0580/klagomålsmail/A 594-2025 FSC-klagomål mail.docx", "A 594-2025")</f>
        <v/>
      </c>
      <c r="X55">
        <f>HYPERLINK("https://klasma.github.io/Logging_0580/tillsyn/A 594-2025 tillsynsbegäran.docx", "A 594-2025")</f>
        <v/>
      </c>
      <c r="Y55">
        <f>HYPERLINK("https://klasma.github.io/Logging_0580/tillsynsmail/A 594-2025 tillsynsbegäran mail.docx", "A 594-2025")</f>
        <v/>
      </c>
    </row>
    <row r="56" ht="15" customHeight="1">
      <c r="A56" t="inlineStr">
        <is>
          <t>A 8818-2025</t>
        </is>
      </c>
      <c r="B56" s="1" t="n">
        <v>45712</v>
      </c>
      <c r="C56" s="1" t="n">
        <v>45838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Luddvicker
Klubbsprötad bastardsvärmare</t>
        </is>
      </c>
      <c r="S56">
        <f>HYPERLINK("https://klasma.github.io/Logging_0580/artfynd/A 8818-2025 artfynd.xlsx", "A 8818-2025")</f>
        <v/>
      </c>
      <c r="T56">
        <f>HYPERLINK("https://klasma.github.io/Logging_0580/kartor/A 8818-2025 karta.png", "A 8818-2025")</f>
        <v/>
      </c>
      <c r="V56">
        <f>HYPERLINK("https://klasma.github.io/Logging_0580/klagomål/A 8818-2025 FSC-klagomål.docx", "A 8818-2025")</f>
        <v/>
      </c>
      <c r="W56">
        <f>HYPERLINK("https://klasma.github.io/Logging_0580/klagomålsmail/A 8818-2025 FSC-klagomål mail.docx", "A 8818-2025")</f>
        <v/>
      </c>
      <c r="X56">
        <f>HYPERLINK("https://klasma.github.io/Logging_0580/tillsyn/A 8818-2025 tillsynsbegäran.docx", "A 8818-2025")</f>
        <v/>
      </c>
      <c r="Y56">
        <f>HYPERLINK("https://klasma.github.io/Logging_0580/tillsynsmail/A 8818-2025 tillsynsbegäran mail.docx", "A 8818-2025")</f>
        <v/>
      </c>
    </row>
    <row r="57" ht="15" customHeight="1">
      <c r="A57" t="inlineStr">
        <is>
          <t>A 9192-2025</t>
        </is>
      </c>
      <c r="B57" s="1" t="n">
        <v>45714</v>
      </c>
      <c r="C57" s="1" t="n">
        <v>45838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Allmännings- och besparingsskogar</t>
        </is>
      </c>
      <c r="G57" t="n">
        <v>17.4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jordtunga
Fläcknycklar</t>
        </is>
      </c>
      <c r="S57">
        <f>HYPERLINK("https://klasma.github.io/Logging_0580/artfynd/A 9192-2025 artfynd.xlsx", "A 9192-2025")</f>
        <v/>
      </c>
      <c r="T57">
        <f>HYPERLINK("https://klasma.github.io/Logging_0580/kartor/A 9192-2025 karta.png", "A 9192-2025")</f>
        <v/>
      </c>
      <c r="V57">
        <f>HYPERLINK("https://klasma.github.io/Logging_0580/klagomål/A 9192-2025 FSC-klagomål.docx", "A 9192-2025")</f>
        <v/>
      </c>
      <c r="W57">
        <f>HYPERLINK("https://klasma.github.io/Logging_0580/klagomålsmail/A 9192-2025 FSC-klagomål mail.docx", "A 9192-2025")</f>
        <v/>
      </c>
      <c r="X57">
        <f>HYPERLINK("https://klasma.github.io/Logging_0580/tillsyn/A 9192-2025 tillsynsbegäran.docx", "A 9192-2025")</f>
        <v/>
      </c>
      <c r="Y57">
        <f>HYPERLINK("https://klasma.github.io/Logging_0580/tillsynsmail/A 9192-2025 tillsynsbegäran mail.docx", "A 9192-2025")</f>
        <v/>
      </c>
    </row>
    <row r="58" ht="15" customHeight="1">
      <c r="A58" t="inlineStr">
        <is>
          <t>A 11613-2025</t>
        </is>
      </c>
      <c r="B58" s="1" t="n">
        <v>45727</v>
      </c>
      <c r="C58" s="1" t="n">
        <v>45838</v>
      </c>
      <c r="D58" t="inlineStr">
        <is>
          <t>ÖSTERGÖTLANDS LÄN</t>
        </is>
      </c>
      <c r="E58" t="inlineStr">
        <is>
          <t>LINKÖPING</t>
        </is>
      </c>
      <c r="G58" t="n">
        <v>5.7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Grönpyrola</t>
        </is>
      </c>
      <c r="S58">
        <f>HYPERLINK("https://klasma.github.io/Logging_050580/artfynd/A 11613-2025 artfynd.xlsx", "A 11613-2025")</f>
        <v/>
      </c>
      <c r="T58">
        <f>HYPERLINK("https://klasma.github.io/Logging_050580/kartor/A 11613-2025 karta.png", "A 11613-2025")</f>
        <v/>
      </c>
      <c r="U58">
        <f>HYPERLINK("https://klasma.github.io/Logging_050580/knärot/A 11613-2025 karta knärot.png", "A 11613-2025")</f>
        <v/>
      </c>
      <c r="V58">
        <f>HYPERLINK("https://klasma.github.io/Logging_050580/klagomål/A 11613-2025 FSC-klagomål.docx", "A 11613-2025")</f>
        <v/>
      </c>
      <c r="W58">
        <f>HYPERLINK("https://klasma.github.io/Logging_050580/klagomålsmail/A 11613-2025 FSC-klagomål mail.docx", "A 11613-2025")</f>
        <v/>
      </c>
      <c r="X58">
        <f>HYPERLINK("https://klasma.github.io/Logging_050580/tillsyn/A 11613-2025 tillsynsbegäran.docx", "A 11613-2025")</f>
        <v/>
      </c>
      <c r="Y58">
        <f>HYPERLINK("https://klasma.github.io/Logging_050580/tillsynsmail/A 11613-2025 tillsynsbegäran mail.docx", "A 11613-2025")</f>
        <v/>
      </c>
    </row>
    <row r="59" ht="15" customHeight="1">
      <c r="A59" t="inlineStr">
        <is>
          <t>A 20292-2025</t>
        </is>
      </c>
      <c r="B59" s="1" t="n">
        <v>45774</v>
      </c>
      <c r="C59" s="1" t="n">
        <v>45838</v>
      </c>
      <c r="D59" t="inlineStr">
        <is>
          <t>ÖSTERGÖTLANDS LÄN</t>
        </is>
      </c>
      <c r="E59" t="inlineStr">
        <is>
          <t>LINKÖPING</t>
        </is>
      </c>
      <c r="G59" t="n">
        <v>8.4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Blåsippa</t>
        </is>
      </c>
      <c r="S59">
        <f>HYPERLINK("https://klasma.github.io/Logging_050580/artfynd/A 20292-2025 artfynd.xlsx", "A 20292-2025")</f>
        <v/>
      </c>
      <c r="T59">
        <f>HYPERLINK("https://klasma.github.io/Logging_050580/kartor/A 20292-2025 karta.png", "A 20292-2025")</f>
        <v/>
      </c>
      <c r="V59">
        <f>HYPERLINK("https://klasma.github.io/Logging_050580/klagomål/A 20292-2025 FSC-klagomål.docx", "A 20292-2025")</f>
        <v/>
      </c>
      <c r="W59">
        <f>HYPERLINK("https://klasma.github.io/Logging_050580/klagomålsmail/A 20292-2025 FSC-klagomål mail.docx", "A 20292-2025")</f>
        <v/>
      </c>
      <c r="X59">
        <f>HYPERLINK("https://klasma.github.io/Logging_050580/tillsyn/A 20292-2025 tillsynsbegäran.docx", "A 20292-2025")</f>
        <v/>
      </c>
      <c r="Y59">
        <f>HYPERLINK("https://klasma.github.io/Logging_050580/tillsynsmail/A 20292-2025 tillsynsbegäran mail.docx", "A 20292-2025")</f>
        <v/>
      </c>
    </row>
    <row r="60" ht="15" customHeight="1">
      <c r="A60" t="inlineStr">
        <is>
          <t>A 20297-2025</t>
        </is>
      </c>
      <c r="B60" s="1" t="n">
        <v>45774</v>
      </c>
      <c r="C60" s="1" t="n">
        <v>45838</v>
      </c>
      <c r="D60" t="inlineStr">
        <is>
          <t>ÖSTERGÖTLANDS LÄN</t>
        </is>
      </c>
      <c r="E60" t="inlineStr">
        <is>
          <t>LINKÖPING</t>
        </is>
      </c>
      <c r="G60" t="n">
        <v>1.5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Blanksvart trämyra
Blåsippa</t>
        </is>
      </c>
      <c r="S60">
        <f>HYPERLINK("https://klasma.github.io/Logging_050580/artfynd/A 20297-2025 artfynd.xlsx", "A 20297-2025")</f>
        <v/>
      </c>
      <c r="T60">
        <f>HYPERLINK("https://klasma.github.io/Logging_050580/kartor/A 20297-2025 karta.png", "A 20297-2025")</f>
        <v/>
      </c>
      <c r="V60">
        <f>HYPERLINK("https://klasma.github.io/Logging_050580/klagomål/A 20297-2025 FSC-klagomål.docx", "A 20297-2025")</f>
        <v/>
      </c>
      <c r="W60">
        <f>HYPERLINK("https://klasma.github.io/Logging_050580/klagomålsmail/A 20297-2025 FSC-klagomål mail.docx", "A 20297-2025")</f>
        <v/>
      </c>
      <c r="X60">
        <f>HYPERLINK("https://klasma.github.io/Logging_050580/tillsyn/A 20297-2025 tillsynsbegäran.docx", "A 20297-2025")</f>
        <v/>
      </c>
      <c r="Y60">
        <f>HYPERLINK("https://klasma.github.io/Logging_050580/tillsynsmail/A 20297-2025 tillsynsbegäran mail.docx", "A 20297-2025")</f>
        <v/>
      </c>
    </row>
    <row r="61" ht="15" customHeight="1">
      <c r="A61" t="inlineStr">
        <is>
          <t>A 21326-2025</t>
        </is>
      </c>
      <c r="B61" s="1" t="n">
        <v>45782</v>
      </c>
      <c r="C61" s="1" t="n">
        <v>45838</v>
      </c>
      <c r="D61" t="inlineStr">
        <is>
          <t>ÖSTERGÖTLANDS LÄN</t>
        </is>
      </c>
      <c r="E61" t="inlineStr">
        <is>
          <t>LINKÖPING</t>
        </is>
      </c>
      <c r="G61" t="n">
        <v>4.9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Blåsippa
Revlummer</t>
        </is>
      </c>
      <c r="S61">
        <f>HYPERLINK("https://klasma.github.io/Logging_050580/artfynd/A 21326-2025 artfynd.xlsx", "A 21326-2025")</f>
        <v/>
      </c>
      <c r="T61">
        <f>HYPERLINK("https://klasma.github.io/Logging_050580/kartor/A 21326-2025 karta.png", "A 21326-2025")</f>
        <v/>
      </c>
      <c r="V61">
        <f>HYPERLINK("https://klasma.github.io/Logging_050580/klagomål/A 21326-2025 FSC-klagomål.docx", "A 21326-2025")</f>
        <v/>
      </c>
      <c r="W61">
        <f>HYPERLINK("https://klasma.github.io/Logging_050580/klagomålsmail/A 21326-2025 FSC-klagomål mail.docx", "A 21326-2025")</f>
        <v/>
      </c>
      <c r="X61">
        <f>HYPERLINK("https://klasma.github.io/Logging_050580/tillsyn/A 21326-2025 tillsynsbegäran.docx", "A 21326-2025")</f>
        <v/>
      </c>
      <c r="Y61">
        <f>HYPERLINK("https://klasma.github.io/Logging_050580/tillsynsmail/A 21326-2025 tillsynsbegäran mail.docx", "A 21326-2025")</f>
        <v/>
      </c>
    </row>
    <row r="62" ht="15" customHeight="1">
      <c r="A62" t="inlineStr">
        <is>
          <t>A 25985-2025</t>
        </is>
      </c>
      <c r="B62" s="1" t="n">
        <v>45804</v>
      </c>
      <c r="C62" s="1" t="n">
        <v>45838</v>
      </c>
      <c r="D62" t="inlineStr">
        <is>
          <t>ÖSTERGÖTLANDS LÄN</t>
        </is>
      </c>
      <c r="E62" t="inlineStr">
        <is>
          <t>LINKÖPING</t>
        </is>
      </c>
      <c r="G62" t="n">
        <v>4.5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HYPERLINK("https://klasma.github.io/Logging_050580/artfynd/A 25985-2025 artfynd.xlsx", "A 25985-2025")</f>
        <v/>
      </c>
      <c r="T62">
        <f>HYPERLINK("https://klasma.github.io/Logging_050580/kartor/A 25985-2025 karta.png", "A 25985-2025")</f>
        <v/>
      </c>
      <c r="V62">
        <f>HYPERLINK("https://klasma.github.io/Logging_050580/klagomål/A 25985-2025 FSC-klagomål.docx", "A 25985-2025")</f>
        <v/>
      </c>
      <c r="W62">
        <f>HYPERLINK("https://klasma.github.io/Logging_050580/klagomålsmail/A 25985-2025 FSC-klagomål mail.docx", "A 25985-2025")</f>
        <v/>
      </c>
      <c r="X62">
        <f>HYPERLINK("https://klasma.github.io/Logging_050580/tillsyn/A 25985-2025 tillsynsbegäran.docx", "A 25985-2025")</f>
        <v/>
      </c>
      <c r="Y62">
        <f>HYPERLINK("https://klasma.github.io/Logging_050580/tillsynsmail/A 25985-2025 tillsynsbegäran mail.docx", "A 25985-2025")</f>
        <v/>
      </c>
      <c r="Z62">
        <f>HYPERLINK("https://klasma.github.io/Logging_050580/fåglar/A 25985-2025 prioriterade fågelarter.docx", "A 25985-2025")</f>
        <v/>
      </c>
    </row>
    <row r="63" ht="15" customHeight="1">
      <c r="A63" t="inlineStr">
        <is>
          <t>A 27795-2025</t>
        </is>
      </c>
      <c r="B63" s="1" t="n">
        <v>45816</v>
      </c>
      <c r="C63" s="1" t="n">
        <v>45838</v>
      </c>
      <c r="D63" t="inlineStr">
        <is>
          <t>ÖSTERGÖTLANDS LÄN</t>
        </is>
      </c>
      <c r="E63" t="inlineStr">
        <is>
          <t>LINKÖPING</t>
        </is>
      </c>
      <c r="G63" t="n">
        <v>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Svinrot
Ängsskära</t>
        </is>
      </c>
      <c r="S63">
        <f>HYPERLINK("https://klasma.github.io/Logging_050580/artfynd/A 27795-2025 artfynd.xlsx", "A 27795-2025")</f>
        <v/>
      </c>
      <c r="T63">
        <f>HYPERLINK("https://klasma.github.io/Logging_050580/kartor/A 27795-2025 karta.png", "A 27795-2025")</f>
        <v/>
      </c>
      <c r="V63">
        <f>HYPERLINK("https://klasma.github.io/Logging_050580/klagomål/A 27795-2025 FSC-klagomål.docx", "A 27795-2025")</f>
        <v/>
      </c>
      <c r="W63">
        <f>HYPERLINK("https://klasma.github.io/Logging_050580/klagomålsmail/A 27795-2025 FSC-klagomål mail.docx", "A 27795-2025")</f>
        <v/>
      </c>
      <c r="X63">
        <f>HYPERLINK("https://klasma.github.io/Logging_050580/tillsyn/A 27795-2025 tillsynsbegäran.docx", "A 27795-2025")</f>
        <v/>
      </c>
      <c r="Y63">
        <f>HYPERLINK("https://klasma.github.io/Logging_050580/tillsynsmail/A 27795-2025 tillsynsbegäran mail.docx", "A 27795-2025")</f>
        <v/>
      </c>
    </row>
    <row r="64" ht="15" customHeight="1">
      <c r="A64" t="inlineStr">
        <is>
          <t>A 43518-2019</t>
        </is>
      </c>
      <c r="B64" s="1" t="n">
        <v>43706</v>
      </c>
      <c r="C64" s="1" t="n">
        <v>45838</v>
      </c>
      <c r="D64" t="inlineStr">
        <is>
          <t>ÖSTERGÖTLANDS LÄN</t>
        </is>
      </c>
      <c r="E64" t="inlineStr">
        <is>
          <t>LINKÖPING</t>
        </is>
      </c>
      <c r="G64" t="n">
        <v>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Rävticka</t>
        </is>
      </c>
      <c r="S64">
        <f>HYPERLINK("https://klasma.github.io/Logging_0580/artfynd/A 43518-2019 artfynd.xlsx", "A 43518-2019")</f>
        <v/>
      </c>
      <c r="T64">
        <f>HYPERLINK("https://klasma.github.io/Logging_0580/kartor/A 43518-2019 karta.png", "A 43518-2019")</f>
        <v/>
      </c>
      <c r="V64">
        <f>HYPERLINK("https://klasma.github.io/Logging_0580/klagomål/A 43518-2019 FSC-klagomål.docx", "A 43518-2019")</f>
        <v/>
      </c>
      <c r="W64">
        <f>HYPERLINK("https://klasma.github.io/Logging_0580/klagomålsmail/A 43518-2019 FSC-klagomål mail.docx", "A 43518-2019")</f>
        <v/>
      </c>
      <c r="X64">
        <f>HYPERLINK("https://klasma.github.io/Logging_0580/tillsyn/A 43518-2019 tillsynsbegäran.docx", "A 43518-2019")</f>
        <v/>
      </c>
      <c r="Y64">
        <f>HYPERLINK("https://klasma.github.io/Logging_0580/tillsynsmail/A 43518-2019 tillsynsbegäran mail.docx", "A 43518-2019")</f>
        <v/>
      </c>
    </row>
    <row r="65" ht="15" customHeight="1">
      <c r="A65" t="inlineStr">
        <is>
          <t>A 44773-2019</t>
        </is>
      </c>
      <c r="B65" s="1" t="n">
        <v>43712</v>
      </c>
      <c r="C65" s="1" t="n">
        <v>45838</v>
      </c>
      <c r="D65" t="inlineStr">
        <is>
          <t>ÖSTERGÖTLANDS LÄN</t>
        </is>
      </c>
      <c r="E65" t="inlineStr">
        <is>
          <t>LINKÖPING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HYPERLINK("https://klasma.github.io/Logging_0580/artfynd/A 44773-2019 artfynd.xlsx", "A 44773-2019")</f>
        <v/>
      </c>
      <c r="T65">
        <f>HYPERLINK("https://klasma.github.io/Logging_0580/kartor/A 44773-2019 karta.png", "A 44773-2019")</f>
        <v/>
      </c>
      <c r="V65">
        <f>HYPERLINK("https://klasma.github.io/Logging_0580/klagomål/A 44773-2019 FSC-klagomål.docx", "A 44773-2019")</f>
        <v/>
      </c>
      <c r="W65">
        <f>HYPERLINK("https://klasma.github.io/Logging_0580/klagomålsmail/A 44773-2019 FSC-klagomål mail.docx", "A 44773-2019")</f>
        <v/>
      </c>
      <c r="X65">
        <f>HYPERLINK("https://klasma.github.io/Logging_0580/tillsyn/A 44773-2019 tillsynsbegäran.docx", "A 44773-2019")</f>
        <v/>
      </c>
      <c r="Y65">
        <f>HYPERLINK("https://klasma.github.io/Logging_0580/tillsynsmail/A 44773-2019 tillsynsbegäran mail.docx", "A 44773-2019")</f>
        <v/>
      </c>
      <c r="Z65">
        <f>HYPERLINK("https://klasma.github.io/Logging_0580/fåglar/A 44773-2019 prioriterade fågelarter.docx", "A 44773-2019")</f>
        <v/>
      </c>
    </row>
    <row r="66" ht="15" customHeight="1">
      <c r="A66" t="inlineStr">
        <is>
          <t>A 49148-2019</t>
        </is>
      </c>
      <c r="B66" s="1" t="n">
        <v>43731</v>
      </c>
      <c r="C66" s="1" t="n">
        <v>45838</v>
      </c>
      <c r="D66" t="inlineStr">
        <is>
          <t>ÖSTERGÖTLANDS LÄN</t>
        </is>
      </c>
      <c r="E66" t="inlineStr">
        <is>
          <t>LINKÖPING</t>
        </is>
      </c>
      <c r="G66" t="n">
        <v>11.6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HYPERLINK("https://klasma.github.io/Logging_0580/artfynd/A 49148-2019 artfynd.xlsx", "A 49148-2019")</f>
        <v/>
      </c>
      <c r="T66">
        <f>HYPERLINK("https://klasma.github.io/Logging_0580/kartor/A 49148-2019 karta.png", "A 49148-2019")</f>
        <v/>
      </c>
      <c r="V66">
        <f>HYPERLINK("https://klasma.github.io/Logging_0580/klagomål/A 49148-2019 FSC-klagomål.docx", "A 49148-2019")</f>
        <v/>
      </c>
      <c r="W66">
        <f>HYPERLINK("https://klasma.github.io/Logging_0580/klagomålsmail/A 49148-2019 FSC-klagomål mail.docx", "A 49148-2019")</f>
        <v/>
      </c>
      <c r="X66">
        <f>HYPERLINK("https://klasma.github.io/Logging_0580/tillsyn/A 49148-2019 tillsynsbegäran.docx", "A 49148-2019")</f>
        <v/>
      </c>
      <c r="Y66">
        <f>HYPERLINK("https://klasma.github.io/Logging_0580/tillsynsmail/A 49148-2019 tillsynsbegäran mail.docx", "A 49148-2019")</f>
        <v/>
      </c>
    </row>
    <row r="67" ht="15" customHeight="1">
      <c r="A67" t="inlineStr">
        <is>
          <t>A 49556-2019</t>
        </is>
      </c>
      <c r="B67" s="1" t="n">
        <v>43732</v>
      </c>
      <c r="C67" s="1" t="n">
        <v>45838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statliga verk och myndigheter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HYPERLINK("https://klasma.github.io/Logging_0580/artfynd/A 49556-2019 artfynd.xlsx", "A 49556-2019")</f>
        <v/>
      </c>
      <c r="T67">
        <f>HYPERLINK("https://klasma.github.io/Logging_0580/kartor/A 49556-2019 karta.png", "A 49556-2019")</f>
        <v/>
      </c>
      <c r="V67">
        <f>HYPERLINK("https://klasma.github.io/Logging_0580/klagomål/A 49556-2019 FSC-klagomål.docx", "A 49556-2019")</f>
        <v/>
      </c>
      <c r="W67">
        <f>HYPERLINK("https://klasma.github.io/Logging_0580/klagomålsmail/A 49556-2019 FSC-klagomål mail.docx", "A 49556-2019")</f>
        <v/>
      </c>
      <c r="X67">
        <f>HYPERLINK("https://klasma.github.io/Logging_0580/tillsyn/A 49556-2019 tillsynsbegäran.docx", "A 49556-2019")</f>
        <v/>
      </c>
      <c r="Y67">
        <f>HYPERLINK("https://klasma.github.io/Logging_0580/tillsynsmail/A 49556-2019 tillsynsbegäran mail.docx", "A 49556-2019")</f>
        <v/>
      </c>
    </row>
    <row r="68" ht="15" customHeight="1">
      <c r="A68" t="inlineStr">
        <is>
          <t>A 54164-2019</t>
        </is>
      </c>
      <c r="B68" s="1" t="n">
        <v>43752</v>
      </c>
      <c r="C68" s="1" t="n">
        <v>45838</v>
      </c>
      <c r="D68" t="inlineStr">
        <is>
          <t>ÖSTERGÖTLANDS LÄN</t>
        </is>
      </c>
      <c r="E68" t="inlineStr">
        <is>
          <t>LINKÖPING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HYPERLINK("https://klasma.github.io/Logging_0580/artfynd/A 54164-2019 artfynd.xlsx", "A 54164-2019")</f>
        <v/>
      </c>
      <c r="T68">
        <f>HYPERLINK("https://klasma.github.io/Logging_0580/kartor/A 54164-2019 karta.png", "A 54164-2019")</f>
        <v/>
      </c>
      <c r="V68">
        <f>HYPERLINK("https://klasma.github.io/Logging_0580/klagomål/A 54164-2019 FSC-klagomål.docx", "A 54164-2019")</f>
        <v/>
      </c>
      <c r="W68">
        <f>HYPERLINK("https://klasma.github.io/Logging_0580/klagomålsmail/A 54164-2019 FSC-klagomål mail.docx", "A 54164-2019")</f>
        <v/>
      </c>
      <c r="X68">
        <f>HYPERLINK("https://klasma.github.io/Logging_0580/tillsyn/A 54164-2019 tillsynsbegäran.docx", "A 54164-2019")</f>
        <v/>
      </c>
      <c r="Y68">
        <f>HYPERLINK("https://klasma.github.io/Logging_0580/tillsynsmail/A 54164-2019 tillsynsbegäran mail.docx", "A 54164-2019")</f>
        <v/>
      </c>
    </row>
    <row r="69" ht="15" customHeight="1">
      <c r="A69" t="inlineStr">
        <is>
          <t>A 55917-2019</t>
        </is>
      </c>
      <c r="B69" s="1" t="n">
        <v>43761</v>
      </c>
      <c r="C69" s="1" t="n">
        <v>45838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Aktiebolag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Fällmossa</t>
        </is>
      </c>
      <c r="S69">
        <f>HYPERLINK("https://klasma.github.io/Logging_0580/artfynd/A 55917-2019 artfynd.xlsx", "A 55917-2019")</f>
        <v/>
      </c>
      <c r="T69">
        <f>HYPERLINK("https://klasma.github.io/Logging_0580/kartor/A 55917-2019 karta.png", "A 55917-2019")</f>
        <v/>
      </c>
      <c r="V69">
        <f>HYPERLINK("https://klasma.github.io/Logging_0580/klagomål/A 55917-2019 FSC-klagomål.docx", "A 55917-2019")</f>
        <v/>
      </c>
      <c r="W69">
        <f>HYPERLINK("https://klasma.github.io/Logging_0580/klagomålsmail/A 55917-2019 FSC-klagomål mail.docx", "A 55917-2019")</f>
        <v/>
      </c>
      <c r="X69">
        <f>HYPERLINK("https://klasma.github.io/Logging_0580/tillsyn/A 55917-2019 tillsynsbegäran.docx", "A 55917-2019")</f>
        <v/>
      </c>
      <c r="Y69">
        <f>HYPERLINK("https://klasma.github.io/Logging_0580/tillsynsmail/A 55917-2019 tillsynsbegäran mail.docx", "A 55917-2019")</f>
        <v/>
      </c>
    </row>
    <row r="70" ht="15" customHeight="1">
      <c r="A70" t="inlineStr">
        <is>
          <t>A 60584-2019</t>
        </is>
      </c>
      <c r="B70" s="1" t="n">
        <v>43781</v>
      </c>
      <c r="C70" s="1" t="n">
        <v>45838</v>
      </c>
      <c r="D70" t="inlineStr">
        <is>
          <t>ÖSTERGÖTLANDS LÄN</t>
        </is>
      </c>
      <c r="E70" t="inlineStr">
        <is>
          <t>LINKÖPING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60584-2019 artfynd.xlsx", "A 60584-2019")</f>
        <v/>
      </c>
      <c r="T70">
        <f>HYPERLINK("https://klasma.github.io/Logging_0580/kartor/A 60584-2019 karta.png", "A 60584-2019")</f>
        <v/>
      </c>
      <c r="V70">
        <f>HYPERLINK("https://klasma.github.io/Logging_0580/klagomål/A 60584-2019 FSC-klagomål.docx", "A 60584-2019")</f>
        <v/>
      </c>
      <c r="W70">
        <f>HYPERLINK("https://klasma.github.io/Logging_0580/klagomålsmail/A 60584-2019 FSC-klagomål mail.docx", "A 60584-2019")</f>
        <v/>
      </c>
      <c r="X70">
        <f>HYPERLINK("https://klasma.github.io/Logging_0580/tillsyn/A 60584-2019 tillsynsbegäran.docx", "A 60584-2019")</f>
        <v/>
      </c>
      <c r="Y70">
        <f>HYPERLINK("https://klasma.github.io/Logging_0580/tillsynsmail/A 60584-2019 tillsynsbegäran mail.docx", "A 60584-2019")</f>
        <v/>
      </c>
    </row>
    <row r="71" ht="15" customHeight="1">
      <c r="A71" t="inlineStr">
        <is>
          <t>A 61702-2019</t>
        </is>
      </c>
      <c r="B71" s="1" t="n">
        <v>43784</v>
      </c>
      <c r="C71" s="1" t="n">
        <v>45838</v>
      </c>
      <c r="D71" t="inlineStr">
        <is>
          <t>ÖSTERGÖTLANDS LÄN</t>
        </is>
      </c>
      <c r="E71" t="inlineStr">
        <is>
          <t>LINKÖPING</t>
        </is>
      </c>
      <c r="G71" t="n">
        <v>15.2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Kandelabersvamp</t>
        </is>
      </c>
      <c r="S71">
        <f>HYPERLINK("https://klasma.github.io/Logging_0580/artfynd/A 61702-2019 artfynd.xlsx", "A 61702-2019")</f>
        <v/>
      </c>
      <c r="T71">
        <f>HYPERLINK("https://klasma.github.io/Logging_0580/kartor/A 61702-2019 karta.png", "A 61702-2019")</f>
        <v/>
      </c>
      <c r="V71">
        <f>HYPERLINK("https://klasma.github.io/Logging_0580/klagomål/A 61702-2019 FSC-klagomål.docx", "A 61702-2019")</f>
        <v/>
      </c>
      <c r="W71">
        <f>HYPERLINK("https://klasma.github.io/Logging_0580/klagomålsmail/A 61702-2019 FSC-klagomål mail.docx", "A 61702-2019")</f>
        <v/>
      </c>
      <c r="X71">
        <f>HYPERLINK("https://klasma.github.io/Logging_0580/tillsyn/A 61702-2019 tillsynsbegäran.docx", "A 61702-2019")</f>
        <v/>
      </c>
      <c r="Y71">
        <f>HYPERLINK("https://klasma.github.io/Logging_0580/tillsynsmail/A 61702-2019 tillsynsbegäran mail.docx", "A 61702-2019")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45838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45838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45838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45838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45838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45838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45838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45838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45838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45838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45838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45838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45838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45838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45838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45838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45838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45838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45838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45838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45838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45838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45838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45838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45838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45838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45838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45838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45838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45838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45838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45838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45838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45838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45838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45838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45838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45838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45838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45838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45838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45838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45838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45838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45838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45838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45838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45838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45838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45838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622-2024</t>
        </is>
      </c>
      <c r="B122" s="1" t="n">
        <v>45299</v>
      </c>
      <c r="C122" s="1" t="n">
        <v>45838</v>
      </c>
      <c r="D122" t="inlineStr">
        <is>
          <t>ÖSTERGÖTLANDS LÄN</t>
        </is>
      </c>
      <c r="E122" t="inlineStr">
        <is>
          <t>LINKÖPING</t>
        </is>
      </c>
      <c r="G122" t="n">
        <v>8.699999999999999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HYPERLINK("https://klasma.github.io/Logging_0580/artfynd/A 622-2024 artfynd.xlsx", "A 622-2024")</f>
        <v/>
      </c>
      <c r="T122">
        <f>HYPERLINK("https://klasma.github.io/Logging_0580/kartor/A 622-2024 karta.png", "A 622-2024")</f>
        <v/>
      </c>
      <c r="V122">
        <f>HYPERLINK("https://klasma.github.io/Logging_0580/klagomål/A 622-2024 FSC-klagomål.docx", "A 622-2024")</f>
        <v/>
      </c>
      <c r="W122">
        <f>HYPERLINK("https://klasma.github.io/Logging_0580/klagomålsmail/A 622-2024 FSC-klagomål mail.docx", "A 622-2024")</f>
        <v/>
      </c>
      <c r="X122">
        <f>HYPERLINK("https://klasma.github.io/Logging_0580/tillsyn/A 622-2024 tillsynsbegäran.docx", "A 622-2024")</f>
        <v/>
      </c>
      <c r="Y122">
        <f>HYPERLINK("https://klasma.github.io/Logging_0580/tillsynsmail/A 622-2024 tillsynsbegäran mail.docx", "A 622-2024")</f>
        <v/>
      </c>
      <c r="Z122">
        <f>HYPERLINK("https://klasma.github.io/Logging_0580/fåglar/A 622-2024 prioriterade fågelarter.docx", "A 622-2024")</f>
        <v/>
      </c>
    </row>
    <row r="123" ht="15" customHeight="1">
      <c r="A123" t="inlineStr">
        <is>
          <t>A 3537-2024</t>
        </is>
      </c>
      <c r="B123" s="1" t="n">
        <v>45320</v>
      </c>
      <c r="C123" s="1" t="n">
        <v>45838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HYPERLINK("https://klasma.github.io/Logging_0580/artfynd/A 3537-2024 artfynd.xlsx", "A 3537-2024")</f>
        <v/>
      </c>
      <c r="T123">
        <f>HYPERLINK("https://klasma.github.io/Logging_0580/kartor/A 3537-2024 karta.png", "A 3537-2024")</f>
        <v/>
      </c>
      <c r="V123">
        <f>HYPERLINK("https://klasma.github.io/Logging_0580/klagomål/A 3537-2024 FSC-klagomål.docx", "A 3537-2024")</f>
        <v/>
      </c>
      <c r="W123">
        <f>HYPERLINK("https://klasma.github.io/Logging_0580/klagomålsmail/A 3537-2024 FSC-klagomål mail.docx", "A 3537-2024")</f>
        <v/>
      </c>
      <c r="X123">
        <f>HYPERLINK("https://klasma.github.io/Logging_0580/tillsyn/A 3537-2024 tillsynsbegäran.docx", "A 3537-2024")</f>
        <v/>
      </c>
      <c r="Y123">
        <f>HYPERLINK("https://klasma.github.io/Logging_0580/tillsynsmail/A 3537-2024 tillsynsbegäran mail.docx", "A 3537-2024")</f>
        <v/>
      </c>
    </row>
    <row r="124" ht="15" customHeight="1">
      <c r="A124" t="inlineStr">
        <is>
          <t>A 5873-2024</t>
        </is>
      </c>
      <c r="B124" s="1" t="n">
        <v>45335</v>
      </c>
      <c r="C124" s="1" t="n">
        <v>45838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6.7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HYPERLINK("https://klasma.github.io/Logging_0580/artfynd/A 5873-2024 artfynd.xlsx", "A 5873-2024")</f>
        <v/>
      </c>
      <c r="T124">
        <f>HYPERLINK("https://klasma.github.io/Logging_0580/kartor/A 5873-2024 karta.png", "A 5873-2024")</f>
        <v/>
      </c>
      <c r="V124">
        <f>HYPERLINK("https://klasma.github.io/Logging_0580/klagomål/A 5873-2024 FSC-klagomål.docx", "A 5873-2024")</f>
        <v/>
      </c>
      <c r="W124">
        <f>HYPERLINK("https://klasma.github.io/Logging_0580/klagomålsmail/A 5873-2024 FSC-klagomål mail.docx", "A 5873-2024")</f>
        <v/>
      </c>
      <c r="X124">
        <f>HYPERLINK("https://klasma.github.io/Logging_0580/tillsyn/A 5873-2024 tillsynsbegäran.docx", "A 5873-2024")</f>
        <v/>
      </c>
      <c r="Y124">
        <f>HYPERLINK("https://klasma.github.io/Logging_0580/tillsynsmail/A 5873-2024 tillsynsbegäran mail.docx", "A 5873-2024")</f>
        <v/>
      </c>
    </row>
    <row r="125" ht="15" customHeight="1">
      <c r="A125" t="inlineStr">
        <is>
          <t>A 8093-2024</t>
        </is>
      </c>
      <c r="B125" s="1" t="n">
        <v>45351</v>
      </c>
      <c r="C125" s="1" t="n">
        <v>45838</v>
      </c>
      <c r="D125" t="inlineStr">
        <is>
          <t>ÖSTERGÖTLANDS LÄN</t>
        </is>
      </c>
      <c r="E125" t="inlineStr">
        <is>
          <t>LINKÖPING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HYPERLINK("https://klasma.github.io/Logging_0580/artfynd/A 8093-2024 artfynd.xlsx", "A 8093-2024")</f>
        <v/>
      </c>
      <c r="T125">
        <f>HYPERLINK("https://klasma.github.io/Logging_0580/kartor/A 8093-2024 karta.png", "A 8093-2024")</f>
        <v/>
      </c>
      <c r="V125">
        <f>HYPERLINK("https://klasma.github.io/Logging_0580/klagomål/A 8093-2024 FSC-klagomål.docx", "A 8093-2024")</f>
        <v/>
      </c>
      <c r="W125">
        <f>HYPERLINK("https://klasma.github.io/Logging_0580/klagomålsmail/A 8093-2024 FSC-klagomål mail.docx", "A 8093-2024")</f>
        <v/>
      </c>
      <c r="X125">
        <f>HYPERLINK("https://klasma.github.io/Logging_0580/tillsyn/A 8093-2024 tillsynsbegäran.docx", "A 8093-2024")</f>
        <v/>
      </c>
      <c r="Y125">
        <f>HYPERLINK("https://klasma.github.io/Logging_0580/tillsynsmail/A 8093-2024 tillsynsbegäran mail.docx", "A 8093-2024")</f>
        <v/>
      </c>
    </row>
    <row r="126" ht="15" customHeight="1">
      <c r="A126" t="inlineStr">
        <is>
          <t>A 17065-2024</t>
        </is>
      </c>
      <c r="B126" s="1" t="n">
        <v>45411</v>
      </c>
      <c r="C126" s="1" t="n">
        <v>45838</v>
      </c>
      <c r="D126" t="inlineStr">
        <is>
          <t>ÖSTERGÖTLANDS LÄN</t>
        </is>
      </c>
      <c r="E126" t="inlineStr">
        <is>
          <t>LINKÖPING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HYPERLINK("https://klasma.github.io/Logging_0580/artfynd/A 17065-2024 artfynd.xlsx", "A 17065-2024")</f>
        <v/>
      </c>
      <c r="T126">
        <f>HYPERLINK("https://klasma.github.io/Logging_0580/kartor/A 17065-2024 karta.png", "A 17065-2024")</f>
        <v/>
      </c>
      <c r="V126">
        <f>HYPERLINK("https://klasma.github.io/Logging_0580/klagomål/A 17065-2024 FSC-klagomål.docx", "A 17065-2024")</f>
        <v/>
      </c>
      <c r="W126">
        <f>HYPERLINK("https://klasma.github.io/Logging_0580/klagomålsmail/A 17065-2024 FSC-klagomål mail.docx", "A 17065-2024")</f>
        <v/>
      </c>
      <c r="X126">
        <f>HYPERLINK("https://klasma.github.io/Logging_0580/tillsyn/A 17065-2024 tillsynsbegäran.docx", "A 17065-2024")</f>
        <v/>
      </c>
      <c r="Y126">
        <f>HYPERLINK("https://klasma.github.io/Logging_0580/tillsynsmail/A 17065-2024 tillsynsbegäran mail.docx", "A 17065-2024")</f>
        <v/>
      </c>
    </row>
    <row r="127" ht="15" customHeight="1">
      <c r="A127" t="inlineStr">
        <is>
          <t>A 28265-2024</t>
        </is>
      </c>
      <c r="B127" s="1" t="n">
        <v>45477</v>
      </c>
      <c r="C127" s="1" t="n">
        <v>45838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Sveaskog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28265-2024 artfynd.xlsx", "A 28265-2024")</f>
        <v/>
      </c>
      <c r="T127">
        <f>HYPERLINK("https://klasma.github.io/Logging_0580/kartor/A 28265-2024 karta.png", "A 28265-2024")</f>
        <v/>
      </c>
      <c r="V127">
        <f>HYPERLINK("https://klasma.github.io/Logging_0580/klagomål/A 28265-2024 FSC-klagomål.docx", "A 28265-2024")</f>
        <v/>
      </c>
      <c r="W127">
        <f>HYPERLINK("https://klasma.github.io/Logging_0580/klagomålsmail/A 28265-2024 FSC-klagomål mail.docx", "A 28265-2024")</f>
        <v/>
      </c>
      <c r="X127">
        <f>HYPERLINK("https://klasma.github.io/Logging_0580/tillsyn/A 28265-2024 tillsynsbegäran.docx", "A 28265-2024")</f>
        <v/>
      </c>
      <c r="Y127">
        <f>HYPERLINK("https://klasma.github.io/Logging_0580/tillsynsmail/A 28265-2024 tillsynsbegäran mail.docx", "A 28265-2024")</f>
        <v/>
      </c>
    </row>
    <row r="128" ht="15" customHeight="1">
      <c r="A128" t="inlineStr">
        <is>
          <t>A 40315-2024</t>
        </is>
      </c>
      <c r="B128" s="1" t="n">
        <v>45554</v>
      </c>
      <c r="C128" s="1" t="n">
        <v>45838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40315-2024 artfynd.xlsx", "A 40315-2024")</f>
        <v/>
      </c>
      <c r="T128">
        <f>HYPERLINK("https://klasma.github.io/Logging_0580/kartor/A 40315-2024 karta.png", "A 40315-2024")</f>
        <v/>
      </c>
      <c r="V128">
        <f>HYPERLINK("https://klasma.github.io/Logging_0580/klagomål/A 40315-2024 FSC-klagomål.docx", "A 40315-2024")</f>
        <v/>
      </c>
      <c r="W128">
        <f>HYPERLINK("https://klasma.github.io/Logging_0580/klagomålsmail/A 40315-2024 FSC-klagomål mail.docx", "A 40315-2024")</f>
        <v/>
      </c>
      <c r="X128">
        <f>HYPERLINK("https://klasma.github.io/Logging_0580/tillsyn/A 40315-2024 tillsynsbegäran.docx", "A 40315-2024")</f>
        <v/>
      </c>
      <c r="Y128">
        <f>HYPERLINK("https://klasma.github.io/Logging_0580/tillsynsmail/A 40315-2024 tillsynsbegäran mail.docx", "A 40315-2024")</f>
        <v/>
      </c>
    </row>
    <row r="129" ht="15" customHeight="1">
      <c r="A129" t="inlineStr">
        <is>
          <t>A 40309-2024</t>
        </is>
      </c>
      <c r="B129" s="1" t="n">
        <v>45554</v>
      </c>
      <c r="C129" s="1" t="n">
        <v>45838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HYPERLINK("https://klasma.github.io/Logging_0580/artfynd/A 40309-2024 artfynd.xlsx", "A 40309-2024")</f>
        <v/>
      </c>
      <c r="T129">
        <f>HYPERLINK("https://klasma.github.io/Logging_0580/kartor/A 40309-2024 karta.png", "A 40309-2024")</f>
        <v/>
      </c>
      <c r="V129">
        <f>HYPERLINK("https://klasma.github.io/Logging_0580/klagomål/A 40309-2024 FSC-klagomål.docx", "A 40309-2024")</f>
        <v/>
      </c>
      <c r="W129">
        <f>HYPERLINK("https://klasma.github.io/Logging_0580/klagomålsmail/A 40309-2024 FSC-klagomål mail.docx", "A 40309-2024")</f>
        <v/>
      </c>
      <c r="X129">
        <f>HYPERLINK("https://klasma.github.io/Logging_0580/tillsyn/A 40309-2024 tillsynsbegäran.docx", "A 40309-2024")</f>
        <v/>
      </c>
      <c r="Y129">
        <f>HYPERLINK("https://klasma.github.io/Logging_0580/tillsynsmail/A 40309-2024 tillsynsbegäran mail.docx", "A 40309-2024")</f>
        <v/>
      </c>
    </row>
    <row r="130" ht="15" customHeight="1">
      <c r="A130" t="inlineStr">
        <is>
          <t>A 40340-2024</t>
        </is>
      </c>
      <c r="B130" s="1" t="n">
        <v>45555</v>
      </c>
      <c r="C130" s="1" t="n">
        <v>45838</v>
      </c>
      <c r="D130" t="inlineStr">
        <is>
          <t>ÖSTERGÖTLANDS LÄN</t>
        </is>
      </c>
      <c r="E130" t="inlineStr">
        <is>
          <t>LINKÖPING</t>
        </is>
      </c>
      <c r="G130" t="n">
        <v>1.1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HYPERLINK("https://klasma.github.io/Logging_0580/artfynd/A 40340-2024 artfynd.xlsx", "A 40340-2024")</f>
        <v/>
      </c>
      <c r="T130">
        <f>HYPERLINK("https://klasma.github.io/Logging_0580/kartor/A 40340-2024 karta.png", "A 40340-2024")</f>
        <v/>
      </c>
      <c r="V130">
        <f>HYPERLINK("https://klasma.github.io/Logging_0580/klagomål/A 40340-2024 FSC-klagomål.docx", "A 40340-2024")</f>
        <v/>
      </c>
      <c r="W130">
        <f>HYPERLINK("https://klasma.github.io/Logging_0580/klagomålsmail/A 40340-2024 FSC-klagomål mail.docx", "A 40340-2024")</f>
        <v/>
      </c>
      <c r="X130">
        <f>HYPERLINK("https://klasma.github.io/Logging_0580/tillsyn/A 40340-2024 tillsynsbegäran.docx", "A 40340-2024")</f>
        <v/>
      </c>
      <c r="Y130">
        <f>HYPERLINK("https://klasma.github.io/Logging_0580/tillsynsmail/A 40340-2024 tillsynsbegäran mail.docx", "A 40340-2024")</f>
        <v/>
      </c>
      <c r="Z130">
        <f>HYPERLINK("https://klasma.github.io/Logging_0580/fåglar/A 40340-2024 prioriterade fågelarter.docx", "A 40340-2024")</f>
        <v/>
      </c>
    </row>
    <row r="131" ht="15" customHeight="1">
      <c r="A131" t="inlineStr">
        <is>
          <t>A 57634-2024</t>
        </is>
      </c>
      <c r="B131" s="1" t="n">
        <v>45630</v>
      </c>
      <c r="C131" s="1" t="n">
        <v>45838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Kyrkan</t>
        </is>
      </c>
      <c r="G131" t="n">
        <v>18.1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HYPERLINK("https://klasma.github.io/Logging_0580/artfynd/A 57634-2024 artfynd.xlsx", "A 57634-2024")</f>
        <v/>
      </c>
      <c r="T131">
        <f>HYPERLINK("https://klasma.github.io/Logging_0580/kartor/A 57634-2024 karta.png", "A 57634-2024")</f>
        <v/>
      </c>
      <c r="V131">
        <f>HYPERLINK("https://klasma.github.io/Logging_0580/klagomål/A 57634-2024 FSC-klagomål.docx", "A 57634-2024")</f>
        <v/>
      </c>
      <c r="W131">
        <f>HYPERLINK("https://klasma.github.io/Logging_0580/klagomålsmail/A 57634-2024 FSC-klagomål mail.docx", "A 57634-2024")</f>
        <v/>
      </c>
      <c r="X131">
        <f>HYPERLINK("https://klasma.github.io/Logging_0580/tillsyn/A 57634-2024 tillsynsbegäran.docx", "A 57634-2024")</f>
        <v/>
      </c>
      <c r="Y131">
        <f>HYPERLINK("https://klasma.github.io/Logging_0580/tillsynsmail/A 57634-2024 tillsynsbegäran mail.docx", "A 57634-2024")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45838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45838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45838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45838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45838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45838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45838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45838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45838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45838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45838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45838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45838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45838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45838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45838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45838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45838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45838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45838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45838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45838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45838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45838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45838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45838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45838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45838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45838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45838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45838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45838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45838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45838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45838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45838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45838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45838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45838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45838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45838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45838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45838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45838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45838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45838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45838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45838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45838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45838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45838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45838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45838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45838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45838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45838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45838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45838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45838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45838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45838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45838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45838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45838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45838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45838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45838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45838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45838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45838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45838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45838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45838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45838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45838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45838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45838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45838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45838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45838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45838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45838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45838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45838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45838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45838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45838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45838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45838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45838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45838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45838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45838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45838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45838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45838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45838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45838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45838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45838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45838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45838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45838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45838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45838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45838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45838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45838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45838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45838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45838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45838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45838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45838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45838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45838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45838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45838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45838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45838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45838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45838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45838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45838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45838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45838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45838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45838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45838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45838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45838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45838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45838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45838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45838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45838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45838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45838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45838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45838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45838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45838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45838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45838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45838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45838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45838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45838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45838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45838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45838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45838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45838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45838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45838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45838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45838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45838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45838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45838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45838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45838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45838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45838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45838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45838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45838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45838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45838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45838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45838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45838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45838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45838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45838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45838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45838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45838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45838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45838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45838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45838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45838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45838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45838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45838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45838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45838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45838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45838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45838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45838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45838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45838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45838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45838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45838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45838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45838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45838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45838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45838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45838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45838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45838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45838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45838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45838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45838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45838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45838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45838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45838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45838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45838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45838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45838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45838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45838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45838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45838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45838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45838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45838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45838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45838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45838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45838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45838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45838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45838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45838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45838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45838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45838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45838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45838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45838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45838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45838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45838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45838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45838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45838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45838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45838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45838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45838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45838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45838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45838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45838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45838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45838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45838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45838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45838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45838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45838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45838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45838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45838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45838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45838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45838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45838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45838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45838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45838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45838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45838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45838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45838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45838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45838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45838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45838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45838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45838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45838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45838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45838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45838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45838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45838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45838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45838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45838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45838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45838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45838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45838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45838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45838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45838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45838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45838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45838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45838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45838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45838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45838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45838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45838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45838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45838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45838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45838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45838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45838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45838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45838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45838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45838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45838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45838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45838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45838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45838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45838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45838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45838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45838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45838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45838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45838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45838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45838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45838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45838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45838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45838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45838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45838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45838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45838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45838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45838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45838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45838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45838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45838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45838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45838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45838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45838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45838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45838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45838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45838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45838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45838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45838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45838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45838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45838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45838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45838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45838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45838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45838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45838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45838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45838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45838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45838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45838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45838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45838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45838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45838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45838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45838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45838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45838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45838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45838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45838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45838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45838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45838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45838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45838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45838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45838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45838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45838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45838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45838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45838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45838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45838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45838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45838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45838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45838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45838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45838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45838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45838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45838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45838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45838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45838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45838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45838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45838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45838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45838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45838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45838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45838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45838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45838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45838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45838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45838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45838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45838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45838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45838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45838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45838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45838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45838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45838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45838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45838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45838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45838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45838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45838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45838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45838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45838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45838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45838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45838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45838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45838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45838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45838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45838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45838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45838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45838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45838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45838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45838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45838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45838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45838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45838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45838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45838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45838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45838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45838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45838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45838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45838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45838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45838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45838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45838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45838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45838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45838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45838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45838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45838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45838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45838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45838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45838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45838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45838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45838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45838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45838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45838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45838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45838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45838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45838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45838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45838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45838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45838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45838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45838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45838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45838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45838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45838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45838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45838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45838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45838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45838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45838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45838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45838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45838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45838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45838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45838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45838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45838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45838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45838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45838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45838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45838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45838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45838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45838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45838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45838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45838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45838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45838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45838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45838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45838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45838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45838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45838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45838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45838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45838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45838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45838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45838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45838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45838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45838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45838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45838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45838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45838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45838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45838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45838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45838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45838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45838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45838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45838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45838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45838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45838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45838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45838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45838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45838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45838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45838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45838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45838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45838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45838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45838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45838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45838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45838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45838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45838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45838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45838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45838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45838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45838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45838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45838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45838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45838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45838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45838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45838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45838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45838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45838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45838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45838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45838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45838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45838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45838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45838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45838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45838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45838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45838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45838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45838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45838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45838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45838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45838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45838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45838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45838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45838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45838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45838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45838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45838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45838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45838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45838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45838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45838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45838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45838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45838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45838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45838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45838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45838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45838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45838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45838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45838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45838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45838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45838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45838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45838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45838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45838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45838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45838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45838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45838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45838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45838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45838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45838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45838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45838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45838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45838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45838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45838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45838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45838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45838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45838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45838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45838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45838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45838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45838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45838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45838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45838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45838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45838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45838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45838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45838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45838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45838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45838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45838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45838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45838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45838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45838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45838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45838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45838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45838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45838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45838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45838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45838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45838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45838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45838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45838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45838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45838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45838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45838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45838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45838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45838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45838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45838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45838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45838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45838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45838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45838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45838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45838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45838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45838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45838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45838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45838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45838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45838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45838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45838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45838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45838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45838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45838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45838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45838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45838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45838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45838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45838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45838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45838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45838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45838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45838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45838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45838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45838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45838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45838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45838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45838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45838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45838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45838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45838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45838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45838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45838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45838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45838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45838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45838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45838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45838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45838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45838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45838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45838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45838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45838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45838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45838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45838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45838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45838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45838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45838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45838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45838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45838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45838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45838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45838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45838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45838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45838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45838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45838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45838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45838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45838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45838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45838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45838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45838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45838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45838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45838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45838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45838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45838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45838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45838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45838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45838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45838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45838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45838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45838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45838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45838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45838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45838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45838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45838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45838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45838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45838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45838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45838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45838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45838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45838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45838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45838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45838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45838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45838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45838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45838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45838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45838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45838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45838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45838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45838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45838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45838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45838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45838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45838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45838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45838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45838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45838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45838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45838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45838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45838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45838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45838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45838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45838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45838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45838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45838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45838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45838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45838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45838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45838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45838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45838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45838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45838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45838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45838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45838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45838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45838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45838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45838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45838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45838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45838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45838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45838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45838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45838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45838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45838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45838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45838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45838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45838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45838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45838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45838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45838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45838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45838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45838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45838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45838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45838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45838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45838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45838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45838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45838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45838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45838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45838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45838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45838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45838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45838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45838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45838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45838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45838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45838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45838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45838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45838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45838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45838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45838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45838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45838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45838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45838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45838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45838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45838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45838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45838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45838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45838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45838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45838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45838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45838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45838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45838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45838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45838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45838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45838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45838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45838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45838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45838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45838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45838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45838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45838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45838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45838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45838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45838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45838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45838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45838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45838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45838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45838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45838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45838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45838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45838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45838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45838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45838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45838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45838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45838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45838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45838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45838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45838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45838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45838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45838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45838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45838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45838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45838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45838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45838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45838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45838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45838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45838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45838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45838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45838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45838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45838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45838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45838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45838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45838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45838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45838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45838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45838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45838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45838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45838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45838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45838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45838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45838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45838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45838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45838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45838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45838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45838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45838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45838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45838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45838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45838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45838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45838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45838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45838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45838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45838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45838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45838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45838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45838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45838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45838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45838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45838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45838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45838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45838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45838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45838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45838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45838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45838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45838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45838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45838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45838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45838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45838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45838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45838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45838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45838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45838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45838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45838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45838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45838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45838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45838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45838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45838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45838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45838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45838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45838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45838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45838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45838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45838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45838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45838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45838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45838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45838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45838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45838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45838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45838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45838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45838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45838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45838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45838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45838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45838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45838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45838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45838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45838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45838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45838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45838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45838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45838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45838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45838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45838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45838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45838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45838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45838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45838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45838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45838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45838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45838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45838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45838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45838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45838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45838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45838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45838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45838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45838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45838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45838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45838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45838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45838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45838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45838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45838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45838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45838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45838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45838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45838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45838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45838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45838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45838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45838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45838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45838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45838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45838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45838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45838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45838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45838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45838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45838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45838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45838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45838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45838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45838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45838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45838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45838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45838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45838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45838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45838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45838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45838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45838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45838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45838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45838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45838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45838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45838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45838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45838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45838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45838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45838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45838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45838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45838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45838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45838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45838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45838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45838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45838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45838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45838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45838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45838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45838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45838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45838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45838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45838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45838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45838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45838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45838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45838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45838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45838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45838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45838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45838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45838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45838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45838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45838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45838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45838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45838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45838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45838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45838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45838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45838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45838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45838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45838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45838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45838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45838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45838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45838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45838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45838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45838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45838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45838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45838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45838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45838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45838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45838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45838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45838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45838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45838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45838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45838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45838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45838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45838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45838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45838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45838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45838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45838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45838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45838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45838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45838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45838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45838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45838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45838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45838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45838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45838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45838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45838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45838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45838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45838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45838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45838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45838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45838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45838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45838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45838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45838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45838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45838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45838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45838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45838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45838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45838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45838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45838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45838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45838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45838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45838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45838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45838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45838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45838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45838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45838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45838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45838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45838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45838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45838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45838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45838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45838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45838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45838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45838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45838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45838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45838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45838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45838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45838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45838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45838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45838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45838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25825-2025</t>
        </is>
      </c>
      <c r="B1410" s="1" t="n">
        <v>45804</v>
      </c>
      <c r="C1410" s="1" t="n">
        <v>45838</v>
      </c>
      <c r="D1410" t="inlineStr">
        <is>
          <t>ÖSTERGÖTLANDS LÄN</t>
        </is>
      </c>
      <c r="E1410" t="inlineStr">
        <is>
          <t>LINKÖPING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45838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45838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25831-2025</t>
        </is>
      </c>
      <c r="B1413" s="1" t="n">
        <v>45804</v>
      </c>
      <c r="C1413" s="1" t="n">
        <v>45838</v>
      </c>
      <c r="D1413" t="inlineStr">
        <is>
          <t>ÖSTERGÖTLANDS LÄN</t>
        </is>
      </c>
      <c r="E1413" t="inlineStr">
        <is>
          <t>LINKÖPING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45838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25996-2025</t>
        </is>
      </c>
      <c r="B1415" s="1" t="n">
        <v>45804</v>
      </c>
      <c r="C1415" s="1" t="n">
        <v>45838</v>
      </c>
      <c r="D1415" t="inlineStr">
        <is>
          <t>ÖSTERGÖTLANDS LÄN</t>
        </is>
      </c>
      <c r="E1415" t="inlineStr">
        <is>
          <t>LINKÖPING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45838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27798-2025</t>
        </is>
      </c>
      <c r="B1417" s="1" t="n">
        <v>45816</v>
      </c>
      <c r="C1417" s="1" t="n">
        <v>45838</v>
      </c>
      <c r="D1417" t="inlineStr">
        <is>
          <t>ÖSTERGÖTLANDS LÄN</t>
        </is>
      </c>
      <c r="E1417" t="inlineStr">
        <is>
          <t>LINKÖPING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27797-2025</t>
        </is>
      </c>
      <c r="B1418" s="1" t="n">
        <v>45816</v>
      </c>
      <c r="C1418" s="1" t="n">
        <v>45838</v>
      </c>
      <c r="D1418" t="inlineStr">
        <is>
          <t>ÖSTERGÖTLANDS LÄN</t>
        </is>
      </c>
      <c r="E1418" t="inlineStr">
        <is>
          <t>LINKÖPING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45838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45838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45838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28204-2025</t>
        </is>
      </c>
      <c r="B1422" s="1" t="n">
        <v>45818</v>
      </c>
      <c r="C1422" s="1" t="n">
        <v>45838</v>
      </c>
      <c r="D1422" t="inlineStr">
        <is>
          <t>ÖSTERGÖTLANDS LÄN</t>
        </is>
      </c>
      <c r="E1422" t="inlineStr">
        <is>
          <t>LINKÖPING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45838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45838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29025-2025</t>
        </is>
      </c>
      <c r="B1425" s="1" t="n">
        <v>45821</v>
      </c>
      <c r="C1425" s="1" t="n">
        <v>45838</v>
      </c>
      <c r="D1425" t="inlineStr">
        <is>
          <t>ÖSTERGÖTLANDS LÄN</t>
        </is>
      </c>
      <c r="E1425" t="inlineStr">
        <is>
          <t>LINKÖPING</t>
        </is>
      </c>
      <c r="G1425" t="n">
        <v>0.3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29027-2025</t>
        </is>
      </c>
      <c r="B1426" s="1" t="n">
        <v>45821</v>
      </c>
      <c r="C1426" s="1" t="n">
        <v>45838</v>
      </c>
      <c r="D1426" t="inlineStr">
        <is>
          <t>ÖSTERGÖTLANDS LÄN</t>
        </is>
      </c>
      <c r="E1426" t="inlineStr">
        <is>
          <t>LINKÖPING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45838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45838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45838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45838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45838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30353-2025</t>
        </is>
      </c>
      <c r="B1432" s="1" t="n">
        <v>45827</v>
      </c>
      <c r="C1432" s="1" t="n">
        <v>45838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31585-2025</t>
        </is>
      </c>
      <c r="B1433" s="1" t="n">
        <v>45833</v>
      </c>
      <c r="C1433" s="1" t="n">
        <v>45838</v>
      </c>
      <c r="D1433" t="inlineStr">
        <is>
          <t>ÖSTERGÖTLANDS LÄN</t>
        </is>
      </c>
      <c r="E1433" t="inlineStr">
        <is>
          <t>LINKÖPING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31581-2025</t>
        </is>
      </c>
      <c r="B1434" s="1" t="n">
        <v>45833</v>
      </c>
      <c r="C1434" s="1" t="n">
        <v>45838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2025-06-30T19:29:31Z</dcterms:created>
  <dcterms:modified xmlns:dcterms="http://purl.org/dc/terms/" xmlns:xsi="http://www.w3.org/2001/XMLSchema-instance" xsi:type="dcterms:W3CDTF">2025-06-30T19:29:32Z</dcterms:modified>
</cp:coreProperties>
</file>