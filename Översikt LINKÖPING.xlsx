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46031</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46031</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46031</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46031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46031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46031</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55683-2025</t>
        </is>
      </c>
      <c r="B15" s="1" t="n">
        <v>45972.4255324074</v>
      </c>
      <c r="C15" s="1" t="n">
        <v>46031</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46031</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46031</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46031</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46031</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46031</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46031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46031</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46031</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46031</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46031</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58068-2021</t>
        </is>
      </c>
      <c r="B26" s="1" t="n">
        <v>44487</v>
      </c>
      <c r="C26" s="1" t="n">
        <v>46031</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46031</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27981-2022</t>
        </is>
      </c>
      <c r="B28" s="1" t="n">
        <v>44745</v>
      </c>
      <c r="C28" s="1" t="n">
        <v>46031</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50048-2025</t>
        </is>
      </c>
      <c r="B29" s="1" t="n">
        <v>45941</v>
      </c>
      <c r="C29" s="1" t="n">
        <v>46031</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25985-2025</t>
        </is>
      </c>
      <c r="B30" s="1" t="n">
        <v>45804.64479166667</v>
      </c>
      <c r="C30" s="1" t="n">
        <v>46031</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38913-2023</t>
        </is>
      </c>
      <c r="B31" s="1" t="n">
        <v>45163</v>
      </c>
      <c r="C31" s="1" t="n">
        <v>46031</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46031</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46031</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46031</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46031</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46031</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46031</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46031</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46031</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46031</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46031</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46031</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46031</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46031</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46031</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46031</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46031</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46031</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46031</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46031</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41749-2023</t>
        </is>
      </c>
      <c r="B51" s="1" t="n">
        <v>45176</v>
      </c>
      <c r="C51" s="1" t="n">
        <v>46031</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22526-2025</t>
        </is>
      </c>
      <c r="B52" s="1" t="n">
        <v>45786.78096064815</v>
      </c>
      <c r="C52" s="1" t="n">
        <v>46031</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1213-2023</t>
        </is>
      </c>
      <c r="B53" s="1" t="n">
        <v>44930</v>
      </c>
      <c r="C53" s="1" t="n">
        <v>46031</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27403-2025</t>
        </is>
      </c>
      <c r="B54" s="1" t="n">
        <v>45812.72518518518</v>
      </c>
      <c r="C54" s="1" t="n">
        <v>46031</v>
      </c>
      <c r="D54" t="inlineStr">
        <is>
          <t>ÖSTERGÖTLANDS LÄN</t>
        </is>
      </c>
      <c r="E54" t="inlineStr">
        <is>
          <t>LINKÖPING</t>
        </is>
      </c>
      <c r="G54" t="n">
        <v>1.4</v>
      </c>
      <c r="H54" t="n">
        <v>0</v>
      </c>
      <c r="I54" t="n">
        <v>0</v>
      </c>
      <c r="J54" t="n">
        <v>1</v>
      </c>
      <c r="K54" t="n">
        <v>0</v>
      </c>
      <c r="L54" t="n">
        <v>0</v>
      </c>
      <c r="M54" t="n">
        <v>0</v>
      </c>
      <c r="N54" t="n">
        <v>0</v>
      </c>
      <c r="O54" t="n">
        <v>1</v>
      </c>
      <c r="P54" t="n">
        <v>0</v>
      </c>
      <c r="Q54" t="n">
        <v>1</v>
      </c>
      <c r="R54" s="2" t="inlineStr">
        <is>
          <t>Tallticka</t>
        </is>
      </c>
      <c r="S54">
        <f>HYPERLINK("https://klasma.github.io/Logging_0580/artfynd/A 27403-2025 artfynd.xlsx", "A 27403-2025")</f>
        <v/>
      </c>
      <c r="T54">
        <f>HYPERLINK("https://klasma.github.io/Logging_0580/kartor/A 27403-2025 karta.png", "A 27403-2025")</f>
        <v/>
      </c>
      <c r="V54">
        <f>HYPERLINK("https://klasma.github.io/Logging_0580/klagomål/A 27403-2025 FSC-klagomål.docx", "A 27403-2025")</f>
        <v/>
      </c>
      <c r="W54">
        <f>HYPERLINK("https://klasma.github.io/Logging_0580/klagomålsmail/A 27403-2025 FSC-klagomål mail.docx", "A 27403-2025")</f>
        <v/>
      </c>
      <c r="X54">
        <f>HYPERLINK("https://klasma.github.io/Logging_0580/tillsyn/A 27403-2025 tillsynsbegäran.docx", "A 27403-2025")</f>
        <v/>
      </c>
      <c r="Y54">
        <f>HYPERLINK("https://klasma.github.io/Logging_0580/tillsynsmail/A 27403-2025 tillsynsbegäran mail.docx", "A 27403-2025")</f>
        <v/>
      </c>
    </row>
    <row r="55" ht="15" customHeight="1">
      <c r="A55" t="inlineStr">
        <is>
          <t>A 43989-2025</t>
        </is>
      </c>
      <c r="B55" s="1" t="n">
        <v>45915.44128472222</v>
      </c>
      <c r="C55" s="1" t="n">
        <v>46031</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44760-2025</t>
        </is>
      </c>
      <c r="B56" s="1" t="n">
        <v>45917.71873842592</v>
      </c>
      <c r="C56" s="1" t="n">
        <v>46031</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Tallticka</t>
        </is>
      </c>
      <c r="S56">
        <f>HYPERLINK("https://klasma.github.io/Logging_0580/artfynd/A 44760-2025 artfynd.xlsx", "A 44760-2025")</f>
        <v/>
      </c>
      <c r="T56">
        <f>HYPERLINK("https://klasma.github.io/Logging_0580/kartor/A 44760-2025 karta.png", "A 44760-2025")</f>
        <v/>
      </c>
      <c r="V56">
        <f>HYPERLINK("https://klasma.github.io/Logging_0580/klagomål/A 44760-2025 FSC-klagomål.docx", "A 44760-2025")</f>
        <v/>
      </c>
      <c r="W56">
        <f>HYPERLINK("https://klasma.github.io/Logging_0580/klagomålsmail/A 44760-2025 FSC-klagomål mail.docx", "A 44760-2025")</f>
        <v/>
      </c>
      <c r="X56">
        <f>HYPERLINK("https://klasma.github.io/Logging_0580/tillsyn/A 44760-2025 tillsynsbegäran.docx", "A 44760-2025")</f>
        <v/>
      </c>
      <c r="Y56">
        <f>HYPERLINK("https://klasma.github.io/Logging_0580/tillsynsmail/A 44760-2025 tillsynsbegäran mail.docx", "A 44760-2025")</f>
        <v/>
      </c>
    </row>
    <row r="57" ht="15" customHeight="1">
      <c r="A57" t="inlineStr">
        <is>
          <t>A 48273-2025</t>
        </is>
      </c>
      <c r="B57" s="1" t="n">
        <v>45932</v>
      </c>
      <c r="C57" s="1" t="n">
        <v>46031</v>
      </c>
      <c r="D57" t="inlineStr">
        <is>
          <t>ÖSTERGÖTLANDS LÄN</t>
        </is>
      </c>
      <c r="E57" t="inlineStr">
        <is>
          <t>LINKÖPING</t>
        </is>
      </c>
      <c r="F57" t="inlineStr">
        <is>
          <t>Övriga Aktiebolag</t>
        </is>
      </c>
      <c r="G57" t="n">
        <v>4.6</v>
      </c>
      <c r="H57" t="n">
        <v>0</v>
      </c>
      <c r="I57" t="n">
        <v>0</v>
      </c>
      <c r="J57" t="n">
        <v>1</v>
      </c>
      <c r="K57" t="n">
        <v>0</v>
      </c>
      <c r="L57" t="n">
        <v>0</v>
      </c>
      <c r="M57" t="n">
        <v>0</v>
      </c>
      <c r="N57" t="n">
        <v>0</v>
      </c>
      <c r="O57" t="n">
        <v>1</v>
      </c>
      <c r="P57" t="n">
        <v>0</v>
      </c>
      <c r="Q57" t="n">
        <v>1</v>
      </c>
      <c r="R57" s="2" t="inlineStr">
        <is>
          <t>Barrviolspindling</t>
        </is>
      </c>
      <c r="S57">
        <f>HYPERLINK("https://klasma.github.io/Logging_0580/artfynd/A 48273-2025 artfynd.xlsx", "A 48273-2025")</f>
        <v/>
      </c>
      <c r="T57">
        <f>HYPERLINK("https://klasma.github.io/Logging_0580/kartor/A 48273-2025 karta.png", "A 48273-2025")</f>
        <v/>
      </c>
      <c r="V57">
        <f>HYPERLINK("https://klasma.github.io/Logging_0580/klagomål/A 48273-2025 FSC-klagomål.docx", "A 48273-2025")</f>
        <v/>
      </c>
      <c r="W57">
        <f>HYPERLINK("https://klasma.github.io/Logging_0580/klagomålsmail/A 48273-2025 FSC-klagomål mail.docx", "A 48273-2025")</f>
        <v/>
      </c>
      <c r="X57">
        <f>HYPERLINK("https://klasma.github.io/Logging_0580/tillsyn/A 48273-2025 tillsynsbegäran.docx", "A 48273-2025")</f>
        <v/>
      </c>
      <c r="Y57">
        <f>HYPERLINK("https://klasma.github.io/Logging_0580/tillsynsmail/A 48273-2025 tillsynsbegäran mail.docx", "A 48273-2025")</f>
        <v/>
      </c>
    </row>
    <row r="58" ht="15" customHeight="1">
      <c r="A58" t="inlineStr">
        <is>
          <t>A 48298-2025</t>
        </is>
      </c>
      <c r="B58" s="1" t="n">
        <v>45932</v>
      </c>
      <c r="C58" s="1" t="n">
        <v>46031</v>
      </c>
      <c r="D58" t="inlineStr">
        <is>
          <t>ÖSTERGÖTLANDS LÄN</t>
        </is>
      </c>
      <c r="E58" t="inlineStr">
        <is>
          <t>LINKÖPING</t>
        </is>
      </c>
      <c r="F58" t="inlineStr">
        <is>
          <t>Övriga Aktiebolag</t>
        </is>
      </c>
      <c r="G58" t="n">
        <v>1.7</v>
      </c>
      <c r="H58" t="n">
        <v>0</v>
      </c>
      <c r="I58" t="n">
        <v>1</v>
      </c>
      <c r="J58" t="n">
        <v>0</v>
      </c>
      <c r="K58" t="n">
        <v>0</v>
      </c>
      <c r="L58" t="n">
        <v>0</v>
      </c>
      <c r="M58" t="n">
        <v>0</v>
      </c>
      <c r="N58" t="n">
        <v>0</v>
      </c>
      <c r="O58" t="n">
        <v>0</v>
      </c>
      <c r="P58" t="n">
        <v>0</v>
      </c>
      <c r="Q58" t="n">
        <v>1</v>
      </c>
      <c r="R58" s="2" t="inlineStr">
        <is>
          <t>Västlig hakmossa</t>
        </is>
      </c>
      <c r="S58">
        <f>HYPERLINK("https://klasma.github.io/Logging_0580/artfynd/A 48298-2025 artfynd.xlsx", "A 48298-2025")</f>
        <v/>
      </c>
      <c r="T58">
        <f>HYPERLINK("https://klasma.github.io/Logging_0580/kartor/A 48298-2025 karta.png", "A 48298-2025")</f>
        <v/>
      </c>
      <c r="V58">
        <f>HYPERLINK("https://klasma.github.io/Logging_0580/klagomål/A 48298-2025 FSC-klagomål.docx", "A 48298-2025")</f>
        <v/>
      </c>
      <c r="W58">
        <f>HYPERLINK("https://klasma.github.io/Logging_0580/klagomålsmail/A 48298-2025 FSC-klagomål mail.docx", "A 48298-2025")</f>
        <v/>
      </c>
      <c r="X58">
        <f>HYPERLINK("https://klasma.github.io/Logging_0580/tillsyn/A 48298-2025 tillsynsbegäran.docx", "A 48298-2025")</f>
        <v/>
      </c>
      <c r="Y58">
        <f>HYPERLINK("https://klasma.github.io/Logging_0580/tillsynsmail/A 48298-2025 tillsynsbegäran mail.docx", "A 48298-2025")</f>
        <v/>
      </c>
    </row>
    <row r="59" ht="15" customHeight="1">
      <c r="A59" t="inlineStr">
        <is>
          <t>A 48353-2025</t>
        </is>
      </c>
      <c r="B59" s="1" t="n">
        <v>45932</v>
      </c>
      <c r="C59" s="1" t="n">
        <v>46031</v>
      </c>
      <c r="D59" t="inlineStr">
        <is>
          <t>ÖSTERGÖTLANDS LÄN</t>
        </is>
      </c>
      <c r="E59" t="inlineStr">
        <is>
          <t>LINKÖPING</t>
        </is>
      </c>
      <c r="F59" t="inlineStr">
        <is>
          <t>Övriga Aktiebolag</t>
        </is>
      </c>
      <c r="G59" t="n">
        <v>4.5</v>
      </c>
      <c r="H59" t="n">
        <v>1</v>
      </c>
      <c r="I59" t="n">
        <v>0</v>
      </c>
      <c r="J59" t="n">
        <v>1</v>
      </c>
      <c r="K59" t="n">
        <v>0</v>
      </c>
      <c r="L59" t="n">
        <v>0</v>
      </c>
      <c r="M59" t="n">
        <v>0</v>
      </c>
      <c r="N59" t="n">
        <v>0</v>
      </c>
      <c r="O59" t="n">
        <v>1</v>
      </c>
      <c r="P59" t="n">
        <v>0</v>
      </c>
      <c r="Q59" t="n">
        <v>1</v>
      </c>
      <c r="R59" s="2" t="inlineStr">
        <is>
          <t>Entita</t>
        </is>
      </c>
      <c r="S59">
        <f>HYPERLINK("https://klasma.github.io/Logging_0580/artfynd/A 48353-2025 artfynd.xlsx", "A 48353-2025")</f>
        <v/>
      </c>
      <c r="T59">
        <f>HYPERLINK("https://klasma.github.io/Logging_0580/kartor/A 48353-2025 karta.png", "A 48353-2025")</f>
        <v/>
      </c>
      <c r="V59">
        <f>HYPERLINK("https://klasma.github.io/Logging_0580/klagomål/A 48353-2025 FSC-klagomål.docx", "A 48353-2025")</f>
        <v/>
      </c>
      <c r="W59">
        <f>HYPERLINK("https://klasma.github.io/Logging_0580/klagomålsmail/A 48353-2025 FSC-klagomål mail.docx", "A 48353-2025")</f>
        <v/>
      </c>
      <c r="X59">
        <f>HYPERLINK("https://klasma.github.io/Logging_0580/tillsyn/A 48353-2025 tillsynsbegäran.docx", "A 48353-2025")</f>
        <v/>
      </c>
      <c r="Y59">
        <f>HYPERLINK("https://klasma.github.io/Logging_0580/tillsynsmail/A 48353-2025 tillsynsbegäran mail.docx", "A 48353-2025")</f>
        <v/>
      </c>
      <c r="Z59">
        <f>HYPERLINK("https://klasma.github.io/Logging_0580/fåglar/A 48353-2025 prioriterade fågelarter.docx", "A 48353-2025")</f>
        <v/>
      </c>
    </row>
    <row r="60" ht="15" customHeight="1">
      <c r="A60" t="inlineStr">
        <is>
          <t>A 50471-2024</t>
        </is>
      </c>
      <c r="B60" s="1" t="n">
        <v>45601.47166666666</v>
      </c>
      <c r="C60" s="1" t="n">
        <v>46031</v>
      </c>
      <c r="D60" t="inlineStr">
        <is>
          <t>ÖSTERGÖTLANDS LÄN</t>
        </is>
      </c>
      <c r="E60" t="inlineStr">
        <is>
          <t>LINKÖPING</t>
        </is>
      </c>
      <c r="F60" t="inlineStr">
        <is>
          <t>Övriga Aktiebolag</t>
        </is>
      </c>
      <c r="G60" t="n">
        <v>2</v>
      </c>
      <c r="H60" t="n">
        <v>0</v>
      </c>
      <c r="I60" t="n">
        <v>1</v>
      </c>
      <c r="J60" t="n">
        <v>0</v>
      </c>
      <c r="K60" t="n">
        <v>0</v>
      </c>
      <c r="L60" t="n">
        <v>0</v>
      </c>
      <c r="M60" t="n">
        <v>0</v>
      </c>
      <c r="N60" t="n">
        <v>0</v>
      </c>
      <c r="O60" t="n">
        <v>0</v>
      </c>
      <c r="P60" t="n">
        <v>0</v>
      </c>
      <c r="Q60" t="n">
        <v>1</v>
      </c>
      <c r="R60" s="2" t="inlineStr">
        <is>
          <t>Västlig hakmossa</t>
        </is>
      </c>
      <c r="S60">
        <f>HYPERLINK("https://klasma.github.io/Logging_0580/artfynd/A 50471-2024 artfynd.xlsx", "A 50471-2024")</f>
        <v/>
      </c>
      <c r="T60">
        <f>HYPERLINK("https://klasma.github.io/Logging_0580/kartor/A 50471-2024 karta.png", "A 50471-2024")</f>
        <v/>
      </c>
      <c r="V60">
        <f>HYPERLINK("https://klasma.github.io/Logging_0580/klagomål/A 50471-2024 FSC-klagomål.docx", "A 50471-2024")</f>
        <v/>
      </c>
      <c r="W60">
        <f>HYPERLINK("https://klasma.github.io/Logging_0580/klagomålsmail/A 50471-2024 FSC-klagomål mail.docx", "A 50471-2024")</f>
        <v/>
      </c>
      <c r="X60">
        <f>HYPERLINK("https://klasma.github.io/Logging_0580/tillsyn/A 50471-2024 tillsynsbegäran.docx", "A 50471-2024")</f>
        <v/>
      </c>
      <c r="Y60">
        <f>HYPERLINK("https://klasma.github.io/Logging_0580/tillsynsmail/A 50471-2024 tillsynsbegäran mail.docx", "A 50471-2024")</f>
        <v/>
      </c>
    </row>
    <row r="61" ht="15" customHeight="1">
      <c r="A61" t="inlineStr">
        <is>
          <t>A 48347-2025</t>
        </is>
      </c>
      <c r="B61" s="1" t="n">
        <v>45932</v>
      </c>
      <c r="C61" s="1" t="n">
        <v>46031</v>
      </c>
      <c r="D61" t="inlineStr">
        <is>
          <t>ÖSTERGÖTLANDS LÄN</t>
        </is>
      </c>
      <c r="E61" t="inlineStr">
        <is>
          <t>LINKÖPING</t>
        </is>
      </c>
      <c r="F61" t="inlineStr">
        <is>
          <t>Övriga Aktiebolag</t>
        </is>
      </c>
      <c r="G61" t="n">
        <v>0.9</v>
      </c>
      <c r="H61" t="n">
        <v>0</v>
      </c>
      <c r="I61" t="n">
        <v>0</v>
      </c>
      <c r="J61" t="n">
        <v>1</v>
      </c>
      <c r="K61" t="n">
        <v>0</v>
      </c>
      <c r="L61" t="n">
        <v>0</v>
      </c>
      <c r="M61" t="n">
        <v>0</v>
      </c>
      <c r="N61" t="n">
        <v>0</v>
      </c>
      <c r="O61" t="n">
        <v>1</v>
      </c>
      <c r="P61" t="n">
        <v>0</v>
      </c>
      <c r="Q61" t="n">
        <v>1</v>
      </c>
      <c r="R61" s="2" t="inlineStr">
        <is>
          <t>Igelkott</t>
        </is>
      </c>
      <c r="S61">
        <f>HYPERLINK("https://klasma.github.io/Logging_0580/artfynd/A 48347-2025 artfynd.xlsx", "A 48347-2025")</f>
        <v/>
      </c>
      <c r="T61">
        <f>HYPERLINK("https://klasma.github.io/Logging_0580/kartor/A 48347-2025 karta.png", "A 48347-2025")</f>
        <v/>
      </c>
      <c r="V61">
        <f>HYPERLINK("https://klasma.github.io/Logging_0580/klagomål/A 48347-2025 FSC-klagomål.docx", "A 48347-2025")</f>
        <v/>
      </c>
      <c r="W61">
        <f>HYPERLINK("https://klasma.github.io/Logging_0580/klagomålsmail/A 48347-2025 FSC-klagomål mail.docx", "A 48347-2025")</f>
        <v/>
      </c>
      <c r="X61">
        <f>HYPERLINK("https://klasma.github.io/Logging_0580/tillsyn/A 48347-2025 tillsynsbegäran.docx", "A 48347-2025")</f>
        <v/>
      </c>
      <c r="Y61">
        <f>HYPERLINK("https://klasma.github.io/Logging_0580/tillsynsmail/A 48347-2025 tillsynsbegäran mail.docx", "A 48347-2025")</f>
        <v/>
      </c>
    </row>
    <row r="62" ht="15" customHeight="1">
      <c r="A62" t="inlineStr">
        <is>
          <t>A 50806-2023</t>
        </is>
      </c>
      <c r="B62" s="1" t="n">
        <v>45217</v>
      </c>
      <c r="C62" s="1" t="n">
        <v>46031</v>
      </c>
      <c r="D62" t="inlineStr">
        <is>
          <t>ÖSTERGÖTLANDS LÄN</t>
        </is>
      </c>
      <c r="E62" t="inlineStr">
        <is>
          <t>LINKÖPING</t>
        </is>
      </c>
      <c r="F62" t="inlineStr">
        <is>
          <t>Övriga Aktiebolag</t>
        </is>
      </c>
      <c r="G62" t="n">
        <v>0.7</v>
      </c>
      <c r="H62" t="n">
        <v>1</v>
      </c>
      <c r="I62" t="n">
        <v>0</v>
      </c>
      <c r="J62" t="n">
        <v>0</v>
      </c>
      <c r="K62" t="n">
        <v>0</v>
      </c>
      <c r="L62" t="n">
        <v>0</v>
      </c>
      <c r="M62" t="n">
        <v>0</v>
      </c>
      <c r="N62" t="n">
        <v>0</v>
      </c>
      <c r="O62" t="n">
        <v>0</v>
      </c>
      <c r="P62" t="n">
        <v>0</v>
      </c>
      <c r="Q62" t="n">
        <v>1</v>
      </c>
      <c r="R62" s="2" t="inlineStr">
        <is>
          <t>Gullviva</t>
        </is>
      </c>
      <c r="S62">
        <f>HYPERLINK("https://klasma.github.io/Logging_0580/artfynd/A 50806-2023 artfynd.xlsx", "A 50806-2023")</f>
        <v/>
      </c>
      <c r="T62">
        <f>HYPERLINK("https://klasma.github.io/Logging_0580/kartor/A 50806-2023 karta.png", "A 50806-2023")</f>
        <v/>
      </c>
      <c r="V62">
        <f>HYPERLINK("https://klasma.github.io/Logging_0580/klagomål/A 50806-2023 FSC-klagomål.docx", "A 50806-2023")</f>
        <v/>
      </c>
      <c r="W62">
        <f>HYPERLINK("https://klasma.github.io/Logging_0580/klagomålsmail/A 50806-2023 FSC-klagomål mail.docx", "A 50806-2023")</f>
        <v/>
      </c>
      <c r="X62">
        <f>HYPERLINK("https://klasma.github.io/Logging_0580/tillsyn/A 50806-2023 tillsynsbegäran.docx", "A 50806-2023")</f>
        <v/>
      </c>
      <c r="Y62">
        <f>HYPERLINK("https://klasma.github.io/Logging_0580/tillsynsmail/A 50806-2023 tillsynsbegäran mail.docx", "A 50806-2023")</f>
        <v/>
      </c>
    </row>
    <row r="63" ht="15" customHeight="1">
      <c r="A63" t="inlineStr">
        <is>
          <t>A 50034-2025</t>
        </is>
      </c>
      <c r="B63" s="1" t="n">
        <v>45941</v>
      </c>
      <c r="C63" s="1" t="n">
        <v>46031</v>
      </c>
      <c r="D63" t="inlineStr">
        <is>
          <t>ÖSTERGÖTLANDS LÄN</t>
        </is>
      </c>
      <c r="E63" t="inlineStr">
        <is>
          <t>LINKÖPING</t>
        </is>
      </c>
      <c r="G63" t="n">
        <v>6.2</v>
      </c>
      <c r="H63" t="n">
        <v>0</v>
      </c>
      <c r="I63" t="n">
        <v>0</v>
      </c>
      <c r="J63" t="n">
        <v>0</v>
      </c>
      <c r="K63" t="n">
        <v>0</v>
      </c>
      <c r="L63" t="n">
        <v>0</v>
      </c>
      <c r="M63" t="n">
        <v>1</v>
      </c>
      <c r="N63" t="n">
        <v>0</v>
      </c>
      <c r="O63" t="n">
        <v>1</v>
      </c>
      <c r="P63" t="n">
        <v>1</v>
      </c>
      <c r="Q63" t="n">
        <v>1</v>
      </c>
      <c r="R63" s="2" t="inlineStr">
        <is>
          <t>Skogsalm</t>
        </is>
      </c>
      <c r="S63">
        <f>HYPERLINK("https://klasma.github.io/Logging_0580/artfynd/A 50034-2025 artfynd.xlsx", "A 50034-2025")</f>
        <v/>
      </c>
      <c r="T63">
        <f>HYPERLINK("https://klasma.github.io/Logging_0580/kartor/A 50034-2025 karta.png", "A 50034-2025")</f>
        <v/>
      </c>
      <c r="V63">
        <f>HYPERLINK("https://klasma.github.io/Logging_0580/klagomål/A 50034-2025 FSC-klagomål.docx", "A 50034-2025")</f>
        <v/>
      </c>
      <c r="W63">
        <f>HYPERLINK("https://klasma.github.io/Logging_0580/klagomålsmail/A 50034-2025 FSC-klagomål mail.docx", "A 50034-2025")</f>
        <v/>
      </c>
      <c r="X63">
        <f>HYPERLINK("https://klasma.github.io/Logging_0580/tillsyn/A 50034-2025 tillsynsbegäran.docx", "A 50034-2025")</f>
        <v/>
      </c>
      <c r="Y63">
        <f>HYPERLINK("https://klasma.github.io/Logging_0580/tillsynsmail/A 50034-2025 tillsynsbegäran mail.docx", "A 50034-2025")</f>
        <v/>
      </c>
    </row>
    <row r="64" ht="15" customHeight="1">
      <c r="A64" t="inlineStr">
        <is>
          <t>A 59474-2025</t>
        </is>
      </c>
      <c r="B64" s="1" t="n">
        <v>45989.58512731481</v>
      </c>
      <c r="C64" s="1" t="n">
        <v>46031</v>
      </c>
      <c r="D64" t="inlineStr">
        <is>
          <t>ÖSTERGÖTLANDS LÄN</t>
        </is>
      </c>
      <c r="E64" t="inlineStr">
        <is>
          <t>LINKÖPING</t>
        </is>
      </c>
      <c r="G64" t="n">
        <v>8</v>
      </c>
      <c r="H64" t="n">
        <v>0</v>
      </c>
      <c r="I64" t="n">
        <v>1</v>
      </c>
      <c r="J64" t="n">
        <v>0</v>
      </c>
      <c r="K64" t="n">
        <v>0</v>
      </c>
      <c r="L64" t="n">
        <v>0</v>
      </c>
      <c r="M64" t="n">
        <v>0</v>
      </c>
      <c r="N64" t="n">
        <v>0</v>
      </c>
      <c r="O64" t="n">
        <v>0</v>
      </c>
      <c r="P64" t="n">
        <v>0</v>
      </c>
      <c r="Q64" t="n">
        <v>1</v>
      </c>
      <c r="R64" s="2" t="inlineStr">
        <is>
          <t>Fällmossa</t>
        </is>
      </c>
      <c r="S64">
        <f>HYPERLINK("https://klasma.github.io/Logging_0580/artfynd/A 59474-2025 artfynd.xlsx", "A 59474-2025")</f>
        <v/>
      </c>
      <c r="T64">
        <f>HYPERLINK("https://klasma.github.io/Logging_0580/kartor/A 59474-2025 karta.png", "A 59474-2025")</f>
        <v/>
      </c>
      <c r="V64">
        <f>HYPERLINK("https://klasma.github.io/Logging_0580/klagomål/A 59474-2025 FSC-klagomål.docx", "A 59474-2025")</f>
        <v/>
      </c>
      <c r="W64">
        <f>HYPERLINK("https://klasma.github.io/Logging_0580/klagomålsmail/A 59474-2025 FSC-klagomål mail.docx", "A 59474-2025")</f>
        <v/>
      </c>
      <c r="X64">
        <f>HYPERLINK("https://klasma.github.io/Logging_0580/tillsyn/A 59474-2025 tillsynsbegäran.docx", "A 59474-2025")</f>
        <v/>
      </c>
      <c r="Y64">
        <f>HYPERLINK("https://klasma.github.io/Logging_0580/tillsynsmail/A 59474-2025 tillsynsbegäran mail.docx", "A 59474-2025")</f>
        <v/>
      </c>
    </row>
    <row r="65" ht="15" customHeight="1">
      <c r="A65" t="inlineStr">
        <is>
          <t>A 60573-2021</t>
        </is>
      </c>
      <c r="B65" s="1" t="n">
        <v>44496</v>
      </c>
      <c r="C65" s="1" t="n">
        <v>46031</v>
      </c>
      <c r="D65" t="inlineStr">
        <is>
          <t>ÖSTERGÖTLANDS LÄN</t>
        </is>
      </c>
      <c r="E65" t="inlineStr">
        <is>
          <t>LINKÖPING</t>
        </is>
      </c>
      <c r="F65" t="inlineStr">
        <is>
          <t>Övriga Aktiebolag</t>
        </is>
      </c>
      <c r="G65" t="n">
        <v>5.6</v>
      </c>
      <c r="H65" t="n">
        <v>0</v>
      </c>
      <c r="I65" t="n">
        <v>0</v>
      </c>
      <c r="J65" t="n">
        <v>1</v>
      </c>
      <c r="K65" t="n">
        <v>0</v>
      </c>
      <c r="L65" t="n">
        <v>0</v>
      </c>
      <c r="M65" t="n">
        <v>0</v>
      </c>
      <c r="N65" t="n">
        <v>0</v>
      </c>
      <c r="O65" t="n">
        <v>1</v>
      </c>
      <c r="P65" t="n">
        <v>0</v>
      </c>
      <c r="Q65" t="n">
        <v>1</v>
      </c>
      <c r="R65" s="2" t="inlineStr">
        <is>
          <t>Sommarfibbla</t>
        </is>
      </c>
      <c r="S65">
        <f>HYPERLINK("https://klasma.github.io/Logging_0580/artfynd/A 60573-2021 artfynd.xlsx", "A 60573-2021")</f>
        <v/>
      </c>
      <c r="T65">
        <f>HYPERLINK("https://klasma.github.io/Logging_0580/kartor/A 60573-2021 karta.png", "A 60573-2021")</f>
        <v/>
      </c>
      <c r="V65">
        <f>HYPERLINK("https://klasma.github.io/Logging_0580/klagomål/A 60573-2021 FSC-klagomål.docx", "A 60573-2021")</f>
        <v/>
      </c>
      <c r="W65">
        <f>HYPERLINK("https://klasma.github.io/Logging_0580/klagomålsmail/A 60573-2021 FSC-klagomål mail.docx", "A 60573-2021")</f>
        <v/>
      </c>
      <c r="X65">
        <f>HYPERLINK("https://klasma.github.io/Logging_0580/tillsyn/A 60573-2021 tillsynsbegäran.docx", "A 60573-2021")</f>
        <v/>
      </c>
      <c r="Y65">
        <f>HYPERLINK("https://klasma.github.io/Logging_0580/tillsynsmail/A 60573-2021 tillsynsbegäran mail.docx", "A 60573-2021")</f>
        <v/>
      </c>
    </row>
    <row r="66" ht="15" customHeight="1">
      <c r="A66" t="inlineStr">
        <is>
          <t>A 36723-2023</t>
        </is>
      </c>
      <c r="B66" s="1" t="n">
        <v>45153</v>
      </c>
      <c r="C66" s="1" t="n">
        <v>46031</v>
      </c>
      <c r="D66" t="inlineStr">
        <is>
          <t>ÖSTERGÖTLANDS LÄN</t>
        </is>
      </c>
      <c r="E66" t="inlineStr">
        <is>
          <t>LINKÖPING</t>
        </is>
      </c>
      <c r="F66" t="inlineStr">
        <is>
          <t>Allmännings- och besparingsskogar</t>
        </is>
      </c>
      <c r="G66" t="n">
        <v>9.9</v>
      </c>
      <c r="H66" t="n">
        <v>0</v>
      </c>
      <c r="I66" t="n">
        <v>0</v>
      </c>
      <c r="J66" t="n">
        <v>0</v>
      </c>
      <c r="K66" t="n">
        <v>1</v>
      </c>
      <c r="L66" t="n">
        <v>0</v>
      </c>
      <c r="M66" t="n">
        <v>0</v>
      </c>
      <c r="N66" t="n">
        <v>0</v>
      </c>
      <c r="O66" t="n">
        <v>1</v>
      </c>
      <c r="P66" t="n">
        <v>1</v>
      </c>
      <c r="Q66" t="n">
        <v>1</v>
      </c>
      <c r="R66" s="2" t="inlineStr">
        <is>
          <t>Bitter taggsvamp</t>
        </is>
      </c>
      <c r="S66">
        <f>HYPERLINK("https://klasma.github.io/Logging_0580/artfynd/A 36723-2023 artfynd.xlsx", "A 36723-2023")</f>
        <v/>
      </c>
      <c r="T66">
        <f>HYPERLINK("https://klasma.github.io/Logging_0580/kartor/A 36723-2023 karta.png", "A 36723-2023")</f>
        <v/>
      </c>
      <c r="V66">
        <f>HYPERLINK("https://klasma.github.io/Logging_0580/klagomål/A 36723-2023 FSC-klagomål.docx", "A 36723-2023")</f>
        <v/>
      </c>
      <c r="W66">
        <f>HYPERLINK("https://klasma.github.io/Logging_0580/klagomålsmail/A 36723-2023 FSC-klagomål mail.docx", "A 36723-2023")</f>
        <v/>
      </c>
      <c r="X66">
        <f>HYPERLINK("https://klasma.github.io/Logging_0580/tillsyn/A 36723-2023 tillsynsbegäran.docx", "A 36723-2023")</f>
        <v/>
      </c>
      <c r="Y66">
        <f>HYPERLINK("https://klasma.github.io/Logging_0580/tillsynsmail/A 36723-2023 tillsynsbegäran mail.docx", "A 36723-2023")</f>
        <v/>
      </c>
    </row>
    <row r="67" ht="15" customHeight="1">
      <c r="A67" t="inlineStr">
        <is>
          <t>A 60311-2025</t>
        </is>
      </c>
      <c r="B67" s="1" t="n">
        <v>45994</v>
      </c>
      <c r="C67" s="1" t="n">
        <v>46031</v>
      </c>
      <c r="D67" t="inlineStr">
        <is>
          <t>ÖSTERGÖTLANDS LÄN</t>
        </is>
      </c>
      <c r="E67" t="inlineStr">
        <is>
          <t>LINKÖPING</t>
        </is>
      </c>
      <c r="G67" t="n">
        <v>1.9</v>
      </c>
      <c r="H67" t="n">
        <v>0</v>
      </c>
      <c r="I67" t="n">
        <v>0</v>
      </c>
      <c r="J67" t="n">
        <v>1</v>
      </c>
      <c r="K67" t="n">
        <v>0</v>
      </c>
      <c r="L67" t="n">
        <v>0</v>
      </c>
      <c r="M67" t="n">
        <v>0</v>
      </c>
      <c r="N67" t="n">
        <v>0</v>
      </c>
      <c r="O67" t="n">
        <v>1</v>
      </c>
      <c r="P67" t="n">
        <v>0</v>
      </c>
      <c r="Q67" t="n">
        <v>1</v>
      </c>
      <c r="R67" s="2" t="inlineStr">
        <is>
          <t>Gammelekslav</t>
        </is>
      </c>
      <c r="S67">
        <f>HYPERLINK("https://klasma.github.io/Logging_0580/artfynd/A 60311-2025 artfynd.xlsx", "A 60311-2025")</f>
        <v/>
      </c>
      <c r="T67">
        <f>HYPERLINK("https://klasma.github.io/Logging_0580/kartor/A 60311-2025 karta.png", "A 60311-2025")</f>
        <v/>
      </c>
      <c r="V67">
        <f>HYPERLINK("https://klasma.github.io/Logging_0580/klagomål/A 60311-2025 FSC-klagomål.docx", "A 60311-2025")</f>
        <v/>
      </c>
      <c r="W67">
        <f>HYPERLINK("https://klasma.github.io/Logging_0580/klagomålsmail/A 60311-2025 FSC-klagomål mail.docx", "A 60311-2025")</f>
        <v/>
      </c>
      <c r="X67">
        <f>HYPERLINK("https://klasma.github.io/Logging_0580/tillsyn/A 60311-2025 tillsynsbegäran.docx", "A 60311-2025")</f>
        <v/>
      </c>
      <c r="Y67">
        <f>HYPERLINK("https://klasma.github.io/Logging_0580/tillsynsmail/A 60311-2025 tillsynsbegäran mail.docx", "A 60311-2025")</f>
        <v/>
      </c>
    </row>
    <row r="68" ht="15" customHeight="1">
      <c r="A68" t="inlineStr">
        <is>
          <t>A 5911-2022</t>
        </is>
      </c>
      <c r="B68" s="1" t="n">
        <v>44597</v>
      </c>
      <c r="C68" s="1" t="n">
        <v>46031</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56112-2025</t>
        </is>
      </c>
      <c r="B69" s="1" t="n">
        <v>45973.73625</v>
      </c>
      <c r="C69" s="1" t="n">
        <v>46031</v>
      </c>
      <c r="D69" t="inlineStr">
        <is>
          <t>ÖSTERGÖTLANDS LÄN</t>
        </is>
      </c>
      <c r="E69" t="inlineStr">
        <is>
          <t>LINKÖPING</t>
        </is>
      </c>
      <c r="G69" t="n">
        <v>0.6</v>
      </c>
      <c r="H69" t="n">
        <v>0</v>
      </c>
      <c r="I69" t="n">
        <v>0</v>
      </c>
      <c r="J69" t="n">
        <v>1</v>
      </c>
      <c r="K69" t="n">
        <v>0</v>
      </c>
      <c r="L69" t="n">
        <v>0</v>
      </c>
      <c r="M69" t="n">
        <v>0</v>
      </c>
      <c r="N69" t="n">
        <v>0</v>
      </c>
      <c r="O69" t="n">
        <v>1</v>
      </c>
      <c r="P69" t="n">
        <v>0</v>
      </c>
      <c r="Q69" t="n">
        <v>1</v>
      </c>
      <c r="R69" s="2" t="inlineStr">
        <is>
          <t>Solvända</t>
        </is>
      </c>
      <c r="S69">
        <f>HYPERLINK("https://klasma.github.io/Logging_0580/artfynd/A 56112-2025 artfynd.xlsx", "A 56112-2025")</f>
        <v/>
      </c>
      <c r="T69">
        <f>HYPERLINK("https://klasma.github.io/Logging_0580/kartor/A 56112-2025 karta.png", "A 56112-2025")</f>
        <v/>
      </c>
      <c r="V69">
        <f>HYPERLINK("https://klasma.github.io/Logging_0580/klagomål/A 56112-2025 FSC-klagomål.docx", "A 56112-2025")</f>
        <v/>
      </c>
      <c r="W69">
        <f>HYPERLINK("https://klasma.github.io/Logging_0580/klagomålsmail/A 56112-2025 FSC-klagomål mail.docx", "A 56112-2025")</f>
        <v/>
      </c>
      <c r="X69">
        <f>HYPERLINK("https://klasma.github.io/Logging_0580/tillsyn/A 56112-2025 tillsynsbegäran.docx", "A 56112-2025")</f>
        <v/>
      </c>
      <c r="Y69">
        <f>HYPERLINK("https://klasma.github.io/Logging_0580/tillsynsmail/A 56112-2025 tillsynsbegäran mail.docx", "A 56112-2025")</f>
        <v/>
      </c>
    </row>
    <row r="70" ht="15" customHeight="1">
      <c r="A70" t="inlineStr">
        <is>
          <t>A 56128-2022</t>
        </is>
      </c>
      <c r="B70" s="1" t="n">
        <v>44889</v>
      </c>
      <c r="C70" s="1" t="n">
        <v>46031</v>
      </c>
      <c r="D70" t="inlineStr">
        <is>
          <t>ÖSTERGÖTLANDS LÄN</t>
        </is>
      </c>
      <c r="E70" t="inlineStr">
        <is>
          <t>LINKÖPING</t>
        </is>
      </c>
      <c r="G70" t="n">
        <v>2</v>
      </c>
      <c r="H70" t="n">
        <v>0</v>
      </c>
      <c r="I70" t="n">
        <v>1</v>
      </c>
      <c r="J70" t="n">
        <v>0</v>
      </c>
      <c r="K70" t="n">
        <v>0</v>
      </c>
      <c r="L70" t="n">
        <v>0</v>
      </c>
      <c r="M70" t="n">
        <v>0</v>
      </c>
      <c r="N70" t="n">
        <v>0</v>
      </c>
      <c r="O70" t="n">
        <v>0</v>
      </c>
      <c r="P70" t="n">
        <v>0</v>
      </c>
      <c r="Q70" t="n">
        <v>1</v>
      </c>
      <c r="R70" s="2" t="inlineStr">
        <is>
          <t>Tibast</t>
        </is>
      </c>
      <c r="S70">
        <f>HYPERLINK("https://klasma.github.io/Logging_0580/artfynd/A 56128-2022 artfynd.xlsx", "A 56128-2022")</f>
        <v/>
      </c>
      <c r="T70">
        <f>HYPERLINK("https://klasma.github.io/Logging_0580/kartor/A 56128-2022 karta.png", "A 56128-2022")</f>
        <v/>
      </c>
      <c r="V70">
        <f>HYPERLINK("https://klasma.github.io/Logging_0580/klagomål/A 56128-2022 FSC-klagomål.docx", "A 56128-2022")</f>
        <v/>
      </c>
      <c r="W70">
        <f>HYPERLINK("https://klasma.github.io/Logging_0580/klagomålsmail/A 56128-2022 FSC-klagomål mail.docx", "A 56128-2022")</f>
        <v/>
      </c>
      <c r="X70">
        <f>HYPERLINK("https://klasma.github.io/Logging_0580/tillsyn/A 56128-2022 tillsynsbegäran.docx", "A 56128-2022")</f>
        <v/>
      </c>
      <c r="Y70">
        <f>HYPERLINK("https://klasma.github.io/Logging_0580/tillsynsmail/A 56128-2022 tillsynsbegäran mail.docx", "A 56128-2022")</f>
        <v/>
      </c>
    </row>
    <row r="71" ht="15" customHeight="1">
      <c r="A71" t="inlineStr">
        <is>
          <t>A 54835-2023</t>
        </is>
      </c>
      <c r="B71" s="1" t="n">
        <v>45236</v>
      </c>
      <c r="C71" s="1" t="n">
        <v>46031</v>
      </c>
      <c r="D71" t="inlineStr">
        <is>
          <t>ÖSTERGÖTLANDS LÄN</t>
        </is>
      </c>
      <c r="E71" t="inlineStr">
        <is>
          <t>LINKÖPING</t>
        </is>
      </c>
      <c r="G71" t="n">
        <v>2</v>
      </c>
      <c r="H71" t="n">
        <v>1</v>
      </c>
      <c r="I71" t="n">
        <v>0</v>
      </c>
      <c r="J71" t="n">
        <v>0</v>
      </c>
      <c r="K71" t="n">
        <v>0</v>
      </c>
      <c r="L71" t="n">
        <v>0</v>
      </c>
      <c r="M71" t="n">
        <v>0</v>
      </c>
      <c r="N71" t="n">
        <v>0</v>
      </c>
      <c r="O71" t="n">
        <v>0</v>
      </c>
      <c r="P71" t="n">
        <v>0</v>
      </c>
      <c r="Q71" t="n">
        <v>1</v>
      </c>
      <c r="R71" s="2" t="inlineStr">
        <is>
          <t>Sparvuggla</t>
        </is>
      </c>
      <c r="S71">
        <f>HYPERLINK("https://klasma.github.io/Logging_0580/artfynd/A 54835-2023 artfynd.xlsx", "A 54835-2023")</f>
        <v/>
      </c>
      <c r="T71">
        <f>HYPERLINK("https://klasma.github.io/Logging_0580/kartor/A 54835-2023 karta.png", "A 54835-2023")</f>
        <v/>
      </c>
      <c r="V71">
        <f>HYPERLINK("https://klasma.github.io/Logging_0580/klagomål/A 54835-2023 FSC-klagomål.docx", "A 54835-2023")</f>
        <v/>
      </c>
      <c r="W71">
        <f>HYPERLINK("https://klasma.github.io/Logging_0580/klagomålsmail/A 54835-2023 FSC-klagomål mail.docx", "A 54835-2023")</f>
        <v/>
      </c>
      <c r="X71">
        <f>HYPERLINK("https://klasma.github.io/Logging_0580/tillsyn/A 54835-2023 tillsynsbegäran.docx", "A 54835-2023")</f>
        <v/>
      </c>
      <c r="Y71">
        <f>HYPERLINK("https://klasma.github.io/Logging_0580/tillsynsmail/A 54835-2023 tillsynsbegäran mail.docx", "A 54835-2023")</f>
        <v/>
      </c>
      <c r="Z71">
        <f>HYPERLINK("https://klasma.github.io/Logging_0580/fåglar/A 54835-2023 prioriterade fågelarter.docx", "A 54835-2023")</f>
        <v/>
      </c>
    </row>
    <row r="72" ht="15" customHeight="1">
      <c r="A72" t="inlineStr">
        <is>
          <t>A 34881-2023</t>
        </is>
      </c>
      <c r="B72" s="1" t="n">
        <v>45140</v>
      </c>
      <c r="C72" s="1" t="n">
        <v>46031</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19103-2021</t>
        </is>
      </c>
      <c r="B73" s="1" t="n">
        <v>44308</v>
      </c>
      <c r="C73" s="1" t="n">
        <v>46031</v>
      </c>
      <c r="D73" t="inlineStr">
        <is>
          <t>ÖSTERGÖTLANDS LÄN</t>
        </is>
      </c>
      <c r="E73" t="inlineStr">
        <is>
          <t>LINKÖPING</t>
        </is>
      </c>
      <c r="G73" t="n">
        <v>4.7</v>
      </c>
      <c r="H73" t="n">
        <v>0</v>
      </c>
      <c r="I73" t="n">
        <v>0</v>
      </c>
      <c r="J73" t="n">
        <v>1</v>
      </c>
      <c r="K73" t="n">
        <v>0</v>
      </c>
      <c r="L73" t="n">
        <v>0</v>
      </c>
      <c r="M73" t="n">
        <v>0</v>
      </c>
      <c r="N73" t="n">
        <v>0</v>
      </c>
      <c r="O73" t="n">
        <v>1</v>
      </c>
      <c r="P73" t="n">
        <v>0</v>
      </c>
      <c r="Q73" t="n">
        <v>1</v>
      </c>
      <c r="R73" s="2" t="inlineStr">
        <is>
          <t>Tallticka</t>
        </is>
      </c>
      <c r="S73">
        <f>HYPERLINK("https://klasma.github.io/Logging_0580/artfynd/A 19103-2021 artfynd.xlsx", "A 19103-2021")</f>
        <v/>
      </c>
      <c r="T73">
        <f>HYPERLINK("https://klasma.github.io/Logging_0580/kartor/A 19103-2021 karta.png", "A 19103-2021")</f>
        <v/>
      </c>
      <c r="V73">
        <f>HYPERLINK("https://klasma.github.io/Logging_0580/klagomål/A 19103-2021 FSC-klagomål.docx", "A 19103-2021")</f>
        <v/>
      </c>
      <c r="W73">
        <f>HYPERLINK("https://klasma.github.io/Logging_0580/klagomålsmail/A 19103-2021 FSC-klagomål mail.docx", "A 19103-2021")</f>
        <v/>
      </c>
      <c r="X73">
        <f>HYPERLINK("https://klasma.github.io/Logging_0580/tillsyn/A 19103-2021 tillsynsbegäran.docx", "A 19103-2021")</f>
        <v/>
      </c>
      <c r="Y73">
        <f>HYPERLINK("https://klasma.github.io/Logging_0580/tillsynsmail/A 19103-2021 tillsynsbegäran mail.docx", "A 19103-2021")</f>
        <v/>
      </c>
    </row>
    <row r="74" ht="15" customHeight="1">
      <c r="A74" t="inlineStr">
        <is>
          <t>A 45317-2023</t>
        </is>
      </c>
      <c r="B74" s="1" t="n">
        <v>45191.74868055555</v>
      </c>
      <c r="C74" s="1" t="n">
        <v>46031</v>
      </c>
      <c r="D74" t="inlineStr">
        <is>
          <t>ÖSTERGÖTLANDS LÄN</t>
        </is>
      </c>
      <c r="E74" t="inlineStr">
        <is>
          <t>LINKÖPING</t>
        </is>
      </c>
      <c r="F74" t="inlineStr">
        <is>
          <t>Allmännings- och besparingsskogar</t>
        </is>
      </c>
      <c r="G74" t="n">
        <v>29.3</v>
      </c>
      <c r="H74" t="n">
        <v>0</v>
      </c>
      <c r="I74" t="n">
        <v>0</v>
      </c>
      <c r="J74" t="n">
        <v>1</v>
      </c>
      <c r="K74" t="n">
        <v>0</v>
      </c>
      <c r="L74" t="n">
        <v>0</v>
      </c>
      <c r="M74" t="n">
        <v>0</v>
      </c>
      <c r="N74" t="n">
        <v>0</v>
      </c>
      <c r="O74" t="n">
        <v>1</v>
      </c>
      <c r="P74" t="n">
        <v>0</v>
      </c>
      <c r="Q74" t="n">
        <v>1</v>
      </c>
      <c r="R74" s="2" t="inlineStr">
        <is>
          <t>Svinrot</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45774.74846064814</v>
      </c>
      <c r="C75" s="1" t="n">
        <v>46031</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37683-2024</t>
        </is>
      </c>
      <c r="B76" s="1" t="n">
        <v>45541.59120370371</v>
      </c>
      <c r="C76" s="1" t="n">
        <v>46031</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35948-2023</t>
        </is>
      </c>
      <c r="B77" s="1" t="n">
        <v>45148</v>
      </c>
      <c r="C77" s="1" t="n">
        <v>46031</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56651-2023</t>
        </is>
      </c>
      <c r="B78" s="1" t="n">
        <v>45243</v>
      </c>
      <c r="C78" s="1" t="n">
        <v>46031</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46031</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46031</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46031</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46031</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17444-2025</t>
        </is>
      </c>
      <c r="B83" s="1" t="n">
        <v>45757.43452546297</v>
      </c>
      <c r="C83" s="1" t="n">
        <v>46031</v>
      </c>
      <c r="D83" t="inlineStr">
        <is>
          <t>ÖSTERGÖTLANDS LÄN</t>
        </is>
      </c>
      <c r="E83" t="inlineStr">
        <is>
          <t>LINKÖPING</t>
        </is>
      </c>
      <c r="G83" t="n">
        <v>1.3</v>
      </c>
      <c r="H83" t="n">
        <v>1</v>
      </c>
      <c r="I83" t="n">
        <v>0</v>
      </c>
      <c r="J83" t="n">
        <v>1</v>
      </c>
      <c r="K83" t="n">
        <v>0</v>
      </c>
      <c r="L83" t="n">
        <v>0</v>
      </c>
      <c r="M83" t="n">
        <v>0</v>
      </c>
      <c r="N83" t="n">
        <v>0</v>
      </c>
      <c r="O83" t="n">
        <v>1</v>
      </c>
      <c r="P83" t="n">
        <v>0</v>
      </c>
      <c r="Q83" t="n">
        <v>1</v>
      </c>
      <c r="R83" s="2" t="inlineStr">
        <is>
          <t>Dårgräsfjäril</t>
        </is>
      </c>
      <c r="S83">
        <f>HYPERLINK("https://klasma.github.io/Logging_0580/artfynd/A 17444-2025 artfynd.xlsx", "A 17444-2025")</f>
        <v/>
      </c>
      <c r="T83">
        <f>HYPERLINK("https://klasma.github.io/Logging_0580/kartor/A 17444-2025 karta.png", "A 17444-2025")</f>
        <v/>
      </c>
      <c r="V83">
        <f>HYPERLINK("https://klasma.github.io/Logging_0580/klagomål/A 17444-2025 FSC-klagomål.docx", "A 17444-2025")</f>
        <v/>
      </c>
      <c r="W83">
        <f>HYPERLINK("https://klasma.github.io/Logging_0580/klagomålsmail/A 17444-2025 FSC-klagomål mail.docx", "A 17444-2025")</f>
        <v/>
      </c>
      <c r="X83">
        <f>HYPERLINK("https://klasma.github.io/Logging_0580/tillsyn/A 17444-2025 tillsynsbegäran.docx", "A 17444-2025")</f>
        <v/>
      </c>
      <c r="Y83">
        <f>HYPERLINK("https://klasma.github.io/Logging_0580/tillsynsmail/A 17444-2025 tillsynsbegäran mail.docx", "A 17444-2025")</f>
        <v/>
      </c>
    </row>
    <row r="84" ht="15" customHeight="1">
      <c r="A84" t="inlineStr">
        <is>
          <t>A 40309-2024</t>
        </is>
      </c>
      <c r="B84" s="1" t="n">
        <v>45554.724375</v>
      </c>
      <c r="C84" s="1" t="n">
        <v>46031</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15290-2025</t>
        </is>
      </c>
      <c r="B85" s="1" t="n">
        <v>45745.45288194445</v>
      </c>
      <c r="C85" s="1" t="n">
        <v>46031</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46031</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931-2025</t>
        </is>
      </c>
      <c r="B87" s="1" t="n">
        <v>45665.88498842593</v>
      </c>
      <c r="C87" s="1" t="n">
        <v>46031</v>
      </c>
      <c r="D87" t="inlineStr">
        <is>
          <t>ÖSTERGÖTLANDS LÄN</t>
        </is>
      </c>
      <c r="E87" t="inlineStr">
        <is>
          <t>LINKÖPING</t>
        </is>
      </c>
      <c r="F87" t="inlineStr">
        <is>
          <t>Övriga Aktiebolag</t>
        </is>
      </c>
      <c r="G87" t="n">
        <v>0.8</v>
      </c>
      <c r="H87" t="n">
        <v>0</v>
      </c>
      <c r="I87" t="n">
        <v>0</v>
      </c>
      <c r="J87" t="n">
        <v>1</v>
      </c>
      <c r="K87" t="n">
        <v>0</v>
      </c>
      <c r="L87" t="n">
        <v>0</v>
      </c>
      <c r="M87" t="n">
        <v>0</v>
      </c>
      <c r="N87" t="n">
        <v>0</v>
      </c>
      <c r="O87" t="n">
        <v>1</v>
      </c>
      <c r="P87" t="n">
        <v>0</v>
      </c>
      <c r="Q87" t="n">
        <v>1</v>
      </c>
      <c r="R87" s="2" t="inlineStr">
        <is>
          <t>Tallticka</t>
        </is>
      </c>
      <c r="S87">
        <f>HYPERLINK("https://klasma.github.io/Logging_0580/artfynd/A 931-2025 artfynd.xlsx", "A 931-2025")</f>
        <v/>
      </c>
      <c r="T87">
        <f>HYPERLINK("https://klasma.github.io/Logging_0580/kartor/A 931-2025 karta.png", "A 931-2025")</f>
        <v/>
      </c>
      <c r="V87">
        <f>HYPERLINK("https://klasma.github.io/Logging_0580/klagomål/A 931-2025 FSC-klagomål.docx", "A 931-2025")</f>
        <v/>
      </c>
      <c r="W87">
        <f>HYPERLINK("https://klasma.github.io/Logging_0580/klagomålsmail/A 931-2025 FSC-klagomål mail.docx", "A 931-2025")</f>
        <v/>
      </c>
      <c r="X87">
        <f>HYPERLINK("https://klasma.github.io/Logging_0580/tillsyn/A 931-2025 tillsynsbegäran.docx", "A 931-2025")</f>
        <v/>
      </c>
      <c r="Y87">
        <f>HYPERLINK("https://klasma.github.io/Logging_0580/tillsynsmail/A 931-2025 tillsynsbegäran mail.docx", "A 931-2025")</f>
        <v/>
      </c>
    </row>
    <row r="88" ht="15" customHeight="1">
      <c r="A88" t="inlineStr">
        <is>
          <t>A 126-2024</t>
        </is>
      </c>
      <c r="B88" s="1" t="n">
        <v>45294</v>
      </c>
      <c r="C88" s="1" t="n">
        <v>46031</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46031</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3397-2023</t>
        </is>
      </c>
      <c r="B90" s="1" t="n">
        <v>44949</v>
      </c>
      <c r="C90" s="1" t="n">
        <v>46031</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38881-2021</t>
        </is>
      </c>
      <c r="B91" s="1" t="n">
        <v>44411.46893518518</v>
      </c>
      <c r="C91" s="1" t="n">
        <v>46031</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46031</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46031</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46031</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46031</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46031</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46031</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46031</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46031</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46031</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46031</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46031</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46031</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46031</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46031</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46031</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46031</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46031</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46031</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46031</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46031</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46031</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46031</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46031</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46031</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46031</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46031</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46031</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46031</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46031</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46031</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46031</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46031</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46031</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46031</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46031</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46031</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46031</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46031</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46031</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46031</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46031</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46031</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46031</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46031</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46031</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46031</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46031</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46031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46031</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46031</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46031</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46031</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46031</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46031</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46031</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46031</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46031</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46031</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46031</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46031</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46031</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46031</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46031</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46031</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46031</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46031</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46031</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46031</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46031</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46031</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46031</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46031</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46031</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46031</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46031</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46031</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46031</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46031</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46031</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46031</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46031</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46031</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46031</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46031</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46031</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46031</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46031</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46031</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46031</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46031</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46031</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46031</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46031</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46031</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46031</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46031</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46031</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46031</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46031</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46031</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46031</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61333-2021</t>
        </is>
      </c>
      <c r="B198" s="1" t="n">
        <v>44498.6764699074</v>
      </c>
      <c r="C198" s="1" t="n">
        <v>46031</v>
      </c>
      <c r="D198" t="inlineStr">
        <is>
          <t>ÖSTERGÖTLANDS LÄN</t>
        </is>
      </c>
      <c r="E198" t="inlineStr">
        <is>
          <t>LINKÖPING</t>
        </is>
      </c>
      <c r="G198" t="n">
        <v>7.5</v>
      </c>
      <c r="H198" t="n">
        <v>0</v>
      </c>
      <c r="I198" t="n">
        <v>0</v>
      </c>
      <c r="J198" t="n">
        <v>0</v>
      </c>
      <c r="K198" t="n">
        <v>0</v>
      </c>
      <c r="L198" t="n">
        <v>0</v>
      </c>
      <c r="M198" t="n">
        <v>0</v>
      </c>
      <c r="N198" t="n">
        <v>0</v>
      </c>
      <c r="O198" t="n">
        <v>0</v>
      </c>
      <c r="P198" t="n">
        <v>0</v>
      </c>
      <c r="Q198" t="n">
        <v>0</v>
      </c>
      <c r="R198" s="2" t="inlineStr"/>
    </row>
    <row r="199" ht="15" customHeight="1">
      <c r="A199" t="inlineStr">
        <is>
          <t>A 12412-2022</t>
        </is>
      </c>
      <c r="B199" s="1" t="n">
        <v>44638</v>
      </c>
      <c r="C199" s="1" t="n">
        <v>46031</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46031</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34880-2022</t>
        </is>
      </c>
      <c r="B201" s="1" t="n">
        <v>44796</v>
      </c>
      <c r="C201" s="1" t="n">
        <v>46031</v>
      </c>
      <c r="D201" t="inlineStr">
        <is>
          <t>ÖSTERGÖTLANDS LÄN</t>
        </is>
      </c>
      <c r="E201" t="inlineStr">
        <is>
          <t>LINKÖPING</t>
        </is>
      </c>
      <c r="F201" t="inlineStr">
        <is>
          <t>Övriga statliga verk och myndigheter</t>
        </is>
      </c>
      <c r="G201" t="n">
        <v>4</v>
      </c>
      <c r="H201" t="n">
        <v>0</v>
      </c>
      <c r="I201" t="n">
        <v>0</v>
      </c>
      <c r="J201" t="n">
        <v>0</v>
      </c>
      <c r="K201" t="n">
        <v>0</v>
      </c>
      <c r="L201" t="n">
        <v>0</v>
      </c>
      <c r="M201" t="n">
        <v>0</v>
      </c>
      <c r="N201" t="n">
        <v>0</v>
      </c>
      <c r="O201" t="n">
        <v>0</v>
      </c>
      <c r="P201" t="n">
        <v>0</v>
      </c>
      <c r="Q201" t="n">
        <v>0</v>
      </c>
      <c r="R201" s="2" t="inlineStr"/>
    </row>
    <row r="202" ht="15" customHeight="1">
      <c r="A202" t="inlineStr">
        <is>
          <t>A 48042-2022</t>
        </is>
      </c>
      <c r="B202" s="1" t="n">
        <v>44855</v>
      </c>
      <c r="C202" s="1" t="n">
        <v>46031</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46031</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46031</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39021-2021</t>
        </is>
      </c>
      <c r="B205" s="1" t="n">
        <v>44412</v>
      </c>
      <c r="C205" s="1" t="n">
        <v>46031</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51484-2023</t>
        </is>
      </c>
      <c r="B206" s="1" t="n">
        <v>45222</v>
      </c>
      <c r="C206" s="1" t="n">
        <v>46031</v>
      </c>
      <c r="D206" t="inlineStr">
        <is>
          <t>ÖSTERGÖTLANDS LÄN</t>
        </is>
      </c>
      <c r="E206" t="inlineStr">
        <is>
          <t>LINKÖPING</t>
        </is>
      </c>
      <c r="F206" t="inlineStr">
        <is>
          <t>Övriga Aktiebolag</t>
        </is>
      </c>
      <c r="G206" t="n">
        <v>7.7</v>
      </c>
      <c r="H206" t="n">
        <v>0</v>
      </c>
      <c r="I206" t="n">
        <v>0</v>
      </c>
      <c r="J206" t="n">
        <v>0</v>
      </c>
      <c r="K206" t="n">
        <v>0</v>
      </c>
      <c r="L206" t="n">
        <v>0</v>
      </c>
      <c r="M206" t="n">
        <v>0</v>
      </c>
      <c r="N206" t="n">
        <v>0</v>
      </c>
      <c r="O206" t="n">
        <v>0</v>
      </c>
      <c r="P206" t="n">
        <v>0</v>
      </c>
      <c r="Q206" t="n">
        <v>0</v>
      </c>
      <c r="R206" s="2" t="inlineStr"/>
    </row>
    <row r="207" ht="15" customHeight="1">
      <c r="A207" t="inlineStr">
        <is>
          <t>A 63678-2023</t>
        </is>
      </c>
      <c r="B207" s="1" t="n">
        <v>45275.64769675926</v>
      </c>
      <c r="C207" s="1" t="n">
        <v>46031</v>
      </c>
      <c r="D207" t="inlineStr">
        <is>
          <t>ÖSTERGÖTLANDS LÄN</t>
        </is>
      </c>
      <c r="E207" t="inlineStr">
        <is>
          <t>LINKÖPING</t>
        </is>
      </c>
      <c r="F207" t="inlineStr">
        <is>
          <t>Övriga Aktiebolag</t>
        </is>
      </c>
      <c r="G207" t="n">
        <v>0.4</v>
      </c>
      <c r="H207" t="n">
        <v>0</v>
      </c>
      <c r="I207" t="n">
        <v>0</v>
      </c>
      <c r="J207" t="n">
        <v>0</v>
      </c>
      <c r="K207" t="n">
        <v>0</v>
      </c>
      <c r="L207" t="n">
        <v>0</v>
      </c>
      <c r="M207" t="n">
        <v>0</v>
      </c>
      <c r="N207" t="n">
        <v>0</v>
      </c>
      <c r="O207" t="n">
        <v>0</v>
      </c>
      <c r="P207" t="n">
        <v>0</v>
      </c>
      <c r="Q207" t="n">
        <v>0</v>
      </c>
      <c r="R207" s="2" t="inlineStr"/>
    </row>
    <row r="208" ht="15" customHeight="1">
      <c r="A208" t="inlineStr">
        <is>
          <t>A 63688-2023</t>
        </is>
      </c>
      <c r="B208" s="1" t="n">
        <v>45275</v>
      </c>
      <c r="C208" s="1" t="n">
        <v>46031</v>
      </c>
      <c r="D208" t="inlineStr">
        <is>
          <t>ÖSTERGÖTLANDS LÄN</t>
        </is>
      </c>
      <c r="E208" t="inlineStr">
        <is>
          <t>LINKÖPING</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63691-2023</t>
        </is>
      </c>
      <c r="B209" s="1" t="n">
        <v>45275</v>
      </c>
      <c r="C209" s="1" t="n">
        <v>46031</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34557-2022</t>
        </is>
      </c>
      <c r="B210" s="1" t="n">
        <v>44794.57074074074</v>
      </c>
      <c r="C210" s="1" t="n">
        <v>46031</v>
      </c>
      <c r="D210" t="inlineStr">
        <is>
          <t>ÖSTERGÖTLANDS LÄN</t>
        </is>
      </c>
      <c r="E210" t="inlineStr">
        <is>
          <t>LINKÖPING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17157-2024</t>
        </is>
      </c>
      <c r="B211" s="1" t="n">
        <v>45412.70567129629</v>
      </c>
      <c r="C211" s="1" t="n">
        <v>46031</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13689-2025</t>
        </is>
      </c>
      <c r="B212" s="1" t="n">
        <v>45737.31590277778</v>
      </c>
      <c r="C212" s="1" t="n">
        <v>46031</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13696-2025</t>
        </is>
      </c>
      <c r="B213" s="1" t="n">
        <v>45737.32273148148</v>
      </c>
      <c r="C213" s="1" t="n">
        <v>46031</v>
      </c>
      <c r="D213" t="inlineStr">
        <is>
          <t>ÖSTERGÖTLANDS LÄN</t>
        </is>
      </c>
      <c r="E213" t="inlineStr">
        <is>
          <t>LINKÖPING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9434-2024</t>
        </is>
      </c>
      <c r="B214" s="1" t="n">
        <v>45359</v>
      </c>
      <c r="C214" s="1" t="n">
        <v>46031</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12428-2024</t>
        </is>
      </c>
      <c r="B215" s="1" t="n">
        <v>45379</v>
      </c>
      <c r="C215" s="1" t="n">
        <v>46031</v>
      </c>
      <c r="D215" t="inlineStr">
        <is>
          <t>ÖSTERGÖTLANDS LÄN</t>
        </is>
      </c>
      <c r="E215" t="inlineStr">
        <is>
          <t>LINKÖPING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10407-2025</t>
        </is>
      </c>
      <c r="B216" s="1" t="n">
        <v>45720.62863425926</v>
      </c>
      <c r="C216" s="1" t="n">
        <v>46031</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46225-2021</t>
        </is>
      </c>
      <c r="B217" s="1" t="n">
        <v>44442</v>
      </c>
      <c r="C217" s="1" t="n">
        <v>46031</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54428-2022</t>
        </is>
      </c>
      <c r="B218" s="1" t="n">
        <v>44882.57643518518</v>
      </c>
      <c r="C218" s="1" t="n">
        <v>46031</v>
      </c>
      <c r="D218" t="inlineStr">
        <is>
          <t>ÖSTERGÖTLANDS LÄN</t>
        </is>
      </c>
      <c r="E218" t="inlineStr">
        <is>
          <t>LINKÖPING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48962-2022</t>
        </is>
      </c>
      <c r="B219" s="1" t="n">
        <v>44860.31635416667</v>
      </c>
      <c r="C219" s="1" t="n">
        <v>46031</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53647-2021</t>
        </is>
      </c>
      <c r="B220" s="1" t="n">
        <v>44469</v>
      </c>
      <c r="C220" s="1" t="n">
        <v>46031</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46031</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18916-2024</t>
        </is>
      </c>
      <c r="B222" s="1" t="n">
        <v>45427.39541666667</v>
      </c>
      <c r="C222" s="1" t="n">
        <v>46031</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11790-2024</t>
        </is>
      </c>
      <c r="B223" s="1" t="n">
        <v>45374</v>
      </c>
      <c r="C223" s="1" t="n">
        <v>46031</v>
      </c>
      <c r="D223" t="inlineStr">
        <is>
          <t>ÖSTERGÖTLANDS LÄN</t>
        </is>
      </c>
      <c r="E223" t="inlineStr">
        <is>
          <t>LINKÖPING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9473-2024</t>
        </is>
      </c>
      <c r="B224" s="1" t="n">
        <v>45359.55474537037</v>
      </c>
      <c r="C224" s="1" t="n">
        <v>46031</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24586-2024</t>
        </is>
      </c>
      <c r="B225" s="1" t="n">
        <v>45460.46664351852</v>
      </c>
      <c r="C225" s="1" t="n">
        <v>46031</v>
      </c>
      <c r="D225" t="inlineStr">
        <is>
          <t>ÖSTERGÖTLANDS LÄN</t>
        </is>
      </c>
      <c r="E225" t="inlineStr">
        <is>
          <t>LINKÖPING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3008-2023</t>
        </is>
      </c>
      <c r="B226" s="1" t="n">
        <v>44945.79784722222</v>
      </c>
      <c r="C226" s="1" t="n">
        <v>46031</v>
      </c>
      <c r="D226" t="inlineStr">
        <is>
          <t>ÖSTERGÖTLANDS LÄN</t>
        </is>
      </c>
      <c r="E226" t="inlineStr">
        <is>
          <t>LINKÖPING</t>
        </is>
      </c>
      <c r="G226" t="n">
        <v>19.3</v>
      </c>
      <c r="H226" t="n">
        <v>0</v>
      </c>
      <c r="I226" t="n">
        <v>0</v>
      </c>
      <c r="J226" t="n">
        <v>0</v>
      </c>
      <c r="K226" t="n">
        <v>0</v>
      </c>
      <c r="L226" t="n">
        <v>0</v>
      </c>
      <c r="M226" t="n">
        <v>0</v>
      </c>
      <c r="N226" t="n">
        <v>0</v>
      </c>
      <c r="O226" t="n">
        <v>0</v>
      </c>
      <c r="P226" t="n">
        <v>0</v>
      </c>
      <c r="Q226" t="n">
        <v>0</v>
      </c>
      <c r="R226" s="2" t="inlineStr"/>
    </row>
    <row r="227" ht="15" customHeight="1">
      <c r="A227" t="inlineStr">
        <is>
          <t>A 10797-2024</t>
        </is>
      </c>
      <c r="B227" s="1" t="n">
        <v>45369.6190162037</v>
      </c>
      <c r="C227" s="1" t="n">
        <v>46031</v>
      </c>
      <c r="D227" t="inlineStr">
        <is>
          <t>ÖSTERGÖTLANDS LÄN</t>
        </is>
      </c>
      <c r="E227" t="inlineStr">
        <is>
          <t>LINKÖPING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22264-2025</t>
        </is>
      </c>
      <c r="B228" s="1" t="n">
        <v>45785</v>
      </c>
      <c r="C228" s="1" t="n">
        <v>46031</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17124-2025</t>
        </is>
      </c>
      <c r="B229" s="1" t="n">
        <v>45755.69678240741</v>
      </c>
      <c r="C229" s="1" t="n">
        <v>46031</v>
      </c>
      <c r="D229" t="inlineStr">
        <is>
          <t>ÖSTERGÖTLANDS LÄN</t>
        </is>
      </c>
      <c r="E229" t="inlineStr">
        <is>
          <t>LINKÖPING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17126-2025</t>
        </is>
      </c>
      <c r="B230" s="1" t="n">
        <v>45755.70814814815</v>
      </c>
      <c r="C230" s="1" t="n">
        <v>46031</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17143-2025</t>
        </is>
      </c>
      <c r="B231" s="1" t="n">
        <v>45755.92731481481</v>
      </c>
      <c r="C231" s="1" t="n">
        <v>46031</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55345-2021</t>
        </is>
      </c>
      <c r="B232" s="1" t="n">
        <v>44475</v>
      </c>
      <c r="C232" s="1" t="n">
        <v>46031</v>
      </c>
      <c r="D232" t="inlineStr">
        <is>
          <t>ÖSTERGÖTLANDS LÄN</t>
        </is>
      </c>
      <c r="E232" t="inlineStr">
        <is>
          <t>LINKÖPING</t>
        </is>
      </c>
      <c r="G232" t="n">
        <v>5.7</v>
      </c>
      <c r="H232" t="n">
        <v>0</v>
      </c>
      <c r="I232" t="n">
        <v>0</v>
      </c>
      <c r="J232" t="n">
        <v>0</v>
      </c>
      <c r="K232" t="n">
        <v>0</v>
      </c>
      <c r="L232" t="n">
        <v>0</v>
      </c>
      <c r="M232" t="n">
        <v>0</v>
      </c>
      <c r="N232" t="n">
        <v>0</v>
      </c>
      <c r="O232" t="n">
        <v>0</v>
      </c>
      <c r="P232" t="n">
        <v>0</v>
      </c>
      <c r="Q232" t="n">
        <v>0</v>
      </c>
      <c r="R232" s="2" t="inlineStr"/>
    </row>
    <row r="233" ht="15" customHeight="1">
      <c r="A233" t="inlineStr">
        <is>
          <t>A 6859-2024</t>
        </is>
      </c>
      <c r="B233" s="1" t="n">
        <v>45342</v>
      </c>
      <c r="C233" s="1" t="n">
        <v>46031</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38580-2024</t>
        </is>
      </c>
      <c r="B234" s="1" t="n">
        <v>45546.64825231482</v>
      </c>
      <c r="C234" s="1" t="n">
        <v>46031</v>
      </c>
      <c r="D234" t="inlineStr">
        <is>
          <t>ÖSTERGÖTLANDS LÄN</t>
        </is>
      </c>
      <c r="E234" t="inlineStr">
        <is>
          <t>LINKÖPING</t>
        </is>
      </c>
      <c r="G234" t="n">
        <v>4.8</v>
      </c>
      <c r="H234" t="n">
        <v>0</v>
      </c>
      <c r="I234" t="n">
        <v>0</v>
      </c>
      <c r="J234" t="n">
        <v>0</v>
      </c>
      <c r="K234" t="n">
        <v>0</v>
      </c>
      <c r="L234" t="n">
        <v>0</v>
      </c>
      <c r="M234" t="n">
        <v>0</v>
      </c>
      <c r="N234" t="n">
        <v>0</v>
      </c>
      <c r="O234" t="n">
        <v>0</v>
      </c>
      <c r="P234" t="n">
        <v>0</v>
      </c>
      <c r="Q234" t="n">
        <v>0</v>
      </c>
      <c r="R234" s="2" t="inlineStr"/>
    </row>
    <row r="235" ht="15" customHeight="1">
      <c r="A235" t="inlineStr">
        <is>
          <t>A 39017-2021</t>
        </is>
      </c>
      <c r="B235" s="1" t="n">
        <v>44412</v>
      </c>
      <c r="C235" s="1" t="n">
        <v>46031</v>
      </c>
      <c r="D235" t="inlineStr">
        <is>
          <t>ÖSTERGÖTLANDS LÄN</t>
        </is>
      </c>
      <c r="E235" t="inlineStr">
        <is>
          <t>LINKÖPING</t>
        </is>
      </c>
      <c r="F235" t="inlineStr">
        <is>
          <t>Övriga statliga verk och myndigheter</t>
        </is>
      </c>
      <c r="G235" t="n">
        <v>0.8</v>
      </c>
      <c r="H235" t="n">
        <v>0</v>
      </c>
      <c r="I235" t="n">
        <v>0</v>
      </c>
      <c r="J235" t="n">
        <v>0</v>
      </c>
      <c r="K235" t="n">
        <v>0</v>
      </c>
      <c r="L235" t="n">
        <v>0</v>
      </c>
      <c r="M235" t="n">
        <v>0</v>
      </c>
      <c r="N235" t="n">
        <v>0</v>
      </c>
      <c r="O235" t="n">
        <v>0</v>
      </c>
      <c r="P235" t="n">
        <v>0</v>
      </c>
      <c r="Q235" t="n">
        <v>0</v>
      </c>
      <c r="R235" s="2" t="inlineStr"/>
    </row>
    <row r="236" ht="15" customHeight="1">
      <c r="A236" t="inlineStr">
        <is>
          <t>A 572-2025</t>
        </is>
      </c>
      <c r="B236" s="1" t="n">
        <v>45664.56349537037</v>
      </c>
      <c r="C236" s="1" t="n">
        <v>46031</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22364-2025</t>
        </is>
      </c>
      <c r="B237" s="1" t="n">
        <v>45786.46930555555</v>
      </c>
      <c r="C237" s="1" t="n">
        <v>46031</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44287-2024</t>
        </is>
      </c>
      <c r="B238" s="1" t="n">
        <v>45573.50582175926</v>
      </c>
      <c r="C238" s="1" t="n">
        <v>46031</v>
      </c>
      <c r="D238" t="inlineStr">
        <is>
          <t>ÖSTERGÖTLANDS LÄN</t>
        </is>
      </c>
      <c r="E238" t="inlineStr">
        <is>
          <t>LINKÖPING</t>
        </is>
      </c>
      <c r="G238" t="n">
        <v>12.7</v>
      </c>
      <c r="H238" t="n">
        <v>0</v>
      </c>
      <c r="I238" t="n">
        <v>0</v>
      </c>
      <c r="J238" t="n">
        <v>0</v>
      </c>
      <c r="K238" t="n">
        <v>0</v>
      </c>
      <c r="L238" t="n">
        <v>0</v>
      </c>
      <c r="M238" t="n">
        <v>0</v>
      </c>
      <c r="N238" t="n">
        <v>0</v>
      </c>
      <c r="O238" t="n">
        <v>0</v>
      </c>
      <c r="P238" t="n">
        <v>0</v>
      </c>
      <c r="Q238" t="n">
        <v>0</v>
      </c>
      <c r="R238" s="2" t="inlineStr"/>
    </row>
    <row r="239" ht="15" customHeight="1">
      <c r="A239" t="inlineStr">
        <is>
          <t>A 29312-2024</t>
        </is>
      </c>
      <c r="B239" s="1" t="n">
        <v>45483</v>
      </c>
      <c r="C239" s="1" t="n">
        <v>46031</v>
      </c>
      <c r="D239" t="inlineStr">
        <is>
          <t>ÖSTERGÖTLANDS LÄN</t>
        </is>
      </c>
      <c r="E239" t="inlineStr">
        <is>
          <t>LINKÖPING</t>
        </is>
      </c>
      <c r="G239" t="n">
        <v>2.1</v>
      </c>
      <c r="H239" t="n">
        <v>0</v>
      </c>
      <c r="I239" t="n">
        <v>0</v>
      </c>
      <c r="J239" t="n">
        <v>0</v>
      </c>
      <c r="K239" t="n">
        <v>0</v>
      </c>
      <c r="L239" t="n">
        <v>0</v>
      </c>
      <c r="M239" t="n">
        <v>0</v>
      </c>
      <c r="N239" t="n">
        <v>0</v>
      </c>
      <c r="O239" t="n">
        <v>0</v>
      </c>
      <c r="P239" t="n">
        <v>0</v>
      </c>
      <c r="Q239" t="n">
        <v>0</v>
      </c>
      <c r="R239" s="2" t="inlineStr"/>
    </row>
    <row r="240" ht="15" customHeight="1">
      <c r="A240" t="inlineStr">
        <is>
          <t>A 61281-2021</t>
        </is>
      </c>
      <c r="B240" s="1" t="n">
        <v>44498.60736111111</v>
      </c>
      <c r="C240" s="1" t="n">
        <v>46031</v>
      </c>
      <c r="D240" t="inlineStr">
        <is>
          <t>ÖSTERGÖTLANDS LÄN</t>
        </is>
      </c>
      <c r="E240" t="inlineStr">
        <is>
          <t>LINKÖPING</t>
        </is>
      </c>
      <c r="G240" t="n">
        <v>4.5</v>
      </c>
      <c r="H240" t="n">
        <v>0</v>
      </c>
      <c r="I240" t="n">
        <v>0</v>
      </c>
      <c r="J240" t="n">
        <v>0</v>
      </c>
      <c r="K240" t="n">
        <v>0</v>
      </c>
      <c r="L240" t="n">
        <v>0</v>
      </c>
      <c r="M240" t="n">
        <v>0</v>
      </c>
      <c r="N240" t="n">
        <v>0</v>
      </c>
      <c r="O240" t="n">
        <v>0</v>
      </c>
      <c r="P240" t="n">
        <v>0</v>
      </c>
      <c r="Q240" t="n">
        <v>0</v>
      </c>
      <c r="R240" s="2" t="inlineStr"/>
    </row>
    <row r="241" ht="15" customHeight="1">
      <c r="A241" t="inlineStr">
        <is>
          <t>A 63935-2021</t>
        </is>
      </c>
      <c r="B241" s="1" t="n">
        <v>44509</v>
      </c>
      <c r="C241" s="1" t="n">
        <v>46031</v>
      </c>
      <c r="D241" t="inlineStr">
        <is>
          <t>ÖSTERGÖTLANDS LÄN</t>
        </is>
      </c>
      <c r="E241" t="inlineStr">
        <is>
          <t>LINKÖPING</t>
        </is>
      </c>
      <c r="F241" t="inlineStr">
        <is>
          <t>Övriga statliga verk och myndigheter</t>
        </is>
      </c>
      <c r="G241" t="n">
        <v>2.8</v>
      </c>
      <c r="H241" t="n">
        <v>0</v>
      </c>
      <c r="I241" t="n">
        <v>0</v>
      </c>
      <c r="J241" t="n">
        <v>0</v>
      </c>
      <c r="K241" t="n">
        <v>0</v>
      </c>
      <c r="L241" t="n">
        <v>0</v>
      </c>
      <c r="M241" t="n">
        <v>0</v>
      </c>
      <c r="N241" t="n">
        <v>0</v>
      </c>
      <c r="O241" t="n">
        <v>0</v>
      </c>
      <c r="P241" t="n">
        <v>0</v>
      </c>
      <c r="Q241" t="n">
        <v>0</v>
      </c>
      <c r="R241" s="2" t="inlineStr"/>
    </row>
    <row r="242" ht="15" customHeight="1">
      <c r="A242" t="inlineStr">
        <is>
          <t>A 25292-2021</t>
        </is>
      </c>
      <c r="B242" s="1" t="n">
        <v>44342</v>
      </c>
      <c r="C242" s="1" t="n">
        <v>46031</v>
      </c>
      <c r="D242" t="inlineStr">
        <is>
          <t>ÖSTERGÖTLANDS LÄN</t>
        </is>
      </c>
      <c r="E242" t="inlineStr">
        <is>
          <t>LINKÖPING</t>
        </is>
      </c>
      <c r="F242" t="inlineStr">
        <is>
          <t>Övriga Aktiebolag</t>
        </is>
      </c>
      <c r="G242" t="n">
        <v>12.8</v>
      </c>
      <c r="H242" t="n">
        <v>0</v>
      </c>
      <c r="I242" t="n">
        <v>0</v>
      </c>
      <c r="J242" t="n">
        <v>0</v>
      </c>
      <c r="K242" t="n">
        <v>0</v>
      </c>
      <c r="L242" t="n">
        <v>0</v>
      </c>
      <c r="M242" t="n">
        <v>0</v>
      </c>
      <c r="N242" t="n">
        <v>0</v>
      </c>
      <c r="O242" t="n">
        <v>0</v>
      </c>
      <c r="P242" t="n">
        <v>0</v>
      </c>
      <c r="Q242" t="n">
        <v>0</v>
      </c>
      <c r="R242" s="2" t="inlineStr"/>
    </row>
    <row r="243" ht="15" customHeight="1">
      <c r="A243" t="inlineStr">
        <is>
          <t>A 16820-2024</t>
        </is>
      </c>
      <c r="B243" s="1" t="n">
        <v>45411.46809027778</v>
      </c>
      <c r="C243" s="1" t="n">
        <v>46031</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30980-2022</t>
        </is>
      </c>
      <c r="B244" s="1" t="n">
        <v>44768</v>
      </c>
      <c r="C244" s="1" t="n">
        <v>46031</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23120-2025</t>
        </is>
      </c>
      <c r="B245" s="1" t="n">
        <v>45791.37481481482</v>
      </c>
      <c r="C245" s="1" t="n">
        <v>46031</v>
      </c>
      <c r="D245" t="inlineStr">
        <is>
          <t>ÖSTERGÖTLANDS LÄN</t>
        </is>
      </c>
      <c r="E245" t="inlineStr">
        <is>
          <t>LINKÖPING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39074-2025</t>
        </is>
      </c>
      <c r="B246" s="1" t="n">
        <v>45888</v>
      </c>
      <c r="C246" s="1" t="n">
        <v>46031</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24351-2024</t>
        </is>
      </c>
      <c r="B247" s="1" t="n">
        <v>45457.59011574074</v>
      </c>
      <c r="C247" s="1" t="n">
        <v>46031</v>
      </c>
      <c r="D247" t="inlineStr">
        <is>
          <t>ÖSTERGÖTLANDS LÄN</t>
        </is>
      </c>
      <c r="E247" t="inlineStr">
        <is>
          <t>LINKÖPING</t>
        </is>
      </c>
      <c r="G247" t="n">
        <v>11.9</v>
      </c>
      <c r="H247" t="n">
        <v>0</v>
      </c>
      <c r="I247" t="n">
        <v>0</v>
      </c>
      <c r="J247" t="n">
        <v>0</v>
      </c>
      <c r="K247" t="n">
        <v>0</v>
      </c>
      <c r="L247" t="n">
        <v>0</v>
      </c>
      <c r="M247" t="n">
        <v>0</v>
      </c>
      <c r="N247" t="n">
        <v>0</v>
      </c>
      <c r="O247" t="n">
        <v>0</v>
      </c>
      <c r="P247" t="n">
        <v>0</v>
      </c>
      <c r="Q247" t="n">
        <v>0</v>
      </c>
      <c r="R247" s="2" t="inlineStr"/>
    </row>
    <row r="248" ht="15" customHeight="1">
      <c r="A248" t="inlineStr">
        <is>
          <t>A 62501-2023</t>
        </is>
      </c>
      <c r="B248" s="1" t="n">
        <v>45268</v>
      </c>
      <c r="C248" s="1" t="n">
        <v>46031</v>
      </c>
      <c r="D248" t="inlineStr">
        <is>
          <t>ÖSTERGÖTLANDS LÄN</t>
        </is>
      </c>
      <c r="E248" t="inlineStr">
        <is>
          <t>LINKÖPING</t>
        </is>
      </c>
      <c r="G248" t="n">
        <v>7.4</v>
      </c>
      <c r="H248" t="n">
        <v>0</v>
      </c>
      <c r="I248" t="n">
        <v>0</v>
      </c>
      <c r="J248" t="n">
        <v>0</v>
      </c>
      <c r="K248" t="n">
        <v>0</v>
      </c>
      <c r="L248" t="n">
        <v>0</v>
      </c>
      <c r="M248" t="n">
        <v>0</v>
      </c>
      <c r="N248" t="n">
        <v>0</v>
      </c>
      <c r="O248" t="n">
        <v>0</v>
      </c>
      <c r="P248" t="n">
        <v>0</v>
      </c>
      <c r="Q248" t="n">
        <v>0</v>
      </c>
      <c r="R248" s="2" t="inlineStr"/>
    </row>
    <row r="249" ht="15" customHeight="1">
      <c r="A249" t="inlineStr">
        <is>
          <t>A 58947-2022</t>
        </is>
      </c>
      <c r="B249" s="1" t="n">
        <v>44903.64769675926</v>
      </c>
      <c r="C249" s="1" t="n">
        <v>46031</v>
      </c>
      <c r="D249" t="inlineStr">
        <is>
          <t>ÖSTERGÖTLANDS LÄN</t>
        </is>
      </c>
      <c r="E249" t="inlineStr">
        <is>
          <t>LINKÖPING</t>
        </is>
      </c>
      <c r="G249" t="n">
        <v>4</v>
      </c>
      <c r="H249" t="n">
        <v>0</v>
      </c>
      <c r="I249" t="n">
        <v>0</v>
      </c>
      <c r="J249" t="n">
        <v>0</v>
      </c>
      <c r="K249" t="n">
        <v>0</v>
      </c>
      <c r="L249" t="n">
        <v>0</v>
      </c>
      <c r="M249" t="n">
        <v>0</v>
      </c>
      <c r="N249" t="n">
        <v>0</v>
      </c>
      <c r="O249" t="n">
        <v>0</v>
      </c>
      <c r="P249" t="n">
        <v>0</v>
      </c>
      <c r="Q249" t="n">
        <v>0</v>
      </c>
      <c r="R249" s="2" t="inlineStr"/>
    </row>
    <row r="250" ht="15" customHeight="1">
      <c r="A250" t="inlineStr">
        <is>
          <t>A 49979-2022</t>
        </is>
      </c>
      <c r="B250" s="1" t="n">
        <v>44865</v>
      </c>
      <c r="C250" s="1" t="n">
        <v>46031</v>
      </c>
      <c r="D250" t="inlineStr">
        <is>
          <t>ÖSTERGÖTLANDS LÄN</t>
        </is>
      </c>
      <c r="E250" t="inlineStr">
        <is>
          <t>LINKÖPING</t>
        </is>
      </c>
      <c r="F250" t="inlineStr">
        <is>
          <t>Övriga Aktiebolag</t>
        </is>
      </c>
      <c r="G250" t="n">
        <v>11.4</v>
      </c>
      <c r="H250" t="n">
        <v>0</v>
      </c>
      <c r="I250" t="n">
        <v>0</v>
      </c>
      <c r="J250" t="n">
        <v>0</v>
      </c>
      <c r="K250" t="n">
        <v>0</v>
      </c>
      <c r="L250" t="n">
        <v>0</v>
      </c>
      <c r="M250" t="n">
        <v>0</v>
      </c>
      <c r="N250" t="n">
        <v>0</v>
      </c>
      <c r="O250" t="n">
        <v>0</v>
      </c>
      <c r="P250" t="n">
        <v>0</v>
      </c>
      <c r="Q250" t="n">
        <v>0</v>
      </c>
      <c r="R250" s="2" t="inlineStr"/>
    </row>
    <row r="251" ht="15" customHeight="1">
      <c r="A251" t="inlineStr">
        <is>
          <t>A 38971-2025</t>
        </is>
      </c>
      <c r="B251" s="1" t="n">
        <v>45887.71827546296</v>
      </c>
      <c r="C251" s="1" t="n">
        <v>46031</v>
      </c>
      <c r="D251" t="inlineStr">
        <is>
          <t>ÖSTERGÖTLANDS LÄN</t>
        </is>
      </c>
      <c r="E251" t="inlineStr">
        <is>
          <t>LINKÖPING</t>
        </is>
      </c>
      <c r="G251" t="n">
        <v>3.9</v>
      </c>
      <c r="H251" t="n">
        <v>0</v>
      </c>
      <c r="I251" t="n">
        <v>0</v>
      </c>
      <c r="J251" t="n">
        <v>0</v>
      </c>
      <c r="K251" t="n">
        <v>0</v>
      </c>
      <c r="L251" t="n">
        <v>0</v>
      </c>
      <c r="M251" t="n">
        <v>0</v>
      </c>
      <c r="N251" t="n">
        <v>0</v>
      </c>
      <c r="O251" t="n">
        <v>0</v>
      </c>
      <c r="P251" t="n">
        <v>0</v>
      </c>
      <c r="Q251" t="n">
        <v>0</v>
      </c>
      <c r="R251" s="2" t="inlineStr"/>
    </row>
    <row r="252" ht="15" customHeight="1">
      <c r="A252" t="inlineStr">
        <is>
          <t>A 72567-2021</t>
        </is>
      </c>
      <c r="B252" s="1" t="n">
        <v>44546.45023148148</v>
      </c>
      <c r="C252" s="1" t="n">
        <v>46031</v>
      </c>
      <c r="D252" t="inlineStr">
        <is>
          <t>ÖSTERGÖTLANDS LÄN</t>
        </is>
      </c>
      <c r="E252" t="inlineStr">
        <is>
          <t>LINKÖPING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53827-2023</t>
        </is>
      </c>
      <c r="B253" s="1" t="n">
        <v>45230</v>
      </c>
      <c r="C253" s="1" t="n">
        <v>46031</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27264-2025</t>
        </is>
      </c>
      <c r="B254" s="1" t="n">
        <v>45812.4794212963</v>
      </c>
      <c r="C254" s="1" t="n">
        <v>46031</v>
      </c>
      <c r="D254" t="inlineStr">
        <is>
          <t>ÖSTERGÖTLANDS LÄN</t>
        </is>
      </c>
      <c r="E254" t="inlineStr">
        <is>
          <t>LINKÖPING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940-2023</t>
        </is>
      </c>
      <c r="B255" s="1" t="n">
        <v>44933</v>
      </c>
      <c r="C255" s="1" t="n">
        <v>46031</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55004-2025</t>
        </is>
      </c>
      <c r="B256" s="1" t="n">
        <v>45967</v>
      </c>
      <c r="C256" s="1" t="n">
        <v>46031</v>
      </c>
      <c r="D256" t="inlineStr">
        <is>
          <t>ÖSTERGÖTLANDS LÄN</t>
        </is>
      </c>
      <c r="E256" t="inlineStr">
        <is>
          <t>LINKÖPING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7992-2023</t>
        </is>
      </c>
      <c r="B257" s="1" t="n">
        <v>44970</v>
      </c>
      <c r="C257" s="1" t="n">
        <v>46031</v>
      </c>
      <c r="D257" t="inlineStr">
        <is>
          <t>ÖSTERGÖTLANDS LÄN</t>
        </is>
      </c>
      <c r="E257" t="inlineStr">
        <is>
          <t>LINKÖPING</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39438-2025</t>
        </is>
      </c>
      <c r="B258" s="1" t="n">
        <v>45889.68641203704</v>
      </c>
      <c r="C258" s="1" t="n">
        <v>46031</v>
      </c>
      <c r="D258" t="inlineStr">
        <is>
          <t>ÖSTERGÖTLANDS LÄN</t>
        </is>
      </c>
      <c r="E258" t="inlineStr">
        <is>
          <t>LINKÖPING</t>
        </is>
      </c>
      <c r="G258" t="n">
        <v>2.4</v>
      </c>
      <c r="H258" t="n">
        <v>0</v>
      </c>
      <c r="I258" t="n">
        <v>0</v>
      </c>
      <c r="J258" t="n">
        <v>0</v>
      </c>
      <c r="K258" t="n">
        <v>0</v>
      </c>
      <c r="L258" t="n">
        <v>0</v>
      </c>
      <c r="M258" t="n">
        <v>0</v>
      </c>
      <c r="N258" t="n">
        <v>0</v>
      </c>
      <c r="O258" t="n">
        <v>0</v>
      </c>
      <c r="P258" t="n">
        <v>0</v>
      </c>
      <c r="Q258" t="n">
        <v>0</v>
      </c>
      <c r="R258" s="2" t="inlineStr"/>
    </row>
    <row r="259" ht="15" customHeight="1">
      <c r="A259" t="inlineStr">
        <is>
          <t>A 45819-2024</t>
        </is>
      </c>
      <c r="B259" s="1" t="n">
        <v>45579.7454050926</v>
      </c>
      <c r="C259" s="1" t="n">
        <v>46031</v>
      </c>
      <c r="D259" t="inlineStr">
        <is>
          <t>ÖSTERGÖTLANDS LÄN</t>
        </is>
      </c>
      <c r="E259" t="inlineStr">
        <is>
          <t>LINKÖPING</t>
        </is>
      </c>
      <c r="G259" t="n">
        <v>5</v>
      </c>
      <c r="H259" t="n">
        <v>0</v>
      </c>
      <c r="I259" t="n">
        <v>0</v>
      </c>
      <c r="J259" t="n">
        <v>0</v>
      </c>
      <c r="K259" t="n">
        <v>0</v>
      </c>
      <c r="L259" t="n">
        <v>0</v>
      </c>
      <c r="M259" t="n">
        <v>0</v>
      </c>
      <c r="N259" t="n">
        <v>0</v>
      </c>
      <c r="O259" t="n">
        <v>0</v>
      </c>
      <c r="P259" t="n">
        <v>0</v>
      </c>
      <c r="Q259" t="n">
        <v>0</v>
      </c>
      <c r="R259" s="2" t="inlineStr"/>
    </row>
    <row r="260" ht="15" customHeight="1">
      <c r="A260" t="inlineStr">
        <is>
          <t>A 48699-2024</t>
        </is>
      </c>
      <c r="B260" s="1" t="n">
        <v>45593.52091435185</v>
      </c>
      <c r="C260" s="1" t="n">
        <v>46031</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3041-2024</t>
        </is>
      </c>
      <c r="B261" s="1" t="n">
        <v>45316.34875</v>
      </c>
      <c r="C261" s="1" t="n">
        <v>46031</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927-2026</t>
        </is>
      </c>
      <c r="B262" s="1" t="n">
        <v>46030.50560185185</v>
      </c>
      <c r="C262" s="1" t="n">
        <v>46031</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3530-2024</t>
        </is>
      </c>
      <c r="B263" s="1" t="n">
        <v>45320.54717592592</v>
      </c>
      <c r="C263" s="1" t="n">
        <v>46031</v>
      </c>
      <c r="D263" t="inlineStr">
        <is>
          <t>ÖSTERGÖTLANDS LÄN</t>
        </is>
      </c>
      <c r="E263" t="inlineStr">
        <is>
          <t>LINKÖPING</t>
        </is>
      </c>
      <c r="G263" t="n">
        <v>1.5</v>
      </c>
      <c r="H263" t="n">
        <v>0</v>
      </c>
      <c r="I263" t="n">
        <v>0</v>
      </c>
      <c r="J263" t="n">
        <v>0</v>
      </c>
      <c r="K263" t="n">
        <v>0</v>
      </c>
      <c r="L263" t="n">
        <v>0</v>
      </c>
      <c r="M263" t="n">
        <v>0</v>
      </c>
      <c r="N263" t="n">
        <v>0</v>
      </c>
      <c r="O263" t="n">
        <v>0</v>
      </c>
      <c r="P263" t="n">
        <v>0</v>
      </c>
      <c r="Q263" t="n">
        <v>0</v>
      </c>
      <c r="R263" s="2" t="inlineStr"/>
    </row>
    <row r="264" ht="15" customHeight="1">
      <c r="A264" t="inlineStr">
        <is>
          <t>A 856-2026</t>
        </is>
      </c>
      <c r="B264" s="1" t="n">
        <v>46030.40644675926</v>
      </c>
      <c r="C264" s="1" t="n">
        <v>46031</v>
      </c>
      <c r="D264" t="inlineStr">
        <is>
          <t>ÖSTERGÖTLANDS LÄN</t>
        </is>
      </c>
      <c r="E264" t="inlineStr">
        <is>
          <t>LINKÖPING</t>
        </is>
      </c>
      <c r="G264" t="n">
        <v>6.4</v>
      </c>
      <c r="H264" t="n">
        <v>0</v>
      </c>
      <c r="I264" t="n">
        <v>0</v>
      </c>
      <c r="J264" t="n">
        <v>0</v>
      </c>
      <c r="K264" t="n">
        <v>0</v>
      </c>
      <c r="L264" t="n">
        <v>0</v>
      </c>
      <c r="M264" t="n">
        <v>0</v>
      </c>
      <c r="N264" t="n">
        <v>0</v>
      </c>
      <c r="O264" t="n">
        <v>0</v>
      </c>
      <c r="P264" t="n">
        <v>0</v>
      </c>
      <c r="Q264" t="n">
        <v>0</v>
      </c>
      <c r="R264" s="2" t="inlineStr"/>
    </row>
    <row r="265" ht="15" customHeight="1">
      <c r="A265" t="inlineStr">
        <is>
          <t>A 40169-2025</t>
        </is>
      </c>
      <c r="B265" s="1" t="n">
        <v>45894.62824074074</v>
      </c>
      <c r="C265" s="1" t="n">
        <v>46031</v>
      </c>
      <c r="D265" t="inlineStr">
        <is>
          <t>ÖSTERGÖTLANDS LÄN</t>
        </is>
      </c>
      <c r="E265" t="inlineStr">
        <is>
          <t>LINKÖPING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62686-2023</t>
        </is>
      </c>
      <c r="B266" s="1" t="n">
        <v>45271</v>
      </c>
      <c r="C266" s="1" t="n">
        <v>46031</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859-2026</t>
        </is>
      </c>
      <c r="B267" s="1" t="n">
        <v>46030.41450231482</v>
      </c>
      <c r="C267" s="1" t="n">
        <v>46031</v>
      </c>
      <c r="D267" t="inlineStr">
        <is>
          <t>ÖSTERGÖTLANDS LÄN</t>
        </is>
      </c>
      <c r="E267" t="inlineStr">
        <is>
          <t>LINKÖPING</t>
        </is>
      </c>
      <c r="G267" t="n">
        <v>0.2</v>
      </c>
      <c r="H267" t="n">
        <v>0</v>
      </c>
      <c r="I267" t="n">
        <v>0</v>
      </c>
      <c r="J267" t="n">
        <v>0</v>
      </c>
      <c r="K267" t="n">
        <v>0</v>
      </c>
      <c r="L267" t="n">
        <v>0</v>
      </c>
      <c r="M267" t="n">
        <v>0</v>
      </c>
      <c r="N267" t="n">
        <v>0</v>
      </c>
      <c r="O267" t="n">
        <v>0</v>
      </c>
      <c r="P267" t="n">
        <v>0</v>
      </c>
      <c r="Q267" t="n">
        <v>0</v>
      </c>
      <c r="R267" s="2" t="inlineStr"/>
    </row>
    <row r="268" ht="15" customHeight="1">
      <c r="A268" t="inlineStr">
        <is>
          <t>A 13911-2025</t>
        </is>
      </c>
      <c r="B268" s="1" t="n">
        <v>45737.64784722222</v>
      </c>
      <c r="C268" s="1" t="n">
        <v>46031</v>
      </c>
      <c r="D268" t="inlineStr">
        <is>
          <t>ÖSTERGÖTLANDS LÄN</t>
        </is>
      </c>
      <c r="E268" t="inlineStr">
        <is>
          <t>LINKÖPING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55345-2021</t>
        </is>
      </c>
      <c r="B269" s="1" t="n">
        <v>44475</v>
      </c>
      <c r="C269" s="1" t="n">
        <v>46031</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63489-2023</t>
        </is>
      </c>
      <c r="B270" s="1" t="n">
        <v>45274.66761574074</v>
      </c>
      <c r="C270" s="1" t="n">
        <v>46031</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60866-2025</t>
        </is>
      </c>
      <c r="B271" s="1" t="n">
        <v>45999</v>
      </c>
      <c r="C271" s="1" t="n">
        <v>46031</v>
      </c>
      <c r="D271" t="inlineStr">
        <is>
          <t>ÖSTERGÖTLANDS LÄN</t>
        </is>
      </c>
      <c r="E271" t="inlineStr">
        <is>
          <t>LINKÖPING</t>
        </is>
      </c>
      <c r="G271" t="n">
        <v>0.9</v>
      </c>
      <c r="H271" t="n">
        <v>0</v>
      </c>
      <c r="I271" t="n">
        <v>0</v>
      </c>
      <c r="J271" t="n">
        <v>0</v>
      </c>
      <c r="K271" t="n">
        <v>0</v>
      </c>
      <c r="L271" t="n">
        <v>0</v>
      </c>
      <c r="M271" t="n">
        <v>0</v>
      </c>
      <c r="N271" t="n">
        <v>0</v>
      </c>
      <c r="O271" t="n">
        <v>0</v>
      </c>
      <c r="P271" t="n">
        <v>0</v>
      </c>
      <c r="Q271" t="n">
        <v>0</v>
      </c>
      <c r="R271" s="2" t="inlineStr"/>
    </row>
    <row r="272" ht="15" customHeight="1">
      <c r="A272" t="inlineStr">
        <is>
          <t>A 23768-2025</t>
        </is>
      </c>
      <c r="B272" s="1" t="n">
        <v>45793.47493055555</v>
      </c>
      <c r="C272" s="1" t="n">
        <v>46031</v>
      </c>
      <c r="D272" t="inlineStr">
        <is>
          <t>ÖSTERGÖTLANDS LÄN</t>
        </is>
      </c>
      <c r="E272" t="inlineStr">
        <is>
          <t>LINKÖPING</t>
        </is>
      </c>
      <c r="G272" t="n">
        <v>3.4</v>
      </c>
      <c r="H272" t="n">
        <v>0</v>
      </c>
      <c r="I272" t="n">
        <v>0</v>
      </c>
      <c r="J272" t="n">
        <v>0</v>
      </c>
      <c r="K272" t="n">
        <v>0</v>
      </c>
      <c r="L272" t="n">
        <v>0</v>
      </c>
      <c r="M272" t="n">
        <v>0</v>
      </c>
      <c r="N272" t="n">
        <v>0</v>
      </c>
      <c r="O272" t="n">
        <v>0</v>
      </c>
      <c r="P272" t="n">
        <v>0</v>
      </c>
      <c r="Q272" t="n">
        <v>0</v>
      </c>
      <c r="R272" s="2" t="inlineStr"/>
    </row>
    <row r="273" ht="15" customHeight="1">
      <c r="A273" t="inlineStr">
        <is>
          <t>A 59205-2025</t>
        </is>
      </c>
      <c r="B273" s="1" t="n">
        <v>45988.60721064815</v>
      </c>
      <c r="C273" s="1" t="n">
        <v>46031</v>
      </c>
      <c r="D273" t="inlineStr">
        <is>
          <t>ÖSTERGÖTLANDS LÄN</t>
        </is>
      </c>
      <c r="E273" t="inlineStr">
        <is>
          <t>LINKÖPING</t>
        </is>
      </c>
      <c r="F273" t="inlineStr">
        <is>
          <t>Sveaskog</t>
        </is>
      </c>
      <c r="G273" t="n">
        <v>11.3</v>
      </c>
      <c r="H273" t="n">
        <v>0</v>
      </c>
      <c r="I273" t="n">
        <v>0</v>
      </c>
      <c r="J273" t="n">
        <v>0</v>
      </c>
      <c r="K273" t="n">
        <v>0</v>
      </c>
      <c r="L273" t="n">
        <v>0</v>
      </c>
      <c r="M273" t="n">
        <v>0</v>
      </c>
      <c r="N273" t="n">
        <v>0</v>
      </c>
      <c r="O273" t="n">
        <v>0</v>
      </c>
      <c r="P273" t="n">
        <v>0</v>
      </c>
      <c r="Q273" t="n">
        <v>0</v>
      </c>
      <c r="R273" s="2" t="inlineStr"/>
    </row>
    <row r="274" ht="15" customHeight="1">
      <c r="A274" t="inlineStr">
        <is>
          <t>A 873-2026</t>
        </is>
      </c>
      <c r="B274" s="1" t="n">
        <v>46030.43818287037</v>
      </c>
      <c r="C274" s="1" t="n">
        <v>46031</v>
      </c>
      <c r="D274" t="inlineStr">
        <is>
          <t>ÖSTERGÖTLANDS LÄN</t>
        </is>
      </c>
      <c r="E274" t="inlineStr">
        <is>
          <t>LINKÖPING</t>
        </is>
      </c>
      <c r="G274" t="n">
        <v>4.1</v>
      </c>
      <c r="H274" t="n">
        <v>0</v>
      </c>
      <c r="I274" t="n">
        <v>0</v>
      </c>
      <c r="J274" t="n">
        <v>0</v>
      </c>
      <c r="K274" t="n">
        <v>0</v>
      </c>
      <c r="L274" t="n">
        <v>0</v>
      </c>
      <c r="M274" t="n">
        <v>0</v>
      </c>
      <c r="N274" t="n">
        <v>0</v>
      </c>
      <c r="O274" t="n">
        <v>0</v>
      </c>
      <c r="P274" t="n">
        <v>0</v>
      </c>
      <c r="Q274" t="n">
        <v>0</v>
      </c>
      <c r="R274" s="2" t="inlineStr"/>
    </row>
    <row r="275" ht="15" customHeight="1">
      <c r="A275" t="inlineStr">
        <is>
          <t>A 70-2024</t>
        </is>
      </c>
      <c r="B275" s="1" t="n">
        <v>45293</v>
      </c>
      <c r="C275" s="1" t="n">
        <v>46031</v>
      </c>
      <c r="D275" t="inlineStr">
        <is>
          <t>ÖSTERGÖTLANDS LÄN</t>
        </is>
      </c>
      <c r="E275" t="inlineStr">
        <is>
          <t>LINKÖPING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58802-2025</t>
        </is>
      </c>
      <c r="B276" s="1" t="n">
        <v>45986.8768287037</v>
      </c>
      <c r="C276" s="1" t="n">
        <v>46031</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6782-2024</t>
        </is>
      </c>
      <c r="B277" s="1" t="n">
        <v>45342</v>
      </c>
      <c r="C277" s="1" t="n">
        <v>46031</v>
      </c>
      <c r="D277" t="inlineStr">
        <is>
          <t>ÖSTERGÖTLANDS LÄN</t>
        </is>
      </c>
      <c r="E277" t="inlineStr">
        <is>
          <t>LINKÖPING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617-2024</t>
        </is>
      </c>
      <c r="B278" s="1" t="n">
        <v>45299.66028935185</v>
      </c>
      <c r="C278" s="1" t="n">
        <v>46031</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858-2026</t>
        </is>
      </c>
      <c r="B279" s="1" t="n">
        <v>46030.41200231481</v>
      </c>
      <c r="C279" s="1" t="n">
        <v>46031</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860-2026</t>
        </is>
      </c>
      <c r="B280" s="1" t="n">
        <v>46030.41974537037</v>
      </c>
      <c r="C280" s="1" t="n">
        <v>46031</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670-2024</t>
        </is>
      </c>
      <c r="B281" s="1" t="n">
        <v>45300.3408912037</v>
      </c>
      <c r="C281" s="1" t="n">
        <v>46031</v>
      </c>
      <c r="D281" t="inlineStr">
        <is>
          <t>ÖSTERGÖTLANDS LÄN</t>
        </is>
      </c>
      <c r="E281" t="inlineStr">
        <is>
          <t>LINKÖPING</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940-2026</t>
        </is>
      </c>
      <c r="B282" s="1" t="n">
        <v>46030.53052083333</v>
      </c>
      <c r="C282" s="1" t="n">
        <v>46031</v>
      </c>
      <c r="D282" t="inlineStr">
        <is>
          <t>ÖSTERGÖTLANDS LÄN</t>
        </is>
      </c>
      <c r="E282" t="inlineStr">
        <is>
          <t>LINKÖPING</t>
        </is>
      </c>
      <c r="F282" t="inlineStr">
        <is>
          <t>Allmännings- och besparingsskogar</t>
        </is>
      </c>
      <c r="G282" t="n">
        <v>2.9</v>
      </c>
      <c r="H282" t="n">
        <v>0</v>
      </c>
      <c r="I282" t="n">
        <v>0</v>
      </c>
      <c r="J282" t="n">
        <v>0</v>
      </c>
      <c r="K282" t="n">
        <v>0</v>
      </c>
      <c r="L282" t="n">
        <v>0</v>
      </c>
      <c r="M282" t="n">
        <v>0</v>
      </c>
      <c r="N282" t="n">
        <v>0</v>
      </c>
      <c r="O282" t="n">
        <v>0</v>
      </c>
      <c r="P282" t="n">
        <v>0</v>
      </c>
      <c r="Q282" t="n">
        <v>0</v>
      </c>
      <c r="R282" s="2" t="inlineStr"/>
    </row>
    <row r="283" ht="15" customHeight="1">
      <c r="A283" t="inlineStr">
        <is>
          <t>A 944-2026</t>
        </is>
      </c>
      <c r="B283" s="1" t="n">
        <v>46030.53461805556</v>
      </c>
      <c r="C283" s="1" t="n">
        <v>46031</v>
      </c>
      <c r="D283" t="inlineStr">
        <is>
          <t>ÖSTERGÖTLANDS LÄN</t>
        </is>
      </c>
      <c r="E283" t="inlineStr">
        <is>
          <t>LINKÖPING</t>
        </is>
      </c>
      <c r="F283" t="inlineStr">
        <is>
          <t>Allmännings- och besparingsskogar</t>
        </is>
      </c>
      <c r="G283" t="n">
        <v>0.9</v>
      </c>
      <c r="H283" t="n">
        <v>0</v>
      </c>
      <c r="I283" t="n">
        <v>0</v>
      </c>
      <c r="J283" t="n">
        <v>0</v>
      </c>
      <c r="K283" t="n">
        <v>0</v>
      </c>
      <c r="L283" t="n">
        <v>0</v>
      </c>
      <c r="M283" t="n">
        <v>0</v>
      </c>
      <c r="N283" t="n">
        <v>0</v>
      </c>
      <c r="O283" t="n">
        <v>0</v>
      </c>
      <c r="P283" t="n">
        <v>0</v>
      </c>
      <c r="Q283" t="n">
        <v>0</v>
      </c>
      <c r="R283" s="2" t="inlineStr"/>
    </row>
    <row r="284" ht="15" customHeight="1">
      <c r="A284" t="inlineStr">
        <is>
          <t>A 52125-2022</t>
        </is>
      </c>
      <c r="B284" s="1" t="n">
        <v>44873</v>
      </c>
      <c r="C284" s="1" t="n">
        <v>46031</v>
      </c>
      <c r="D284" t="inlineStr">
        <is>
          <t>ÖSTERGÖTLANDS LÄN</t>
        </is>
      </c>
      <c r="E284" t="inlineStr">
        <is>
          <t>LINKÖPING</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41706-2025</t>
        </is>
      </c>
      <c r="B285" s="1" t="n">
        <v>45902.42209490741</v>
      </c>
      <c r="C285" s="1" t="n">
        <v>46031</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1084-2023</t>
        </is>
      </c>
      <c r="B286" s="1" t="n">
        <v>44929</v>
      </c>
      <c r="C286" s="1" t="n">
        <v>46031</v>
      </c>
      <c r="D286" t="inlineStr">
        <is>
          <t>ÖSTERGÖTLANDS LÄN</t>
        </is>
      </c>
      <c r="E286" t="inlineStr">
        <is>
          <t>LINKÖPING</t>
        </is>
      </c>
      <c r="G286" t="n">
        <v>10.4</v>
      </c>
      <c r="H286" t="n">
        <v>0</v>
      </c>
      <c r="I286" t="n">
        <v>0</v>
      </c>
      <c r="J286" t="n">
        <v>0</v>
      </c>
      <c r="K286" t="n">
        <v>0</v>
      </c>
      <c r="L286" t="n">
        <v>0</v>
      </c>
      <c r="M286" t="n">
        <v>0</v>
      </c>
      <c r="N286" t="n">
        <v>0</v>
      </c>
      <c r="O286" t="n">
        <v>0</v>
      </c>
      <c r="P286" t="n">
        <v>0</v>
      </c>
      <c r="Q286" t="n">
        <v>0</v>
      </c>
      <c r="R286" s="2" t="inlineStr"/>
    </row>
    <row r="287" ht="15" customHeight="1">
      <c r="A287" t="inlineStr">
        <is>
          <t>A 29859-2024</t>
        </is>
      </c>
      <c r="B287" s="1" t="n">
        <v>45485.6846412037</v>
      </c>
      <c r="C287" s="1" t="n">
        <v>46031</v>
      </c>
      <c r="D287" t="inlineStr">
        <is>
          <t>ÖSTERGÖTLANDS LÄN</t>
        </is>
      </c>
      <c r="E287" t="inlineStr">
        <is>
          <t>LINKÖPING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51571-2024</t>
        </is>
      </c>
      <c r="B288" s="1" t="n">
        <v>45604</v>
      </c>
      <c r="C288" s="1" t="n">
        <v>46031</v>
      </c>
      <c r="D288" t="inlineStr">
        <is>
          <t>ÖSTERGÖTLANDS LÄN</t>
        </is>
      </c>
      <c r="E288" t="inlineStr">
        <is>
          <t>LINKÖPING</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223-2024</t>
        </is>
      </c>
      <c r="B289" s="1" t="n">
        <v>45294.72739583333</v>
      </c>
      <c r="C289" s="1" t="n">
        <v>46031</v>
      </c>
      <c r="D289" t="inlineStr">
        <is>
          <t>ÖSTERGÖTLANDS LÄN</t>
        </is>
      </c>
      <c r="E289" t="inlineStr">
        <is>
          <t>LINKÖPING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227-2024</t>
        </is>
      </c>
      <c r="B290" s="1" t="n">
        <v>45294.73603009259</v>
      </c>
      <c r="C290" s="1" t="n">
        <v>46031</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41511-2025</t>
        </is>
      </c>
      <c r="B291" s="1" t="n">
        <v>45901.53839120371</v>
      </c>
      <c r="C291" s="1" t="n">
        <v>46031</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3042-2024</t>
        </is>
      </c>
      <c r="B292" s="1" t="n">
        <v>45316.35028935185</v>
      </c>
      <c r="C292" s="1" t="n">
        <v>46031</v>
      </c>
      <c r="D292" t="inlineStr">
        <is>
          <t>ÖSTERGÖTLANDS LÄN</t>
        </is>
      </c>
      <c r="E292" t="inlineStr">
        <is>
          <t>LINKÖPING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29293-2025</t>
        </is>
      </c>
      <c r="B293" s="1" t="n">
        <v>45824</v>
      </c>
      <c r="C293" s="1" t="n">
        <v>46031</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56917-2022</t>
        </is>
      </c>
      <c r="B294" s="1" t="n">
        <v>44894</v>
      </c>
      <c r="C294" s="1" t="n">
        <v>46031</v>
      </c>
      <c r="D294" t="inlineStr">
        <is>
          <t>ÖSTERGÖTLANDS LÄN</t>
        </is>
      </c>
      <c r="E294" t="inlineStr">
        <is>
          <t>LINKÖPING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1265-2023</t>
        </is>
      </c>
      <c r="B295" s="1" t="n">
        <v>44936</v>
      </c>
      <c r="C295" s="1" t="n">
        <v>46031</v>
      </c>
      <c r="D295" t="inlineStr">
        <is>
          <t>ÖSTERGÖTLANDS LÄN</t>
        </is>
      </c>
      <c r="E295" t="inlineStr">
        <is>
          <t>LINKÖPING</t>
        </is>
      </c>
      <c r="G295" t="n">
        <v>2.3</v>
      </c>
      <c r="H295" t="n">
        <v>0</v>
      </c>
      <c r="I295" t="n">
        <v>0</v>
      </c>
      <c r="J295" t="n">
        <v>0</v>
      </c>
      <c r="K295" t="n">
        <v>0</v>
      </c>
      <c r="L295" t="n">
        <v>0</v>
      </c>
      <c r="M295" t="n">
        <v>0</v>
      </c>
      <c r="N295" t="n">
        <v>0</v>
      </c>
      <c r="O295" t="n">
        <v>0</v>
      </c>
      <c r="P295" t="n">
        <v>0</v>
      </c>
      <c r="Q295" t="n">
        <v>0</v>
      </c>
      <c r="R295" s="2" t="inlineStr"/>
    </row>
    <row r="296" ht="15" customHeight="1">
      <c r="A296" t="inlineStr">
        <is>
          <t>A 1362-2023</t>
        </is>
      </c>
      <c r="B296" s="1" t="n">
        <v>44931</v>
      </c>
      <c r="C296" s="1" t="n">
        <v>46031</v>
      </c>
      <c r="D296" t="inlineStr">
        <is>
          <t>ÖSTERGÖTLANDS LÄN</t>
        </is>
      </c>
      <c r="E296" t="inlineStr">
        <is>
          <t>LINKÖPING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44280-2024</t>
        </is>
      </c>
      <c r="B297" s="1" t="n">
        <v>45573.49461805556</v>
      </c>
      <c r="C297" s="1" t="n">
        <v>46031</v>
      </c>
      <c r="D297" t="inlineStr">
        <is>
          <t>ÖSTERGÖTLANDS LÄN</t>
        </is>
      </c>
      <c r="E297" t="inlineStr">
        <is>
          <t>LINKÖPING</t>
        </is>
      </c>
      <c r="G297" t="n">
        <v>5.3</v>
      </c>
      <c r="H297" t="n">
        <v>0</v>
      </c>
      <c r="I297" t="n">
        <v>0</v>
      </c>
      <c r="J297" t="n">
        <v>0</v>
      </c>
      <c r="K297" t="n">
        <v>0</v>
      </c>
      <c r="L297" t="n">
        <v>0</v>
      </c>
      <c r="M297" t="n">
        <v>0</v>
      </c>
      <c r="N297" t="n">
        <v>0</v>
      </c>
      <c r="O297" t="n">
        <v>0</v>
      </c>
      <c r="P297" t="n">
        <v>0</v>
      </c>
      <c r="Q297" t="n">
        <v>0</v>
      </c>
      <c r="R297" s="2" t="inlineStr"/>
    </row>
    <row r="298" ht="15" customHeight="1">
      <c r="A298" t="inlineStr">
        <is>
          <t>A 54034-2022</t>
        </is>
      </c>
      <c r="B298" s="1" t="n">
        <v>44881</v>
      </c>
      <c r="C298" s="1" t="n">
        <v>46031</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55493-2021</t>
        </is>
      </c>
      <c r="B299" s="1" t="n">
        <v>44475.61988425926</v>
      </c>
      <c r="C299" s="1" t="n">
        <v>46031</v>
      </c>
      <c r="D299" t="inlineStr">
        <is>
          <t>ÖSTERGÖTLANDS LÄN</t>
        </is>
      </c>
      <c r="E299" t="inlineStr">
        <is>
          <t>LINKÖPING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42623-2025</t>
        </is>
      </c>
      <c r="B300" s="1" t="n">
        <v>45905</v>
      </c>
      <c r="C300" s="1" t="n">
        <v>46031</v>
      </c>
      <c r="D300" t="inlineStr">
        <is>
          <t>ÖSTERGÖTLANDS LÄN</t>
        </is>
      </c>
      <c r="E300" t="inlineStr">
        <is>
          <t>LINKÖPING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6054-2022</t>
        </is>
      </c>
      <c r="B301" s="1" t="n">
        <v>44599.53623842593</v>
      </c>
      <c r="C301" s="1" t="n">
        <v>46031</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25119-2023</t>
        </is>
      </c>
      <c r="B302" s="1" t="n">
        <v>45086.42326388889</v>
      </c>
      <c r="C302" s="1" t="n">
        <v>46031</v>
      </c>
      <c r="D302" t="inlineStr">
        <is>
          <t>ÖSTERGÖTLANDS LÄN</t>
        </is>
      </c>
      <c r="E302" t="inlineStr">
        <is>
          <t>LINKÖPING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42624-2025</t>
        </is>
      </c>
      <c r="B303" s="1" t="n">
        <v>45905</v>
      </c>
      <c r="C303" s="1" t="n">
        <v>46031</v>
      </c>
      <c r="D303" t="inlineStr">
        <is>
          <t>ÖSTERGÖTLANDS LÄN</t>
        </is>
      </c>
      <c r="E303" t="inlineStr">
        <is>
          <t>LINKÖPING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42626-2025</t>
        </is>
      </c>
      <c r="B304" s="1" t="n">
        <v>45905</v>
      </c>
      <c r="C304" s="1" t="n">
        <v>46031</v>
      </c>
      <c r="D304" t="inlineStr">
        <is>
          <t>ÖSTERGÖTLANDS LÄN</t>
        </is>
      </c>
      <c r="E304" t="inlineStr">
        <is>
          <t>LINKÖPING</t>
        </is>
      </c>
      <c r="G304" t="n">
        <v>3.6</v>
      </c>
      <c r="H304" t="n">
        <v>0</v>
      </c>
      <c r="I304" t="n">
        <v>0</v>
      </c>
      <c r="J304" t="n">
        <v>0</v>
      </c>
      <c r="K304" t="n">
        <v>0</v>
      </c>
      <c r="L304" t="n">
        <v>0</v>
      </c>
      <c r="M304" t="n">
        <v>0</v>
      </c>
      <c r="N304" t="n">
        <v>0</v>
      </c>
      <c r="O304" t="n">
        <v>0</v>
      </c>
      <c r="P304" t="n">
        <v>0</v>
      </c>
      <c r="Q304" t="n">
        <v>0</v>
      </c>
      <c r="R304" s="2" t="inlineStr"/>
    </row>
    <row r="305" ht="15" customHeight="1">
      <c r="A305" t="inlineStr">
        <is>
          <t>A 4456-2024</t>
        </is>
      </c>
      <c r="B305" s="1" t="n">
        <v>45327.52847222222</v>
      </c>
      <c r="C305" s="1" t="n">
        <v>46031</v>
      </c>
      <c r="D305" t="inlineStr">
        <is>
          <t>ÖSTERGÖTLANDS LÄN</t>
        </is>
      </c>
      <c r="E305" t="inlineStr">
        <is>
          <t>LINKÖPING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58114-2021</t>
        </is>
      </c>
      <c r="B306" s="1" t="n">
        <v>44487</v>
      </c>
      <c r="C306" s="1" t="n">
        <v>46031</v>
      </c>
      <c r="D306" t="inlineStr">
        <is>
          <t>ÖSTERGÖTLANDS LÄN</t>
        </is>
      </c>
      <c r="E306" t="inlineStr">
        <is>
          <t>LINKÖPING</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52892-2024</t>
        </is>
      </c>
      <c r="B307" s="1" t="n">
        <v>45610</v>
      </c>
      <c r="C307" s="1" t="n">
        <v>46031</v>
      </c>
      <c r="D307" t="inlineStr">
        <is>
          <t>ÖSTERGÖTLANDS LÄN</t>
        </is>
      </c>
      <c r="E307" t="inlineStr">
        <is>
          <t>LINKÖPING</t>
        </is>
      </c>
      <c r="G307" t="n">
        <v>4.2</v>
      </c>
      <c r="H307" t="n">
        <v>0</v>
      </c>
      <c r="I307" t="n">
        <v>0</v>
      </c>
      <c r="J307" t="n">
        <v>0</v>
      </c>
      <c r="K307" t="n">
        <v>0</v>
      </c>
      <c r="L307" t="n">
        <v>0</v>
      </c>
      <c r="M307" t="n">
        <v>0</v>
      </c>
      <c r="N307" t="n">
        <v>0</v>
      </c>
      <c r="O307" t="n">
        <v>0</v>
      </c>
      <c r="P307" t="n">
        <v>0</v>
      </c>
      <c r="Q307" t="n">
        <v>0</v>
      </c>
      <c r="R307" s="2" t="inlineStr"/>
    </row>
    <row r="308" ht="15" customHeight="1">
      <c r="A308" t="inlineStr">
        <is>
          <t>A 25996-2025</t>
        </is>
      </c>
      <c r="B308" s="1" t="n">
        <v>45804.65851851852</v>
      </c>
      <c r="C308" s="1" t="n">
        <v>46031</v>
      </c>
      <c r="D308" t="inlineStr">
        <is>
          <t>ÖSTERGÖTLANDS LÄN</t>
        </is>
      </c>
      <c r="E308" t="inlineStr">
        <is>
          <t>LINKÖPING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3008-2023</t>
        </is>
      </c>
      <c r="B309" s="1" t="n">
        <v>44945.79784722222</v>
      </c>
      <c r="C309" s="1" t="n">
        <v>46031</v>
      </c>
      <c r="D309" t="inlineStr">
        <is>
          <t>ÖSTERGÖTLANDS LÄN</t>
        </is>
      </c>
      <c r="E309" t="inlineStr">
        <is>
          <t>LINKÖPING</t>
        </is>
      </c>
      <c r="G309" t="n">
        <v>19.3</v>
      </c>
      <c r="H309" t="n">
        <v>0</v>
      </c>
      <c r="I309" t="n">
        <v>0</v>
      </c>
      <c r="J309" t="n">
        <v>0</v>
      </c>
      <c r="K309" t="n">
        <v>0</v>
      </c>
      <c r="L309" t="n">
        <v>0</v>
      </c>
      <c r="M309" t="n">
        <v>0</v>
      </c>
      <c r="N309" t="n">
        <v>0</v>
      </c>
      <c r="O309" t="n">
        <v>0</v>
      </c>
      <c r="P309" t="n">
        <v>0</v>
      </c>
      <c r="Q309" t="n">
        <v>0</v>
      </c>
      <c r="R309" s="2" t="inlineStr"/>
    </row>
    <row r="310" ht="15" customHeight="1">
      <c r="A310" t="inlineStr">
        <is>
          <t>A 26002-2025</t>
        </is>
      </c>
      <c r="B310" s="1" t="n">
        <v>45804.66534722222</v>
      </c>
      <c r="C310" s="1" t="n">
        <v>46031</v>
      </c>
      <c r="D310" t="inlineStr">
        <is>
          <t>ÖSTERGÖTLANDS LÄN</t>
        </is>
      </c>
      <c r="E310" t="inlineStr">
        <is>
          <t>LINKÖPING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43755-2025</t>
        </is>
      </c>
      <c r="B311" s="1" t="n">
        <v>45912.47329861111</v>
      </c>
      <c r="C311" s="1" t="n">
        <v>46031</v>
      </c>
      <c r="D311" t="inlineStr">
        <is>
          <t>ÖSTERGÖTLANDS LÄN</t>
        </is>
      </c>
      <c r="E311" t="inlineStr">
        <is>
          <t>LINKÖPING</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43753-2025</t>
        </is>
      </c>
      <c r="B312" s="1" t="n">
        <v>45912.4715625</v>
      </c>
      <c r="C312" s="1" t="n">
        <v>46031</v>
      </c>
      <c r="D312" t="inlineStr">
        <is>
          <t>ÖSTERGÖTLANDS LÄN</t>
        </is>
      </c>
      <c r="E312" t="inlineStr">
        <is>
          <t>LINKÖPING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43758-2025</t>
        </is>
      </c>
      <c r="B313" s="1" t="n">
        <v>45912.47711805555</v>
      </c>
      <c r="C313" s="1" t="n">
        <v>46031</v>
      </c>
      <c r="D313" t="inlineStr">
        <is>
          <t>ÖSTERGÖTLANDS LÄN</t>
        </is>
      </c>
      <c r="E313" t="inlineStr">
        <is>
          <t>LINKÖPING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55736-2022</t>
        </is>
      </c>
      <c r="B314" s="1" t="n">
        <v>44888</v>
      </c>
      <c r="C314" s="1" t="n">
        <v>46031</v>
      </c>
      <c r="D314" t="inlineStr">
        <is>
          <t>ÖSTERGÖTLANDS LÄN</t>
        </is>
      </c>
      <c r="E314" t="inlineStr">
        <is>
          <t>LINKÖPING</t>
        </is>
      </c>
      <c r="G314" t="n">
        <v>5.5</v>
      </c>
      <c r="H314" t="n">
        <v>0</v>
      </c>
      <c r="I314" t="n">
        <v>0</v>
      </c>
      <c r="J314" t="n">
        <v>0</v>
      </c>
      <c r="K314" t="n">
        <v>0</v>
      </c>
      <c r="L314" t="n">
        <v>0</v>
      </c>
      <c r="M314" t="n">
        <v>0</v>
      </c>
      <c r="N314" t="n">
        <v>0</v>
      </c>
      <c r="O314" t="n">
        <v>0</v>
      </c>
      <c r="P314" t="n">
        <v>0</v>
      </c>
      <c r="Q314" t="n">
        <v>0</v>
      </c>
      <c r="R314" s="2" t="inlineStr"/>
    </row>
    <row r="315" ht="15" customHeight="1">
      <c r="A315" t="inlineStr">
        <is>
          <t>A 44170-2025</t>
        </is>
      </c>
      <c r="B315" s="1" t="n">
        <v>45915.59864583334</v>
      </c>
      <c r="C315" s="1" t="n">
        <v>46031</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30434-2024</t>
        </is>
      </c>
      <c r="B316" s="1" t="n">
        <v>45491.69811342593</v>
      </c>
      <c r="C316" s="1" t="n">
        <v>46031</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11084-2022</t>
        </is>
      </c>
      <c r="B317" s="1" t="n">
        <v>44628</v>
      </c>
      <c r="C317" s="1" t="n">
        <v>46031</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44759-2025</t>
        </is>
      </c>
      <c r="B318" s="1" t="n">
        <v>45917.7152662037</v>
      </c>
      <c r="C318" s="1" t="n">
        <v>46031</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44764-2025</t>
        </is>
      </c>
      <c r="B319" s="1" t="n">
        <v>45917.72821759259</v>
      </c>
      <c r="C319" s="1" t="n">
        <v>46031</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57745-2022</t>
        </is>
      </c>
      <c r="B320" s="1" t="n">
        <v>44897.58119212963</v>
      </c>
      <c r="C320" s="1" t="n">
        <v>46031</v>
      </c>
      <c r="D320" t="inlineStr">
        <is>
          <t>ÖSTERGÖTLANDS LÄN</t>
        </is>
      </c>
      <c r="E320" t="inlineStr">
        <is>
          <t>LINKÖPING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14520-2025</t>
        </is>
      </c>
      <c r="B321" s="1" t="n">
        <v>45741</v>
      </c>
      <c r="C321" s="1" t="n">
        <v>46031</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56064-2022</t>
        </is>
      </c>
      <c r="B322" s="1" t="n">
        <v>44889.59107638889</v>
      </c>
      <c r="C322" s="1" t="n">
        <v>46031</v>
      </c>
      <c r="D322" t="inlineStr">
        <is>
          <t>ÖSTERGÖTLANDS LÄN</t>
        </is>
      </c>
      <c r="E322" t="inlineStr">
        <is>
          <t>LINKÖPING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40502-2024</t>
        </is>
      </c>
      <c r="B323" s="1" t="n">
        <v>45555.57263888889</v>
      </c>
      <c r="C323" s="1" t="n">
        <v>46031</v>
      </c>
      <c r="D323" t="inlineStr">
        <is>
          <t>ÖSTERGÖTLANDS LÄN</t>
        </is>
      </c>
      <c r="E323" t="inlineStr">
        <is>
          <t>LINKÖPING</t>
        </is>
      </c>
      <c r="F323" t="inlineStr">
        <is>
          <t>Allmännings- och besparingsskogar</t>
        </is>
      </c>
      <c r="G323" t="n">
        <v>17.5</v>
      </c>
      <c r="H323" t="n">
        <v>0</v>
      </c>
      <c r="I323" t="n">
        <v>0</v>
      </c>
      <c r="J323" t="n">
        <v>0</v>
      </c>
      <c r="K323" t="n">
        <v>0</v>
      </c>
      <c r="L323" t="n">
        <v>0</v>
      </c>
      <c r="M323" t="n">
        <v>0</v>
      </c>
      <c r="N323" t="n">
        <v>0</v>
      </c>
      <c r="O323" t="n">
        <v>0</v>
      </c>
      <c r="P323" t="n">
        <v>0</v>
      </c>
      <c r="Q323" t="n">
        <v>0</v>
      </c>
      <c r="R323" s="2" t="inlineStr"/>
    </row>
    <row r="324" ht="15" customHeight="1">
      <c r="A324" t="inlineStr">
        <is>
          <t>A 45112-2025</t>
        </is>
      </c>
      <c r="B324" s="1" t="n">
        <v>45919</v>
      </c>
      <c r="C324" s="1" t="n">
        <v>46031</v>
      </c>
      <c r="D324" t="inlineStr">
        <is>
          <t>ÖSTERGÖTLANDS LÄN</t>
        </is>
      </c>
      <c r="E324" t="inlineStr">
        <is>
          <t>LINKÖPING</t>
        </is>
      </c>
      <c r="G324" t="n">
        <v>3.5</v>
      </c>
      <c r="H324" t="n">
        <v>0</v>
      </c>
      <c r="I324" t="n">
        <v>0</v>
      </c>
      <c r="J324" t="n">
        <v>0</v>
      </c>
      <c r="K324" t="n">
        <v>0</v>
      </c>
      <c r="L324" t="n">
        <v>0</v>
      </c>
      <c r="M324" t="n">
        <v>0</v>
      </c>
      <c r="N324" t="n">
        <v>0</v>
      </c>
      <c r="O324" t="n">
        <v>0</v>
      </c>
      <c r="P324" t="n">
        <v>0</v>
      </c>
      <c r="Q324" t="n">
        <v>0</v>
      </c>
      <c r="R324" s="2" t="inlineStr"/>
    </row>
    <row r="325" ht="15" customHeight="1">
      <c r="A325" t="inlineStr">
        <is>
          <t>A 44155-2024</t>
        </is>
      </c>
      <c r="B325" s="1" t="n">
        <v>45572.68226851852</v>
      </c>
      <c r="C325" s="1" t="n">
        <v>46031</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45634-2025</t>
        </is>
      </c>
      <c r="B326" s="1" t="n">
        <v>45922.85089120371</v>
      </c>
      <c r="C326" s="1" t="n">
        <v>46031</v>
      </c>
      <c r="D326" t="inlineStr">
        <is>
          <t>ÖSTERGÖTLANDS LÄN</t>
        </is>
      </c>
      <c r="E326" t="inlineStr">
        <is>
          <t>LINKÖPING</t>
        </is>
      </c>
      <c r="F326" t="inlineStr">
        <is>
          <t>Övriga Aktiebolag</t>
        </is>
      </c>
      <c r="G326" t="n">
        <v>0.3</v>
      </c>
      <c r="H326" t="n">
        <v>0</v>
      </c>
      <c r="I326" t="n">
        <v>0</v>
      </c>
      <c r="J326" t="n">
        <v>0</v>
      </c>
      <c r="K326" t="n">
        <v>0</v>
      </c>
      <c r="L326" t="n">
        <v>0</v>
      </c>
      <c r="M326" t="n">
        <v>0</v>
      </c>
      <c r="N326" t="n">
        <v>0</v>
      </c>
      <c r="O326" t="n">
        <v>0</v>
      </c>
      <c r="P326" t="n">
        <v>0</v>
      </c>
      <c r="Q326" t="n">
        <v>0</v>
      </c>
      <c r="R326" s="2" t="inlineStr"/>
    </row>
    <row r="327" ht="15" customHeight="1">
      <c r="A327" t="inlineStr">
        <is>
          <t>A 45792-2025</t>
        </is>
      </c>
      <c r="B327" s="1" t="n">
        <v>45923.56998842592</v>
      </c>
      <c r="C327" s="1" t="n">
        <v>46031</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42997-2021</t>
        </is>
      </c>
      <c r="B328" s="1" t="n">
        <v>44431.45556712963</v>
      </c>
      <c r="C328" s="1" t="n">
        <v>46031</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28200-2025</t>
        </is>
      </c>
      <c r="B329" s="1" t="n">
        <v>45818.4428125</v>
      </c>
      <c r="C329" s="1" t="n">
        <v>46031</v>
      </c>
      <c r="D329" t="inlineStr">
        <is>
          <t>ÖSTERGÖTLANDS LÄN</t>
        </is>
      </c>
      <c r="E329" t="inlineStr">
        <is>
          <t>LINKÖPING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45804-2025</t>
        </is>
      </c>
      <c r="B330" s="1" t="n">
        <v>45923.5819675926</v>
      </c>
      <c r="C330" s="1" t="n">
        <v>46031</v>
      </c>
      <c r="D330" t="inlineStr">
        <is>
          <t>ÖSTERGÖTLANDS LÄN</t>
        </is>
      </c>
      <c r="E330" t="inlineStr">
        <is>
          <t>LINKÖPING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46428-2025</t>
        </is>
      </c>
      <c r="B331" s="1" t="n">
        <v>45925.60758101852</v>
      </c>
      <c r="C331" s="1" t="n">
        <v>46031</v>
      </c>
      <c r="D331" t="inlineStr">
        <is>
          <t>ÖSTERGÖTLANDS LÄN</t>
        </is>
      </c>
      <c r="E331" t="inlineStr">
        <is>
          <t>LINKÖPING</t>
        </is>
      </c>
      <c r="G331" t="n">
        <v>3</v>
      </c>
      <c r="H331" t="n">
        <v>0</v>
      </c>
      <c r="I331" t="n">
        <v>0</v>
      </c>
      <c r="J331" t="n">
        <v>0</v>
      </c>
      <c r="K331" t="n">
        <v>0</v>
      </c>
      <c r="L331" t="n">
        <v>0</v>
      </c>
      <c r="M331" t="n">
        <v>0</v>
      </c>
      <c r="N331" t="n">
        <v>0</v>
      </c>
      <c r="O331" t="n">
        <v>0</v>
      </c>
      <c r="P331" t="n">
        <v>0</v>
      </c>
      <c r="Q331" t="n">
        <v>0</v>
      </c>
      <c r="R331" s="2" t="inlineStr"/>
    </row>
    <row r="332" ht="15" customHeight="1">
      <c r="A332" t="inlineStr">
        <is>
          <t>A 46426-2025</t>
        </is>
      </c>
      <c r="B332" s="1" t="n">
        <v>45925.6012962963</v>
      </c>
      <c r="C332" s="1" t="n">
        <v>46031</v>
      </c>
      <c r="D332" t="inlineStr">
        <is>
          <t>ÖSTERGÖTLANDS LÄN</t>
        </is>
      </c>
      <c r="E332" t="inlineStr">
        <is>
          <t>LINKÖPING</t>
        </is>
      </c>
      <c r="G332" t="n">
        <v>4.4</v>
      </c>
      <c r="H332" t="n">
        <v>0</v>
      </c>
      <c r="I332" t="n">
        <v>0</v>
      </c>
      <c r="J332" t="n">
        <v>0</v>
      </c>
      <c r="K332" t="n">
        <v>0</v>
      </c>
      <c r="L332" t="n">
        <v>0</v>
      </c>
      <c r="M332" t="n">
        <v>0</v>
      </c>
      <c r="N332" t="n">
        <v>0</v>
      </c>
      <c r="O332" t="n">
        <v>0</v>
      </c>
      <c r="P332" t="n">
        <v>0</v>
      </c>
      <c r="Q332" t="n">
        <v>0</v>
      </c>
      <c r="R332" s="2" t="inlineStr"/>
    </row>
    <row r="333" ht="15" customHeight="1">
      <c r="A333" t="inlineStr">
        <is>
          <t>A 46377-2025</t>
        </is>
      </c>
      <c r="B333" s="1" t="n">
        <v>45925.51773148148</v>
      </c>
      <c r="C333" s="1" t="n">
        <v>46031</v>
      </c>
      <c r="D333" t="inlineStr">
        <is>
          <t>ÖSTERGÖTLANDS LÄN</t>
        </is>
      </c>
      <c r="E333" t="inlineStr">
        <is>
          <t>LINKÖPING</t>
        </is>
      </c>
      <c r="G333" t="n">
        <v>3.1</v>
      </c>
      <c r="H333" t="n">
        <v>0</v>
      </c>
      <c r="I333" t="n">
        <v>0</v>
      </c>
      <c r="J333" t="n">
        <v>0</v>
      </c>
      <c r="K333" t="n">
        <v>0</v>
      </c>
      <c r="L333" t="n">
        <v>0</v>
      </c>
      <c r="M333" t="n">
        <v>0</v>
      </c>
      <c r="N333" t="n">
        <v>0</v>
      </c>
      <c r="O333" t="n">
        <v>0</v>
      </c>
      <c r="P333" t="n">
        <v>0</v>
      </c>
      <c r="Q333" t="n">
        <v>0</v>
      </c>
      <c r="R333" s="2" t="inlineStr"/>
    </row>
    <row r="334" ht="15" customHeight="1">
      <c r="A334" t="inlineStr">
        <is>
          <t>A 27950-2025</t>
        </is>
      </c>
      <c r="B334" s="1" t="n">
        <v>45817.52960648148</v>
      </c>
      <c r="C334" s="1" t="n">
        <v>46031</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47304-2025</t>
        </is>
      </c>
      <c r="B335" s="1" t="n">
        <v>45930.52037037037</v>
      </c>
      <c r="C335" s="1" t="n">
        <v>46031</v>
      </c>
      <c r="D335" t="inlineStr">
        <is>
          <t>ÖSTERGÖTLANDS LÄN</t>
        </is>
      </c>
      <c r="E335" t="inlineStr">
        <is>
          <t>LINKÖPING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27797-2025</t>
        </is>
      </c>
      <c r="B336" s="1" t="n">
        <v>45816.80521990741</v>
      </c>
      <c r="C336" s="1" t="n">
        <v>46031</v>
      </c>
      <c r="D336" t="inlineStr">
        <is>
          <t>ÖSTERGÖTLANDS LÄN</t>
        </is>
      </c>
      <c r="E336" t="inlineStr">
        <is>
          <t>LINKÖPING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27798-2025</t>
        </is>
      </c>
      <c r="B337" s="1" t="n">
        <v>45816.81532407407</v>
      </c>
      <c r="C337" s="1" t="n">
        <v>46031</v>
      </c>
      <c r="D337" t="inlineStr">
        <is>
          <t>ÖSTERGÖTLANDS LÄN</t>
        </is>
      </c>
      <c r="E337" t="inlineStr">
        <is>
          <t>LINKÖPING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47233-2025</t>
        </is>
      </c>
      <c r="B338" s="1" t="n">
        <v>45930.40612268518</v>
      </c>
      <c r="C338" s="1" t="n">
        <v>46031</v>
      </c>
      <c r="D338" t="inlineStr">
        <is>
          <t>ÖSTERGÖTLANDS LÄN</t>
        </is>
      </c>
      <c r="E338" t="inlineStr">
        <is>
          <t>LINKÖPING</t>
        </is>
      </c>
      <c r="G338" t="n">
        <v>4.3</v>
      </c>
      <c r="H338" t="n">
        <v>0</v>
      </c>
      <c r="I338" t="n">
        <v>0</v>
      </c>
      <c r="J338" t="n">
        <v>0</v>
      </c>
      <c r="K338" t="n">
        <v>0</v>
      </c>
      <c r="L338" t="n">
        <v>0</v>
      </c>
      <c r="M338" t="n">
        <v>0</v>
      </c>
      <c r="N338" t="n">
        <v>0</v>
      </c>
      <c r="O338" t="n">
        <v>0</v>
      </c>
      <c r="P338" t="n">
        <v>0</v>
      </c>
      <c r="Q338" t="n">
        <v>0</v>
      </c>
      <c r="R338" s="2" t="inlineStr"/>
    </row>
    <row r="339" ht="15" customHeight="1">
      <c r="A339" t="inlineStr">
        <is>
          <t>A 14028-2024</t>
        </is>
      </c>
      <c r="B339" s="1" t="n">
        <v>45392</v>
      </c>
      <c r="C339" s="1" t="n">
        <v>46031</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28209-2025</t>
        </is>
      </c>
      <c r="B340" s="1" t="n">
        <v>45818.45112268518</v>
      </c>
      <c r="C340" s="1" t="n">
        <v>46031</v>
      </c>
      <c r="D340" t="inlineStr">
        <is>
          <t>ÖSTERGÖTLANDS LÄN</t>
        </is>
      </c>
      <c r="E340" t="inlineStr">
        <is>
          <t>LINKÖPING</t>
        </is>
      </c>
      <c r="G340" t="n">
        <v>4.2</v>
      </c>
      <c r="H340" t="n">
        <v>0</v>
      </c>
      <c r="I340" t="n">
        <v>0</v>
      </c>
      <c r="J340" t="n">
        <v>0</v>
      </c>
      <c r="K340" t="n">
        <v>0</v>
      </c>
      <c r="L340" t="n">
        <v>0</v>
      </c>
      <c r="M340" t="n">
        <v>0</v>
      </c>
      <c r="N340" t="n">
        <v>0</v>
      </c>
      <c r="O340" t="n">
        <v>0</v>
      </c>
      <c r="P340" t="n">
        <v>0</v>
      </c>
      <c r="Q340" t="n">
        <v>0</v>
      </c>
      <c r="R340" s="2" t="inlineStr"/>
    </row>
    <row r="341" ht="15" customHeight="1">
      <c r="A341" t="inlineStr">
        <is>
          <t>A 46847-2025</t>
        </is>
      </c>
      <c r="B341" s="1" t="n">
        <v>45928.69971064815</v>
      </c>
      <c r="C341" s="1" t="n">
        <v>46031</v>
      </c>
      <c r="D341" t="inlineStr">
        <is>
          <t>ÖSTERGÖTLANDS LÄN</t>
        </is>
      </c>
      <c r="E341" t="inlineStr">
        <is>
          <t>LINKÖPING</t>
        </is>
      </c>
      <c r="G341" t="n">
        <v>4.6</v>
      </c>
      <c r="H341" t="n">
        <v>0</v>
      </c>
      <c r="I341" t="n">
        <v>0</v>
      </c>
      <c r="J341" t="n">
        <v>0</v>
      </c>
      <c r="K341" t="n">
        <v>0</v>
      </c>
      <c r="L341" t="n">
        <v>0</v>
      </c>
      <c r="M341" t="n">
        <v>0</v>
      </c>
      <c r="N341" t="n">
        <v>0</v>
      </c>
      <c r="O341" t="n">
        <v>0</v>
      </c>
      <c r="P341" t="n">
        <v>0</v>
      </c>
      <c r="Q341" t="n">
        <v>0</v>
      </c>
      <c r="R341" s="2" t="inlineStr"/>
    </row>
    <row r="342" ht="15" customHeight="1">
      <c r="A342" t="inlineStr">
        <is>
          <t>A 28204-2025</t>
        </is>
      </c>
      <c r="B342" s="1" t="n">
        <v>45818.4477662037</v>
      </c>
      <c r="C342" s="1" t="n">
        <v>46031</v>
      </c>
      <c r="D342" t="inlineStr">
        <is>
          <t>ÖSTERGÖTLANDS LÄN</t>
        </is>
      </c>
      <c r="E342" t="inlineStr">
        <is>
          <t>LINKÖPING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48343-2025</t>
        </is>
      </c>
      <c r="B343" s="1" t="n">
        <v>45932</v>
      </c>
      <c r="C343" s="1" t="n">
        <v>46031</v>
      </c>
      <c r="D343" t="inlineStr">
        <is>
          <t>ÖSTERGÖTLANDS LÄN</t>
        </is>
      </c>
      <c r="E343" t="inlineStr">
        <is>
          <t>LINKÖPING</t>
        </is>
      </c>
      <c r="F343" t="inlineStr">
        <is>
          <t>Övriga Aktiebolag</t>
        </is>
      </c>
      <c r="G343" t="n">
        <v>2</v>
      </c>
      <c r="H343" t="n">
        <v>0</v>
      </c>
      <c r="I343" t="n">
        <v>0</v>
      </c>
      <c r="J343" t="n">
        <v>0</v>
      </c>
      <c r="K343" t="n">
        <v>0</v>
      </c>
      <c r="L343" t="n">
        <v>0</v>
      </c>
      <c r="M343" t="n">
        <v>0</v>
      </c>
      <c r="N343" t="n">
        <v>0</v>
      </c>
      <c r="O343" t="n">
        <v>0</v>
      </c>
      <c r="P343" t="n">
        <v>0</v>
      </c>
      <c r="Q343" t="n">
        <v>0</v>
      </c>
      <c r="R343" s="2" t="inlineStr"/>
    </row>
    <row r="344" ht="15" customHeight="1">
      <c r="A344" t="inlineStr">
        <is>
          <t>A 14667-2024</t>
        </is>
      </c>
      <c r="B344" s="1" t="n">
        <v>45397.42005787037</v>
      </c>
      <c r="C344" s="1" t="n">
        <v>46031</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2697-2023</t>
        </is>
      </c>
      <c r="B345" s="1" t="n">
        <v>44944</v>
      </c>
      <c r="C345" s="1" t="n">
        <v>46031</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47606-2025</t>
        </is>
      </c>
      <c r="B346" s="1" t="n">
        <v>45931.46402777778</v>
      </c>
      <c r="C346" s="1" t="n">
        <v>46031</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53641-2023</t>
        </is>
      </c>
      <c r="B347" s="1" t="n">
        <v>45230</v>
      </c>
      <c r="C347" s="1" t="n">
        <v>46031</v>
      </c>
      <c r="D347" t="inlineStr">
        <is>
          <t>ÖSTERGÖTLANDS LÄN</t>
        </is>
      </c>
      <c r="E347" t="inlineStr">
        <is>
          <t>LINKÖPING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48707-2023</t>
        </is>
      </c>
      <c r="B348" s="1" t="n">
        <v>45202</v>
      </c>
      <c r="C348" s="1" t="n">
        <v>46031</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53411-2023</t>
        </is>
      </c>
      <c r="B349" s="1" t="n">
        <v>45229.81049768518</v>
      </c>
      <c r="C349" s="1" t="n">
        <v>46031</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28398-2025</t>
        </is>
      </c>
      <c r="B350" s="1" t="n">
        <v>45819.34208333334</v>
      </c>
      <c r="C350" s="1" t="n">
        <v>46031</v>
      </c>
      <c r="D350" t="inlineStr">
        <is>
          <t>ÖSTERGÖTLANDS LÄN</t>
        </is>
      </c>
      <c r="E350" t="inlineStr">
        <is>
          <t>LINKÖPING</t>
        </is>
      </c>
      <c r="F350" t="inlineStr">
        <is>
          <t>Sveaskog</t>
        </is>
      </c>
      <c r="G350" t="n">
        <v>7.9</v>
      </c>
      <c r="H350" t="n">
        <v>0</v>
      </c>
      <c r="I350" t="n">
        <v>0</v>
      </c>
      <c r="J350" t="n">
        <v>0</v>
      </c>
      <c r="K350" t="n">
        <v>0</v>
      </c>
      <c r="L350" t="n">
        <v>0</v>
      </c>
      <c r="M350" t="n">
        <v>0</v>
      </c>
      <c r="N350" t="n">
        <v>0</v>
      </c>
      <c r="O350" t="n">
        <v>0</v>
      </c>
      <c r="P350" t="n">
        <v>0</v>
      </c>
      <c r="Q350" t="n">
        <v>0</v>
      </c>
      <c r="R350" s="2" t="inlineStr"/>
    </row>
    <row r="351" ht="15" customHeight="1">
      <c r="A351" t="inlineStr">
        <is>
          <t>A 48254-2025</t>
        </is>
      </c>
      <c r="B351" s="1" t="n">
        <v>45932</v>
      </c>
      <c r="C351" s="1" t="n">
        <v>46031</v>
      </c>
      <c r="D351" t="inlineStr">
        <is>
          <t>ÖSTERGÖTLANDS LÄN</t>
        </is>
      </c>
      <c r="E351" t="inlineStr">
        <is>
          <t>LINKÖPING</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48266-2025</t>
        </is>
      </c>
      <c r="B352" s="1" t="n">
        <v>45932</v>
      </c>
      <c r="C352" s="1" t="n">
        <v>46031</v>
      </c>
      <c r="D352" t="inlineStr">
        <is>
          <t>ÖSTERGÖTLANDS LÄN</t>
        </is>
      </c>
      <c r="E352" t="inlineStr">
        <is>
          <t>LINKÖPING</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56741-2023</t>
        </is>
      </c>
      <c r="B353" s="1" t="n">
        <v>45244</v>
      </c>
      <c r="C353" s="1" t="n">
        <v>46031</v>
      </c>
      <c r="D353" t="inlineStr">
        <is>
          <t>ÖSTERGÖTLANDS LÄN</t>
        </is>
      </c>
      <c r="E353" t="inlineStr">
        <is>
          <t>LINKÖPING</t>
        </is>
      </c>
      <c r="F353" t="inlineStr">
        <is>
          <t>Övriga Aktiebolag</t>
        </is>
      </c>
      <c r="G353" t="n">
        <v>1.1</v>
      </c>
      <c r="H353" t="n">
        <v>0</v>
      </c>
      <c r="I353" t="n">
        <v>0</v>
      </c>
      <c r="J353" t="n">
        <v>0</v>
      </c>
      <c r="K353" t="n">
        <v>0</v>
      </c>
      <c r="L353" t="n">
        <v>0</v>
      </c>
      <c r="M353" t="n">
        <v>0</v>
      </c>
      <c r="N353" t="n">
        <v>0</v>
      </c>
      <c r="O353" t="n">
        <v>0</v>
      </c>
      <c r="P353" t="n">
        <v>0</v>
      </c>
      <c r="Q353" t="n">
        <v>0</v>
      </c>
      <c r="R353" s="2" t="inlineStr"/>
    </row>
    <row r="354" ht="15" customHeight="1">
      <c r="A354" t="inlineStr">
        <is>
          <t>A 56792-2023</t>
        </is>
      </c>
      <c r="B354" s="1" t="n">
        <v>45244</v>
      </c>
      <c r="C354" s="1" t="n">
        <v>46031</v>
      </c>
      <c r="D354" t="inlineStr">
        <is>
          <t>ÖSTERGÖTLANDS LÄN</t>
        </is>
      </c>
      <c r="E354" t="inlineStr">
        <is>
          <t>LINKÖPING</t>
        </is>
      </c>
      <c r="F354" t="inlineStr">
        <is>
          <t>Övriga Aktiebolag</t>
        </is>
      </c>
      <c r="G354" t="n">
        <v>0.9</v>
      </c>
      <c r="H354" t="n">
        <v>0</v>
      </c>
      <c r="I354" t="n">
        <v>0</v>
      </c>
      <c r="J354" t="n">
        <v>0</v>
      </c>
      <c r="K354" t="n">
        <v>0</v>
      </c>
      <c r="L354" t="n">
        <v>0</v>
      </c>
      <c r="M354" t="n">
        <v>0</v>
      </c>
      <c r="N354" t="n">
        <v>0</v>
      </c>
      <c r="O354" t="n">
        <v>0</v>
      </c>
      <c r="P354" t="n">
        <v>0</v>
      </c>
      <c r="Q354" t="n">
        <v>0</v>
      </c>
      <c r="R354" s="2" t="inlineStr"/>
    </row>
    <row r="355" ht="15" customHeight="1">
      <c r="A355" t="inlineStr">
        <is>
          <t>A 3007-2023</t>
        </is>
      </c>
      <c r="B355" s="1" t="n">
        <v>44945</v>
      </c>
      <c r="C355" s="1" t="n">
        <v>46031</v>
      </c>
      <c r="D355" t="inlineStr">
        <is>
          <t>ÖSTERGÖTLANDS LÄN</t>
        </is>
      </c>
      <c r="E355" t="inlineStr">
        <is>
          <t>LINKÖPING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40338-2024</t>
        </is>
      </c>
      <c r="B356" s="1" t="n">
        <v>45555.32940972222</v>
      </c>
      <c r="C356" s="1" t="n">
        <v>46031</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3013-2023</t>
        </is>
      </c>
      <c r="B357" s="1" t="n">
        <v>44945.8092824074</v>
      </c>
      <c r="C357" s="1" t="n">
        <v>46031</v>
      </c>
      <c r="D357" t="inlineStr">
        <is>
          <t>ÖSTERGÖTLANDS LÄN</t>
        </is>
      </c>
      <c r="E357" t="inlineStr">
        <is>
          <t>LINKÖPING</t>
        </is>
      </c>
      <c r="G357" t="n">
        <v>5.2</v>
      </c>
      <c r="H357" t="n">
        <v>0</v>
      </c>
      <c r="I357" t="n">
        <v>0</v>
      </c>
      <c r="J357" t="n">
        <v>0</v>
      </c>
      <c r="K357" t="n">
        <v>0</v>
      </c>
      <c r="L357" t="n">
        <v>0</v>
      </c>
      <c r="M357" t="n">
        <v>0</v>
      </c>
      <c r="N357" t="n">
        <v>0</v>
      </c>
      <c r="O357" t="n">
        <v>0</v>
      </c>
      <c r="P357" t="n">
        <v>0</v>
      </c>
      <c r="Q357" t="n">
        <v>0</v>
      </c>
      <c r="R357" s="2" t="inlineStr"/>
    </row>
    <row r="358" ht="15" customHeight="1">
      <c r="A358" t="inlineStr">
        <is>
          <t>A 55945-2024</t>
        </is>
      </c>
      <c r="B358" s="1" t="n">
        <v>45623.61754629629</v>
      </c>
      <c r="C358" s="1" t="n">
        <v>46031</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1993-2023</t>
        </is>
      </c>
      <c r="B359" s="1" t="n">
        <v>44939</v>
      </c>
      <c r="C359" s="1" t="n">
        <v>46031</v>
      </c>
      <c r="D359" t="inlineStr">
        <is>
          <t>ÖSTERGÖTLANDS LÄN</t>
        </is>
      </c>
      <c r="E359" t="inlineStr">
        <is>
          <t>LINKÖPING</t>
        </is>
      </c>
      <c r="G359" t="n">
        <v>3.7</v>
      </c>
      <c r="H359" t="n">
        <v>0</v>
      </c>
      <c r="I359" t="n">
        <v>0</v>
      </c>
      <c r="J359" t="n">
        <v>0</v>
      </c>
      <c r="K359" t="n">
        <v>0</v>
      </c>
      <c r="L359" t="n">
        <v>0</v>
      </c>
      <c r="M359" t="n">
        <v>0</v>
      </c>
      <c r="N359" t="n">
        <v>0</v>
      </c>
      <c r="O359" t="n">
        <v>0</v>
      </c>
      <c r="P359" t="n">
        <v>0</v>
      </c>
      <c r="Q359" t="n">
        <v>0</v>
      </c>
      <c r="R359" s="2" t="inlineStr"/>
    </row>
    <row r="360" ht="15" customHeight="1">
      <c r="A360" t="inlineStr">
        <is>
          <t>A 2618-2023</t>
        </is>
      </c>
      <c r="B360" s="1" t="n">
        <v>44944.35847222222</v>
      </c>
      <c r="C360" s="1" t="n">
        <v>46031</v>
      </c>
      <c r="D360" t="inlineStr">
        <is>
          <t>ÖSTERGÖTLANDS LÄN</t>
        </is>
      </c>
      <c r="E360" t="inlineStr">
        <is>
          <t>LINKÖPING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10203-2023</t>
        </is>
      </c>
      <c r="B361" s="1" t="n">
        <v>44986.55711805556</v>
      </c>
      <c r="C361" s="1" t="n">
        <v>46031</v>
      </c>
      <c r="D361" t="inlineStr">
        <is>
          <t>ÖSTERGÖTLANDS LÄN</t>
        </is>
      </c>
      <c r="E361" t="inlineStr">
        <is>
          <t>LINKÖPING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34889-2023</t>
        </is>
      </c>
      <c r="B362" s="1" t="n">
        <v>45140</v>
      </c>
      <c r="C362" s="1" t="n">
        <v>46031</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34928-2023</t>
        </is>
      </c>
      <c r="B363" s="1" t="n">
        <v>45142</v>
      </c>
      <c r="C363" s="1" t="n">
        <v>46031</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28416-2025</t>
        </is>
      </c>
      <c r="B364" s="1" t="n">
        <v>45819.35346064815</v>
      </c>
      <c r="C364" s="1" t="n">
        <v>46031</v>
      </c>
      <c r="D364" t="inlineStr">
        <is>
          <t>ÖSTERGÖTLANDS LÄN</t>
        </is>
      </c>
      <c r="E364" t="inlineStr">
        <is>
          <t>LINKÖPING</t>
        </is>
      </c>
      <c r="F364" t="inlineStr">
        <is>
          <t>Sveaskog</t>
        </is>
      </c>
      <c r="G364" t="n">
        <v>3.7</v>
      </c>
      <c r="H364" t="n">
        <v>0</v>
      </c>
      <c r="I364" t="n">
        <v>0</v>
      </c>
      <c r="J364" t="n">
        <v>0</v>
      </c>
      <c r="K364" t="n">
        <v>0</v>
      </c>
      <c r="L364" t="n">
        <v>0</v>
      </c>
      <c r="M364" t="n">
        <v>0</v>
      </c>
      <c r="N364" t="n">
        <v>0</v>
      </c>
      <c r="O364" t="n">
        <v>0</v>
      </c>
      <c r="P364" t="n">
        <v>0</v>
      </c>
      <c r="Q364" t="n">
        <v>0</v>
      </c>
      <c r="R364" s="2" t="inlineStr"/>
    </row>
    <row r="365" ht="15" customHeight="1">
      <c r="A365" t="inlineStr">
        <is>
          <t>A 1268-2023</t>
        </is>
      </c>
      <c r="B365" s="1" t="n">
        <v>44936</v>
      </c>
      <c r="C365" s="1" t="n">
        <v>46031</v>
      </c>
      <c r="D365" t="inlineStr">
        <is>
          <t>ÖSTERGÖTLANDS LÄN</t>
        </is>
      </c>
      <c r="E365" t="inlineStr">
        <is>
          <t>LINKÖPING</t>
        </is>
      </c>
      <c r="G365" t="n">
        <v>4.6</v>
      </c>
      <c r="H365" t="n">
        <v>0</v>
      </c>
      <c r="I365" t="n">
        <v>0</v>
      </c>
      <c r="J365" t="n">
        <v>0</v>
      </c>
      <c r="K365" t="n">
        <v>0</v>
      </c>
      <c r="L365" t="n">
        <v>0</v>
      </c>
      <c r="M365" t="n">
        <v>0</v>
      </c>
      <c r="N365" t="n">
        <v>0</v>
      </c>
      <c r="O365" t="n">
        <v>0</v>
      </c>
      <c r="P365" t="n">
        <v>0</v>
      </c>
      <c r="Q365" t="n">
        <v>0</v>
      </c>
      <c r="R365" s="2" t="inlineStr"/>
    </row>
    <row r="366" ht="15" customHeight="1">
      <c r="A366" t="inlineStr">
        <is>
          <t>A 5314-2021</t>
        </is>
      </c>
      <c r="B366" s="1" t="n">
        <v>44229</v>
      </c>
      <c r="C366" s="1" t="n">
        <v>46031</v>
      </c>
      <c r="D366" t="inlineStr">
        <is>
          <t>ÖSTERGÖTLANDS LÄN</t>
        </is>
      </c>
      <c r="E366" t="inlineStr">
        <is>
          <t>LINKÖPING</t>
        </is>
      </c>
      <c r="G366" t="n">
        <v>6.2</v>
      </c>
      <c r="H366" t="n">
        <v>0</v>
      </c>
      <c r="I366" t="n">
        <v>0</v>
      </c>
      <c r="J366" t="n">
        <v>0</v>
      </c>
      <c r="K366" t="n">
        <v>0</v>
      </c>
      <c r="L366" t="n">
        <v>0</v>
      </c>
      <c r="M366" t="n">
        <v>0</v>
      </c>
      <c r="N366" t="n">
        <v>0</v>
      </c>
      <c r="O366" t="n">
        <v>0</v>
      </c>
      <c r="P366" t="n">
        <v>0</v>
      </c>
      <c r="Q366" t="n">
        <v>0</v>
      </c>
      <c r="R366" s="2" t="inlineStr"/>
    </row>
    <row r="367" ht="15" customHeight="1">
      <c r="A367" t="inlineStr">
        <is>
          <t>A 49605-2025</t>
        </is>
      </c>
      <c r="B367" s="1" t="n">
        <v>45938</v>
      </c>
      <c r="C367" s="1" t="n">
        <v>46031</v>
      </c>
      <c r="D367" t="inlineStr">
        <is>
          <t>ÖSTERGÖTLANDS LÄN</t>
        </is>
      </c>
      <c r="E367" t="inlineStr">
        <is>
          <t>LINKÖPING</t>
        </is>
      </c>
      <c r="F367" t="inlineStr">
        <is>
          <t>Övriga Aktiebolag</t>
        </is>
      </c>
      <c r="G367" t="n">
        <v>3.3</v>
      </c>
      <c r="H367" t="n">
        <v>0</v>
      </c>
      <c r="I367" t="n">
        <v>0</v>
      </c>
      <c r="J367" t="n">
        <v>0</v>
      </c>
      <c r="K367" t="n">
        <v>0</v>
      </c>
      <c r="L367" t="n">
        <v>0</v>
      </c>
      <c r="M367" t="n">
        <v>0</v>
      </c>
      <c r="N367" t="n">
        <v>0</v>
      </c>
      <c r="O367" t="n">
        <v>0</v>
      </c>
      <c r="P367" t="n">
        <v>0</v>
      </c>
      <c r="Q367" t="n">
        <v>0</v>
      </c>
      <c r="R367" s="2" t="inlineStr"/>
    </row>
    <row r="368" ht="15" customHeight="1">
      <c r="A368" t="inlineStr">
        <is>
          <t>A 49647-2025</t>
        </is>
      </c>
      <c r="B368" s="1" t="n">
        <v>45938</v>
      </c>
      <c r="C368" s="1" t="n">
        <v>46031</v>
      </c>
      <c r="D368" t="inlineStr">
        <is>
          <t>ÖSTERGÖTLANDS LÄN</t>
        </is>
      </c>
      <c r="E368" t="inlineStr">
        <is>
          <t>LINKÖPING</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49633-2025</t>
        </is>
      </c>
      <c r="B369" s="1" t="n">
        <v>45938</v>
      </c>
      <c r="C369" s="1" t="n">
        <v>46031</v>
      </c>
      <c r="D369" t="inlineStr">
        <is>
          <t>ÖSTERGÖTLANDS LÄN</t>
        </is>
      </c>
      <c r="E369" t="inlineStr">
        <is>
          <t>LINKÖPING</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49663-2025</t>
        </is>
      </c>
      <c r="B370" s="1" t="n">
        <v>45938</v>
      </c>
      <c r="C370" s="1" t="n">
        <v>46031</v>
      </c>
      <c r="D370" t="inlineStr">
        <is>
          <t>ÖSTERGÖTLANDS LÄN</t>
        </is>
      </c>
      <c r="E370" t="inlineStr">
        <is>
          <t>LINKÖPING</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29027-2025</t>
        </is>
      </c>
      <c r="B371" s="1" t="n">
        <v>45821.4375462963</v>
      </c>
      <c r="C371" s="1" t="n">
        <v>46031</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29393-2025</t>
        </is>
      </c>
      <c r="B372" s="1" t="n">
        <v>45824.6057175926</v>
      </c>
      <c r="C372" s="1" t="n">
        <v>46031</v>
      </c>
      <c r="D372" t="inlineStr">
        <is>
          <t>ÖSTERGÖTLANDS LÄN</t>
        </is>
      </c>
      <c r="E372" t="inlineStr">
        <is>
          <t>LINKÖPING</t>
        </is>
      </c>
      <c r="F372" t="inlineStr">
        <is>
          <t>Sveaskog</t>
        </is>
      </c>
      <c r="G372" t="n">
        <v>24.6</v>
      </c>
      <c r="H372" t="n">
        <v>0</v>
      </c>
      <c r="I372" t="n">
        <v>0</v>
      </c>
      <c r="J372" t="n">
        <v>0</v>
      </c>
      <c r="K372" t="n">
        <v>0</v>
      </c>
      <c r="L372" t="n">
        <v>0</v>
      </c>
      <c r="M372" t="n">
        <v>0</v>
      </c>
      <c r="N372" t="n">
        <v>0</v>
      </c>
      <c r="O372" t="n">
        <v>0</v>
      </c>
      <c r="P372" t="n">
        <v>0</v>
      </c>
      <c r="Q372" t="n">
        <v>0</v>
      </c>
      <c r="R372" s="2" t="inlineStr"/>
    </row>
    <row r="373" ht="15" customHeight="1">
      <c r="A373" t="inlineStr">
        <is>
          <t>A 49747-2024</t>
        </is>
      </c>
      <c r="B373" s="1" t="n">
        <v>45596</v>
      </c>
      <c r="C373" s="1" t="n">
        <v>46031</v>
      </c>
      <c r="D373" t="inlineStr">
        <is>
          <t>ÖSTERGÖTLANDS LÄN</t>
        </is>
      </c>
      <c r="E373" t="inlineStr">
        <is>
          <t>LINKÖPING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49455-2025</t>
        </is>
      </c>
      <c r="B374" s="1" t="n">
        <v>45938</v>
      </c>
      <c r="C374" s="1" t="n">
        <v>46031</v>
      </c>
      <c r="D374" t="inlineStr">
        <is>
          <t>ÖSTERGÖTLANDS LÄN</t>
        </is>
      </c>
      <c r="E374" t="inlineStr">
        <is>
          <t>LINKÖPING</t>
        </is>
      </c>
      <c r="F374" t="inlineStr">
        <is>
          <t>Övriga Aktiebolag</t>
        </is>
      </c>
      <c r="G374" t="n">
        <v>5.9</v>
      </c>
      <c r="H374" t="n">
        <v>0</v>
      </c>
      <c r="I374" t="n">
        <v>0</v>
      </c>
      <c r="J374" t="n">
        <v>0</v>
      </c>
      <c r="K374" t="n">
        <v>0</v>
      </c>
      <c r="L374" t="n">
        <v>0</v>
      </c>
      <c r="M374" t="n">
        <v>0</v>
      </c>
      <c r="N374" t="n">
        <v>0</v>
      </c>
      <c r="O374" t="n">
        <v>0</v>
      </c>
      <c r="P374" t="n">
        <v>0</v>
      </c>
      <c r="Q374" t="n">
        <v>0</v>
      </c>
      <c r="R374" s="2" t="inlineStr"/>
    </row>
    <row r="375" ht="15" customHeight="1">
      <c r="A375" t="inlineStr">
        <is>
          <t>A 49652-2025</t>
        </is>
      </c>
      <c r="B375" s="1" t="n">
        <v>45938</v>
      </c>
      <c r="C375" s="1" t="n">
        <v>46031</v>
      </c>
      <c r="D375" t="inlineStr">
        <is>
          <t>ÖSTERGÖTLANDS LÄN</t>
        </is>
      </c>
      <c r="E375" t="inlineStr">
        <is>
          <t>LINKÖPING</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49654-2025</t>
        </is>
      </c>
      <c r="B376" s="1" t="n">
        <v>45938</v>
      </c>
      <c r="C376" s="1" t="n">
        <v>46031</v>
      </c>
      <c r="D376" t="inlineStr">
        <is>
          <t>ÖSTERGÖTLANDS LÄN</t>
        </is>
      </c>
      <c r="E376" t="inlineStr">
        <is>
          <t>LINKÖPING</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31725-2022</t>
        </is>
      </c>
      <c r="B377" s="1" t="n">
        <v>44776.48541666667</v>
      </c>
      <c r="C377" s="1" t="n">
        <v>46031</v>
      </c>
      <c r="D377" t="inlineStr">
        <is>
          <t>ÖSTERGÖTLANDS LÄN</t>
        </is>
      </c>
      <c r="E377" t="inlineStr">
        <is>
          <t>LINKÖPING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49619-2025</t>
        </is>
      </c>
      <c r="B378" s="1" t="n">
        <v>45938</v>
      </c>
      <c r="C378" s="1" t="n">
        <v>46031</v>
      </c>
      <c r="D378" t="inlineStr">
        <is>
          <t>ÖSTERGÖTLANDS LÄN</t>
        </is>
      </c>
      <c r="E378" t="inlineStr">
        <is>
          <t>LINKÖPING</t>
        </is>
      </c>
      <c r="F378" t="inlineStr">
        <is>
          <t>Övriga Aktiebolag</t>
        </is>
      </c>
      <c r="G378" t="n">
        <v>2.3</v>
      </c>
      <c r="H378" t="n">
        <v>0</v>
      </c>
      <c r="I378" t="n">
        <v>0</v>
      </c>
      <c r="J378" t="n">
        <v>0</v>
      </c>
      <c r="K378" t="n">
        <v>0</v>
      </c>
      <c r="L378" t="n">
        <v>0</v>
      </c>
      <c r="M378" t="n">
        <v>0</v>
      </c>
      <c r="N378" t="n">
        <v>0</v>
      </c>
      <c r="O378" t="n">
        <v>0</v>
      </c>
      <c r="P378" t="n">
        <v>0</v>
      </c>
      <c r="Q378" t="n">
        <v>0</v>
      </c>
      <c r="R378" s="2" t="inlineStr"/>
    </row>
    <row r="379" ht="15" customHeight="1">
      <c r="A379" t="inlineStr">
        <is>
          <t>A 49629-2025</t>
        </is>
      </c>
      <c r="B379" s="1" t="n">
        <v>45938</v>
      </c>
      <c r="C379" s="1" t="n">
        <v>46031</v>
      </c>
      <c r="D379" t="inlineStr">
        <is>
          <t>ÖSTERGÖTLANDS LÄN</t>
        </is>
      </c>
      <c r="E379" t="inlineStr">
        <is>
          <t>LINKÖPING</t>
        </is>
      </c>
      <c r="F379" t="inlineStr">
        <is>
          <t>Övriga Aktiebolag</t>
        </is>
      </c>
      <c r="G379" t="n">
        <v>4.5</v>
      </c>
      <c r="H379" t="n">
        <v>0</v>
      </c>
      <c r="I379" t="n">
        <v>0</v>
      </c>
      <c r="J379" t="n">
        <v>0</v>
      </c>
      <c r="K379" t="n">
        <v>0</v>
      </c>
      <c r="L379" t="n">
        <v>0</v>
      </c>
      <c r="M379" t="n">
        <v>0</v>
      </c>
      <c r="N379" t="n">
        <v>0</v>
      </c>
      <c r="O379" t="n">
        <v>0</v>
      </c>
      <c r="P379" t="n">
        <v>0</v>
      </c>
      <c r="Q379" t="n">
        <v>0</v>
      </c>
      <c r="R379" s="2" t="inlineStr"/>
    </row>
    <row r="380" ht="15" customHeight="1">
      <c r="A380" t="inlineStr">
        <is>
          <t>A 49650-2025</t>
        </is>
      </c>
      <c r="B380" s="1" t="n">
        <v>45938</v>
      </c>
      <c r="C380" s="1" t="n">
        <v>46031</v>
      </c>
      <c r="D380" t="inlineStr">
        <is>
          <t>ÖSTERGÖTLANDS LÄN</t>
        </is>
      </c>
      <c r="E380" t="inlineStr">
        <is>
          <t>LINKÖPING</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49632-2025</t>
        </is>
      </c>
      <c r="B381" s="1" t="n">
        <v>45938</v>
      </c>
      <c r="C381" s="1" t="n">
        <v>46031</v>
      </c>
      <c r="D381" t="inlineStr">
        <is>
          <t>ÖSTERGÖTLANDS LÄN</t>
        </is>
      </c>
      <c r="E381" t="inlineStr">
        <is>
          <t>LINKÖPING</t>
        </is>
      </c>
      <c r="F381" t="inlineStr">
        <is>
          <t>Övriga Aktiebolag</t>
        </is>
      </c>
      <c r="G381" t="n">
        <v>1.6</v>
      </c>
      <c r="H381" t="n">
        <v>0</v>
      </c>
      <c r="I381" t="n">
        <v>0</v>
      </c>
      <c r="J381" t="n">
        <v>0</v>
      </c>
      <c r="K381" t="n">
        <v>0</v>
      </c>
      <c r="L381" t="n">
        <v>0</v>
      </c>
      <c r="M381" t="n">
        <v>0</v>
      </c>
      <c r="N381" t="n">
        <v>0</v>
      </c>
      <c r="O381" t="n">
        <v>0</v>
      </c>
      <c r="P381" t="n">
        <v>0</v>
      </c>
      <c r="Q381" t="n">
        <v>0</v>
      </c>
      <c r="R381" s="2" t="inlineStr"/>
    </row>
    <row r="382" ht="15" customHeight="1">
      <c r="A382" t="inlineStr">
        <is>
          <t>A 49615-2025</t>
        </is>
      </c>
      <c r="B382" s="1" t="n">
        <v>45938</v>
      </c>
      <c r="C382" s="1" t="n">
        <v>46031</v>
      </c>
      <c r="D382" t="inlineStr">
        <is>
          <t>ÖSTERGÖTLANDS LÄN</t>
        </is>
      </c>
      <c r="E382" t="inlineStr">
        <is>
          <t>LINKÖPING</t>
        </is>
      </c>
      <c r="F382" t="inlineStr">
        <is>
          <t>Övriga Aktiebolag</t>
        </is>
      </c>
      <c r="G382" t="n">
        <v>1.6</v>
      </c>
      <c r="H382" t="n">
        <v>0</v>
      </c>
      <c r="I382" t="n">
        <v>0</v>
      </c>
      <c r="J382" t="n">
        <v>0</v>
      </c>
      <c r="K382" t="n">
        <v>0</v>
      </c>
      <c r="L382" t="n">
        <v>0</v>
      </c>
      <c r="M382" t="n">
        <v>0</v>
      </c>
      <c r="N382" t="n">
        <v>0</v>
      </c>
      <c r="O382" t="n">
        <v>0</v>
      </c>
      <c r="P382" t="n">
        <v>0</v>
      </c>
      <c r="Q382" t="n">
        <v>0</v>
      </c>
      <c r="R382" s="2" t="inlineStr"/>
    </row>
    <row r="383" ht="15" customHeight="1">
      <c r="A383" t="inlineStr">
        <is>
          <t>A 29411-2025</t>
        </is>
      </c>
      <c r="B383" s="1" t="n">
        <v>45824.6219212963</v>
      </c>
      <c r="C383" s="1" t="n">
        <v>46031</v>
      </c>
      <c r="D383" t="inlineStr">
        <is>
          <t>ÖSTERGÖTLANDS LÄN</t>
        </is>
      </c>
      <c r="E383" t="inlineStr">
        <is>
          <t>LINKÖPING</t>
        </is>
      </c>
      <c r="F383" t="inlineStr">
        <is>
          <t>Sveaskog</t>
        </is>
      </c>
      <c r="G383" t="n">
        <v>0.6</v>
      </c>
      <c r="H383" t="n">
        <v>0</v>
      </c>
      <c r="I383" t="n">
        <v>0</v>
      </c>
      <c r="J383" t="n">
        <v>0</v>
      </c>
      <c r="K383" t="n">
        <v>0</v>
      </c>
      <c r="L383" t="n">
        <v>0</v>
      </c>
      <c r="M383" t="n">
        <v>0</v>
      </c>
      <c r="N383" t="n">
        <v>0</v>
      </c>
      <c r="O383" t="n">
        <v>0</v>
      </c>
      <c r="P383" t="n">
        <v>0</v>
      </c>
      <c r="Q383" t="n">
        <v>0</v>
      </c>
      <c r="R383" s="2" t="inlineStr"/>
    </row>
    <row r="384" ht="15" customHeight="1">
      <c r="A384" t="inlineStr">
        <is>
          <t>A 2389-2023</t>
        </is>
      </c>
      <c r="B384" s="1" t="n">
        <v>44942</v>
      </c>
      <c r="C384" s="1" t="n">
        <v>46031</v>
      </c>
      <c r="D384" t="inlineStr">
        <is>
          <t>ÖSTERGÖTLANDS LÄN</t>
        </is>
      </c>
      <c r="E384" t="inlineStr">
        <is>
          <t>LINKÖPING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3627-2023</t>
        </is>
      </c>
      <c r="B385" s="1" t="n">
        <v>44950.64782407408</v>
      </c>
      <c r="C385" s="1" t="n">
        <v>46031</v>
      </c>
      <c r="D385" t="inlineStr">
        <is>
          <t>ÖSTERGÖTLANDS LÄN</t>
        </is>
      </c>
      <c r="E385" t="inlineStr">
        <is>
          <t>LINKÖPING</t>
        </is>
      </c>
      <c r="G385" t="n">
        <v>3.1</v>
      </c>
      <c r="H385" t="n">
        <v>0</v>
      </c>
      <c r="I385" t="n">
        <v>0</v>
      </c>
      <c r="J385" t="n">
        <v>0</v>
      </c>
      <c r="K385" t="n">
        <v>0</v>
      </c>
      <c r="L385" t="n">
        <v>0</v>
      </c>
      <c r="M385" t="n">
        <v>0</v>
      </c>
      <c r="N385" t="n">
        <v>0</v>
      </c>
      <c r="O385" t="n">
        <v>0</v>
      </c>
      <c r="P385" t="n">
        <v>0</v>
      </c>
      <c r="Q385" t="n">
        <v>0</v>
      </c>
      <c r="R385" s="2" t="inlineStr"/>
    </row>
    <row r="386" ht="15" customHeight="1">
      <c r="A386" t="inlineStr">
        <is>
          <t>A 62687-2023</t>
        </is>
      </c>
      <c r="B386" s="1" t="n">
        <v>45271</v>
      </c>
      <c r="C386" s="1" t="n">
        <v>46031</v>
      </c>
      <c r="D386" t="inlineStr">
        <is>
          <t>ÖSTERGÖTLANDS LÄN</t>
        </is>
      </c>
      <c r="E386" t="inlineStr">
        <is>
          <t>LINKÖPING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18891-2022</t>
        </is>
      </c>
      <c r="B387" s="1" t="n">
        <v>44690</v>
      </c>
      <c r="C387" s="1" t="n">
        <v>46031</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40983-2025</t>
        </is>
      </c>
      <c r="B388" s="1" t="n">
        <v>45898</v>
      </c>
      <c r="C388" s="1" t="n">
        <v>46031</v>
      </c>
      <c r="D388" t="inlineStr">
        <is>
          <t>ÖSTERGÖTLANDS LÄN</t>
        </is>
      </c>
      <c r="E388" t="inlineStr">
        <is>
          <t>LINKÖPING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50056-2025</t>
        </is>
      </c>
      <c r="B389" s="1" t="n">
        <v>45941</v>
      </c>
      <c r="C389" s="1" t="n">
        <v>46031</v>
      </c>
      <c r="D389" t="inlineStr">
        <is>
          <t>ÖSTERGÖTLANDS LÄN</t>
        </is>
      </c>
      <c r="E389" t="inlineStr">
        <is>
          <t>LINKÖPING</t>
        </is>
      </c>
      <c r="G389" t="n">
        <v>0.3</v>
      </c>
      <c r="H389" t="n">
        <v>0</v>
      </c>
      <c r="I389" t="n">
        <v>0</v>
      </c>
      <c r="J389" t="n">
        <v>0</v>
      </c>
      <c r="K389" t="n">
        <v>0</v>
      </c>
      <c r="L389" t="n">
        <v>0</v>
      </c>
      <c r="M389" t="n">
        <v>0</v>
      </c>
      <c r="N389" t="n">
        <v>0</v>
      </c>
      <c r="O389" t="n">
        <v>0</v>
      </c>
      <c r="P389" t="n">
        <v>0</v>
      </c>
      <c r="Q389" t="n">
        <v>0</v>
      </c>
      <c r="R389" s="2" t="inlineStr"/>
    </row>
    <row r="390" ht="15" customHeight="1">
      <c r="A390" t="inlineStr">
        <is>
          <t>A 26620-2023</t>
        </is>
      </c>
      <c r="B390" s="1" t="n">
        <v>45092.70390046296</v>
      </c>
      <c r="C390" s="1" t="n">
        <v>46031</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29599-2025</t>
        </is>
      </c>
      <c r="B391" s="1" t="n">
        <v>45825.41101851852</v>
      </c>
      <c r="C391" s="1" t="n">
        <v>46031</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56180-2024</t>
        </is>
      </c>
      <c r="B392" s="1" t="n">
        <v>45624.56611111111</v>
      </c>
      <c r="C392" s="1" t="n">
        <v>46031</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50667-2025</t>
        </is>
      </c>
      <c r="B393" s="1" t="n">
        <v>45945</v>
      </c>
      <c r="C393" s="1" t="n">
        <v>46031</v>
      </c>
      <c r="D393" t="inlineStr">
        <is>
          <t>ÖSTERGÖTLANDS LÄN</t>
        </is>
      </c>
      <c r="E393" t="inlineStr">
        <is>
          <t>LINKÖPING</t>
        </is>
      </c>
      <c r="G393" t="n">
        <v>3.3</v>
      </c>
      <c r="H393" t="n">
        <v>0</v>
      </c>
      <c r="I393" t="n">
        <v>0</v>
      </c>
      <c r="J393" t="n">
        <v>0</v>
      </c>
      <c r="K393" t="n">
        <v>0</v>
      </c>
      <c r="L393" t="n">
        <v>0</v>
      </c>
      <c r="M393" t="n">
        <v>0</v>
      </c>
      <c r="N393" t="n">
        <v>0</v>
      </c>
      <c r="O393" t="n">
        <v>0</v>
      </c>
      <c r="P393" t="n">
        <v>0</v>
      </c>
      <c r="Q393" t="n">
        <v>0</v>
      </c>
      <c r="R393" s="2" t="inlineStr"/>
    </row>
    <row r="394" ht="15" customHeight="1">
      <c r="A394" t="inlineStr">
        <is>
          <t>A 938-2023</t>
        </is>
      </c>
      <c r="B394" s="1" t="n">
        <v>44933</v>
      </c>
      <c r="C394" s="1" t="n">
        <v>46031</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25418-2023</t>
        </is>
      </c>
      <c r="B395" s="1" t="n">
        <v>45089</v>
      </c>
      <c r="C395" s="1" t="n">
        <v>46031</v>
      </c>
      <c r="D395" t="inlineStr">
        <is>
          <t>ÖSTERGÖTLANDS LÄN</t>
        </is>
      </c>
      <c r="E395" t="inlineStr">
        <is>
          <t>LINKÖPING</t>
        </is>
      </c>
      <c r="F395" t="inlineStr">
        <is>
          <t>Övriga Aktiebolag</t>
        </is>
      </c>
      <c r="G395" t="n">
        <v>2.4</v>
      </c>
      <c r="H395" t="n">
        <v>0</v>
      </c>
      <c r="I395" t="n">
        <v>0</v>
      </c>
      <c r="J395" t="n">
        <v>0</v>
      </c>
      <c r="K395" t="n">
        <v>0</v>
      </c>
      <c r="L395" t="n">
        <v>0</v>
      </c>
      <c r="M395" t="n">
        <v>0</v>
      </c>
      <c r="N395" t="n">
        <v>0</v>
      </c>
      <c r="O395" t="n">
        <v>0</v>
      </c>
      <c r="P395" t="n">
        <v>0</v>
      </c>
      <c r="Q395" t="n">
        <v>0</v>
      </c>
      <c r="R395" s="2" t="inlineStr"/>
    </row>
    <row r="396" ht="15" customHeight="1">
      <c r="A396" t="inlineStr">
        <is>
          <t>A 60007-2022</t>
        </is>
      </c>
      <c r="B396" s="1" t="n">
        <v>44909.47282407407</v>
      </c>
      <c r="C396" s="1" t="n">
        <v>46031</v>
      </c>
      <c r="D396" t="inlineStr">
        <is>
          <t>ÖSTERGÖTLANDS LÄN</t>
        </is>
      </c>
      <c r="E396" t="inlineStr">
        <is>
          <t>LINKÖPING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30355-2025</t>
        </is>
      </c>
      <c r="B397" s="1" t="n">
        <v>45827</v>
      </c>
      <c r="C397" s="1" t="n">
        <v>46031</v>
      </c>
      <c r="D397" t="inlineStr">
        <is>
          <t>ÖSTERGÖTLANDS LÄN</t>
        </is>
      </c>
      <c r="E397" t="inlineStr">
        <is>
          <t>LINKÖPING</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30353-2025</t>
        </is>
      </c>
      <c r="B398" s="1" t="n">
        <v>45827</v>
      </c>
      <c r="C398" s="1" t="n">
        <v>46031</v>
      </c>
      <c r="D398" t="inlineStr">
        <is>
          <t>ÖSTERGÖTLANDS LÄN</t>
        </is>
      </c>
      <c r="E398" t="inlineStr">
        <is>
          <t>LINKÖPING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11601-2023</t>
        </is>
      </c>
      <c r="B399" s="1" t="n">
        <v>44994</v>
      </c>
      <c r="C399" s="1" t="n">
        <v>46031</v>
      </c>
      <c r="D399" t="inlineStr">
        <is>
          <t>ÖSTERGÖTLANDS LÄN</t>
        </is>
      </c>
      <c r="E399" t="inlineStr">
        <is>
          <t>LINKÖPING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59472-2025</t>
        </is>
      </c>
      <c r="B400" s="1" t="n">
        <v>45989.58321759259</v>
      </c>
      <c r="C400" s="1" t="n">
        <v>46031</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51802-2025</t>
        </is>
      </c>
      <c r="B401" s="1" t="n">
        <v>45950</v>
      </c>
      <c r="C401" s="1" t="n">
        <v>46031</v>
      </c>
      <c r="D401" t="inlineStr">
        <is>
          <t>ÖSTERGÖTLANDS LÄN</t>
        </is>
      </c>
      <c r="E401" t="inlineStr">
        <is>
          <t>LINKÖPING</t>
        </is>
      </c>
      <c r="F401" t="inlineStr">
        <is>
          <t>Övriga Aktiebolag</t>
        </is>
      </c>
      <c r="G401" t="n">
        <v>2</v>
      </c>
      <c r="H401" t="n">
        <v>0</v>
      </c>
      <c r="I401" t="n">
        <v>0</v>
      </c>
      <c r="J401" t="n">
        <v>0</v>
      </c>
      <c r="K401" t="n">
        <v>0</v>
      </c>
      <c r="L401" t="n">
        <v>0</v>
      </c>
      <c r="M401" t="n">
        <v>0</v>
      </c>
      <c r="N401" t="n">
        <v>0</v>
      </c>
      <c r="O401" t="n">
        <v>0</v>
      </c>
      <c r="P401" t="n">
        <v>0</v>
      </c>
      <c r="Q401" t="n">
        <v>0</v>
      </c>
      <c r="R401" s="2" t="inlineStr"/>
    </row>
    <row r="402" ht="15" customHeight="1">
      <c r="A402" t="inlineStr">
        <is>
          <t>A 10253-2022</t>
        </is>
      </c>
      <c r="B402" s="1" t="n">
        <v>44622</v>
      </c>
      <c r="C402" s="1" t="n">
        <v>46031</v>
      </c>
      <c r="D402" t="inlineStr">
        <is>
          <t>ÖSTERGÖTLANDS LÄN</t>
        </is>
      </c>
      <c r="E402" t="inlineStr">
        <is>
          <t>LINKÖPING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1260-2023</t>
        </is>
      </c>
      <c r="B403" s="1" t="n">
        <v>44936</v>
      </c>
      <c r="C403" s="1" t="n">
        <v>46031</v>
      </c>
      <c r="D403" t="inlineStr">
        <is>
          <t>ÖSTERGÖTLANDS LÄN</t>
        </is>
      </c>
      <c r="E403" t="inlineStr">
        <is>
          <t>LINKÖPING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7702-2023</t>
        </is>
      </c>
      <c r="B404" s="1" t="n">
        <v>44967</v>
      </c>
      <c r="C404" s="1" t="n">
        <v>46031</v>
      </c>
      <c r="D404" t="inlineStr">
        <is>
          <t>ÖSTERGÖTLANDS LÄN</t>
        </is>
      </c>
      <c r="E404" t="inlineStr">
        <is>
          <t>LINKÖPING</t>
        </is>
      </c>
      <c r="F404" t="inlineStr">
        <is>
          <t>Övriga statliga verk och myndigheter</t>
        </is>
      </c>
      <c r="G404" t="n">
        <v>8</v>
      </c>
      <c r="H404" t="n">
        <v>0</v>
      </c>
      <c r="I404" t="n">
        <v>0</v>
      </c>
      <c r="J404" t="n">
        <v>0</v>
      </c>
      <c r="K404" t="n">
        <v>0</v>
      </c>
      <c r="L404" t="n">
        <v>0</v>
      </c>
      <c r="M404" t="n">
        <v>0</v>
      </c>
      <c r="N404" t="n">
        <v>0</v>
      </c>
      <c r="O404" t="n">
        <v>0</v>
      </c>
      <c r="P404" t="n">
        <v>0</v>
      </c>
      <c r="Q404" t="n">
        <v>0</v>
      </c>
      <c r="R404" s="2" t="inlineStr"/>
    </row>
    <row r="405" ht="15" customHeight="1">
      <c r="A405" t="inlineStr">
        <is>
          <t>A 674-2024</t>
        </is>
      </c>
      <c r="B405" s="1" t="n">
        <v>45300.34408564815</v>
      </c>
      <c r="C405" s="1" t="n">
        <v>46031</v>
      </c>
      <c r="D405" t="inlineStr">
        <is>
          <t>ÖSTERGÖTLANDS LÄN</t>
        </is>
      </c>
      <c r="E405" t="inlineStr">
        <is>
          <t>LINKÖPING</t>
        </is>
      </c>
      <c r="F405" t="inlineStr">
        <is>
          <t>Sveaskog</t>
        </is>
      </c>
      <c r="G405" t="n">
        <v>2.9</v>
      </c>
      <c r="H405" t="n">
        <v>0</v>
      </c>
      <c r="I405" t="n">
        <v>0</v>
      </c>
      <c r="J405" t="n">
        <v>0</v>
      </c>
      <c r="K405" t="n">
        <v>0</v>
      </c>
      <c r="L405" t="n">
        <v>0</v>
      </c>
      <c r="M405" t="n">
        <v>0</v>
      </c>
      <c r="N405" t="n">
        <v>0</v>
      </c>
      <c r="O405" t="n">
        <v>0</v>
      </c>
      <c r="P405" t="n">
        <v>0</v>
      </c>
      <c r="Q405" t="n">
        <v>0</v>
      </c>
      <c r="R405" s="2" t="inlineStr"/>
    </row>
    <row r="406" ht="15" customHeight="1">
      <c r="A406" t="inlineStr">
        <is>
          <t>A 63684-2023</t>
        </is>
      </c>
      <c r="B406" s="1" t="n">
        <v>45275</v>
      </c>
      <c r="C406" s="1" t="n">
        <v>46031</v>
      </c>
      <c r="D406" t="inlineStr">
        <is>
          <t>ÖSTERGÖTLANDS LÄN</t>
        </is>
      </c>
      <c r="E406" t="inlineStr">
        <is>
          <t>LINKÖPING</t>
        </is>
      </c>
      <c r="G406" t="n">
        <v>0.4</v>
      </c>
      <c r="H406" t="n">
        <v>0</v>
      </c>
      <c r="I406" t="n">
        <v>0</v>
      </c>
      <c r="J406" t="n">
        <v>0</v>
      </c>
      <c r="K406" t="n">
        <v>0</v>
      </c>
      <c r="L406" t="n">
        <v>0</v>
      </c>
      <c r="M406" t="n">
        <v>0</v>
      </c>
      <c r="N406" t="n">
        <v>0</v>
      </c>
      <c r="O406" t="n">
        <v>0</v>
      </c>
      <c r="P406" t="n">
        <v>0</v>
      </c>
      <c r="Q406" t="n">
        <v>0</v>
      </c>
      <c r="R406" s="2" t="inlineStr"/>
    </row>
    <row r="407" ht="15" customHeight="1">
      <c r="A407" t="inlineStr">
        <is>
          <t>A 167-2024</t>
        </is>
      </c>
      <c r="B407" s="1" t="n">
        <v>45294</v>
      </c>
      <c r="C407" s="1" t="n">
        <v>46031</v>
      </c>
      <c r="D407" t="inlineStr">
        <is>
          <t>ÖSTERGÖTLANDS LÄN</t>
        </is>
      </c>
      <c r="E407" t="inlineStr">
        <is>
          <t>LINKÖPING</t>
        </is>
      </c>
      <c r="F407" t="inlineStr">
        <is>
          <t>Allmännings- och besparingsskogar</t>
        </is>
      </c>
      <c r="G407" t="n">
        <v>11.6</v>
      </c>
      <c r="H407" t="n">
        <v>0</v>
      </c>
      <c r="I407" t="n">
        <v>0</v>
      </c>
      <c r="J407" t="n">
        <v>0</v>
      </c>
      <c r="K407" t="n">
        <v>0</v>
      </c>
      <c r="L407" t="n">
        <v>0</v>
      </c>
      <c r="M407" t="n">
        <v>0</v>
      </c>
      <c r="N407" t="n">
        <v>0</v>
      </c>
      <c r="O407" t="n">
        <v>0</v>
      </c>
      <c r="P407" t="n">
        <v>0</v>
      </c>
      <c r="Q407" t="n">
        <v>0</v>
      </c>
      <c r="R407" s="2" t="inlineStr"/>
    </row>
    <row r="408" ht="15" customHeight="1">
      <c r="A408" t="inlineStr">
        <is>
          <t>A 31581-2025</t>
        </is>
      </c>
      <c r="B408" s="1" t="n">
        <v>45833.6840162037</v>
      </c>
      <c r="C408" s="1" t="n">
        <v>46031</v>
      </c>
      <c r="D408" t="inlineStr">
        <is>
          <t>ÖSTERGÖTLANDS LÄN</t>
        </is>
      </c>
      <c r="E408" t="inlineStr">
        <is>
          <t>LINKÖPING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31585-2025</t>
        </is>
      </c>
      <c r="B409" s="1" t="n">
        <v>45833.68815972222</v>
      </c>
      <c r="C409" s="1" t="n">
        <v>46031</v>
      </c>
      <c r="D409" t="inlineStr">
        <is>
          <t>ÖSTERGÖTLANDS LÄN</t>
        </is>
      </c>
      <c r="E409" t="inlineStr">
        <is>
          <t>LINKÖPING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36725-2023</t>
        </is>
      </c>
      <c r="B410" s="1" t="n">
        <v>45153.68471064815</v>
      </c>
      <c r="C410" s="1" t="n">
        <v>46031</v>
      </c>
      <c r="D410" t="inlineStr">
        <is>
          <t>ÖSTERGÖTLANDS LÄN</t>
        </is>
      </c>
      <c r="E410" t="inlineStr">
        <is>
          <t>LINKÖPING</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60087-2025</t>
        </is>
      </c>
      <c r="B411" s="1" t="n">
        <v>45993.71726851852</v>
      </c>
      <c r="C411" s="1" t="n">
        <v>46031</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27343-2023</t>
        </is>
      </c>
      <c r="B412" s="1" t="n">
        <v>45096</v>
      </c>
      <c r="C412" s="1" t="n">
        <v>46031</v>
      </c>
      <c r="D412" t="inlineStr">
        <is>
          <t>ÖSTERGÖTLANDS LÄN</t>
        </is>
      </c>
      <c r="E412" t="inlineStr">
        <is>
          <t>LINKÖPING</t>
        </is>
      </c>
      <c r="F412" t="inlineStr">
        <is>
          <t>Allmännings- och besparingsskogar</t>
        </is>
      </c>
      <c r="G412" t="n">
        <v>6.9</v>
      </c>
      <c r="H412" t="n">
        <v>0</v>
      </c>
      <c r="I412" t="n">
        <v>0</v>
      </c>
      <c r="J412" t="n">
        <v>0</v>
      </c>
      <c r="K412" t="n">
        <v>0</v>
      </c>
      <c r="L412" t="n">
        <v>0</v>
      </c>
      <c r="M412" t="n">
        <v>0</v>
      </c>
      <c r="N412" t="n">
        <v>0</v>
      </c>
      <c r="O412" t="n">
        <v>0</v>
      </c>
      <c r="P412" t="n">
        <v>0</v>
      </c>
      <c r="Q412" t="n">
        <v>0</v>
      </c>
      <c r="R412" s="2" t="inlineStr"/>
    </row>
    <row r="413" ht="15" customHeight="1">
      <c r="A413" t="inlineStr">
        <is>
          <t>A 60284-2025</t>
        </is>
      </c>
      <c r="B413" s="1" t="n">
        <v>45994.64373842593</v>
      </c>
      <c r="C413" s="1" t="n">
        <v>46031</v>
      </c>
      <c r="D413" t="inlineStr">
        <is>
          <t>ÖSTERGÖTLANDS LÄN</t>
        </is>
      </c>
      <c r="E413" t="inlineStr">
        <is>
          <t>LINKÖPING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60306-2025</t>
        </is>
      </c>
      <c r="B414" s="1" t="n">
        <v>45994.68326388889</v>
      </c>
      <c r="C414" s="1" t="n">
        <v>46031</v>
      </c>
      <c r="D414" t="inlineStr">
        <is>
          <t>ÖSTERGÖTLANDS LÄN</t>
        </is>
      </c>
      <c r="E414" t="inlineStr">
        <is>
          <t>LINKÖPING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22774-2024</t>
        </is>
      </c>
      <c r="B415" s="1" t="n">
        <v>45448.46924768519</v>
      </c>
      <c r="C415" s="1" t="n">
        <v>46031</v>
      </c>
      <c r="D415" t="inlineStr">
        <is>
          <t>ÖSTERGÖTLANDS LÄN</t>
        </is>
      </c>
      <c r="E415" t="inlineStr">
        <is>
          <t>LINKÖPING</t>
        </is>
      </c>
      <c r="F415" t="inlineStr">
        <is>
          <t>Sveaskog</t>
        </is>
      </c>
      <c r="G415" t="n">
        <v>3.3</v>
      </c>
      <c r="H415" t="n">
        <v>0</v>
      </c>
      <c r="I415" t="n">
        <v>0</v>
      </c>
      <c r="J415" t="n">
        <v>0</v>
      </c>
      <c r="K415" t="n">
        <v>0</v>
      </c>
      <c r="L415" t="n">
        <v>0</v>
      </c>
      <c r="M415" t="n">
        <v>0</v>
      </c>
      <c r="N415" t="n">
        <v>0</v>
      </c>
      <c r="O415" t="n">
        <v>0</v>
      </c>
      <c r="P415" t="n">
        <v>0</v>
      </c>
      <c r="Q415" t="n">
        <v>0</v>
      </c>
      <c r="R415" s="2" t="inlineStr"/>
    </row>
    <row r="416" ht="15" customHeight="1">
      <c r="A416" t="inlineStr">
        <is>
          <t>A 22778-2024</t>
        </is>
      </c>
      <c r="B416" s="1" t="n">
        <v>45448.47233796296</v>
      </c>
      <c r="C416" s="1" t="n">
        <v>46031</v>
      </c>
      <c r="D416" t="inlineStr">
        <is>
          <t>ÖSTERGÖTLANDS LÄN</t>
        </is>
      </c>
      <c r="E416" t="inlineStr">
        <is>
          <t>LINKÖPING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52111-2025</t>
        </is>
      </c>
      <c r="B417" s="1" t="n">
        <v>45952.69527777778</v>
      </c>
      <c r="C417" s="1" t="n">
        <v>46031</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34864-2023</t>
        </is>
      </c>
      <c r="B418" s="1" t="n">
        <v>45141</v>
      </c>
      <c r="C418" s="1" t="n">
        <v>46031</v>
      </c>
      <c r="D418" t="inlineStr">
        <is>
          <t>ÖSTERGÖTLANDS LÄN</t>
        </is>
      </c>
      <c r="E418" t="inlineStr">
        <is>
          <t>LINKÖPING</t>
        </is>
      </c>
      <c r="G418" t="n">
        <v>3.3</v>
      </c>
      <c r="H418" t="n">
        <v>0</v>
      </c>
      <c r="I418" t="n">
        <v>0</v>
      </c>
      <c r="J418" t="n">
        <v>0</v>
      </c>
      <c r="K418" t="n">
        <v>0</v>
      </c>
      <c r="L418" t="n">
        <v>0</v>
      </c>
      <c r="M418" t="n">
        <v>0</v>
      </c>
      <c r="N418" t="n">
        <v>0</v>
      </c>
      <c r="O418" t="n">
        <v>0</v>
      </c>
      <c r="P418" t="n">
        <v>0</v>
      </c>
      <c r="Q418" t="n">
        <v>0</v>
      </c>
      <c r="R418" s="2" t="inlineStr"/>
    </row>
    <row r="419" ht="15" customHeight="1">
      <c r="A419" t="inlineStr">
        <is>
          <t>A 32723-2025</t>
        </is>
      </c>
      <c r="B419" s="1" t="n">
        <v>45838</v>
      </c>
      <c r="C419" s="1" t="n">
        <v>46031</v>
      </c>
      <c r="D419" t="inlineStr">
        <is>
          <t>ÖSTERGÖTLANDS LÄN</t>
        </is>
      </c>
      <c r="E419" t="inlineStr">
        <is>
          <t>LINKÖPING</t>
        </is>
      </c>
      <c r="G419" t="n">
        <v>2.1</v>
      </c>
      <c r="H419" t="n">
        <v>0</v>
      </c>
      <c r="I419" t="n">
        <v>0</v>
      </c>
      <c r="J419" t="n">
        <v>0</v>
      </c>
      <c r="K419" t="n">
        <v>0</v>
      </c>
      <c r="L419" t="n">
        <v>0</v>
      </c>
      <c r="M419" t="n">
        <v>0</v>
      </c>
      <c r="N419" t="n">
        <v>0</v>
      </c>
      <c r="O419" t="n">
        <v>0</v>
      </c>
      <c r="P419" t="n">
        <v>0</v>
      </c>
      <c r="Q419" t="n">
        <v>0</v>
      </c>
      <c r="R419" s="2" t="inlineStr"/>
    </row>
    <row r="420" ht="15" customHeight="1">
      <c r="A420" t="inlineStr">
        <is>
          <t>A 52531-2023</t>
        </is>
      </c>
      <c r="B420" s="1" t="n">
        <v>45225</v>
      </c>
      <c r="C420" s="1" t="n">
        <v>46031</v>
      </c>
      <c r="D420" t="inlineStr">
        <is>
          <t>ÖSTERGÖTLANDS LÄN</t>
        </is>
      </c>
      <c r="E420" t="inlineStr">
        <is>
          <t>LINKÖPING</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34930-2023</t>
        </is>
      </c>
      <c r="B421" s="1" t="n">
        <v>45142</v>
      </c>
      <c r="C421" s="1" t="n">
        <v>46031</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30985-2022</t>
        </is>
      </c>
      <c r="B422" s="1" t="n">
        <v>44768</v>
      </c>
      <c r="C422" s="1" t="n">
        <v>46031</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60703-2025</t>
        </is>
      </c>
      <c r="B423" s="1" t="n">
        <v>45996.6052662037</v>
      </c>
      <c r="C423" s="1" t="n">
        <v>46031</v>
      </c>
      <c r="D423" t="inlineStr">
        <is>
          <t>ÖSTERGÖTLANDS LÄN</t>
        </is>
      </c>
      <c r="E423" t="inlineStr">
        <is>
          <t>LINKÖPING</t>
        </is>
      </c>
      <c r="F423" t="inlineStr">
        <is>
          <t>Övriga Aktiebolag</t>
        </is>
      </c>
      <c r="G423" t="n">
        <v>1.3</v>
      </c>
      <c r="H423" t="n">
        <v>0</v>
      </c>
      <c r="I423" t="n">
        <v>0</v>
      </c>
      <c r="J423" t="n">
        <v>0</v>
      </c>
      <c r="K423" t="n">
        <v>0</v>
      </c>
      <c r="L423" t="n">
        <v>0</v>
      </c>
      <c r="M423" t="n">
        <v>0</v>
      </c>
      <c r="N423" t="n">
        <v>0</v>
      </c>
      <c r="O423" t="n">
        <v>0</v>
      </c>
      <c r="P423" t="n">
        <v>0</v>
      </c>
      <c r="Q423" t="n">
        <v>0</v>
      </c>
      <c r="R423" s="2" t="inlineStr"/>
    </row>
    <row r="424" ht="15" customHeight="1">
      <c r="A424" t="inlineStr">
        <is>
          <t>A 59642-2024</t>
        </is>
      </c>
      <c r="B424" s="1" t="n">
        <v>45639.31511574074</v>
      </c>
      <c r="C424" s="1" t="n">
        <v>46031</v>
      </c>
      <c r="D424" t="inlineStr">
        <is>
          <t>ÖSTERGÖTLANDS LÄN</t>
        </is>
      </c>
      <c r="E424" t="inlineStr">
        <is>
          <t>LINKÖPING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15748-2025</t>
        </is>
      </c>
      <c r="B425" s="1" t="n">
        <v>45748.55282407408</v>
      </c>
      <c r="C425" s="1" t="n">
        <v>46031</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31792-2021</t>
        </is>
      </c>
      <c r="B426" s="1" t="n">
        <v>44369</v>
      </c>
      <c r="C426" s="1" t="n">
        <v>46031</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25097-2023</t>
        </is>
      </c>
      <c r="B427" s="1" t="n">
        <v>45086</v>
      </c>
      <c r="C427" s="1" t="n">
        <v>46031</v>
      </c>
      <c r="D427" t="inlineStr">
        <is>
          <t>ÖSTERGÖTLANDS LÄN</t>
        </is>
      </c>
      <c r="E427" t="inlineStr">
        <is>
          <t>LINKÖPING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52800-2025</t>
        </is>
      </c>
      <c r="B428" s="1" t="n">
        <v>45957.44152777778</v>
      </c>
      <c r="C428" s="1" t="n">
        <v>46031</v>
      </c>
      <c r="D428" t="inlineStr">
        <is>
          <t>ÖSTERGÖTLANDS LÄN</t>
        </is>
      </c>
      <c r="E428" t="inlineStr">
        <is>
          <t>LINKÖPING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52802-2025</t>
        </is>
      </c>
      <c r="B429" s="1" t="n">
        <v>45957.44295138889</v>
      </c>
      <c r="C429" s="1" t="n">
        <v>46031</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35735-2023</t>
        </is>
      </c>
      <c r="B430" s="1" t="n">
        <v>45147</v>
      </c>
      <c r="C430" s="1" t="n">
        <v>46031</v>
      </c>
      <c r="D430" t="inlineStr">
        <is>
          <t>ÖSTERGÖTLANDS LÄN</t>
        </is>
      </c>
      <c r="E430" t="inlineStr">
        <is>
          <t>LINKÖPING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16462-2021</t>
        </is>
      </c>
      <c r="B431" s="1" t="n">
        <v>44293</v>
      </c>
      <c r="C431" s="1" t="n">
        <v>46031</v>
      </c>
      <c r="D431" t="inlineStr">
        <is>
          <t>ÖSTERGÖTLANDS LÄN</t>
        </is>
      </c>
      <c r="E431" t="inlineStr">
        <is>
          <t>LINKÖPING</t>
        </is>
      </c>
      <c r="F431" t="inlineStr">
        <is>
          <t>Allmännings- och besparingsskogar</t>
        </is>
      </c>
      <c r="G431" t="n">
        <v>24.7</v>
      </c>
      <c r="H431" t="n">
        <v>0</v>
      </c>
      <c r="I431" t="n">
        <v>0</v>
      </c>
      <c r="J431" t="n">
        <v>0</v>
      </c>
      <c r="K431" t="n">
        <v>0</v>
      </c>
      <c r="L431" t="n">
        <v>0</v>
      </c>
      <c r="M431" t="n">
        <v>0</v>
      </c>
      <c r="N431" t="n">
        <v>0</v>
      </c>
      <c r="O431" t="n">
        <v>0</v>
      </c>
      <c r="P431" t="n">
        <v>0</v>
      </c>
      <c r="Q431" t="n">
        <v>0</v>
      </c>
      <c r="R431" s="2" t="inlineStr"/>
    </row>
    <row r="432" ht="15" customHeight="1">
      <c r="A432" t="inlineStr">
        <is>
          <t>A 25776-2021</t>
        </is>
      </c>
      <c r="B432" s="1" t="n">
        <v>44343</v>
      </c>
      <c r="C432" s="1" t="n">
        <v>46031</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30856-2022</t>
        </is>
      </c>
      <c r="B433" s="1" t="n">
        <v>44767</v>
      </c>
      <c r="C433" s="1" t="n">
        <v>46031</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19187-2021</t>
        </is>
      </c>
      <c r="B434" s="1" t="n">
        <v>44308</v>
      </c>
      <c r="C434" s="1" t="n">
        <v>46031</v>
      </c>
      <c r="D434" t="inlineStr">
        <is>
          <t>ÖSTERGÖTLANDS LÄN</t>
        </is>
      </c>
      <c r="E434" t="inlineStr">
        <is>
          <t>LINKÖPING</t>
        </is>
      </c>
      <c r="F434" t="inlineStr">
        <is>
          <t>Allmännings- och besparingsskogar</t>
        </is>
      </c>
      <c r="G434" t="n">
        <v>20</v>
      </c>
      <c r="H434" t="n">
        <v>0</v>
      </c>
      <c r="I434" t="n">
        <v>0</v>
      </c>
      <c r="J434" t="n">
        <v>0</v>
      </c>
      <c r="K434" t="n">
        <v>0</v>
      </c>
      <c r="L434" t="n">
        <v>0</v>
      </c>
      <c r="M434" t="n">
        <v>0</v>
      </c>
      <c r="N434" t="n">
        <v>0</v>
      </c>
      <c r="O434" t="n">
        <v>0</v>
      </c>
      <c r="P434" t="n">
        <v>0</v>
      </c>
      <c r="Q434" t="n">
        <v>0</v>
      </c>
      <c r="R434" s="2" t="inlineStr"/>
    </row>
    <row r="435" ht="15" customHeight="1">
      <c r="A435" t="inlineStr">
        <is>
          <t>A 33947-2025</t>
        </is>
      </c>
      <c r="B435" s="1" t="n">
        <v>45842.65444444444</v>
      </c>
      <c r="C435" s="1" t="n">
        <v>46031</v>
      </c>
      <c r="D435" t="inlineStr">
        <is>
          <t>ÖSTERGÖTLANDS LÄN</t>
        </is>
      </c>
      <c r="E435" t="inlineStr">
        <is>
          <t>LINKÖPING</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52740-2025</t>
        </is>
      </c>
      <c r="B436" s="1" t="n">
        <v>45957.37747685185</v>
      </c>
      <c r="C436" s="1" t="n">
        <v>46031</v>
      </c>
      <c r="D436" t="inlineStr">
        <is>
          <t>ÖSTERGÖTLANDS LÄN</t>
        </is>
      </c>
      <c r="E436" t="inlineStr">
        <is>
          <t>LINKÖPING</t>
        </is>
      </c>
      <c r="G436" t="n">
        <v>3.7</v>
      </c>
      <c r="H436" t="n">
        <v>0</v>
      </c>
      <c r="I436" t="n">
        <v>0</v>
      </c>
      <c r="J436" t="n">
        <v>0</v>
      </c>
      <c r="K436" t="n">
        <v>0</v>
      </c>
      <c r="L436" t="n">
        <v>0</v>
      </c>
      <c r="M436" t="n">
        <v>0</v>
      </c>
      <c r="N436" t="n">
        <v>0</v>
      </c>
      <c r="O436" t="n">
        <v>0</v>
      </c>
      <c r="P436" t="n">
        <v>0</v>
      </c>
      <c r="Q436" t="n">
        <v>0</v>
      </c>
      <c r="R436" s="2" t="inlineStr"/>
    </row>
    <row r="437" ht="15" customHeight="1">
      <c r="A437" t="inlineStr">
        <is>
          <t>A 52743-2025</t>
        </is>
      </c>
      <c r="B437" s="1" t="n">
        <v>45957.38039351852</v>
      </c>
      <c r="C437" s="1" t="n">
        <v>46031</v>
      </c>
      <c r="D437" t="inlineStr">
        <is>
          <t>ÖSTERGÖTLANDS LÄN</t>
        </is>
      </c>
      <c r="E437" t="inlineStr">
        <is>
          <t>LINKÖPING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52807-2025</t>
        </is>
      </c>
      <c r="B438" s="1" t="n">
        <v>45957.44837962963</v>
      </c>
      <c r="C438" s="1" t="n">
        <v>46031</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39219-2021</t>
        </is>
      </c>
      <c r="B439" s="1" t="n">
        <v>44413</v>
      </c>
      <c r="C439" s="1" t="n">
        <v>46031</v>
      </c>
      <c r="D439" t="inlineStr">
        <is>
          <t>ÖSTERGÖTLANDS LÄN</t>
        </is>
      </c>
      <c r="E439" t="inlineStr">
        <is>
          <t>LINKÖPING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39224-2021</t>
        </is>
      </c>
      <c r="B440" s="1" t="n">
        <v>44413</v>
      </c>
      <c r="C440" s="1" t="n">
        <v>46031</v>
      </c>
      <c r="D440" t="inlineStr">
        <is>
          <t>ÖSTERGÖTLANDS LÄN</t>
        </is>
      </c>
      <c r="E440" t="inlineStr">
        <is>
          <t>LINKÖPING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43934-2023</t>
        </is>
      </c>
      <c r="B441" s="1" t="n">
        <v>45187</v>
      </c>
      <c r="C441" s="1" t="n">
        <v>46031</v>
      </c>
      <c r="D441" t="inlineStr">
        <is>
          <t>ÖSTERGÖTLANDS LÄN</t>
        </is>
      </c>
      <c r="E441" t="inlineStr">
        <is>
          <t>LINKÖPING</t>
        </is>
      </c>
      <c r="F441" t="inlineStr">
        <is>
          <t>Övriga Aktiebolag</t>
        </is>
      </c>
      <c r="G441" t="n">
        <v>3.8</v>
      </c>
      <c r="H441" t="n">
        <v>0</v>
      </c>
      <c r="I441" t="n">
        <v>0</v>
      </c>
      <c r="J441" t="n">
        <v>0</v>
      </c>
      <c r="K441" t="n">
        <v>0</v>
      </c>
      <c r="L441" t="n">
        <v>0</v>
      </c>
      <c r="M441" t="n">
        <v>0</v>
      </c>
      <c r="N441" t="n">
        <v>0</v>
      </c>
      <c r="O441" t="n">
        <v>0</v>
      </c>
      <c r="P441" t="n">
        <v>0</v>
      </c>
      <c r="Q441" t="n">
        <v>0</v>
      </c>
      <c r="R441" s="2" t="inlineStr"/>
    </row>
    <row r="442" ht="15" customHeight="1">
      <c r="A442" t="inlineStr">
        <is>
          <t>A 62012-2024</t>
        </is>
      </c>
      <c r="B442" s="1" t="n">
        <v>45655.79679398148</v>
      </c>
      <c r="C442" s="1" t="n">
        <v>46031</v>
      </c>
      <c r="D442" t="inlineStr">
        <is>
          <t>ÖSTERGÖTLANDS LÄN</t>
        </is>
      </c>
      <c r="E442" t="inlineStr">
        <is>
          <t>LINKÖPING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61447-2025</t>
        </is>
      </c>
      <c r="B443" s="1" t="n">
        <v>46001.57554398148</v>
      </c>
      <c r="C443" s="1" t="n">
        <v>46031</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53529-2024</t>
        </is>
      </c>
      <c r="B444" s="1" t="n">
        <v>45614</v>
      </c>
      <c r="C444" s="1" t="n">
        <v>46031</v>
      </c>
      <c r="D444" t="inlineStr">
        <is>
          <t>ÖSTERGÖTLANDS LÄN</t>
        </is>
      </c>
      <c r="E444" t="inlineStr">
        <is>
          <t>LINKÖPING</t>
        </is>
      </c>
      <c r="G444" t="n">
        <v>6.7</v>
      </c>
      <c r="H444" t="n">
        <v>0</v>
      </c>
      <c r="I444" t="n">
        <v>0</v>
      </c>
      <c r="J444" t="n">
        <v>0</v>
      </c>
      <c r="K444" t="n">
        <v>0</v>
      </c>
      <c r="L444" t="n">
        <v>0</v>
      </c>
      <c r="M444" t="n">
        <v>0</v>
      </c>
      <c r="N444" t="n">
        <v>0</v>
      </c>
      <c r="O444" t="n">
        <v>0</v>
      </c>
      <c r="P444" t="n">
        <v>0</v>
      </c>
      <c r="Q444" t="n">
        <v>0</v>
      </c>
      <c r="R444" s="2" t="inlineStr"/>
    </row>
    <row r="445" ht="15" customHeight="1">
      <c r="A445" t="inlineStr">
        <is>
          <t>A 61643-2025</t>
        </is>
      </c>
      <c r="B445" s="1" t="n">
        <v>46002.43575231481</v>
      </c>
      <c r="C445" s="1" t="n">
        <v>46031</v>
      </c>
      <c r="D445" t="inlineStr">
        <is>
          <t>ÖSTERGÖTLANDS LÄN</t>
        </is>
      </c>
      <c r="E445" t="inlineStr">
        <is>
          <t>LINKÖPING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61645-2025</t>
        </is>
      </c>
      <c r="B446" s="1" t="n">
        <v>46002.43697916667</v>
      </c>
      <c r="C446" s="1" t="n">
        <v>46031</v>
      </c>
      <c r="D446" t="inlineStr">
        <is>
          <t>ÖSTERGÖTLANDS LÄN</t>
        </is>
      </c>
      <c r="E446" t="inlineStr">
        <is>
          <t>LINKÖPING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20469-2025</t>
        </is>
      </c>
      <c r="B447" s="1" t="n">
        <v>45775</v>
      </c>
      <c r="C447" s="1" t="n">
        <v>46031</v>
      </c>
      <c r="D447" t="inlineStr">
        <is>
          <t>ÖSTERGÖTLANDS LÄN</t>
        </is>
      </c>
      <c r="E447" t="inlineStr">
        <is>
          <t>LINKÖPING</t>
        </is>
      </c>
      <c r="F447" t="inlineStr">
        <is>
          <t>Kyrkan</t>
        </is>
      </c>
      <c r="G447" t="n">
        <v>6.1</v>
      </c>
      <c r="H447" t="n">
        <v>0</v>
      </c>
      <c r="I447" t="n">
        <v>0</v>
      </c>
      <c r="J447" t="n">
        <v>0</v>
      </c>
      <c r="K447" t="n">
        <v>0</v>
      </c>
      <c r="L447" t="n">
        <v>0</v>
      </c>
      <c r="M447" t="n">
        <v>0</v>
      </c>
      <c r="N447" t="n">
        <v>0</v>
      </c>
      <c r="O447" t="n">
        <v>0</v>
      </c>
      <c r="P447" t="n">
        <v>0</v>
      </c>
      <c r="Q447" t="n">
        <v>0</v>
      </c>
      <c r="R447" s="2" t="inlineStr"/>
    </row>
    <row r="448" ht="15" customHeight="1">
      <c r="A448" t="inlineStr">
        <is>
          <t>A 7354-2025</t>
        </is>
      </c>
      <c r="B448" s="1" t="n">
        <v>45704.41174768518</v>
      </c>
      <c r="C448" s="1" t="n">
        <v>46031</v>
      </c>
      <c r="D448" t="inlineStr">
        <is>
          <t>ÖSTERGÖTLANDS LÄN</t>
        </is>
      </c>
      <c r="E448" t="inlineStr">
        <is>
          <t>LINKÖPING</t>
        </is>
      </c>
      <c r="G448" t="n">
        <v>4.8</v>
      </c>
      <c r="H448" t="n">
        <v>0</v>
      </c>
      <c r="I448" t="n">
        <v>0</v>
      </c>
      <c r="J448" t="n">
        <v>0</v>
      </c>
      <c r="K448" t="n">
        <v>0</v>
      </c>
      <c r="L448" t="n">
        <v>0</v>
      </c>
      <c r="M448" t="n">
        <v>0</v>
      </c>
      <c r="N448" t="n">
        <v>0</v>
      </c>
      <c r="O448" t="n">
        <v>0</v>
      </c>
      <c r="P448" t="n">
        <v>0</v>
      </c>
      <c r="Q448" t="n">
        <v>0</v>
      </c>
      <c r="R448" s="2" t="inlineStr"/>
    </row>
    <row r="449" ht="15" customHeight="1">
      <c r="A449" t="inlineStr">
        <is>
          <t>A 61899-2025</t>
        </is>
      </c>
      <c r="B449" s="1" t="n">
        <v>46003.46635416667</v>
      </c>
      <c r="C449" s="1" t="n">
        <v>46031</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63935-2021</t>
        </is>
      </c>
      <c r="B450" s="1" t="n">
        <v>44509</v>
      </c>
      <c r="C450" s="1" t="n">
        <v>46031</v>
      </c>
      <c r="D450" t="inlineStr">
        <is>
          <t>ÖSTERGÖTLANDS LÄN</t>
        </is>
      </c>
      <c r="E450" t="inlineStr">
        <is>
          <t>LINKÖPING</t>
        </is>
      </c>
      <c r="F450" t="inlineStr">
        <is>
          <t>Övriga statliga verk och myndigheter</t>
        </is>
      </c>
      <c r="G450" t="n">
        <v>2.8</v>
      </c>
      <c r="H450" t="n">
        <v>0</v>
      </c>
      <c r="I450" t="n">
        <v>0</v>
      </c>
      <c r="J450" t="n">
        <v>0</v>
      </c>
      <c r="K450" t="n">
        <v>0</v>
      </c>
      <c r="L450" t="n">
        <v>0</v>
      </c>
      <c r="M450" t="n">
        <v>0</v>
      </c>
      <c r="N450" t="n">
        <v>0</v>
      </c>
      <c r="O450" t="n">
        <v>0</v>
      </c>
      <c r="P450" t="n">
        <v>0</v>
      </c>
      <c r="Q450" t="n">
        <v>0</v>
      </c>
      <c r="R450" s="2" t="inlineStr"/>
    </row>
    <row r="451" ht="15" customHeight="1">
      <c r="A451" t="inlineStr">
        <is>
          <t>A 61230-2025</t>
        </is>
      </c>
      <c r="B451" s="1" t="n">
        <v>46000.63111111111</v>
      </c>
      <c r="C451" s="1" t="n">
        <v>46031</v>
      </c>
      <c r="D451" t="inlineStr">
        <is>
          <t>ÖSTERGÖTLANDS LÄN</t>
        </is>
      </c>
      <c r="E451" t="inlineStr">
        <is>
          <t>LINKÖPING</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40810-2022</t>
        </is>
      </c>
      <c r="B452" s="1" t="n">
        <v>44824</v>
      </c>
      <c r="C452" s="1" t="n">
        <v>46031</v>
      </c>
      <c r="D452" t="inlineStr">
        <is>
          <t>ÖSTERGÖTLANDS LÄN</t>
        </is>
      </c>
      <c r="E452" t="inlineStr">
        <is>
          <t>LINKÖPING</t>
        </is>
      </c>
      <c r="G452" t="n">
        <v>2.8</v>
      </c>
      <c r="H452" t="n">
        <v>0</v>
      </c>
      <c r="I452" t="n">
        <v>0</v>
      </c>
      <c r="J452" t="n">
        <v>0</v>
      </c>
      <c r="K452" t="n">
        <v>0</v>
      </c>
      <c r="L452" t="n">
        <v>0</v>
      </c>
      <c r="M452" t="n">
        <v>0</v>
      </c>
      <c r="N452" t="n">
        <v>0</v>
      </c>
      <c r="O452" t="n">
        <v>0</v>
      </c>
      <c r="P452" t="n">
        <v>0</v>
      </c>
      <c r="Q452" t="n">
        <v>0</v>
      </c>
      <c r="R452" s="2" t="inlineStr"/>
    </row>
    <row r="453" ht="15" customHeight="1">
      <c r="A453" t="inlineStr">
        <is>
          <t>A 33800-2023</t>
        </is>
      </c>
      <c r="B453" s="1" t="n">
        <v>45121</v>
      </c>
      <c r="C453" s="1" t="n">
        <v>46031</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47991-2023</t>
        </is>
      </c>
      <c r="B454" s="1" t="n">
        <v>45204.62655092592</v>
      </c>
      <c r="C454" s="1" t="n">
        <v>46031</v>
      </c>
      <c r="D454" t="inlineStr">
        <is>
          <t>ÖSTERGÖTLANDS LÄN</t>
        </is>
      </c>
      <c r="E454" t="inlineStr">
        <is>
          <t>LINKÖPING</t>
        </is>
      </c>
      <c r="F454" t="inlineStr">
        <is>
          <t>Allmännings- och besparingsskogar</t>
        </is>
      </c>
      <c r="G454" t="n">
        <v>7.3</v>
      </c>
      <c r="H454" t="n">
        <v>0</v>
      </c>
      <c r="I454" t="n">
        <v>0</v>
      </c>
      <c r="J454" t="n">
        <v>0</v>
      </c>
      <c r="K454" t="n">
        <v>0</v>
      </c>
      <c r="L454" t="n">
        <v>0</v>
      </c>
      <c r="M454" t="n">
        <v>0</v>
      </c>
      <c r="N454" t="n">
        <v>0</v>
      </c>
      <c r="O454" t="n">
        <v>0</v>
      </c>
      <c r="P454" t="n">
        <v>0</v>
      </c>
      <c r="Q454" t="n">
        <v>0</v>
      </c>
      <c r="R454" s="2" t="inlineStr"/>
    </row>
    <row r="455" ht="15" customHeight="1">
      <c r="A455" t="inlineStr">
        <is>
          <t>A 20298-2025</t>
        </is>
      </c>
      <c r="B455" s="1" t="n">
        <v>45774.75024305555</v>
      </c>
      <c r="C455" s="1" t="n">
        <v>46031</v>
      </c>
      <c r="D455" t="inlineStr">
        <is>
          <t>ÖSTERGÖTLANDS LÄN</t>
        </is>
      </c>
      <c r="E455" t="inlineStr">
        <is>
          <t>LINKÖPING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62686-2025</t>
        </is>
      </c>
      <c r="B456" s="1" t="n">
        <v>46008.46769675926</v>
      </c>
      <c r="C456" s="1" t="n">
        <v>46031</v>
      </c>
      <c r="D456" t="inlineStr">
        <is>
          <t>ÖSTERGÖTLANDS LÄN</t>
        </is>
      </c>
      <c r="E456" t="inlineStr">
        <is>
          <t>LINKÖPING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54333-2025</t>
        </is>
      </c>
      <c r="B457" s="1" t="n">
        <v>45965.35090277778</v>
      </c>
      <c r="C457" s="1" t="n">
        <v>46031</v>
      </c>
      <c r="D457" t="inlineStr">
        <is>
          <t>ÖSTERGÖTLANDS LÄN</t>
        </is>
      </c>
      <c r="E457" t="inlineStr">
        <is>
          <t>LINKÖPING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14576-2023</t>
        </is>
      </c>
      <c r="B458" s="1" t="n">
        <v>45013</v>
      </c>
      <c r="C458" s="1" t="n">
        <v>46031</v>
      </c>
      <c r="D458" t="inlineStr">
        <is>
          <t>ÖSTERGÖTLANDS LÄN</t>
        </is>
      </c>
      <c r="E458" t="inlineStr">
        <is>
          <t>LINKÖPING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35178-2025</t>
        </is>
      </c>
      <c r="B459" s="1" t="n">
        <v>45852.91939814815</v>
      </c>
      <c r="C459" s="1" t="n">
        <v>46031</v>
      </c>
      <c r="D459" t="inlineStr">
        <is>
          <t>ÖSTERGÖTLANDS LÄN</t>
        </is>
      </c>
      <c r="E459" t="inlineStr">
        <is>
          <t>LINKÖPING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12089-2025</t>
        </is>
      </c>
      <c r="B460" s="1" t="n">
        <v>45729</v>
      </c>
      <c r="C460" s="1" t="n">
        <v>46031</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35174-2025</t>
        </is>
      </c>
      <c r="B461" s="1" t="n">
        <v>45852.90648148148</v>
      </c>
      <c r="C461" s="1" t="n">
        <v>46031</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54332-2025</t>
        </is>
      </c>
      <c r="B462" s="1" t="n">
        <v>45965.34915509259</v>
      </c>
      <c r="C462" s="1" t="n">
        <v>46031</v>
      </c>
      <c r="D462" t="inlineStr">
        <is>
          <t>ÖSTERGÖTLANDS LÄN</t>
        </is>
      </c>
      <c r="E462" t="inlineStr">
        <is>
          <t>LINKÖPING</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26007-2025</t>
        </is>
      </c>
      <c r="B463" s="1" t="n">
        <v>45804.67081018518</v>
      </c>
      <c r="C463" s="1" t="n">
        <v>46031</v>
      </c>
      <c r="D463" t="inlineStr">
        <is>
          <t>ÖSTERGÖTLANDS LÄN</t>
        </is>
      </c>
      <c r="E463" t="inlineStr">
        <is>
          <t>LINKÖPING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35179-2025</t>
        </is>
      </c>
      <c r="B464" s="1" t="n">
        <v>45852.93737268518</v>
      </c>
      <c r="C464" s="1" t="n">
        <v>46031</v>
      </c>
      <c r="D464" t="inlineStr">
        <is>
          <t>ÖSTERGÖTLANDS LÄN</t>
        </is>
      </c>
      <c r="E464" t="inlineStr">
        <is>
          <t>LINKÖPING</t>
        </is>
      </c>
      <c r="G464" t="n">
        <v>2.2</v>
      </c>
      <c r="H464" t="n">
        <v>0</v>
      </c>
      <c r="I464" t="n">
        <v>0</v>
      </c>
      <c r="J464" t="n">
        <v>0</v>
      </c>
      <c r="K464" t="n">
        <v>0</v>
      </c>
      <c r="L464" t="n">
        <v>0</v>
      </c>
      <c r="M464" t="n">
        <v>0</v>
      </c>
      <c r="N464" t="n">
        <v>0</v>
      </c>
      <c r="O464" t="n">
        <v>0</v>
      </c>
      <c r="P464" t="n">
        <v>0</v>
      </c>
      <c r="Q464" t="n">
        <v>0</v>
      </c>
      <c r="R464" s="2" t="inlineStr"/>
    </row>
    <row r="465" ht="15" customHeight="1">
      <c r="A465" t="inlineStr">
        <is>
          <t>A 35180-2025</t>
        </is>
      </c>
      <c r="B465" s="1" t="n">
        <v>45852.9413425926</v>
      </c>
      <c r="C465" s="1" t="n">
        <v>46031</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62515-2025</t>
        </is>
      </c>
      <c r="B466" s="1" t="n">
        <v>46007.60548611111</v>
      </c>
      <c r="C466" s="1" t="n">
        <v>46031</v>
      </c>
      <c r="D466" t="inlineStr">
        <is>
          <t>ÖSTERGÖTLANDS LÄN</t>
        </is>
      </c>
      <c r="E466" t="inlineStr">
        <is>
          <t>LINKÖPING</t>
        </is>
      </c>
      <c r="G466" t="n">
        <v>2.2</v>
      </c>
      <c r="H466" t="n">
        <v>0</v>
      </c>
      <c r="I466" t="n">
        <v>0</v>
      </c>
      <c r="J466" t="n">
        <v>0</v>
      </c>
      <c r="K466" t="n">
        <v>0</v>
      </c>
      <c r="L466" t="n">
        <v>0</v>
      </c>
      <c r="M466" t="n">
        <v>0</v>
      </c>
      <c r="N466" t="n">
        <v>0</v>
      </c>
      <c r="O466" t="n">
        <v>0</v>
      </c>
      <c r="P466" t="n">
        <v>0</v>
      </c>
      <c r="Q466" t="n">
        <v>0</v>
      </c>
      <c r="R466" s="2" t="inlineStr"/>
    </row>
    <row r="467" ht="15" customHeight="1">
      <c r="A467" t="inlineStr">
        <is>
          <t>A 62791-2025</t>
        </is>
      </c>
      <c r="B467" s="1" t="n">
        <v>46008.63266203704</v>
      </c>
      <c r="C467" s="1" t="n">
        <v>46031</v>
      </c>
      <c r="D467" t="inlineStr">
        <is>
          <t>ÖSTERGÖTLANDS LÄN</t>
        </is>
      </c>
      <c r="E467" t="inlineStr">
        <is>
          <t>LINKÖPING</t>
        </is>
      </c>
      <c r="G467" t="n">
        <v>2.4</v>
      </c>
      <c r="H467" t="n">
        <v>0</v>
      </c>
      <c r="I467" t="n">
        <v>0</v>
      </c>
      <c r="J467" t="n">
        <v>0</v>
      </c>
      <c r="K467" t="n">
        <v>0</v>
      </c>
      <c r="L467" t="n">
        <v>0</v>
      </c>
      <c r="M467" t="n">
        <v>0</v>
      </c>
      <c r="N467" t="n">
        <v>0</v>
      </c>
      <c r="O467" t="n">
        <v>0</v>
      </c>
      <c r="P467" t="n">
        <v>0</v>
      </c>
      <c r="Q467" t="n">
        <v>0</v>
      </c>
      <c r="R467" s="2" t="inlineStr"/>
    </row>
    <row r="468" ht="15" customHeight="1">
      <c r="A468" t="inlineStr">
        <is>
          <t>A 54329-2025</t>
        </is>
      </c>
      <c r="B468" s="1" t="n">
        <v>45965.34706018519</v>
      </c>
      <c r="C468" s="1" t="n">
        <v>46031</v>
      </c>
      <c r="D468" t="inlineStr">
        <is>
          <t>ÖSTERGÖTLANDS LÄN</t>
        </is>
      </c>
      <c r="E468" t="inlineStr">
        <is>
          <t>LINKÖPING</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35747-2025</t>
        </is>
      </c>
      <c r="B469" s="1" t="n">
        <v>45860.56385416666</v>
      </c>
      <c r="C469" s="1" t="n">
        <v>46031</v>
      </c>
      <c r="D469" t="inlineStr">
        <is>
          <t>ÖSTERGÖTLANDS LÄN</t>
        </is>
      </c>
      <c r="E469" t="inlineStr">
        <is>
          <t>LINKÖPING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62321-2022</t>
        </is>
      </c>
      <c r="B470" s="1" t="n">
        <v>44916</v>
      </c>
      <c r="C470" s="1" t="n">
        <v>46031</v>
      </c>
      <c r="D470" t="inlineStr">
        <is>
          <t>ÖSTERGÖTLANDS LÄN</t>
        </is>
      </c>
      <c r="E470" t="inlineStr">
        <is>
          <t>LINKÖPING</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35745-2025</t>
        </is>
      </c>
      <c r="B471" s="1" t="n">
        <v>45860.54739583333</v>
      </c>
      <c r="C471" s="1" t="n">
        <v>46031</v>
      </c>
      <c r="D471" t="inlineStr">
        <is>
          <t>ÖSTERGÖTLANDS LÄN</t>
        </is>
      </c>
      <c r="E471" t="inlineStr">
        <is>
          <t>LINKÖPING</t>
        </is>
      </c>
      <c r="G471" t="n">
        <v>4.4</v>
      </c>
      <c r="H471" t="n">
        <v>0</v>
      </c>
      <c r="I471" t="n">
        <v>0</v>
      </c>
      <c r="J471" t="n">
        <v>0</v>
      </c>
      <c r="K471" t="n">
        <v>0</v>
      </c>
      <c r="L471" t="n">
        <v>0</v>
      </c>
      <c r="M471" t="n">
        <v>0</v>
      </c>
      <c r="N471" t="n">
        <v>0</v>
      </c>
      <c r="O471" t="n">
        <v>0</v>
      </c>
      <c r="P471" t="n">
        <v>0</v>
      </c>
      <c r="Q471" t="n">
        <v>0</v>
      </c>
      <c r="R471" s="2" t="inlineStr"/>
    </row>
    <row r="472" ht="15" customHeight="1">
      <c r="A472" t="inlineStr">
        <is>
          <t>A 35757-2025</t>
        </is>
      </c>
      <c r="B472" s="1" t="n">
        <v>45860.59876157407</v>
      </c>
      <c r="C472" s="1" t="n">
        <v>46031</v>
      </c>
      <c r="D472" t="inlineStr">
        <is>
          <t>ÖSTERGÖTLANDS LÄN</t>
        </is>
      </c>
      <c r="E472" t="inlineStr">
        <is>
          <t>LINKÖPING</t>
        </is>
      </c>
      <c r="G472" t="n">
        <v>5.7</v>
      </c>
      <c r="H472" t="n">
        <v>0</v>
      </c>
      <c r="I472" t="n">
        <v>0</v>
      </c>
      <c r="J472" t="n">
        <v>0</v>
      </c>
      <c r="K472" t="n">
        <v>0</v>
      </c>
      <c r="L472" t="n">
        <v>0</v>
      </c>
      <c r="M472" t="n">
        <v>0</v>
      </c>
      <c r="N472" t="n">
        <v>0</v>
      </c>
      <c r="O472" t="n">
        <v>0</v>
      </c>
      <c r="P472" t="n">
        <v>0</v>
      </c>
      <c r="Q472" t="n">
        <v>0</v>
      </c>
      <c r="R472" s="2" t="inlineStr"/>
    </row>
    <row r="473" ht="15" customHeight="1">
      <c r="A473" t="inlineStr">
        <is>
          <t>A 35759-2025</t>
        </is>
      </c>
      <c r="B473" s="1" t="n">
        <v>45860</v>
      </c>
      <c r="C473" s="1" t="n">
        <v>46031</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55109-2025</t>
        </is>
      </c>
      <c r="B474" s="1" t="n">
        <v>45968.37731481482</v>
      </c>
      <c r="C474" s="1" t="n">
        <v>46031</v>
      </c>
      <c r="D474" t="inlineStr">
        <is>
          <t>ÖSTERGÖTLANDS LÄN</t>
        </is>
      </c>
      <c r="E474" t="inlineStr">
        <is>
          <t>LINKÖPING</t>
        </is>
      </c>
      <c r="G474" t="n">
        <v>3.2</v>
      </c>
      <c r="H474" t="n">
        <v>0</v>
      </c>
      <c r="I474" t="n">
        <v>0</v>
      </c>
      <c r="J474" t="n">
        <v>0</v>
      </c>
      <c r="K474" t="n">
        <v>0</v>
      </c>
      <c r="L474" t="n">
        <v>0</v>
      </c>
      <c r="M474" t="n">
        <v>0</v>
      </c>
      <c r="N474" t="n">
        <v>0</v>
      </c>
      <c r="O474" t="n">
        <v>0</v>
      </c>
      <c r="P474" t="n">
        <v>0</v>
      </c>
      <c r="Q474" t="n">
        <v>0</v>
      </c>
      <c r="R474" s="2" t="inlineStr"/>
    </row>
    <row r="475" ht="15" customHeight="1">
      <c r="A475" t="inlineStr">
        <is>
          <t>A 43475-2024</t>
        </is>
      </c>
      <c r="B475" s="1" t="n">
        <v>45568</v>
      </c>
      <c r="C475" s="1" t="n">
        <v>46031</v>
      </c>
      <c r="D475" t="inlineStr">
        <is>
          <t>ÖSTERGÖTLANDS LÄN</t>
        </is>
      </c>
      <c r="E475" t="inlineStr">
        <is>
          <t>LINKÖPING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55165-2025</t>
        </is>
      </c>
      <c r="B476" s="1" t="n">
        <v>45968.48194444444</v>
      </c>
      <c r="C476" s="1" t="n">
        <v>46031</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63144-2025</t>
        </is>
      </c>
      <c r="B477" s="1" t="n">
        <v>46010.34716435185</v>
      </c>
      <c r="C477" s="1" t="n">
        <v>46031</v>
      </c>
      <c r="D477" t="inlineStr">
        <is>
          <t>ÖSTERGÖTLANDS LÄN</t>
        </is>
      </c>
      <c r="E477" t="inlineStr">
        <is>
          <t>LINKÖPING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63147-2025</t>
        </is>
      </c>
      <c r="B478" s="1" t="n">
        <v>46010.35003472222</v>
      </c>
      <c r="C478" s="1" t="n">
        <v>46031</v>
      </c>
      <c r="D478" t="inlineStr">
        <is>
          <t>ÖSTERGÖTLANDS LÄN</t>
        </is>
      </c>
      <c r="E478" t="inlineStr">
        <is>
          <t>LINKÖPING</t>
        </is>
      </c>
      <c r="G478" t="n">
        <v>4</v>
      </c>
      <c r="H478" t="n">
        <v>0</v>
      </c>
      <c r="I478" t="n">
        <v>0</v>
      </c>
      <c r="J478" t="n">
        <v>0</v>
      </c>
      <c r="K478" t="n">
        <v>0</v>
      </c>
      <c r="L478" t="n">
        <v>0</v>
      </c>
      <c r="M478" t="n">
        <v>0</v>
      </c>
      <c r="N478" t="n">
        <v>0</v>
      </c>
      <c r="O478" t="n">
        <v>0</v>
      </c>
      <c r="P478" t="n">
        <v>0</v>
      </c>
      <c r="Q478" t="n">
        <v>0</v>
      </c>
      <c r="R478" s="2" t="inlineStr"/>
    </row>
    <row r="479" ht="15" customHeight="1">
      <c r="A479" t="inlineStr">
        <is>
          <t>A 55102-2025</t>
        </is>
      </c>
      <c r="B479" s="1" t="n">
        <v>45968.35410879629</v>
      </c>
      <c r="C479" s="1" t="n">
        <v>46031</v>
      </c>
      <c r="D479" t="inlineStr">
        <is>
          <t>ÖSTERGÖTLANDS LÄN</t>
        </is>
      </c>
      <c r="E479" t="inlineStr">
        <is>
          <t>LINKÖPING</t>
        </is>
      </c>
      <c r="G479" t="n">
        <v>1.4</v>
      </c>
      <c r="H479" t="n">
        <v>0</v>
      </c>
      <c r="I479" t="n">
        <v>0</v>
      </c>
      <c r="J479" t="n">
        <v>0</v>
      </c>
      <c r="K479" t="n">
        <v>0</v>
      </c>
      <c r="L479" t="n">
        <v>0</v>
      </c>
      <c r="M479" t="n">
        <v>0</v>
      </c>
      <c r="N479" t="n">
        <v>0</v>
      </c>
      <c r="O479" t="n">
        <v>0</v>
      </c>
      <c r="P479" t="n">
        <v>0</v>
      </c>
      <c r="Q479" t="n">
        <v>0</v>
      </c>
      <c r="R479" s="2" t="inlineStr"/>
    </row>
    <row r="480" ht="15" customHeight="1">
      <c r="A480" t="inlineStr">
        <is>
          <t>A 55132-2025</t>
        </is>
      </c>
      <c r="B480" s="1" t="n">
        <v>45968.41912037037</v>
      </c>
      <c r="C480" s="1" t="n">
        <v>46031</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17103-2025</t>
        </is>
      </c>
      <c r="B481" s="1" t="n">
        <v>45755.66143518518</v>
      </c>
      <c r="C481" s="1" t="n">
        <v>46031</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30551-2023</t>
        </is>
      </c>
      <c r="B482" s="1" t="n">
        <v>45111</v>
      </c>
      <c r="C482" s="1" t="n">
        <v>46031</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50784-2022</t>
        </is>
      </c>
      <c r="B483" s="1" t="n">
        <v>44862</v>
      </c>
      <c r="C483" s="1" t="n">
        <v>46031</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22043-2023</t>
        </is>
      </c>
      <c r="B484" s="1" t="n">
        <v>45069.39050925926</v>
      </c>
      <c r="C484" s="1" t="n">
        <v>46031</v>
      </c>
      <c r="D484" t="inlineStr">
        <is>
          <t>ÖSTERGÖTLANDS LÄN</t>
        </is>
      </c>
      <c r="E484" t="inlineStr">
        <is>
          <t>LINKÖPING</t>
        </is>
      </c>
      <c r="G484" t="n">
        <v>5.9</v>
      </c>
      <c r="H484" t="n">
        <v>0</v>
      </c>
      <c r="I484" t="n">
        <v>0</v>
      </c>
      <c r="J484" t="n">
        <v>0</v>
      </c>
      <c r="K484" t="n">
        <v>0</v>
      </c>
      <c r="L484" t="n">
        <v>0</v>
      </c>
      <c r="M484" t="n">
        <v>0</v>
      </c>
      <c r="N484" t="n">
        <v>0</v>
      </c>
      <c r="O484" t="n">
        <v>0</v>
      </c>
      <c r="P484" t="n">
        <v>0</v>
      </c>
      <c r="Q484" t="n">
        <v>0</v>
      </c>
      <c r="R484" s="2" t="inlineStr"/>
    </row>
    <row r="485" ht="15" customHeight="1">
      <c r="A485" t="inlineStr">
        <is>
          <t>A 49656-2021</t>
        </is>
      </c>
      <c r="B485" s="1" t="n">
        <v>44454</v>
      </c>
      <c r="C485" s="1" t="n">
        <v>46031</v>
      </c>
      <c r="D485" t="inlineStr">
        <is>
          <t>ÖSTERGÖTLANDS LÄN</t>
        </is>
      </c>
      <c r="E485" t="inlineStr">
        <is>
          <t>LINKÖPING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30465-2023</t>
        </is>
      </c>
      <c r="B486" s="1" t="n">
        <v>45111</v>
      </c>
      <c r="C486" s="1" t="n">
        <v>46031</v>
      </c>
      <c r="D486" t="inlineStr">
        <is>
          <t>ÖSTERGÖTLANDS LÄN</t>
        </is>
      </c>
      <c r="E486" t="inlineStr">
        <is>
          <t>LINKÖPING</t>
        </is>
      </c>
      <c r="F486" t="inlineStr">
        <is>
          <t>Övriga Aktiebolag</t>
        </is>
      </c>
      <c r="G486" t="n">
        <v>0.7</v>
      </c>
      <c r="H486" t="n">
        <v>0</v>
      </c>
      <c r="I486" t="n">
        <v>0</v>
      </c>
      <c r="J486" t="n">
        <v>0</v>
      </c>
      <c r="K486" t="n">
        <v>0</v>
      </c>
      <c r="L486" t="n">
        <v>0</v>
      </c>
      <c r="M486" t="n">
        <v>0</v>
      </c>
      <c r="N486" t="n">
        <v>0</v>
      </c>
      <c r="O486" t="n">
        <v>0</v>
      </c>
      <c r="P486" t="n">
        <v>0</v>
      </c>
      <c r="Q486" t="n">
        <v>0</v>
      </c>
      <c r="R486" s="2" t="inlineStr"/>
    </row>
    <row r="487" ht="15" customHeight="1">
      <c r="A487" t="inlineStr">
        <is>
          <t>A 30521-2024</t>
        </is>
      </c>
      <c r="B487" s="1" t="n">
        <v>45492</v>
      </c>
      <c r="C487" s="1" t="n">
        <v>46031</v>
      </c>
      <c r="D487" t="inlineStr">
        <is>
          <t>ÖSTERGÖTLANDS LÄN</t>
        </is>
      </c>
      <c r="E487" t="inlineStr">
        <is>
          <t>LINKÖPING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40618-2021</t>
        </is>
      </c>
      <c r="B488" s="1" t="n">
        <v>44420.49575231481</v>
      </c>
      <c r="C488" s="1" t="n">
        <v>46031</v>
      </c>
      <c r="D488" t="inlineStr">
        <is>
          <t>ÖSTERGÖTLANDS LÄN</t>
        </is>
      </c>
      <c r="E488" t="inlineStr">
        <is>
          <t>LINKÖPING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23735-2023</t>
        </is>
      </c>
      <c r="B489" s="1" t="n">
        <v>45077</v>
      </c>
      <c r="C489" s="1" t="n">
        <v>46031</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350-2022</t>
        </is>
      </c>
      <c r="B490" s="1" t="n">
        <v>44565</v>
      </c>
      <c r="C490" s="1" t="n">
        <v>46031</v>
      </c>
      <c r="D490" t="inlineStr">
        <is>
          <t>ÖSTERGÖTLANDS LÄN</t>
        </is>
      </c>
      <c r="E490" t="inlineStr">
        <is>
          <t>LINKÖPING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4256-2022</t>
        </is>
      </c>
      <c r="B491" s="1" t="n">
        <v>44588</v>
      </c>
      <c r="C491" s="1" t="n">
        <v>46031</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56105-2025</t>
        </is>
      </c>
      <c r="B492" s="1" t="n">
        <v>45973.72855324074</v>
      </c>
      <c r="C492" s="1" t="n">
        <v>46031</v>
      </c>
      <c r="D492" t="inlineStr">
        <is>
          <t>ÖSTERGÖTLANDS LÄN</t>
        </is>
      </c>
      <c r="E492" t="inlineStr">
        <is>
          <t>LINKÖPING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25948-2023</t>
        </is>
      </c>
      <c r="B493" s="1" t="n">
        <v>45090</v>
      </c>
      <c r="C493" s="1" t="n">
        <v>46031</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56403-2025</t>
        </is>
      </c>
      <c r="B494" s="1" t="n">
        <v>45974</v>
      </c>
      <c r="C494" s="1" t="n">
        <v>46031</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33867-2023</t>
        </is>
      </c>
      <c r="B495" s="1" t="n">
        <v>45133.94640046296</v>
      </c>
      <c r="C495" s="1" t="n">
        <v>46031</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56113-2025</t>
        </is>
      </c>
      <c r="B496" s="1" t="n">
        <v>45973.73924768518</v>
      </c>
      <c r="C496" s="1" t="n">
        <v>46031</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56704-2025</t>
        </is>
      </c>
      <c r="B497" s="1" t="n">
        <v>45977.50608796296</v>
      </c>
      <c r="C497" s="1" t="n">
        <v>46031</v>
      </c>
      <c r="D497" t="inlineStr">
        <is>
          <t>ÖSTERGÖTLANDS LÄN</t>
        </is>
      </c>
      <c r="E497" t="inlineStr">
        <is>
          <t>LINKÖPING</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24462-2023</t>
        </is>
      </c>
      <c r="B498" s="1" t="n">
        <v>45082</v>
      </c>
      <c r="C498" s="1" t="n">
        <v>46031</v>
      </c>
      <c r="D498" t="inlineStr">
        <is>
          <t>ÖSTERGÖTLANDS LÄN</t>
        </is>
      </c>
      <c r="E498" t="inlineStr">
        <is>
          <t>LINKÖPING</t>
        </is>
      </c>
      <c r="G498" t="n">
        <v>3.5</v>
      </c>
      <c r="H498" t="n">
        <v>0</v>
      </c>
      <c r="I498" t="n">
        <v>0</v>
      </c>
      <c r="J498" t="n">
        <v>0</v>
      </c>
      <c r="K498" t="n">
        <v>0</v>
      </c>
      <c r="L498" t="n">
        <v>0</v>
      </c>
      <c r="M498" t="n">
        <v>0</v>
      </c>
      <c r="N498" t="n">
        <v>0</v>
      </c>
      <c r="O498" t="n">
        <v>0</v>
      </c>
      <c r="P498" t="n">
        <v>0</v>
      </c>
      <c r="Q498" t="n">
        <v>0</v>
      </c>
      <c r="R498" s="2" t="inlineStr"/>
    </row>
    <row r="499" ht="15" customHeight="1">
      <c r="A499" t="inlineStr">
        <is>
          <t>A 48829-2023</t>
        </is>
      </c>
      <c r="B499" s="1" t="n">
        <v>45209.38177083333</v>
      </c>
      <c r="C499" s="1" t="n">
        <v>46031</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38231-2022</t>
        </is>
      </c>
      <c r="B500" s="1" t="n">
        <v>44812</v>
      </c>
      <c r="C500" s="1" t="n">
        <v>46031</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50799-2022</t>
        </is>
      </c>
      <c r="B501" s="1" t="n">
        <v>44862</v>
      </c>
      <c r="C501" s="1" t="n">
        <v>46031</v>
      </c>
      <c r="D501" t="inlineStr">
        <is>
          <t>ÖSTERGÖTLANDS LÄN</t>
        </is>
      </c>
      <c r="E501" t="inlineStr">
        <is>
          <t>LINKÖPING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40431-2024</t>
        </is>
      </c>
      <c r="B502" s="1" t="n">
        <v>45555.47070601852</v>
      </c>
      <c r="C502" s="1" t="n">
        <v>46031</v>
      </c>
      <c r="D502" t="inlineStr">
        <is>
          <t>ÖSTERGÖTLANDS LÄN</t>
        </is>
      </c>
      <c r="E502" t="inlineStr">
        <is>
          <t>LINKÖPING</t>
        </is>
      </c>
      <c r="F502" t="inlineStr">
        <is>
          <t>Allmännings- och besparingsskogar</t>
        </is>
      </c>
      <c r="G502" t="n">
        <v>2.9</v>
      </c>
      <c r="H502" t="n">
        <v>0</v>
      </c>
      <c r="I502" t="n">
        <v>0</v>
      </c>
      <c r="J502" t="n">
        <v>0</v>
      </c>
      <c r="K502" t="n">
        <v>0</v>
      </c>
      <c r="L502" t="n">
        <v>0</v>
      </c>
      <c r="M502" t="n">
        <v>0</v>
      </c>
      <c r="N502" t="n">
        <v>0</v>
      </c>
      <c r="O502" t="n">
        <v>0</v>
      </c>
      <c r="P502" t="n">
        <v>0</v>
      </c>
      <c r="Q502" t="n">
        <v>0</v>
      </c>
      <c r="R502" s="2" t="inlineStr"/>
    </row>
    <row r="503" ht="15" customHeight="1">
      <c r="A503" t="inlineStr">
        <is>
          <t>A 267-2023</t>
        </is>
      </c>
      <c r="B503" s="1" t="n">
        <v>44928.80907407407</v>
      </c>
      <c r="C503" s="1" t="n">
        <v>46031</v>
      </c>
      <c r="D503" t="inlineStr">
        <is>
          <t>ÖSTERGÖTLANDS LÄN</t>
        </is>
      </c>
      <c r="E503" t="inlineStr">
        <is>
          <t>LINKÖPING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26618-2023</t>
        </is>
      </c>
      <c r="B504" s="1" t="n">
        <v>45092.70306712963</v>
      </c>
      <c r="C504" s="1" t="n">
        <v>46031</v>
      </c>
      <c r="D504" t="inlineStr">
        <is>
          <t>ÖSTERGÖTLANDS LÄN</t>
        </is>
      </c>
      <c r="E504" t="inlineStr">
        <is>
          <t>LINKÖPING</t>
        </is>
      </c>
      <c r="G504" t="n">
        <v>6.9</v>
      </c>
      <c r="H504" t="n">
        <v>0</v>
      </c>
      <c r="I504" t="n">
        <v>0</v>
      </c>
      <c r="J504" t="n">
        <v>0</v>
      </c>
      <c r="K504" t="n">
        <v>0</v>
      </c>
      <c r="L504" t="n">
        <v>0</v>
      </c>
      <c r="M504" t="n">
        <v>0</v>
      </c>
      <c r="N504" t="n">
        <v>0</v>
      </c>
      <c r="O504" t="n">
        <v>0</v>
      </c>
      <c r="P504" t="n">
        <v>0</v>
      </c>
      <c r="Q504" t="n">
        <v>0</v>
      </c>
      <c r="R504" s="2" t="inlineStr"/>
    </row>
    <row r="505" ht="15" customHeight="1">
      <c r="A505" t="inlineStr">
        <is>
          <t>A 63665-2023</t>
        </is>
      </c>
      <c r="B505" s="1" t="n">
        <v>45275</v>
      </c>
      <c r="C505" s="1" t="n">
        <v>46031</v>
      </c>
      <c r="D505" t="inlineStr">
        <is>
          <t>ÖSTERGÖTLANDS LÄN</t>
        </is>
      </c>
      <c r="E505" t="inlineStr">
        <is>
          <t>LINKÖPING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37057-2025</t>
        </is>
      </c>
      <c r="B506" s="1" t="n">
        <v>45875.37489583333</v>
      </c>
      <c r="C506" s="1" t="n">
        <v>46031</v>
      </c>
      <c r="D506" t="inlineStr">
        <is>
          <t>ÖSTERGÖTLANDS LÄN</t>
        </is>
      </c>
      <c r="E506" t="inlineStr">
        <is>
          <t>LINKÖPING</t>
        </is>
      </c>
      <c r="G506" t="n">
        <v>3.3</v>
      </c>
      <c r="H506" t="n">
        <v>0</v>
      </c>
      <c r="I506" t="n">
        <v>0</v>
      </c>
      <c r="J506" t="n">
        <v>0</v>
      </c>
      <c r="K506" t="n">
        <v>0</v>
      </c>
      <c r="L506" t="n">
        <v>0</v>
      </c>
      <c r="M506" t="n">
        <v>0</v>
      </c>
      <c r="N506" t="n">
        <v>0</v>
      </c>
      <c r="O506" t="n">
        <v>0</v>
      </c>
      <c r="P506" t="n">
        <v>0</v>
      </c>
      <c r="Q506" t="n">
        <v>0</v>
      </c>
      <c r="R506" s="2" t="inlineStr"/>
    </row>
    <row r="507" ht="15" customHeight="1">
      <c r="A507" t="inlineStr">
        <is>
          <t>A 30429-2024</t>
        </is>
      </c>
      <c r="B507" s="1" t="n">
        <v>45491.68972222223</v>
      </c>
      <c r="C507" s="1" t="n">
        <v>46031</v>
      </c>
      <c r="D507" t="inlineStr">
        <is>
          <t>ÖSTERGÖTLANDS LÄN</t>
        </is>
      </c>
      <c r="E507" t="inlineStr">
        <is>
          <t>LINKÖPING</t>
        </is>
      </c>
      <c r="G507" t="n">
        <v>2.2</v>
      </c>
      <c r="H507" t="n">
        <v>0</v>
      </c>
      <c r="I507" t="n">
        <v>0</v>
      </c>
      <c r="J507" t="n">
        <v>0</v>
      </c>
      <c r="K507" t="n">
        <v>0</v>
      </c>
      <c r="L507" t="n">
        <v>0</v>
      </c>
      <c r="M507" t="n">
        <v>0</v>
      </c>
      <c r="N507" t="n">
        <v>0</v>
      </c>
      <c r="O507" t="n">
        <v>0</v>
      </c>
      <c r="P507" t="n">
        <v>0</v>
      </c>
      <c r="Q507" t="n">
        <v>0</v>
      </c>
      <c r="R507" s="2" t="inlineStr"/>
    </row>
    <row r="508" ht="15" customHeight="1">
      <c r="A508" t="inlineStr">
        <is>
          <t>A 30435-2024</t>
        </is>
      </c>
      <c r="B508" s="1" t="n">
        <v>45491.69962962963</v>
      </c>
      <c r="C508" s="1" t="n">
        <v>46031</v>
      </c>
      <c r="D508" t="inlineStr">
        <is>
          <t>ÖSTERGÖTLANDS LÄN</t>
        </is>
      </c>
      <c r="E508" t="inlineStr">
        <is>
          <t>LINKÖPING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53816-2023</t>
        </is>
      </c>
      <c r="B509" s="1" t="n">
        <v>45231.40012731482</v>
      </c>
      <c r="C509" s="1" t="n">
        <v>46031</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36557-2023</t>
        </is>
      </c>
      <c r="B510" s="1" t="n">
        <v>45153</v>
      </c>
      <c r="C510" s="1" t="n">
        <v>46031</v>
      </c>
      <c r="D510" t="inlineStr">
        <is>
          <t>ÖSTERGÖTLANDS LÄN</t>
        </is>
      </c>
      <c r="E510" t="inlineStr">
        <is>
          <t>LINKÖPING</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6599-2023</t>
        </is>
      </c>
      <c r="B511" s="1" t="n">
        <v>44966.52603009259</v>
      </c>
      <c r="C511" s="1" t="n">
        <v>46031</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43473-2024</t>
        </is>
      </c>
      <c r="B512" s="1" t="n">
        <v>45568</v>
      </c>
      <c r="C512" s="1" t="n">
        <v>46031</v>
      </c>
      <c r="D512" t="inlineStr">
        <is>
          <t>ÖSTERGÖTLANDS LÄN</t>
        </is>
      </c>
      <c r="E512" t="inlineStr">
        <is>
          <t>LINKÖPING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25829-2025</t>
        </is>
      </c>
      <c r="B513" s="1" t="n">
        <v>45804.44505787037</v>
      </c>
      <c r="C513" s="1" t="n">
        <v>46031</v>
      </c>
      <c r="D513" t="inlineStr">
        <is>
          <t>ÖSTERGÖTLANDS LÄN</t>
        </is>
      </c>
      <c r="E513" t="inlineStr">
        <is>
          <t>LINKÖPING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61532-2021</t>
        </is>
      </c>
      <c r="B514" s="1" t="n">
        <v>44501</v>
      </c>
      <c r="C514" s="1" t="n">
        <v>46031</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3374-2023</t>
        </is>
      </c>
      <c r="B515" s="1" t="n">
        <v>44949</v>
      </c>
      <c r="C515" s="1" t="n">
        <v>46031</v>
      </c>
      <c r="D515" t="inlineStr">
        <is>
          <t>ÖSTERGÖTLANDS LÄN</t>
        </is>
      </c>
      <c r="E515" t="inlineStr">
        <is>
          <t>LINKÖPING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224-2024</t>
        </is>
      </c>
      <c r="B516" s="1" t="n">
        <v>45294</v>
      </c>
      <c r="C516" s="1" t="n">
        <v>46031</v>
      </c>
      <c r="D516" t="inlineStr">
        <is>
          <t>ÖSTERGÖTLANDS LÄN</t>
        </is>
      </c>
      <c r="E516" t="inlineStr">
        <is>
          <t>LINKÖPING</t>
        </is>
      </c>
      <c r="G516" t="n">
        <v>2.8</v>
      </c>
      <c r="H516" t="n">
        <v>0</v>
      </c>
      <c r="I516" t="n">
        <v>0</v>
      </c>
      <c r="J516" t="n">
        <v>0</v>
      </c>
      <c r="K516" t="n">
        <v>0</v>
      </c>
      <c r="L516" t="n">
        <v>0</v>
      </c>
      <c r="M516" t="n">
        <v>0</v>
      </c>
      <c r="N516" t="n">
        <v>0</v>
      </c>
      <c r="O516" t="n">
        <v>0</v>
      </c>
      <c r="P516" t="n">
        <v>0</v>
      </c>
      <c r="Q516" t="n">
        <v>0</v>
      </c>
      <c r="R516" s="2" t="inlineStr"/>
    </row>
    <row r="517" ht="15" customHeight="1">
      <c r="A517" t="inlineStr">
        <is>
          <t>A 6726-2024</t>
        </is>
      </c>
      <c r="B517" s="1" t="n">
        <v>45341</v>
      </c>
      <c r="C517" s="1" t="n">
        <v>46031</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38046-2025</t>
        </is>
      </c>
      <c r="B518" s="1" t="n">
        <v>45882.39939814815</v>
      </c>
      <c r="C518" s="1" t="n">
        <v>46031</v>
      </c>
      <c r="D518" t="inlineStr">
        <is>
          <t>ÖSTERGÖTLANDS LÄN</t>
        </is>
      </c>
      <c r="E518" t="inlineStr">
        <is>
          <t>LINKÖPING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53814-2023</t>
        </is>
      </c>
      <c r="B519" s="1" t="n">
        <v>45231</v>
      </c>
      <c r="C519" s="1" t="n">
        <v>46031</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60004-2022</t>
        </is>
      </c>
      <c r="B520" s="1" t="n">
        <v>44909.47206018519</v>
      </c>
      <c r="C520" s="1" t="n">
        <v>46031</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52796-2023</t>
        </is>
      </c>
      <c r="B521" s="1" t="n">
        <v>45219</v>
      </c>
      <c r="C521" s="1" t="n">
        <v>46031</v>
      </c>
      <c r="D521" t="inlineStr">
        <is>
          <t>ÖSTERGÖTLANDS LÄN</t>
        </is>
      </c>
      <c r="E521" t="inlineStr">
        <is>
          <t>LINKÖPING</t>
        </is>
      </c>
      <c r="F521" t="inlineStr">
        <is>
          <t>Övriga statliga verk och myndigheter</t>
        </is>
      </c>
      <c r="G521" t="n">
        <v>3.9</v>
      </c>
      <c r="H521" t="n">
        <v>0</v>
      </c>
      <c r="I521" t="n">
        <v>0</v>
      </c>
      <c r="J521" t="n">
        <v>0</v>
      </c>
      <c r="K521" t="n">
        <v>0</v>
      </c>
      <c r="L521" t="n">
        <v>0</v>
      </c>
      <c r="M521" t="n">
        <v>0</v>
      </c>
      <c r="N521" t="n">
        <v>0</v>
      </c>
      <c r="O521" t="n">
        <v>0</v>
      </c>
      <c r="P521" t="n">
        <v>0</v>
      </c>
      <c r="Q521" t="n">
        <v>0</v>
      </c>
      <c r="R521" s="2" t="inlineStr"/>
    </row>
    <row r="522" ht="15" customHeight="1">
      <c r="A522" t="inlineStr">
        <is>
          <t>A 50743-2023</t>
        </is>
      </c>
      <c r="B522" s="1" t="n">
        <v>45217</v>
      </c>
      <c r="C522" s="1" t="n">
        <v>46031</v>
      </c>
      <c r="D522" t="inlineStr">
        <is>
          <t>ÖSTERGÖTLANDS LÄN</t>
        </is>
      </c>
      <c r="E522" t="inlineStr">
        <is>
          <t>LINKÖPING</t>
        </is>
      </c>
      <c r="G522" t="n">
        <v>2.7</v>
      </c>
      <c r="H522" t="n">
        <v>0</v>
      </c>
      <c r="I522" t="n">
        <v>0</v>
      </c>
      <c r="J522" t="n">
        <v>0</v>
      </c>
      <c r="K522" t="n">
        <v>0</v>
      </c>
      <c r="L522" t="n">
        <v>0</v>
      </c>
      <c r="M522" t="n">
        <v>0</v>
      </c>
      <c r="N522" t="n">
        <v>0</v>
      </c>
      <c r="O522" t="n">
        <v>0</v>
      </c>
      <c r="P522" t="n">
        <v>0</v>
      </c>
      <c r="Q522" t="n">
        <v>0</v>
      </c>
      <c r="R522" s="2" t="inlineStr"/>
    </row>
    <row r="523" ht="15" customHeight="1">
      <c r="A523" t="inlineStr">
        <is>
          <t>A 45771-2023</t>
        </is>
      </c>
      <c r="B523" s="1" t="n">
        <v>45195.4384375</v>
      </c>
      <c r="C523" s="1" t="n">
        <v>46031</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46031</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30111-2024</t>
        </is>
      </c>
      <c r="B525" s="1" t="n">
        <v>45489.46947916667</v>
      </c>
      <c r="C525" s="1" t="n">
        <v>46031</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30119-2024</t>
        </is>
      </c>
      <c r="B526" s="1" t="n">
        <v>45489</v>
      </c>
      <c r="C526" s="1" t="n">
        <v>46031</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6206-2024</t>
        </is>
      </c>
      <c r="B527" s="1" t="n">
        <v>45337.5977662037</v>
      </c>
      <c r="C527" s="1" t="n">
        <v>46031</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15714-2024</t>
        </is>
      </c>
      <c r="B528" s="1" t="n">
        <v>45404.48288194444</v>
      </c>
      <c r="C528" s="1" t="n">
        <v>46031</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30481-2023</t>
        </is>
      </c>
      <c r="B529" s="1" t="n">
        <v>45111</v>
      </c>
      <c r="C529" s="1" t="n">
        <v>46031</v>
      </c>
      <c r="D529" t="inlineStr">
        <is>
          <t>ÖSTERGÖTLANDS LÄN</t>
        </is>
      </c>
      <c r="E529" t="inlineStr">
        <is>
          <t>LINKÖPING</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74160-2021</t>
        </is>
      </c>
      <c r="B530" s="1" t="n">
        <v>44558</v>
      </c>
      <c r="C530" s="1" t="n">
        <v>46031</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63559-2023</t>
        </is>
      </c>
      <c r="B531" s="1" t="n">
        <v>45275.35924768518</v>
      </c>
      <c r="C531" s="1" t="n">
        <v>46031</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23491-2024</t>
        </is>
      </c>
      <c r="B532" s="1" t="n">
        <v>45453</v>
      </c>
      <c r="C532" s="1" t="n">
        <v>46031</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29309-2024</t>
        </is>
      </c>
      <c r="B533" s="1" t="n">
        <v>45483</v>
      </c>
      <c r="C533" s="1" t="n">
        <v>46031</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29411-2023</t>
        </is>
      </c>
      <c r="B534" s="1" t="n">
        <v>45106.46225694445</v>
      </c>
      <c r="C534" s="1" t="n">
        <v>46031</v>
      </c>
      <c r="D534" t="inlineStr">
        <is>
          <t>ÖSTERGÖTLANDS LÄN</t>
        </is>
      </c>
      <c r="E534" t="inlineStr">
        <is>
          <t>LINKÖPING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29412-2023</t>
        </is>
      </c>
      <c r="B535" s="1" t="n">
        <v>45106.46359953703</v>
      </c>
      <c r="C535" s="1" t="n">
        <v>46031</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29413-2023</t>
        </is>
      </c>
      <c r="B536" s="1" t="n">
        <v>45106.46465277778</v>
      </c>
      <c r="C536" s="1" t="n">
        <v>46031</v>
      </c>
      <c r="D536" t="inlineStr">
        <is>
          <t>ÖSTERGÖTLANDS LÄN</t>
        </is>
      </c>
      <c r="E536" t="inlineStr">
        <is>
          <t>LINKÖPING</t>
        </is>
      </c>
      <c r="G536" t="n">
        <v>8</v>
      </c>
      <c r="H536" t="n">
        <v>0</v>
      </c>
      <c r="I536" t="n">
        <v>0</v>
      </c>
      <c r="J536" t="n">
        <v>0</v>
      </c>
      <c r="K536" t="n">
        <v>0</v>
      </c>
      <c r="L536" t="n">
        <v>0</v>
      </c>
      <c r="M536" t="n">
        <v>0</v>
      </c>
      <c r="N536" t="n">
        <v>0</v>
      </c>
      <c r="O536" t="n">
        <v>0</v>
      </c>
      <c r="P536" t="n">
        <v>0</v>
      </c>
      <c r="Q536" t="n">
        <v>0</v>
      </c>
      <c r="R536" s="2" t="inlineStr"/>
    </row>
    <row r="537" ht="15" customHeight="1">
      <c r="A537" t="inlineStr">
        <is>
          <t>A 24151-2024</t>
        </is>
      </c>
      <c r="B537" s="1" t="n">
        <v>45456.67717592593</v>
      </c>
      <c r="C537" s="1" t="n">
        <v>46031</v>
      </c>
      <c r="D537" t="inlineStr">
        <is>
          <t>ÖSTERGÖTLANDS LÄN</t>
        </is>
      </c>
      <c r="E537" t="inlineStr">
        <is>
          <t>LINKÖPING</t>
        </is>
      </c>
      <c r="G537" t="n">
        <v>2.1</v>
      </c>
      <c r="H537" t="n">
        <v>0</v>
      </c>
      <c r="I537" t="n">
        <v>0</v>
      </c>
      <c r="J537" t="n">
        <v>0</v>
      </c>
      <c r="K537" t="n">
        <v>0</v>
      </c>
      <c r="L537" t="n">
        <v>0</v>
      </c>
      <c r="M537" t="n">
        <v>0</v>
      </c>
      <c r="N537" t="n">
        <v>0</v>
      </c>
      <c r="O537" t="n">
        <v>0</v>
      </c>
      <c r="P537" t="n">
        <v>0</v>
      </c>
      <c r="Q537" t="n">
        <v>0</v>
      </c>
      <c r="R537" s="2" t="inlineStr"/>
    </row>
    <row r="538" ht="15" customHeight="1">
      <c r="A538" t="inlineStr">
        <is>
          <t>A 63845-2021</t>
        </is>
      </c>
      <c r="B538" s="1" t="n">
        <v>44509</v>
      </c>
      <c r="C538" s="1" t="n">
        <v>46031</v>
      </c>
      <c r="D538" t="inlineStr">
        <is>
          <t>ÖSTERGÖTLANDS LÄN</t>
        </is>
      </c>
      <c r="E538" t="inlineStr">
        <is>
          <t>LINKÖPING</t>
        </is>
      </c>
      <c r="G538" t="n">
        <v>5</v>
      </c>
      <c r="H538" t="n">
        <v>0</v>
      </c>
      <c r="I538" t="n">
        <v>0</v>
      </c>
      <c r="J538" t="n">
        <v>0</v>
      </c>
      <c r="K538" t="n">
        <v>0</v>
      </c>
      <c r="L538" t="n">
        <v>0</v>
      </c>
      <c r="M538" t="n">
        <v>0</v>
      </c>
      <c r="N538" t="n">
        <v>0</v>
      </c>
      <c r="O538" t="n">
        <v>0</v>
      </c>
      <c r="P538" t="n">
        <v>0</v>
      </c>
      <c r="Q538" t="n">
        <v>0</v>
      </c>
      <c r="R538" s="2" t="inlineStr"/>
    </row>
    <row r="539" ht="15" customHeight="1">
      <c r="A539" t="inlineStr">
        <is>
          <t>A 17785-2023</t>
        </is>
      </c>
      <c r="B539" s="1" t="n">
        <v>45037.55094907407</v>
      </c>
      <c r="C539" s="1" t="n">
        <v>46031</v>
      </c>
      <c r="D539" t="inlineStr">
        <is>
          <t>ÖSTERGÖTLANDS LÄN</t>
        </is>
      </c>
      <c r="E539" t="inlineStr">
        <is>
          <t>LINKÖPING</t>
        </is>
      </c>
      <c r="F539" t="inlineStr">
        <is>
          <t>Allmännings- och besparingsskogar</t>
        </is>
      </c>
      <c r="G539" t="n">
        <v>3.1</v>
      </c>
      <c r="H539" t="n">
        <v>0</v>
      </c>
      <c r="I539" t="n">
        <v>0</v>
      </c>
      <c r="J539" t="n">
        <v>0</v>
      </c>
      <c r="K539" t="n">
        <v>0</v>
      </c>
      <c r="L539" t="n">
        <v>0</v>
      </c>
      <c r="M539" t="n">
        <v>0</v>
      </c>
      <c r="N539" t="n">
        <v>0</v>
      </c>
      <c r="O539" t="n">
        <v>0</v>
      </c>
      <c r="P539" t="n">
        <v>0</v>
      </c>
      <c r="Q539" t="n">
        <v>0</v>
      </c>
      <c r="R539" s="2" t="inlineStr"/>
    </row>
    <row r="540" ht="15" customHeight="1">
      <c r="A540" t="inlineStr">
        <is>
          <t>A 32346-2023</t>
        </is>
      </c>
      <c r="B540" s="1" t="n">
        <v>45120</v>
      </c>
      <c r="C540" s="1" t="n">
        <v>46031</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1627-2023</t>
        </is>
      </c>
      <c r="B541" s="1" t="n">
        <v>44937</v>
      </c>
      <c r="C541" s="1" t="n">
        <v>46031</v>
      </c>
      <c r="D541" t="inlineStr">
        <is>
          <t>ÖSTERGÖTLANDS LÄN</t>
        </is>
      </c>
      <c r="E541" t="inlineStr">
        <is>
          <t>LINKÖPING</t>
        </is>
      </c>
      <c r="G541" t="n">
        <v>10.8</v>
      </c>
      <c r="H541" t="n">
        <v>0</v>
      </c>
      <c r="I541" t="n">
        <v>0</v>
      </c>
      <c r="J541" t="n">
        <v>0</v>
      </c>
      <c r="K541" t="n">
        <v>0</v>
      </c>
      <c r="L541" t="n">
        <v>0</v>
      </c>
      <c r="M541" t="n">
        <v>0</v>
      </c>
      <c r="N541" t="n">
        <v>0</v>
      </c>
      <c r="O541" t="n">
        <v>0</v>
      </c>
      <c r="P541" t="n">
        <v>0</v>
      </c>
      <c r="Q541" t="n">
        <v>0</v>
      </c>
      <c r="R541" s="2" t="inlineStr"/>
    </row>
    <row r="542" ht="15" customHeight="1">
      <c r="A542" t="inlineStr">
        <is>
          <t>A 16665-2023</t>
        </is>
      </c>
      <c r="B542" s="1" t="n">
        <v>45030.5583912037</v>
      </c>
      <c r="C542" s="1" t="n">
        <v>46031</v>
      </c>
      <c r="D542" t="inlineStr">
        <is>
          <t>ÖSTERGÖTLANDS LÄN</t>
        </is>
      </c>
      <c r="E542" t="inlineStr">
        <is>
          <t>LINKÖPING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60860-2024</t>
        </is>
      </c>
      <c r="B543" s="1" t="n">
        <v>45644.6893287037</v>
      </c>
      <c r="C543" s="1" t="n">
        <v>46031</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31640-2023</t>
        </is>
      </c>
      <c r="B544" s="1" t="n">
        <v>45117</v>
      </c>
      <c r="C544" s="1" t="n">
        <v>46031</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16213-2025</t>
        </is>
      </c>
      <c r="B545" s="1" t="n">
        <v>45750.62740740741</v>
      </c>
      <c r="C545" s="1" t="n">
        <v>46031</v>
      </c>
      <c r="D545" t="inlineStr">
        <is>
          <t>ÖSTERGÖTLANDS LÄN</t>
        </is>
      </c>
      <c r="E545" t="inlineStr">
        <is>
          <t>LINKÖPING</t>
        </is>
      </c>
      <c r="G545" t="n">
        <v>3.4</v>
      </c>
      <c r="H545" t="n">
        <v>0</v>
      </c>
      <c r="I545" t="n">
        <v>0</v>
      </c>
      <c r="J545" t="n">
        <v>0</v>
      </c>
      <c r="K545" t="n">
        <v>0</v>
      </c>
      <c r="L545" t="n">
        <v>0</v>
      </c>
      <c r="M545" t="n">
        <v>0</v>
      </c>
      <c r="N545" t="n">
        <v>0</v>
      </c>
      <c r="O545" t="n">
        <v>0</v>
      </c>
      <c r="P545" t="n">
        <v>0</v>
      </c>
      <c r="Q545" t="n">
        <v>0</v>
      </c>
      <c r="R545" s="2" t="inlineStr"/>
    </row>
    <row r="546" ht="15" customHeight="1">
      <c r="A546" t="inlineStr">
        <is>
          <t>A 34872-2023</t>
        </is>
      </c>
      <c r="B546" s="1" t="n">
        <v>45140</v>
      </c>
      <c r="C546" s="1" t="n">
        <v>46031</v>
      </c>
      <c r="D546" t="inlineStr">
        <is>
          <t>ÖSTERGÖTLANDS LÄN</t>
        </is>
      </c>
      <c r="E546" t="inlineStr">
        <is>
          <t>LINKÖPING</t>
        </is>
      </c>
      <c r="G546" t="n">
        <v>4.8</v>
      </c>
      <c r="H546" t="n">
        <v>0</v>
      </c>
      <c r="I546" t="n">
        <v>0</v>
      </c>
      <c r="J546" t="n">
        <v>0</v>
      </c>
      <c r="K546" t="n">
        <v>0</v>
      </c>
      <c r="L546" t="n">
        <v>0</v>
      </c>
      <c r="M546" t="n">
        <v>0</v>
      </c>
      <c r="N546" t="n">
        <v>0</v>
      </c>
      <c r="O546" t="n">
        <v>0</v>
      </c>
      <c r="P546" t="n">
        <v>0</v>
      </c>
      <c r="Q546" t="n">
        <v>0</v>
      </c>
      <c r="R546" s="2" t="inlineStr"/>
    </row>
    <row r="547" ht="15" customHeight="1">
      <c r="A547" t="inlineStr">
        <is>
          <t>A 33000-2023</t>
        </is>
      </c>
      <c r="B547" s="1" t="n">
        <v>45125</v>
      </c>
      <c r="C547" s="1" t="n">
        <v>46031</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2997-2025</t>
        </is>
      </c>
      <c r="B548" s="1" t="n">
        <v>45678.54631944445</v>
      </c>
      <c r="C548" s="1" t="n">
        <v>46031</v>
      </c>
      <c r="D548" t="inlineStr">
        <is>
          <t>ÖSTERGÖTLANDS LÄN</t>
        </is>
      </c>
      <c r="E548" t="inlineStr">
        <is>
          <t>LINKÖPING</t>
        </is>
      </c>
      <c r="G548" t="n">
        <v>2.7</v>
      </c>
      <c r="H548" t="n">
        <v>0</v>
      </c>
      <c r="I548" t="n">
        <v>0</v>
      </c>
      <c r="J548" t="n">
        <v>0</v>
      </c>
      <c r="K548" t="n">
        <v>0</v>
      </c>
      <c r="L548" t="n">
        <v>0</v>
      </c>
      <c r="M548" t="n">
        <v>0</v>
      </c>
      <c r="N548" t="n">
        <v>0</v>
      </c>
      <c r="O548" t="n">
        <v>0</v>
      </c>
      <c r="P548" t="n">
        <v>0</v>
      </c>
      <c r="Q548" t="n">
        <v>0</v>
      </c>
      <c r="R548" s="2" t="inlineStr"/>
    </row>
    <row r="549" ht="15" customHeight="1">
      <c r="A549" t="inlineStr">
        <is>
          <t>A 31534-2023</t>
        </is>
      </c>
      <c r="B549" s="1" t="n">
        <v>45116</v>
      </c>
      <c r="C549" s="1" t="n">
        <v>46031</v>
      </c>
      <c r="D549" t="inlineStr">
        <is>
          <t>ÖSTERGÖTLANDS LÄN</t>
        </is>
      </c>
      <c r="E549" t="inlineStr">
        <is>
          <t>LINKÖPING</t>
        </is>
      </c>
      <c r="G549" t="n">
        <v>1.5</v>
      </c>
      <c r="H549" t="n">
        <v>0</v>
      </c>
      <c r="I549" t="n">
        <v>0</v>
      </c>
      <c r="J549" t="n">
        <v>0</v>
      </c>
      <c r="K549" t="n">
        <v>0</v>
      </c>
      <c r="L549" t="n">
        <v>0</v>
      </c>
      <c r="M549" t="n">
        <v>0</v>
      </c>
      <c r="N549" t="n">
        <v>0</v>
      </c>
      <c r="O549" t="n">
        <v>0</v>
      </c>
      <c r="P549" t="n">
        <v>0</v>
      </c>
      <c r="Q549" t="n">
        <v>0</v>
      </c>
      <c r="R549" s="2" t="inlineStr"/>
    </row>
    <row r="550" ht="15" customHeight="1">
      <c r="A550" t="inlineStr">
        <is>
          <t>A 26803-2024</t>
        </is>
      </c>
      <c r="B550" s="1" t="n">
        <v>45470</v>
      </c>
      <c r="C550" s="1" t="n">
        <v>46031</v>
      </c>
      <c r="D550" t="inlineStr">
        <is>
          <t>ÖSTERGÖTLANDS LÄN</t>
        </is>
      </c>
      <c r="E550" t="inlineStr">
        <is>
          <t>LINKÖPING</t>
        </is>
      </c>
      <c r="F550" t="inlineStr">
        <is>
          <t>Allmännings- och besparingsskogar</t>
        </is>
      </c>
      <c r="G550" t="n">
        <v>4.5</v>
      </c>
      <c r="H550" t="n">
        <v>0</v>
      </c>
      <c r="I550" t="n">
        <v>0</v>
      </c>
      <c r="J550" t="n">
        <v>0</v>
      </c>
      <c r="K550" t="n">
        <v>0</v>
      </c>
      <c r="L550" t="n">
        <v>0</v>
      </c>
      <c r="M550" t="n">
        <v>0</v>
      </c>
      <c r="N550" t="n">
        <v>0</v>
      </c>
      <c r="O550" t="n">
        <v>0</v>
      </c>
      <c r="P550" t="n">
        <v>0</v>
      </c>
      <c r="Q550" t="n">
        <v>0</v>
      </c>
      <c r="R550" s="2" t="inlineStr"/>
    </row>
    <row r="551" ht="15" customHeight="1">
      <c r="A551" t="inlineStr">
        <is>
          <t>A 45806-2024</t>
        </is>
      </c>
      <c r="B551" s="1" t="n">
        <v>45579.69619212963</v>
      </c>
      <c r="C551" s="1" t="n">
        <v>46031</v>
      </c>
      <c r="D551" t="inlineStr">
        <is>
          <t>ÖSTERGÖTLANDS LÄN</t>
        </is>
      </c>
      <c r="E551" t="inlineStr">
        <is>
          <t>LINKÖPING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37154-2023</t>
        </is>
      </c>
      <c r="B552" s="1" t="n">
        <v>45155</v>
      </c>
      <c r="C552" s="1" t="n">
        <v>46031</v>
      </c>
      <c r="D552" t="inlineStr">
        <is>
          <t>ÖSTERGÖTLANDS LÄN</t>
        </is>
      </c>
      <c r="E552" t="inlineStr">
        <is>
          <t>LINKÖPING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11330-2023</t>
        </is>
      </c>
      <c r="B553" s="1" t="n">
        <v>44993.24648148148</v>
      </c>
      <c r="C553" s="1" t="n">
        <v>46031</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42000-2023</t>
        </is>
      </c>
      <c r="B554" s="1" t="n">
        <v>45177</v>
      </c>
      <c r="C554" s="1" t="n">
        <v>46031</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32602-2022</t>
        </is>
      </c>
      <c r="B555" s="1" t="n">
        <v>44783.43192129629</v>
      </c>
      <c r="C555" s="1" t="n">
        <v>46031</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13413-2023</t>
        </is>
      </c>
      <c r="B556" s="1" t="n">
        <v>45005.58341435185</v>
      </c>
      <c r="C556" s="1" t="n">
        <v>46031</v>
      </c>
      <c r="D556" t="inlineStr">
        <is>
          <t>ÖSTERGÖTLANDS LÄN</t>
        </is>
      </c>
      <c r="E556" t="inlineStr">
        <is>
          <t>LINKÖPING</t>
        </is>
      </c>
      <c r="G556" t="n">
        <v>2.4</v>
      </c>
      <c r="H556" t="n">
        <v>0</v>
      </c>
      <c r="I556" t="n">
        <v>0</v>
      </c>
      <c r="J556" t="n">
        <v>0</v>
      </c>
      <c r="K556" t="n">
        <v>0</v>
      </c>
      <c r="L556" t="n">
        <v>0</v>
      </c>
      <c r="M556" t="n">
        <v>0</v>
      </c>
      <c r="N556" t="n">
        <v>0</v>
      </c>
      <c r="O556" t="n">
        <v>0</v>
      </c>
      <c r="P556" t="n">
        <v>0</v>
      </c>
      <c r="Q556" t="n">
        <v>0</v>
      </c>
      <c r="R556" s="2" t="inlineStr"/>
    </row>
    <row r="557" ht="15" customHeight="1">
      <c r="A557" t="inlineStr">
        <is>
          <t>A 63528-2023</t>
        </is>
      </c>
      <c r="B557" s="1" t="n">
        <v>45274.94810185185</v>
      </c>
      <c r="C557" s="1" t="n">
        <v>46031</v>
      </c>
      <c r="D557" t="inlineStr">
        <is>
          <t>ÖSTERGÖTLANDS LÄN</t>
        </is>
      </c>
      <c r="E557" t="inlineStr">
        <is>
          <t>LINKÖPING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63638-2023</t>
        </is>
      </c>
      <c r="B558" s="1" t="n">
        <v>45275</v>
      </c>
      <c r="C558" s="1" t="n">
        <v>46031</v>
      </c>
      <c r="D558" t="inlineStr">
        <is>
          <t>ÖSTERGÖTLANDS LÄN</t>
        </is>
      </c>
      <c r="E558" t="inlineStr">
        <is>
          <t>LINKÖPING</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63658-2023</t>
        </is>
      </c>
      <c r="B559" s="1" t="n">
        <v>45275</v>
      </c>
      <c r="C559" s="1" t="n">
        <v>46031</v>
      </c>
      <c r="D559" t="inlineStr">
        <is>
          <t>ÖSTERGÖTLANDS LÄN</t>
        </is>
      </c>
      <c r="E559" t="inlineStr">
        <is>
          <t>LINKÖPING</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7808-2022</t>
        </is>
      </c>
      <c r="B560" s="1" t="n">
        <v>44608</v>
      </c>
      <c r="C560" s="1" t="n">
        <v>46031</v>
      </c>
      <c r="D560" t="inlineStr">
        <is>
          <t>ÖSTERGÖTLANDS LÄN</t>
        </is>
      </c>
      <c r="E560" t="inlineStr">
        <is>
          <t>LINKÖPING</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36336-2023</t>
        </is>
      </c>
      <c r="B561" s="1" t="n">
        <v>45152.45078703704</v>
      </c>
      <c r="C561" s="1" t="n">
        <v>46031</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56623-2024</t>
        </is>
      </c>
      <c r="B562" s="1" t="n">
        <v>45625</v>
      </c>
      <c r="C562" s="1" t="n">
        <v>46031</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13011-2022</t>
        </is>
      </c>
      <c r="B563" s="1" t="n">
        <v>44643</v>
      </c>
      <c r="C563" s="1" t="n">
        <v>46031</v>
      </c>
      <c r="D563" t="inlineStr">
        <is>
          <t>ÖSTERGÖTLANDS LÄN</t>
        </is>
      </c>
      <c r="E563" t="inlineStr">
        <is>
          <t>LINKÖPING</t>
        </is>
      </c>
      <c r="G563" t="n">
        <v>3.7</v>
      </c>
      <c r="H563" t="n">
        <v>0</v>
      </c>
      <c r="I563" t="n">
        <v>0</v>
      </c>
      <c r="J563" t="n">
        <v>0</v>
      </c>
      <c r="K563" t="n">
        <v>0</v>
      </c>
      <c r="L563" t="n">
        <v>0</v>
      </c>
      <c r="M563" t="n">
        <v>0</v>
      </c>
      <c r="N563" t="n">
        <v>0</v>
      </c>
      <c r="O563" t="n">
        <v>0</v>
      </c>
      <c r="P563" t="n">
        <v>0</v>
      </c>
      <c r="Q563" t="n">
        <v>0</v>
      </c>
      <c r="R563" s="2" t="inlineStr"/>
    </row>
    <row r="564" ht="15" customHeight="1">
      <c r="A564" t="inlineStr">
        <is>
          <t>A 11595-2025</t>
        </is>
      </c>
      <c r="B564" s="1" t="n">
        <v>45727.41893518518</v>
      </c>
      <c r="C564" s="1" t="n">
        <v>46031</v>
      </c>
      <c r="D564" t="inlineStr">
        <is>
          <t>ÖSTERGÖTLANDS LÄN</t>
        </is>
      </c>
      <c r="E564" t="inlineStr">
        <is>
          <t>LINKÖPING</t>
        </is>
      </c>
      <c r="G564" t="n">
        <v>6.6</v>
      </c>
      <c r="H564" t="n">
        <v>0</v>
      </c>
      <c r="I564" t="n">
        <v>0</v>
      </c>
      <c r="J564" t="n">
        <v>0</v>
      </c>
      <c r="K564" t="n">
        <v>0</v>
      </c>
      <c r="L564" t="n">
        <v>0</v>
      </c>
      <c r="M564" t="n">
        <v>0</v>
      </c>
      <c r="N564" t="n">
        <v>0</v>
      </c>
      <c r="O564" t="n">
        <v>0</v>
      </c>
      <c r="P564" t="n">
        <v>0</v>
      </c>
      <c r="Q564" t="n">
        <v>0</v>
      </c>
      <c r="R564" s="2" t="inlineStr"/>
    </row>
    <row r="565" ht="15" customHeight="1">
      <c r="A565" t="inlineStr">
        <is>
          <t>A 50508-2024</t>
        </is>
      </c>
      <c r="B565" s="1" t="n">
        <v>45601.53907407408</v>
      </c>
      <c r="C565" s="1" t="n">
        <v>46031</v>
      </c>
      <c r="D565" t="inlineStr">
        <is>
          <t>ÖSTERGÖTLANDS LÄN</t>
        </is>
      </c>
      <c r="E565" t="inlineStr">
        <is>
          <t>LINKÖPING</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36336-2022</t>
        </is>
      </c>
      <c r="B566" s="1" t="n">
        <v>44803</v>
      </c>
      <c r="C566" s="1" t="n">
        <v>46031</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48839-2022</t>
        </is>
      </c>
      <c r="B567" s="1" t="n">
        <v>44859</v>
      </c>
      <c r="C567" s="1" t="n">
        <v>46031</v>
      </c>
      <c r="D567" t="inlineStr">
        <is>
          <t>ÖSTERGÖTLANDS LÄN</t>
        </is>
      </c>
      <c r="E567" t="inlineStr">
        <is>
          <t>LINKÖPING</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6387-2022</t>
        </is>
      </c>
      <c r="B568" s="1" t="n">
        <v>44600</v>
      </c>
      <c r="C568" s="1" t="n">
        <v>46031</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34641-2022</t>
        </is>
      </c>
      <c r="B569" s="1" t="n">
        <v>44795</v>
      </c>
      <c r="C569" s="1" t="n">
        <v>46031</v>
      </c>
      <c r="D569" t="inlineStr">
        <is>
          <t>ÖSTERGÖTLANDS LÄN</t>
        </is>
      </c>
      <c r="E569" t="inlineStr">
        <is>
          <t>LINKÖPING</t>
        </is>
      </c>
      <c r="G569" t="n">
        <v>2.4</v>
      </c>
      <c r="H569" t="n">
        <v>0</v>
      </c>
      <c r="I569" t="n">
        <v>0</v>
      </c>
      <c r="J569" t="n">
        <v>0</v>
      </c>
      <c r="K569" t="n">
        <v>0</v>
      </c>
      <c r="L569" t="n">
        <v>0</v>
      </c>
      <c r="M569" t="n">
        <v>0</v>
      </c>
      <c r="N569" t="n">
        <v>0</v>
      </c>
      <c r="O569" t="n">
        <v>0</v>
      </c>
      <c r="P569" t="n">
        <v>0</v>
      </c>
      <c r="Q569" t="n">
        <v>0</v>
      </c>
      <c r="R569" s="2" t="inlineStr"/>
    </row>
    <row r="570" ht="15" customHeight="1">
      <c r="A570" t="inlineStr">
        <is>
          <t>A 13687-2025</t>
        </is>
      </c>
      <c r="B570" s="1" t="n">
        <v>45737.31425925926</v>
      </c>
      <c r="C570" s="1" t="n">
        <v>46031</v>
      </c>
      <c r="D570" t="inlineStr">
        <is>
          <t>ÖSTERGÖTLANDS LÄN</t>
        </is>
      </c>
      <c r="E570" t="inlineStr">
        <is>
          <t>LINKÖPING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13695-2025</t>
        </is>
      </c>
      <c r="B571" s="1" t="n">
        <v>45737.32219907407</v>
      </c>
      <c r="C571" s="1" t="n">
        <v>46031</v>
      </c>
      <c r="D571" t="inlineStr">
        <is>
          <t>ÖSTERGÖTLANDS LÄN</t>
        </is>
      </c>
      <c r="E571" t="inlineStr">
        <is>
          <t>LINKÖPING</t>
        </is>
      </c>
      <c r="G571" t="n">
        <v>5.3</v>
      </c>
      <c r="H571" t="n">
        <v>0</v>
      </c>
      <c r="I571" t="n">
        <v>0</v>
      </c>
      <c r="J571" t="n">
        <v>0</v>
      </c>
      <c r="K571" t="n">
        <v>0</v>
      </c>
      <c r="L571" t="n">
        <v>0</v>
      </c>
      <c r="M571" t="n">
        <v>0</v>
      </c>
      <c r="N571" t="n">
        <v>0</v>
      </c>
      <c r="O571" t="n">
        <v>0</v>
      </c>
      <c r="P571" t="n">
        <v>0</v>
      </c>
      <c r="Q571" t="n">
        <v>0</v>
      </c>
      <c r="R571" s="2" t="inlineStr"/>
    </row>
    <row r="572" ht="15" customHeight="1">
      <c r="A572" t="inlineStr">
        <is>
          <t>A 52413-2023</t>
        </is>
      </c>
      <c r="B572" s="1" t="n">
        <v>45225.27950231481</v>
      </c>
      <c r="C572" s="1" t="n">
        <v>46031</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42054-2022</t>
        </is>
      </c>
      <c r="B573" s="1" t="n">
        <v>44830</v>
      </c>
      <c r="C573" s="1" t="n">
        <v>46031</v>
      </c>
      <c r="D573" t="inlineStr">
        <is>
          <t>ÖSTERGÖTLANDS LÄN</t>
        </is>
      </c>
      <c r="E573" t="inlineStr">
        <is>
          <t>LINKÖPING</t>
        </is>
      </c>
      <c r="G573" t="n">
        <v>1.7</v>
      </c>
      <c r="H573" t="n">
        <v>0</v>
      </c>
      <c r="I573" t="n">
        <v>0</v>
      </c>
      <c r="J573" t="n">
        <v>0</v>
      </c>
      <c r="K573" t="n">
        <v>0</v>
      </c>
      <c r="L573" t="n">
        <v>0</v>
      </c>
      <c r="M573" t="n">
        <v>0</v>
      </c>
      <c r="N573" t="n">
        <v>0</v>
      </c>
      <c r="O573" t="n">
        <v>0</v>
      </c>
      <c r="P573" t="n">
        <v>0</v>
      </c>
      <c r="Q573" t="n">
        <v>0</v>
      </c>
      <c r="R573" s="2" t="inlineStr"/>
    </row>
    <row r="574" ht="15" customHeight="1">
      <c r="A574" t="inlineStr">
        <is>
          <t>A 53797-2023</t>
        </is>
      </c>
      <c r="B574" s="1" t="n">
        <v>45230</v>
      </c>
      <c r="C574" s="1" t="n">
        <v>46031</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22833-2023</t>
        </is>
      </c>
      <c r="B575" s="1" t="n">
        <v>45071</v>
      </c>
      <c r="C575" s="1" t="n">
        <v>46031</v>
      </c>
      <c r="D575" t="inlineStr">
        <is>
          <t>ÖSTERGÖTLANDS LÄN</t>
        </is>
      </c>
      <c r="E575" t="inlineStr">
        <is>
          <t>LINKÖPING</t>
        </is>
      </c>
      <c r="F575" t="inlineStr">
        <is>
          <t>Kommuner</t>
        </is>
      </c>
      <c r="G575" t="n">
        <v>1</v>
      </c>
      <c r="H575" t="n">
        <v>0</v>
      </c>
      <c r="I575" t="n">
        <v>0</v>
      </c>
      <c r="J575" t="n">
        <v>0</v>
      </c>
      <c r="K575" t="n">
        <v>0</v>
      </c>
      <c r="L575" t="n">
        <v>0</v>
      </c>
      <c r="M575" t="n">
        <v>0</v>
      </c>
      <c r="N575" t="n">
        <v>0</v>
      </c>
      <c r="O575" t="n">
        <v>0</v>
      </c>
      <c r="P575" t="n">
        <v>0</v>
      </c>
      <c r="Q575" t="n">
        <v>0</v>
      </c>
      <c r="R575" s="2" t="inlineStr"/>
    </row>
    <row r="576" ht="15" customHeight="1">
      <c r="A576" t="inlineStr">
        <is>
          <t>A 17898-2022</t>
        </is>
      </c>
      <c r="B576" s="1" t="n">
        <v>44683</v>
      </c>
      <c r="C576" s="1" t="n">
        <v>46031</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62017-2024</t>
        </is>
      </c>
      <c r="B577" s="1" t="n">
        <v>45655.81140046296</v>
      </c>
      <c r="C577" s="1" t="n">
        <v>46031</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12411-2022</t>
        </is>
      </c>
      <c r="B578" s="1" t="n">
        <v>44638.21601851852</v>
      </c>
      <c r="C578" s="1" t="n">
        <v>46031</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10492-2022</t>
        </is>
      </c>
      <c r="B579" s="1" t="n">
        <v>44623.6377199074</v>
      </c>
      <c r="C579" s="1" t="n">
        <v>46031</v>
      </c>
      <c r="D579" t="inlineStr">
        <is>
          <t>ÖSTERGÖTLANDS LÄN</t>
        </is>
      </c>
      <c r="E579" t="inlineStr">
        <is>
          <t>LINKÖPING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7343-2025</t>
        </is>
      </c>
      <c r="B580" s="1" t="n">
        <v>45703.67853009259</v>
      </c>
      <c r="C580" s="1" t="n">
        <v>46031</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8967-2025</t>
        </is>
      </c>
      <c r="B581" s="1" t="n">
        <v>45712</v>
      </c>
      <c r="C581" s="1" t="n">
        <v>46031</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35427-2023</t>
        </is>
      </c>
      <c r="B582" s="1" t="n">
        <v>45146</v>
      </c>
      <c r="C582" s="1" t="n">
        <v>46031</v>
      </c>
      <c r="D582" t="inlineStr">
        <is>
          <t>ÖSTERGÖTLANDS LÄN</t>
        </is>
      </c>
      <c r="E582" t="inlineStr">
        <is>
          <t>LINKÖPING</t>
        </is>
      </c>
      <c r="F582" t="inlineStr">
        <is>
          <t>Övriga Aktiebolag</t>
        </is>
      </c>
      <c r="G582" t="n">
        <v>2.5</v>
      </c>
      <c r="H582" t="n">
        <v>0</v>
      </c>
      <c r="I582" t="n">
        <v>0</v>
      </c>
      <c r="J582" t="n">
        <v>0</v>
      </c>
      <c r="K582" t="n">
        <v>0</v>
      </c>
      <c r="L582" t="n">
        <v>0</v>
      </c>
      <c r="M582" t="n">
        <v>0</v>
      </c>
      <c r="N582" t="n">
        <v>0</v>
      </c>
      <c r="O582" t="n">
        <v>0</v>
      </c>
      <c r="P582" t="n">
        <v>0</v>
      </c>
      <c r="Q582" t="n">
        <v>0</v>
      </c>
      <c r="R582" s="2" t="inlineStr"/>
    </row>
    <row r="583" ht="15" customHeight="1">
      <c r="A583" t="inlineStr">
        <is>
          <t>A 30468-2023</t>
        </is>
      </c>
      <c r="B583" s="1" t="n">
        <v>45111.58732638889</v>
      </c>
      <c r="C583" s="1" t="n">
        <v>46031</v>
      </c>
      <c r="D583" t="inlineStr">
        <is>
          <t>ÖSTERGÖTLANDS LÄN</t>
        </is>
      </c>
      <c r="E583" t="inlineStr">
        <is>
          <t>LINKÖPING</t>
        </is>
      </c>
      <c r="G583" t="n">
        <v>10.1</v>
      </c>
      <c r="H583" t="n">
        <v>0</v>
      </c>
      <c r="I583" t="n">
        <v>0</v>
      </c>
      <c r="J583" t="n">
        <v>0</v>
      </c>
      <c r="K583" t="n">
        <v>0</v>
      </c>
      <c r="L583" t="n">
        <v>0</v>
      </c>
      <c r="M583" t="n">
        <v>0</v>
      </c>
      <c r="N583" t="n">
        <v>0</v>
      </c>
      <c r="O583" t="n">
        <v>0</v>
      </c>
      <c r="P583" t="n">
        <v>0</v>
      </c>
      <c r="Q583" t="n">
        <v>0</v>
      </c>
      <c r="R583" s="2" t="inlineStr"/>
    </row>
    <row r="584" ht="15" customHeight="1">
      <c r="A584" t="inlineStr">
        <is>
          <t>A 20296-2025</t>
        </is>
      </c>
      <c r="B584" s="1" t="n">
        <v>45774.74922453704</v>
      </c>
      <c r="C584" s="1" t="n">
        <v>46031</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56841-2023</t>
        </is>
      </c>
      <c r="B585" s="1" t="n">
        <v>45244</v>
      </c>
      <c r="C585" s="1" t="n">
        <v>46031</v>
      </c>
      <c r="D585" t="inlineStr">
        <is>
          <t>ÖSTERGÖTLANDS LÄN</t>
        </is>
      </c>
      <c r="E585" t="inlineStr">
        <is>
          <t>LINKÖPING</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53812-2023</t>
        </is>
      </c>
      <c r="B586" s="1" t="n">
        <v>45231.39583333334</v>
      </c>
      <c r="C586" s="1" t="n">
        <v>46031</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53830-2023</t>
        </is>
      </c>
      <c r="B587" s="1" t="n">
        <v>45230</v>
      </c>
      <c r="C587" s="1" t="n">
        <v>46031</v>
      </c>
      <c r="D587" t="inlineStr">
        <is>
          <t>ÖSTERGÖTLANDS LÄN</t>
        </is>
      </c>
      <c r="E587" t="inlineStr">
        <is>
          <t>LINKÖPING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38715-2023</t>
        </is>
      </c>
      <c r="B588" s="1" t="n">
        <v>45160</v>
      </c>
      <c r="C588" s="1" t="n">
        <v>46031</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27766-2022</t>
        </is>
      </c>
      <c r="B589" s="1" t="n">
        <v>44743.53112268518</v>
      </c>
      <c r="C589" s="1" t="n">
        <v>46031</v>
      </c>
      <c r="D589" t="inlineStr">
        <is>
          <t>ÖSTERGÖTLANDS LÄN</t>
        </is>
      </c>
      <c r="E589" t="inlineStr">
        <is>
          <t>LINKÖPING</t>
        </is>
      </c>
      <c r="G589" t="n">
        <v>2</v>
      </c>
      <c r="H589" t="n">
        <v>0</v>
      </c>
      <c r="I589" t="n">
        <v>0</v>
      </c>
      <c r="J589" t="n">
        <v>0</v>
      </c>
      <c r="K589" t="n">
        <v>0</v>
      </c>
      <c r="L589" t="n">
        <v>0</v>
      </c>
      <c r="M589" t="n">
        <v>0</v>
      </c>
      <c r="N589" t="n">
        <v>0</v>
      </c>
      <c r="O589" t="n">
        <v>0</v>
      </c>
      <c r="P589" t="n">
        <v>0</v>
      </c>
      <c r="Q589" t="n">
        <v>0</v>
      </c>
      <c r="R589" s="2" t="inlineStr"/>
    </row>
    <row r="590" ht="15" customHeight="1">
      <c r="A590" t="inlineStr">
        <is>
          <t>A 48271-2023</t>
        </is>
      </c>
      <c r="B590" s="1" t="n">
        <v>45205</v>
      </c>
      <c r="C590" s="1" t="n">
        <v>46031</v>
      </c>
      <c r="D590" t="inlineStr">
        <is>
          <t>ÖSTERGÖTLANDS LÄN</t>
        </is>
      </c>
      <c r="E590" t="inlineStr">
        <is>
          <t>LINKÖPING</t>
        </is>
      </c>
      <c r="G590" t="n">
        <v>3</v>
      </c>
      <c r="H590" t="n">
        <v>0</v>
      </c>
      <c r="I590" t="n">
        <v>0</v>
      </c>
      <c r="J590" t="n">
        <v>0</v>
      </c>
      <c r="K590" t="n">
        <v>0</v>
      </c>
      <c r="L590" t="n">
        <v>0</v>
      </c>
      <c r="M590" t="n">
        <v>0</v>
      </c>
      <c r="N590" t="n">
        <v>0</v>
      </c>
      <c r="O590" t="n">
        <v>0</v>
      </c>
      <c r="P590" t="n">
        <v>0</v>
      </c>
      <c r="Q590" t="n">
        <v>0</v>
      </c>
      <c r="R590" s="2" t="inlineStr"/>
    </row>
    <row r="591" ht="15" customHeight="1">
      <c r="A591" t="inlineStr">
        <is>
          <t>A 13266-2025</t>
        </is>
      </c>
      <c r="B591" s="1" t="n">
        <v>45735.53318287037</v>
      </c>
      <c r="C591" s="1" t="n">
        <v>46031</v>
      </c>
      <c r="D591" t="inlineStr">
        <is>
          <t>ÖSTERGÖTLANDS LÄN</t>
        </is>
      </c>
      <c r="E591" t="inlineStr">
        <is>
          <t>LINKÖPING</t>
        </is>
      </c>
      <c r="G591" t="n">
        <v>3.1</v>
      </c>
      <c r="H591" t="n">
        <v>0</v>
      </c>
      <c r="I591" t="n">
        <v>0</v>
      </c>
      <c r="J591" t="n">
        <v>0</v>
      </c>
      <c r="K591" t="n">
        <v>0</v>
      </c>
      <c r="L591" t="n">
        <v>0</v>
      </c>
      <c r="M591" t="n">
        <v>0</v>
      </c>
      <c r="N591" t="n">
        <v>0</v>
      </c>
      <c r="O591" t="n">
        <v>0</v>
      </c>
      <c r="P591" t="n">
        <v>0</v>
      </c>
      <c r="Q591" t="n">
        <v>0</v>
      </c>
      <c r="R591" s="2" t="inlineStr"/>
    </row>
    <row r="592" ht="15" customHeight="1">
      <c r="A592" t="inlineStr">
        <is>
          <t>A 60001-2022</t>
        </is>
      </c>
      <c r="B592" s="1" t="n">
        <v>44909.47087962963</v>
      </c>
      <c r="C592" s="1" t="n">
        <v>46031</v>
      </c>
      <c r="D592" t="inlineStr">
        <is>
          <t>ÖSTERGÖTLANDS LÄN</t>
        </is>
      </c>
      <c r="E592" t="inlineStr">
        <is>
          <t>LINKÖPING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1657-2024</t>
        </is>
      </c>
      <c r="B593" s="1" t="n">
        <v>45306.82501157407</v>
      </c>
      <c r="C593" s="1" t="n">
        <v>46031</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30976-2022</t>
        </is>
      </c>
      <c r="B594" s="1" t="n">
        <v>44768</v>
      </c>
      <c r="C594" s="1" t="n">
        <v>46031</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30860-2022</t>
        </is>
      </c>
      <c r="B595" s="1" t="n">
        <v>44767</v>
      </c>
      <c r="C595" s="1" t="n">
        <v>46031</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48186-2022</t>
        </is>
      </c>
      <c r="B596" s="1" t="n">
        <v>44858</v>
      </c>
      <c r="C596" s="1" t="n">
        <v>46031</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28266-2024</t>
        </is>
      </c>
      <c r="B597" s="1" t="n">
        <v>45477.43600694444</v>
      </c>
      <c r="C597" s="1" t="n">
        <v>46031</v>
      </c>
      <c r="D597" t="inlineStr">
        <is>
          <t>ÖSTERGÖTLANDS LÄN</t>
        </is>
      </c>
      <c r="E597" t="inlineStr">
        <is>
          <t>LINKÖPING</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31548-2022</t>
        </is>
      </c>
      <c r="B598" s="1" t="n">
        <v>44775.39832175926</v>
      </c>
      <c r="C598" s="1" t="n">
        <v>46031</v>
      </c>
      <c r="D598" t="inlineStr">
        <is>
          <t>ÖSTERGÖTLANDS LÄN</t>
        </is>
      </c>
      <c r="E598" t="inlineStr">
        <is>
          <t>LINKÖPING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1211-2023</t>
        </is>
      </c>
      <c r="B599" s="1" t="n">
        <v>44930</v>
      </c>
      <c r="C599" s="1" t="n">
        <v>46031</v>
      </c>
      <c r="D599" t="inlineStr">
        <is>
          <t>ÖSTERGÖTLANDS LÄN</t>
        </is>
      </c>
      <c r="E599" t="inlineStr">
        <is>
          <t>LINKÖPING</t>
        </is>
      </c>
      <c r="F599" t="inlineStr">
        <is>
          <t>Övriga statliga verk och myndigheter</t>
        </is>
      </c>
      <c r="G599" t="n">
        <v>7.9</v>
      </c>
      <c r="H599" t="n">
        <v>0</v>
      </c>
      <c r="I599" t="n">
        <v>0</v>
      </c>
      <c r="J599" t="n">
        <v>0</v>
      </c>
      <c r="K599" t="n">
        <v>0</v>
      </c>
      <c r="L599" t="n">
        <v>0</v>
      </c>
      <c r="M599" t="n">
        <v>0</v>
      </c>
      <c r="N599" t="n">
        <v>0</v>
      </c>
      <c r="O599" t="n">
        <v>0</v>
      </c>
      <c r="P599" t="n">
        <v>0</v>
      </c>
      <c r="Q599" t="n">
        <v>0</v>
      </c>
      <c r="R599" s="2" t="inlineStr"/>
    </row>
    <row r="600" ht="15" customHeight="1">
      <c r="A600" t="inlineStr">
        <is>
          <t>A 51191-2022</t>
        </is>
      </c>
      <c r="B600" s="1" t="n">
        <v>44865</v>
      </c>
      <c r="C600" s="1" t="n">
        <v>46031</v>
      </c>
      <c r="D600" t="inlineStr">
        <is>
          <t>ÖSTERGÖTLANDS LÄN</t>
        </is>
      </c>
      <c r="E600" t="inlineStr">
        <is>
          <t>LINKÖPING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55632-2022</t>
        </is>
      </c>
      <c r="B601" s="1" t="n">
        <v>44888</v>
      </c>
      <c r="C601" s="1" t="n">
        <v>46031</v>
      </c>
      <c r="D601" t="inlineStr">
        <is>
          <t>ÖSTERGÖTLANDS LÄN</t>
        </is>
      </c>
      <c r="E601" t="inlineStr">
        <is>
          <t>LINKÖPING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63669-2023</t>
        </is>
      </c>
      <c r="B602" s="1" t="n">
        <v>45275</v>
      </c>
      <c r="C602" s="1" t="n">
        <v>46031</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12289-2025</t>
        </is>
      </c>
      <c r="B603" s="1" t="n">
        <v>45729</v>
      </c>
      <c r="C603" s="1" t="n">
        <v>46031</v>
      </c>
      <c r="D603" t="inlineStr">
        <is>
          <t>ÖSTERGÖTLANDS LÄN</t>
        </is>
      </c>
      <c r="E603" t="inlineStr">
        <is>
          <t>LINKÖPING</t>
        </is>
      </c>
      <c r="F603" t="inlineStr">
        <is>
          <t>Övriga statliga verk och myndigheter</t>
        </is>
      </c>
      <c r="G603" t="n">
        <v>6.5</v>
      </c>
      <c r="H603" t="n">
        <v>0</v>
      </c>
      <c r="I603" t="n">
        <v>0</v>
      </c>
      <c r="J603" t="n">
        <v>0</v>
      </c>
      <c r="K603" t="n">
        <v>0</v>
      </c>
      <c r="L603" t="n">
        <v>0</v>
      </c>
      <c r="M603" t="n">
        <v>0</v>
      </c>
      <c r="N603" t="n">
        <v>0</v>
      </c>
      <c r="O603" t="n">
        <v>0</v>
      </c>
      <c r="P603" t="n">
        <v>0</v>
      </c>
      <c r="Q603" t="n">
        <v>0</v>
      </c>
      <c r="R603" s="2" t="inlineStr"/>
    </row>
    <row r="604" ht="15" customHeight="1">
      <c r="A604" t="inlineStr">
        <is>
          <t>A 36657-2023</t>
        </is>
      </c>
      <c r="B604" s="1" t="n">
        <v>45153.5702662037</v>
      </c>
      <c r="C604" s="1" t="n">
        <v>46031</v>
      </c>
      <c r="D604" t="inlineStr">
        <is>
          <t>ÖSTERGÖTLANDS LÄN</t>
        </is>
      </c>
      <c r="E604" t="inlineStr">
        <is>
          <t>LINKÖPING</t>
        </is>
      </c>
      <c r="F604" t="inlineStr">
        <is>
          <t>Allmännings- och besparingsskogar</t>
        </is>
      </c>
      <c r="G604" t="n">
        <v>2</v>
      </c>
      <c r="H604" t="n">
        <v>0</v>
      </c>
      <c r="I604" t="n">
        <v>0</v>
      </c>
      <c r="J604" t="n">
        <v>0</v>
      </c>
      <c r="K604" t="n">
        <v>0</v>
      </c>
      <c r="L604" t="n">
        <v>0</v>
      </c>
      <c r="M604" t="n">
        <v>0</v>
      </c>
      <c r="N604" t="n">
        <v>0</v>
      </c>
      <c r="O604" t="n">
        <v>0</v>
      </c>
      <c r="P604" t="n">
        <v>0</v>
      </c>
      <c r="Q604" t="n">
        <v>0</v>
      </c>
      <c r="R604" s="2" t="inlineStr"/>
    </row>
    <row r="605" ht="15" customHeight="1">
      <c r="A605" t="inlineStr">
        <is>
          <t>A 19169-2023</t>
        </is>
      </c>
      <c r="B605" s="1" t="n">
        <v>45044</v>
      </c>
      <c r="C605" s="1" t="n">
        <v>46031</v>
      </c>
      <c r="D605" t="inlineStr">
        <is>
          <t>ÖSTERGÖTLANDS LÄN</t>
        </is>
      </c>
      <c r="E605" t="inlineStr">
        <is>
          <t>LINKÖPING</t>
        </is>
      </c>
      <c r="G605" t="n">
        <v>2.7</v>
      </c>
      <c r="H605" t="n">
        <v>0</v>
      </c>
      <c r="I605" t="n">
        <v>0</v>
      </c>
      <c r="J605" t="n">
        <v>0</v>
      </c>
      <c r="K605" t="n">
        <v>0</v>
      </c>
      <c r="L605" t="n">
        <v>0</v>
      </c>
      <c r="M605" t="n">
        <v>0</v>
      </c>
      <c r="N605" t="n">
        <v>0</v>
      </c>
      <c r="O605" t="n">
        <v>0</v>
      </c>
      <c r="P605" t="n">
        <v>0</v>
      </c>
      <c r="Q605" t="n">
        <v>0</v>
      </c>
      <c r="R605" s="2" t="inlineStr"/>
    </row>
    <row r="606" ht="15" customHeight="1">
      <c r="A606" t="inlineStr">
        <is>
          <t>A 1209-2023</t>
        </is>
      </c>
      <c r="B606" s="1" t="n">
        <v>44930</v>
      </c>
      <c r="C606" s="1" t="n">
        <v>46031</v>
      </c>
      <c r="D606" t="inlineStr">
        <is>
          <t>ÖSTERGÖTLANDS LÄN</t>
        </is>
      </c>
      <c r="E606" t="inlineStr">
        <is>
          <t>LINKÖPING</t>
        </is>
      </c>
      <c r="F606" t="inlineStr">
        <is>
          <t>Övriga statliga verk och myndigheter</t>
        </is>
      </c>
      <c r="G606" t="n">
        <v>25.8</v>
      </c>
      <c r="H606" t="n">
        <v>0</v>
      </c>
      <c r="I606" t="n">
        <v>0</v>
      </c>
      <c r="J606" t="n">
        <v>0</v>
      </c>
      <c r="K606" t="n">
        <v>0</v>
      </c>
      <c r="L606" t="n">
        <v>0</v>
      </c>
      <c r="M606" t="n">
        <v>0</v>
      </c>
      <c r="N606" t="n">
        <v>0</v>
      </c>
      <c r="O606" t="n">
        <v>0</v>
      </c>
      <c r="P606" t="n">
        <v>0</v>
      </c>
      <c r="Q606" t="n">
        <v>0</v>
      </c>
      <c r="R606" s="2" t="inlineStr"/>
    </row>
    <row r="607" ht="15" customHeight="1">
      <c r="A607" t="inlineStr">
        <is>
          <t>A 2085-2024</t>
        </is>
      </c>
      <c r="B607" s="1" t="n">
        <v>45309</v>
      </c>
      <c r="C607" s="1" t="n">
        <v>46031</v>
      </c>
      <c r="D607" t="inlineStr">
        <is>
          <t>ÖSTERGÖTLANDS LÄN</t>
        </is>
      </c>
      <c r="E607" t="inlineStr">
        <is>
          <t>LINKÖPING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48-2024</t>
        </is>
      </c>
      <c r="B608" s="1" t="n">
        <v>45293</v>
      </c>
      <c r="C608" s="1" t="n">
        <v>46031</v>
      </c>
      <c r="D608" t="inlineStr">
        <is>
          <t>ÖSTERGÖTLANDS LÄN</t>
        </is>
      </c>
      <c r="E608" t="inlineStr">
        <is>
          <t>LINKÖPING</t>
        </is>
      </c>
      <c r="G608" t="n">
        <v>4.6</v>
      </c>
      <c r="H608" t="n">
        <v>0</v>
      </c>
      <c r="I608" t="n">
        <v>0</v>
      </c>
      <c r="J608" t="n">
        <v>0</v>
      </c>
      <c r="K608" t="n">
        <v>0</v>
      </c>
      <c r="L608" t="n">
        <v>0</v>
      </c>
      <c r="M608" t="n">
        <v>0</v>
      </c>
      <c r="N608" t="n">
        <v>0</v>
      </c>
      <c r="O608" t="n">
        <v>0</v>
      </c>
      <c r="P608" t="n">
        <v>0</v>
      </c>
      <c r="Q608" t="n">
        <v>0</v>
      </c>
      <c r="R608" s="2" t="inlineStr"/>
    </row>
    <row r="609" ht="15" customHeight="1">
      <c r="A609" t="inlineStr">
        <is>
          <t>A 56560-2023</t>
        </is>
      </c>
      <c r="B609" s="1" t="n">
        <v>45238</v>
      </c>
      <c r="C609" s="1" t="n">
        <v>46031</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19132-2023</t>
        </is>
      </c>
      <c r="B610" s="1" t="n">
        <v>45048.54754629629</v>
      </c>
      <c r="C610" s="1" t="n">
        <v>46031</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52412-2023</t>
        </is>
      </c>
      <c r="B611" s="1" t="n">
        <v>45225.27888888889</v>
      </c>
      <c r="C611" s="1" t="n">
        <v>46031</v>
      </c>
      <c r="D611" t="inlineStr">
        <is>
          <t>ÖSTERGÖTLANDS LÄN</t>
        </is>
      </c>
      <c r="E611" t="inlineStr">
        <is>
          <t>LINKÖPING</t>
        </is>
      </c>
      <c r="G611" t="n">
        <v>1.8</v>
      </c>
      <c r="H611" t="n">
        <v>0</v>
      </c>
      <c r="I611" t="n">
        <v>0</v>
      </c>
      <c r="J611" t="n">
        <v>0</v>
      </c>
      <c r="K611" t="n">
        <v>0</v>
      </c>
      <c r="L611" t="n">
        <v>0</v>
      </c>
      <c r="M611" t="n">
        <v>0</v>
      </c>
      <c r="N611" t="n">
        <v>0</v>
      </c>
      <c r="O611" t="n">
        <v>0</v>
      </c>
      <c r="P611" t="n">
        <v>0</v>
      </c>
      <c r="Q611" t="n">
        <v>0</v>
      </c>
      <c r="R611" s="2" t="inlineStr"/>
    </row>
    <row r="612" ht="15" customHeight="1">
      <c r="A612" t="inlineStr">
        <is>
          <t>A 62492-2023</t>
        </is>
      </c>
      <c r="B612" s="1" t="n">
        <v>45268.58987268519</v>
      </c>
      <c r="C612" s="1" t="n">
        <v>46031</v>
      </c>
      <c r="D612" t="inlineStr">
        <is>
          <t>ÖSTERGÖTLANDS LÄN</t>
        </is>
      </c>
      <c r="E612" t="inlineStr">
        <is>
          <t>LINKÖPING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38230-2023</t>
        </is>
      </c>
      <c r="B613" s="1" t="n">
        <v>45161.55373842592</v>
      </c>
      <c r="C613" s="1" t="n">
        <v>46031</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56756-2023</t>
        </is>
      </c>
      <c r="B614" s="1" t="n">
        <v>45244</v>
      </c>
      <c r="C614" s="1" t="n">
        <v>46031</v>
      </c>
      <c r="D614" t="inlineStr">
        <is>
          <t>ÖSTERGÖTLANDS LÄN</t>
        </is>
      </c>
      <c r="E614" t="inlineStr">
        <is>
          <t>LINKÖPING</t>
        </is>
      </c>
      <c r="F614" t="inlineStr">
        <is>
          <t>Övriga Aktiebolag</t>
        </is>
      </c>
      <c r="G614" t="n">
        <v>0.8</v>
      </c>
      <c r="H614" t="n">
        <v>0</v>
      </c>
      <c r="I614" t="n">
        <v>0</v>
      </c>
      <c r="J614" t="n">
        <v>0</v>
      </c>
      <c r="K614" t="n">
        <v>0</v>
      </c>
      <c r="L614" t="n">
        <v>0</v>
      </c>
      <c r="M614" t="n">
        <v>0</v>
      </c>
      <c r="N614" t="n">
        <v>0</v>
      </c>
      <c r="O614" t="n">
        <v>0</v>
      </c>
      <c r="P614" t="n">
        <v>0</v>
      </c>
      <c r="Q614" t="n">
        <v>0</v>
      </c>
      <c r="R614" s="2" t="inlineStr"/>
    </row>
    <row r="615" ht="15" customHeight="1">
      <c r="A615" t="inlineStr">
        <is>
          <t>A 38886-2024</t>
        </is>
      </c>
      <c r="B615" s="1" t="n">
        <v>45547.66443287037</v>
      </c>
      <c r="C615" s="1" t="n">
        <v>46031</v>
      </c>
      <c r="D615" t="inlineStr">
        <is>
          <t>ÖSTERGÖTLANDS LÄN</t>
        </is>
      </c>
      <c r="E615" t="inlineStr">
        <is>
          <t>LINKÖPING</t>
        </is>
      </c>
      <c r="G615" t="n">
        <v>5.3</v>
      </c>
      <c r="H615" t="n">
        <v>0</v>
      </c>
      <c r="I615" t="n">
        <v>0</v>
      </c>
      <c r="J615" t="n">
        <v>0</v>
      </c>
      <c r="K615" t="n">
        <v>0</v>
      </c>
      <c r="L615" t="n">
        <v>0</v>
      </c>
      <c r="M615" t="n">
        <v>0</v>
      </c>
      <c r="N615" t="n">
        <v>0</v>
      </c>
      <c r="O615" t="n">
        <v>0</v>
      </c>
      <c r="P615" t="n">
        <v>0</v>
      </c>
      <c r="Q615" t="n">
        <v>0</v>
      </c>
      <c r="R615" s="2" t="inlineStr"/>
    </row>
    <row r="616" ht="15" customHeight="1">
      <c r="A616" t="inlineStr">
        <is>
          <t>A 11590-2023</t>
        </is>
      </c>
      <c r="B616" s="1" t="n">
        <v>44994.36689814815</v>
      </c>
      <c r="C616" s="1" t="n">
        <v>46031</v>
      </c>
      <c r="D616" t="inlineStr">
        <is>
          <t>ÖSTERGÖTLANDS LÄN</t>
        </is>
      </c>
      <c r="E616" t="inlineStr">
        <is>
          <t>LINKÖPING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10461-2023</t>
        </is>
      </c>
      <c r="B617" s="1" t="n">
        <v>44987.5969212963</v>
      </c>
      <c r="C617" s="1" t="n">
        <v>46031</v>
      </c>
      <c r="D617" t="inlineStr">
        <is>
          <t>ÖSTERGÖTLANDS LÄN</t>
        </is>
      </c>
      <c r="E617" t="inlineStr">
        <is>
          <t>LINKÖPING</t>
        </is>
      </c>
      <c r="G617" t="n">
        <v>7.8</v>
      </c>
      <c r="H617" t="n">
        <v>0</v>
      </c>
      <c r="I617" t="n">
        <v>0</v>
      </c>
      <c r="J617" t="n">
        <v>0</v>
      </c>
      <c r="K617" t="n">
        <v>0</v>
      </c>
      <c r="L617" t="n">
        <v>0</v>
      </c>
      <c r="M617" t="n">
        <v>0</v>
      </c>
      <c r="N617" t="n">
        <v>0</v>
      </c>
      <c r="O617" t="n">
        <v>0</v>
      </c>
      <c r="P617" t="n">
        <v>0</v>
      </c>
      <c r="Q617" t="n">
        <v>0</v>
      </c>
      <c r="R617" s="2" t="inlineStr"/>
    </row>
    <row r="618" ht="15" customHeight="1">
      <c r="A618" t="inlineStr">
        <is>
          <t>A 41345-2021</t>
        </is>
      </c>
      <c r="B618" s="1" t="n">
        <v>44424.61851851852</v>
      </c>
      <c r="C618" s="1" t="n">
        <v>46031</v>
      </c>
      <c r="D618" t="inlineStr">
        <is>
          <t>ÖSTERGÖTLANDS LÄN</t>
        </is>
      </c>
      <c r="E618" t="inlineStr">
        <is>
          <t>LINKÖPING</t>
        </is>
      </c>
      <c r="F618" t="inlineStr">
        <is>
          <t>Sveaskog</t>
        </is>
      </c>
      <c r="G618" t="n">
        <v>6.3</v>
      </c>
      <c r="H618" t="n">
        <v>0</v>
      </c>
      <c r="I618" t="n">
        <v>0</v>
      </c>
      <c r="J618" t="n">
        <v>0</v>
      </c>
      <c r="K618" t="n">
        <v>0</v>
      </c>
      <c r="L618" t="n">
        <v>0</v>
      </c>
      <c r="M618" t="n">
        <v>0</v>
      </c>
      <c r="N618" t="n">
        <v>0</v>
      </c>
      <c r="O618" t="n">
        <v>0</v>
      </c>
      <c r="P618" t="n">
        <v>0</v>
      </c>
      <c r="Q618" t="n">
        <v>0</v>
      </c>
      <c r="R618" s="2" t="inlineStr"/>
    </row>
    <row r="619" ht="15" customHeight="1">
      <c r="A619" t="inlineStr">
        <is>
          <t>A 61307-2021</t>
        </is>
      </c>
      <c r="B619" s="1" t="n">
        <v>44498.63928240741</v>
      </c>
      <c r="C619" s="1" t="n">
        <v>46031</v>
      </c>
      <c r="D619" t="inlineStr">
        <is>
          <t>ÖSTERGÖTLANDS LÄN</t>
        </is>
      </c>
      <c r="E619" t="inlineStr">
        <is>
          <t>LINKÖPING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61325-2021</t>
        </is>
      </c>
      <c r="B620" s="1" t="n">
        <v>44498.66814814815</v>
      </c>
      <c r="C620" s="1" t="n">
        <v>46031</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60010-2022</t>
        </is>
      </c>
      <c r="B621" s="1" t="n">
        <v>44909.4740625</v>
      </c>
      <c r="C621" s="1" t="n">
        <v>46031</v>
      </c>
      <c r="D621" t="inlineStr">
        <is>
          <t>ÖSTERGÖTLANDS LÄN</t>
        </is>
      </c>
      <c r="E621" t="inlineStr">
        <is>
          <t>LINKÖPING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30518-2024</t>
        </is>
      </c>
      <c r="B622" s="1" t="n">
        <v>45492</v>
      </c>
      <c r="C622" s="1" t="n">
        <v>46031</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4908-2023</t>
        </is>
      </c>
      <c r="B623" s="1" t="n">
        <v>44958</v>
      </c>
      <c r="C623" s="1" t="n">
        <v>46031</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37715-2022</t>
        </is>
      </c>
      <c r="B624" s="1" t="n">
        <v>44810</v>
      </c>
      <c r="C624" s="1" t="n">
        <v>46031</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3742-2021</t>
        </is>
      </c>
      <c r="B625" s="1" t="n">
        <v>44221</v>
      </c>
      <c r="C625" s="1" t="n">
        <v>46031</v>
      </c>
      <c r="D625" t="inlineStr">
        <is>
          <t>ÖSTERGÖTLANDS LÄN</t>
        </is>
      </c>
      <c r="E625" t="inlineStr">
        <is>
          <t>LINKÖPING</t>
        </is>
      </c>
      <c r="G625" t="n">
        <v>5.5</v>
      </c>
      <c r="H625" t="n">
        <v>0</v>
      </c>
      <c r="I625" t="n">
        <v>0</v>
      </c>
      <c r="J625" t="n">
        <v>0</v>
      </c>
      <c r="K625" t="n">
        <v>0</v>
      </c>
      <c r="L625" t="n">
        <v>0</v>
      </c>
      <c r="M625" t="n">
        <v>0</v>
      </c>
      <c r="N625" t="n">
        <v>0</v>
      </c>
      <c r="O625" t="n">
        <v>0</v>
      </c>
      <c r="P625" t="n">
        <v>0</v>
      </c>
      <c r="Q625" t="n">
        <v>0</v>
      </c>
      <c r="R625" s="2" t="inlineStr"/>
    </row>
    <row r="626" ht="15" customHeight="1">
      <c r="A626" t="inlineStr">
        <is>
          <t>A 3011-2023</t>
        </is>
      </c>
      <c r="B626" s="1" t="n">
        <v>44945</v>
      </c>
      <c r="C626" s="1" t="n">
        <v>46031</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45442-2024</t>
        </is>
      </c>
      <c r="B627" s="1" t="n">
        <v>45576.64189814815</v>
      </c>
      <c r="C627" s="1" t="n">
        <v>46031</v>
      </c>
      <c r="D627" t="inlineStr">
        <is>
          <t>ÖSTERGÖTLANDS LÄN</t>
        </is>
      </c>
      <c r="E627" t="inlineStr">
        <is>
          <t>LINKÖPING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3432-2023</t>
        </is>
      </c>
      <c r="B628" s="1" t="n">
        <v>44949</v>
      </c>
      <c r="C628" s="1" t="n">
        <v>46031</v>
      </c>
      <c r="D628" t="inlineStr">
        <is>
          <t>ÖSTERGÖTLANDS LÄN</t>
        </is>
      </c>
      <c r="E628" t="inlineStr">
        <is>
          <t>LINKÖPING</t>
        </is>
      </c>
      <c r="G628" t="n">
        <v>1.9</v>
      </c>
      <c r="H628" t="n">
        <v>0</v>
      </c>
      <c r="I628" t="n">
        <v>0</v>
      </c>
      <c r="J628" t="n">
        <v>0</v>
      </c>
      <c r="K628" t="n">
        <v>0</v>
      </c>
      <c r="L628" t="n">
        <v>0</v>
      </c>
      <c r="M628" t="n">
        <v>0</v>
      </c>
      <c r="N628" t="n">
        <v>0</v>
      </c>
      <c r="O628" t="n">
        <v>0</v>
      </c>
      <c r="P628" t="n">
        <v>0</v>
      </c>
      <c r="Q628" t="n">
        <v>0</v>
      </c>
      <c r="R628" s="2" t="inlineStr"/>
    </row>
    <row r="629" ht="15" customHeight="1">
      <c r="A629" t="inlineStr">
        <is>
          <t>A 1440-2021</t>
        </is>
      </c>
      <c r="B629" s="1" t="n">
        <v>44208</v>
      </c>
      <c r="C629" s="1" t="n">
        <v>46031</v>
      </c>
      <c r="D629" t="inlineStr">
        <is>
          <t>ÖSTERGÖTLANDS LÄN</t>
        </is>
      </c>
      <c r="E629" t="inlineStr">
        <is>
          <t>LINKÖPING</t>
        </is>
      </c>
      <c r="G629" t="n">
        <v>8.4</v>
      </c>
      <c r="H629" t="n">
        <v>0</v>
      </c>
      <c r="I629" t="n">
        <v>0</v>
      </c>
      <c r="J629" t="n">
        <v>0</v>
      </c>
      <c r="K629" t="n">
        <v>0</v>
      </c>
      <c r="L629" t="n">
        <v>0</v>
      </c>
      <c r="M629" t="n">
        <v>0</v>
      </c>
      <c r="N629" t="n">
        <v>0</v>
      </c>
      <c r="O629" t="n">
        <v>0</v>
      </c>
      <c r="P629" t="n">
        <v>0</v>
      </c>
      <c r="Q629" t="n">
        <v>0</v>
      </c>
      <c r="R629" s="2" t="inlineStr"/>
    </row>
    <row r="630" ht="15" customHeight="1">
      <c r="A630" t="inlineStr">
        <is>
          <t>A 60472-2022</t>
        </is>
      </c>
      <c r="B630" s="1" t="n">
        <v>44911.41037037037</v>
      </c>
      <c r="C630" s="1" t="n">
        <v>46031</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12720-2022</t>
        </is>
      </c>
      <c r="B631" s="1" t="n">
        <v>44641</v>
      </c>
      <c r="C631" s="1" t="n">
        <v>46031</v>
      </c>
      <c r="D631" t="inlineStr">
        <is>
          <t>ÖSTERGÖTLANDS LÄN</t>
        </is>
      </c>
      <c r="E631" t="inlineStr">
        <is>
          <t>LINKÖPING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45831-2024</t>
        </is>
      </c>
      <c r="B632" s="1" t="n">
        <v>45579.90508101852</v>
      </c>
      <c r="C632" s="1" t="n">
        <v>46031</v>
      </c>
      <c r="D632" t="inlineStr">
        <is>
          <t>ÖSTERGÖTLANDS LÄN</t>
        </is>
      </c>
      <c r="E632" t="inlineStr">
        <is>
          <t>LINKÖPING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57396-2021</t>
        </is>
      </c>
      <c r="B633" s="1" t="n">
        <v>44483.56151620371</v>
      </c>
      <c r="C633" s="1" t="n">
        <v>46031</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22842-2023</t>
        </is>
      </c>
      <c r="B634" s="1" t="n">
        <v>45071</v>
      </c>
      <c r="C634" s="1" t="n">
        <v>46031</v>
      </c>
      <c r="D634" t="inlineStr">
        <is>
          <t>ÖSTERGÖTLANDS LÄN</t>
        </is>
      </c>
      <c r="E634" t="inlineStr">
        <is>
          <t>LINKÖPING</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50386-2021</t>
        </is>
      </c>
      <c r="B635" s="1" t="n">
        <v>44459</v>
      </c>
      <c r="C635" s="1" t="n">
        <v>46031</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35781-2023</t>
        </is>
      </c>
      <c r="B636" s="1" t="n">
        <v>45147</v>
      </c>
      <c r="C636" s="1" t="n">
        <v>46031</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22770-2024</t>
        </is>
      </c>
      <c r="B637" s="1" t="n">
        <v>45448.4634375</v>
      </c>
      <c r="C637" s="1" t="n">
        <v>46031</v>
      </c>
      <c r="D637" t="inlineStr">
        <is>
          <t>ÖSTERGÖTLANDS LÄN</t>
        </is>
      </c>
      <c r="E637" t="inlineStr">
        <is>
          <t>LINKÖPING</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11671-2023</t>
        </is>
      </c>
      <c r="B638" s="1" t="n">
        <v>44994.48125</v>
      </c>
      <c r="C638" s="1" t="n">
        <v>46031</v>
      </c>
      <c r="D638" t="inlineStr">
        <is>
          <t>ÖSTERGÖTLANDS LÄN</t>
        </is>
      </c>
      <c r="E638" t="inlineStr">
        <is>
          <t>LINKÖPING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54425-2022</t>
        </is>
      </c>
      <c r="B639" s="1" t="n">
        <v>44882.57453703704</v>
      </c>
      <c r="C639" s="1" t="n">
        <v>46031</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4927-2021</t>
        </is>
      </c>
      <c r="B640" s="1" t="n">
        <v>44227.57215277778</v>
      </c>
      <c r="C640" s="1" t="n">
        <v>46031</v>
      </c>
      <c r="D640" t="inlineStr">
        <is>
          <t>ÖSTERGÖTLANDS LÄN</t>
        </is>
      </c>
      <c r="E640" t="inlineStr">
        <is>
          <t>LINKÖPING</t>
        </is>
      </c>
      <c r="G640" t="n">
        <v>0.3</v>
      </c>
      <c r="H640" t="n">
        <v>0</v>
      </c>
      <c r="I640" t="n">
        <v>0</v>
      </c>
      <c r="J640" t="n">
        <v>0</v>
      </c>
      <c r="K640" t="n">
        <v>0</v>
      </c>
      <c r="L640" t="n">
        <v>0</v>
      </c>
      <c r="M640" t="n">
        <v>0</v>
      </c>
      <c r="N640" t="n">
        <v>0</v>
      </c>
      <c r="O640" t="n">
        <v>0</v>
      </c>
      <c r="P640" t="n">
        <v>0</v>
      </c>
      <c r="Q640" t="n">
        <v>0</v>
      </c>
      <c r="R640" s="2" t="inlineStr"/>
    </row>
    <row r="641" ht="15" customHeight="1">
      <c r="A641" t="inlineStr">
        <is>
          <t>A 30547-2023</t>
        </is>
      </c>
      <c r="B641" s="1" t="n">
        <v>45111.75905092592</v>
      </c>
      <c r="C641" s="1" t="n">
        <v>46031</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24904-2024</t>
        </is>
      </c>
      <c r="B642" s="1" t="n">
        <v>45461</v>
      </c>
      <c r="C642" s="1" t="n">
        <v>46031</v>
      </c>
      <c r="D642" t="inlineStr">
        <is>
          <t>ÖSTERGÖTLANDS LÄN</t>
        </is>
      </c>
      <c r="E642" t="inlineStr">
        <is>
          <t>LINKÖPING</t>
        </is>
      </c>
      <c r="G642" t="n">
        <v>3.8</v>
      </c>
      <c r="H642" t="n">
        <v>0</v>
      </c>
      <c r="I642" t="n">
        <v>0</v>
      </c>
      <c r="J642" t="n">
        <v>0</v>
      </c>
      <c r="K642" t="n">
        <v>0</v>
      </c>
      <c r="L642" t="n">
        <v>0</v>
      </c>
      <c r="M642" t="n">
        <v>0</v>
      </c>
      <c r="N642" t="n">
        <v>0</v>
      </c>
      <c r="O642" t="n">
        <v>0</v>
      </c>
      <c r="P642" t="n">
        <v>0</v>
      </c>
      <c r="Q642" t="n">
        <v>0</v>
      </c>
      <c r="R642" s="2" t="inlineStr"/>
    </row>
    <row r="643" ht="15" customHeight="1">
      <c r="A643" t="inlineStr">
        <is>
          <t>A 26788-2022</t>
        </is>
      </c>
      <c r="B643" s="1" t="n">
        <v>44740</v>
      </c>
      <c r="C643" s="1" t="n">
        <v>46031</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15121-2022</t>
        </is>
      </c>
      <c r="B644" s="1" t="n">
        <v>44658</v>
      </c>
      <c r="C644" s="1" t="n">
        <v>46031</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51919-2024</t>
        </is>
      </c>
      <c r="B645" s="1" t="n">
        <v>45607.60791666667</v>
      </c>
      <c r="C645" s="1" t="n">
        <v>46031</v>
      </c>
      <c r="D645" t="inlineStr">
        <is>
          <t>ÖSTERGÖTLANDS LÄN</t>
        </is>
      </c>
      <c r="E645" t="inlineStr">
        <is>
          <t>LINKÖPING</t>
        </is>
      </c>
      <c r="G645" t="n">
        <v>2.5</v>
      </c>
      <c r="H645" t="n">
        <v>0</v>
      </c>
      <c r="I645" t="n">
        <v>0</v>
      </c>
      <c r="J645" t="n">
        <v>0</v>
      </c>
      <c r="K645" t="n">
        <v>0</v>
      </c>
      <c r="L645" t="n">
        <v>0</v>
      </c>
      <c r="M645" t="n">
        <v>0</v>
      </c>
      <c r="N645" t="n">
        <v>0</v>
      </c>
      <c r="O645" t="n">
        <v>0</v>
      </c>
      <c r="P645" t="n">
        <v>0</v>
      </c>
      <c r="Q645" t="n">
        <v>0</v>
      </c>
      <c r="R645" s="2" t="inlineStr"/>
    </row>
    <row r="646" ht="15" customHeight="1">
      <c r="A646" t="inlineStr">
        <is>
          <t>A 55009-2023</t>
        </is>
      </c>
      <c r="B646" s="1" t="n">
        <v>45237</v>
      </c>
      <c r="C646" s="1" t="n">
        <v>46031</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20291-2025</t>
        </is>
      </c>
      <c r="B647" s="1" t="n">
        <v>45774.74288194445</v>
      </c>
      <c r="C647" s="1" t="n">
        <v>46031</v>
      </c>
      <c r="D647" t="inlineStr">
        <is>
          <t>ÖSTERGÖTLANDS LÄN</t>
        </is>
      </c>
      <c r="E647" t="inlineStr">
        <is>
          <t>LINKÖPING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20293-2025</t>
        </is>
      </c>
      <c r="B648" s="1" t="n">
        <v>45774.74611111111</v>
      </c>
      <c r="C648" s="1" t="n">
        <v>46031</v>
      </c>
      <c r="D648" t="inlineStr">
        <is>
          <t>ÖSTERGÖTLANDS LÄN</t>
        </is>
      </c>
      <c r="E648" t="inlineStr">
        <is>
          <t>LINKÖPING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660-2023</t>
        </is>
      </c>
      <c r="B649" s="1" t="n">
        <v>44930</v>
      </c>
      <c r="C649" s="1" t="n">
        <v>46031</v>
      </c>
      <c r="D649" t="inlineStr">
        <is>
          <t>ÖSTERGÖTLANDS LÄN</t>
        </is>
      </c>
      <c r="E649" t="inlineStr">
        <is>
          <t>LINKÖPING</t>
        </is>
      </c>
      <c r="F649" t="inlineStr">
        <is>
          <t>Kyrkan</t>
        </is>
      </c>
      <c r="G649" t="n">
        <v>1.6</v>
      </c>
      <c r="H649" t="n">
        <v>0</v>
      </c>
      <c r="I649" t="n">
        <v>0</v>
      </c>
      <c r="J649" t="n">
        <v>0</v>
      </c>
      <c r="K649" t="n">
        <v>0</v>
      </c>
      <c r="L649" t="n">
        <v>0</v>
      </c>
      <c r="M649" t="n">
        <v>0</v>
      </c>
      <c r="N649" t="n">
        <v>0</v>
      </c>
      <c r="O649" t="n">
        <v>0</v>
      </c>
      <c r="P649" t="n">
        <v>0</v>
      </c>
      <c r="Q649" t="n">
        <v>0</v>
      </c>
      <c r="R649" s="2" t="inlineStr"/>
    </row>
    <row r="650" ht="15" customHeight="1">
      <c r="A650" t="inlineStr">
        <is>
          <t>A 64694-2023</t>
        </is>
      </c>
      <c r="B650" s="1" t="n">
        <v>45281</v>
      </c>
      <c r="C650" s="1" t="n">
        <v>46031</v>
      </c>
      <c r="D650" t="inlineStr">
        <is>
          <t>ÖSTERGÖTLANDS LÄN</t>
        </is>
      </c>
      <c r="E650" t="inlineStr">
        <is>
          <t>LINKÖPING</t>
        </is>
      </c>
      <c r="F650" t="inlineStr">
        <is>
          <t>Övriga statliga verk och myndigheter</t>
        </is>
      </c>
      <c r="G650" t="n">
        <v>4.9</v>
      </c>
      <c r="H650" t="n">
        <v>0</v>
      </c>
      <c r="I650" t="n">
        <v>0</v>
      </c>
      <c r="J650" t="n">
        <v>0</v>
      </c>
      <c r="K650" t="n">
        <v>0</v>
      </c>
      <c r="L650" t="n">
        <v>0</v>
      </c>
      <c r="M650" t="n">
        <v>0</v>
      </c>
      <c r="N650" t="n">
        <v>0</v>
      </c>
      <c r="O650" t="n">
        <v>0</v>
      </c>
      <c r="P650" t="n">
        <v>0</v>
      </c>
      <c r="Q650" t="n">
        <v>0</v>
      </c>
      <c r="R650" s="2" t="inlineStr"/>
    </row>
    <row r="651" ht="15" customHeight="1">
      <c r="A651" t="inlineStr">
        <is>
          <t>A 63487-2023</t>
        </is>
      </c>
      <c r="B651" s="1" t="n">
        <v>45274.66712962963</v>
      </c>
      <c r="C651" s="1" t="n">
        <v>46031</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20455-2024</t>
        </is>
      </c>
      <c r="B652" s="1" t="n">
        <v>45435.65314814815</v>
      </c>
      <c r="C652" s="1" t="n">
        <v>46031</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30471-2023</t>
        </is>
      </c>
      <c r="B653" s="1" t="n">
        <v>45111.58931712963</v>
      </c>
      <c r="C653" s="1" t="n">
        <v>46031</v>
      </c>
      <c r="D653" t="inlineStr">
        <is>
          <t>ÖSTERGÖTLANDS LÄN</t>
        </is>
      </c>
      <c r="E653" t="inlineStr">
        <is>
          <t>LINKÖPING</t>
        </is>
      </c>
      <c r="G653" t="n">
        <v>2.9</v>
      </c>
      <c r="H653" t="n">
        <v>0</v>
      </c>
      <c r="I653" t="n">
        <v>0</v>
      </c>
      <c r="J653" t="n">
        <v>0</v>
      </c>
      <c r="K653" t="n">
        <v>0</v>
      </c>
      <c r="L653" t="n">
        <v>0</v>
      </c>
      <c r="M653" t="n">
        <v>0</v>
      </c>
      <c r="N653" t="n">
        <v>0</v>
      </c>
      <c r="O653" t="n">
        <v>0</v>
      </c>
      <c r="P653" t="n">
        <v>0</v>
      </c>
      <c r="Q653" t="n">
        <v>0</v>
      </c>
      <c r="R653" s="2" t="inlineStr"/>
    </row>
    <row r="654" ht="15" customHeight="1">
      <c r="A654" t="inlineStr">
        <is>
          <t>A 14093-2024</t>
        </is>
      </c>
      <c r="B654" s="1" t="n">
        <v>45392.60278935185</v>
      </c>
      <c r="C654" s="1" t="n">
        <v>46031</v>
      </c>
      <c r="D654" t="inlineStr">
        <is>
          <t>ÖSTERGÖTLANDS LÄN</t>
        </is>
      </c>
      <c r="E654" t="inlineStr">
        <is>
          <t>LINKÖPING</t>
        </is>
      </c>
      <c r="F654" t="inlineStr">
        <is>
          <t>Övriga Aktiebolag</t>
        </is>
      </c>
      <c r="G654" t="n">
        <v>0.6</v>
      </c>
      <c r="H654" t="n">
        <v>0</v>
      </c>
      <c r="I654" t="n">
        <v>0</v>
      </c>
      <c r="J654" t="n">
        <v>0</v>
      </c>
      <c r="K654" t="n">
        <v>0</v>
      </c>
      <c r="L654" t="n">
        <v>0</v>
      </c>
      <c r="M654" t="n">
        <v>0</v>
      </c>
      <c r="N654" t="n">
        <v>0</v>
      </c>
      <c r="O654" t="n">
        <v>0</v>
      </c>
      <c r="P654" t="n">
        <v>0</v>
      </c>
      <c r="Q654" t="n">
        <v>0</v>
      </c>
      <c r="R654" s="2" t="inlineStr"/>
    </row>
    <row r="655" ht="15" customHeight="1">
      <c r="A655" t="inlineStr">
        <is>
          <t>A 63304-2021</t>
        </is>
      </c>
      <c r="B655" s="1" t="n">
        <v>44508.4396412037</v>
      </c>
      <c r="C655" s="1" t="n">
        <v>46031</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19362-2023</t>
        </is>
      </c>
      <c r="B656" s="1" t="n">
        <v>45049</v>
      </c>
      <c r="C656" s="1" t="n">
        <v>46031</v>
      </c>
      <c r="D656" t="inlineStr">
        <is>
          <t>ÖSTERGÖTLANDS LÄN</t>
        </is>
      </c>
      <c r="E656" t="inlineStr">
        <is>
          <t>LINKÖPING</t>
        </is>
      </c>
      <c r="G656" t="n">
        <v>0.1</v>
      </c>
      <c r="H656" t="n">
        <v>0</v>
      </c>
      <c r="I656" t="n">
        <v>0</v>
      </c>
      <c r="J656" t="n">
        <v>0</v>
      </c>
      <c r="K656" t="n">
        <v>0</v>
      </c>
      <c r="L656" t="n">
        <v>0</v>
      </c>
      <c r="M656" t="n">
        <v>0</v>
      </c>
      <c r="N656" t="n">
        <v>0</v>
      </c>
      <c r="O656" t="n">
        <v>0</v>
      </c>
      <c r="P656" t="n">
        <v>0</v>
      </c>
      <c r="Q656" t="n">
        <v>0</v>
      </c>
      <c r="R656" s="2" t="inlineStr"/>
    </row>
    <row r="657" ht="15" customHeight="1">
      <c r="A657" t="inlineStr">
        <is>
          <t>A 35463-2023</t>
        </is>
      </c>
      <c r="B657" s="1" t="n">
        <v>45146</v>
      </c>
      <c r="C657" s="1" t="n">
        <v>46031</v>
      </c>
      <c r="D657" t="inlineStr">
        <is>
          <t>ÖSTERGÖTLANDS LÄN</t>
        </is>
      </c>
      <c r="E657" t="inlineStr">
        <is>
          <t>LINKÖPING</t>
        </is>
      </c>
      <c r="F657" t="inlineStr">
        <is>
          <t>Övriga Aktiebolag</t>
        </is>
      </c>
      <c r="G657" t="n">
        <v>1.8</v>
      </c>
      <c r="H657" t="n">
        <v>0</v>
      </c>
      <c r="I657" t="n">
        <v>0</v>
      </c>
      <c r="J657" t="n">
        <v>0</v>
      </c>
      <c r="K657" t="n">
        <v>0</v>
      </c>
      <c r="L657" t="n">
        <v>0</v>
      </c>
      <c r="M657" t="n">
        <v>0</v>
      </c>
      <c r="N657" t="n">
        <v>0</v>
      </c>
      <c r="O657" t="n">
        <v>0</v>
      </c>
      <c r="P657" t="n">
        <v>0</v>
      </c>
      <c r="Q657" t="n">
        <v>0</v>
      </c>
      <c r="R657" s="2" t="inlineStr"/>
    </row>
    <row r="658" ht="15" customHeight="1">
      <c r="A658" t="inlineStr">
        <is>
          <t>A 16111-2022</t>
        </is>
      </c>
      <c r="B658" s="1" t="n">
        <v>44665</v>
      </c>
      <c r="C658" s="1" t="n">
        <v>46031</v>
      </c>
      <c r="D658" t="inlineStr">
        <is>
          <t>ÖSTERGÖTLANDS LÄN</t>
        </is>
      </c>
      <c r="E658" t="inlineStr">
        <is>
          <t>LINKÖPING</t>
        </is>
      </c>
      <c r="F658" t="inlineStr">
        <is>
          <t>Övriga Aktiebolag</t>
        </is>
      </c>
      <c r="G658" t="n">
        <v>2.9</v>
      </c>
      <c r="H658" t="n">
        <v>0</v>
      </c>
      <c r="I658" t="n">
        <v>0</v>
      </c>
      <c r="J658" t="n">
        <v>0</v>
      </c>
      <c r="K658" t="n">
        <v>0</v>
      </c>
      <c r="L658" t="n">
        <v>0</v>
      </c>
      <c r="M658" t="n">
        <v>0</v>
      </c>
      <c r="N658" t="n">
        <v>0</v>
      </c>
      <c r="O658" t="n">
        <v>0</v>
      </c>
      <c r="P658" t="n">
        <v>0</v>
      </c>
      <c r="Q658" t="n">
        <v>0</v>
      </c>
      <c r="R658" s="2" t="inlineStr"/>
    </row>
    <row r="659" ht="15" customHeight="1">
      <c r="A659" t="inlineStr">
        <is>
          <t>A 31635-2023</t>
        </is>
      </c>
      <c r="B659" s="1" t="n">
        <v>45105</v>
      </c>
      <c r="C659" s="1" t="n">
        <v>46031</v>
      </c>
      <c r="D659" t="inlineStr">
        <is>
          <t>ÖSTERGÖTLANDS LÄN</t>
        </is>
      </c>
      <c r="E659" t="inlineStr">
        <is>
          <t>LINKÖPING</t>
        </is>
      </c>
      <c r="F659" t="inlineStr">
        <is>
          <t>Övriga statliga verk och myndigheter</t>
        </is>
      </c>
      <c r="G659" t="n">
        <v>4.6</v>
      </c>
      <c r="H659" t="n">
        <v>0</v>
      </c>
      <c r="I659" t="n">
        <v>0</v>
      </c>
      <c r="J659" t="n">
        <v>0</v>
      </c>
      <c r="K659" t="n">
        <v>0</v>
      </c>
      <c r="L659" t="n">
        <v>0</v>
      </c>
      <c r="M659" t="n">
        <v>0</v>
      </c>
      <c r="N659" t="n">
        <v>0</v>
      </c>
      <c r="O659" t="n">
        <v>0</v>
      </c>
      <c r="P659" t="n">
        <v>0</v>
      </c>
      <c r="Q659" t="n">
        <v>0</v>
      </c>
      <c r="R659" s="2" t="inlineStr"/>
    </row>
    <row r="660" ht="15" customHeight="1">
      <c r="A660" t="inlineStr">
        <is>
          <t>A 49928-2024</t>
        </is>
      </c>
      <c r="B660" s="1" t="n">
        <v>45597.57811342592</v>
      </c>
      <c r="C660" s="1" t="n">
        <v>46031</v>
      </c>
      <c r="D660" t="inlineStr">
        <is>
          <t>ÖSTERGÖTLANDS LÄN</t>
        </is>
      </c>
      <c r="E660" t="inlineStr">
        <is>
          <t>LINKÖPING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54845-2023</t>
        </is>
      </c>
      <c r="B661" s="1" t="n">
        <v>45236</v>
      </c>
      <c r="C661" s="1" t="n">
        <v>46031</v>
      </c>
      <c r="D661" t="inlineStr">
        <is>
          <t>ÖSTERGÖTLANDS LÄN</t>
        </is>
      </c>
      <c r="E661" t="inlineStr">
        <is>
          <t>LINKÖPING</t>
        </is>
      </c>
      <c r="F661" t="inlineStr">
        <is>
          <t>Övriga Aktiebolag</t>
        </is>
      </c>
      <c r="G661" t="n">
        <v>5.7</v>
      </c>
      <c r="H661" t="n">
        <v>0</v>
      </c>
      <c r="I661" t="n">
        <v>0</v>
      </c>
      <c r="J661" t="n">
        <v>0</v>
      </c>
      <c r="K661" t="n">
        <v>0</v>
      </c>
      <c r="L661" t="n">
        <v>0</v>
      </c>
      <c r="M661" t="n">
        <v>0</v>
      </c>
      <c r="N661" t="n">
        <v>0</v>
      </c>
      <c r="O661" t="n">
        <v>0</v>
      </c>
      <c r="P661" t="n">
        <v>0</v>
      </c>
      <c r="Q661" t="n">
        <v>0</v>
      </c>
      <c r="R661" s="2" t="inlineStr"/>
    </row>
    <row r="662" ht="15" customHeight="1">
      <c r="A662" t="inlineStr">
        <is>
          <t>A 46687-2021</t>
        </is>
      </c>
      <c r="B662" s="1" t="n">
        <v>44445</v>
      </c>
      <c r="C662" s="1" t="n">
        <v>46031</v>
      </c>
      <c r="D662" t="inlineStr">
        <is>
          <t>ÖSTERGÖTLANDS LÄN</t>
        </is>
      </c>
      <c r="E662" t="inlineStr">
        <is>
          <t>LINKÖPING</t>
        </is>
      </c>
      <c r="F662" t="inlineStr">
        <is>
          <t>Övriga statliga verk och myndigheter</t>
        </is>
      </c>
      <c r="G662" t="n">
        <v>2.3</v>
      </c>
      <c r="H662" t="n">
        <v>0</v>
      </c>
      <c r="I662" t="n">
        <v>0</v>
      </c>
      <c r="J662" t="n">
        <v>0</v>
      </c>
      <c r="K662" t="n">
        <v>0</v>
      </c>
      <c r="L662" t="n">
        <v>0</v>
      </c>
      <c r="M662" t="n">
        <v>0</v>
      </c>
      <c r="N662" t="n">
        <v>0</v>
      </c>
      <c r="O662" t="n">
        <v>0</v>
      </c>
      <c r="P662" t="n">
        <v>0</v>
      </c>
      <c r="Q662" t="n">
        <v>0</v>
      </c>
      <c r="R662" s="2" t="inlineStr"/>
    </row>
    <row r="663" ht="15" customHeight="1">
      <c r="A663" t="inlineStr">
        <is>
          <t>A 30855-2022</t>
        </is>
      </c>
      <c r="B663" s="1" t="n">
        <v>44767</v>
      </c>
      <c r="C663" s="1" t="n">
        <v>46031</v>
      </c>
      <c r="D663" t="inlineStr">
        <is>
          <t>ÖSTERGÖTLANDS LÄN</t>
        </is>
      </c>
      <c r="E663" t="inlineStr">
        <is>
          <t>LINKÖPING</t>
        </is>
      </c>
      <c r="G663" t="n">
        <v>2.2</v>
      </c>
      <c r="H663" t="n">
        <v>0</v>
      </c>
      <c r="I663" t="n">
        <v>0</v>
      </c>
      <c r="J663" t="n">
        <v>0</v>
      </c>
      <c r="K663" t="n">
        <v>0</v>
      </c>
      <c r="L663" t="n">
        <v>0</v>
      </c>
      <c r="M663" t="n">
        <v>0</v>
      </c>
      <c r="N663" t="n">
        <v>0</v>
      </c>
      <c r="O663" t="n">
        <v>0</v>
      </c>
      <c r="P663" t="n">
        <v>0</v>
      </c>
      <c r="Q663" t="n">
        <v>0</v>
      </c>
      <c r="R663" s="2" t="inlineStr"/>
    </row>
    <row r="664" ht="15" customHeight="1">
      <c r="A664" t="inlineStr">
        <is>
          <t>A 1355-2023</t>
        </is>
      </c>
      <c r="B664" s="1" t="n">
        <v>44931</v>
      </c>
      <c r="C664" s="1" t="n">
        <v>46031</v>
      </c>
      <c r="D664" t="inlineStr">
        <is>
          <t>ÖSTERGÖTLANDS LÄN</t>
        </is>
      </c>
      <c r="E664" t="inlineStr">
        <is>
          <t>LINKÖPING</t>
        </is>
      </c>
      <c r="G664" t="n">
        <v>4</v>
      </c>
      <c r="H664" t="n">
        <v>0</v>
      </c>
      <c r="I664" t="n">
        <v>0</v>
      </c>
      <c r="J664" t="n">
        <v>0</v>
      </c>
      <c r="K664" t="n">
        <v>0</v>
      </c>
      <c r="L664" t="n">
        <v>0</v>
      </c>
      <c r="M664" t="n">
        <v>0</v>
      </c>
      <c r="N664" t="n">
        <v>0</v>
      </c>
      <c r="O664" t="n">
        <v>0</v>
      </c>
      <c r="P664" t="n">
        <v>0</v>
      </c>
      <c r="Q664" t="n">
        <v>0</v>
      </c>
      <c r="R664" s="2" t="inlineStr"/>
    </row>
    <row r="665" ht="15" customHeight="1">
      <c r="A665" t="inlineStr">
        <is>
          <t>A 27844-2024</t>
        </is>
      </c>
      <c r="B665" s="1" t="n">
        <v>45475.63047453704</v>
      </c>
      <c r="C665" s="1" t="n">
        <v>46031</v>
      </c>
      <c r="D665" t="inlineStr">
        <is>
          <t>ÖSTERGÖTLANDS LÄN</t>
        </is>
      </c>
      <c r="E665" t="inlineStr">
        <is>
          <t>LINKÖPING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10741-2023</t>
        </is>
      </c>
      <c r="B666" s="1" t="n">
        <v>44988.70084490741</v>
      </c>
      <c r="C666" s="1" t="n">
        <v>46031</v>
      </c>
      <c r="D666" t="inlineStr">
        <is>
          <t>ÖSTERGÖTLANDS LÄN</t>
        </is>
      </c>
      <c r="E666" t="inlineStr">
        <is>
          <t>LINKÖPING</t>
        </is>
      </c>
      <c r="F666" t="inlineStr">
        <is>
          <t>Allmännings- och besparingsskogar</t>
        </is>
      </c>
      <c r="G666" t="n">
        <v>11.2</v>
      </c>
      <c r="H666" t="n">
        <v>0</v>
      </c>
      <c r="I666" t="n">
        <v>0</v>
      </c>
      <c r="J666" t="n">
        <v>0</v>
      </c>
      <c r="K666" t="n">
        <v>0</v>
      </c>
      <c r="L666" t="n">
        <v>0</v>
      </c>
      <c r="M666" t="n">
        <v>0</v>
      </c>
      <c r="N666" t="n">
        <v>0</v>
      </c>
      <c r="O666" t="n">
        <v>0</v>
      </c>
      <c r="P666" t="n">
        <v>0</v>
      </c>
      <c r="Q666" t="n">
        <v>0</v>
      </c>
      <c r="R666" s="2" t="inlineStr"/>
    </row>
    <row r="667" ht="15" customHeight="1">
      <c r="A667" t="inlineStr">
        <is>
          <t>A 50963-2021</t>
        </is>
      </c>
      <c r="B667" s="1" t="n">
        <v>44460</v>
      </c>
      <c r="C667" s="1" t="n">
        <v>46031</v>
      </c>
      <c r="D667" t="inlineStr">
        <is>
          <t>ÖSTERGÖTLANDS LÄN</t>
        </is>
      </c>
      <c r="E667" t="inlineStr">
        <is>
          <t>LINKÖPING</t>
        </is>
      </c>
      <c r="G667" t="n">
        <v>4.4</v>
      </c>
      <c r="H667" t="n">
        <v>0</v>
      </c>
      <c r="I667" t="n">
        <v>0</v>
      </c>
      <c r="J667" t="n">
        <v>0</v>
      </c>
      <c r="K667" t="n">
        <v>0</v>
      </c>
      <c r="L667" t="n">
        <v>0</v>
      </c>
      <c r="M667" t="n">
        <v>0</v>
      </c>
      <c r="N667" t="n">
        <v>0</v>
      </c>
      <c r="O667" t="n">
        <v>0</v>
      </c>
      <c r="P667" t="n">
        <v>0</v>
      </c>
      <c r="Q667" t="n">
        <v>0</v>
      </c>
      <c r="R667" s="2" t="inlineStr"/>
    </row>
    <row r="668" ht="15" customHeight="1">
      <c r="A668" t="inlineStr">
        <is>
          <t>A 45821-2024</t>
        </is>
      </c>
      <c r="B668" s="1" t="n">
        <v>45579.75803240741</v>
      </c>
      <c r="C668" s="1" t="n">
        <v>46031</v>
      </c>
      <c r="D668" t="inlineStr">
        <is>
          <t>ÖSTERGÖTLANDS LÄN</t>
        </is>
      </c>
      <c r="E668" t="inlineStr">
        <is>
          <t>LINKÖPING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61936-2023</t>
        </is>
      </c>
      <c r="B669" s="1" t="n">
        <v>45266.54534722222</v>
      </c>
      <c r="C669" s="1" t="n">
        <v>46031</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1263-2024</t>
        </is>
      </c>
      <c r="B670" s="1" t="n">
        <v>45302</v>
      </c>
      <c r="C670" s="1" t="n">
        <v>46031</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24464-2023</t>
        </is>
      </c>
      <c r="B671" s="1" t="n">
        <v>45082.58068287037</v>
      </c>
      <c r="C671" s="1" t="n">
        <v>46031</v>
      </c>
      <c r="D671" t="inlineStr">
        <is>
          <t>ÖSTERGÖTLANDS LÄN</t>
        </is>
      </c>
      <c r="E671" t="inlineStr">
        <is>
          <t>LINKÖPING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48389-2024</t>
        </is>
      </c>
      <c r="B672" s="1" t="n">
        <v>45590.59991898148</v>
      </c>
      <c r="C672" s="1" t="n">
        <v>46031</v>
      </c>
      <c r="D672" t="inlineStr">
        <is>
          <t>ÖSTERGÖTLANDS LÄN</t>
        </is>
      </c>
      <c r="E672" t="inlineStr">
        <is>
          <t>LINKÖPING</t>
        </is>
      </c>
      <c r="G672" t="n">
        <v>2.6</v>
      </c>
      <c r="H672" t="n">
        <v>0</v>
      </c>
      <c r="I672" t="n">
        <v>0</v>
      </c>
      <c r="J672" t="n">
        <v>0</v>
      </c>
      <c r="K672" t="n">
        <v>0</v>
      </c>
      <c r="L672" t="n">
        <v>0</v>
      </c>
      <c r="M672" t="n">
        <v>0</v>
      </c>
      <c r="N672" t="n">
        <v>0</v>
      </c>
      <c r="O672" t="n">
        <v>0</v>
      </c>
      <c r="P672" t="n">
        <v>0</v>
      </c>
      <c r="Q672" t="n">
        <v>0</v>
      </c>
      <c r="R672" s="2" t="inlineStr"/>
    </row>
    <row r="673" ht="15" customHeight="1">
      <c r="A673" t="inlineStr">
        <is>
          <t>A 61281-2021</t>
        </is>
      </c>
      <c r="B673" s="1" t="n">
        <v>44498.60736111111</v>
      </c>
      <c r="C673" s="1" t="n">
        <v>46031</v>
      </c>
      <c r="D673" t="inlineStr">
        <is>
          <t>ÖSTERGÖTLANDS LÄN</t>
        </is>
      </c>
      <c r="E673" t="inlineStr">
        <is>
          <t>LINKÖPING</t>
        </is>
      </c>
      <c r="G673" t="n">
        <v>4.5</v>
      </c>
      <c r="H673" t="n">
        <v>0</v>
      </c>
      <c r="I673" t="n">
        <v>0</v>
      </c>
      <c r="J673" t="n">
        <v>0</v>
      </c>
      <c r="K673" t="n">
        <v>0</v>
      </c>
      <c r="L673" t="n">
        <v>0</v>
      </c>
      <c r="M673" t="n">
        <v>0</v>
      </c>
      <c r="N673" t="n">
        <v>0</v>
      </c>
      <c r="O673" t="n">
        <v>0</v>
      </c>
      <c r="P673" t="n">
        <v>0</v>
      </c>
      <c r="Q673" t="n">
        <v>0</v>
      </c>
      <c r="R673" s="2" t="inlineStr"/>
    </row>
    <row r="674" ht="15" customHeight="1">
      <c r="A674" t="inlineStr">
        <is>
          <t>A 6369-2023</t>
        </is>
      </c>
      <c r="B674" s="1" t="n">
        <v>44965.61106481482</v>
      </c>
      <c r="C674" s="1" t="n">
        <v>46031</v>
      </c>
      <c r="D674" t="inlineStr">
        <is>
          <t>ÖSTERGÖTLANDS LÄN</t>
        </is>
      </c>
      <c r="E674" t="inlineStr">
        <is>
          <t>LINKÖPING</t>
        </is>
      </c>
      <c r="G674" t="n">
        <v>4</v>
      </c>
      <c r="H674" t="n">
        <v>0</v>
      </c>
      <c r="I674" t="n">
        <v>0</v>
      </c>
      <c r="J674" t="n">
        <v>0</v>
      </c>
      <c r="K674" t="n">
        <v>0</v>
      </c>
      <c r="L674" t="n">
        <v>0</v>
      </c>
      <c r="M674" t="n">
        <v>0</v>
      </c>
      <c r="N674" t="n">
        <v>0</v>
      </c>
      <c r="O674" t="n">
        <v>0</v>
      </c>
      <c r="P674" t="n">
        <v>0</v>
      </c>
      <c r="Q674" t="n">
        <v>0</v>
      </c>
      <c r="R674" s="2" t="inlineStr"/>
    </row>
    <row r="675" ht="15" customHeight="1">
      <c r="A675" t="inlineStr">
        <is>
          <t>A 10094-2024</t>
        </is>
      </c>
      <c r="B675" s="1" t="n">
        <v>45364</v>
      </c>
      <c r="C675" s="1" t="n">
        <v>46031</v>
      </c>
      <c r="D675" t="inlineStr">
        <is>
          <t>ÖSTERGÖTLANDS LÄN</t>
        </is>
      </c>
      <c r="E675" t="inlineStr">
        <is>
          <t>LINKÖPING</t>
        </is>
      </c>
      <c r="F675" t="inlineStr">
        <is>
          <t>Övriga Aktiebolag</t>
        </is>
      </c>
      <c r="G675" t="n">
        <v>1.9</v>
      </c>
      <c r="H675" t="n">
        <v>0</v>
      </c>
      <c r="I675" t="n">
        <v>0</v>
      </c>
      <c r="J675" t="n">
        <v>0</v>
      </c>
      <c r="K675" t="n">
        <v>0</v>
      </c>
      <c r="L675" t="n">
        <v>0</v>
      </c>
      <c r="M675" t="n">
        <v>0</v>
      </c>
      <c r="N675" t="n">
        <v>0</v>
      </c>
      <c r="O675" t="n">
        <v>0</v>
      </c>
      <c r="P675" t="n">
        <v>0</v>
      </c>
      <c r="Q675" t="n">
        <v>0</v>
      </c>
      <c r="R675" s="2" t="inlineStr"/>
    </row>
    <row r="676" ht="15" customHeight="1">
      <c r="A676" t="inlineStr">
        <is>
          <t>A 1207-2023</t>
        </is>
      </c>
      <c r="B676" s="1" t="n">
        <v>44930</v>
      </c>
      <c r="C676" s="1" t="n">
        <v>46031</v>
      </c>
      <c r="D676" t="inlineStr">
        <is>
          <t>ÖSTERGÖTLANDS LÄN</t>
        </is>
      </c>
      <c r="E676" t="inlineStr">
        <is>
          <t>LINKÖPING</t>
        </is>
      </c>
      <c r="F676" t="inlineStr">
        <is>
          <t>Övriga statliga verk och myndigheter</t>
        </is>
      </c>
      <c r="G676" t="n">
        <v>32.8</v>
      </c>
      <c r="H676" t="n">
        <v>0</v>
      </c>
      <c r="I676" t="n">
        <v>0</v>
      </c>
      <c r="J676" t="n">
        <v>0</v>
      </c>
      <c r="K676" t="n">
        <v>0</v>
      </c>
      <c r="L676" t="n">
        <v>0</v>
      </c>
      <c r="M676" t="n">
        <v>0</v>
      </c>
      <c r="N676" t="n">
        <v>0</v>
      </c>
      <c r="O676" t="n">
        <v>0</v>
      </c>
      <c r="P676" t="n">
        <v>0</v>
      </c>
      <c r="Q676" t="n">
        <v>0</v>
      </c>
      <c r="R676" s="2" t="inlineStr"/>
    </row>
    <row r="677" ht="15" customHeight="1">
      <c r="A677" t="inlineStr">
        <is>
          <t>A 62015-2024</t>
        </is>
      </c>
      <c r="B677" s="1" t="n">
        <v>45655.80457175926</v>
      </c>
      <c r="C677" s="1" t="n">
        <v>46031</v>
      </c>
      <c r="D677" t="inlineStr">
        <is>
          <t>ÖSTERGÖTLANDS LÄN</t>
        </is>
      </c>
      <c r="E677" t="inlineStr">
        <is>
          <t>LINKÖPING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62020-2024</t>
        </is>
      </c>
      <c r="B678" s="1" t="n">
        <v>45655.83563657408</v>
      </c>
      <c r="C678" s="1" t="n">
        <v>46031</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62021-2024</t>
        </is>
      </c>
      <c r="B679" s="1" t="n">
        <v>45655.84232638889</v>
      </c>
      <c r="C679" s="1" t="n">
        <v>46031</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27891-2021</t>
        </is>
      </c>
      <c r="B680" s="1" t="n">
        <v>44354.65108796296</v>
      </c>
      <c r="C680" s="1" t="n">
        <v>46031</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57391-2023</t>
        </is>
      </c>
      <c r="B681" s="1" t="n">
        <v>45245</v>
      </c>
      <c r="C681" s="1" t="n">
        <v>46031</v>
      </c>
      <c r="D681" t="inlineStr">
        <is>
          <t>ÖSTERGÖTLANDS LÄN</t>
        </is>
      </c>
      <c r="E681" t="inlineStr">
        <is>
          <t>LINKÖPING</t>
        </is>
      </c>
      <c r="F681" t="inlineStr">
        <is>
          <t>Övriga Aktiebolag</t>
        </is>
      </c>
      <c r="G681" t="n">
        <v>1.7</v>
      </c>
      <c r="H681" t="n">
        <v>0</v>
      </c>
      <c r="I681" t="n">
        <v>0</v>
      </c>
      <c r="J681" t="n">
        <v>0</v>
      </c>
      <c r="K681" t="n">
        <v>0</v>
      </c>
      <c r="L681" t="n">
        <v>0</v>
      </c>
      <c r="M681" t="n">
        <v>0</v>
      </c>
      <c r="N681" t="n">
        <v>0</v>
      </c>
      <c r="O681" t="n">
        <v>0</v>
      </c>
      <c r="P681" t="n">
        <v>0</v>
      </c>
      <c r="Q681" t="n">
        <v>0</v>
      </c>
      <c r="R681" s="2" t="inlineStr"/>
    </row>
    <row r="682" ht="15" customHeight="1">
      <c r="A682" t="inlineStr">
        <is>
          <t>A 20294-2025</t>
        </is>
      </c>
      <c r="B682" s="1" t="n">
        <v>45774.74667824074</v>
      </c>
      <c r="C682" s="1" t="n">
        <v>46031</v>
      </c>
      <c r="D682" t="inlineStr">
        <is>
          <t>ÖSTERGÖTLANDS LÄN</t>
        </is>
      </c>
      <c r="E682" t="inlineStr">
        <is>
          <t>LINKÖPING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60013-2022</t>
        </is>
      </c>
      <c r="B683" s="1" t="n">
        <v>44909.47482638889</v>
      </c>
      <c r="C683" s="1" t="n">
        <v>46031</v>
      </c>
      <c r="D683" t="inlineStr">
        <is>
          <t>ÖSTERGÖTLANDS LÄN</t>
        </is>
      </c>
      <c r="E683" t="inlineStr">
        <is>
          <t>LINKÖPING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3007-2025</t>
        </is>
      </c>
      <c r="B684" s="1" t="n">
        <v>45678.56328703704</v>
      </c>
      <c r="C684" s="1" t="n">
        <v>46031</v>
      </c>
      <c r="D684" t="inlineStr">
        <is>
          <t>ÖSTERGÖTLANDS LÄN</t>
        </is>
      </c>
      <c r="E684" t="inlineStr">
        <is>
          <t>LINKÖPING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34877-2023</t>
        </is>
      </c>
      <c r="B685" s="1" t="n">
        <v>45140</v>
      </c>
      <c r="C685" s="1" t="n">
        <v>46031</v>
      </c>
      <c r="D685" t="inlineStr">
        <is>
          <t>ÖSTERGÖTLANDS LÄN</t>
        </is>
      </c>
      <c r="E685" t="inlineStr">
        <is>
          <t>LINKÖPING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1924-2024</t>
        </is>
      </c>
      <c r="B686" s="1" t="n">
        <v>45308</v>
      </c>
      <c r="C686" s="1" t="n">
        <v>46031</v>
      </c>
      <c r="D686" t="inlineStr">
        <is>
          <t>ÖSTERGÖTLANDS LÄN</t>
        </is>
      </c>
      <c r="E686" t="inlineStr">
        <is>
          <t>LINKÖPING</t>
        </is>
      </c>
      <c r="F686" t="inlineStr">
        <is>
          <t>Övriga Aktiebolag</t>
        </is>
      </c>
      <c r="G686" t="n">
        <v>0.5</v>
      </c>
      <c r="H686" t="n">
        <v>0</v>
      </c>
      <c r="I686" t="n">
        <v>0</v>
      </c>
      <c r="J686" t="n">
        <v>0</v>
      </c>
      <c r="K686" t="n">
        <v>0</v>
      </c>
      <c r="L686" t="n">
        <v>0</v>
      </c>
      <c r="M686" t="n">
        <v>0</v>
      </c>
      <c r="N686" t="n">
        <v>0</v>
      </c>
      <c r="O686" t="n">
        <v>0</v>
      </c>
      <c r="P686" t="n">
        <v>0</v>
      </c>
      <c r="Q686" t="n">
        <v>0</v>
      </c>
      <c r="R686" s="2" t="inlineStr"/>
    </row>
    <row r="687" ht="15" customHeight="1">
      <c r="A687" t="inlineStr">
        <is>
          <t>A 34558-2022</t>
        </is>
      </c>
      <c r="B687" s="1" t="n">
        <v>44794.57594907407</v>
      </c>
      <c r="C687" s="1" t="n">
        <v>46031</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168-2024</t>
        </is>
      </c>
      <c r="B688" s="1" t="n">
        <v>45294</v>
      </c>
      <c r="C688" s="1" t="n">
        <v>46031</v>
      </c>
      <c r="D688" t="inlineStr">
        <is>
          <t>ÖSTERGÖTLANDS LÄN</t>
        </is>
      </c>
      <c r="E688" t="inlineStr">
        <is>
          <t>LINKÖPING</t>
        </is>
      </c>
      <c r="F688" t="inlineStr">
        <is>
          <t>Allmännings- och besparingsskogar</t>
        </is>
      </c>
      <c r="G688" t="n">
        <v>8.9</v>
      </c>
      <c r="H688" t="n">
        <v>0</v>
      </c>
      <c r="I688" t="n">
        <v>0</v>
      </c>
      <c r="J688" t="n">
        <v>0</v>
      </c>
      <c r="K688" t="n">
        <v>0</v>
      </c>
      <c r="L688" t="n">
        <v>0</v>
      </c>
      <c r="M688" t="n">
        <v>0</v>
      </c>
      <c r="N688" t="n">
        <v>0</v>
      </c>
      <c r="O688" t="n">
        <v>0</v>
      </c>
      <c r="P688" t="n">
        <v>0</v>
      </c>
      <c r="Q688" t="n">
        <v>0</v>
      </c>
      <c r="R688" s="2" t="inlineStr"/>
    </row>
    <row r="689" ht="15" customHeight="1">
      <c r="A689" t="inlineStr">
        <is>
          <t>A 15658-2023</t>
        </is>
      </c>
      <c r="B689" s="1" t="n">
        <v>45021.41194444444</v>
      </c>
      <c r="C689" s="1" t="n">
        <v>46031</v>
      </c>
      <c r="D689" t="inlineStr">
        <is>
          <t>ÖSTERGÖTLANDS LÄN</t>
        </is>
      </c>
      <c r="E689" t="inlineStr">
        <is>
          <t>LINKÖPING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30433-2024</t>
        </is>
      </c>
      <c r="B690" s="1" t="n">
        <v>45491.69741898148</v>
      </c>
      <c r="C690" s="1" t="n">
        <v>46031</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52220-2023</t>
        </is>
      </c>
      <c r="B691" s="1" t="n">
        <v>45217</v>
      </c>
      <c r="C691" s="1" t="n">
        <v>46031</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52225-2023</t>
        </is>
      </c>
      <c r="B692" s="1" t="n">
        <v>45217</v>
      </c>
      <c r="C692" s="1" t="n">
        <v>46031</v>
      </c>
      <c r="D692" t="inlineStr">
        <is>
          <t>ÖSTERGÖTLANDS LÄN</t>
        </is>
      </c>
      <c r="E692" t="inlineStr">
        <is>
          <t>LINKÖPING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19464-2024</t>
        </is>
      </c>
      <c r="B693" s="1" t="n">
        <v>45429</v>
      </c>
      <c r="C693" s="1" t="n">
        <v>46031</v>
      </c>
      <c r="D693" t="inlineStr">
        <is>
          <t>ÖSTERGÖTLANDS LÄN</t>
        </is>
      </c>
      <c r="E693" t="inlineStr">
        <is>
          <t>LINKÖPING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42044-2023</t>
        </is>
      </c>
      <c r="B694" s="1" t="n">
        <v>45177</v>
      </c>
      <c r="C694" s="1" t="n">
        <v>46031</v>
      </c>
      <c r="D694" t="inlineStr">
        <is>
          <t>ÖSTERGÖTLANDS LÄN</t>
        </is>
      </c>
      <c r="E694" t="inlineStr">
        <is>
          <t>LINKÖPING</t>
        </is>
      </c>
      <c r="G694" t="n">
        <v>3.9</v>
      </c>
      <c r="H694" t="n">
        <v>0</v>
      </c>
      <c r="I694" t="n">
        <v>0</v>
      </c>
      <c r="J694" t="n">
        <v>0</v>
      </c>
      <c r="K694" t="n">
        <v>0</v>
      </c>
      <c r="L694" t="n">
        <v>0</v>
      </c>
      <c r="M694" t="n">
        <v>0</v>
      </c>
      <c r="N694" t="n">
        <v>0</v>
      </c>
      <c r="O694" t="n">
        <v>0</v>
      </c>
      <c r="P694" t="n">
        <v>0</v>
      </c>
      <c r="Q694" t="n">
        <v>0</v>
      </c>
      <c r="R694" s="2" t="inlineStr"/>
    </row>
    <row r="695" ht="15" customHeight="1">
      <c r="A695" t="inlineStr">
        <is>
          <t>A 630-2024</t>
        </is>
      </c>
      <c r="B695" s="1" t="n">
        <v>45299.67736111111</v>
      </c>
      <c r="C695" s="1" t="n">
        <v>46031</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21782-2024</t>
        </is>
      </c>
      <c r="B696" s="1" t="n">
        <v>45442.63368055555</v>
      </c>
      <c r="C696" s="1" t="n">
        <v>46031</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57766-2023</t>
        </is>
      </c>
      <c r="B697" s="1" t="n">
        <v>45246</v>
      </c>
      <c r="C697" s="1" t="n">
        <v>46031</v>
      </c>
      <c r="D697" t="inlineStr">
        <is>
          <t>ÖSTERGÖTLANDS LÄN</t>
        </is>
      </c>
      <c r="E697" t="inlineStr">
        <is>
          <t>LINKÖPING</t>
        </is>
      </c>
      <c r="F697" t="inlineStr">
        <is>
          <t>Allmännings- och besparingsskogar</t>
        </is>
      </c>
      <c r="G697" t="n">
        <v>12.8</v>
      </c>
      <c r="H697" t="n">
        <v>0</v>
      </c>
      <c r="I697" t="n">
        <v>0</v>
      </c>
      <c r="J697" t="n">
        <v>0</v>
      </c>
      <c r="K697" t="n">
        <v>0</v>
      </c>
      <c r="L697" t="n">
        <v>0</v>
      </c>
      <c r="M697" t="n">
        <v>0</v>
      </c>
      <c r="N697" t="n">
        <v>0</v>
      </c>
      <c r="O697" t="n">
        <v>0</v>
      </c>
      <c r="P697" t="n">
        <v>0</v>
      </c>
      <c r="Q697" t="n">
        <v>0</v>
      </c>
      <c r="R697" s="2" t="inlineStr"/>
    </row>
    <row r="698" ht="15" customHeight="1">
      <c r="A698" t="inlineStr">
        <is>
          <t>A 27186-2021</t>
        </is>
      </c>
      <c r="B698" s="1" t="n">
        <v>44350.67715277777</v>
      </c>
      <c r="C698" s="1" t="n">
        <v>46031</v>
      </c>
      <c r="D698" t="inlineStr">
        <is>
          <t>ÖSTERGÖTLANDS LÄN</t>
        </is>
      </c>
      <c r="E698" t="inlineStr">
        <is>
          <t>LINKÖPING</t>
        </is>
      </c>
      <c r="F698" t="inlineStr">
        <is>
          <t>Allmännings- och besparingsskogar</t>
        </is>
      </c>
      <c r="G698" t="n">
        <v>1.4</v>
      </c>
      <c r="H698" t="n">
        <v>0</v>
      </c>
      <c r="I698" t="n">
        <v>0</v>
      </c>
      <c r="J698" t="n">
        <v>0</v>
      </c>
      <c r="K698" t="n">
        <v>0</v>
      </c>
      <c r="L698" t="n">
        <v>0</v>
      </c>
      <c r="M698" t="n">
        <v>0</v>
      </c>
      <c r="N698" t="n">
        <v>0</v>
      </c>
      <c r="O698" t="n">
        <v>0</v>
      </c>
      <c r="P698" t="n">
        <v>0</v>
      </c>
      <c r="Q698" t="n">
        <v>0</v>
      </c>
      <c r="R698" s="2" t="inlineStr"/>
    </row>
    <row r="699" ht="15" customHeight="1">
      <c r="A699" t="inlineStr">
        <is>
          <t>A 10194-2023</t>
        </is>
      </c>
      <c r="B699" s="1" t="n">
        <v>44986.52277777778</v>
      </c>
      <c r="C699" s="1" t="n">
        <v>46031</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55944-2024</t>
        </is>
      </c>
      <c r="B700" s="1" t="n">
        <v>45623.61640046296</v>
      </c>
      <c r="C700" s="1" t="n">
        <v>46031</v>
      </c>
      <c r="D700" t="inlineStr">
        <is>
          <t>ÖSTERGÖTLANDS LÄN</t>
        </is>
      </c>
      <c r="E700" t="inlineStr">
        <is>
          <t>LINKÖPING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55947-2024</t>
        </is>
      </c>
      <c r="B701" s="1" t="n">
        <v>45623</v>
      </c>
      <c r="C701" s="1" t="n">
        <v>46031</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47703-2023</t>
        </is>
      </c>
      <c r="B702" s="1" t="n">
        <v>45203</v>
      </c>
      <c r="C702" s="1" t="n">
        <v>46031</v>
      </c>
      <c r="D702" t="inlineStr">
        <is>
          <t>ÖSTERGÖTLANDS LÄN</t>
        </is>
      </c>
      <c r="E702" t="inlineStr">
        <is>
          <t>LINKÖPING</t>
        </is>
      </c>
      <c r="G702" t="n">
        <v>4.1</v>
      </c>
      <c r="H702" t="n">
        <v>0</v>
      </c>
      <c r="I702" t="n">
        <v>0</v>
      </c>
      <c r="J702" t="n">
        <v>0</v>
      </c>
      <c r="K702" t="n">
        <v>0</v>
      </c>
      <c r="L702" t="n">
        <v>0</v>
      </c>
      <c r="M702" t="n">
        <v>0</v>
      </c>
      <c r="N702" t="n">
        <v>0</v>
      </c>
      <c r="O702" t="n">
        <v>0</v>
      </c>
      <c r="P702" t="n">
        <v>0</v>
      </c>
      <c r="Q702" t="n">
        <v>0</v>
      </c>
      <c r="R702" s="2" t="inlineStr"/>
    </row>
    <row r="703" ht="15" customHeight="1">
      <c r="A703" t="inlineStr">
        <is>
          <t>A 51559-2024</t>
        </is>
      </c>
      <c r="B703" s="1" t="n">
        <v>45604.61431712963</v>
      </c>
      <c r="C703" s="1" t="n">
        <v>46031</v>
      </c>
      <c r="D703" t="inlineStr">
        <is>
          <t>ÖSTERGÖTLANDS LÄN</t>
        </is>
      </c>
      <c r="E703" t="inlineStr">
        <is>
          <t>LINKÖPING</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62353-2022</t>
        </is>
      </c>
      <c r="B704" s="1" t="n">
        <v>44923</v>
      </c>
      <c r="C704" s="1" t="n">
        <v>46031</v>
      </c>
      <c r="D704" t="inlineStr">
        <is>
          <t>ÖSTERGÖTLANDS LÄN</t>
        </is>
      </c>
      <c r="E704" t="inlineStr">
        <is>
          <t>LINKÖPING</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15754-2025</t>
        </is>
      </c>
      <c r="B705" s="1" t="n">
        <v>45748.56105324074</v>
      </c>
      <c r="C705" s="1" t="n">
        <v>46031</v>
      </c>
      <c r="D705" t="inlineStr">
        <is>
          <t>ÖSTERGÖTLANDS LÄN</t>
        </is>
      </c>
      <c r="E705" t="inlineStr">
        <is>
          <t>LINKÖPING</t>
        </is>
      </c>
      <c r="G705" t="n">
        <v>1.7</v>
      </c>
      <c r="H705" t="n">
        <v>0</v>
      </c>
      <c r="I705" t="n">
        <v>0</v>
      </c>
      <c r="J705" t="n">
        <v>0</v>
      </c>
      <c r="K705" t="n">
        <v>0</v>
      </c>
      <c r="L705" t="n">
        <v>0</v>
      </c>
      <c r="M705" t="n">
        <v>0</v>
      </c>
      <c r="N705" t="n">
        <v>0</v>
      </c>
      <c r="O705" t="n">
        <v>0</v>
      </c>
      <c r="P705" t="n">
        <v>0</v>
      </c>
      <c r="Q705" t="n">
        <v>0</v>
      </c>
      <c r="R705" s="2" t="inlineStr"/>
    </row>
    <row r="706" ht="15" customHeight="1">
      <c r="A706" t="inlineStr">
        <is>
          <t>A 4298-2023</t>
        </is>
      </c>
      <c r="B706" s="1" t="n">
        <v>44953</v>
      </c>
      <c r="C706" s="1" t="n">
        <v>46031</v>
      </c>
      <c r="D706" t="inlineStr">
        <is>
          <t>ÖSTERGÖTLANDS LÄN</t>
        </is>
      </c>
      <c r="E706" t="inlineStr">
        <is>
          <t>LINKÖPING</t>
        </is>
      </c>
      <c r="G706" t="n">
        <v>2.8</v>
      </c>
      <c r="H706" t="n">
        <v>0</v>
      </c>
      <c r="I706" t="n">
        <v>0</v>
      </c>
      <c r="J706" t="n">
        <v>0</v>
      </c>
      <c r="K706" t="n">
        <v>0</v>
      </c>
      <c r="L706" t="n">
        <v>0</v>
      </c>
      <c r="M706" t="n">
        <v>0</v>
      </c>
      <c r="N706" t="n">
        <v>0</v>
      </c>
      <c r="O706" t="n">
        <v>0</v>
      </c>
      <c r="P706" t="n">
        <v>0</v>
      </c>
      <c r="Q706" t="n">
        <v>0</v>
      </c>
      <c r="R706" s="2" t="inlineStr"/>
    </row>
    <row r="707" ht="15" customHeight="1">
      <c r="A707" t="inlineStr">
        <is>
          <t>A 18145-2021</t>
        </is>
      </c>
      <c r="B707" s="1" t="n">
        <v>44302</v>
      </c>
      <c r="C707" s="1" t="n">
        <v>46031</v>
      </c>
      <c r="D707" t="inlineStr">
        <is>
          <t>ÖSTERGÖTLANDS LÄN</t>
        </is>
      </c>
      <c r="E707" t="inlineStr">
        <is>
          <t>LINKÖPING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25568-2024</t>
        </is>
      </c>
      <c r="B708" s="1" t="n">
        <v>45463.58699074074</v>
      </c>
      <c r="C708" s="1" t="n">
        <v>46031</v>
      </c>
      <c r="D708" t="inlineStr">
        <is>
          <t>ÖSTERGÖTLANDS LÄN</t>
        </is>
      </c>
      <c r="E708" t="inlineStr">
        <is>
          <t>LINKÖPING</t>
        </is>
      </c>
      <c r="G708" t="n">
        <v>1.8</v>
      </c>
      <c r="H708" t="n">
        <v>0</v>
      </c>
      <c r="I708" t="n">
        <v>0</v>
      </c>
      <c r="J708" t="n">
        <v>0</v>
      </c>
      <c r="K708" t="n">
        <v>0</v>
      </c>
      <c r="L708" t="n">
        <v>0</v>
      </c>
      <c r="M708" t="n">
        <v>0</v>
      </c>
      <c r="N708" t="n">
        <v>0</v>
      </c>
      <c r="O708" t="n">
        <v>0</v>
      </c>
      <c r="P708" t="n">
        <v>0</v>
      </c>
      <c r="Q708" t="n">
        <v>0</v>
      </c>
      <c r="R708" s="2" t="inlineStr"/>
    </row>
    <row r="709" ht="15" customHeight="1">
      <c r="A709" t="inlineStr">
        <is>
          <t>A 38136-2023</t>
        </is>
      </c>
      <c r="B709" s="1" t="n">
        <v>45161.37310185185</v>
      </c>
      <c r="C709" s="1" t="n">
        <v>46031</v>
      </c>
      <c r="D709" t="inlineStr">
        <is>
          <t>ÖSTERGÖTLANDS LÄN</t>
        </is>
      </c>
      <c r="E709" t="inlineStr">
        <is>
          <t>LINKÖPING</t>
        </is>
      </c>
      <c r="G709" t="n">
        <v>5.6</v>
      </c>
      <c r="H709" t="n">
        <v>0</v>
      </c>
      <c r="I709" t="n">
        <v>0</v>
      </c>
      <c r="J709" t="n">
        <v>0</v>
      </c>
      <c r="K709" t="n">
        <v>0</v>
      </c>
      <c r="L709" t="n">
        <v>0</v>
      </c>
      <c r="M709" t="n">
        <v>0</v>
      </c>
      <c r="N709" t="n">
        <v>0</v>
      </c>
      <c r="O709" t="n">
        <v>0</v>
      </c>
      <c r="P709" t="n">
        <v>0</v>
      </c>
      <c r="Q709" t="n">
        <v>0</v>
      </c>
      <c r="R709" s="2" t="inlineStr"/>
    </row>
    <row r="710" ht="15" customHeight="1">
      <c r="A710" t="inlineStr">
        <is>
          <t>A 12317-2025</t>
        </is>
      </c>
      <c r="B710" s="1" t="n">
        <v>45729.8487037037</v>
      </c>
      <c r="C710" s="1" t="n">
        <v>46031</v>
      </c>
      <c r="D710" t="inlineStr">
        <is>
          <t>ÖSTERGÖTLANDS LÄN</t>
        </is>
      </c>
      <c r="E710" t="inlineStr">
        <is>
          <t>LINKÖPING</t>
        </is>
      </c>
      <c r="G710" t="n">
        <v>8</v>
      </c>
      <c r="H710" t="n">
        <v>0</v>
      </c>
      <c r="I710" t="n">
        <v>0</v>
      </c>
      <c r="J710" t="n">
        <v>0</v>
      </c>
      <c r="K710" t="n">
        <v>0</v>
      </c>
      <c r="L710" t="n">
        <v>0</v>
      </c>
      <c r="M710" t="n">
        <v>0</v>
      </c>
      <c r="N710" t="n">
        <v>0</v>
      </c>
      <c r="O710" t="n">
        <v>0</v>
      </c>
      <c r="P710" t="n">
        <v>0</v>
      </c>
      <c r="Q710" t="n">
        <v>0</v>
      </c>
      <c r="R710" s="2" t="inlineStr"/>
    </row>
    <row r="711" ht="15" customHeight="1">
      <c r="A711" t="inlineStr">
        <is>
          <t>A 14528-2025</t>
        </is>
      </c>
      <c r="B711" s="1" t="n">
        <v>45741</v>
      </c>
      <c r="C711" s="1" t="n">
        <v>46031</v>
      </c>
      <c r="D711" t="inlineStr">
        <is>
          <t>ÖSTERGÖTLANDS LÄN</t>
        </is>
      </c>
      <c r="E711" t="inlineStr">
        <is>
          <t>LINKÖPING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61649-2023</t>
        </is>
      </c>
      <c r="B712" s="1" t="n">
        <v>45265</v>
      </c>
      <c r="C712" s="1" t="n">
        <v>46031</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60985-2023</t>
        </is>
      </c>
      <c r="B713" s="1" t="n">
        <v>45261.48429398148</v>
      </c>
      <c r="C713" s="1" t="n">
        <v>46031</v>
      </c>
      <c r="D713" t="inlineStr">
        <is>
          <t>ÖSTERGÖTLANDS LÄN</t>
        </is>
      </c>
      <c r="E713" t="inlineStr">
        <is>
          <t>LINKÖPING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421-2024</t>
        </is>
      </c>
      <c r="B714" s="1" t="n">
        <v>45296.51877314815</v>
      </c>
      <c r="C714" s="1" t="n">
        <v>46031</v>
      </c>
      <c r="D714" t="inlineStr">
        <is>
          <t>ÖSTERGÖTLANDS LÄN</t>
        </is>
      </c>
      <c r="E714" t="inlineStr">
        <is>
          <t>LINKÖPING</t>
        </is>
      </c>
      <c r="G714" t="n">
        <v>3.7</v>
      </c>
      <c r="H714" t="n">
        <v>0</v>
      </c>
      <c r="I714" t="n">
        <v>0</v>
      </c>
      <c r="J714" t="n">
        <v>0</v>
      </c>
      <c r="K714" t="n">
        <v>0</v>
      </c>
      <c r="L714" t="n">
        <v>0</v>
      </c>
      <c r="M714" t="n">
        <v>0</v>
      </c>
      <c r="N714" t="n">
        <v>0</v>
      </c>
      <c r="O714" t="n">
        <v>0</v>
      </c>
      <c r="P714" t="n">
        <v>0</v>
      </c>
      <c r="Q714" t="n">
        <v>0</v>
      </c>
      <c r="R714" s="2" t="inlineStr"/>
    </row>
    <row r="715" ht="15" customHeight="1">
      <c r="A715" t="inlineStr">
        <is>
          <t>A 51405-2023</t>
        </is>
      </c>
      <c r="B715" s="1" t="n">
        <v>45219</v>
      </c>
      <c r="C715" s="1" t="n">
        <v>46031</v>
      </c>
      <c r="D715" t="inlineStr">
        <is>
          <t>ÖSTERGÖTLANDS LÄN</t>
        </is>
      </c>
      <c r="E715" t="inlineStr">
        <is>
          <t>LINKÖPING</t>
        </is>
      </c>
      <c r="F715" t="inlineStr">
        <is>
          <t>Övriga Aktiebolag</t>
        </is>
      </c>
      <c r="G715" t="n">
        <v>3</v>
      </c>
      <c r="H715" t="n">
        <v>0</v>
      </c>
      <c r="I715" t="n">
        <v>0</v>
      </c>
      <c r="J715" t="n">
        <v>0</v>
      </c>
      <c r="K715" t="n">
        <v>0</v>
      </c>
      <c r="L715" t="n">
        <v>0</v>
      </c>
      <c r="M715" t="n">
        <v>0</v>
      </c>
      <c r="N715" t="n">
        <v>0</v>
      </c>
      <c r="O715" t="n">
        <v>0</v>
      </c>
      <c r="P715" t="n">
        <v>0</v>
      </c>
      <c r="Q715" t="n">
        <v>0</v>
      </c>
      <c r="R715" s="2" t="inlineStr"/>
    </row>
    <row r="716" ht="15" customHeight="1">
      <c r="A716" t="inlineStr">
        <is>
          <t>A 53639-2023</t>
        </is>
      </c>
      <c r="B716" s="1" t="n">
        <v>45230.59686342593</v>
      </c>
      <c r="C716" s="1" t="n">
        <v>46031</v>
      </c>
      <c r="D716" t="inlineStr">
        <is>
          <t>ÖSTERGÖTLANDS LÄN</t>
        </is>
      </c>
      <c r="E716" t="inlineStr">
        <is>
          <t>LINKÖPING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24467-2023</t>
        </is>
      </c>
      <c r="B717" s="1" t="n">
        <v>45082</v>
      </c>
      <c r="C717" s="1" t="n">
        <v>46031</v>
      </c>
      <c r="D717" t="inlineStr">
        <is>
          <t>ÖSTERGÖTLANDS LÄN</t>
        </is>
      </c>
      <c r="E717" t="inlineStr">
        <is>
          <t>LINKÖPING</t>
        </is>
      </c>
      <c r="G717" t="n">
        <v>2.4</v>
      </c>
      <c r="H717" t="n">
        <v>0</v>
      </c>
      <c r="I717" t="n">
        <v>0</v>
      </c>
      <c r="J717" t="n">
        <v>0</v>
      </c>
      <c r="K717" t="n">
        <v>0</v>
      </c>
      <c r="L717" t="n">
        <v>0</v>
      </c>
      <c r="M717" t="n">
        <v>0</v>
      </c>
      <c r="N717" t="n">
        <v>0</v>
      </c>
      <c r="O717" t="n">
        <v>0</v>
      </c>
      <c r="P717" t="n">
        <v>0</v>
      </c>
      <c r="Q717" t="n">
        <v>0</v>
      </c>
      <c r="R717" s="2" t="inlineStr"/>
    </row>
    <row r="718" ht="15" customHeight="1">
      <c r="A718" t="inlineStr">
        <is>
          <t>A 62488-2023</t>
        </is>
      </c>
      <c r="B718" s="1" t="n">
        <v>45268.5847337963</v>
      </c>
      <c r="C718" s="1" t="n">
        <v>46031</v>
      </c>
      <c r="D718" t="inlineStr">
        <is>
          <t>ÖSTERGÖTLANDS LÄN</t>
        </is>
      </c>
      <c r="E718" t="inlineStr">
        <is>
          <t>LINKÖPING</t>
        </is>
      </c>
      <c r="G718" t="n">
        <v>4.1</v>
      </c>
      <c r="H718" t="n">
        <v>0</v>
      </c>
      <c r="I718" t="n">
        <v>0</v>
      </c>
      <c r="J718" t="n">
        <v>0</v>
      </c>
      <c r="K718" t="n">
        <v>0</v>
      </c>
      <c r="L718" t="n">
        <v>0</v>
      </c>
      <c r="M718" t="n">
        <v>0</v>
      </c>
      <c r="N718" t="n">
        <v>0</v>
      </c>
      <c r="O718" t="n">
        <v>0</v>
      </c>
      <c r="P718" t="n">
        <v>0</v>
      </c>
      <c r="Q718" t="n">
        <v>0</v>
      </c>
      <c r="R718" s="2" t="inlineStr"/>
    </row>
    <row r="719" ht="15" customHeight="1">
      <c r="A719" t="inlineStr">
        <is>
          <t>A 62495-2023</t>
        </is>
      </c>
      <c r="B719" s="1" t="n">
        <v>45268.59717592593</v>
      </c>
      <c r="C719" s="1" t="n">
        <v>46031</v>
      </c>
      <c r="D719" t="inlineStr">
        <is>
          <t>ÖSTERGÖTLANDS LÄN</t>
        </is>
      </c>
      <c r="E719" t="inlineStr">
        <is>
          <t>LINKÖPING</t>
        </is>
      </c>
      <c r="G719" t="n">
        <v>4.1</v>
      </c>
      <c r="H719" t="n">
        <v>0</v>
      </c>
      <c r="I719" t="n">
        <v>0</v>
      </c>
      <c r="J719" t="n">
        <v>0</v>
      </c>
      <c r="K719" t="n">
        <v>0</v>
      </c>
      <c r="L719" t="n">
        <v>0</v>
      </c>
      <c r="M719" t="n">
        <v>0</v>
      </c>
      <c r="N719" t="n">
        <v>0</v>
      </c>
      <c r="O719" t="n">
        <v>0</v>
      </c>
      <c r="P719" t="n">
        <v>0</v>
      </c>
      <c r="Q719" t="n">
        <v>0</v>
      </c>
      <c r="R719" s="2" t="inlineStr"/>
    </row>
    <row r="720" ht="15" customHeight="1">
      <c r="A720" t="inlineStr">
        <is>
          <t>A 10198-2023</t>
        </is>
      </c>
      <c r="B720" s="1" t="n">
        <v>44986.54665509259</v>
      </c>
      <c r="C720" s="1" t="n">
        <v>46031</v>
      </c>
      <c r="D720" t="inlineStr">
        <is>
          <t>ÖSTERGÖTLANDS LÄN</t>
        </is>
      </c>
      <c r="E720" t="inlineStr">
        <is>
          <t>LINKÖPING</t>
        </is>
      </c>
      <c r="G720" t="n">
        <v>4.6</v>
      </c>
      <c r="H720" t="n">
        <v>0</v>
      </c>
      <c r="I720" t="n">
        <v>0</v>
      </c>
      <c r="J720" t="n">
        <v>0</v>
      </c>
      <c r="K720" t="n">
        <v>0</v>
      </c>
      <c r="L720" t="n">
        <v>0</v>
      </c>
      <c r="M720" t="n">
        <v>0</v>
      </c>
      <c r="N720" t="n">
        <v>0</v>
      </c>
      <c r="O720" t="n">
        <v>0</v>
      </c>
      <c r="P720" t="n">
        <v>0</v>
      </c>
      <c r="Q720" t="n">
        <v>0</v>
      </c>
      <c r="R720" s="2" t="inlineStr"/>
    </row>
    <row r="721" ht="15" customHeight="1">
      <c r="A721" t="inlineStr">
        <is>
          <t>A 22771-2024</t>
        </is>
      </c>
      <c r="B721" s="1" t="n">
        <v>45448.46574074074</v>
      </c>
      <c r="C721" s="1" t="n">
        <v>46031</v>
      </c>
      <c r="D721" t="inlineStr">
        <is>
          <t>ÖSTERGÖTLANDS LÄN</t>
        </is>
      </c>
      <c r="E721" t="inlineStr">
        <is>
          <t>LINKÖPING</t>
        </is>
      </c>
      <c r="F721" t="inlineStr">
        <is>
          <t>Sveaskog</t>
        </is>
      </c>
      <c r="G721" t="n">
        <v>2.7</v>
      </c>
      <c r="H721" t="n">
        <v>0</v>
      </c>
      <c r="I721" t="n">
        <v>0</v>
      </c>
      <c r="J721" t="n">
        <v>0</v>
      </c>
      <c r="K721" t="n">
        <v>0</v>
      </c>
      <c r="L721" t="n">
        <v>0</v>
      </c>
      <c r="M721" t="n">
        <v>0</v>
      </c>
      <c r="N721" t="n">
        <v>0</v>
      </c>
      <c r="O721" t="n">
        <v>0</v>
      </c>
      <c r="P721" t="n">
        <v>0</v>
      </c>
      <c r="Q721" t="n">
        <v>0</v>
      </c>
      <c r="R721" s="2" t="inlineStr"/>
    </row>
    <row r="722" ht="15" customHeight="1">
      <c r="A722" t="inlineStr">
        <is>
          <t>A 17128-2025</t>
        </is>
      </c>
      <c r="B722" s="1" t="n">
        <v>45755.72622685185</v>
      </c>
      <c r="C722" s="1" t="n">
        <v>46031</v>
      </c>
      <c r="D722" t="inlineStr">
        <is>
          <t>ÖSTERGÖTLANDS LÄN</t>
        </is>
      </c>
      <c r="E722" t="inlineStr">
        <is>
          <t>LINKÖPING</t>
        </is>
      </c>
      <c r="G722" t="n">
        <v>2.9</v>
      </c>
      <c r="H722" t="n">
        <v>0</v>
      </c>
      <c r="I722" t="n">
        <v>0</v>
      </c>
      <c r="J722" t="n">
        <v>0</v>
      </c>
      <c r="K722" t="n">
        <v>0</v>
      </c>
      <c r="L722" t="n">
        <v>0</v>
      </c>
      <c r="M722" t="n">
        <v>0</v>
      </c>
      <c r="N722" t="n">
        <v>0</v>
      </c>
      <c r="O722" t="n">
        <v>0</v>
      </c>
      <c r="P722" t="n">
        <v>0</v>
      </c>
      <c r="Q722" t="n">
        <v>0</v>
      </c>
      <c r="R722" s="2" t="inlineStr"/>
    </row>
    <row r="723" ht="15" customHeight="1">
      <c r="A723" t="inlineStr">
        <is>
          <t>A 62018-2024</t>
        </is>
      </c>
      <c r="B723" s="1" t="n">
        <v>45655.81387731482</v>
      </c>
      <c r="C723" s="1" t="n">
        <v>46031</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62073-2023</t>
        </is>
      </c>
      <c r="B724" s="1" t="n">
        <v>45266.73844907407</v>
      </c>
      <c r="C724" s="1" t="n">
        <v>46031</v>
      </c>
      <c r="D724" t="inlineStr">
        <is>
          <t>ÖSTERGÖTLANDS LÄN</t>
        </is>
      </c>
      <c r="E724" t="inlineStr">
        <is>
          <t>LINKÖPING</t>
        </is>
      </c>
      <c r="F724" t="inlineStr">
        <is>
          <t>Allmännings- och besparingsskogar</t>
        </is>
      </c>
      <c r="G724" t="n">
        <v>1.8</v>
      </c>
      <c r="H724" t="n">
        <v>0</v>
      </c>
      <c r="I724" t="n">
        <v>0</v>
      </c>
      <c r="J724" t="n">
        <v>0</v>
      </c>
      <c r="K724" t="n">
        <v>0</v>
      </c>
      <c r="L724" t="n">
        <v>0</v>
      </c>
      <c r="M724" t="n">
        <v>0</v>
      </c>
      <c r="N724" t="n">
        <v>0</v>
      </c>
      <c r="O724" t="n">
        <v>0</v>
      </c>
      <c r="P724" t="n">
        <v>0</v>
      </c>
      <c r="Q724" t="n">
        <v>0</v>
      </c>
      <c r="R724" s="2" t="inlineStr"/>
    </row>
    <row r="725" ht="15" customHeight="1">
      <c r="A725" t="inlineStr">
        <is>
          <t>A 672-2024</t>
        </is>
      </c>
      <c r="B725" s="1" t="n">
        <v>45300</v>
      </c>
      <c r="C725" s="1" t="n">
        <v>46031</v>
      </c>
      <c r="D725" t="inlineStr">
        <is>
          <t>ÖSTERGÖTLANDS LÄN</t>
        </is>
      </c>
      <c r="E725" t="inlineStr">
        <is>
          <t>LINKÖPING</t>
        </is>
      </c>
      <c r="F725" t="inlineStr">
        <is>
          <t>Sveaskog</t>
        </is>
      </c>
      <c r="G725" t="n">
        <v>4.5</v>
      </c>
      <c r="H725" t="n">
        <v>0</v>
      </c>
      <c r="I725" t="n">
        <v>0</v>
      </c>
      <c r="J725" t="n">
        <v>0</v>
      </c>
      <c r="K725" t="n">
        <v>0</v>
      </c>
      <c r="L725" t="n">
        <v>0</v>
      </c>
      <c r="M725" t="n">
        <v>0</v>
      </c>
      <c r="N725" t="n">
        <v>0</v>
      </c>
      <c r="O725" t="n">
        <v>0</v>
      </c>
      <c r="P725" t="n">
        <v>0</v>
      </c>
      <c r="Q725" t="n">
        <v>0</v>
      </c>
      <c r="R725" s="2" t="inlineStr"/>
    </row>
    <row r="726" ht="15" customHeight="1">
      <c r="A726" t="inlineStr">
        <is>
          <t>A 42832-2023</t>
        </is>
      </c>
      <c r="B726" s="1" t="n">
        <v>45182.38091435185</v>
      </c>
      <c r="C726" s="1" t="n">
        <v>46031</v>
      </c>
      <c r="D726" t="inlineStr">
        <is>
          <t>ÖSTERGÖTLANDS LÄN</t>
        </is>
      </c>
      <c r="E726" t="inlineStr">
        <is>
          <t>LINKÖPING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5872-2025</t>
        </is>
      </c>
      <c r="B727" s="1" t="n">
        <v>45695.36659722222</v>
      </c>
      <c r="C727" s="1" t="n">
        <v>46031</v>
      </c>
      <c r="D727" t="inlineStr">
        <is>
          <t>ÖSTERGÖTLANDS LÄN</t>
        </is>
      </c>
      <c r="E727" t="inlineStr">
        <is>
          <t>LINKÖPING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59674-2024</t>
        </is>
      </c>
      <c r="B728" s="1" t="n">
        <v>45639</v>
      </c>
      <c r="C728" s="1" t="n">
        <v>46031</v>
      </c>
      <c r="D728" t="inlineStr">
        <is>
          <t>ÖSTERGÖTLANDS LÄN</t>
        </is>
      </c>
      <c r="E728" t="inlineStr">
        <is>
          <t>LINKÖPING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59576-2024</t>
        </is>
      </c>
      <c r="B729" s="1" t="n">
        <v>45638.66378472222</v>
      </c>
      <c r="C729" s="1" t="n">
        <v>46031</v>
      </c>
      <c r="D729" t="inlineStr">
        <is>
          <t>ÖSTERGÖTLANDS LÄN</t>
        </is>
      </c>
      <c r="E729" t="inlineStr">
        <is>
          <t>LINKÖPING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51583-2024</t>
        </is>
      </c>
      <c r="B730" s="1" t="n">
        <v>45604.6397337963</v>
      </c>
      <c r="C730" s="1" t="n">
        <v>46031</v>
      </c>
      <c r="D730" t="inlineStr">
        <is>
          <t>ÖSTERGÖTLANDS LÄN</t>
        </is>
      </c>
      <c r="E730" t="inlineStr">
        <is>
          <t>LINKÖPING</t>
        </is>
      </c>
      <c r="F730" t="inlineStr">
        <is>
          <t>Övriga Aktiebolag</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62019-2024</t>
        </is>
      </c>
      <c r="B731" s="1" t="n">
        <v>45655.82</v>
      </c>
      <c r="C731" s="1" t="n">
        <v>46031</v>
      </c>
      <c r="D731" t="inlineStr">
        <is>
          <t>ÖSTERGÖTLANDS LÄN</t>
        </is>
      </c>
      <c r="E731" t="inlineStr">
        <is>
          <t>LINKÖPING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38317-2024</t>
        </is>
      </c>
      <c r="B732" s="1" t="n">
        <v>45545.65766203704</v>
      </c>
      <c r="C732" s="1" t="n">
        <v>46031</v>
      </c>
      <c r="D732" t="inlineStr">
        <is>
          <t>ÖSTERGÖTLANDS LÄN</t>
        </is>
      </c>
      <c r="E732" t="inlineStr">
        <is>
          <t>LINKÖPING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50182-2023</t>
        </is>
      </c>
      <c r="B733" s="1" t="n">
        <v>45208</v>
      </c>
      <c r="C733" s="1" t="n">
        <v>46031</v>
      </c>
      <c r="D733" t="inlineStr">
        <is>
          <t>ÖSTERGÖTLANDS LÄN</t>
        </is>
      </c>
      <c r="E733" t="inlineStr">
        <is>
          <t>LINKÖPING</t>
        </is>
      </c>
      <c r="G733" t="n">
        <v>2.5</v>
      </c>
      <c r="H733" t="n">
        <v>0</v>
      </c>
      <c r="I733" t="n">
        <v>0</v>
      </c>
      <c r="J733" t="n">
        <v>0</v>
      </c>
      <c r="K733" t="n">
        <v>0</v>
      </c>
      <c r="L733" t="n">
        <v>0</v>
      </c>
      <c r="M733" t="n">
        <v>0</v>
      </c>
      <c r="N733" t="n">
        <v>0</v>
      </c>
      <c r="O733" t="n">
        <v>0</v>
      </c>
      <c r="P733" t="n">
        <v>0</v>
      </c>
      <c r="Q733" t="n">
        <v>0</v>
      </c>
      <c r="R733" s="2" t="inlineStr"/>
    </row>
    <row r="734" ht="15" customHeight="1">
      <c r="A734" t="inlineStr">
        <is>
          <t>A 1844-2025</t>
        </is>
      </c>
      <c r="B734" s="1" t="n">
        <v>45671.57730324074</v>
      </c>
      <c r="C734" s="1" t="n">
        <v>46031</v>
      </c>
      <c r="D734" t="inlineStr">
        <is>
          <t>ÖSTERGÖTLANDS LÄN</t>
        </is>
      </c>
      <c r="E734" t="inlineStr">
        <is>
          <t>LINKÖPING</t>
        </is>
      </c>
      <c r="G734" t="n">
        <v>2</v>
      </c>
      <c r="H734" t="n">
        <v>0</v>
      </c>
      <c r="I734" t="n">
        <v>0</v>
      </c>
      <c r="J734" t="n">
        <v>0</v>
      </c>
      <c r="K734" t="n">
        <v>0</v>
      </c>
      <c r="L734" t="n">
        <v>0</v>
      </c>
      <c r="M734" t="n">
        <v>0</v>
      </c>
      <c r="N734" t="n">
        <v>0</v>
      </c>
      <c r="O734" t="n">
        <v>0</v>
      </c>
      <c r="P734" t="n">
        <v>0</v>
      </c>
      <c r="Q734" t="n">
        <v>0</v>
      </c>
      <c r="R734" s="2" t="inlineStr"/>
    </row>
    <row r="735" ht="15" customHeight="1">
      <c r="A735" t="inlineStr">
        <is>
          <t>A 21155-2025</t>
        </is>
      </c>
      <c r="B735" s="1" t="n">
        <v>45779.37586805555</v>
      </c>
      <c r="C735" s="1" t="n">
        <v>46031</v>
      </c>
      <c r="D735" t="inlineStr">
        <is>
          <t>ÖSTERGÖTLANDS LÄN</t>
        </is>
      </c>
      <c r="E735" t="inlineStr">
        <is>
          <t>LINKÖPING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21165-2025</t>
        </is>
      </c>
      <c r="B736" s="1" t="n">
        <v>45779.39417824074</v>
      </c>
      <c r="C736" s="1" t="n">
        <v>46031</v>
      </c>
      <c r="D736" t="inlineStr">
        <is>
          <t>ÖSTERGÖTLANDS LÄN</t>
        </is>
      </c>
      <c r="E736" t="inlineStr">
        <is>
          <t>LINKÖPING</t>
        </is>
      </c>
      <c r="G736" t="n">
        <v>1.2</v>
      </c>
      <c r="H736" t="n">
        <v>0</v>
      </c>
      <c r="I736" t="n">
        <v>0</v>
      </c>
      <c r="J736" t="n">
        <v>0</v>
      </c>
      <c r="K736" t="n">
        <v>0</v>
      </c>
      <c r="L736" t="n">
        <v>0</v>
      </c>
      <c r="M736" t="n">
        <v>0</v>
      </c>
      <c r="N736" t="n">
        <v>0</v>
      </c>
      <c r="O736" t="n">
        <v>0</v>
      </c>
      <c r="P736" t="n">
        <v>0</v>
      </c>
      <c r="Q736" t="n">
        <v>0</v>
      </c>
      <c r="R736" s="2" t="inlineStr"/>
    </row>
    <row r="737">
      <c r="A737" t="inlineStr">
        <is>
          <t>A 57752-2023</t>
        </is>
      </c>
      <c r="B737" s="1" t="n">
        <v>45246.78474537037</v>
      </c>
      <c r="C737" s="1" t="n">
        <v>46031</v>
      </c>
      <c r="D737" t="inlineStr">
        <is>
          <t>ÖSTERGÖTLANDS LÄN</t>
        </is>
      </c>
      <c r="E737" t="inlineStr">
        <is>
          <t>LINKÖPING</t>
        </is>
      </c>
      <c r="G737" t="n">
        <v>1.1</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2026-01-09T10:48:14Z</dcterms:created>
  <dcterms:modified xmlns:dcterms="http://purl.org/dc/terms/" xmlns:xsi="http://www.w3.org/2001/XMLSchema-instance" xsi:type="dcterms:W3CDTF">2026-01-09T10:48:15Z</dcterms:modified>
</cp:coreProperties>
</file>