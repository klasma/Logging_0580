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46104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46104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46104</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46104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46104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46104</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46104</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46104</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46104</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46104</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46104</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9192-2025</t>
        </is>
      </c>
      <c r="B13" s="1" t="n">
        <v>45714.45943287037</v>
      </c>
      <c r="C13" s="1" t="n">
        <v>46104</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46104</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48329-2025</t>
        </is>
      </c>
      <c r="B15" s="1" t="n">
        <v>45932</v>
      </c>
      <c r="C15" s="1" t="n">
        <v>46104</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46104</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17502-2022</t>
        </is>
      </c>
      <c r="B17" s="1" t="n">
        <v>44679</v>
      </c>
      <c r="C17" s="1" t="n">
        <v>46104</v>
      </c>
      <c r="D17" t="inlineStr">
        <is>
          <t>ÖSTERGÖTLANDS LÄN</t>
        </is>
      </c>
      <c r="E17" t="inlineStr">
        <is>
          <t>LINKÖPING</t>
        </is>
      </c>
      <c r="F17" t="inlineStr">
        <is>
          <t>Kommuner</t>
        </is>
      </c>
      <c r="G17" t="n">
        <v>4.5</v>
      </c>
      <c r="H17" t="n">
        <v>1</v>
      </c>
      <c r="I17" t="n">
        <v>2</v>
      </c>
      <c r="J17" t="n">
        <v>0</v>
      </c>
      <c r="K17" t="n">
        <v>1</v>
      </c>
      <c r="L17" t="n">
        <v>0</v>
      </c>
      <c r="M17" t="n">
        <v>0</v>
      </c>
      <c r="N17" t="n">
        <v>0</v>
      </c>
      <c r="O17" t="n">
        <v>1</v>
      </c>
      <c r="P17" t="n">
        <v>1</v>
      </c>
      <c r="Q17" t="n">
        <v>4</v>
      </c>
      <c r="R17" s="2" t="inlineStr">
        <is>
          <t>Långfotad murkla
Fjällig taggsvamp s.str.
Strimspindling
Blåsippa</t>
        </is>
      </c>
      <c r="S17">
        <f>HYPERLINK("https://klasma.github.io/Logging_0580/artfynd/A 17502-2022 artfynd.xlsx", "A 17502-2022")</f>
        <v/>
      </c>
      <c r="T17">
        <f>HYPERLINK("https://klasma.github.io/Logging_0580/kartor/A 17502-2022 karta.png", "A 17502-2022")</f>
        <v/>
      </c>
      <c r="V17">
        <f>HYPERLINK("https://klasma.github.io/Logging_0580/klagomål/A 17502-2022 FSC-klagomål.docx", "A 17502-2022")</f>
        <v/>
      </c>
      <c r="W17">
        <f>HYPERLINK("https://klasma.github.io/Logging_0580/klagomålsmail/A 17502-2022 FSC-klagomål mail.docx", "A 17502-2022")</f>
        <v/>
      </c>
      <c r="X17">
        <f>HYPERLINK("https://klasma.github.io/Logging_0580/tillsyn/A 17502-2022 tillsynsbegäran.docx", "A 17502-2022")</f>
        <v/>
      </c>
      <c r="Y17">
        <f>HYPERLINK("https://klasma.github.io/Logging_0580/tillsynsmail/A 17502-2022 tillsynsbegäran mail.docx", "A 17502-2022")</f>
        <v/>
      </c>
    </row>
    <row r="18" ht="15" customHeight="1">
      <c r="A18" t="inlineStr">
        <is>
          <t>A 577-2025</t>
        </is>
      </c>
      <c r="B18" s="1" t="n">
        <v>45664.56525462963</v>
      </c>
      <c r="C18" s="1" t="n">
        <v>46104</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46104</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46104</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11048-2026</t>
        </is>
      </c>
      <c r="B21" s="1" t="n">
        <v>46079.58841435185</v>
      </c>
      <c r="C21" s="1" t="n">
        <v>46104</v>
      </c>
      <c r="D21" t="inlineStr">
        <is>
          <t>ÖSTERGÖTLANDS LÄN</t>
        </is>
      </c>
      <c r="E21" t="inlineStr">
        <is>
          <t>LINKÖPING</t>
        </is>
      </c>
      <c r="G21" t="n">
        <v>4.1</v>
      </c>
      <c r="H21" t="n">
        <v>0</v>
      </c>
      <c r="I21" t="n">
        <v>3</v>
      </c>
      <c r="J21" t="n">
        <v>0</v>
      </c>
      <c r="K21" t="n">
        <v>0</v>
      </c>
      <c r="L21" t="n">
        <v>0</v>
      </c>
      <c r="M21" t="n">
        <v>0</v>
      </c>
      <c r="N21" t="n">
        <v>0</v>
      </c>
      <c r="O21" t="n">
        <v>0</v>
      </c>
      <c r="P21" t="n">
        <v>0</v>
      </c>
      <c r="Q21" t="n">
        <v>3</v>
      </c>
      <c r="R21" s="2" t="inlineStr">
        <is>
          <t>Svart trolldruva
Sårläka
Tibast</t>
        </is>
      </c>
      <c r="S21">
        <f>HYPERLINK("https://klasma.github.io/Logging_0580/artfynd/A 11048-2026 artfynd.xlsx", "A 11048-2026")</f>
        <v/>
      </c>
      <c r="T21">
        <f>HYPERLINK("https://klasma.github.io/Logging_0580/kartor/A 11048-2026 karta.png", "A 11048-2026")</f>
        <v/>
      </c>
      <c r="V21">
        <f>HYPERLINK("https://klasma.github.io/Logging_0580/klagomål/A 11048-2026 FSC-klagomål.docx", "A 11048-2026")</f>
        <v/>
      </c>
      <c r="W21">
        <f>HYPERLINK("https://klasma.github.io/Logging_0580/klagomålsmail/A 11048-2026 FSC-klagomål mail.docx", "A 11048-2026")</f>
        <v/>
      </c>
      <c r="X21">
        <f>HYPERLINK("https://klasma.github.io/Logging_0580/tillsyn/A 11048-2026 tillsynsbegäran.docx", "A 11048-2026")</f>
        <v/>
      </c>
      <c r="Y21">
        <f>HYPERLINK("https://klasma.github.io/Logging_0580/tillsynsmail/A 11048-2026 tillsynsbegäran mail.docx", "A 11048-2026")</f>
        <v/>
      </c>
    </row>
    <row r="22" ht="15" customHeight="1">
      <c r="A22" t="inlineStr">
        <is>
          <t>A 11097-2026</t>
        </is>
      </c>
      <c r="B22" s="1" t="n">
        <v>46079.64511574074</v>
      </c>
      <c r="C22" s="1" t="n">
        <v>46104</v>
      </c>
      <c r="D22" t="inlineStr">
        <is>
          <t>ÖSTERGÖTLANDS LÄN</t>
        </is>
      </c>
      <c r="E22" t="inlineStr">
        <is>
          <t>LINKÖPING</t>
        </is>
      </c>
      <c r="G22" t="n">
        <v>3.7</v>
      </c>
      <c r="H22" t="n">
        <v>0</v>
      </c>
      <c r="I22" t="n">
        <v>1</v>
      </c>
      <c r="J22" t="n">
        <v>2</v>
      </c>
      <c r="K22" t="n">
        <v>0</v>
      </c>
      <c r="L22" t="n">
        <v>0</v>
      </c>
      <c r="M22" t="n">
        <v>0</v>
      </c>
      <c r="N22" t="n">
        <v>0</v>
      </c>
      <c r="O22" t="n">
        <v>2</v>
      </c>
      <c r="P22" t="n">
        <v>0</v>
      </c>
      <c r="Q22" t="n">
        <v>3</v>
      </c>
      <c r="R22" s="2" t="inlineStr">
        <is>
          <t>Bäcksidenmossa
Vedtrappmossa
Trubbfjädermossa</t>
        </is>
      </c>
      <c r="S22">
        <f>HYPERLINK("https://klasma.github.io/Logging_0580/artfynd/A 11097-2026 artfynd.xlsx", "A 11097-2026")</f>
        <v/>
      </c>
      <c r="T22">
        <f>HYPERLINK("https://klasma.github.io/Logging_0580/kartor/A 11097-2026 karta.png", "A 11097-2026")</f>
        <v/>
      </c>
      <c r="V22">
        <f>HYPERLINK("https://klasma.github.io/Logging_0580/klagomål/A 11097-2026 FSC-klagomål.docx", "A 11097-2026")</f>
        <v/>
      </c>
      <c r="W22">
        <f>HYPERLINK("https://klasma.github.io/Logging_0580/klagomålsmail/A 11097-2026 FSC-klagomål mail.docx", "A 11097-2026")</f>
        <v/>
      </c>
      <c r="X22">
        <f>HYPERLINK("https://klasma.github.io/Logging_0580/tillsyn/A 11097-2026 tillsynsbegäran.docx", "A 11097-2026")</f>
        <v/>
      </c>
      <c r="Y22">
        <f>HYPERLINK("https://klasma.github.io/Logging_0580/tillsynsmail/A 11097-2026 tillsynsbegäran mail.docx", "A 11097-2026")</f>
        <v/>
      </c>
    </row>
    <row r="23" ht="15" customHeight="1">
      <c r="A23" t="inlineStr">
        <is>
          <t>A 6353-2026</t>
        </is>
      </c>
      <c r="B23" s="1" t="n">
        <v>46055.61385416667</v>
      </c>
      <c r="C23" s="1" t="n">
        <v>46104</v>
      </c>
      <c r="D23" t="inlineStr">
        <is>
          <t>ÖSTERGÖTLANDS LÄN</t>
        </is>
      </c>
      <c r="E23" t="inlineStr">
        <is>
          <t>LINKÖPING</t>
        </is>
      </c>
      <c r="F23" t="inlineStr">
        <is>
          <t>Övriga Aktiebolag</t>
        </is>
      </c>
      <c r="G23" t="n">
        <v>6.8</v>
      </c>
      <c r="H23" t="n">
        <v>1</v>
      </c>
      <c r="I23" t="n">
        <v>0</v>
      </c>
      <c r="J23" t="n">
        <v>0</v>
      </c>
      <c r="K23" t="n">
        <v>1</v>
      </c>
      <c r="L23" t="n">
        <v>1</v>
      </c>
      <c r="M23" t="n">
        <v>0</v>
      </c>
      <c r="N23" t="n">
        <v>0</v>
      </c>
      <c r="O23" t="n">
        <v>2</v>
      </c>
      <c r="P23" t="n">
        <v>2</v>
      </c>
      <c r="Q23" t="n">
        <v>3</v>
      </c>
      <c r="R23" s="2" t="inlineStr">
        <is>
          <t>Ask
Gulvit blekspik
Gullviva</t>
        </is>
      </c>
      <c r="S23">
        <f>HYPERLINK("https://klasma.github.io/Logging_0580/artfynd/A 6353-2026 artfynd.xlsx", "A 6353-2026")</f>
        <v/>
      </c>
      <c r="T23">
        <f>HYPERLINK("https://klasma.github.io/Logging_0580/kartor/A 6353-2026 karta.png", "A 6353-2026")</f>
        <v/>
      </c>
      <c r="V23">
        <f>HYPERLINK("https://klasma.github.io/Logging_0580/klagomål/A 6353-2026 FSC-klagomål.docx", "A 6353-2026")</f>
        <v/>
      </c>
      <c r="W23">
        <f>HYPERLINK("https://klasma.github.io/Logging_0580/klagomålsmail/A 6353-2026 FSC-klagomål mail.docx", "A 6353-2026")</f>
        <v/>
      </c>
      <c r="X23">
        <f>HYPERLINK("https://klasma.github.io/Logging_0580/tillsyn/A 6353-2026 tillsynsbegäran.docx", "A 6353-2026")</f>
        <v/>
      </c>
      <c r="Y23">
        <f>HYPERLINK("https://klasma.github.io/Logging_0580/tillsynsmail/A 6353-2026 tillsynsbegäran mail.docx", "A 6353-2026")</f>
        <v/>
      </c>
    </row>
    <row r="24" ht="15" customHeight="1">
      <c r="A24" t="inlineStr">
        <is>
          <t>A 38913-2023</t>
        </is>
      </c>
      <c r="B24" s="1" t="n">
        <v>45163</v>
      </c>
      <c r="C24" s="1" t="n">
        <v>46104</v>
      </c>
      <c r="D24" t="inlineStr">
        <is>
          <t>ÖSTERGÖTLANDS LÄN</t>
        </is>
      </c>
      <c r="E24" t="inlineStr">
        <is>
          <t>LINKÖPING</t>
        </is>
      </c>
      <c r="G24" t="n">
        <v>2.7</v>
      </c>
      <c r="H24" t="n">
        <v>2</v>
      </c>
      <c r="I24" t="n">
        <v>1</v>
      </c>
      <c r="J24" t="n">
        <v>0</v>
      </c>
      <c r="K24" t="n">
        <v>0</v>
      </c>
      <c r="L24" t="n">
        <v>0</v>
      </c>
      <c r="M24" t="n">
        <v>0</v>
      </c>
      <c r="N24" t="n">
        <v>0</v>
      </c>
      <c r="O24" t="n">
        <v>0</v>
      </c>
      <c r="P24" t="n">
        <v>0</v>
      </c>
      <c r="Q24" t="n">
        <v>3</v>
      </c>
      <c r="R24" s="2" t="inlineStr">
        <is>
          <t>Skogsbräsma
Dubbelnycklar
Revlummer</t>
        </is>
      </c>
      <c r="S24">
        <f>HYPERLINK("https://klasma.github.io/Logging_0580/artfynd/A 38913-2023 artfynd.xlsx", "A 38913-2023")</f>
        <v/>
      </c>
      <c r="T24">
        <f>HYPERLINK("https://klasma.github.io/Logging_0580/kartor/A 38913-2023 karta.png", "A 38913-2023")</f>
        <v/>
      </c>
      <c r="V24">
        <f>HYPERLINK("https://klasma.github.io/Logging_0580/klagomål/A 38913-2023 FSC-klagomål.docx", "A 38913-2023")</f>
        <v/>
      </c>
      <c r="W24">
        <f>HYPERLINK("https://klasma.github.io/Logging_0580/klagomålsmail/A 38913-2023 FSC-klagomål mail.docx", "A 38913-2023")</f>
        <v/>
      </c>
      <c r="X24">
        <f>HYPERLINK("https://klasma.github.io/Logging_0580/tillsyn/A 38913-2023 tillsynsbegäran.docx", "A 38913-2023")</f>
        <v/>
      </c>
      <c r="Y24">
        <f>HYPERLINK("https://klasma.github.io/Logging_0580/tillsynsmail/A 38913-2023 tillsynsbegäran mail.docx", "A 38913-2023")</f>
        <v/>
      </c>
    </row>
    <row r="25" ht="15" customHeight="1">
      <c r="A25" t="inlineStr">
        <is>
          <t>A 55341-2024</t>
        </is>
      </c>
      <c r="B25" s="1" t="n">
        <v>45621.71255787037</v>
      </c>
      <c r="C25" s="1" t="n">
        <v>46104</v>
      </c>
      <c r="D25" t="inlineStr">
        <is>
          <t>ÖSTERGÖTLANDS LÄN</t>
        </is>
      </c>
      <c r="E25" t="inlineStr">
        <is>
          <t>LINKÖPING</t>
        </is>
      </c>
      <c r="G25" t="n">
        <v>4.3</v>
      </c>
      <c r="H25" t="n">
        <v>0</v>
      </c>
      <c r="I25" t="n">
        <v>2</v>
      </c>
      <c r="J25" t="n">
        <v>0</v>
      </c>
      <c r="K25" t="n">
        <v>1</v>
      </c>
      <c r="L25" t="n">
        <v>0</v>
      </c>
      <c r="M25" t="n">
        <v>0</v>
      </c>
      <c r="N25" t="n">
        <v>0</v>
      </c>
      <c r="O25" t="n">
        <v>1</v>
      </c>
      <c r="P25" t="n">
        <v>1</v>
      </c>
      <c r="Q25" t="n">
        <v>3</v>
      </c>
      <c r="R25" s="2" t="inlineStr">
        <is>
          <t>Rynkskinn
Barkticka
Smal svampklubba</t>
        </is>
      </c>
      <c r="S25">
        <f>HYPERLINK("https://klasma.github.io/Logging_0580/artfynd/A 55341-2024 artfynd.xlsx", "A 55341-2024")</f>
        <v/>
      </c>
      <c r="T25">
        <f>HYPERLINK("https://klasma.github.io/Logging_0580/kartor/A 55341-2024 karta.png", "A 55341-2024")</f>
        <v/>
      </c>
      <c r="V25">
        <f>HYPERLINK("https://klasma.github.io/Logging_0580/klagomål/A 55341-2024 FSC-klagomål.docx", "A 55341-2024")</f>
        <v/>
      </c>
      <c r="W25">
        <f>HYPERLINK("https://klasma.github.io/Logging_0580/klagomålsmail/A 55341-2024 FSC-klagomål mail.docx", "A 55341-2024")</f>
        <v/>
      </c>
      <c r="X25">
        <f>HYPERLINK("https://klasma.github.io/Logging_0580/tillsyn/A 55341-2024 tillsynsbegäran.docx", "A 55341-2024")</f>
        <v/>
      </c>
      <c r="Y25">
        <f>HYPERLINK("https://klasma.github.io/Logging_0580/tillsynsmail/A 55341-2024 tillsynsbegäran mail.docx", "A 55341-2024")</f>
        <v/>
      </c>
    </row>
    <row r="26" ht="15" customHeight="1">
      <c r="A26" t="inlineStr">
        <is>
          <t>A 38137-2021</t>
        </is>
      </c>
      <c r="B26" s="1" t="n">
        <v>44405.38357638889</v>
      </c>
      <c r="C26" s="1" t="n">
        <v>46104</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46104</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27981-2022</t>
        </is>
      </c>
      <c r="B28" s="1" t="n">
        <v>44745</v>
      </c>
      <c r="C28" s="1" t="n">
        <v>46104</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58068-2021</t>
        </is>
      </c>
      <c r="B29" s="1" t="n">
        <v>44487</v>
      </c>
      <c r="C29" s="1" t="n">
        <v>46104</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50404-2023</t>
        </is>
      </c>
      <c r="B30" s="1" t="n">
        <v>45216</v>
      </c>
      <c r="C30" s="1" t="n">
        <v>46104</v>
      </c>
      <c r="D30" t="inlineStr">
        <is>
          <t>ÖSTERGÖTLANDS LÄN</t>
        </is>
      </c>
      <c r="E30" t="inlineStr">
        <is>
          <t>LINKÖPING</t>
        </is>
      </c>
      <c r="G30" t="n">
        <v>1.2</v>
      </c>
      <c r="H30" t="n">
        <v>1</v>
      </c>
      <c r="I30" t="n">
        <v>1</v>
      </c>
      <c r="J30" t="n">
        <v>0</v>
      </c>
      <c r="K30" t="n">
        <v>0</v>
      </c>
      <c r="L30" t="n">
        <v>0</v>
      </c>
      <c r="M30" t="n">
        <v>0</v>
      </c>
      <c r="N30" t="n">
        <v>0</v>
      </c>
      <c r="O30" t="n">
        <v>0</v>
      </c>
      <c r="P30" t="n">
        <v>0</v>
      </c>
      <c r="Q30" t="n">
        <v>2</v>
      </c>
      <c r="R30" s="2" t="inlineStr">
        <is>
          <t>Hasselticka
Gullviva</t>
        </is>
      </c>
      <c r="S30">
        <f>HYPERLINK("https://klasma.github.io/Logging_0580/artfynd/A 50404-2023 artfynd.xlsx", "A 50404-2023")</f>
        <v/>
      </c>
      <c r="T30">
        <f>HYPERLINK("https://klasma.github.io/Logging_0580/kartor/A 50404-2023 karta.png", "A 50404-2023")</f>
        <v/>
      </c>
      <c r="V30">
        <f>HYPERLINK("https://klasma.github.io/Logging_0580/klagomål/A 50404-2023 FSC-klagomål.docx", "A 50404-2023")</f>
        <v/>
      </c>
      <c r="W30">
        <f>HYPERLINK("https://klasma.github.io/Logging_0580/klagomålsmail/A 50404-2023 FSC-klagomål mail.docx", "A 50404-2023")</f>
        <v/>
      </c>
      <c r="X30">
        <f>HYPERLINK("https://klasma.github.io/Logging_0580/tillsyn/A 50404-2023 tillsynsbegäran.docx", "A 50404-2023")</f>
        <v/>
      </c>
      <c r="Y30">
        <f>HYPERLINK("https://klasma.github.io/Logging_0580/tillsynsmail/A 50404-2023 tillsynsbegäran mail.docx", "A 50404-2023")</f>
        <v/>
      </c>
    </row>
    <row r="31" ht="15" customHeight="1">
      <c r="A31" t="inlineStr">
        <is>
          <t>A 14879-2024</t>
        </is>
      </c>
      <c r="B31" s="1" t="n">
        <v>45398</v>
      </c>
      <c r="C31" s="1" t="n">
        <v>46104</v>
      </c>
      <c r="D31" t="inlineStr">
        <is>
          <t>ÖSTERGÖTLANDS LÄN</t>
        </is>
      </c>
      <c r="E31" t="inlineStr">
        <is>
          <t>LINKÖPING</t>
        </is>
      </c>
      <c r="F31" t="inlineStr">
        <is>
          <t>Övriga Aktiebolag</t>
        </is>
      </c>
      <c r="G31" t="n">
        <v>1.7</v>
      </c>
      <c r="H31" t="n">
        <v>1</v>
      </c>
      <c r="I31" t="n">
        <v>1</v>
      </c>
      <c r="J31" t="n">
        <v>0</v>
      </c>
      <c r="K31" t="n">
        <v>0</v>
      </c>
      <c r="L31" t="n">
        <v>0</v>
      </c>
      <c r="M31" t="n">
        <v>0</v>
      </c>
      <c r="N31" t="n">
        <v>0</v>
      </c>
      <c r="O31" t="n">
        <v>0</v>
      </c>
      <c r="P31" t="n">
        <v>0</v>
      </c>
      <c r="Q31" t="n">
        <v>2</v>
      </c>
      <c r="R31" s="2" t="inlineStr">
        <is>
          <t>Svart trolldruva
Grönvit nattviol</t>
        </is>
      </c>
      <c r="S31">
        <f>HYPERLINK("https://klasma.github.io/Logging_0580/artfynd/A 14879-2024 artfynd.xlsx", "A 14879-2024")</f>
        <v/>
      </c>
      <c r="T31">
        <f>HYPERLINK("https://klasma.github.io/Logging_0580/kartor/A 14879-2024 karta.png", "A 14879-2024")</f>
        <v/>
      </c>
      <c r="V31">
        <f>HYPERLINK("https://klasma.github.io/Logging_0580/klagomål/A 14879-2024 FSC-klagomål.docx", "A 14879-2024")</f>
        <v/>
      </c>
      <c r="W31">
        <f>HYPERLINK("https://klasma.github.io/Logging_0580/klagomålsmail/A 14879-2024 FSC-klagomål mail.docx", "A 14879-2024")</f>
        <v/>
      </c>
      <c r="X31">
        <f>HYPERLINK("https://klasma.github.io/Logging_0580/tillsyn/A 14879-2024 tillsynsbegäran.docx", "A 14879-2024")</f>
        <v/>
      </c>
      <c r="Y31">
        <f>HYPERLINK("https://klasma.github.io/Logging_0580/tillsynsmail/A 14879-2024 tillsynsbegäran mail.docx", "A 14879-2024")</f>
        <v/>
      </c>
    </row>
    <row r="32" ht="15" customHeight="1">
      <c r="A32" t="inlineStr">
        <is>
          <t>A 8818-2025</t>
        </is>
      </c>
      <c r="B32" s="1" t="n">
        <v>45712</v>
      </c>
      <c r="C32" s="1" t="n">
        <v>46104</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50048-2025</t>
        </is>
      </c>
      <c r="B33" s="1" t="n">
        <v>45941</v>
      </c>
      <c r="C33" s="1" t="n">
        <v>46104</v>
      </c>
      <c r="D33" t="inlineStr">
        <is>
          <t>ÖSTERGÖTLANDS LÄN</t>
        </is>
      </c>
      <c r="E33" t="inlineStr">
        <is>
          <t>LINKÖPING</t>
        </is>
      </c>
      <c r="G33" t="n">
        <v>2.4</v>
      </c>
      <c r="H33" t="n">
        <v>2</v>
      </c>
      <c r="I33" t="n">
        <v>0</v>
      </c>
      <c r="J33" t="n">
        <v>1</v>
      </c>
      <c r="K33" t="n">
        <v>0</v>
      </c>
      <c r="L33" t="n">
        <v>0</v>
      </c>
      <c r="M33" t="n">
        <v>0</v>
      </c>
      <c r="N33" t="n">
        <v>0</v>
      </c>
      <c r="O33" t="n">
        <v>1</v>
      </c>
      <c r="P33" t="n">
        <v>0</v>
      </c>
      <c r="Q33" t="n">
        <v>2</v>
      </c>
      <c r="R33" s="2" t="inlineStr">
        <is>
          <t>Gulsparv
Trädlärka</t>
        </is>
      </c>
      <c r="S33">
        <f>HYPERLINK("https://klasma.github.io/Logging_0580/artfynd/A 50048-2025 artfynd.xlsx", "A 50048-2025")</f>
        <v/>
      </c>
      <c r="T33">
        <f>HYPERLINK("https://klasma.github.io/Logging_0580/kartor/A 50048-2025 karta.png", "A 50048-2025")</f>
        <v/>
      </c>
      <c r="V33">
        <f>HYPERLINK("https://klasma.github.io/Logging_0580/klagomål/A 50048-2025 FSC-klagomål.docx", "A 50048-2025")</f>
        <v/>
      </c>
      <c r="W33">
        <f>HYPERLINK("https://klasma.github.io/Logging_0580/klagomålsmail/A 50048-2025 FSC-klagomål mail.docx", "A 50048-2025")</f>
        <v/>
      </c>
      <c r="X33">
        <f>HYPERLINK("https://klasma.github.io/Logging_0580/tillsyn/A 50048-2025 tillsynsbegäran.docx", "A 50048-2025")</f>
        <v/>
      </c>
      <c r="Y33">
        <f>HYPERLINK("https://klasma.github.io/Logging_0580/tillsynsmail/A 50048-2025 tillsynsbegäran mail.docx", "A 50048-2025")</f>
        <v/>
      </c>
      <c r="Z33">
        <f>HYPERLINK("https://klasma.github.io/Logging_0580/fåglar/A 50048-2025 prioriterade fågelarter.docx", "A 50048-2025")</f>
        <v/>
      </c>
    </row>
    <row r="34" ht="15" customHeight="1">
      <c r="A34" t="inlineStr">
        <is>
          <t>A 3912-2026</t>
        </is>
      </c>
      <c r="B34" s="1" t="n">
        <v>46043.71958333333</v>
      </c>
      <c r="C34" s="1" t="n">
        <v>46104</v>
      </c>
      <c r="D34" t="inlineStr">
        <is>
          <t>ÖSTERGÖTLANDS LÄN</t>
        </is>
      </c>
      <c r="E34" t="inlineStr">
        <is>
          <t>LINKÖPING</t>
        </is>
      </c>
      <c r="F34" t="inlineStr">
        <is>
          <t>Kyrkan</t>
        </is>
      </c>
      <c r="G34" t="n">
        <v>6.8</v>
      </c>
      <c r="H34" t="n">
        <v>1</v>
      </c>
      <c r="I34" t="n">
        <v>1</v>
      </c>
      <c r="J34" t="n">
        <v>0</v>
      </c>
      <c r="K34" t="n">
        <v>1</v>
      </c>
      <c r="L34" t="n">
        <v>0</v>
      </c>
      <c r="M34" t="n">
        <v>0</v>
      </c>
      <c r="N34" t="n">
        <v>0</v>
      </c>
      <c r="O34" t="n">
        <v>1</v>
      </c>
      <c r="P34" t="n">
        <v>1</v>
      </c>
      <c r="Q34" t="n">
        <v>2</v>
      </c>
      <c r="R34" s="2" t="inlineStr">
        <is>
          <t>Knärot
Grönpyrola</t>
        </is>
      </c>
      <c r="S34">
        <f>HYPERLINK("https://klasma.github.io/Logging_0580/artfynd/A 3912-2026 artfynd.xlsx", "A 3912-2026")</f>
        <v/>
      </c>
      <c r="T34">
        <f>HYPERLINK("https://klasma.github.io/Logging_0580/kartor/A 3912-2026 karta.png", "A 3912-2026")</f>
        <v/>
      </c>
      <c r="U34">
        <f>HYPERLINK("https://klasma.github.io/Logging_0580/knärot/A 3912-2026 karta knärot.png", "A 3912-2026")</f>
        <v/>
      </c>
      <c r="V34">
        <f>HYPERLINK("https://klasma.github.io/Logging_0580/klagomål/A 3912-2026 FSC-klagomål.docx", "A 3912-2026")</f>
        <v/>
      </c>
      <c r="W34">
        <f>HYPERLINK("https://klasma.github.io/Logging_0580/klagomålsmail/A 3912-2026 FSC-klagomål mail.docx", "A 3912-2026")</f>
        <v/>
      </c>
      <c r="X34">
        <f>HYPERLINK("https://klasma.github.io/Logging_0580/tillsyn/A 3912-2026 tillsynsbegäran.docx", "A 3912-2026")</f>
        <v/>
      </c>
      <c r="Y34">
        <f>HYPERLINK("https://klasma.github.io/Logging_0580/tillsynsmail/A 3912-2026 tillsynsbegäran mail.docx", "A 3912-2026")</f>
        <v/>
      </c>
    </row>
    <row r="35" ht="15" customHeight="1">
      <c r="A35" t="inlineStr">
        <is>
          <t>A 12494-2026</t>
        </is>
      </c>
      <c r="B35" s="1" t="n">
        <v>46090.56896990741</v>
      </c>
      <c r="C35" s="1" t="n">
        <v>46104</v>
      </c>
      <c r="D35" t="inlineStr">
        <is>
          <t>ÖSTERGÖTLANDS LÄN</t>
        </is>
      </c>
      <c r="E35" t="inlineStr">
        <is>
          <t>LINKÖPING</t>
        </is>
      </c>
      <c r="G35" t="n">
        <v>3.4</v>
      </c>
      <c r="H35" t="n">
        <v>0</v>
      </c>
      <c r="I35" t="n">
        <v>0</v>
      </c>
      <c r="J35" t="n">
        <v>1</v>
      </c>
      <c r="K35" t="n">
        <v>1</v>
      </c>
      <c r="L35" t="n">
        <v>0</v>
      </c>
      <c r="M35" t="n">
        <v>0</v>
      </c>
      <c r="N35" t="n">
        <v>0</v>
      </c>
      <c r="O35" t="n">
        <v>2</v>
      </c>
      <c r="P35" t="n">
        <v>1</v>
      </c>
      <c r="Q35" t="n">
        <v>2</v>
      </c>
      <c r="R35" s="2" t="inlineStr">
        <is>
          <t>Slåttergubbe
Svinrot</t>
        </is>
      </c>
      <c r="S35">
        <f>HYPERLINK("https://klasma.github.io/Logging_0580/artfynd/A 12494-2026 artfynd.xlsx", "A 12494-2026")</f>
        <v/>
      </c>
      <c r="T35">
        <f>HYPERLINK("https://klasma.github.io/Logging_0580/kartor/A 12494-2026 karta.png", "A 12494-2026")</f>
        <v/>
      </c>
      <c r="V35">
        <f>HYPERLINK("https://klasma.github.io/Logging_0580/klagomål/A 12494-2026 FSC-klagomål.docx", "A 12494-2026")</f>
        <v/>
      </c>
      <c r="W35">
        <f>HYPERLINK("https://klasma.github.io/Logging_0580/klagomålsmail/A 12494-2026 FSC-klagomål mail.docx", "A 12494-2026")</f>
        <v/>
      </c>
      <c r="X35">
        <f>HYPERLINK("https://klasma.github.io/Logging_0580/tillsyn/A 12494-2026 tillsynsbegäran.docx", "A 12494-2026")</f>
        <v/>
      </c>
      <c r="Y35">
        <f>HYPERLINK("https://klasma.github.io/Logging_0580/tillsynsmail/A 12494-2026 tillsynsbegäran mail.docx", "A 12494-2026")</f>
        <v/>
      </c>
    </row>
    <row r="36" ht="15" customHeight="1">
      <c r="A36" t="inlineStr">
        <is>
          <t>A 58068-2021</t>
        </is>
      </c>
      <c r="B36" s="1" t="n">
        <v>44487</v>
      </c>
      <c r="C36" s="1" t="n">
        <v>46104</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27795-2025</t>
        </is>
      </c>
      <c r="B37" s="1" t="n">
        <v>45816.7908912037</v>
      </c>
      <c r="C37" s="1" t="n">
        <v>46104</v>
      </c>
      <c r="D37" t="inlineStr">
        <is>
          <t>ÖSTERGÖTLANDS LÄN</t>
        </is>
      </c>
      <c r="E37" t="inlineStr">
        <is>
          <t>LINKÖPING</t>
        </is>
      </c>
      <c r="G37" t="n">
        <v>5</v>
      </c>
      <c r="H37" t="n">
        <v>0</v>
      </c>
      <c r="I37" t="n">
        <v>0</v>
      </c>
      <c r="J37" t="n">
        <v>2</v>
      </c>
      <c r="K37" t="n">
        <v>0</v>
      </c>
      <c r="L37" t="n">
        <v>0</v>
      </c>
      <c r="M37" t="n">
        <v>0</v>
      </c>
      <c r="N37" t="n">
        <v>0</v>
      </c>
      <c r="O37" t="n">
        <v>2</v>
      </c>
      <c r="P37" t="n">
        <v>0</v>
      </c>
      <c r="Q37" t="n">
        <v>2</v>
      </c>
      <c r="R37" s="2" t="inlineStr">
        <is>
          <t>Svinrot
Ängsskära</t>
        </is>
      </c>
      <c r="S37">
        <f>HYPERLINK("https://klasma.github.io/Logging_0580/artfynd/A 27795-2025 artfynd.xlsx", "A 27795-2025")</f>
        <v/>
      </c>
      <c r="T37">
        <f>HYPERLINK("https://klasma.github.io/Logging_0580/kartor/A 27795-2025 karta.png", "A 27795-2025")</f>
        <v/>
      </c>
      <c r="V37">
        <f>HYPERLINK("https://klasma.github.io/Logging_0580/klagomål/A 27795-2025 FSC-klagomål.docx", "A 27795-2025")</f>
        <v/>
      </c>
      <c r="W37">
        <f>HYPERLINK("https://klasma.github.io/Logging_0580/klagomålsmail/A 27795-2025 FSC-klagomål mail.docx", "A 27795-2025")</f>
        <v/>
      </c>
      <c r="X37">
        <f>HYPERLINK("https://klasma.github.io/Logging_0580/tillsyn/A 27795-2025 tillsynsbegäran.docx", "A 27795-2025")</f>
        <v/>
      </c>
      <c r="Y37">
        <f>HYPERLINK("https://klasma.github.io/Logging_0580/tillsynsmail/A 27795-2025 tillsynsbegäran mail.docx", "A 27795-2025")</f>
        <v/>
      </c>
    </row>
    <row r="38" ht="15" customHeight="1">
      <c r="A38" t="inlineStr">
        <is>
          <t>A 22040-2023</t>
        </is>
      </c>
      <c r="B38" s="1" t="n">
        <v>45068</v>
      </c>
      <c r="C38" s="1" t="n">
        <v>46104</v>
      </c>
      <c r="D38" t="inlineStr">
        <is>
          <t>ÖSTERGÖTLANDS LÄN</t>
        </is>
      </c>
      <c r="E38" t="inlineStr">
        <is>
          <t>LINKÖPING</t>
        </is>
      </c>
      <c r="F38" t="inlineStr">
        <is>
          <t>Kommuner</t>
        </is>
      </c>
      <c r="G38" t="n">
        <v>1</v>
      </c>
      <c r="H38" t="n">
        <v>1</v>
      </c>
      <c r="I38" t="n">
        <v>1</v>
      </c>
      <c r="J38" t="n">
        <v>0</v>
      </c>
      <c r="K38" t="n">
        <v>1</v>
      </c>
      <c r="L38" t="n">
        <v>0</v>
      </c>
      <c r="M38" t="n">
        <v>0</v>
      </c>
      <c r="N38" t="n">
        <v>0</v>
      </c>
      <c r="O38" t="n">
        <v>1</v>
      </c>
      <c r="P38" t="n">
        <v>1</v>
      </c>
      <c r="Q38" t="n">
        <v>2</v>
      </c>
      <c r="R38" s="2" t="inlineStr">
        <is>
          <t>Bombmurkla
Skarp dropptaggsvamp</t>
        </is>
      </c>
      <c r="S38">
        <f>HYPERLINK("https://klasma.github.io/Logging_0580/artfynd/A 22040-2023 artfynd.xlsx", "A 22040-2023")</f>
        <v/>
      </c>
      <c r="T38">
        <f>HYPERLINK("https://klasma.github.io/Logging_0580/kartor/A 22040-2023 karta.png", "A 22040-2023")</f>
        <v/>
      </c>
      <c r="V38">
        <f>HYPERLINK("https://klasma.github.io/Logging_0580/klagomål/A 22040-2023 FSC-klagomål.docx", "A 22040-2023")</f>
        <v/>
      </c>
      <c r="W38">
        <f>HYPERLINK("https://klasma.github.io/Logging_0580/klagomålsmail/A 22040-2023 FSC-klagomål mail.docx", "A 22040-2023")</f>
        <v/>
      </c>
      <c r="X38">
        <f>HYPERLINK("https://klasma.github.io/Logging_0580/tillsyn/A 22040-2023 tillsynsbegäran.docx", "A 22040-2023")</f>
        <v/>
      </c>
      <c r="Y38">
        <f>HYPERLINK("https://klasma.github.io/Logging_0580/tillsynsmail/A 22040-2023 tillsynsbegäran mail.docx", "A 22040-2023")</f>
        <v/>
      </c>
    </row>
    <row r="39" ht="15" customHeight="1">
      <c r="A39" t="inlineStr">
        <is>
          <t>A 49188-2024</t>
        </is>
      </c>
      <c r="B39" s="1" t="n">
        <v>45595</v>
      </c>
      <c r="C39" s="1" t="n">
        <v>46104</v>
      </c>
      <c r="D39" t="inlineStr">
        <is>
          <t>ÖSTERGÖTLANDS LÄN</t>
        </is>
      </c>
      <c r="E39" t="inlineStr">
        <is>
          <t>LINKÖPING</t>
        </is>
      </c>
      <c r="G39" t="n">
        <v>3.1</v>
      </c>
      <c r="H39" t="n">
        <v>0</v>
      </c>
      <c r="I39" t="n">
        <v>0</v>
      </c>
      <c r="J39" t="n">
        <v>0</v>
      </c>
      <c r="K39" t="n">
        <v>0</v>
      </c>
      <c r="L39" t="n">
        <v>1</v>
      </c>
      <c r="M39" t="n">
        <v>1</v>
      </c>
      <c r="N39" t="n">
        <v>0</v>
      </c>
      <c r="O39" t="n">
        <v>2</v>
      </c>
      <c r="P39" t="n">
        <v>2</v>
      </c>
      <c r="Q39" t="n">
        <v>2</v>
      </c>
      <c r="R39" s="2" t="inlineStr">
        <is>
          <t>Skogsalm
Ask</t>
        </is>
      </c>
      <c r="S39">
        <f>HYPERLINK("https://klasma.github.io/Logging_0580/artfynd/A 49188-2024 artfynd.xlsx", "A 49188-2024")</f>
        <v/>
      </c>
      <c r="T39">
        <f>HYPERLINK("https://klasma.github.io/Logging_0580/kartor/A 49188-2024 karta.png", "A 49188-2024")</f>
        <v/>
      </c>
      <c r="V39">
        <f>HYPERLINK("https://klasma.github.io/Logging_0580/klagomål/A 49188-2024 FSC-klagomål.docx", "A 49188-2024")</f>
        <v/>
      </c>
      <c r="W39">
        <f>HYPERLINK("https://klasma.github.io/Logging_0580/klagomålsmail/A 49188-2024 FSC-klagomål mail.docx", "A 49188-2024")</f>
        <v/>
      </c>
      <c r="X39">
        <f>HYPERLINK("https://klasma.github.io/Logging_0580/tillsyn/A 49188-2024 tillsynsbegäran.docx", "A 49188-2024")</f>
        <v/>
      </c>
      <c r="Y39">
        <f>HYPERLINK("https://klasma.github.io/Logging_0580/tillsynsmail/A 49188-2024 tillsynsbegäran mail.docx", "A 49188-2024")</f>
        <v/>
      </c>
    </row>
    <row r="40" ht="15" customHeight="1">
      <c r="A40" t="inlineStr">
        <is>
          <t>A 11613-2025</t>
        </is>
      </c>
      <c r="B40" s="1" t="n">
        <v>45727.44623842592</v>
      </c>
      <c r="C40" s="1" t="n">
        <v>46104</v>
      </c>
      <c r="D40" t="inlineStr">
        <is>
          <t>ÖSTERGÖTLANDS LÄN</t>
        </is>
      </c>
      <c r="E40" t="inlineStr">
        <is>
          <t>LINKÖPING</t>
        </is>
      </c>
      <c r="G40" t="n">
        <v>5.7</v>
      </c>
      <c r="H40" t="n">
        <v>1</v>
      </c>
      <c r="I40" t="n">
        <v>1</v>
      </c>
      <c r="J40" t="n">
        <v>0</v>
      </c>
      <c r="K40" t="n">
        <v>1</v>
      </c>
      <c r="L40" t="n">
        <v>0</v>
      </c>
      <c r="M40" t="n">
        <v>0</v>
      </c>
      <c r="N40" t="n">
        <v>0</v>
      </c>
      <c r="O40" t="n">
        <v>1</v>
      </c>
      <c r="P40" t="n">
        <v>1</v>
      </c>
      <c r="Q40" t="n">
        <v>2</v>
      </c>
      <c r="R40" s="2" t="inlineStr">
        <is>
          <t>Knärot
Grönpyrola</t>
        </is>
      </c>
      <c r="S40">
        <f>HYPERLINK("https://klasma.github.io/Logging_0580/artfynd/A 11613-2025 artfynd.xlsx", "A 11613-2025")</f>
        <v/>
      </c>
      <c r="T40">
        <f>HYPERLINK("https://klasma.github.io/Logging_0580/kartor/A 11613-2025 karta.png", "A 11613-2025")</f>
        <v/>
      </c>
      <c r="U40">
        <f>HYPERLINK("https://klasma.github.io/Logging_0580/knärot/A 11613-2025 karta knärot.png", "A 11613-2025")</f>
        <v/>
      </c>
      <c r="V40">
        <f>HYPERLINK("https://klasma.github.io/Logging_0580/klagomål/A 11613-2025 FSC-klagomål.docx", "A 11613-2025")</f>
        <v/>
      </c>
      <c r="W40">
        <f>HYPERLINK("https://klasma.github.io/Logging_0580/klagomålsmail/A 11613-2025 FSC-klagomål mail.docx", "A 11613-2025")</f>
        <v/>
      </c>
      <c r="X40">
        <f>HYPERLINK("https://klasma.github.io/Logging_0580/tillsyn/A 11613-2025 tillsynsbegäran.docx", "A 11613-2025")</f>
        <v/>
      </c>
      <c r="Y40">
        <f>HYPERLINK("https://klasma.github.io/Logging_0580/tillsynsmail/A 11613-2025 tillsynsbegäran mail.docx", "A 11613-2025")</f>
        <v/>
      </c>
    </row>
    <row r="41" ht="15" customHeight="1">
      <c r="A41" t="inlineStr">
        <is>
          <t>A 25985-2025</t>
        </is>
      </c>
      <c r="B41" s="1" t="n">
        <v>45804.64479166667</v>
      </c>
      <c r="C41" s="1" t="n">
        <v>46104</v>
      </c>
      <c r="D41" t="inlineStr">
        <is>
          <t>ÖSTERGÖTLANDS LÄN</t>
        </is>
      </c>
      <c r="E41" t="inlineStr">
        <is>
          <t>LINKÖPING</t>
        </is>
      </c>
      <c r="G41" t="n">
        <v>4.5</v>
      </c>
      <c r="H41" t="n">
        <v>2</v>
      </c>
      <c r="I41" t="n">
        <v>0</v>
      </c>
      <c r="J41" t="n">
        <v>1</v>
      </c>
      <c r="K41" t="n">
        <v>0</v>
      </c>
      <c r="L41" t="n">
        <v>0</v>
      </c>
      <c r="M41" t="n">
        <v>0</v>
      </c>
      <c r="N41" t="n">
        <v>0</v>
      </c>
      <c r="O41" t="n">
        <v>1</v>
      </c>
      <c r="P41" t="n">
        <v>0</v>
      </c>
      <c r="Q41" t="n">
        <v>2</v>
      </c>
      <c r="R41" s="2" t="inlineStr">
        <is>
          <t>Spillkråka
Revlummer</t>
        </is>
      </c>
      <c r="S41">
        <f>HYPERLINK("https://klasma.github.io/Logging_0580/artfynd/A 25985-2025 artfynd.xlsx", "A 25985-2025")</f>
        <v/>
      </c>
      <c r="T41">
        <f>HYPERLINK("https://klasma.github.io/Logging_0580/kartor/A 25985-2025 karta.png", "A 25985-2025")</f>
        <v/>
      </c>
      <c r="V41">
        <f>HYPERLINK("https://klasma.github.io/Logging_0580/klagomål/A 25985-2025 FSC-klagomål.docx", "A 25985-2025")</f>
        <v/>
      </c>
      <c r="W41">
        <f>HYPERLINK("https://klasma.github.io/Logging_0580/klagomålsmail/A 25985-2025 FSC-klagomål mail.docx", "A 25985-2025")</f>
        <v/>
      </c>
      <c r="X41">
        <f>HYPERLINK("https://klasma.github.io/Logging_0580/tillsyn/A 25985-2025 tillsynsbegäran.docx", "A 25985-2025")</f>
        <v/>
      </c>
      <c r="Y41">
        <f>HYPERLINK("https://klasma.github.io/Logging_0580/tillsynsmail/A 25985-2025 tillsynsbegäran mail.docx", "A 25985-2025")</f>
        <v/>
      </c>
      <c r="Z41">
        <f>HYPERLINK("https://klasma.github.io/Logging_0580/fåglar/A 25985-2025 prioriterade fågelarter.docx", "A 25985-2025")</f>
        <v/>
      </c>
    </row>
    <row r="42" ht="15" customHeight="1">
      <c r="A42" t="inlineStr">
        <is>
          <t>A 20292-2025</t>
        </is>
      </c>
      <c r="B42" s="1" t="n">
        <v>45774.7449537037</v>
      </c>
      <c r="C42" s="1" t="n">
        <v>46104</v>
      </c>
      <c r="D42" t="inlineStr">
        <is>
          <t>ÖSTERGÖTLANDS LÄN</t>
        </is>
      </c>
      <c r="E42" t="inlineStr">
        <is>
          <t>LINKÖPING</t>
        </is>
      </c>
      <c r="G42" t="n">
        <v>8.4</v>
      </c>
      <c r="H42" t="n">
        <v>1</v>
      </c>
      <c r="I42" t="n">
        <v>1</v>
      </c>
      <c r="J42" t="n">
        <v>0</v>
      </c>
      <c r="K42" t="n">
        <v>0</v>
      </c>
      <c r="L42" t="n">
        <v>0</v>
      </c>
      <c r="M42" t="n">
        <v>0</v>
      </c>
      <c r="N42" t="n">
        <v>0</v>
      </c>
      <c r="O42" t="n">
        <v>0</v>
      </c>
      <c r="P42" t="n">
        <v>0</v>
      </c>
      <c r="Q42" t="n">
        <v>2</v>
      </c>
      <c r="R42" s="2" t="inlineStr">
        <is>
          <t>Blåmossa
Blåsippa</t>
        </is>
      </c>
      <c r="S42">
        <f>HYPERLINK("https://klasma.github.io/Logging_0580/artfynd/A 20292-2025 artfynd.xlsx", "A 20292-2025")</f>
        <v/>
      </c>
      <c r="T42">
        <f>HYPERLINK("https://klasma.github.io/Logging_0580/kartor/A 20292-2025 karta.png", "A 20292-2025")</f>
        <v/>
      </c>
      <c r="V42">
        <f>HYPERLINK("https://klasma.github.io/Logging_0580/klagomål/A 20292-2025 FSC-klagomål.docx", "A 20292-2025")</f>
        <v/>
      </c>
      <c r="W42">
        <f>HYPERLINK("https://klasma.github.io/Logging_0580/klagomålsmail/A 20292-2025 FSC-klagomål mail.docx", "A 20292-2025")</f>
        <v/>
      </c>
      <c r="X42">
        <f>HYPERLINK("https://klasma.github.io/Logging_0580/tillsyn/A 20292-2025 tillsynsbegäran.docx", "A 20292-2025")</f>
        <v/>
      </c>
      <c r="Y42">
        <f>HYPERLINK("https://klasma.github.io/Logging_0580/tillsynsmail/A 20292-2025 tillsynsbegäran mail.docx", "A 20292-2025")</f>
        <v/>
      </c>
    </row>
    <row r="43" ht="15" customHeight="1">
      <c r="A43" t="inlineStr">
        <is>
          <t>A 20297-2025</t>
        </is>
      </c>
      <c r="B43" s="1" t="n">
        <v>45774.74971064815</v>
      </c>
      <c r="C43" s="1" t="n">
        <v>46104</v>
      </c>
      <c r="D43" t="inlineStr">
        <is>
          <t>ÖSTERGÖTLANDS LÄN</t>
        </is>
      </c>
      <c r="E43" t="inlineStr">
        <is>
          <t>LINKÖPING</t>
        </is>
      </c>
      <c r="G43" t="n">
        <v>1.5</v>
      </c>
      <c r="H43" t="n">
        <v>1</v>
      </c>
      <c r="I43" t="n">
        <v>1</v>
      </c>
      <c r="J43" t="n">
        <v>0</v>
      </c>
      <c r="K43" t="n">
        <v>0</v>
      </c>
      <c r="L43" t="n">
        <v>0</v>
      </c>
      <c r="M43" t="n">
        <v>0</v>
      </c>
      <c r="N43" t="n">
        <v>0</v>
      </c>
      <c r="O43" t="n">
        <v>0</v>
      </c>
      <c r="P43" t="n">
        <v>0</v>
      </c>
      <c r="Q43" t="n">
        <v>2</v>
      </c>
      <c r="R43" s="2" t="inlineStr">
        <is>
          <t>Blanksvart trämyra
Blåsippa</t>
        </is>
      </c>
      <c r="S43">
        <f>HYPERLINK("https://klasma.github.io/Logging_0580/artfynd/A 20297-2025 artfynd.xlsx", "A 20297-2025")</f>
        <v/>
      </c>
      <c r="T43">
        <f>HYPERLINK("https://klasma.github.io/Logging_0580/kartor/A 20297-2025 karta.png", "A 20297-2025")</f>
        <v/>
      </c>
      <c r="V43">
        <f>HYPERLINK("https://klasma.github.io/Logging_0580/klagomål/A 20297-2025 FSC-klagomål.docx", "A 20297-2025")</f>
        <v/>
      </c>
      <c r="W43">
        <f>HYPERLINK("https://klasma.github.io/Logging_0580/klagomålsmail/A 20297-2025 FSC-klagomål mail.docx", "A 20297-2025")</f>
        <v/>
      </c>
      <c r="X43">
        <f>HYPERLINK("https://klasma.github.io/Logging_0580/tillsyn/A 20297-2025 tillsynsbegäran.docx", "A 20297-2025")</f>
        <v/>
      </c>
      <c r="Y43">
        <f>HYPERLINK("https://klasma.github.io/Logging_0580/tillsynsmail/A 20297-2025 tillsynsbegäran mail.docx", "A 20297-2025")</f>
        <v/>
      </c>
    </row>
    <row r="44" ht="15" customHeight="1">
      <c r="A44" t="inlineStr">
        <is>
          <t>A 41751-2023</t>
        </is>
      </c>
      <c r="B44" s="1" t="n">
        <v>45176</v>
      </c>
      <c r="C44" s="1" t="n">
        <v>46104</v>
      </c>
      <c r="D44" t="inlineStr">
        <is>
          <t>ÖSTERGÖTLANDS LÄN</t>
        </is>
      </c>
      <c r="E44" t="inlineStr">
        <is>
          <t>LINKÖPING</t>
        </is>
      </c>
      <c r="G44" t="n">
        <v>1.5</v>
      </c>
      <c r="H44" t="n">
        <v>1</v>
      </c>
      <c r="I44" t="n">
        <v>0</v>
      </c>
      <c r="J44" t="n">
        <v>1</v>
      </c>
      <c r="K44" t="n">
        <v>0</v>
      </c>
      <c r="L44" t="n">
        <v>0</v>
      </c>
      <c r="M44" t="n">
        <v>0</v>
      </c>
      <c r="N44" t="n">
        <v>0</v>
      </c>
      <c r="O44" t="n">
        <v>1</v>
      </c>
      <c r="P44" t="n">
        <v>0</v>
      </c>
      <c r="Q44" t="n">
        <v>2</v>
      </c>
      <c r="R44" s="2" t="inlineStr">
        <is>
          <t>Svinrot
Grönvit nattviol</t>
        </is>
      </c>
      <c r="S44">
        <f>HYPERLINK("https://klasma.github.io/Logging_0580/artfynd/A 41751-2023 artfynd.xlsx", "A 41751-2023")</f>
        <v/>
      </c>
      <c r="T44">
        <f>HYPERLINK("https://klasma.github.io/Logging_0580/kartor/A 41751-2023 karta.png", "A 41751-2023")</f>
        <v/>
      </c>
      <c r="V44">
        <f>HYPERLINK("https://klasma.github.io/Logging_0580/klagomål/A 41751-2023 FSC-klagomål.docx", "A 41751-2023")</f>
        <v/>
      </c>
      <c r="W44">
        <f>HYPERLINK("https://klasma.github.io/Logging_0580/klagomålsmail/A 41751-2023 FSC-klagomål mail.docx", "A 41751-2023")</f>
        <v/>
      </c>
      <c r="X44">
        <f>HYPERLINK("https://klasma.github.io/Logging_0580/tillsyn/A 41751-2023 tillsynsbegäran.docx", "A 41751-2023")</f>
        <v/>
      </c>
      <c r="Y44">
        <f>HYPERLINK("https://klasma.github.io/Logging_0580/tillsynsmail/A 41751-2023 tillsynsbegäran mail.docx", "A 41751-2023")</f>
        <v/>
      </c>
    </row>
    <row r="45" ht="15" customHeight="1">
      <c r="A45" t="inlineStr">
        <is>
          <t>A 42858-2023</t>
        </is>
      </c>
      <c r="B45" s="1" t="n">
        <v>45177</v>
      </c>
      <c r="C45" s="1" t="n">
        <v>46104</v>
      </c>
      <c r="D45" t="inlineStr">
        <is>
          <t>ÖSTERGÖTLANDS LÄN</t>
        </is>
      </c>
      <c r="E45" t="inlineStr">
        <is>
          <t>LINKÖPING</t>
        </is>
      </c>
      <c r="G45" t="n">
        <v>5.3</v>
      </c>
      <c r="H45" t="n">
        <v>1</v>
      </c>
      <c r="I45" t="n">
        <v>0</v>
      </c>
      <c r="J45" t="n">
        <v>1</v>
      </c>
      <c r="K45" t="n">
        <v>0</v>
      </c>
      <c r="L45" t="n">
        <v>0</v>
      </c>
      <c r="M45" t="n">
        <v>0</v>
      </c>
      <c r="N45" t="n">
        <v>0</v>
      </c>
      <c r="O45" t="n">
        <v>1</v>
      </c>
      <c r="P45" t="n">
        <v>0</v>
      </c>
      <c r="Q45" t="n">
        <v>2</v>
      </c>
      <c r="R45" s="2" t="inlineStr">
        <is>
          <t>Svinrot
Skogsödla</t>
        </is>
      </c>
      <c r="S45">
        <f>HYPERLINK("https://klasma.github.io/Logging_0580/artfynd/A 42858-2023 artfynd.xlsx", "A 42858-2023")</f>
        <v/>
      </c>
      <c r="T45">
        <f>HYPERLINK("https://klasma.github.io/Logging_0580/kartor/A 42858-2023 karta.png", "A 42858-2023")</f>
        <v/>
      </c>
      <c r="V45">
        <f>HYPERLINK("https://klasma.github.io/Logging_0580/klagomål/A 42858-2023 FSC-klagomål.docx", "A 42858-2023")</f>
        <v/>
      </c>
      <c r="W45">
        <f>HYPERLINK("https://klasma.github.io/Logging_0580/klagomålsmail/A 42858-2023 FSC-klagomål mail.docx", "A 42858-2023")</f>
        <v/>
      </c>
      <c r="X45">
        <f>HYPERLINK("https://klasma.github.io/Logging_0580/tillsyn/A 42858-2023 tillsynsbegäran.docx", "A 42858-2023")</f>
        <v/>
      </c>
      <c r="Y45">
        <f>HYPERLINK("https://klasma.github.io/Logging_0580/tillsynsmail/A 42858-2023 tillsynsbegäran mail.docx", "A 42858-2023")</f>
        <v/>
      </c>
    </row>
    <row r="46" ht="15" customHeight="1">
      <c r="A46" t="inlineStr">
        <is>
          <t>A 55344-2024</t>
        </is>
      </c>
      <c r="B46" s="1" t="n">
        <v>45621.7202662037</v>
      </c>
      <c r="C46" s="1" t="n">
        <v>46104</v>
      </c>
      <c r="D46" t="inlineStr">
        <is>
          <t>ÖSTERGÖTLANDS LÄN</t>
        </is>
      </c>
      <c r="E46" t="inlineStr">
        <is>
          <t>LINKÖPING</t>
        </is>
      </c>
      <c r="G46" t="n">
        <v>6.6</v>
      </c>
      <c r="H46" t="n">
        <v>0</v>
      </c>
      <c r="I46" t="n">
        <v>0</v>
      </c>
      <c r="J46" t="n">
        <v>2</v>
      </c>
      <c r="K46" t="n">
        <v>0</v>
      </c>
      <c r="L46" t="n">
        <v>0</v>
      </c>
      <c r="M46" t="n">
        <v>0</v>
      </c>
      <c r="N46" t="n">
        <v>0</v>
      </c>
      <c r="O46" t="n">
        <v>2</v>
      </c>
      <c r="P46" t="n">
        <v>0</v>
      </c>
      <c r="Q46" t="n">
        <v>2</v>
      </c>
      <c r="R46" s="2" t="inlineStr">
        <is>
          <t>Kandelabersvamp
Stjärnnästing</t>
        </is>
      </c>
      <c r="S46">
        <f>HYPERLINK("https://klasma.github.io/Logging_0580/artfynd/A 55344-2024 artfynd.xlsx", "A 55344-2024")</f>
        <v/>
      </c>
      <c r="T46">
        <f>HYPERLINK("https://klasma.github.io/Logging_0580/kartor/A 55344-2024 karta.png", "A 55344-2024")</f>
        <v/>
      </c>
      <c r="V46">
        <f>HYPERLINK("https://klasma.github.io/Logging_0580/klagomål/A 55344-2024 FSC-klagomål.docx", "A 55344-2024")</f>
        <v/>
      </c>
      <c r="W46">
        <f>HYPERLINK("https://klasma.github.io/Logging_0580/klagomålsmail/A 55344-2024 FSC-klagomål mail.docx", "A 55344-2024")</f>
        <v/>
      </c>
      <c r="X46">
        <f>HYPERLINK("https://klasma.github.io/Logging_0580/tillsyn/A 55344-2024 tillsynsbegäran.docx", "A 55344-2024")</f>
        <v/>
      </c>
      <c r="Y46">
        <f>HYPERLINK("https://klasma.github.io/Logging_0580/tillsynsmail/A 55344-2024 tillsynsbegäran mail.docx", "A 55344-2024")</f>
        <v/>
      </c>
    </row>
    <row r="47" ht="15" customHeight="1">
      <c r="A47" t="inlineStr">
        <is>
          <t>A 21326-2025</t>
        </is>
      </c>
      <c r="B47" s="1" t="n">
        <v>45782.35407407407</v>
      </c>
      <c r="C47" s="1" t="n">
        <v>46104</v>
      </c>
      <c r="D47" t="inlineStr">
        <is>
          <t>ÖSTERGÖTLANDS LÄN</t>
        </is>
      </c>
      <c r="E47" t="inlineStr">
        <is>
          <t>LINKÖPING</t>
        </is>
      </c>
      <c r="G47" t="n">
        <v>4.9</v>
      </c>
      <c r="H47" t="n">
        <v>2</v>
      </c>
      <c r="I47" t="n">
        <v>0</v>
      </c>
      <c r="J47" t="n">
        <v>0</v>
      </c>
      <c r="K47" t="n">
        <v>0</v>
      </c>
      <c r="L47" t="n">
        <v>0</v>
      </c>
      <c r="M47" t="n">
        <v>0</v>
      </c>
      <c r="N47" t="n">
        <v>0</v>
      </c>
      <c r="O47" t="n">
        <v>0</v>
      </c>
      <c r="P47" t="n">
        <v>0</v>
      </c>
      <c r="Q47" t="n">
        <v>2</v>
      </c>
      <c r="R47" s="2" t="inlineStr">
        <is>
          <t>Blåsippa
Revlummer</t>
        </is>
      </c>
      <c r="S47">
        <f>HYPERLINK("https://klasma.github.io/Logging_0580/artfynd/A 21326-2025 artfynd.xlsx", "A 21326-2025")</f>
        <v/>
      </c>
      <c r="T47">
        <f>HYPERLINK("https://klasma.github.io/Logging_0580/kartor/A 21326-2025 karta.png", "A 21326-2025")</f>
        <v/>
      </c>
      <c r="V47">
        <f>HYPERLINK("https://klasma.github.io/Logging_0580/klagomål/A 21326-2025 FSC-klagomål.docx", "A 21326-2025")</f>
        <v/>
      </c>
      <c r="W47">
        <f>HYPERLINK("https://klasma.github.io/Logging_0580/klagomålsmail/A 21326-2025 FSC-klagomål mail.docx", "A 21326-2025")</f>
        <v/>
      </c>
      <c r="X47">
        <f>HYPERLINK("https://klasma.github.io/Logging_0580/tillsyn/A 21326-2025 tillsynsbegäran.docx", "A 21326-2025")</f>
        <v/>
      </c>
      <c r="Y47">
        <f>HYPERLINK("https://klasma.github.io/Logging_0580/tillsynsmail/A 21326-2025 tillsynsbegäran mail.docx", "A 21326-2025")</f>
        <v/>
      </c>
    </row>
    <row r="48" ht="15" customHeight="1">
      <c r="A48" t="inlineStr">
        <is>
          <t>A 38129-2021</t>
        </is>
      </c>
      <c r="B48" s="1" t="n">
        <v>44405.37199074074</v>
      </c>
      <c r="C48" s="1" t="n">
        <v>46104</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Spillkråka</t>
        </is>
      </c>
      <c r="S48">
        <f>HYPERLINK("https://klasma.github.io/Logging_0580/artfynd/A 38129-2021 artfynd.xlsx", "A 38129-2021")</f>
        <v/>
      </c>
      <c r="T48">
        <f>HYPERLINK("https://klasma.github.io/Logging_0580/kartor/A 38129-2021 karta.png", "A 38129-2021")</f>
        <v/>
      </c>
      <c r="V48">
        <f>HYPERLINK("https://klasma.github.io/Logging_0580/klagomål/A 38129-2021 FSC-klagomål.docx", "A 38129-2021")</f>
        <v/>
      </c>
      <c r="W48">
        <f>HYPERLINK("https://klasma.github.io/Logging_0580/klagomålsmail/A 38129-2021 FSC-klagomål mail.docx", "A 38129-2021")</f>
        <v/>
      </c>
      <c r="X48">
        <f>HYPERLINK("https://klasma.github.io/Logging_0580/tillsyn/A 38129-2021 tillsynsbegäran.docx", "A 38129-2021")</f>
        <v/>
      </c>
      <c r="Y48">
        <f>HYPERLINK("https://klasma.github.io/Logging_0580/tillsynsmail/A 38129-2021 tillsynsbegäran mail.docx", "A 38129-2021")</f>
        <v/>
      </c>
      <c r="Z48">
        <f>HYPERLINK("https://klasma.github.io/Logging_0580/fåglar/A 38129-2021 prioriterade fågelarter.docx", "A 38129-2021")</f>
        <v/>
      </c>
    </row>
    <row r="49" ht="15" customHeight="1">
      <c r="A49" t="inlineStr">
        <is>
          <t>A 14096-2021</t>
        </is>
      </c>
      <c r="B49" s="1" t="n">
        <v>44278</v>
      </c>
      <c r="C49" s="1" t="n">
        <v>46104</v>
      </c>
      <c r="D49" t="inlineStr">
        <is>
          <t>ÖSTERGÖTLANDS LÄN</t>
        </is>
      </c>
      <c r="E49" t="inlineStr">
        <is>
          <t>LINKÖPING</t>
        </is>
      </c>
      <c r="G49" t="n">
        <v>1.7</v>
      </c>
      <c r="H49" t="n">
        <v>0</v>
      </c>
      <c r="I49" t="n">
        <v>0</v>
      </c>
      <c r="J49" t="n">
        <v>1</v>
      </c>
      <c r="K49" t="n">
        <v>0</v>
      </c>
      <c r="L49" t="n">
        <v>0</v>
      </c>
      <c r="M49" t="n">
        <v>0</v>
      </c>
      <c r="N49" t="n">
        <v>0</v>
      </c>
      <c r="O49" t="n">
        <v>1</v>
      </c>
      <c r="P49" t="n">
        <v>0</v>
      </c>
      <c r="Q49" t="n">
        <v>1</v>
      </c>
      <c r="R49" s="2" t="inlineStr">
        <is>
          <t>Vedtrappmossa</t>
        </is>
      </c>
      <c r="S49">
        <f>HYPERLINK("https://klasma.github.io/Logging_0580/artfynd/A 14096-2021 artfynd.xlsx", "A 14096-2021")</f>
        <v/>
      </c>
      <c r="T49">
        <f>HYPERLINK("https://klasma.github.io/Logging_0580/kartor/A 14096-2021 karta.png", "A 14096-2021")</f>
        <v/>
      </c>
      <c r="V49">
        <f>HYPERLINK("https://klasma.github.io/Logging_0580/klagomål/A 14096-2021 FSC-klagomål.docx", "A 14096-2021")</f>
        <v/>
      </c>
      <c r="W49">
        <f>HYPERLINK("https://klasma.github.io/Logging_0580/klagomålsmail/A 14096-2021 FSC-klagomål mail.docx", "A 14096-2021")</f>
        <v/>
      </c>
      <c r="X49">
        <f>HYPERLINK("https://klasma.github.io/Logging_0580/tillsyn/A 14096-2021 tillsynsbegäran.docx", "A 14096-2021")</f>
        <v/>
      </c>
      <c r="Y49">
        <f>HYPERLINK("https://klasma.github.io/Logging_0580/tillsynsmail/A 14096-2021 tillsynsbegäran mail.docx", "A 14096-2021")</f>
        <v/>
      </c>
    </row>
    <row r="50" ht="15" customHeight="1">
      <c r="A50" t="inlineStr">
        <is>
          <t>A 17513-2022</t>
        </is>
      </c>
      <c r="B50" s="1" t="n">
        <v>44679</v>
      </c>
      <c r="C50" s="1" t="n">
        <v>46104</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43017-2021</t>
        </is>
      </c>
      <c r="B51" s="1" t="n">
        <v>44431</v>
      </c>
      <c r="C51" s="1" t="n">
        <v>46104</v>
      </c>
      <c r="D51" t="inlineStr">
        <is>
          <t>ÖSTERGÖTLANDS LÄN</t>
        </is>
      </c>
      <c r="E51" t="inlineStr">
        <is>
          <t>LINKÖPING</t>
        </is>
      </c>
      <c r="G51" t="n">
        <v>0.9</v>
      </c>
      <c r="H51" t="n">
        <v>0</v>
      </c>
      <c r="I51" t="n">
        <v>0</v>
      </c>
      <c r="J51" t="n">
        <v>1</v>
      </c>
      <c r="K51" t="n">
        <v>0</v>
      </c>
      <c r="L51" t="n">
        <v>0</v>
      </c>
      <c r="M51" t="n">
        <v>0</v>
      </c>
      <c r="N51" t="n">
        <v>0</v>
      </c>
      <c r="O51" t="n">
        <v>1</v>
      </c>
      <c r="P51" t="n">
        <v>0</v>
      </c>
      <c r="Q51" t="n">
        <v>1</v>
      </c>
      <c r="R51" s="2" t="inlineStr">
        <is>
          <t>Apelsinticka</t>
        </is>
      </c>
      <c r="S51">
        <f>HYPERLINK("https://klasma.github.io/Logging_0580/artfynd/A 43017-2021 artfynd.xlsx", "A 43017-2021")</f>
        <v/>
      </c>
      <c r="T51">
        <f>HYPERLINK("https://klasma.github.io/Logging_0580/kartor/A 43017-2021 karta.png", "A 43017-2021")</f>
        <v/>
      </c>
      <c r="V51">
        <f>HYPERLINK("https://klasma.github.io/Logging_0580/klagomål/A 43017-2021 FSC-klagomål.docx", "A 43017-2021")</f>
        <v/>
      </c>
      <c r="W51">
        <f>HYPERLINK("https://klasma.github.io/Logging_0580/klagomålsmail/A 43017-2021 FSC-klagomål mail.docx", "A 43017-2021")</f>
        <v/>
      </c>
      <c r="X51">
        <f>HYPERLINK("https://klasma.github.io/Logging_0580/tillsyn/A 43017-2021 tillsynsbegäran.docx", "A 43017-2021")</f>
        <v/>
      </c>
      <c r="Y51">
        <f>HYPERLINK("https://klasma.github.io/Logging_0580/tillsynsmail/A 43017-2021 tillsynsbegäran mail.docx", "A 43017-2021")</f>
        <v/>
      </c>
    </row>
    <row r="52" ht="15" customHeight="1">
      <c r="A52" t="inlineStr">
        <is>
          <t>A 46496-2022</t>
        </is>
      </c>
      <c r="B52" s="1" t="n">
        <v>44848</v>
      </c>
      <c r="C52" s="1" t="n">
        <v>46104</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56250-2021</t>
        </is>
      </c>
      <c r="B53" s="1" t="n">
        <v>44479</v>
      </c>
      <c r="C53" s="1" t="n">
        <v>46104</v>
      </c>
      <c r="D53" t="inlineStr">
        <is>
          <t>ÖSTERGÖTLANDS LÄN</t>
        </is>
      </c>
      <c r="E53" t="inlineStr">
        <is>
          <t>LINKÖPING</t>
        </is>
      </c>
      <c r="F53" t="inlineStr">
        <is>
          <t>Övriga Aktiebolag</t>
        </is>
      </c>
      <c r="G53" t="n">
        <v>3.2</v>
      </c>
      <c r="H53" t="n">
        <v>0</v>
      </c>
      <c r="I53" t="n">
        <v>1</v>
      </c>
      <c r="J53" t="n">
        <v>0</v>
      </c>
      <c r="K53" t="n">
        <v>0</v>
      </c>
      <c r="L53" t="n">
        <v>0</v>
      </c>
      <c r="M53" t="n">
        <v>0</v>
      </c>
      <c r="N53" t="n">
        <v>0</v>
      </c>
      <c r="O53" t="n">
        <v>0</v>
      </c>
      <c r="P53" t="n">
        <v>0</v>
      </c>
      <c r="Q53" t="n">
        <v>1</v>
      </c>
      <c r="R53" s="2" t="inlineStr">
        <is>
          <t>Strutbräken</t>
        </is>
      </c>
      <c r="S53">
        <f>HYPERLINK("https://klasma.github.io/Logging_0580/artfynd/A 56250-2021 artfynd.xlsx", "A 56250-2021")</f>
        <v/>
      </c>
      <c r="T53">
        <f>HYPERLINK("https://klasma.github.io/Logging_0580/kartor/A 56250-2021 karta.png", "A 56250-2021")</f>
        <v/>
      </c>
      <c r="V53">
        <f>HYPERLINK("https://klasma.github.io/Logging_0580/klagomål/A 56250-2021 FSC-klagomål.docx", "A 56250-2021")</f>
        <v/>
      </c>
      <c r="W53">
        <f>HYPERLINK("https://klasma.github.io/Logging_0580/klagomålsmail/A 56250-2021 FSC-klagomål mail.docx", "A 56250-2021")</f>
        <v/>
      </c>
      <c r="X53">
        <f>HYPERLINK("https://klasma.github.io/Logging_0580/tillsyn/A 56250-2021 tillsynsbegäran.docx", "A 56250-2021")</f>
        <v/>
      </c>
      <c r="Y53">
        <f>HYPERLINK("https://klasma.github.io/Logging_0580/tillsynsmail/A 56250-2021 tillsynsbegäran mail.docx", "A 56250-2021")</f>
        <v/>
      </c>
    </row>
    <row r="54" ht="15" customHeight="1">
      <c r="A54" t="inlineStr">
        <is>
          <t>A 71127-2021</t>
        </is>
      </c>
      <c r="B54" s="1" t="n">
        <v>44537</v>
      </c>
      <c r="C54" s="1" t="n">
        <v>46104</v>
      </c>
      <c r="D54" t="inlineStr">
        <is>
          <t>ÖSTERGÖTLANDS LÄN</t>
        </is>
      </c>
      <c r="E54" t="inlineStr">
        <is>
          <t>LINKÖPING</t>
        </is>
      </c>
      <c r="F54" t="inlineStr">
        <is>
          <t>Kommuner</t>
        </is>
      </c>
      <c r="G54" t="n">
        <v>7.2</v>
      </c>
      <c r="H54" t="n">
        <v>0</v>
      </c>
      <c r="I54" t="n">
        <v>0</v>
      </c>
      <c r="J54" t="n">
        <v>1</v>
      </c>
      <c r="K54" t="n">
        <v>0</v>
      </c>
      <c r="L54" t="n">
        <v>0</v>
      </c>
      <c r="M54" t="n">
        <v>0</v>
      </c>
      <c r="N54" t="n">
        <v>0</v>
      </c>
      <c r="O54" t="n">
        <v>1</v>
      </c>
      <c r="P54" t="n">
        <v>0</v>
      </c>
      <c r="Q54" t="n">
        <v>1</v>
      </c>
      <c r="R54" s="2" t="inlineStr">
        <is>
          <t>Svinrot</t>
        </is>
      </c>
      <c r="S54">
        <f>HYPERLINK("https://klasma.github.io/Logging_0580/artfynd/A 71127-2021 artfynd.xlsx", "A 71127-2021")</f>
        <v/>
      </c>
      <c r="T54">
        <f>HYPERLINK("https://klasma.github.io/Logging_0580/kartor/A 71127-2021 karta.png", "A 71127-2021")</f>
        <v/>
      </c>
      <c r="V54">
        <f>HYPERLINK("https://klasma.github.io/Logging_0580/klagomål/A 71127-2021 FSC-klagomål.docx", "A 71127-2021")</f>
        <v/>
      </c>
      <c r="W54">
        <f>HYPERLINK("https://klasma.github.io/Logging_0580/klagomålsmail/A 71127-2021 FSC-klagomål mail.docx", "A 71127-2021")</f>
        <v/>
      </c>
      <c r="X54">
        <f>HYPERLINK("https://klasma.github.io/Logging_0580/tillsyn/A 71127-2021 tillsynsbegäran.docx", "A 71127-2021")</f>
        <v/>
      </c>
      <c r="Y54">
        <f>HYPERLINK("https://klasma.github.io/Logging_0580/tillsynsmail/A 71127-2021 tillsynsbegäran mail.docx", "A 71127-2021")</f>
        <v/>
      </c>
    </row>
    <row r="55" ht="15" customHeight="1">
      <c r="A55" t="inlineStr">
        <is>
          <t>A 931-2025</t>
        </is>
      </c>
      <c r="B55" s="1" t="n">
        <v>45665.88498842593</v>
      </c>
      <c r="C55" s="1" t="n">
        <v>46104</v>
      </c>
      <c r="D55" t="inlineStr">
        <is>
          <t>ÖSTERGÖTLANDS LÄN</t>
        </is>
      </c>
      <c r="E55" t="inlineStr">
        <is>
          <t>LINKÖPING</t>
        </is>
      </c>
      <c r="F55" t="inlineStr">
        <is>
          <t>Övriga Aktiebolag</t>
        </is>
      </c>
      <c r="G55" t="n">
        <v>0.8</v>
      </c>
      <c r="H55" t="n">
        <v>0</v>
      </c>
      <c r="I55" t="n">
        <v>0</v>
      </c>
      <c r="J55" t="n">
        <v>1</v>
      </c>
      <c r="K55" t="n">
        <v>0</v>
      </c>
      <c r="L55" t="n">
        <v>0</v>
      </c>
      <c r="M55" t="n">
        <v>0</v>
      </c>
      <c r="N55" t="n">
        <v>0</v>
      </c>
      <c r="O55" t="n">
        <v>1</v>
      </c>
      <c r="P55" t="n">
        <v>0</v>
      </c>
      <c r="Q55" t="n">
        <v>1</v>
      </c>
      <c r="R55" s="2" t="inlineStr">
        <is>
          <t>Tallticka</t>
        </is>
      </c>
      <c r="S55">
        <f>HYPERLINK("https://klasma.github.io/Logging_0580/artfynd/A 931-2025 artfynd.xlsx", "A 931-2025")</f>
        <v/>
      </c>
      <c r="T55">
        <f>HYPERLINK("https://klasma.github.io/Logging_0580/kartor/A 931-2025 karta.png", "A 931-2025")</f>
        <v/>
      </c>
      <c r="V55">
        <f>HYPERLINK("https://klasma.github.io/Logging_0580/klagomål/A 931-2025 FSC-klagomål.docx", "A 931-2025")</f>
        <v/>
      </c>
      <c r="W55">
        <f>HYPERLINK("https://klasma.github.io/Logging_0580/klagomålsmail/A 931-2025 FSC-klagomål mail.docx", "A 931-2025")</f>
        <v/>
      </c>
      <c r="X55">
        <f>HYPERLINK("https://klasma.github.io/Logging_0580/tillsyn/A 931-2025 tillsynsbegäran.docx", "A 931-2025")</f>
        <v/>
      </c>
      <c r="Y55">
        <f>HYPERLINK("https://klasma.github.io/Logging_0580/tillsynsmail/A 931-2025 tillsynsbegäran mail.docx", "A 931-2025")</f>
        <v/>
      </c>
    </row>
    <row r="56" ht="15" customHeight="1">
      <c r="A56" t="inlineStr">
        <is>
          <t>A 1716-2023</t>
        </is>
      </c>
      <c r="B56" s="1" t="n">
        <v>44938</v>
      </c>
      <c r="C56" s="1" t="n">
        <v>46104</v>
      </c>
      <c r="D56" t="inlineStr">
        <is>
          <t>ÖSTERGÖTLANDS LÄN</t>
        </is>
      </c>
      <c r="E56" t="inlineStr">
        <is>
          <t>LINKÖPING</t>
        </is>
      </c>
      <c r="G56" t="n">
        <v>3.6</v>
      </c>
      <c r="H56" t="n">
        <v>0</v>
      </c>
      <c r="I56" t="n">
        <v>0</v>
      </c>
      <c r="J56" t="n">
        <v>1</v>
      </c>
      <c r="K56" t="n">
        <v>0</v>
      </c>
      <c r="L56" t="n">
        <v>0</v>
      </c>
      <c r="M56" t="n">
        <v>0</v>
      </c>
      <c r="N56" t="n">
        <v>0</v>
      </c>
      <c r="O56" t="n">
        <v>1</v>
      </c>
      <c r="P56" t="n">
        <v>0</v>
      </c>
      <c r="Q56" t="n">
        <v>1</v>
      </c>
      <c r="R56" s="2" t="inlineStr">
        <is>
          <t>Svinrot</t>
        </is>
      </c>
      <c r="S56">
        <f>HYPERLINK("https://klasma.github.io/Logging_0580/artfynd/A 1716-2023 artfynd.xlsx", "A 1716-2023")</f>
        <v/>
      </c>
      <c r="T56">
        <f>HYPERLINK("https://klasma.github.io/Logging_0580/kartor/A 1716-2023 karta.png", "A 1716-2023")</f>
        <v/>
      </c>
      <c r="V56">
        <f>HYPERLINK("https://klasma.github.io/Logging_0580/klagomål/A 1716-2023 FSC-klagomål.docx", "A 1716-2023")</f>
        <v/>
      </c>
      <c r="W56">
        <f>HYPERLINK("https://klasma.github.io/Logging_0580/klagomålsmail/A 1716-2023 FSC-klagomål mail.docx", "A 1716-2023")</f>
        <v/>
      </c>
      <c r="X56">
        <f>HYPERLINK("https://klasma.github.io/Logging_0580/tillsyn/A 1716-2023 tillsynsbegäran.docx", "A 1716-2023")</f>
        <v/>
      </c>
      <c r="Y56">
        <f>HYPERLINK("https://klasma.github.io/Logging_0580/tillsynsmail/A 1716-2023 tillsynsbegäran mail.docx", "A 1716-2023")</f>
        <v/>
      </c>
    </row>
    <row r="57" ht="15" customHeight="1">
      <c r="A57" t="inlineStr">
        <is>
          <t>A 1213-2023</t>
        </is>
      </c>
      <c r="B57" s="1" t="n">
        <v>44930</v>
      </c>
      <c r="C57" s="1" t="n">
        <v>46104</v>
      </c>
      <c r="D57" t="inlineStr">
        <is>
          <t>ÖSTERGÖTLANDS LÄN</t>
        </is>
      </c>
      <c r="E57" t="inlineStr">
        <is>
          <t>LINKÖPING</t>
        </is>
      </c>
      <c r="F57" t="inlineStr">
        <is>
          <t>Övriga statliga verk och myndigheter</t>
        </is>
      </c>
      <c r="G57" t="n">
        <v>17.8</v>
      </c>
      <c r="H57" t="n">
        <v>0</v>
      </c>
      <c r="I57" t="n">
        <v>1</v>
      </c>
      <c r="J57" t="n">
        <v>0</v>
      </c>
      <c r="K57" t="n">
        <v>0</v>
      </c>
      <c r="L57" t="n">
        <v>0</v>
      </c>
      <c r="M57" t="n">
        <v>0</v>
      </c>
      <c r="N57" t="n">
        <v>0</v>
      </c>
      <c r="O57" t="n">
        <v>0</v>
      </c>
      <c r="P57" t="n">
        <v>0</v>
      </c>
      <c r="Q57" t="n">
        <v>1</v>
      </c>
      <c r="R57" s="2" t="inlineStr">
        <is>
          <t>Stubbspretmossa</t>
        </is>
      </c>
      <c r="S57">
        <f>HYPERLINK("https://klasma.github.io/Logging_0580/artfynd/A 1213-2023 artfynd.xlsx", "A 1213-2023")</f>
        <v/>
      </c>
      <c r="T57">
        <f>HYPERLINK("https://klasma.github.io/Logging_0580/kartor/A 1213-2023 karta.png", "A 1213-2023")</f>
        <v/>
      </c>
      <c r="V57">
        <f>HYPERLINK("https://klasma.github.io/Logging_0580/klagomål/A 1213-2023 FSC-klagomål.docx", "A 1213-2023")</f>
        <v/>
      </c>
      <c r="W57">
        <f>HYPERLINK("https://klasma.github.io/Logging_0580/klagomålsmail/A 1213-2023 FSC-klagomål mail.docx", "A 1213-2023")</f>
        <v/>
      </c>
      <c r="X57">
        <f>HYPERLINK("https://klasma.github.io/Logging_0580/tillsyn/A 1213-2023 tillsynsbegäran.docx", "A 1213-2023")</f>
        <v/>
      </c>
      <c r="Y57">
        <f>HYPERLINK("https://klasma.github.io/Logging_0580/tillsynsmail/A 1213-2023 tillsynsbegäran mail.docx", "A 1213-2023")</f>
        <v/>
      </c>
    </row>
    <row r="58" ht="15" customHeight="1">
      <c r="A58" t="inlineStr">
        <is>
          <t>A 45317-2023</t>
        </is>
      </c>
      <c r="B58" s="1" t="n">
        <v>45191.74868055555</v>
      </c>
      <c r="C58" s="1" t="n">
        <v>46104</v>
      </c>
      <c r="D58" t="inlineStr">
        <is>
          <t>ÖSTERGÖTLANDS LÄN</t>
        </is>
      </c>
      <c r="E58" t="inlineStr">
        <is>
          <t>LINKÖPING</t>
        </is>
      </c>
      <c r="F58" t="inlineStr">
        <is>
          <t>Allmännings- och besparingsskogar</t>
        </is>
      </c>
      <c r="G58" t="n">
        <v>29.3</v>
      </c>
      <c r="H58" t="n">
        <v>0</v>
      </c>
      <c r="I58" t="n">
        <v>0</v>
      </c>
      <c r="J58" t="n">
        <v>1</v>
      </c>
      <c r="K58" t="n">
        <v>0</v>
      </c>
      <c r="L58" t="n">
        <v>0</v>
      </c>
      <c r="M58" t="n">
        <v>0</v>
      </c>
      <c r="N58" t="n">
        <v>0</v>
      </c>
      <c r="O58" t="n">
        <v>1</v>
      </c>
      <c r="P58" t="n">
        <v>0</v>
      </c>
      <c r="Q58" t="n">
        <v>1</v>
      </c>
      <c r="R58" s="2" t="inlineStr">
        <is>
          <t>Svinrot</t>
        </is>
      </c>
      <c r="S58">
        <f>HYPERLINK("https://klasma.github.io/Logging_0580/artfynd/A 45317-2023 artfynd.xlsx", "A 45317-2023")</f>
        <v/>
      </c>
      <c r="T58">
        <f>HYPERLINK("https://klasma.github.io/Logging_0580/kartor/A 45317-2023 karta.png", "A 45317-2023")</f>
        <v/>
      </c>
      <c r="V58">
        <f>HYPERLINK("https://klasma.github.io/Logging_0580/klagomål/A 45317-2023 FSC-klagomål.docx", "A 45317-2023")</f>
        <v/>
      </c>
      <c r="W58">
        <f>HYPERLINK("https://klasma.github.io/Logging_0580/klagomålsmail/A 45317-2023 FSC-klagomål mail.docx", "A 45317-2023")</f>
        <v/>
      </c>
      <c r="X58">
        <f>HYPERLINK("https://klasma.github.io/Logging_0580/tillsyn/A 45317-2023 tillsynsbegäran.docx", "A 45317-2023")</f>
        <v/>
      </c>
      <c r="Y58">
        <f>HYPERLINK("https://klasma.github.io/Logging_0580/tillsynsmail/A 45317-2023 tillsynsbegäran mail.docx", "A 45317-2023")</f>
        <v/>
      </c>
    </row>
    <row r="59" ht="15" customHeight="1">
      <c r="A59" t="inlineStr">
        <is>
          <t>A 41749-2023</t>
        </is>
      </c>
      <c r="B59" s="1" t="n">
        <v>45176</v>
      </c>
      <c r="C59" s="1" t="n">
        <v>46104</v>
      </c>
      <c r="D59" t="inlineStr">
        <is>
          <t>ÖSTERGÖTLANDS LÄN</t>
        </is>
      </c>
      <c r="E59" t="inlineStr">
        <is>
          <t>LINKÖPING</t>
        </is>
      </c>
      <c r="G59" t="n">
        <v>3.6</v>
      </c>
      <c r="H59" t="n">
        <v>0</v>
      </c>
      <c r="I59" t="n">
        <v>0</v>
      </c>
      <c r="J59" t="n">
        <v>1</v>
      </c>
      <c r="K59" t="n">
        <v>0</v>
      </c>
      <c r="L59" t="n">
        <v>0</v>
      </c>
      <c r="M59" t="n">
        <v>0</v>
      </c>
      <c r="N59" t="n">
        <v>0</v>
      </c>
      <c r="O59" t="n">
        <v>1</v>
      </c>
      <c r="P59" t="n">
        <v>0</v>
      </c>
      <c r="Q59" t="n">
        <v>1</v>
      </c>
      <c r="R59" s="2" t="inlineStr">
        <is>
          <t>Svinrot</t>
        </is>
      </c>
      <c r="S59">
        <f>HYPERLINK("https://klasma.github.io/Logging_0580/artfynd/A 41749-2023 artfynd.xlsx", "A 41749-2023")</f>
        <v/>
      </c>
      <c r="T59">
        <f>HYPERLINK("https://klasma.github.io/Logging_0580/kartor/A 41749-2023 karta.png", "A 41749-2023")</f>
        <v/>
      </c>
      <c r="V59">
        <f>HYPERLINK("https://klasma.github.io/Logging_0580/klagomål/A 41749-2023 FSC-klagomål.docx", "A 41749-2023")</f>
        <v/>
      </c>
      <c r="W59">
        <f>HYPERLINK("https://klasma.github.io/Logging_0580/klagomålsmail/A 41749-2023 FSC-klagomål mail.docx", "A 41749-2023")</f>
        <v/>
      </c>
      <c r="X59">
        <f>HYPERLINK("https://klasma.github.io/Logging_0580/tillsyn/A 41749-2023 tillsynsbegäran.docx", "A 41749-2023")</f>
        <v/>
      </c>
      <c r="Y59">
        <f>HYPERLINK("https://klasma.github.io/Logging_0580/tillsynsmail/A 41749-2023 tillsynsbegäran mail.docx", "A 41749-2023")</f>
        <v/>
      </c>
    </row>
    <row r="60" ht="15" customHeight="1">
      <c r="A60" t="inlineStr">
        <is>
          <t>A 56112-2025</t>
        </is>
      </c>
      <c r="B60" s="1" t="n">
        <v>45973.73625</v>
      </c>
      <c r="C60" s="1" t="n">
        <v>46104</v>
      </c>
      <c r="D60" t="inlineStr">
        <is>
          <t>ÖSTERGÖTLANDS LÄN</t>
        </is>
      </c>
      <c r="E60" t="inlineStr">
        <is>
          <t>LINKÖPING</t>
        </is>
      </c>
      <c r="G60" t="n">
        <v>0.6</v>
      </c>
      <c r="H60" t="n">
        <v>0</v>
      </c>
      <c r="I60" t="n">
        <v>0</v>
      </c>
      <c r="J60" t="n">
        <v>1</v>
      </c>
      <c r="K60" t="n">
        <v>0</v>
      </c>
      <c r="L60" t="n">
        <v>0</v>
      </c>
      <c r="M60" t="n">
        <v>0</v>
      </c>
      <c r="N60" t="n">
        <v>0</v>
      </c>
      <c r="O60" t="n">
        <v>1</v>
      </c>
      <c r="P60" t="n">
        <v>0</v>
      </c>
      <c r="Q60" t="n">
        <v>1</v>
      </c>
      <c r="R60" s="2" t="inlineStr">
        <is>
          <t>Solvända</t>
        </is>
      </c>
      <c r="S60">
        <f>HYPERLINK("https://klasma.github.io/Logging_0580/artfynd/A 56112-2025 artfynd.xlsx", "A 56112-2025")</f>
        <v/>
      </c>
      <c r="T60">
        <f>HYPERLINK("https://klasma.github.io/Logging_0580/kartor/A 56112-2025 karta.png", "A 56112-2025")</f>
        <v/>
      </c>
      <c r="V60">
        <f>HYPERLINK("https://klasma.github.io/Logging_0580/klagomål/A 56112-2025 FSC-klagomål.docx", "A 56112-2025")</f>
        <v/>
      </c>
      <c r="W60">
        <f>HYPERLINK("https://klasma.github.io/Logging_0580/klagomålsmail/A 56112-2025 FSC-klagomål mail.docx", "A 56112-2025")</f>
        <v/>
      </c>
      <c r="X60">
        <f>HYPERLINK("https://klasma.github.io/Logging_0580/tillsyn/A 56112-2025 tillsynsbegäran.docx", "A 56112-2025")</f>
        <v/>
      </c>
      <c r="Y60">
        <f>HYPERLINK("https://klasma.github.io/Logging_0580/tillsynsmail/A 56112-2025 tillsynsbegäran mail.docx", "A 56112-2025")</f>
        <v/>
      </c>
    </row>
    <row r="61" ht="15" customHeight="1">
      <c r="A61" t="inlineStr">
        <is>
          <t>A 22526-2025</t>
        </is>
      </c>
      <c r="B61" s="1" t="n">
        <v>45786.78096064815</v>
      </c>
      <c r="C61" s="1" t="n">
        <v>46104</v>
      </c>
      <c r="D61" t="inlineStr">
        <is>
          <t>ÖSTERGÖTLANDS LÄN</t>
        </is>
      </c>
      <c r="E61" t="inlineStr">
        <is>
          <t>LINKÖPING</t>
        </is>
      </c>
      <c r="G61" t="n">
        <v>1.8</v>
      </c>
      <c r="H61" t="n">
        <v>1</v>
      </c>
      <c r="I61" t="n">
        <v>0</v>
      </c>
      <c r="J61" t="n">
        <v>1</v>
      </c>
      <c r="K61" t="n">
        <v>0</v>
      </c>
      <c r="L61" t="n">
        <v>0</v>
      </c>
      <c r="M61" t="n">
        <v>0</v>
      </c>
      <c r="N61" t="n">
        <v>0</v>
      </c>
      <c r="O61" t="n">
        <v>1</v>
      </c>
      <c r="P61" t="n">
        <v>0</v>
      </c>
      <c r="Q61" t="n">
        <v>1</v>
      </c>
      <c r="R61" s="2" t="inlineStr">
        <is>
          <t>Röd skogslilja</t>
        </is>
      </c>
      <c r="S61">
        <f>HYPERLINK("https://klasma.github.io/Logging_0580/artfynd/A 22526-2025 artfynd.xlsx", "A 22526-2025")</f>
        <v/>
      </c>
      <c r="T61">
        <f>HYPERLINK("https://klasma.github.io/Logging_0580/kartor/A 22526-2025 karta.png", "A 22526-2025")</f>
        <v/>
      </c>
      <c r="V61">
        <f>HYPERLINK("https://klasma.github.io/Logging_0580/klagomål/A 22526-2025 FSC-klagomål.docx", "A 22526-2025")</f>
        <v/>
      </c>
      <c r="W61">
        <f>HYPERLINK("https://klasma.github.io/Logging_0580/klagomålsmail/A 22526-2025 FSC-klagomål mail.docx", "A 22526-2025")</f>
        <v/>
      </c>
      <c r="X61">
        <f>HYPERLINK("https://klasma.github.io/Logging_0580/tillsyn/A 22526-2025 tillsynsbegäran.docx", "A 22526-2025")</f>
        <v/>
      </c>
      <c r="Y61">
        <f>HYPERLINK("https://klasma.github.io/Logging_0580/tillsynsmail/A 22526-2025 tillsynsbegäran mail.docx", "A 22526-2025")</f>
        <v/>
      </c>
    </row>
    <row r="62" ht="15" customHeight="1">
      <c r="A62" t="inlineStr">
        <is>
          <t>A 59948-2022</t>
        </is>
      </c>
      <c r="B62" s="1" t="n">
        <v>44909</v>
      </c>
      <c r="C62" s="1" t="n">
        <v>46104</v>
      </c>
      <c r="D62" t="inlineStr">
        <is>
          <t>ÖSTERGÖTLANDS LÄN</t>
        </is>
      </c>
      <c r="E62" t="inlineStr">
        <is>
          <t>LINKÖPING</t>
        </is>
      </c>
      <c r="G62" t="n">
        <v>6.7</v>
      </c>
      <c r="H62" t="n">
        <v>0</v>
      </c>
      <c r="I62" t="n">
        <v>0</v>
      </c>
      <c r="J62" t="n">
        <v>0</v>
      </c>
      <c r="K62" t="n">
        <v>0</v>
      </c>
      <c r="L62" t="n">
        <v>0</v>
      </c>
      <c r="M62" t="n">
        <v>1</v>
      </c>
      <c r="N62" t="n">
        <v>0</v>
      </c>
      <c r="O62" t="n">
        <v>1</v>
      </c>
      <c r="P62" t="n">
        <v>1</v>
      </c>
      <c r="Q62" t="n">
        <v>1</v>
      </c>
      <c r="R62" s="2" t="inlineStr">
        <is>
          <t>Skogsalm</t>
        </is>
      </c>
      <c r="S62">
        <f>HYPERLINK("https://klasma.github.io/Logging_0580/artfynd/A 59948-2022 artfynd.xlsx", "A 59948-2022")</f>
        <v/>
      </c>
      <c r="T62">
        <f>HYPERLINK("https://klasma.github.io/Logging_0580/kartor/A 59948-2022 karta.png", "A 59948-2022")</f>
        <v/>
      </c>
      <c r="V62">
        <f>HYPERLINK("https://klasma.github.io/Logging_0580/klagomål/A 59948-2022 FSC-klagomål.docx", "A 59948-2022")</f>
        <v/>
      </c>
      <c r="W62">
        <f>HYPERLINK("https://klasma.github.io/Logging_0580/klagomålsmail/A 59948-2022 FSC-klagomål mail.docx", "A 59948-2022")</f>
        <v/>
      </c>
      <c r="X62">
        <f>HYPERLINK("https://klasma.github.io/Logging_0580/tillsyn/A 59948-2022 tillsynsbegäran.docx", "A 59948-2022")</f>
        <v/>
      </c>
      <c r="Y62">
        <f>HYPERLINK("https://klasma.github.io/Logging_0580/tillsynsmail/A 59948-2022 tillsynsbegäran mail.docx", "A 59948-2022")</f>
        <v/>
      </c>
    </row>
    <row r="63" ht="15" customHeight="1">
      <c r="A63" t="inlineStr">
        <is>
          <t>A 59474-2025</t>
        </is>
      </c>
      <c r="B63" s="1" t="n">
        <v>45989.58512731481</v>
      </c>
      <c r="C63" s="1" t="n">
        <v>46104</v>
      </c>
      <c r="D63" t="inlineStr">
        <is>
          <t>ÖSTERGÖTLANDS LÄN</t>
        </is>
      </c>
      <c r="E63" t="inlineStr">
        <is>
          <t>LINKÖPING</t>
        </is>
      </c>
      <c r="G63" t="n">
        <v>8</v>
      </c>
      <c r="H63" t="n">
        <v>0</v>
      </c>
      <c r="I63" t="n">
        <v>1</v>
      </c>
      <c r="J63" t="n">
        <v>0</v>
      </c>
      <c r="K63" t="n">
        <v>0</v>
      </c>
      <c r="L63" t="n">
        <v>0</v>
      </c>
      <c r="M63" t="n">
        <v>0</v>
      </c>
      <c r="N63" t="n">
        <v>0</v>
      </c>
      <c r="O63" t="n">
        <v>0</v>
      </c>
      <c r="P63" t="n">
        <v>0</v>
      </c>
      <c r="Q63" t="n">
        <v>1</v>
      </c>
      <c r="R63" s="2" t="inlineStr">
        <is>
          <t>Fällmossa</t>
        </is>
      </c>
      <c r="S63">
        <f>HYPERLINK("https://klasma.github.io/Logging_0580/artfynd/A 59474-2025 artfynd.xlsx", "A 59474-2025")</f>
        <v/>
      </c>
      <c r="T63">
        <f>HYPERLINK("https://klasma.github.io/Logging_0580/kartor/A 59474-2025 karta.png", "A 59474-2025")</f>
        <v/>
      </c>
      <c r="V63">
        <f>HYPERLINK("https://klasma.github.io/Logging_0580/klagomål/A 59474-2025 FSC-klagomål.docx", "A 59474-2025")</f>
        <v/>
      </c>
      <c r="W63">
        <f>HYPERLINK("https://klasma.github.io/Logging_0580/klagomålsmail/A 59474-2025 FSC-klagomål mail.docx", "A 59474-2025")</f>
        <v/>
      </c>
      <c r="X63">
        <f>HYPERLINK("https://klasma.github.io/Logging_0580/tillsyn/A 59474-2025 tillsynsbegäran.docx", "A 59474-2025")</f>
        <v/>
      </c>
      <c r="Y63">
        <f>HYPERLINK("https://klasma.github.io/Logging_0580/tillsynsmail/A 59474-2025 tillsynsbegäran mail.docx", "A 59474-2025")</f>
        <v/>
      </c>
    </row>
    <row r="64" ht="15" customHeight="1">
      <c r="A64" t="inlineStr">
        <is>
          <t>A 60311-2025</t>
        </is>
      </c>
      <c r="B64" s="1" t="n">
        <v>45994</v>
      </c>
      <c r="C64" s="1" t="n">
        <v>46104</v>
      </c>
      <c r="D64" t="inlineStr">
        <is>
          <t>ÖSTERGÖTLANDS LÄN</t>
        </is>
      </c>
      <c r="E64" t="inlineStr">
        <is>
          <t>LINKÖPING</t>
        </is>
      </c>
      <c r="G64" t="n">
        <v>1.9</v>
      </c>
      <c r="H64" t="n">
        <v>0</v>
      </c>
      <c r="I64" t="n">
        <v>0</v>
      </c>
      <c r="J64" t="n">
        <v>1</v>
      </c>
      <c r="K64" t="n">
        <v>0</v>
      </c>
      <c r="L64" t="n">
        <v>0</v>
      </c>
      <c r="M64" t="n">
        <v>0</v>
      </c>
      <c r="N64" t="n">
        <v>0</v>
      </c>
      <c r="O64" t="n">
        <v>1</v>
      </c>
      <c r="P64" t="n">
        <v>0</v>
      </c>
      <c r="Q64" t="n">
        <v>1</v>
      </c>
      <c r="R64" s="2" t="inlineStr">
        <is>
          <t>Gammelekslav</t>
        </is>
      </c>
      <c r="S64">
        <f>HYPERLINK("https://klasma.github.io/Logging_0580/artfynd/A 60311-2025 artfynd.xlsx", "A 60311-2025")</f>
        <v/>
      </c>
      <c r="T64">
        <f>HYPERLINK("https://klasma.github.io/Logging_0580/kartor/A 60311-2025 karta.png", "A 60311-2025")</f>
        <v/>
      </c>
      <c r="V64">
        <f>HYPERLINK("https://klasma.github.io/Logging_0580/klagomål/A 60311-2025 FSC-klagomål.docx", "A 60311-2025")</f>
        <v/>
      </c>
      <c r="W64">
        <f>HYPERLINK("https://klasma.github.io/Logging_0580/klagomålsmail/A 60311-2025 FSC-klagomål mail.docx", "A 60311-2025")</f>
        <v/>
      </c>
      <c r="X64">
        <f>HYPERLINK("https://klasma.github.io/Logging_0580/tillsyn/A 60311-2025 tillsynsbegäran.docx", "A 60311-2025")</f>
        <v/>
      </c>
      <c r="Y64">
        <f>HYPERLINK("https://klasma.github.io/Logging_0580/tillsynsmail/A 60311-2025 tillsynsbegäran mail.docx", "A 60311-2025")</f>
        <v/>
      </c>
    </row>
    <row r="65" ht="15" customHeight="1">
      <c r="A65" t="inlineStr">
        <is>
          <t>A 43989-2025</t>
        </is>
      </c>
      <c r="B65" s="1" t="n">
        <v>45915.44128472222</v>
      </c>
      <c r="C65" s="1" t="n">
        <v>46104</v>
      </c>
      <c r="D65" t="inlineStr">
        <is>
          <t>ÖSTERGÖTLANDS LÄN</t>
        </is>
      </c>
      <c r="E65" t="inlineStr">
        <is>
          <t>LINKÖPING</t>
        </is>
      </c>
      <c r="F65" t="inlineStr">
        <is>
          <t>Allmännings- och besparingsskogar</t>
        </is>
      </c>
      <c r="G65" t="n">
        <v>3.5</v>
      </c>
      <c r="H65" t="n">
        <v>0</v>
      </c>
      <c r="I65" t="n">
        <v>0</v>
      </c>
      <c r="J65" t="n">
        <v>1</v>
      </c>
      <c r="K65" t="n">
        <v>0</v>
      </c>
      <c r="L65" t="n">
        <v>0</v>
      </c>
      <c r="M65" t="n">
        <v>0</v>
      </c>
      <c r="N65" t="n">
        <v>0</v>
      </c>
      <c r="O65" t="n">
        <v>1</v>
      </c>
      <c r="P65" t="n">
        <v>0</v>
      </c>
      <c r="Q65" t="n">
        <v>1</v>
      </c>
      <c r="R65" s="2" t="inlineStr">
        <is>
          <t>Kavelhirs</t>
        </is>
      </c>
      <c r="S65">
        <f>HYPERLINK("https://klasma.github.io/Logging_0580/artfynd/A 43989-2025 artfynd.xlsx", "A 43989-2025")</f>
        <v/>
      </c>
      <c r="T65">
        <f>HYPERLINK("https://klasma.github.io/Logging_0580/kartor/A 43989-2025 karta.png", "A 43989-2025")</f>
        <v/>
      </c>
      <c r="V65">
        <f>HYPERLINK("https://klasma.github.io/Logging_0580/klagomål/A 43989-2025 FSC-klagomål.docx", "A 43989-2025")</f>
        <v/>
      </c>
      <c r="W65">
        <f>HYPERLINK("https://klasma.github.io/Logging_0580/klagomålsmail/A 43989-2025 FSC-klagomål mail.docx", "A 43989-2025")</f>
        <v/>
      </c>
      <c r="X65">
        <f>HYPERLINK("https://klasma.github.io/Logging_0580/tillsyn/A 43989-2025 tillsynsbegäran.docx", "A 43989-2025")</f>
        <v/>
      </c>
      <c r="Y65">
        <f>HYPERLINK("https://klasma.github.io/Logging_0580/tillsynsmail/A 43989-2025 tillsynsbegäran mail.docx", "A 43989-2025")</f>
        <v/>
      </c>
    </row>
    <row r="66" ht="15" customHeight="1">
      <c r="A66" t="inlineStr">
        <is>
          <t>A 44760-2025</t>
        </is>
      </c>
      <c r="B66" s="1" t="n">
        <v>45917.71873842592</v>
      </c>
      <c r="C66" s="1" t="n">
        <v>46104</v>
      </c>
      <c r="D66" t="inlineStr">
        <is>
          <t>ÖSTERGÖTLANDS LÄN</t>
        </is>
      </c>
      <c r="E66" t="inlineStr">
        <is>
          <t>LINKÖPING</t>
        </is>
      </c>
      <c r="G66" t="n">
        <v>0.9</v>
      </c>
      <c r="H66" t="n">
        <v>0</v>
      </c>
      <c r="I66" t="n">
        <v>0</v>
      </c>
      <c r="J66" t="n">
        <v>1</v>
      </c>
      <c r="K66" t="n">
        <v>0</v>
      </c>
      <c r="L66" t="n">
        <v>0</v>
      </c>
      <c r="M66" t="n">
        <v>0</v>
      </c>
      <c r="N66" t="n">
        <v>0</v>
      </c>
      <c r="O66" t="n">
        <v>1</v>
      </c>
      <c r="P66" t="n">
        <v>0</v>
      </c>
      <c r="Q66" t="n">
        <v>1</v>
      </c>
      <c r="R66" s="2" t="inlineStr">
        <is>
          <t>Tallticka</t>
        </is>
      </c>
      <c r="S66">
        <f>HYPERLINK("https://klasma.github.io/Logging_0580/artfynd/A 44760-2025 artfynd.xlsx", "A 44760-2025")</f>
        <v/>
      </c>
      <c r="T66">
        <f>HYPERLINK("https://klasma.github.io/Logging_0580/kartor/A 44760-2025 karta.png", "A 44760-2025")</f>
        <v/>
      </c>
      <c r="V66">
        <f>HYPERLINK("https://klasma.github.io/Logging_0580/klagomål/A 44760-2025 FSC-klagomål.docx", "A 44760-2025")</f>
        <v/>
      </c>
      <c r="W66">
        <f>HYPERLINK("https://klasma.github.io/Logging_0580/klagomålsmail/A 44760-2025 FSC-klagomål mail.docx", "A 44760-2025")</f>
        <v/>
      </c>
      <c r="X66">
        <f>HYPERLINK("https://klasma.github.io/Logging_0580/tillsyn/A 44760-2025 tillsynsbegäran.docx", "A 44760-2025")</f>
        <v/>
      </c>
      <c r="Y66">
        <f>HYPERLINK("https://klasma.github.io/Logging_0580/tillsynsmail/A 44760-2025 tillsynsbegäran mail.docx", "A 44760-2025")</f>
        <v/>
      </c>
    </row>
    <row r="67" ht="15" customHeight="1">
      <c r="A67" t="inlineStr">
        <is>
          <t>A 37683-2024</t>
        </is>
      </c>
      <c r="B67" s="1" t="n">
        <v>45541.59120370371</v>
      </c>
      <c r="C67" s="1" t="n">
        <v>46104</v>
      </c>
      <c r="D67" t="inlineStr">
        <is>
          <t>ÖSTERGÖTLANDS LÄN</t>
        </is>
      </c>
      <c r="E67" t="inlineStr">
        <is>
          <t>LINKÖPING</t>
        </is>
      </c>
      <c r="G67" t="n">
        <v>0.6</v>
      </c>
      <c r="H67" t="n">
        <v>0</v>
      </c>
      <c r="I67" t="n">
        <v>1</v>
      </c>
      <c r="J67" t="n">
        <v>0</v>
      </c>
      <c r="K67" t="n">
        <v>0</v>
      </c>
      <c r="L67" t="n">
        <v>0</v>
      </c>
      <c r="M67" t="n">
        <v>0</v>
      </c>
      <c r="N67" t="n">
        <v>0</v>
      </c>
      <c r="O67" t="n">
        <v>0</v>
      </c>
      <c r="P67" t="n">
        <v>0</v>
      </c>
      <c r="Q67" t="n">
        <v>1</v>
      </c>
      <c r="R67" s="2" t="inlineStr">
        <is>
          <t>Tibast</t>
        </is>
      </c>
      <c r="S67">
        <f>HYPERLINK("https://klasma.github.io/Logging_0580/artfynd/A 37683-2024 artfynd.xlsx", "A 37683-2024")</f>
        <v/>
      </c>
      <c r="T67">
        <f>HYPERLINK("https://klasma.github.io/Logging_0580/kartor/A 37683-2024 karta.png", "A 37683-2024")</f>
        <v/>
      </c>
      <c r="V67">
        <f>HYPERLINK("https://klasma.github.io/Logging_0580/klagomål/A 37683-2024 FSC-klagomål.docx", "A 37683-2024")</f>
        <v/>
      </c>
      <c r="W67">
        <f>HYPERLINK("https://klasma.github.io/Logging_0580/klagomålsmail/A 37683-2024 FSC-klagomål mail.docx", "A 37683-2024")</f>
        <v/>
      </c>
      <c r="X67">
        <f>HYPERLINK("https://klasma.github.io/Logging_0580/tillsyn/A 37683-2024 tillsynsbegäran.docx", "A 37683-2024")</f>
        <v/>
      </c>
      <c r="Y67">
        <f>HYPERLINK("https://klasma.github.io/Logging_0580/tillsynsmail/A 37683-2024 tillsynsbegäran mail.docx", "A 37683-2024")</f>
        <v/>
      </c>
    </row>
    <row r="68" ht="15" customHeight="1">
      <c r="A68" t="inlineStr">
        <is>
          <t>A 48347-2025</t>
        </is>
      </c>
      <c r="B68" s="1" t="n">
        <v>45932</v>
      </c>
      <c r="C68" s="1" t="n">
        <v>46104</v>
      </c>
      <c r="D68" t="inlineStr">
        <is>
          <t>ÖSTERGÖTLANDS LÄN</t>
        </is>
      </c>
      <c r="E68" t="inlineStr">
        <is>
          <t>LINKÖPING</t>
        </is>
      </c>
      <c r="F68" t="inlineStr">
        <is>
          <t>Övriga Aktiebolag</t>
        </is>
      </c>
      <c r="G68" t="n">
        <v>0.9</v>
      </c>
      <c r="H68" t="n">
        <v>0</v>
      </c>
      <c r="I68" t="n">
        <v>0</v>
      </c>
      <c r="J68" t="n">
        <v>1</v>
      </c>
      <c r="K68" t="n">
        <v>0</v>
      </c>
      <c r="L68" t="n">
        <v>0</v>
      </c>
      <c r="M68" t="n">
        <v>0</v>
      </c>
      <c r="N68" t="n">
        <v>0</v>
      </c>
      <c r="O68" t="n">
        <v>1</v>
      </c>
      <c r="P68" t="n">
        <v>0</v>
      </c>
      <c r="Q68" t="n">
        <v>1</v>
      </c>
      <c r="R68" s="2" t="inlineStr">
        <is>
          <t>Igelkott</t>
        </is>
      </c>
      <c r="S68">
        <f>HYPERLINK("https://klasma.github.io/Logging_0580/artfynd/A 48347-2025 artfynd.xlsx", "A 48347-2025")</f>
        <v/>
      </c>
      <c r="T68">
        <f>HYPERLINK("https://klasma.github.io/Logging_0580/kartor/A 48347-2025 karta.png", "A 48347-2025")</f>
        <v/>
      </c>
      <c r="V68">
        <f>HYPERLINK("https://klasma.github.io/Logging_0580/klagomål/A 48347-2025 FSC-klagomål.docx", "A 48347-2025")</f>
        <v/>
      </c>
      <c r="W68">
        <f>HYPERLINK("https://klasma.github.io/Logging_0580/klagomålsmail/A 48347-2025 FSC-klagomål mail.docx", "A 48347-2025")</f>
        <v/>
      </c>
      <c r="X68">
        <f>HYPERLINK("https://klasma.github.io/Logging_0580/tillsyn/A 48347-2025 tillsynsbegäran.docx", "A 48347-2025")</f>
        <v/>
      </c>
      <c r="Y68">
        <f>HYPERLINK("https://klasma.github.io/Logging_0580/tillsynsmail/A 48347-2025 tillsynsbegäran mail.docx", "A 48347-2025")</f>
        <v/>
      </c>
    </row>
    <row r="69" ht="15" customHeight="1">
      <c r="A69" t="inlineStr">
        <is>
          <t>A 48353-2025</t>
        </is>
      </c>
      <c r="B69" s="1" t="n">
        <v>45932</v>
      </c>
      <c r="C69" s="1" t="n">
        <v>46104</v>
      </c>
      <c r="D69" t="inlineStr">
        <is>
          <t>ÖSTERGÖTLANDS LÄN</t>
        </is>
      </c>
      <c r="E69" t="inlineStr">
        <is>
          <t>LINKÖPING</t>
        </is>
      </c>
      <c r="F69" t="inlineStr">
        <is>
          <t>Övriga Aktiebolag</t>
        </is>
      </c>
      <c r="G69" t="n">
        <v>4.5</v>
      </c>
      <c r="H69" t="n">
        <v>1</v>
      </c>
      <c r="I69" t="n">
        <v>0</v>
      </c>
      <c r="J69" t="n">
        <v>1</v>
      </c>
      <c r="K69" t="n">
        <v>0</v>
      </c>
      <c r="L69" t="n">
        <v>0</v>
      </c>
      <c r="M69" t="n">
        <v>0</v>
      </c>
      <c r="N69" t="n">
        <v>0</v>
      </c>
      <c r="O69" t="n">
        <v>1</v>
      </c>
      <c r="P69" t="n">
        <v>0</v>
      </c>
      <c r="Q69" t="n">
        <v>1</v>
      </c>
      <c r="R69" s="2" t="inlineStr">
        <is>
          <t>Entita</t>
        </is>
      </c>
      <c r="S69">
        <f>HYPERLINK("https://klasma.github.io/Logging_0580/artfynd/A 48353-2025 artfynd.xlsx", "A 48353-2025")</f>
        <v/>
      </c>
      <c r="T69">
        <f>HYPERLINK("https://klasma.github.io/Logging_0580/kartor/A 48353-2025 karta.png", "A 48353-2025")</f>
        <v/>
      </c>
      <c r="V69">
        <f>HYPERLINK("https://klasma.github.io/Logging_0580/klagomål/A 48353-2025 FSC-klagomål.docx", "A 48353-2025")</f>
        <v/>
      </c>
      <c r="W69">
        <f>HYPERLINK("https://klasma.github.io/Logging_0580/klagomålsmail/A 48353-2025 FSC-klagomål mail.docx", "A 48353-2025")</f>
        <v/>
      </c>
      <c r="X69">
        <f>HYPERLINK("https://klasma.github.io/Logging_0580/tillsyn/A 48353-2025 tillsynsbegäran.docx", "A 48353-2025")</f>
        <v/>
      </c>
      <c r="Y69">
        <f>HYPERLINK("https://klasma.github.io/Logging_0580/tillsynsmail/A 48353-2025 tillsynsbegäran mail.docx", "A 48353-2025")</f>
        <v/>
      </c>
      <c r="Z69">
        <f>HYPERLINK("https://klasma.github.io/Logging_0580/fåglar/A 48353-2025 prioriterade fågelarter.docx", "A 48353-2025")</f>
        <v/>
      </c>
    </row>
    <row r="70" ht="15" customHeight="1">
      <c r="A70" t="inlineStr">
        <is>
          <t>A 48273-2025</t>
        </is>
      </c>
      <c r="B70" s="1" t="n">
        <v>45932</v>
      </c>
      <c r="C70" s="1" t="n">
        <v>46104</v>
      </c>
      <c r="D70" t="inlineStr">
        <is>
          <t>ÖSTERGÖTLANDS LÄN</t>
        </is>
      </c>
      <c r="E70" t="inlineStr">
        <is>
          <t>LINKÖPING</t>
        </is>
      </c>
      <c r="F70" t="inlineStr">
        <is>
          <t>Övriga Aktiebolag</t>
        </is>
      </c>
      <c r="G70" t="n">
        <v>4.6</v>
      </c>
      <c r="H70" t="n">
        <v>0</v>
      </c>
      <c r="I70" t="n">
        <v>0</v>
      </c>
      <c r="J70" t="n">
        <v>1</v>
      </c>
      <c r="K70" t="n">
        <v>0</v>
      </c>
      <c r="L70" t="n">
        <v>0</v>
      </c>
      <c r="M70" t="n">
        <v>0</v>
      </c>
      <c r="N70" t="n">
        <v>0</v>
      </c>
      <c r="O70" t="n">
        <v>1</v>
      </c>
      <c r="P70" t="n">
        <v>0</v>
      </c>
      <c r="Q70" t="n">
        <v>1</v>
      </c>
      <c r="R70" s="2" t="inlineStr">
        <is>
          <t>Barrviolspindling</t>
        </is>
      </c>
      <c r="S70">
        <f>HYPERLINK("https://klasma.github.io/Logging_0580/artfynd/A 48273-2025 artfynd.xlsx", "A 48273-2025")</f>
        <v/>
      </c>
      <c r="T70">
        <f>HYPERLINK("https://klasma.github.io/Logging_0580/kartor/A 48273-2025 karta.png", "A 48273-2025")</f>
        <v/>
      </c>
      <c r="V70">
        <f>HYPERLINK("https://klasma.github.io/Logging_0580/klagomål/A 48273-2025 FSC-klagomål.docx", "A 48273-2025")</f>
        <v/>
      </c>
      <c r="W70">
        <f>HYPERLINK("https://klasma.github.io/Logging_0580/klagomålsmail/A 48273-2025 FSC-klagomål mail.docx", "A 48273-2025")</f>
        <v/>
      </c>
      <c r="X70">
        <f>HYPERLINK("https://klasma.github.io/Logging_0580/tillsyn/A 48273-2025 tillsynsbegäran.docx", "A 48273-2025")</f>
        <v/>
      </c>
      <c r="Y70">
        <f>HYPERLINK("https://klasma.github.io/Logging_0580/tillsynsmail/A 48273-2025 tillsynsbegäran mail.docx", "A 48273-2025")</f>
        <v/>
      </c>
    </row>
    <row r="71" ht="15" customHeight="1">
      <c r="A71" t="inlineStr">
        <is>
          <t>A 48298-2025</t>
        </is>
      </c>
      <c r="B71" s="1" t="n">
        <v>45932</v>
      </c>
      <c r="C71" s="1" t="n">
        <v>46104</v>
      </c>
      <c r="D71" t="inlineStr">
        <is>
          <t>ÖSTERGÖTLANDS LÄN</t>
        </is>
      </c>
      <c r="E71" t="inlineStr">
        <is>
          <t>LINKÖPING</t>
        </is>
      </c>
      <c r="F71" t="inlineStr">
        <is>
          <t>Övriga Aktiebolag</t>
        </is>
      </c>
      <c r="G71" t="n">
        <v>1.7</v>
      </c>
      <c r="H71" t="n">
        <v>0</v>
      </c>
      <c r="I71" t="n">
        <v>1</v>
      </c>
      <c r="J71" t="n">
        <v>0</v>
      </c>
      <c r="K71" t="n">
        <v>0</v>
      </c>
      <c r="L71" t="n">
        <v>0</v>
      </c>
      <c r="M71" t="n">
        <v>0</v>
      </c>
      <c r="N71" t="n">
        <v>0</v>
      </c>
      <c r="O71" t="n">
        <v>0</v>
      </c>
      <c r="P71" t="n">
        <v>0</v>
      </c>
      <c r="Q71" t="n">
        <v>1</v>
      </c>
      <c r="R71" s="2" t="inlineStr">
        <is>
          <t>Västlig hakmossa</t>
        </is>
      </c>
      <c r="S71">
        <f>HYPERLINK("https://klasma.github.io/Logging_0580/artfynd/A 48298-2025 artfynd.xlsx", "A 48298-2025")</f>
        <v/>
      </c>
      <c r="T71">
        <f>HYPERLINK("https://klasma.github.io/Logging_0580/kartor/A 48298-2025 karta.png", "A 48298-2025")</f>
        <v/>
      </c>
      <c r="V71">
        <f>HYPERLINK("https://klasma.github.io/Logging_0580/klagomål/A 48298-2025 FSC-klagomål.docx", "A 48298-2025")</f>
        <v/>
      </c>
      <c r="W71">
        <f>HYPERLINK("https://klasma.github.io/Logging_0580/klagomålsmail/A 48298-2025 FSC-klagomål mail.docx", "A 48298-2025")</f>
        <v/>
      </c>
      <c r="X71">
        <f>HYPERLINK("https://klasma.github.io/Logging_0580/tillsyn/A 48298-2025 tillsynsbegäran.docx", "A 48298-2025")</f>
        <v/>
      </c>
      <c r="Y71">
        <f>HYPERLINK("https://klasma.github.io/Logging_0580/tillsynsmail/A 48298-2025 tillsynsbegäran mail.docx", "A 48298-2025")</f>
        <v/>
      </c>
    </row>
    <row r="72" ht="15" customHeight="1">
      <c r="A72" t="inlineStr">
        <is>
          <t>A 56651-2023</t>
        </is>
      </c>
      <c r="B72" s="1" t="n">
        <v>45243</v>
      </c>
      <c r="C72" s="1" t="n">
        <v>46104</v>
      </c>
      <c r="D72" t="inlineStr">
        <is>
          <t>ÖSTERGÖTLANDS LÄN</t>
        </is>
      </c>
      <c r="E72" t="inlineStr">
        <is>
          <t>LINKÖPING</t>
        </is>
      </c>
      <c r="F72" t="inlineStr">
        <is>
          <t>Övriga Aktiebolag</t>
        </is>
      </c>
      <c r="G72" t="n">
        <v>2.3</v>
      </c>
      <c r="H72" t="n">
        <v>0</v>
      </c>
      <c r="I72" t="n">
        <v>0</v>
      </c>
      <c r="J72" t="n">
        <v>1</v>
      </c>
      <c r="K72" t="n">
        <v>0</v>
      </c>
      <c r="L72" t="n">
        <v>0</v>
      </c>
      <c r="M72" t="n">
        <v>0</v>
      </c>
      <c r="N72" t="n">
        <v>0</v>
      </c>
      <c r="O72" t="n">
        <v>1</v>
      </c>
      <c r="P72" t="n">
        <v>0</v>
      </c>
      <c r="Q72" t="n">
        <v>1</v>
      </c>
      <c r="R72" s="2" t="inlineStr">
        <is>
          <t>Gul dropplav</t>
        </is>
      </c>
      <c r="S72">
        <f>HYPERLINK("https://klasma.github.io/Logging_0580/artfynd/A 56651-2023 artfynd.xlsx", "A 56651-2023")</f>
        <v/>
      </c>
      <c r="T72">
        <f>HYPERLINK("https://klasma.github.io/Logging_0580/kartor/A 56651-2023 karta.png", "A 56651-2023")</f>
        <v/>
      </c>
      <c r="V72">
        <f>HYPERLINK("https://klasma.github.io/Logging_0580/klagomål/A 56651-2023 FSC-klagomål.docx", "A 56651-2023")</f>
        <v/>
      </c>
      <c r="W72">
        <f>HYPERLINK("https://klasma.github.io/Logging_0580/klagomålsmail/A 56651-2023 FSC-klagomål mail.docx", "A 56651-2023")</f>
        <v/>
      </c>
      <c r="X72">
        <f>HYPERLINK("https://klasma.github.io/Logging_0580/tillsyn/A 56651-2023 tillsynsbegäran.docx", "A 56651-2023")</f>
        <v/>
      </c>
      <c r="Y72">
        <f>HYPERLINK("https://klasma.github.io/Logging_0580/tillsynsmail/A 56651-2023 tillsynsbegäran mail.docx", "A 56651-2023")</f>
        <v/>
      </c>
    </row>
    <row r="73" ht="15" customHeight="1">
      <c r="A73" t="inlineStr">
        <is>
          <t>A 50034-2025</t>
        </is>
      </c>
      <c r="B73" s="1" t="n">
        <v>45941</v>
      </c>
      <c r="C73" s="1" t="n">
        <v>46104</v>
      </c>
      <c r="D73" t="inlineStr">
        <is>
          <t>ÖSTERGÖTLANDS LÄN</t>
        </is>
      </c>
      <c r="E73" t="inlineStr">
        <is>
          <t>LINKÖPING</t>
        </is>
      </c>
      <c r="G73" t="n">
        <v>6.2</v>
      </c>
      <c r="H73" t="n">
        <v>0</v>
      </c>
      <c r="I73" t="n">
        <v>0</v>
      </c>
      <c r="J73" t="n">
        <v>0</v>
      </c>
      <c r="K73" t="n">
        <v>0</v>
      </c>
      <c r="L73" t="n">
        <v>0</v>
      </c>
      <c r="M73" t="n">
        <v>1</v>
      </c>
      <c r="N73" t="n">
        <v>0</v>
      </c>
      <c r="O73" t="n">
        <v>1</v>
      </c>
      <c r="P73" t="n">
        <v>1</v>
      </c>
      <c r="Q73" t="n">
        <v>1</v>
      </c>
      <c r="R73" s="2" t="inlineStr">
        <is>
          <t>Skogsalm</t>
        </is>
      </c>
      <c r="S73">
        <f>HYPERLINK("https://klasma.github.io/Logging_0580/artfynd/A 50034-2025 artfynd.xlsx", "A 50034-2025")</f>
        <v/>
      </c>
      <c r="T73">
        <f>HYPERLINK("https://klasma.github.io/Logging_0580/kartor/A 50034-2025 karta.png", "A 50034-2025")</f>
        <v/>
      </c>
      <c r="V73">
        <f>HYPERLINK("https://klasma.github.io/Logging_0580/klagomål/A 50034-2025 FSC-klagomål.docx", "A 50034-2025")</f>
        <v/>
      </c>
      <c r="W73">
        <f>HYPERLINK("https://klasma.github.io/Logging_0580/klagomålsmail/A 50034-2025 FSC-klagomål mail.docx", "A 50034-2025")</f>
        <v/>
      </c>
      <c r="X73">
        <f>HYPERLINK("https://klasma.github.io/Logging_0580/tillsyn/A 50034-2025 tillsynsbegäran.docx", "A 50034-2025")</f>
        <v/>
      </c>
      <c r="Y73">
        <f>HYPERLINK("https://klasma.github.io/Logging_0580/tillsynsmail/A 50034-2025 tillsynsbegäran mail.docx", "A 50034-2025")</f>
        <v/>
      </c>
    </row>
    <row r="74" ht="15" customHeight="1">
      <c r="A74" t="inlineStr">
        <is>
          <t>A 17444-2025</t>
        </is>
      </c>
      <c r="B74" s="1" t="n">
        <v>45757.43452546297</v>
      </c>
      <c r="C74" s="1" t="n">
        <v>46104</v>
      </c>
      <c r="D74" t="inlineStr">
        <is>
          <t>ÖSTERGÖTLANDS LÄN</t>
        </is>
      </c>
      <c r="E74" t="inlineStr">
        <is>
          <t>LINKÖPING</t>
        </is>
      </c>
      <c r="G74" t="n">
        <v>1.3</v>
      </c>
      <c r="H74" t="n">
        <v>1</v>
      </c>
      <c r="I74" t="n">
        <v>0</v>
      </c>
      <c r="J74" t="n">
        <v>1</v>
      </c>
      <c r="K74" t="n">
        <v>0</v>
      </c>
      <c r="L74" t="n">
        <v>0</v>
      </c>
      <c r="M74" t="n">
        <v>0</v>
      </c>
      <c r="N74" t="n">
        <v>0</v>
      </c>
      <c r="O74" t="n">
        <v>1</v>
      </c>
      <c r="P74" t="n">
        <v>0</v>
      </c>
      <c r="Q74" t="n">
        <v>1</v>
      </c>
      <c r="R74" s="2" t="inlineStr">
        <is>
          <t>Dårgräsfjäril</t>
        </is>
      </c>
      <c r="S74">
        <f>HYPERLINK("https://klasma.github.io/Logging_0580/artfynd/A 17444-2025 artfynd.xlsx", "A 17444-2025")</f>
        <v/>
      </c>
      <c r="T74">
        <f>HYPERLINK("https://klasma.github.io/Logging_0580/kartor/A 17444-2025 karta.png", "A 17444-2025")</f>
        <v/>
      </c>
      <c r="V74">
        <f>HYPERLINK("https://klasma.github.io/Logging_0580/klagomål/A 17444-2025 FSC-klagomål.docx", "A 17444-2025")</f>
        <v/>
      </c>
      <c r="W74">
        <f>HYPERLINK("https://klasma.github.io/Logging_0580/klagomålsmail/A 17444-2025 FSC-klagomål mail.docx", "A 17444-2025")</f>
        <v/>
      </c>
      <c r="X74">
        <f>HYPERLINK("https://klasma.github.io/Logging_0580/tillsyn/A 17444-2025 tillsynsbegäran.docx", "A 17444-2025")</f>
        <v/>
      </c>
      <c r="Y74">
        <f>HYPERLINK("https://klasma.github.io/Logging_0580/tillsynsmail/A 17444-2025 tillsynsbegäran mail.docx", "A 17444-2025")</f>
        <v/>
      </c>
    </row>
    <row r="75" ht="15" customHeight="1">
      <c r="A75" t="inlineStr">
        <is>
          <t>A 5911-2022</t>
        </is>
      </c>
      <c r="B75" s="1" t="n">
        <v>44597</v>
      </c>
      <c r="C75" s="1" t="n">
        <v>46104</v>
      </c>
      <c r="D75" t="inlineStr">
        <is>
          <t>ÖSTERGÖTLANDS LÄN</t>
        </is>
      </c>
      <c r="E75" t="inlineStr">
        <is>
          <t>LINKÖPING</t>
        </is>
      </c>
      <c r="G75" t="n">
        <v>3.5</v>
      </c>
      <c r="H75" t="n">
        <v>0</v>
      </c>
      <c r="I75" t="n">
        <v>0</v>
      </c>
      <c r="J75" t="n">
        <v>1</v>
      </c>
      <c r="K75" t="n">
        <v>0</v>
      </c>
      <c r="L75" t="n">
        <v>0</v>
      </c>
      <c r="M75" t="n">
        <v>0</v>
      </c>
      <c r="N75" t="n">
        <v>0</v>
      </c>
      <c r="O75" t="n">
        <v>1</v>
      </c>
      <c r="P75" t="n">
        <v>0</v>
      </c>
      <c r="Q75" t="n">
        <v>1</v>
      </c>
      <c r="R75" s="2" t="inlineStr">
        <is>
          <t>Spindelört</t>
        </is>
      </c>
      <c r="S75">
        <f>HYPERLINK("https://klasma.github.io/Logging_0580/artfynd/A 5911-2022 artfynd.xlsx", "A 5911-2022")</f>
        <v/>
      </c>
      <c r="T75">
        <f>HYPERLINK("https://klasma.github.io/Logging_0580/kartor/A 5911-2022 karta.png", "A 5911-2022")</f>
        <v/>
      </c>
      <c r="V75">
        <f>HYPERLINK("https://klasma.github.io/Logging_0580/klagomål/A 5911-2022 FSC-klagomål.docx", "A 5911-2022")</f>
        <v/>
      </c>
      <c r="W75">
        <f>HYPERLINK("https://klasma.github.io/Logging_0580/klagomålsmail/A 5911-2022 FSC-klagomål mail.docx", "A 5911-2022")</f>
        <v/>
      </c>
      <c r="X75">
        <f>HYPERLINK("https://klasma.github.io/Logging_0580/tillsyn/A 5911-2022 tillsynsbegäran.docx", "A 5911-2022")</f>
        <v/>
      </c>
      <c r="Y75">
        <f>HYPERLINK("https://klasma.github.io/Logging_0580/tillsynsmail/A 5911-2022 tillsynsbegäran mail.docx", "A 5911-2022")</f>
        <v/>
      </c>
    </row>
    <row r="76" ht="15" customHeight="1">
      <c r="A76" t="inlineStr">
        <is>
          <t>A 90-2024</t>
        </is>
      </c>
      <c r="B76" s="1" t="n">
        <v>45293</v>
      </c>
      <c r="C76" s="1" t="n">
        <v>46104</v>
      </c>
      <c r="D76" t="inlineStr">
        <is>
          <t>ÖSTERGÖTLANDS LÄN</t>
        </is>
      </c>
      <c r="E76" t="inlineStr">
        <is>
          <t>LINKÖPING</t>
        </is>
      </c>
      <c r="G76" t="n">
        <v>1.8</v>
      </c>
      <c r="H76" t="n">
        <v>0</v>
      </c>
      <c r="I76" t="n">
        <v>1</v>
      </c>
      <c r="J76" t="n">
        <v>0</v>
      </c>
      <c r="K76" t="n">
        <v>0</v>
      </c>
      <c r="L76" t="n">
        <v>0</v>
      </c>
      <c r="M76" t="n">
        <v>0</v>
      </c>
      <c r="N76" t="n">
        <v>0</v>
      </c>
      <c r="O76" t="n">
        <v>0</v>
      </c>
      <c r="P76" t="n">
        <v>0</v>
      </c>
      <c r="Q76" t="n">
        <v>1</v>
      </c>
      <c r="R76" s="2" t="inlineStr">
        <is>
          <t>Grov fjädermossa</t>
        </is>
      </c>
      <c r="S76">
        <f>HYPERLINK("https://klasma.github.io/Logging_0580/artfynd/A 90-2024 artfynd.xlsx", "A 90-2024")</f>
        <v/>
      </c>
      <c r="T76">
        <f>HYPERLINK("https://klasma.github.io/Logging_0580/kartor/A 90-2024 karta.png", "A 90-2024")</f>
        <v/>
      </c>
      <c r="V76">
        <f>HYPERLINK("https://klasma.github.io/Logging_0580/klagomål/A 90-2024 FSC-klagomål.docx", "A 90-2024")</f>
        <v/>
      </c>
      <c r="W76">
        <f>HYPERLINK("https://klasma.github.io/Logging_0580/klagomålsmail/A 90-2024 FSC-klagomål mail.docx", "A 90-2024")</f>
        <v/>
      </c>
      <c r="X76">
        <f>HYPERLINK("https://klasma.github.io/Logging_0580/tillsyn/A 90-2024 tillsynsbegäran.docx", "A 90-2024")</f>
        <v/>
      </c>
      <c r="Y76">
        <f>HYPERLINK("https://klasma.github.io/Logging_0580/tillsynsmail/A 90-2024 tillsynsbegäran mail.docx", "A 90-2024")</f>
        <v/>
      </c>
    </row>
    <row r="77" ht="15" customHeight="1">
      <c r="A77" t="inlineStr">
        <is>
          <t>A 40315-2024</t>
        </is>
      </c>
      <c r="B77" s="1" t="n">
        <v>45554.7571875</v>
      </c>
      <c r="C77" s="1" t="n">
        <v>46104</v>
      </c>
      <c r="D77" t="inlineStr">
        <is>
          <t>ÖSTERGÖTLANDS LÄN</t>
        </is>
      </c>
      <c r="E77" t="inlineStr">
        <is>
          <t>LINKÖPING</t>
        </is>
      </c>
      <c r="F77" t="inlineStr">
        <is>
          <t>Allmännings- och besparingsskogar</t>
        </is>
      </c>
      <c r="G77" t="n">
        <v>15.8</v>
      </c>
      <c r="H77" t="n">
        <v>0</v>
      </c>
      <c r="I77" t="n">
        <v>0</v>
      </c>
      <c r="J77" t="n">
        <v>0</v>
      </c>
      <c r="K77" t="n">
        <v>0</v>
      </c>
      <c r="L77" t="n">
        <v>0</v>
      </c>
      <c r="M77" t="n">
        <v>1</v>
      </c>
      <c r="N77" t="n">
        <v>0</v>
      </c>
      <c r="O77" t="n">
        <v>1</v>
      </c>
      <c r="P77" t="n">
        <v>1</v>
      </c>
      <c r="Q77" t="n">
        <v>1</v>
      </c>
      <c r="R77" s="2" t="inlineStr">
        <is>
          <t>Skogsalm</t>
        </is>
      </c>
      <c r="S77">
        <f>HYPERLINK("https://klasma.github.io/Logging_0580/artfynd/A 40315-2024 artfynd.xlsx", "A 40315-2024")</f>
        <v/>
      </c>
      <c r="T77">
        <f>HYPERLINK("https://klasma.github.io/Logging_0580/kartor/A 40315-2024 karta.png", "A 40315-2024")</f>
        <v/>
      </c>
      <c r="V77">
        <f>HYPERLINK("https://klasma.github.io/Logging_0580/klagomål/A 40315-2024 FSC-klagomål.docx", "A 40315-2024")</f>
        <v/>
      </c>
      <c r="W77">
        <f>HYPERLINK("https://klasma.github.io/Logging_0580/klagomålsmail/A 40315-2024 FSC-klagomål mail.docx", "A 40315-2024")</f>
        <v/>
      </c>
      <c r="X77">
        <f>HYPERLINK("https://klasma.github.io/Logging_0580/tillsyn/A 40315-2024 tillsynsbegäran.docx", "A 40315-2024")</f>
        <v/>
      </c>
      <c r="Y77">
        <f>HYPERLINK("https://klasma.github.io/Logging_0580/tillsynsmail/A 40315-2024 tillsynsbegäran mail.docx", "A 40315-2024")</f>
        <v/>
      </c>
    </row>
    <row r="78" ht="15" customHeight="1">
      <c r="A78" t="inlineStr">
        <is>
          <t>A 15290-2025</t>
        </is>
      </c>
      <c r="B78" s="1" t="n">
        <v>45745.45288194445</v>
      </c>
      <c r="C78" s="1" t="n">
        <v>46104</v>
      </c>
      <c r="D78" t="inlineStr">
        <is>
          <t>ÖSTERGÖTLANDS LÄN</t>
        </is>
      </c>
      <c r="E78" t="inlineStr">
        <is>
          <t>LINKÖPING</t>
        </is>
      </c>
      <c r="G78" t="n">
        <v>18.4</v>
      </c>
      <c r="H78" t="n">
        <v>1</v>
      </c>
      <c r="I78" t="n">
        <v>0</v>
      </c>
      <c r="J78" t="n">
        <v>1</v>
      </c>
      <c r="K78" t="n">
        <v>0</v>
      </c>
      <c r="L78" t="n">
        <v>0</v>
      </c>
      <c r="M78" t="n">
        <v>0</v>
      </c>
      <c r="N78" t="n">
        <v>0</v>
      </c>
      <c r="O78" t="n">
        <v>1</v>
      </c>
      <c r="P78" t="n">
        <v>0</v>
      </c>
      <c r="Q78" t="n">
        <v>1</v>
      </c>
      <c r="R78" s="2" t="inlineStr">
        <is>
          <t>Havsörn</t>
        </is>
      </c>
      <c r="S78">
        <f>HYPERLINK("https://klasma.github.io/Logging_0580/artfynd/A 15290-2025 artfynd.xlsx", "A 15290-2025")</f>
        <v/>
      </c>
      <c r="T78">
        <f>HYPERLINK("https://klasma.github.io/Logging_0580/kartor/A 15290-2025 karta.png", "A 15290-2025")</f>
        <v/>
      </c>
      <c r="V78">
        <f>HYPERLINK("https://klasma.github.io/Logging_0580/klagomål/A 15290-2025 FSC-klagomål.docx", "A 15290-2025")</f>
        <v/>
      </c>
      <c r="W78">
        <f>HYPERLINK("https://klasma.github.io/Logging_0580/klagomålsmail/A 15290-2025 FSC-klagomål mail.docx", "A 15290-2025")</f>
        <v/>
      </c>
      <c r="X78">
        <f>HYPERLINK("https://klasma.github.io/Logging_0580/tillsyn/A 15290-2025 tillsynsbegäran.docx", "A 15290-2025")</f>
        <v/>
      </c>
      <c r="Y78">
        <f>HYPERLINK("https://klasma.github.io/Logging_0580/tillsynsmail/A 15290-2025 tillsynsbegäran mail.docx", "A 15290-2025")</f>
        <v/>
      </c>
      <c r="Z78">
        <f>HYPERLINK("https://klasma.github.io/Logging_0580/fåglar/A 15290-2025 prioriterade fågelarter.docx", "A 15290-2025")</f>
        <v/>
      </c>
    </row>
    <row r="79" ht="15" customHeight="1">
      <c r="A79" t="inlineStr">
        <is>
          <t>A 27403-2025</t>
        </is>
      </c>
      <c r="B79" s="1" t="n">
        <v>45812.72518518518</v>
      </c>
      <c r="C79" s="1" t="n">
        <v>46104</v>
      </c>
      <c r="D79" t="inlineStr">
        <is>
          <t>ÖSTERGÖTLANDS LÄN</t>
        </is>
      </c>
      <c r="E79" t="inlineStr">
        <is>
          <t>LINKÖPING</t>
        </is>
      </c>
      <c r="G79" t="n">
        <v>1.4</v>
      </c>
      <c r="H79" t="n">
        <v>0</v>
      </c>
      <c r="I79" t="n">
        <v>0</v>
      </c>
      <c r="J79" t="n">
        <v>1</v>
      </c>
      <c r="K79" t="n">
        <v>0</v>
      </c>
      <c r="L79" t="n">
        <v>0</v>
      </c>
      <c r="M79" t="n">
        <v>0</v>
      </c>
      <c r="N79" t="n">
        <v>0</v>
      </c>
      <c r="O79" t="n">
        <v>1</v>
      </c>
      <c r="P79" t="n">
        <v>0</v>
      </c>
      <c r="Q79" t="n">
        <v>1</v>
      </c>
      <c r="R79" s="2" t="inlineStr">
        <is>
          <t>Tallticka</t>
        </is>
      </c>
      <c r="S79">
        <f>HYPERLINK("https://klasma.github.io/Logging_0580/artfynd/A 27403-2025 artfynd.xlsx", "A 27403-2025")</f>
        <v/>
      </c>
      <c r="T79">
        <f>HYPERLINK("https://klasma.github.io/Logging_0580/kartor/A 27403-2025 karta.png", "A 27403-2025")</f>
        <v/>
      </c>
      <c r="V79">
        <f>HYPERLINK("https://klasma.github.io/Logging_0580/klagomål/A 27403-2025 FSC-klagomål.docx", "A 27403-2025")</f>
        <v/>
      </c>
      <c r="W79">
        <f>HYPERLINK("https://klasma.github.io/Logging_0580/klagomålsmail/A 27403-2025 FSC-klagomål mail.docx", "A 27403-2025")</f>
        <v/>
      </c>
      <c r="X79">
        <f>HYPERLINK("https://klasma.github.io/Logging_0580/tillsyn/A 27403-2025 tillsynsbegäran.docx", "A 27403-2025")</f>
        <v/>
      </c>
      <c r="Y79">
        <f>HYPERLINK("https://klasma.github.io/Logging_0580/tillsynsmail/A 27403-2025 tillsynsbegäran mail.docx", "A 27403-2025")</f>
        <v/>
      </c>
    </row>
    <row r="80" ht="15" customHeight="1">
      <c r="A80" t="inlineStr">
        <is>
          <t>A 34881-2023</t>
        </is>
      </c>
      <c r="B80" s="1" t="n">
        <v>45140</v>
      </c>
      <c r="C80" s="1" t="n">
        <v>46104</v>
      </c>
      <c r="D80" t="inlineStr">
        <is>
          <t>ÖSTERGÖTLANDS LÄN</t>
        </is>
      </c>
      <c r="E80" t="inlineStr">
        <is>
          <t>LINKÖPING</t>
        </is>
      </c>
      <c r="G80" t="n">
        <v>1.9</v>
      </c>
      <c r="H80" t="n">
        <v>0</v>
      </c>
      <c r="I80" t="n">
        <v>0</v>
      </c>
      <c r="J80" t="n">
        <v>1</v>
      </c>
      <c r="K80" t="n">
        <v>0</v>
      </c>
      <c r="L80" t="n">
        <v>0</v>
      </c>
      <c r="M80" t="n">
        <v>0</v>
      </c>
      <c r="N80" t="n">
        <v>0</v>
      </c>
      <c r="O80" t="n">
        <v>1</v>
      </c>
      <c r="P80" t="n">
        <v>0</v>
      </c>
      <c r="Q80" t="n">
        <v>1</v>
      </c>
      <c r="R80" s="2" t="inlineStr">
        <is>
          <t>Tallticka</t>
        </is>
      </c>
      <c r="S80">
        <f>HYPERLINK("https://klasma.github.io/Logging_0580/artfynd/A 34881-2023 artfynd.xlsx", "A 34881-2023")</f>
        <v/>
      </c>
      <c r="T80">
        <f>HYPERLINK("https://klasma.github.io/Logging_0580/kartor/A 34881-2023 karta.png", "A 34881-2023")</f>
        <v/>
      </c>
      <c r="U80">
        <f>HYPERLINK("https://klasma.github.io/Logging_0580/knärot/A 34881-2023 karta knärot.png", "A 34881-2023")</f>
        <v/>
      </c>
      <c r="V80">
        <f>HYPERLINK("https://klasma.github.io/Logging_0580/klagomål/A 34881-2023 FSC-klagomål.docx", "A 34881-2023")</f>
        <v/>
      </c>
      <c r="W80">
        <f>HYPERLINK("https://klasma.github.io/Logging_0580/klagomålsmail/A 34881-2023 FSC-klagomål mail.docx", "A 34881-2023")</f>
        <v/>
      </c>
      <c r="X80">
        <f>HYPERLINK("https://klasma.github.io/Logging_0580/tillsyn/A 34881-2023 tillsynsbegäran.docx", "A 34881-2023")</f>
        <v/>
      </c>
      <c r="Y80">
        <f>HYPERLINK("https://klasma.github.io/Logging_0580/tillsynsmail/A 34881-2023 tillsynsbegäran mail.docx", "A 34881-2023")</f>
        <v/>
      </c>
    </row>
    <row r="81" ht="15" customHeight="1">
      <c r="A81" t="inlineStr">
        <is>
          <t>A 50471-2024</t>
        </is>
      </c>
      <c r="B81" s="1" t="n">
        <v>45601.47166666666</v>
      </c>
      <c r="C81" s="1" t="n">
        <v>46104</v>
      </c>
      <c r="D81" t="inlineStr">
        <is>
          <t>ÖSTERGÖTLANDS LÄN</t>
        </is>
      </c>
      <c r="E81" t="inlineStr">
        <is>
          <t>LINKÖPING</t>
        </is>
      </c>
      <c r="F81" t="inlineStr">
        <is>
          <t>Övriga Aktiebolag</t>
        </is>
      </c>
      <c r="G81" t="n">
        <v>2</v>
      </c>
      <c r="H81" t="n">
        <v>0</v>
      </c>
      <c r="I81" t="n">
        <v>1</v>
      </c>
      <c r="J81" t="n">
        <v>0</v>
      </c>
      <c r="K81" t="n">
        <v>0</v>
      </c>
      <c r="L81" t="n">
        <v>0</v>
      </c>
      <c r="M81" t="n">
        <v>0</v>
      </c>
      <c r="N81" t="n">
        <v>0</v>
      </c>
      <c r="O81" t="n">
        <v>0</v>
      </c>
      <c r="P81" t="n">
        <v>0</v>
      </c>
      <c r="Q81" t="n">
        <v>1</v>
      </c>
      <c r="R81" s="2" t="inlineStr">
        <is>
          <t>Västlig hakmossa</t>
        </is>
      </c>
      <c r="S81">
        <f>HYPERLINK("https://klasma.github.io/Logging_0580/artfynd/A 50471-2024 artfynd.xlsx", "A 50471-2024")</f>
        <v/>
      </c>
      <c r="T81">
        <f>HYPERLINK("https://klasma.github.io/Logging_0580/kartor/A 50471-2024 karta.png", "A 50471-2024")</f>
        <v/>
      </c>
      <c r="V81">
        <f>HYPERLINK("https://klasma.github.io/Logging_0580/klagomål/A 50471-2024 FSC-klagomål.docx", "A 50471-2024")</f>
        <v/>
      </c>
      <c r="W81">
        <f>HYPERLINK("https://klasma.github.io/Logging_0580/klagomålsmail/A 50471-2024 FSC-klagomål mail.docx", "A 50471-2024")</f>
        <v/>
      </c>
      <c r="X81">
        <f>HYPERLINK("https://klasma.github.io/Logging_0580/tillsyn/A 50471-2024 tillsynsbegäran.docx", "A 50471-2024")</f>
        <v/>
      </c>
      <c r="Y81">
        <f>HYPERLINK("https://klasma.github.io/Logging_0580/tillsynsmail/A 50471-2024 tillsynsbegäran mail.docx", "A 50471-2024")</f>
        <v/>
      </c>
    </row>
    <row r="82" ht="15" customHeight="1">
      <c r="A82" t="inlineStr">
        <is>
          <t>A 17389-2021</t>
        </is>
      </c>
      <c r="B82" s="1" t="n">
        <v>44298.96792824074</v>
      </c>
      <c r="C82" s="1" t="n">
        <v>46104</v>
      </c>
      <c r="D82" t="inlineStr">
        <is>
          <t>ÖSTERGÖTLANDS LÄN</t>
        </is>
      </c>
      <c r="E82" t="inlineStr">
        <is>
          <t>LINKÖPING</t>
        </is>
      </c>
      <c r="G82" t="n">
        <v>5.1</v>
      </c>
      <c r="H82" t="n">
        <v>0</v>
      </c>
      <c r="I82" t="n">
        <v>1</v>
      </c>
      <c r="J82" t="n">
        <v>0</v>
      </c>
      <c r="K82" t="n">
        <v>0</v>
      </c>
      <c r="L82" t="n">
        <v>0</v>
      </c>
      <c r="M82" t="n">
        <v>0</v>
      </c>
      <c r="N82" t="n">
        <v>0</v>
      </c>
      <c r="O82" t="n">
        <v>0</v>
      </c>
      <c r="P82" t="n">
        <v>0</v>
      </c>
      <c r="Q82" t="n">
        <v>1</v>
      </c>
      <c r="R82" s="2" t="inlineStr">
        <is>
          <t>Blomkålssvamp</t>
        </is>
      </c>
      <c r="S82">
        <f>HYPERLINK("https://klasma.github.io/Logging_0580/artfynd/A 17389-2021 artfynd.xlsx", "A 17389-2021")</f>
        <v/>
      </c>
      <c r="T82">
        <f>HYPERLINK("https://klasma.github.io/Logging_0580/kartor/A 17389-2021 karta.png", "A 17389-2021")</f>
        <v/>
      </c>
      <c r="V82">
        <f>HYPERLINK("https://klasma.github.io/Logging_0580/klagomål/A 17389-2021 FSC-klagomål.docx", "A 17389-2021")</f>
        <v/>
      </c>
      <c r="W82">
        <f>HYPERLINK("https://klasma.github.io/Logging_0580/klagomålsmail/A 17389-2021 FSC-klagomål mail.docx", "A 17389-2021")</f>
        <v/>
      </c>
      <c r="X82">
        <f>HYPERLINK("https://klasma.github.io/Logging_0580/tillsyn/A 17389-2021 tillsynsbegäran.docx", "A 17389-2021")</f>
        <v/>
      </c>
      <c r="Y82">
        <f>HYPERLINK("https://klasma.github.io/Logging_0580/tillsynsmail/A 17389-2021 tillsynsbegäran mail.docx", "A 17389-2021")</f>
        <v/>
      </c>
    </row>
    <row r="83" ht="15" customHeight="1">
      <c r="A83" t="inlineStr">
        <is>
          <t>A 29393-2025</t>
        </is>
      </c>
      <c r="B83" s="1" t="n">
        <v>45824.6057175926</v>
      </c>
      <c r="C83" s="1" t="n">
        <v>46104</v>
      </c>
      <c r="D83" t="inlineStr">
        <is>
          <t>ÖSTERGÖTLANDS LÄN</t>
        </is>
      </c>
      <c r="E83" t="inlineStr">
        <is>
          <t>LINKÖPING</t>
        </is>
      </c>
      <c r="F83" t="inlineStr">
        <is>
          <t>Sveaskog</t>
        </is>
      </c>
      <c r="G83" t="n">
        <v>24.6</v>
      </c>
      <c r="H83" t="n">
        <v>1</v>
      </c>
      <c r="I83" t="n">
        <v>0</v>
      </c>
      <c r="J83" t="n">
        <v>0</v>
      </c>
      <c r="K83" t="n">
        <v>1</v>
      </c>
      <c r="L83" t="n">
        <v>0</v>
      </c>
      <c r="M83" t="n">
        <v>0</v>
      </c>
      <c r="N83" t="n">
        <v>0</v>
      </c>
      <c r="O83" t="n">
        <v>1</v>
      </c>
      <c r="P83" t="n">
        <v>1</v>
      </c>
      <c r="Q83" t="n">
        <v>1</v>
      </c>
      <c r="R83" s="2" t="inlineStr">
        <is>
          <t>Skogsgås</t>
        </is>
      </c>
      <c r="S83">
        <f>HYPERLINK("https://klasma.github.io/Logging_0580/artfynd/A 29393-2025 artfynd.xlsx", "A 29393-2025")</f>
        <v/>
      </c>
      <c r="T83">
        <f>HYPERLINK("https://klasma.github.io/Logging_0580/kartor/A 29393-2025 karta.png", "A 29393-2025")</f>
        <v/>
      </c>
      <c r="V83">
        <f>HYPERLINK("https://klasma.github.io/Logging_0580/klagomål/A 29393-2025 FSC-klagomål.docx", "A 29393-2025")</f>
        <v/>
      </c>
      <c r="W83">
        <f>HYPERLINK("https://klasma.github.io/Logging_0580/klagomålsmail/A 29393-2025 FSC-klagomål mail.docx", "A 29393-2025")</f>
        <v/>
      </c>
      <c r="X83">
        <f>HYPERLINK("https://klasma.github.io/Logging_0580/tillsyn/A 29393-2025 tillsynsbegäran.docx", "A 29393-2025")</f>
        <v/>
      </c>
      <c r="Y83">
        <f>HYPERLINK("https://klasma.github.io/Logging_0580/tillsynsmail/A 29393-2025 tillsynsbegäran mail.docx", "A 29393-2025")</f>
        <v/>
      </c>
      <c r="Z83">
        <f>HYPERLINK("https://klasma.github.io/Logging_0580/fåglar/A 29393-2025 prioriterade fågelarter.docx", "A 29393-2025")</f>
        <v/>
      </c>
    </row>
    <row r="84" ht="15" customHeight="1">
      <c r="A84" t="inlineStr">
        <is>
          <t>A 56128-2022</t>
        </is>
      </c>
      <c r="B84" s="1" t="n">
        <v>44889</v>
      </c>
      <c r="C84" s="1" t="n">
        <v>46104</v>
      </c>
      <c r="D84" t="inlineStr">
        <is>
          <t>ÖSTERGÖTLANDS LÄN</t>
        </is>
      </c>
      <c r="E84" t="inlineStr">
        <is>
          <t>LINKÖPING</t>
        </is>
      </c>
      <c r="G84" t="n">
        <v>2</v>
      </c>
      <c r="H84" t="n">
        <v>0</v>
      </c>
      <c r="I84" t="n">
        <v>1</v>
      </c>
      <c r="J84" t="n">
        <v>0</v>
      </c>
      <c r="K84" t="n">
        <v>0</v>
      </c>
      <c r="L84" t="n">
        <v>0</v>
      </c>
      <c r="M84" t="n">
        <v>0</v>
      </c>
      <c r="N84" t="n">
        <v>0</v>
      </c>
      <c r="O84" t="n">
        <v>0</v>
      </c>
      <c r="P84" t="n">
        <v>0</v>
      </c>
      <c r="Q84" t="n">
        <v>1</v>
      </c>
      <c r="R84" s="2" t="inlineStr">
        <is>
          <t>Tibast</t>
        </is>
      </c>
      <c r="S84">
        <f>HYPERLINK("https://klasma.github.io/Logging_0580/artfynd/A 56128-2022 artfynd.xlsx", "A 56128-2022")</f>
        <v/>
      </c>
      <c r="T84">
        <f>HYPERLINK("https://klasma.github.io/Logging_0580/kartor/A 56128-2022 karta.png", "A 56128-2022")</f>
        <v/>
      </c>
      <c r="V84">
        <f>HYPERLINK("https://klasma.github.io/Logging_0580/klagomål/A 56128-2022 FSC-klagomål.docx", "A 56128-2022")</f>
        <v/>
      </c>
      <c r="W84">
        <f>HYPERLINK("https://klasma.github.io/Logging_0580/klagomålsmail/A 56128-2022 FSC-klagomål mail.docx", "A 56128-2022")</f>
        <v/>
      </c>
      <c r="X84">
        <f>HYPERLINK("https://klasma.github.io/Logging_0580/tillsyn/A 56128-2022 tillsynsbegäran.docx", "A 56128-2022")</f>
        <v/>
      </c>
      <c r="Y84">
        <f>HYPERLINK("https://klasma.github.io/Logging_0580/tillsynsmail/A 56128-2022 tillsynsbegäran mail.docx", "A 56128-2022")</f>
        <v/>
      </c>
    </row>
    <row r="85" ht="15" customHeight="1">
      <c r="A85" t="inlineStr">
        <is>
          <t>A 40309-2024</t>
        </is>
      </c>
      <c r="B85" s="1" t="n">
        <v>45554.724375</v>
      </c>
      <c r="C85" s="1" t="n">
        <v>46104</v>
      </c>
      <c r="D85" t="inlineStr">
        <is>
          <t>ÖSTERGÖTLANDS LÄN</t>
        </is>
      </c>
      <c r="E85" t="inlineStr">
        <is>
          <t>LINKÖPING</t>
        </is>
      </c>
      <c r="F85" t="inlineStr">
        <is>
          <t>Allmännings- och besparingsskogar</t>
        </is>
      </c>
      <c r="G85" t="n">
        <v>6</v>
      </c>
      <c r="H85" t="n">
        <v>0</v>
      </c>
      <c r="I85" t="n">
        <v>0</v>
      </c>
      <c r="J85" t="n">
        <v>1</v>
      </c>
      <c r="K85" t="n">
        <v>0</v>
      </c>
      <c r="L85" t="n">
        <v>0</v>
      </c>
      <c r="M85" t="n">
        <v>0</v>
      </c>
      <c r="N85" t="n">
        <v>0</v>
      </c>
      <c r="O85" t="n">
        <v>1</v>
      </c>
      <c r="P85" t="n">
        <v>0</v>
      </c>
      <c r="Q85" t="n">
        <v>1</v>
      </c>
      <c r="R85" s="2" t="inlineStr">
        <is>
          <t>Garnlav</t>
        </is>
      </c>
      <c r="S85">
        <f>HYPERLINK("https://klasma.github.io/Logging_0580/artfynd/A 40309-2024 artfynd.xlsx", "A 40309-2024")</f>
        <v/>
      </c>
      <c r="T85">
        <f>HYPERLINK("https://klasma.github.io/Logging_0580/kartor/A 40309-2024 karta.png", "A 40309-2024")</f>
        <v/>
      </c>
      <c r="V85">
        <f>HYPERLINK("https://klasma.github.io/Logging_0580/klagomål/A 40309-2024 FSC-klagomål.docx", "A 40309-2024")</f>
        <v/>
      </c>
      <c r="W85">
        <f>HYPERLINK("https://klasma.github.io/Logging_0580/klagomålsmail/A 40309-2024 FSC-klagomål mail.docx", "A 40309-2024")</f>
        <v/>
      </c>
      <c r="X85">
        <f>HYPERLINK("https://klasma.github.io/Logging_0580/tillsyn/A 40309-2024 tillsynsbegäran.docx", "A 40309-2024")</f>
        <v/>
      </c>
      <c r="Y85">
        <f>HYPERLINK("https://klasma.github.io/Logging_0580/tillsynsmail/A 40309-2024 tillsynsbegäran mail.docx", "A 40309-2024")</f>
        <v/>
      </c>
    </row>
    <row r="86" ht="15" customHeight="1">
      <c r="A86" t="inlineStr">
        <is>
          <t>A 54835-2023</t>
        </is>
      </c>
      <c r="B86" s="1" t="n">
        <v>45236</v>
      </c>
      <c r="C86" s="1" t="n">
        <v>46104</v>
      </c>
      <c r="D86" t="inlineStr">
        <is>
          <t>ÖSTERGÖTLANDS LÄN</t>
        </is>
      </c>
      <c r="E86" t="inlineStr">
        <is>
          <t>LINKÖPING</t>
        </is>
      </c>
      <c r="G86" t="n">
        <v>2</v>
      </c>
      <c r="H86" t="n">
        <v>1</v>
      </c>
      <c r="I86" t="n">
        <v>0</v>
      </c>
      <c r="J86" t="n">
        <v>0</v>
      </c>
      <c r="K86" t="n">
        <v>0</v>
      </c>
      <c r="L86" t="n">
        <v>0</v>
      </c>
      <c r="M86" t="n">
        <v>0</v>
      </c>
      <c r="N86" t="n">
        <v>0</v>
      </c>
      <c r="O86" t="n">
        <v>0</v>
      </c>
      <c r="P86" t="n">
        <v>0</v>
      </c>
      <c r="Q86" t="n">
        <v>1</v>
      </c>
      <c r="R86" s="2" t="inlineStr">
        <is>
          <t>Sparvuggla</t>
        </is>
      </c>
      <c r="S86">
        <f>HYPERLINK("https://klasma.github.io/Logging_0580/artfynd/A 54835-2023 artfynd.xlsx", "A 54835-2023")</f>
        <v/>
      </c>
      <c r="T86">
        <f>HYPERLINK("https://klasma.github.io/Logging_0580/kartor/A 54835-2023 karta.png", "A 54835-2023")</f>
        <v/>
      </c>
      <c r="V86">
        <f>HYPERLINK("https://klasma.github.io/Logging_0580/klagomål/A 54835-2023 FSC-klagomål.docx", "A 54835-2023")</f>
        <v/>
      </c>
      <c r="W86">
        <f>HYPERLINK("https://klasma.github.io/Logging_0580/klagomålsmail/A 54835-2023 FSC-klagomål mail.docx", "A 54835-2023")</f>
        <v/>
      </c>
      <c r="X86">
        <f>HYPERLINK("https://klasma.github.io/Logging_0580/tillsyn/A 54835-2023 tillsynsbegäran.docx", "A 54835-2023")</f>
        <v/>
      </c>
      <c r="Y86">
        <f>HYPERLINK("https://klasma.github.io/Logging_0580/tillsynsmail/A 54835-2023 tillsynsbegäran mail.docx", "A 54835-2023")</f>
        <v/>
      </c>
      <c r="Z86">
        <f>HYPERLINK("https://klasma.github.io/Logging_0580/fåglar/A 54835-2023 prioriterade fågelarter.docx", "A 54835-2023")</f>
        <v/>
      </c>
    </row>
    <row r="87" ht="15" customHeight="1">
      <c r="A87" t="inlineStr">
        <is>
          <t>A 126-2024</t>
        </is>
      </c>
      <c r="B87" s="1" t="n">
        <v>45294</v>
      </c>
      <c r="C87" s="1" t="n">
        <v>46104</v>
      </c>
      <c r="D87" t="inlineStr">
        <is>
          <t>ÖSTERGÖTLANDS LÄN</t>
        </is>
      </c>
      <c r="E87" t="inlineStr">
        <is>
          <t>LINKÖPING</t>
        </is>
      </c>
      <c r="G87" t="n">
        <v>1</v>
      </c>
      <c r="H87" t="n">
        <v>0</v>
      </c>
      <c r="I87" t="n">
        <v>1</v>
      </c>
      <c r="J87" t="n">
        <v>0</v>
      </c>
      <c r="K87" t="n">
        <v>0</v>
      </c>
      <c r="L87" t="n">
        <v>0</v>
      </c>
      <c r="M87" t="n">
        <v>0</v>
      </c>
      <c r="N87" t="n">
        <v>0</v>
      </c>
      <c r="O87" t="n">
        <v>0</v>
      </c>
      <c r="P87" t="n">
        <v>0</v>
      </c>
      <c r="Q87" t="n">
        <v>1</v>
      </c>
      <c r="R87" s="2" t="inlineStr">
        <is>
          <t>Blåmossa</t>
        </is>
      </c>
      <c r="S87">
        <f>HYPERLINK("https://klasma.github.io/Logging_0580/artfynd/A 126-2024 artfynd.xlsx", "A 126-2024")</f>
        <v/>
      </c>
      <c r="T87">
        <f>HYPERLINK("https://klasma.github.io/Logging_0580/kartor/A 126-2024 karta.png", "A 126-2024")</f>
        <v/>
      </c>
      <c r="V87">
        <f>HYPERLINK("https://klasma.github.io/Logging_0580/klagomål/A 126-2024 FSC-klagomål.docx", "A 126-2024")</f>
        <v/>
      </c>
      <c r="W87">
        <f>HYPERLINK("https://klasma.github.io/Logging_0580/klagomålsmail/A 126-2024 FSC-klagomål mail.docx", "A 126-2024")</f>
        <v/>
      </c>
      <c r="X87">
        <f>HYPERLINK("https://klasma.github.io/Logging_0580/tillsyn/A 126-2024 tillsynsbegäran.docx", "A 126-2024")</f>
        <v/>
      </c>
      <c r="Y87">
        <f>HYPERLINK("https://klasma.github.io/Logging_0580/tillsynsmail/A 126-2024 tillsynsbegäran mail.docx", "A 126-2024")</f>
        <v/>
      </c>
    </row>
    <row r="88" ht="15" customHeight="1">
      <c r="A88" t="inlineStr">
        <is>
          <t>A 36723-2023</t>
        </is>
      </c>
      <c r="B88" s="1" t="n">
        <v>45153</v>
      </c>
      <c r="C88" s="1" t="n">
        <v>46104</v>
      </c>
      <c r="D88" t="inlineStr">
        <is>
          <t>ÖSTERGÖTLANDS LÄN</t>
        </is>
      </c>
      <c r="E88" t="inlineStr">
        <is>
          <t>LINKÖPING</t>
        </is>
      </c>
      <c r="F88" t="inlineStr">
        <is>
          <t>Allmännings- och besparingsskogar</t>
        </is>
      </c>
      <c r="G88" t="n">
        <v>9.9</v>
      </c>
      <c r="H88" t="n">
        <v>0</v>
      </c>
      <c r="I88" t="n">
        <v>0</v>
      </c>
      <c r="J88" t="n">
        <v>0</v>
      </c>
      <c r="K88" t="n">
        <v>1</v>
      </c>
      <c r="L88" t="n">
        <v>0</v>
      </c>
      <c r="M88" t="n">
        <v>0</v>
      </c>
      <c r="N88" t="n">
        <v>0</v>
      </c>
      <c r="O88" t="n">
        <v>1</v>
      </c>
      <c r="P88" t="n">
        <v>1</v>
      </c>
      <c r="Q88" t="n">
        <v>1</v>
      </c>
      <c r="R88" s="2" t="inlineStr">
        <is>
          <t>Bitter taggsvamp</t>
        </is>
      </c>
      <c r="S88">
        <f>HYPERLINK("https://klasma.github.io/Logging_0580/artfynd/A 36723-2023 artfynd.xlsx", "A 36723-2023")</f>
        <v/>
      </c>
      <c r="T88">
        <f>HYPERLINK("https://klasma.github.io/Logging_0580/kartor/A 36723-2023 karta.png", "A 36723-2023")</f>
        <v/>
      </c>
      <c r="V88">
        <f>HYPERLINK("https://klasma.github.io/Logging_0580/klagomål/A 36723-2023 FSC-klagomål.docx", "A 36723-2023")</f>
        <v/>
      </c>
      <c r="W88">
        <f>HYPERLINK("https://klasma.github.io/Logging_0580/klagomålsmail/A 36723-2023 FSC-klagomål mail.docx", "A 36723-2023")</f>
        <v/>
      </c>
      <c r="X88">
        <f>HYPERLINK("https://klasma.github.io/Logging_0580/tillsyn/A 36723-2023 tillsynsbegäran.docx", "A 36723-2023")</f>
        <v/>
      </c>
      <c r="Y88">
        <f>HYPERLINK("https://klasma.github.io/Logging_0580/tillsynsmail/A 36723-2023 tillsynsbegäran mail.docx", "A 36723-2023")</f>
        <v/>
      </c>
    </row>
    <row r="89" ht="15" customHeight="1">
      <c r="A89" t="inlineStr">
        <is>
          <t>A 3395-2023</t>
        </is>
      </c>
      <c r="B89" s="1" t="n">
        <v>44949</v>
      </c>
      <c r="C89" s="1" t="n">
        <v>46104</v>
      </c>
      <c r="D89" t="inlineStr">
        <is>
          <t>ÖSTERGÖTLANDS LÄN</t>
        </is>
      </c>
      <c r="E89" t="inlineStr">
        <is>
          <t>LINKÖPING</t>
        </is>
      </c>
      <c r="G89" t="n">
        <v>2</v>
      </c>
      <c r="H89" t="n">
        <v>0</v>
      </c>
      <c r="I89" t="n">
        <v>0</v>
      </c>
      <c r="J89" t="n">
        <v>1</v>
      </c>
      <c r="K89" t="n">
        <v>0</v>
      </c>
      <c r="L89" t="n">
        <v>0</v>
      </c>
      <c r="M89" t="n">
        <v>0</v>
      </c>
      <c r="N89" t="n">
        <v>0</v>
      </c>
      <c r="O89" t="n">
        <v>1</v>
      </c>
      <c r="P89" t="n">
        <v>0</v>
      </c>
      <c r="Q89" t="n">
        <v>1</v>
      </c>
      <c r="R89" s="2" t="inlineStr">
        <is>
          <t>Sommarfibbla</t>
        </is>
      </c>
      <c r="S89">
        <f>HYPERLINK("https://klasma.github.io/Logging_0580/artfynd/A 3395-2023 artfynd.xlsx", "A 3395-2023")</f>
        <v/>
      </c>
      <c r="T89">
        <f>HYPERLINK("https://klasma.github.io/Logging_0580/kartor/A 3395-2023 karta.png", "A 3395-2023")</f>
        <v/>
      </c>
      <c r="V89">
        <f>HYPERLINK("https://klasma.github.io/Logging_0580/klagomål/A 3395-2023 FSC-klagomål.docx", "A 3395-2023")</f>
        <v/>
      </c>
      <c r="W89">
        <f>HYPERLINK("https://klasma.github.io/Logging_0580/klagomålsmail/A 3395-2023 FSC-klagomål mail.docx", "A 3395-2023")</f>
        <v/>
      </c>
      <c r="X89">
        <f>HYPERLINK("https://klasma.github.io/Logging_0580/tillsyn/A 3395-2023 tillsynsbegäran.docx", "A 3395-2023")</f>
        <v/>
      </c>
      <c r="Y89">
        <f>HYPERLINK("https://klasma.github.io/Logging_0580/tillsynsmail/A 3395-2023 tillsynsbegäran mail.docx", "A 3395-2023")</f>
        <v/>
      </c>
    </row>
    <row r="90" ht="15" customHeight="1">
      <c r="A90" t="inlineStr">
        <is>
          <t>A 19103-2021</t>
        </is>
      </c>
      <c r="B90" s="1" t="n">
        <v>44308</v>
      </c>
      <c r="C90" s="1" t="n">
        <v>46104</v>
      </c>
      <c r="D90" t="inlineStr">
        <is>
          <t>ÖSTERGÖTLANDS LÄN</t>
        </is>
      </c>
      <c r="E90" t="inlineStr">
        <is>
          <t>LINKÖPING</t>
        </is>
      </c>
      <c r="G90" t="n">
        <v>4.7</v>
      </c>
      <c r="H90" t="n">
        <v>0</v>
      </c>
      <c r="I90" t="n">
        <v>0</v>
      </c>
      <c r="J90" t="n">
        <v>1</v>
      </c>
      <c r="K90" t="n">
        <v>0</v>
      </c>
      <c r="L90" t="n">
        <v>0</v>
      </c>
      <c r="M90" t="n">
        <v>0</v>
      </c>
      <c r="N90" t="n">
        <v>0</v>
      </c>
      <c r="O90" t="n">
        <v>1</v>
      </c>
      <c r="P90" t="n">
        <v>0</v>
      </c>
      <c r="Q90" t="n">
        <v>1</v>
      </c>
      <c r="R90" s="2" t="inlineStr">
        <is>
          <t>Tallticka</t>
        </is>
      </c>
      <c r="S90">
        <f>HYPERLINK("https://klasma.github.io/Logging_0580/artfynd/A 19103-2021 artfynd.xlsx", "A 19103-2021")</f>
        <v/>
      </c>
      <c r="T90">
        <f>HYPERLINK("https://klasma.github.io/Logging_0580/kartor/A 19103-2021 karta.png", "A 19103-2021")</f>
        <v/>
      </c>
      <c r="V90">
        <f>HYPERLINK("https://klasma.github.io/Logging_0580/klagomål/A 19103-2021 FSC-klagomål.docx", "A 19103-2021")</f>
        <v/>
      </c>
      <c r="W90">
        <f>HYPERLINK("https://klasma.github.io/Logging_0580/klagomålsmail/A 19103-2021 FSC-klagomål mail.docx", "A 19103-2021")</f>
        <v/>
      </c>
      <c r="X90">
        <f>HYPERLINK("https://klasma.github.io/Logging_0580/tillsyn/A 19103-2021 tillsynsbegäran.docx", "A 19103-2021")</f>
        <v/>
      </c>
      <c r="Y90">
        <f>HYPERLINK("https://klasma.github.io/Logging_0580/tillsynsmail/A 19103-2021 tillsynsbegäran mail.docx", "A 19103-2021")</f>
        <v/>
      </c>
    </row>
    <row r="91" ht="15" customHeight="1">
      <c r="A91" t="inlineStr">
        <is>
          <t>A 50806-2023</t>
        </is>
      </c>
      <c r="B91" s="1" t="n">
        <v>45217</v>
      </c>
      <c r="C91" s="1" t="n">
        <v>46104</v>
      </c>
      <c r="D91" t="inlineStr">
        <is>
          <t>ÖSTERGÖTLANDS LÄN</t>
        </is>
      </c>
      <c r="E91" t="inlineStr">
        <is>
          <t>LINKÖPING</t>
        </is>
      </c>
      <c r="F91" t="inlineStr">
        <is>
          <t>Övriga Aktiebolag</t>
        </is>
      </c>
      <c r="G91" t="n">
        <v>0.7</v>
      </c>
      <c r="H91" t="n">
        <v>1</v>
      </c>
      <c r="I91" t="n">
        <v>0</v>
      </c>
      <c r="J91" t="n">
        <v>0</v>
      </c>
      <c r="K91" t="n">
        <v>0</v>
      </c>
      <c r="L91" t="n">
        <v>0</v>
      </c>
      <c r="M91" t="n">
        <v>0</v>
      </c>
      <c r="N91" t="n">
        <v>0</v>
      </c>
      <c r="O91" t="n">
        <v>0</v>
      </c>
      <c r="P91" t="n">
        <v>0</v>
      </c>
      <c r="Q91" t="n">
        <v>1</v>
      </c>
      <c r="R91" s="2" t="inlineStr">
        <is>
          <t>Gullviva</t>
        </is>
      </c>
      <c r="S91">
        <f>HYPERLINK("https://klasma.github.io/Logging_0580/artfynd/A 50806-2023 artfynd.xlsx", "A 50806-2023")</f>
        <v/>
      </c>
      <c r="T91">
        <f>HYPERLINK("https://klasma.github.io/Logging_0580/kartor/A 50806-2023 karta.png", "A 50806-2023")</f>
        <v/>
      </c>
      <c r="V91">
        <f>HYPERLINK("https://klasma.github.io/Logging_0580/klagomål/A 50806-2023 FSC-klagomål.docx", "A 50806-2023")</f>
        <v/>
      </c>
      <c r="W91">
        <f>HYPERLINK("https://klasma.github.io/Logging_0580/klagomålsmail/A 50806-2023 FSC-klagomål mail.docx", "A 50806-2023")</f>
        <v/>
      </c>
      <c r="X91">
        <f>HYPERLINK("https://klasma.github.io/Logging_0580/tillsyn/A 50806-2023 tillsynsbegäran.docx", "A 50806-2023")</f>
        <v/>
      </c>
      <c r="Y91">
        <f>HYPERLINK("https://klasma.github.io/Logging_0580/tillsynsmail/A 50806-2023 tillsynsbegäran mail.docx", "A 50806-2023")</f>
        <v/>
      </c>
    </row>
    <row r="92" ht="15" customHeight="1">
      <c r="A92" t="inlineStr">
        <is>
          <t>A 39457-2023</t>
        </is>
      </c>
      <c r="B92" s="1" t="n">
        <v>45166</v>
      </c>
      <c r="C92" s="1" t="n">
        <v>46104</v>
      </c>
      <c r="D92" t="inlineStr">
        <is>
          <t>ÖSTERGÖTLANDS LÄN</t>
        </is>
      </c>
      <c r="E92" t="inlineStr">
        <is>
          <t>LINKÖPING</t>
        </is>
      </c>
      <c r="G92" t="n">
        <v>2.1</v>
      </c>
      <c r="H92" t="n">
        <v>1</v>
      </c>
      <c r="I92" t="n">
        <v>0</v>
      </c>
      <c r="J92" t="n">
        <v>0</v>
      </c>
      <c r="K92" t="n">
        <v>0</v>
      </c>
      <c r="L92" t="n">
        <v>0</v>
      </c>
      <c r="M92" t="n">
        <v>0</v>
      </c>
      <c r="N92" t="n">
        <v>0</v>
      </c>
      <c r="O92" t="n">
        <v>0</v>
      </c>
      <c r="P92" t="n">
        <v>0</v>
      </c>
      <c r="Q92" t="n">
        <v>1</v>
      </c>
      <c r="R92" s="2" t="inlineStr">
        <is>
          <t>Sparvuggla</t>
        </is>
      </c>
      <c r="S92">
        <f>HYPERLINK("https://klasma.github.io/Logging_0580/artfynd/A 39457-2023 artfynd.xlsx", "A 39457-2023")</f>
        <v/>
      </c>
      <c r="T92">
        <f>HYPERLINK("https://klasma.github.io/Logging_0580/kartor/A 39457-2023 karta.png", "A 39457-2023")</f>
        <v/>
      </c>
      <c r="V92">
        <f>HYPERLINK("https://klasma.github.io/Logging_0580/klagomål/A 39457-2023 FSC-klagomål.docx", "A 39457-2023")</f>
        <v/>
      </c>
      <c r="W92">
        <f>HYPERLINK("https://klasma.github.io/Logging_0580/klagomålsmail/A 39457-2023 FSC-klagomål mail.docx", "A 39457-2023")</f>
        <v/>
      </c>
      <c r="X92">
        <f>HYPERLINK("https://klasma.github.io/Logging_0580/tillsyn/A 39457-2023 tillsynsbegäran.docx", "A 39457-2023")</f>
        <v/>
      </c>
      <c r="Y92">
        <f>HYPERLINK("https://klasma.github.io/Logging_0580/tillsynsmail/A 39457-2023 tillsynsbegäran mail.docx", "A 39457-2023")</f>
        <v/>
      </c>
      <c r="Z92">
        <f>HYPERLINK("https://klasma.github.io/Logging_0580/fåglar/A 39457-2023 prioriterade fågelarter.docx", "A 39457-2023")</f>
        <v/>
      </c>
    </row>
    <row r="93" ht="15" customHeight="1">
      <c r="A93" t="inlineStr">
        <is>
          <t>A 35948-2023</t>
        </is>
      </c>
      <c r="B93" s="1" t="n">
        <v>45148</v>
      </c>
      <c r="C93" s="1" t="n">
        <v>46104</v>
      </c>
      <c r="D93" t="inlineStr">
        <is>
          <t>ÖSTERGÖTLANDS LÄN</t>
        </is>
      </c>
      <c r="E93" t="inlineStr">
        <is>
          <t>LINKÖPING</t>
        </is>
      </c>
      <c r="G93" t="n">
        <v>1.9</v>
      </c>
      <c r="H93" t="n">
        <v>0</v>
      </c>
      <c r="I93" t="n">
        <v>1</v>
      </c>
      <c r="J93" t="n">
        <v>0</v>
      </c>
      <c r="K93" t="n">
        <v>0</v>
      </c>
      <c r="L93" t="n">
        <v>0</v>
      </c>
      <c r="M93" t="n">
        <v>0</v>
      </c>
      <c r="N93" t="n">
        <v>0</v>
      </c>
      <c r="O93" t="n">
        <v>0</v>
      </c>
      <c r="P93" t="n">
        <v>0</v>
      </c>
      <c r="Q93" t="n">
        <v>1</v>
      </c>
      <c r="R93" s="2" t="inlineStr">
        <is>
          <t>Brun nållav</t>
        </is>
      </c>
      <c r="S93">
        <f>HYPERLINK("https://klasma.github.io/Logging_0580/artfynd/A 35948-2023 artfynd.xlsx", "A 35948-2023")</f>
        <v/>
      </c>
      <c r="T93">
        <f>HYPERLINK("https://klasma.github.io/Logging_0580/kartor/A 35948-2023 karta.png", "A 35948-2023")</f>
        <v/>
      </c>
      <c r="V93">
        <f>HYPERLINK("https://klasma.github.io/Logging_0580/klagomål/A 35948-2023 FSC-klagomål.docx", "A 35948-2023")</f>
        <v/>
      </c>
      <c r="W93">
        <f>HYPERLINK("https://klasma.github.io/Logging_0580/klagomålsmail/A 35948-2023 FSC-klagomål mail.docx", "A 35948-2023")</f>
        <v/>
      </c>
      <c r="X93">
        <f>HYPERLINK("https://klasma.github.io/Logging_0580/tillsyn/A 35948-2023 tillsynsbegäran.docx", "A 35948-2023")</f>
        <v/>
      </c>
      <c r="Y93">
        <f>HYPERLINK("https://klasma.github.io/Logging_0580/tillsynsmail/A 35948-2023 tillsynsbegäran mail.docx", "A 35948-2023")</f>
        <v/>
      </c>
    </row>
    <row r="94" ht="15" customHeight="1">
      <c r="A94" t="inlineStr">
        <is>
          <t>A 62071-2023</t>
        </is>
      </c>
      <c r="B94" s="1" t="n">
        <v>45266.73542824074</v>
      </c>
      <c r="C94" s="1" t="n">
        <v>46104</v>
      </c>
      <c r="D94" t="inlineStr">
        <is>
          <t>ÖSTERGÖTLANDS LÄN</t>
        </is>
      </c>
      <c r="E94" t="inlineStr">
        <is>
          <t>LINKÖPING</t>
        </is>
      </c>
      <c r="G94" t="n">
        <v>6.5</v>
      </c>
      <c r="H94" t="n">
        <v>0</v>
      </c>
      <c r="I94" t="n">
        <v>0</v>
      </c>
      <c r="J94" t="n">
        <v>1</v>
      </c>
      <c r="K94" t="n">
        <v>0</v>
      </c>
      <c r="L94" t="n">
        <v>0</v>
      </c>
      <c r="M94" t="n">
        <v>0</v>
      </c>
      <c r="N94" t="n">
        <v>0</v>
      </c>
      <c r="O94" t="n">
        <v>1</v>
      </c>
      <c r="P94" t="n">
        <v>0</v>
      </c>
      <c r="Q94" t="n">
        <v>1</v>
      </c>
      <c r="R94" s="2" t="inlineStr">
        <is>
          <t>Svinrot</t>
        </is>
      </c>
      <c r="S94">
        <f>HYPERLINK("https://klasma.github.io/Logging_0580/artfynd/A 62071-2023 artfynd.xlsx", "A 62071-2023")</f>
        <v/>
      </c>
      <c r="T94">
        <f>HYPERLINK("https://klasma.github.io/Logging_0580/kartor/A 62071-2023 karta.png", "A 62071-2023")</f>
        <v/>
      </c>
      <c r="V94">
        <f>HYPERLINK("https://klasma.github.io/Logging_0580/klagomål/A 62071-2023 FSC-klagomål.docx", "A 62071-2023")</f>
        <v/>
      </c>
      <c r="W94">
        <f>HYPERLINK("https://klasma.github.io/Logging_0580/klagomålsmail/A 62071-2023 FSC-klagomål mail.docx", "A 62071-2023")</f>
        <v/>
      </c>
      <c r="X94">
        <f>HYPERLINK("https://klasma.github.io/Logging_0580/tillsyn/A 62071-2023 tillsynsbegäran.docx", "A 62071-2023")</f>
        <v/>
      </c>
      <c r="Y94">
        <f>HYPERLINK("https://klasma.github.io/Logging_0580/tillsynsmail/A 62071-2023 tillsynsbegäran mail.docx", "A 62071-2023")</f>
        <v/>
      </c>
    </row>
    <row r="95" ht="15" customHeight="1">
      <c r="A95" t="inlineStr">
        <is>
          <t>A 3397-2023</t>
        </is>
      </c>
      <c r="B95" s="1" t="n">
        <v>44949</v>
      </c>
      <c r="C95" s="1" t="n">
        <v>46104</v>
      </c>
      <c r="D95" t="inlineStr">
        <is>
          <t>ÖSTERGÖTLANDS LÄN</t>
        </is>
      </c>
      <c r="E95" t="inlineStr">
        <is>
          <t>LINKÖPING</t>
        </is>
      </c>
      <c r="G95" t="n">
        <v>4.1</v>
      </c>
      <c r="H95" t="n">
        <v>0</v>
      </c>
      <c r="I95" t="n">
        <v>0</v>
      </c>
      <c r="J95" t="n">
        <v>1</v>
      </c>
      <c r="K95" t="n">
        <v>0</v>
      </c>
      <c r="L95" t="n">
        <v>0</v>
      </c>
      <c r="M95" t="n">
        <v>0</v>
      </c>
      <c r="N95" t="n">
        <v>0</v>
      </c>
      <c r="O95" t="n">
        <v>1</v>
      </c>
      <c r="P95" t="n">
        <v>0</v>
      </c>
      <c r="Q95" t="n">
        <v>1</v>
      </c>
      <c r="R95" s="2" t="inlineStr">
        <is>
          <t>Svinrot</t>
        </is>
      </c>
      <c r="S95">
        <f>HYPERLINK("https://klasma.github.io/Logging_0580/artfynd/A 3397-2023 artfynd.xlsx", "A 3397-2023")</f>
        <v/>
      </c>
      <c r="T95">
        <f>HYPERLINK("https://klasma.github.io/Logging_0580/kartor/A 3397-2023 karta.png", "A 3397-2023")</f>
        <v/>
      </c>
      <c r="V95">
        <f>HYPERLINK("https://klasma.github.io/Logging_0580/klagomål/A 3397-2023 FSC-klagomål.docx", "A 3397-2023")</f>
        <v/>
      </c>
      <c r="W95">
        <f>HYPERLINK("https://klasma.github.io/Logging_0580/klagomålsmail/A 3397-2023 FSC-klagomål mail.docx", "A 3397-2023")</f>
        <v/>
      </c>
      <c r="X95">
        <f>HYPERLINK("https://klasma.github.io/Logging_0580/tillsyn/A 3397-2023 tillsynsbegäran.docx", "A 3397-2023")</f>
        <v/>
      </c>
      <c r="Y95">
        <f>HYPERLINK("https://klasma.github.io/Logging_0580/tillsynsmail/A 3397-2023 tillsynsbegäran mail.docx", "A 3397-2023")</f>
        <v/>
      </c>
    </row>
    <row r="96" ht="15" customHeight="1">
      <c r="A96" t="inlineStr">
        <is>
          <t>A 20295-2025</t>
        </is>
      </c>
      <c r="B96" s="1" t="n">
        <v>45774.74846064814</v>
      </c>
      <c r="C96" s="1" t="n">
        <v>46104</v>
      </c>
      <c r="D96" t="inlineStr">
        <is>
          <t>ÖSTERGÖTLANDS LÄN</t>
        </is>
      </c>
      <c r="E96" t="inlineStr">
        <is>
          <t>LINKÖPING</t>
        </is>
      </c>
      <c r="G96" t="n">
        <v>3</v>
      </c>
      <c r="H96" t="n">
        <v>0</v>
      </c>
      <c r="I96" t="n">
        <v>0</v>
      </c>
      <c r="J96" t="n">
        <v>1</v>
      </c>
      <c r="K96" t="n">
        <v>0</v>
      </c>
      <c r="L96" t="n">
        <v>0</v>
      </c>
      <c r="M96" t="n">
        <v>0</v>
      </c>
      <c r="N96" t="n">
        <v>0</v>
      </c>
      <c r="O96" t="n">
        <v>1</v>
      </c>
      <c r="P96" t="n">
        <v>0</v>
      </c>
      <c r="Q96" t="n">
        <v>1</v>
      </c>
      <c r="R96" s="2" t="inlineStr">
        <is>
          <t>Tallticka</t>
        </is>
      </c>
      <c r="S96">
        <f>HYPERLINK("https://klasma.github.io/Logging_0580/artfynd/A 20295-2025 artfynd.xlsx", "A 20295-2025")</f>
        <v/>
      </c>
      <c r="T96">
        <f>HYPERLINK("https://klasma.github.io/Logging_0580/kartor/A 20295-2025 karta.png", "A 20295-2025")</f>
        <v/>
      </c>
      <c r="V96">
        <f>HYPERLINK("https://klasma.github.io/Logging_0580/klagomål/A 20295-2025 FSC-klagomål.docx", "A 20295-2025")</f>
        <v/>
      </c>
      <c r="W96">
        <f>HYPERLINK("https://klasma.github.io/Logging_0580/klagomålsmail/A 20295-2025 FSC-klagomål mail.docx", "A 20295-2025")</f>
        <v/>
      </c>
      <c r="X96">
        <f>HYPERLINK("https://klasma.github.io/Logging_0580/tillsyn/A 20295-2025 tillsynsbegäran.docx", "A 20295-2025")</f>
        <v/>
      </c>
      <c r="Y96">
        <f>HYPERLINK("https://klasma.github.io/Logging_0580/tillsynsmail/A 20295-2025 tillsynsbegäran mail.docx", "A 20295-2025")</f>
        <v/>
      </c>
    </row>
    <row r="97" ht="15" customHeight="1">
      <c r="A97" t="inlineStr">
        <is>
          <t>A 60573-2021</t>
        </is>
      </c>
      <c r="B97" s="1" t="n">
        <v>44496</v>
      </c>
      <c r="C97" s="1" t="n">
        <v>46104</v>
      </c>
      <c r="D97" t="inlineStr">
        <is>
          <t>ÖSTERGÖTLANDS LÄN</t>
        </is>
      </c>
      <c r="E97" t="inlineStr">
        <is>
          <t>LINKÖPING</t>
        </is>
      </c>
      <c r="F97" t="inlineStr">
        <is>
          <t>Övriga Aktiebolag</t>
        </is>
      </c>
      <c r="G97" t="n">
        <v>5.6</v>
      </c>
      <c r="H97" t="n">
        <v>0</v>
      </c>
      <c r="I97" t="n">
        <v>0</v>
      </c>
      <c r="J97" t="n">
        <v>1</v>
      </c>
      <c r="K97" t="n">
        <v>0</v>
      </c>
      <c r="L97" t="n">
        <v>0</v>
      </c>
      <c r="M97" t="n">
        <v>0</v>
      </c>
      <c r="N97" t="n">
        <v>0</v>
      </c>
      <c r="O97" t="n">
        <v>1</v>
      </c>
      <c r="P97" t="n">
        <v>0</v>
      </c>
      <c r="Q97" t="n">
        <v>1</v>
      </c>
      <c r="R97" s="2" t="inlineStr">
        <is>
          <t>Sommarfibbla</t>
        </is>
      </c>
      <c r="S97">
        <f>HYPERLINK("https://klasma.github.io/Logging_0580/artfynd/A 60573-2021 artfynd.xlsx", "A 60573-2021")</f>
        <v/>
      </c>
      <c r="T97">
        <f>HYPERLINK("https://klasma.github.io/Logging_0580/kartor/A 60573-2021 karta.png", "A 60573-2021")</f>
        <v/>
      </c>
      <c r="V97">
        <f>HYPERLINK("https://klasma.github.io/Logging_0580/klagomål/A 60573-2021 FSC-klagomål.docx", "A 60573-2021")</f>
        <v/>
      </c>
      <c r="W97">
        <f>HYPERLINK("https://klasma.github.io/Logging_0580/klagomålsmail/A 60573-2021 FSC-klagomål mail.docx", "A 60573-2021")</f>
        <v/>
      </c>
      <c r="X97">
        <f>HYPERLINK("https://klasma.github.io/Logging_0580/tillsyn/A 60573-2021 tillsynsbegäran.docx", "A 60573-2021")</f>
        <v/>
      </c>
      <c r="Y97">
        <f>HYPERLINK("https://klasma.github.io/Logging_0580/tillsynsmail/A 60573-2021 tillsynsbegäran mail.docx", "A 60573-2021")</f>
        <v/>
      </c>
    </row>
    <row r="98" ht="15" customHeight="1">
      <c r="A98" t="inlineStr">
        <is>
          <t>A 38881-2021</t>
        </is>
      </c>
      <c r="B98" s="1" t="n">
        <v>44411.46893518518</v>
      </c>
      <c r="C98" s="1" t="n">
        <v>46104</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46104</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46104</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46104</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46104</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40506-2021</t>
        </is>
      </c>
      <c r="B103" s="1" t="n">
        <v>44420</v>
      </c>
      <c r="C103" s="1" t="n">
        <v>46104</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64269-2021</t>
        </is>
      </c>
      <c r="B104" s="1" t="n">
        <v>44510</v>
      </c>
      <c r="C104" s="1" t="n">
        <v>46104</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58407-2021</t>
        </is>
      </c>
      <c r="B105" s="1" t="n">
        <v>44488</v>
      </c>
      <c r="C105" s="1" t="n">
        <v>46104</v>
      </c>
      <c r="D105" t="inlineStr">
        <is>
          <t>ÖSTERGÖTLANDS LÄN</t>
        </is>
      </c>
      <c r="E105" t="inlineStr">
        <is>
          <t>LINKÖPING</t>
        </is>
      </c>
      <c r="G105" t="n">
        <v>1.1</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46104</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40635-2021</t>
        </is>
      </c>
      <c r="B107" s="1" t="n">
        <v>44420</v>
      </c>
      <c r="C107" s="1" t="n">
        <v>46104</v>
      </c>
      <c r="D107" t="inlineStr">
        <is>
          <t>ÖSTERGÖTLANDS LÄN</t>
        </is>
      </c>
      <c r="E107" t="inlineStr">
        <is>
          <t>LINKÖPING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49018-2022</t>
        </is>
      </c>
      <c r="B108" s="1" t="n">
        <v>44855</v>
      </c>
      <c r="C108" s="1" t="n">
        <v>46104</v>
      </c>
      <c r="D108" t="inlineStr">
        <is>
          <t>ÖSTERGÖTLANDS LÄN</t>
        </is>
      </c>
      <c r="E108" t="inlineStr">
        <is>
          <t>LINKÖPING</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46104</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46104</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60639-2021</t>
        </is>
      </c>
      <c r="B111" s="1" t="n">
        <v>44496</v>
      </c>
      <c r="C111" s="1" t="n">
        <v>46104</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38961-2021</t>
        </is>
      </c>
      <c r="B112" s="1" t="n">
        <v>44411</v>
      </c>
      <c r="C112" s="1" t="n">
        <v>46104</v>
      </c>
      <c r="D112" t="inlineStr">
        <is>
          <t>ÖSTERGÖTLANDS LÄN</t>
        </is>
      </c>
      <c r="E112" t="inlineStr">
        <is>
          <t>LINKÖPING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159-2022</t>
        </is>
      </c>
      <c r="B113" s="1" t="n">
        <v>44564</v>
      </c>
      <c r="C113" s="1" t="n">
        <v>46104</v>
      </c>
      <c r="D113" t="inlineStr">
        <is>
          <t>ÖSTERGÖTLANDS LÄN</t>
        </is>
      </c>
      <c r="E113" t="inlineStr">
        <is>
          <t>LINKÖPING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16715-2021</t>
        </is>
      </c>
      <c r="B114" s="1" t="n">
        <v>44294</v>
      </c>
      <c r="C114" s="1" t="n">
        <v>46104</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32433-2022</t>
        </is>
      </c>
      <c r="B115" s="1" t="n">
        <v>44782.48431712963</v>
      </c>
      <c r="C115" s="1" t="n">
        <v>46104</v>
      </c>
      <c r="D115" t="inlineStr">
        <is>
          <t>ÖSTERGÖTLANDS LÄN</t>
        </is>
      </c>
      <c r="E115" t="inlineStr">
        <is>
          <t>LINKÖPING</t>
        </is>
      </c>
      <c r="G115" t="n">
        <v>11.3</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46104</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38143-2021</t>
        </is>
      </c>
      <c r="B117" s="1" t="n">
        <v>44405</v>
      </c>
      <c r="C117" s="1" t="n">
        <v>46104</v>
      </c>
      <c r="D117" t="inlineStr">
        <is>
          <t>ÖSTERGÖTLANDS LÄN</t>
        </is>
      </c>
      <c r="E117" t="inlineStr">
        <is>
          <t>LINKÖPING</t>
        </is>
      </c>
      <c r="G117" t="n">
        <v>4.1</v>
      </c>
      <c r="H117" t="n">
        <v>0</v>
      </c>
      <c r="I117" t="n">
        <v>0</v>
      </c>
      <c r="J117" t="n">
        <v>0</v>
      </c>
      <c r="K117" t="n">
        <v>0</v>
      </c>
      <c r="L117" t="n">
        <v>0</v>
      </c>
      <c r="M117" t="n">
        <v>0</v>
      </c>
      <c r="N117" t="n">
        <v>0</v>
      </c>
      <c r="O117" t="n">
        <v>0</v>
      </c>
      <c r="P117" t="n">
        <v>0</v>
      </c>
      <c r="Q117" t="n">
        <v>0</v>
      </c>
      <c r="R117" s="2" t="inlineStr"/>
    </row>
    <row r="118" ht="15" customHeight="1">
      <c r="A118" t="inlineStr">
        <is>
          <t>A 38254-2021</t>
        </is>
      </c>
      <c r="B118" s="1" t="n">
        <v>44405</v>
      </c>
      <c r="C118" s="1" t="n">
        <v>46104</v>
      </c>
      <c r="D118" t="inlineStr">
        <is>
          <t>ÖSTERGÖTLANDS LÄN</t>
        </is>
      </c>
      <c r="E118" t="inlineStr">
        <is>
          <t>LINKÖPING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44054-2021</t>
        </is>
      </c>
      <c r="B119" s="1" t="n">
        <v>44434</v>
      </c>
      <c r="C119" s="1" t="n">
        <v>46104</v>
      </c>
      <c r="D119" t="inlineStr">
        <is>
          <t>ÖSTERGÖTLANDS LÄN</t>
        </is>
      </c>
      <c r="E119" t="inlineStr">
        <is>
          <t>LINKÖPING</t>
        </is>
      </c>
      <c r="F119" t="inlineStr">
        <is>
          <t>Övriga Aktiebolag</t>
        </is>
      </c>
      <c r="G119" t="n">
        <v>2.3</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46104</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46104</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46104</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46104</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46104</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32000-2022</t>
        </is>
      </c>
      <c r="B125" s="1" t="n">
        <v>44777</v>
      </c>
      <c r="C125" s="1" t="n">
        <v>46104</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46104</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46104</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46104</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46104</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46104</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46104</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46104</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46104</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46104</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46104</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46104</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46104</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46104</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46104</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46104</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46104</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46104</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46104</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46104</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46104</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46104</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46104</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46104</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46104</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46104</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46104</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46104</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46104</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46104</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46104</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46104</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46104</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46104</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19183-2021</t>
        </is>
      </c>
      <c r="B159" s="1" t="n">
        <v>44308.73248842593</v>
      </c>
      <c r="C159" s="1" t="n">
        <v>46104</v>
      </c>
      <c r="D159" t="inlineStr">
        <is>
          <t>ÖSTERGÖTLANDS LÄN</t>
        </is>
      </c>
      <c r="E159" t="inlineStr">
        <is>
          <t>LINKÖPING</t>
        </is>
      </c>
      <c r="F159" t="inlineStr">
        <is>
          <t>Allmännings- och besparingsskogar</t>
        </is>
      </c>
      <c r="G159" t="n">
        <v>4.6</v>
      </c>
      <c r="H159" t="n">
        <v>0</v>
      </c>
      <c r="I159" t="n">
        <v>0</v>
      </c>
      <c r="J159" t="n">
        <v>0</v>
      </c>
      <c r="K159" t="n">
        <v>0</v>
      </c>
      <c r="L159" t="n">
        <v>0</v>
      </c>
      <c r="M159" t="n">
        <v>0</v>
      </c>
      <c r="N159" t="n">
        <v>0</v>
      </c>
      <c r="O159" t="n">
        <v>0</v>
      </c>
      <c r="P159" t="n">
        <v>0</v>
      </c>
      <c r="Q159" t="n">
        <v>0</v>
      </c>
      <c r="R159" s="2" t="inlineStr"/>
    </row>
    <row r="160" ht="15" customHeight="1">
      <c r="A160" t="inlineStr">
        <is>
          <t>A 13922-2021</t>
        </is>
      </c>
      <c r="B160" s="1" t="n">
        <v>44277.45946759259</v>
      </c>
      <c r="C160" s="1" t="n">
        <v>46104</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1787-2022</t>
        </is>
      </c>
      <c r="B161" s="1" t="n">
        <v>44574</v>
      </c>
      <c r="C161" s="1" t="n">
        <v>46104</v>
      </c>
      <c r="D161" t="inlineStr">
        <is>
          <t>ÖSTERGÖTLANDS LÄN</t>
        </is>
      </c>
      <c r="E161" t="inlineStr">
        <is>
          <t>LINKÖPING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948-2022</t>
        </is>
      </c>
      <c r="B162" s="1" t="n">
        <v>44571</v>
      </c>
      <c r="C162" s="1" t="n">
        <v>46104</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46104</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37014-2021</t>
        </is>
      </c>
      <c r="B164" s="1" t="n">
        <v>44393</v>
      </c>
      <c r="C164" s="1" t="n">
        <v>46104</v>
      </c>
      <c r="D164" t="inlineStr">
        <is>
          <t>ÖSTERGÖTLANDS LÄN</t>
        </is>
      </c>
      <c r="E164" t="inlineStr">
        <is>
          <t>LINKÖPING</t>
        </is>
      </c>
      <c r="F164" t="inlineStr">
        <is>
          <t>Allmännings- och besparingsskogar</t>
        </is>
      </c>
      <c r="G164" t="n">
        <v>7.7</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46104</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46104</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37934-2022</t>
        </is>
      </c>
      <c r="B167" s="1" t="n">
        <v>44809</v>
      </c>
      <c r="C167" s="1" t="n">
        <v>46104</v>
      </c>
      <c r="D167" t="inlineStr">
        <is>
          <t>ÖSTERGÖTLANDS LÄN</t>
        </is>
      </c>
      <c r="E167" t="inlineStr">
        <is>
          <t>LINKÖPING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46104</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46104</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46104</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46104</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46104</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46104</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46104</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46104</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46104</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46104</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46104</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5605-2022</t>
        </is>
      </c>
      <c r="B179" s="1" t="n">
        <v>44595</v>
      </c>
      <c r="C179" s="1" t="n">
        <v>46104</v>
      </c>
      <c r="D179" t="inlineStr">
        <is>
          <t>ÖSTERGÖTLANDS LÄN</t>
        </is>
      </c>
      <c r="E179" t="inlineStr">
        <is>
          <t>LINKÖPING</t>
        </is>
      </c>
      <c r="F179" t="inlineStr">
        <is>
          <t>Övriga statliga verk och myndigheter</t>
        </is>
      </c>
      <c r="G179" t="n">
        <v>3</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46104</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27769-2022</t>
        </is>
      </c>
      <c r="B181" s="1" t="n">
        <v>44743.53200231482</v>
      </c>
      <c r="C181" s="1" t="n">
        <v>46104</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46104</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46104</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46104</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46104</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33885-2021</t>
        </is>
      </c>
      <c r="B186" s="1" t="n">
        <v>44378</v>
      </c>
      <c r="C186" s="1" t="n">
        <v>46104</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46104</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46104</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46104</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46104</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46104</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46104</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61298-2021</t>
        </is>
      </c>
      <c r="B193" s="1" t="n">
        <v>44498.62533564815</v>
      </c>
      <c r="C193" s="1" t="n">
        <v>46104</v>
      </c>
      <c r="D193" t="inlineStr">
        <is>
          <t>ÖSTERGÖTLANDS LÄN</t>
        </is>
      </c>
      <c r="E193" t="inlineStr">
        <is>
          <t>LINKÖPING</t>
        </is>
      </c>
      <c r="G193" t="n">
        <v>4.3</v>
      </c>
      <c r="H193" t="n">
        <v>0</v>
      </c>
      <c r="I193" t="n">
        <v>0</v>
      </c>
      <c r="J193" t="n">
        <v>0</v>
      </c>
      <c r="K193" t="n">
        <v>0</v>
      </c>
      <c r="L193" t="n">
        <v>0</v>
      </c>
      <c r="M193" t="n">
        <v>0</v>
      </c>
      <c r="N193" t="n">
        <v>0</v>
      </c>
      <c r="O193" t="n">
        <v>0</v>
      </c>
      <c r="P193" t="n">
        <v>0</v>
      </c>
      <c r="Q193" t="n">
        <v>0</v>
      </c>
      <c r="R193" s="2" t="inlineStr"/>
    </row>
    <row r="194" ht="15" customHeight="1">
      <c r="A194" t="inlineStr">
        <is>
          <t>A 61333-2021</t>
        </is>
      </c>
      <c r="B194" s="1" t="n">
        <v>44498.6764699074</v>
      </c>
      <c r="C194" s="1" t="n">
        <v>46104</v>
      </c>
      <c r="D194" t="inlineStr">
        <is>
          <t>ÖSTERGÖTLANDS LÄN</t>
        </is>
      </c>
      <c r="E194" t="inlineStr">
        <is>
          <t>LINKÖPING</t>
        </is>
      </c>
      <c r="G194" t="n">
        <v>7.5</v>
      </c>
      <c r="H194" t="n">
        <v>0</v>
      </c>
      <c r="I194" t="n">
        <v>0</v>
      </c>
      <c r="J194" t="n">
        <v>0</v>
      </c>
      <c r="K194" t="n">
        <v>0</v>
      </c>
      <c r="L194" t="n">
        <v>0</v>
      </c>
      <c r="M194" t="n">
        <v>0</v>
      </c>
      <c r="N194" t="n">
        <v>0</v>
      </c>
      <c r="O194" t="n">
        <v>0</v>
      </c>
      <c r="P194" t="n">
        <v>0</v>
      </c>
      <c r="Q194" t="n">
        <v>0</v>
      </c>
      <c r="R194" s="2" t="inlineStr"/>
    </row>
    <row r="195" ht="15" customHeight="1">
      <c r="A195" t="inlineStr">
        <is>
          <t>A 12412-2022</t>
        </is>
      </c>
      <c r="B195" s="1" t="n">
        <v>44638</v>
      </c>
      <c r="C195" s="1" t="n">
        <v>46104</v>
      </c>
      <c r="D195" t="inlineStr">
        <is>
          <t>ÖSTERGÖTLANDS LÄN</t>
        </is>
      </c>
      <c r="E195" t="inlineStr">
        <is>
          <t>LINKÖPING</t>
        </is>
      </c>
      <c r="G195" t="n">
        <v>1.7</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46104</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46104</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46104</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46104</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34558-2022</t>
        </is>
      </c>
      <c r="B200" s="1" t="n">
        <v>44794.57594907407</v>
      </c>
      <c r="C200" s="1" t="n">
        <v>46104</v>
      </c>
      <c r="D200" t="inlineStr">
        <is>
          <t>ÖSTERGÖTLANDS LÄN</t>
        </is>
      </c>
      <c r="E200" t="inlineStr">
        <is>
          <t>LINKÖPING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63489-2023</t>
        </is>
      </c>
      <c r="B201" s="1" t="n">
        <v>45274.66761574074</v>
      </c>
      <c r="C201" s="1" t="n">
        <v>46104</v>
      </c>
      <c r="D201" t="inlineStr">
        <is>
          <t>ÖSTERGÖTLANDS LÄN</t>
        </is>
      </c>
      <c r="E201" t="inlineStr">
        <is>
          <t>LINKÖPING</t>
        </is>
      </c>
      <c r="G201" t="n">
        <v>2.3</v>
      </c>
      <c r="H201" t="n">
        <v>0</v>
      </c>
      <c r="I201" t="n">
        <v>0</v>
      </c>
      <c r="J201" t="n">
        <v>0</v>
      </c>
      <c r="K201" t="n">
        <v>0</v>
      </c>
      <c r="L201" t="n">
        <v>0</v>
      </c>
      <c r="M201" t="n">
        <v>0</v>
      </c>
      <c r="N201" t="n">
        <v>0</v>
      </c>
      <c r="O201" t="n">
        <v>0</v>
      </c>
      <c r="P201" t="n">
        <v>0</v>
      </c>
      <c r="Q201" t="n">
        <v>0</v>
      </c>
      <c r="R201" s="2" t="inlineStr"/>
    </row>
    <row r="202" ht="15" customHeight="1">
      <c r="A202" t="inlineStr">
        <is>
          <t>A 28266-2024</t>
        </is>
      </c>
      <c r="B202" s="1" t="n">
        <v>45477.43600694444</v>
      </c>
      <c r="C202" s="1" t="n">
        <v>46104</v>
      </c>
      <c r="D202" t="inlineStr">
        <is>
          <t>ÖSTERGÖTLANDS LÄN</t>
        </is>
      </c>
      <c r="E202" t="inlineStr">
        <is>
          <t>LINKÖPING</t>
        </is>
      </c>
      <c r="F202" t="inlineStr">
        <is>
          <t>Sveaskog</t>
        </is>
      </c>
      <c r="G202" t="n">
        <v>1.9</v>
      </c>
      <c r="H202" t="n">
        <v>0</v>
      </c>
      <c r="I202" t="n">
        <v>0</v>
      </c>
      <c r="J202" t="n">
        <v>0</v>
      </c>
      <c r="K202" t="n">
        <v>0</v>
      </c>
      <c r="L202" t="n">
        <v>0</v>
      </c>
      <c r="M202" t="n">
        <v>0</v>
      </c>
      <c r="N202" t="n">
        <v>0</v>
      </c>
      <c r="O202" t="n">
        <v>0</v>
      </c>
      <c r="P202" t="n">
        <v>0</v>
      </c>
      <c r="Q202" t="n">
        <v>0</v>
      </c>
      <c r="R202" s="2" t="inlineStr"/>
    </row>
    <row r="203" ht="15" customHeight="1">
      <c r="A203" t="inlineStr">
        <is>
          <t>A 22772-2024</t>
        </is>
      </c>
      <c r="B203" s="1" t="n">
        <v>45448.46712962963</v>
      </c>
      <c r="C203" s="1" t="n">
        <v>46104</v>
      </c>
      <c r="D203" t="inlineStr">
        <is>
          <t>ÖSTERGÖTLANDS LÄN</t>
        </is>
      </c>
      <c r="E203" t="inlineStr">
        <is>
          <t>LINKÖPING</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3008-2023</t>
        </is>
      </c>
      <c r="B204" s="1" t="n">
        <v>44945.79784722222</v>
      </c>
      <c r="C204" s="1" t="n">
        <v>46104</v>
      </c>
      <c r="D204" t="inlineStr">
        <is>
          <t>ÖSTERGÖTLANDS LÄN</t>
        </is>
      </c>
      <c r="E204" t="inlineStr">
        <is>
          <t>LINKÖPING</t>
        </is>
      </c>
      <c r="G204" t="n">
        <v>19.3</v>
      </c>
      <c r="H204" t="n">
        <v>0</v>
      </c>
      <c r="I204" t="n">
        <v>0</v>
      </c>
      <c r="J204" t="n">
        <v>0</v>
      </c>
      <c r="K204" t="n">
        <v>0</v>
      </c>
      <c r="L204" t="n">
        <v>0</v>
      </c>
      <c r="M204" t="n">
        <v>0</v>
      </c>
      <c r="N204" t="n">
        <v>0</v>
      </c>
      <c r="O204" t="n">
        <v>0</v>
      </c>
      <c r="P204" t="n">
        <v>0</v>
      </c>
      <c r="Q204" t="n">
        <v>0</v>
      </c>
      <c r="R204" s="2" t="inlineStr"/>
    </row>
    <row r="205" ht="15" customHeight="1">
      <c r="A205" t="inlineStr">
        <is>
          <t>A 12035-2025</t>
        </is>
      </c>
      <c r="B205" s="1" t="n">
        <v>45728.64946759259</v>
      </c>
      <c r="C205" s="1" t="n">
        <v>46104</v>
      </c>
      <c r="D205" t="inlineStr">
        <is>
          <t>ÖSTERGÖTLANDS LÄN</t>
        </is>
      </c>
      <c r="E205" t="inlineStr">
        <is>
          <t>LINKÖPING</t>
        </is>
      </c>
      <c r="G205" t="n">
        <v>3.7</v>
      </c>
      <c r="H205" t="n">
        <v>0</v>
      </c>
      <c r="I205" t="n">
        <v>0</v>
      </c>
      <c r="J205" t="n">
        <v>0</v>
      </c>
      <c r="K205" t="n">
        <v>0</v>
      </c>
      <c r="L205" t="n">
        <v>0</v>
      </c>
      <c r="M205" t="n">
        <v>0</v>
      </c>
      <c r="N205" t="n">
        <v>0</v>
      </c>
      <c r="O205" t="n">
        <v>0</v>
      </c>
      <c r="P205" t="n">
        <v>0</v>
      </c>
      <c r="Q205" t="n">
        <v>0</v>
      </c>
      <c r="R205" s="2" t="inlineStr"/>
    </row>
    <row r="206" ht="15" customHeight="1">
      <c r="A206" t="inlineStr">
        <is>
          <t>A 20455-2024</t>
        </is>
      </c>
      <c r="B206" s="1" t="n">
        <v>45435.65314814815</v>
      </c>
      <c r="C206" s="1" t="n">
        <v>46104</v>
      </c>
      <c r="D206" t="inlineStr">
        <is>
          <t>ÖSTERGÖTLANDS LÄN</t>
        </is>
      </c>
      <c r="E206" t="inlineStr">
        <is>
          <t>LINKÖPING</t>
        </is>
      </c>
      <c r="G206" t="n">
        <v>2.6</v>
      </c>
      <c r="H206" t="n">
        <v>0</v>
      </c>
      <c r="I206" t="n">
        <v>0</v>
      </c>
      <c r="J206" t="n">
        <v>0</v>
      </c>
      <c r="K206" t="n">
        <v>0</v>
      </c>
      <c r="L206" t="n">
        <v>0</v>
      </c>
      <c r="M206" t="n">
        <v>0</v>
      </c>
      <c r="N206" t="n">
        <v>0</v>
      </c>
      <c r="O206" t="n">
        <v>0</v>
      </c>
      <c r="P206" t="n">
        <v>0</v>
      </c>
      <c r="Q206" t="n">
        <v>0</v>
      </c>
      <c r="R206" s="2" t="inlineStr"/>
    </row>
    <row r="207" ht="15" customHeight="1">
      <c r="A207" t="inlineStr">
        <is>
          <t>A 25418-2023</t>
        </is>
      </c>
      <c r="B207" s="1" t="n">
        <v>45089</v>
      </c>
      <c r="C207" s="1" t="n">
        <v>46104</v>
      </c>
      <c r="D207" t="inlineStr">
        <is>
          <t>ÖSTERGÖTLANDS LÄN</t>
        </is>
      </c>
      <c r="E207" t="inlineStr">
        <is>
          <t>LINKÖPING</t>
        </is>
      </c>
      <c r="F207" t="inlineStr">
        <is>
          <t>Övriga Aktiebolag</t>
        </is>
      </c>
      <c r="G207" t="n">
        <v>2.4</v>
      </c>
      <c r="H207" t="n">
        <v>0</v>
      </c>
      <c r="I207" t="n">
        <v>0</v>
      </c>
      <c r="J207" t="n">
        <v>0</v>
      </c>
      <c r="K207" t="n">
        <v>0</v>
      </c>
      <c r="L207" t="n">
        <v>0</v>
      </c>
      <c r="M207" t="n">
        <v>0</v>
      </c>
      <c r="N207" t="n">
        <v>0</v>
      </c>
      <c r="O207" t="n">
        <v>0</v>
      </c>
      <c r="P207" t="n">
        <v>0</v>
      </c>
      <c r="Q207" t="n">
        <v>0</v>
      </c>
      <c r="R207" s="2" t="inlineStr"/>
    </row>
    <row r="208" ht="15" customHeight="1">
      <c r="A208" t="inlineStr">
        <is>
          <t>A 224-2024</t>
        </is>
      </c>
      <c r="B208" s="1" t="n">
        <v>45294</v>
      </c>
      <c r="C208" s="1" t="n">
        <v>46104</v>
      </c>
      <c r="D208" t="inlineStr">
        <is>
          <t>ÖSTERGÖTLANDS LÄN</t>
        </is>
      </c>
      <c r="E208" t="inlineStr">
        <is>
          <t>LINKÖPING</t>
        </is>
      </c>
      <c r="G208" t="n">
        <v>2.8</v>
      </c>
      <c r="H208" t="n">
        <v>0</v>
      </c>
      <c r="I208" t="n">
        <v>0</v>
      </c>
      <c r="J208" t="n">
        <v>0</v>
      </c>
      <c r="K208" t="n">
        <v>0</v>
      </c>
      <c r="L208" t="n">
        <v>0</v>
      </c>
      <c r="M208" t="n">
        <v>0</v>
      </c>
      <c r="N208" t="n">
        <v>0</v>
      </c>
      <c r="O208" t="n">
        <v>0</v>
      </c>
      <c r="P208" t="n">
        <v>0</v>
      </c>
      <c r="Q208" t="n">
        <v>0</v>
      </c>
      <c r="R208" s="2" t="inlineStr"/>
    </row>
    <row r="209" ht="15" customHeight="1">
      <c r="A209" t="inlineStr">
        <is>
          <t>A 54845-2023</t>
        </is>
      </c>
      <c r="B209" s="1" t="n">
        <v>45236</v>
      </c>
      <c r="C209" s="1" t="n">
        <v>46104</v>
      </c>
      <c r="D209" t="inlineStr">
        <is>
          <t>ÖSTERGÖTLANDS LÄN</t>
        </is>
      </c>
      <c r="E209" t="inlineStr">
        <is>
          <t>LINKÖPING</t>
        </is>
      </c>
      <c r="F209" t="inlineStr">
        <is>
          <t>Övriga Aktiebolag</t>
        </is>
      </c>
      <c r="G209" t="n">
        <v>5.7</v>
      </c>
      <c r="H209" t="n">
        <v>0</v>
      </c>
      <c r="I209" t="n">
        <v>0</v>
      </c>
      <c r="J209" t="n">
        <v>0</v>
      </c>
      <c r="K209" t="n">
        <v>0</v>
      </c>
      <c r="L209" t="n">
        <v>0</v>
      </c>
      <c r="M209" t="n">
        <v>0</v>
      </c>
      <c r="N209" t="n">
        <v>0</v>
      </c>
      <c r="O209" t="n">
        <v>0</v>
      </c>
      <c r="P209" t="n">
        <v>0</v>
      </c>
      <c r="Q209" t="n">
        <v>0</v>
      </c>
      <c r="R209" s="2" t="inlineStr"/>
    </row>
    <row r="210" ht="15" customHeight="1">
      <c r="A210" t="inlineStr">
        <is>
          <t>A 34877-2023</t>
        </is>
      </c>
      <c r="B210" s="1" t="n">
        <v>45140</v>
      </c>
      <c r="C210" s="1" t="n">
        <v>46104</v>
      </c>
      <c r="D210" t="inlineStr">
        <is>
          <t>ÖSTERGÖTLANDS LÄN</t>
        </is>
      </c>
      <c r="E210" t="inlineStr">
        <is>
          <t>LINKÖPING</t>
        </is>
      </c>
      <c r="G210" t="n">
        <v>1.9</v>
      </c>
      <c r="H210" t="n">
        <v>0</v>
      </c>
      <c r="I210" t="n">
        <v>0</v>
      </c>
      <c r="J210" t="n">
        <v>0</v>
      </c>
      <c r="K210" t="n">
        <v>0</v>
      </c>
      <c r="L210" t="n">
        <v>0</v>
      </c>
      <c r="M210" t="n">
        <v>0</v>
      </c>
      <c r="N210" t="n">
        <v>0</v>
      </c>
      <c r="O210" t="n">
        <v>0</v>
      </c>
      <c r="P210" t="n">
        <v>0</v>
      </c>
      <c r="Q210" t="n">
        <v>0</v>
      </c>
      <c r="R210" s="2" t="inlineStr"/>
    </row>
    <row r="211" ht="15" customHeight="1">
      <c r="A211" t="inlineStr">
        <is>
          <t>A 52796-2023</t>
        </is>
      </c>
      <c r="B211" s="1" t="n">
        <v>45219</v>
      </c>
      <c r="C211" s="1" t="n">
        <v>46104</v>
      </c>
      <c r="D211" t="inlineStr">
        <is>
          <t>ÖSTERGÖTLANDS LÄN</t>
        </is>
      </c>
      <c r="E211" t="inlineStr">
        <is>
          <t>LINKÖPING</t>
        </is>
      </c>
      <c r="F211" t="inlineStr">
        <is>
          <t>Övriga statliga verk och myndigheter</t>
        </is>
      </c>
      <c r="G211" t="n">
        <v>3.9</v>
      </c>
      <c r="H211" t="n">
        <v>0</v>
      </c>
      <c r="I211" t="n">
        <v>0</v>
      </c>
      <c r="J211" t="n">
        <v>0</v>
      </c>
      <c r="K211" t="n">
        <v>0</v>
      </c>
      <c r="L211" t="n">
        <v>0</v>
      </c>
      <c r="M211" t="n">
        <v>0</v>
      </c>
      <c r="N211" t="n">
        <v>0</v>
      </c>
      <c r="O211" t="n">
        <v>0</v>
      </c>
      <c r="P211" t="n">
        <v>0</v>
      </c>
      <c r="Q211" t="n">
        <v>0</v>
      </c>
      <c r="R211" s="2" t="inlineStr"/>
    </row>
    <row r="212" ht="15" customHeight="1">
      <c r="A212" t="inlineStr">
        <is>
          <t>A 30856-2022</t>
        </is>
      </c>
      <c r="B212" s="1" t="n">
        <v>44767</v>
      </c>
      <c r="C212" s="1" t="n">
        <v>46104</v>
      </c>
      <c r="D212" t="inlineStr">
        <is>
          <t>ÖSTERGÖTLANDS LÄN</t>
        </is>
      </c>
      <c r="E212" t="inlineStr">
        <is>
          <t>LINKÖPING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30855-2022</t>
        </is>
      </c>
      <c r="B213" s="1" t="n">
        <v>44767</v>
      </c>
      <c r="C213" s="1" t="n">
        <v>46104</v>
      </c>
      <c r="D213" t="inlineStr">
        <is>
          <t>ÖSTERGÖTLANDS LÄN</t>
        </is>
      </c>
      <c r="E213" t="inlineStr">
        <is>
          <t>LINKÖPING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57745-2022</t>
        </is>
      </c>
      <c r="B214" s="1" t="n">
        <v>44897.58119212963</v>
      </c>
      <c r="C214" s="1" t="n">
        <v>46104</v>
      </c>
      <c r="D214" t="inlineStr">
        <is>
          <t>ÖSTERGÖTLANDS LÄN</t>
        </is>
      </c>
      <c r="E214" t="inlineStr">
        <is>
          <t>LINKÖPING</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34889-2023</t>
        </is>
      </c>
      <c r="B215" s="1" t="n">
        <v>45140</v>
      </c>
      <c r="C215" s="1" t="n">
        <v>46104</v>
      </c>
      <c r="D215" t="inlineStr">
        <is>
          <t>ÖSTERGÖTLANDS LÄN</t>
        </is>
      </c>
      <c r="E215" t="inlineStr">
        <is>
          <t>LINKÖPING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62488-2023</t>
        </is>
      </c>
      <c r="B216" s="1" t="n">
        <v>45268.5847337963</v>
      </c>
      <c r="C216" s="1" t="n">
        <v>46104</v>
      </c>
      <c r="D216" t="inlineStr">
        <is>
          <t>ÖSTERGÖTLANDS LÄN</t>
        </is>
      </c>
      <c r="E216" t="inlineStr">
        <is>
          <t>LINKÖPING</t>
        </is>
      </c>
      <c r="G216" t="n">
        <v>4.1</v>
      </c>
      <c r="H216" t="n">
        <v>0</v>
      </c>
      <c r="I216" t="n">
        <v>0</v>
      </c>
      <c r="J216" t="n">
        <v>0</v>
      </c>
      <c r="K216" t="n">
        <v>0</v>
      </c>
      <c r="L216" t="n">
        <v>0</v>
      </c>
      <c r="M216" t="n">
        <v>0</v>
      </c>
      <c r="N216" t="n">
        <v>0</v>
      </c>
      <c r="O216" t="n">
        <v>0</v>
      </c>
      <c r="P216" t="n">
        <v>0</v>
      </c>
      <c r="Q216" t="n">
        <v>0</v>
      </c>
      <c r="R216" s="2" t="inlineStr"/>
    </row>
    <row r="217" ht="15" customHeight="1">
      <c r="A217" t="inlineStr">
        <is>
          <t>A 24351-2024</t>
        </is>
      </c>
      <c r="B217" s="1" t="n">
        <v>45457.59011574074</v>
      </c>
      <c r="C217" s="1" t="n">
        <v>46104</v>
      </c>
      <c r="D217" t="inlineStr">
        <is>
          <t>ÖSTERGÖTLANDS LÄN</t>
        </is>
      </c>
      <c r="E217" t="inlineStr">
        <is>
          <t>LINKÖPING</t>
        </is>
      </c>
      <c r="G217" t="n">
        <v>11.9</v>
      </c>
      <c r="H217" t="n">
        <v>0</v>
      </c>
      <c r="I217" t="n">
        <v>0</v>
      </c>
      <c r="J217" t="n">
        <v>0</v>
      </c>
      <c r="K217" t="n">
        <v>0</v>
      </c>
      <c r="L217" t="n">
        <v>0</v>
      </c>
      <c r="M217" t="n">
        <v>0</v>
      </c>
      <c r="N217" t="n">
        <v>0</v>
      </c>
      <c r="O217" t="n">
        <v>0</v>
      </c>
      <c r="P217" t="n">
        <v>0</v>
      </c>
      <c r="Q217" t="n">
        <v>0</v>
      </c>
      <c r="R217" s="2" t="inlineStr"/>
    </row>
    <row r="218" ht="15" customHeight="1">
      <c r="A218" t="inlineStr">
        <is>
          <t>A 1993-2023</t>
        </is>
      </c>
      <c r="B218" s="1" t="n">
        <v>44939</v>
      </c>
      <c r="C218" s="1" t="n">
        <v>46104</v>
      </c>
      <c r="D218" t="inlineStr">
        <is>
          <t>ÖSTERGÖTLANDS LÄN</t>
        </is>
      </c>
      <c r="E218" t="inlineStr">
        <is>
          <t>LINKÖPING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52220-2023</t>
        </is>
      </c>
      <c r="B219" s="1" t="n">
        <v>45217</v>
      </c>
      <c r="C219" s="1" t="n">
        <v>46104</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52225-2023</t>
        </is>
      </c>
      <c r="B220" s="1" t="n">
        <v>45217</v>
      </c>
      <c r="C220" s="1" t="n">
        <v>46104</v>
      </c>
      <c r="D220" t="inlineStr">
        <is>
          <t>ÖSTERGÖTLANDS LÄN</t>
        </is>
      </c>
      <c r="E220" t="inlineStr">
        <is>
          <t>LINKÖPING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22771-2024</t>
        </is>
      </c>
      <c r="B221" s="1" t="n">
        <v>45448.46574074074</v>
      </c>
      <c r="C221" s="1" t="n">
        <v>46104</v>
      </c>
      <c r="D221" t="inlineStr">
        <is>
          <t>ÖSTERGÖTLANDS LÄN</t>
        </is>
      </c>
      <c r="E221" t="inlineStr">
        <is>
          <t>LINKÖPING</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42832-2023</t>
        </is>
      </c>
      <c r="B222" s="1" t="n">
        <v>45182.38091435185</v>
      </c>
      <c r="C222" s="1" t="n">
        <v>46104</v>
      </c>
      <c r="D222" t="inlineStr">
        <is>
          <t>ÖSTERGÖTLANDS LÄN</t>
        </is>
      </c>
      <c r="E222" t="inlineStr">
        <is>
          <t>LINKÖPING</t>
        </is>
      </c>
      <c r="G222" t="n">
        <v>2.5</v>
      </c>
      <c r="H222" t="n">
        <v>0</v>
      </c>
      <c r="I222" t="n">
        <v>0</v>
      </c>
      <c r="J222" t="n">
        <v>0</v>
      </c>
      <c r="K222" t="n">
        <v>0</v>
      </c>
      <c r="L222" t="n">
        <v>0</v>
      </c>
      <c r="M222" t="n">
        <v>0</v>
      </c>
      <c r="N222" t="n">
        <v>0</v>
      </c>
      <c r="O222" t="n">
        <v>0</v>
      </c>
      <c r="P222" t="n">
        <v>0</v>
      </c>
      <c r="Q222" t="n">
        <v>0</v>
      </c>
      <c r="R222" s="2" t="inlineStr"/>
    </row>
    <row r="223" ht="15" customHeight="1">
      <c r="A223" t="inlineStr">
        <is>
          <t>A 56560-2023</t>
        </is>
      </c>
      <c r="B223" s="1" t="n">
        <v>45238</v>
      </c>
      <c r="C223" s="1" t="n">
        <v>46104</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52412-2023</t>
        </is>
      </c>
      <c r="B224" s="1" t="n">
        <v>45225.27888888889</v>
      </c>
      <c r="C224" s="1" t="n">
        <v>46104</v>
      </c>
      <c r="D224" t="inlineStr">
        <is>
          <t>ÖSTERGÖTLANDS LÄN</t>
        </is>
      </c>
      <c r="E224" t="inlineStr">
        <is>
          <t>LINKÖPING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52413-2023</t>
        </is>
      </c>
      <c r="B225" s="1" t="n">
        <v>45225.27950231481</v>
      </c>
      <c r="C225" s="1" t="n">
        <v>46104</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7354-2025</t>
        </is>
      </c>
      <c r="B226" s="1" t="n">
        <v>45704.41174768518</v>
      </c>
      <c r="C226" s="1" t="n">
        <v>46104</v>
      </c>
      <c r="D226" t="inlineStr">
        <is>
          <t>ÖSTERGÖTLANDS LÄN</t>
        </is>
      </c>
      <c r="E226" t="inlineStr">
        <is>
          <t>LINKÖPING</t>
        </is>
      </c>
      <c r="G226" t="n">
        <v>4.8</v>
      </c>
      <c r="H226" t="n">
        <v>0</v>
      </c>
      <c r="I226" t="n">
        <v>0</v>
      </c>
      <c r="J226" t="n">
        <v>0</v>
      </c>
      <c r="K226" t="n">
        <v>0</v>
      </c>
      <c r="L226" t="n">
        <v>0</v>
      </c>
      <c r="M226" t="n">
        <v>0</v>
      </c>
      <c r="N226" t="n">
        <v>0</v>
      </c>
      <c r="O226" t="n">
        <v>0</v>
      </c>
      <c r="P226" t="n">
        <v>0</v>
      </c>
      <c r="Q226" t="n">
        <v>0</v>
      </c>
      <c r="R226" s="2" t="inlineStr"/>
    </row>
    <row r="227" ht="15" customHeight="1">
      <c r="A227" t="inlineStr">
        <is>
          <t>A 34928-2023</t>
        </is>
      </c>
      <c r="B227" s="1" t="n">
        <v>45142</v>
      </c>
      <c r="C227" s="1" t="n">
        <v>46104</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1263-2024</t>
        </is>
      </c>
      <c r="B228" s="1" t="n">
        <v>45302</v>
      </c>
      <c r="C228" s="1" t="n">
        <v>46104</v>
      </c>
      <c r="D228" t="inlineStr">
        <is>
          <t>ÖSTERGÖTLANDS LÄN</t>
        </is>
      </c>
      <c r="E228" t="inlineStr">
        <is>
          <t>LINKÖPING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52531-2023</t>
        </is>
      </c>
      <c r="B229" s="1" t="n">
        <v>45225</v>
      </c>
      <c r="C229" s="1" t="n">
        <v>46104</v>
      </c>
      <c r="D229" t="inlineStr">
        <is>
          <t>ÖSTERGÖTLANDS LÄN</t>
        </is>
      </c>
      <c r="E229" t="inlineStr">
        <is>
          <t>LINKÖPING</t>
        </is>
      </c>
      <c r="F229" t="inlineStr">
        <is>
          <t>Övriga Aktiebolag</t>
        </is>
      </c>
      <c r="G229" t="n">
        <v>1</v>
      </c>
      <c r="H229" t="n">
        <v>0</v>
      </c>
      <c r="I229" t="n">
        <v>0</v>
      </c>
      <c r="J229" t="n">
        <v>0</v>
      </c>
      <c r="K229" t="n">
        <v>0</v>
      </c>
      <c r="L229" t="n">
        <v>0</v>
      </c>
      <c r="M229" t="n">
        <v>0</v>
      </c>
      <c r="N229" t="n">
        <v>0</v>
      </c>
      <c r="O229" t="n">
        <v>0</v>
      </c>
      <c r="P229" t="n">
        <v>0</v>
      </c>
      <c r="Q229" t="n">
        <v>0</v>
      </c>
      <c r="R229" s="2" t="inlineStr"/>
    </row>
    <row r="230" ht="15" customHeight="1">
      <c r="A230" t="inlineStr">
        <is>
          <t>A 9473-2024</t>
        </is>
      </c>
      <c r="B230" s="1" t="n">
        <v>45359.55474537037</v>
      </c>
      <c r="C230" s="1" t="n">
        <v>46104</v>
      </c>
      <c r="D230" t="inlineStr">
        <is>
          <t>ÖSTERGÖTLANDS LÄN</t>
        </is>
      </c>
      <c r="E230" t="inlineStr">
        <is>
          <t>LINKÖPING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55945-2024</t>
        </is>
      </c>
      <c r="B231" s="1" t="n">
        <v>45623.61754629629</v>
      </c>
      <c r="C231" s="1" t="n">
        <v>46104</v>
      </c>
      <c r="D231" t="inlineStr">
        <is>
          <t>ÖSTERGÖTLANDS LÄN</t>
        </is>
      </c>
      <c r="E231" t="inlineStr">
        <is>
          <t>LINKÖPING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6859-2024</t>
        </is>
      </c>
      <c r="B232" s="1" t="n">
        <v>45342</v>
      </c>
      <c r="C232" s="1" t="n">
        <v>46104</v>
      </c>
      <c r="D232" t="inlineStr">
        <is>
          <t>ÖSTERGÖTLANDS LÄN</t>
        </is>
      </c>
      <c r="E232" t="inlineStr">
        <is>
          <t>LINKÖPING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44287-2024</t>
        </is>
      </c>
      <c r="B233" s="1" t="n">
        <v>45573.50582175926</v>
      </c>
      <c r="C233" s="1" t="n">
        <v>46104</v>
      </c>
      <c r="D233" t="inlineStr">
        <is>
          <t>ÖSTERGÖTLANDS LÄN</t>
        </is>
      </c>
      <c r="E233" t="inlineStr">
        <is>
          <t>LINKÖPING</t>
        </is>
      </c>
      <c r="G233" t="n">
        <v>12.7</v>
      </c>
      <c r="H233" t="n">
        <v>0</v>
      </c>
      <c r="I233" t="n">
        <v>0</v>
      </c>
      <c r="J233" t="n">
        <v>0</v>
      </c>
      <c r="K233" t="n">
        <v>0</v>
      </c>
      <c r="L233" t="n">
        <v>0</v>
      </c>
      <c r="M233" t="n">
        <v>0</v>
      </c>
      <c r="N233" t="n">
        <v>0</v>
      </c>
      <c r="O233" t="n">
        <v>0</v>
      </c>
      <c r="P233" t="n">
        <v>0</v>
      </c>
      <c r="Q233" t="n">
        <v>0</v>
      </c>
      <c r="R233" s="2" t="inlineStr"/>
    </row>
    <row r="234" ht="15" customHeight="1">
      <c r="A234" t="inlineStr">
        <is>
          <t>A 55165-2025</t>
        </is>
      </c>
      <c r="B234" s="1" t="n">
        <v>45968.48194444444</v>
      </c>
      <c r="C234" s="1" t="n">
        <v>46104</v>
      </c>
      <c r="D234" t="inlineStr">
        <is>
          <t>ÖSTERGÖTLANDS LÄN</t>
        </is>
      </c>
      <c r="E234" t="inlineStr">
        <is>
          <t>LINKÖPING</t>
        </is>
      </c>
      <c r="G234" t="n">
        <v>2.4</v>
      </c>
      <c r="H234" t="n">
        <v>0</v>
      </c>
      <c r="I234" t="n">
        <v>0</v>
      </c>
      <c r="J234" t="n">
        <v>0</v>
      </c>
      <c r="K234" t="n">
        <v>0</v>
      </c>
      <c r="L234" t="n">
        <v>0</v>
      </c>
      <c r="M234" t="n">
        <v>0</v>
      </c>
      <c r="N234" t="n">
        <v>0</v>
      </c>
      <c r="O234" t="n">
        <v>0</v>
      </c>
      <c r="P234" t="n">
        <v>0</v>
      </c>
      <c r="Q234" t="n">
        <v>0</v>
      </c>
      <c r="R234" s="2" t="inlineStr"/>
    </row>
    <row r="235" ht="15" customHeight="1">
      <c r="A235" t="inlineStr">
        <is>
          <t>A 22364-2025</t>
        </is>
      </c>
      <c r="B235" s="1" t="n">
        <v>45786.46930555555</v>
      </c>
      <c r="C235" s="1" t="n">
        <v>46104</v>
      </c>
      <c r="D235" t="inlineStr">
        <is>
          <t>ÖSTERGÖTLANDS LÄN</t>
        </is>
      </c>
      <c r="E235" t="inlineStr">
        <is>
          <t>LINKÖPING</t>
        </is>
      </c>
      <c r="G235" t="n">
        <v>2.2</v>
      </c>
      <c r="H235" t="n">
        <v>0</v>
      </c>
      <c r="I235" t="n">
        <v>0</v>
      </c>
      <c r="J235" t="n">
        <v>0</v>
      </c>
      <c r="K235" t="n">
        <v>0</v>
      </c>
      <c r="L235" t="n">
        <v>0</v>
      </c>
      <c r="M235" t="n">
        <v>0</v>
      </c>
      <c r="N235" t="n">
        <v>0</v>
      </c>
      <c r="O235" t="n">
        <v>0</v>
      </c>
      <c r="P235" t="n">
        <v>0</v>
      </c>
      <c r="Q235" t="n">
        <v>0</v>
      </c>
      <c r="R235" s="2" t="inlineStr"/>
    </row>
    <row r="236" ht="15" customHeight="1">
      <c r="A236" t="inlineStr">
        <is>
          <t>A 20291-2025</t>
        </is>
      </c>
      <c r="B236" s="1" t="n">
        <v>45774.74288194445</v>
      </c>
      <c r="C236" s="1" t="n">
        <v>46104</v>
      </c>
      <c r="D236" t="inlineStr">
        <is>
          <t>ÖSTERGÖTLANDS LÄN</t>
        </is>
      </c>
      <c r="E236" t="inlineStr">
        <is>
          <t>LINKÖPING</t>
        </is>
      </c>
      <c r="G236" t="n">
        <v>2.3</v>
      </c>
      <c r="H236" t="n">
        <v>0</v>
      </c>
      <c r="I236" t="n">
        <v>0</v>
      </c>
      <c r="J236" t="n">
        <v>0</v>
      </c>
      <c r="K236" t="n">
        <v>0</v>
      </c>
      <c r="L236" t="n">
        <v>0</v>
      </c>
      <c r="M236" t="n">
        <v>0</v>
      </c>
      <c r="N236" t="n">
        <v>0</v>
      </c>
      <c r="O236" t="n">
        <v>0</v>
      </c>
      <c r="P236" t="n">
        <v>0</v>
      </c>
      <c r="Q236" t="n">
        <v>0</v>
      </c>
      <c r="R236" s="2" t="inlineStr"/>
    </row>
    <row r="237" ht="15" customHeight="1">
      <c r="A237" t="inlineStr">
        <is>
          <t>A 20293-2025</t>
        </is>
      </c>
      <c r="B237" s="1" t="n">
        <v>45774.74611111111</v>
      </c>
      <c r="C237" s="1" t="n">
        <v>46104</v>
      </c>
      <c r="D237" t="inlineStr">
        <is>
          <t>ÖSTERGÖTLANDS LÄN</t>
        </is>
      </c>
      <c r="E237" t="inlineStr">
        <is>
          <t>LINKÖPING</t>
        </is>
      </c>
      <c r="G237" t="n">
        <v>1.8</v>
      </c>
      <c r="H237" t="n">
        <v>0</v>
      </c>
      <c r="I237" t="n">
        <v>0</v>
      </c>
      <c r="J237" t="n">
        <v>0</v>
      </c>
      <c r="K237" t="n">
        <v>0</v>
      </c>
      <c r="L237" t="n">
        <v>0</v>
      </c>
      <c r="M237" t="n">
        <v>0</v>
      </c>
      <c r="N237" t="n">
        <v>0</v>
      </c>
      <c r="O237" t="n">
        <v>0</v>
      </c>
      <c r="P237" t="n">
        <v>0</v>
      </c>
      <c r="Q237" t="n">
        <v>0</v>
      </c>
      <c r="R237" s="2" t="inlineStr"/>
    </row>
    <row r="238" ht="15" customHeight="1">
      <c r="A238" t="inlineStr">
        <is>
          <t>A 56113-2025</t>
        </is>
      </c>
      <c r="B238" s="1" t="n">
        <v>45973.73924768518</v>
      </c>
      <c r="C238" s="1" t="n">
        <v>46104</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56105-2025</t>
        </is>
      </c>
      <c r="B239" s="1" t="n">
        <v>45973.72855324074</v>
      </c>
      <c r="C239" s="1" t="n">
        <v>46104</v>
      </c>
      <c r="D239" t="inlineStr">
        <is>
          <t>ÖSTERGÖTLANDS LÄN</t>
        </is>
      </c>
      <c r="E239" t="inlineStr">
        <is>
          <t>LINKÖPING</t>
        </is>
      </c>
      <c r="G239" t="n">
        <v>1.5</v>
      </c>
      <c r="H239" t="n">
        <v>0</v>
      </c>
      <c r="I239" t="n">
        <v>0</v>
      </c>
      <c r="J239" t="n">
        <v>0</v>
      </c>
      <c r="K239" t="n">
        <v>0</v>
      </c>
      <c r="L239" t="n">
        <v>0</v>
      </c>
      <c r="M239" t="n">
        <v>0</v>
      </c>
      <c r="N239" t="n">
        <v>0</v>
      </c>
      <c r="O239" t="n">
        <v>0</v>
      </c>
      <c r="P239" t="n">
        <v>0</v>
      </c>
      <c r="Q239" t="n">
        <v>0</v>
      </c>
      <c r="R239" s="2" t="inlineStr"/>
    </row>
    <row r="240" ht="15" customHeight="1">
      <c r="A240" t="inlineStr">
        <is>
          <t>A 572-2025</t>
        </is>
      </c>
      <c r="B240" s="1" t="n">
        <v>45664.56349537037</v>
      </c>
      <c r="C240" s="1" t="n">
        <v>46104</v>
      </c>
      <c r="D240" t="inlineStr">
        <is>
          <t>ÖSTERGÖTLANDS LÄN</t>
        </is>
      </c>
      <c r="E240" t="inlineStr">
        <is>
          <t>LINKÖPING</t>
        </is>
      </c>
      <c r="G240" t="n">
        <v>1.3</v>
      </c>
      <c r="H240" t="n">
        <v>0</v>
      </c>
      <c r="I240" t="n">
        <v>0</v>
      </c>
      <c r="J240" t="n">
        <v>0</v>
      </c>
      <c r="K240" t="n">
        <v>0</v>
      </c>
      <c r="L240" t="n">
        <v>0</v>
      </c>
      <c r="M240" t="n">
        <v>0</v>
      </c>
      <c r="N240" t="n">
        <v>0</v>
      </c>
      <c r="O240" t="n">
        <v>0</v>
      </c>
      <c r="P240" t="n">
        <v>0</v>
      </c>
      <c r="Q240" t="n">
        <v>0</v>
      </c>
      <c r="R240" s="2" t="inlineStr"/>
    </row>
    <row r="241" ht="15" customHeight="1">
      <c r="A241" t="inlineStr">
        <is>
          <t>A 56403-2025</t>
        </is>
      </c>
      <c r="B241" s="1" t="n">
        <v>45974</v>
      </c>
      <c r="C241" s="1" t="n">
        <v>46104</v>
      </c>
      <c r="D241" t="inlineStr">
        <is>
          <t>ÖSTERGÖTLANDS LÄN</t>
        </is>
      </c>
      <c r="E241" t="inlineStr">
        <is>
          <t>LINKÖPING</t>
        </is>
      </c>
      <c r="G241" t="n">
        <v>3.3</v>
      </c>
      <c r="H241" t="n">
        <v>0</v>
      </c>
      <c r="I241" t="n">
        <v>0</v>
      </c>
      <c r="J241" t="n">
        <v>0</v>
      </c>
      <c r="K241" t="n">
        <v>0</v>
      </c>
      <c r="L241" t="n">
        <v>0</v>
      </c>
      <c r="M241" t="n">
        <v>0</v>
      </c>
      <c r="N241" t="n">
        <v>0</v>
      </c>
      <c r="O241" t="n">
        <v>0</v>
      </c>
      <c r="P241" t="n">
        <v>0</v>
      </c>
      <c r="Q241" t="n">
        <v>0</v>
      </c>
      <c r="R241" s="2" t="inlineStr"/>
    </row>
    <row r="242" ht="15" customHeight="1">
      <c r="A242" t="inlineStr">
        <is>
          <t>A 10797-2024</t>
        </is>
      </c>
      <c r="B242" s="1" t="n">
        <v>45369.6190162037</v>
      </c>
      <c r="C242" s="1" t="n">
        <v>46104</v>
      </c>
      <c r="D242" t="inlineStr">
        <is>
          <t>ÖSTERGÖTLANDS LÄN</t>
        </is>
      </c>
      <c r="E242" t="inlineStr">
        <is>
          <t>LINKÖPING</t>
        </is>
      </c>
      <c r="G242" t="n">
        <v>1.5</v>
      </c>
      <c r="H242" t="n">
        <v>0</v>
      </c>
      <c r="I242" t="n">
        <v>0</v>
      </c>
      <c r="J242" t="n">
        <v>0</v>
      </c>
      <c r="K242" t="n">
        <v>0</v>
      </c>
      <c r="L242" t="n">
        <v>0</v>
      </c>
      <c r="M242" t="n">
        <v>0</v>
      </c>
      <c r="N242" t="n">
        <v>0</v>
      </c>
      <c r="O242" t="n">
        <v>0</v>
      </c>
      <c r="P242" t="n">
        <v>0</v>
      </c>
      <c r="Q242" t="n">
        <v>0</v>
      </c>
      <c r="R242" s="2" t="inlineStr"/>
    </row>
    <row r="243" ht="15" customHeight="1">
      <c r="A243" t="inlineStr">
        <is>
          <t>A 3041-2024</t>
        </is>
      </c>
      <c r="B243" s="1" t="n">
        <v>45316.34875</v>
      </c>
      <c r="C243" s="1" t="n">
        <v>46104</v>
      </c>
      <c r="D243" t="inlineStr">
        <is>
          <t>ÖSTERGÖTLANDS LÄN</t>
        </is>
      </c>
      <c r="E243" t="inlineStr">
        <is>
          <t>LINKÖPING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50963-2021</t>
        </is>
      </c>
      <c r="B244" s="1" t="n">
        <v>44460</v>
      </c>
      <c r="C244" s="1" t="n">
        <v>46104</v>
      </c>
      <c r="D244" t="inlineStr">
        <is>
          <t>ÖSTERGÖTLANDS LÄN</t>
        </is>
      </c>
      <c r="E244" t="inlineStr">
        <is>
          <t>LINKÖPING</t>
        </is>
      </c>
      <c r="G244" t="n">
        <v>4.4</v>
      </c>
      <c r="H244" t="n">
        <v>0</v>
      </c>
      <c r="I244" t="n">
        <v>0</v>
      </c>
      <c r="J244" t="n">
        <v>0</v>
      </c>
      <c r="K244" t="n">
        <v>0</v>
      </c>
      <c r="L244" t="n">
        <v>0</v>
      </c>
      <c r="M244" t="n">
        <v>0</v>
      </c>
      <c r="N244" t="n">
        <v>0</v>
      </c>
      <c r="O244" t="n">
        <v>0</v>
      </c>
      <c r="P244" t="n">
        <v>0</v>
      </c>
      <c r="Q244" t="n">
        <v>0</v>
      </c>
      <c r="R244" s="2" t="inlineStr"/>
    </row>
    <row r="245" ht="15" customHeight="1">
      <c r="A245" t="inlineStr">
        <is>
          <t>A 61307-2021</t>
        </is>
      </c>
      <c r="B245" s="1" t="n">
        <v>44498.63928240741</v>
      </c>
      <c r="C245" s="1" t="n">
        <v>46104</v>
      </c>
      <c r="D245" t="inlineStr">
        <is>
          <t>ÖSTERGÖTLANDS LÄN</t>
        </is>
      </c>
      <c r="E245" t="inlineStr">
        <is>
          <t>LINKÖPING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61325-2021</t>
        </is>
      </c>
      <c r="B246" s="1" t="n">
        <v>44498.66814814815</v>
      </c>
      <c r="C246" s="1" t="n">
        <v>46104</v>
      </c>
      <c r="D246" t="inlineStr">
        <is>
          <t>ÖSTERGÖTLANDS LÄN</t>
        </is>
      </c>
      <c r="E246" t="inlineStr">
        <is>
          <t>LINKÖPING</t>
        </is>
      </c>
      <c r="G246" t="n">
        <v>1.4</v>
      </c>
      <c r="H246" t="n">
        <v>0</v>
      </c>
      <c r="I246" t="n">
        <v>0</v>
      </c>
      <c r="J246" t="n">
        <v>0</v>
      </c>
      <c r="K246" t="n">
        <v>0</v>
      </c>
      <c r="L246" t="n">
        <v>0</v>
      </c>
      <c r="M246" t="n">
        <v>0</v>
      </c>
      <c r="N246" t="n">
        <v>0</v>
      </c>
      <c r="O246" t="n">
        <v>0</v>
      </c>
      <c r="P246" t="n">
        <v>0</v>
      </c>
      <c r="Q246" t="n">
        <v>0</v>
      </c>
      <c r="R246" s="2" t="inlineStr"/>
    </row>
    <row r="247" ht="15" customHeight="1">
      <c r="A247" t="inlineStr">
        <is>
          <t>A 56704-2025</t>
        </is>
      </c>
      <c r="B247" s="1" t="n">
        <v>45977.50608796296</v>
      </c>
      <c r="C247" s="1" t="n">
        <v>46104</v>
      </c>
      <c r="D247" t="inlineStr">
        <is>
          <t>ÖSTERGÖTLANDS LÄN</t>
        </is>
      </c>
      <c r="E247" t="inlineStr">
        <is>
          <t>LINKÖPING</t>
        </is>
      </c>
      <c r="F247" t="inlineStr">
        <is>
          <t>Övriga Aktiebolag</t>
        </is>
      </c>
      <c r="G247" t="n">
        <v>0.6</v>
      </c>
      <c r="H247" t="n">
        <v>0</v>
      </c>
      <c r="I247" t="n">
        <v>0</v>
      </c>
      <c r="J247" t="n">
        <v>0</v>
      </c>
      <c r="K247" t="n">
        <v>0</v>
      </c>
      <c r="L247" t="n">
        <v>0</v>
      </c>
      <c r="M247" t="n">
        <v>0</v>
      </c>
      <c r="N247" t="n">
        <v>0</v>
      </c>
      <c r="O247" t="n">
        <v>0</v>
      </c>
      <c r="P247" t="n">
        <v>0</v>
      </c>
      <c r="Q247" t="n">
        <v>0</v>
      </c>
      <c r="R247" s="2" t="inlineStr"/>
    </row>
    <row r="248" ht="15" customHeight="1">
      <c r="A248" t="inlineStr">
        <is>
          <t>A 63665-2023</t>
        </is>
      </c>
      <c r="B248" s="1" t="n">
        <v>45275</v>
      </c>
      <c r="C248" s="1" t="n">
        <v>46104</v>
      </c>
      <c r="D248" t="inlineStr">
        <is>
          <t>ÖSTERGÖTLANDS LÄN</t>
        </is>
      </c>
      <c r="E248" t="inlineStr">
        <is>
          <t>LINKÖPING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38580-2024</t>
        </is>
      </c>
      <c r="B249" s="1" t="n">
        <v>45546.64825231482</v>
      </c>
      <c r="C249" s="1" t="n">
        <v>46104</v>
      </c>
      <c r="D249" t="inlineStr">
        <is>
          <t>ÖSTERGÖTLANDS LÄN</t>
        </is>
      </c>
      <c r="E249" t="inlineStr">
        <is>
          <t>LINKÖPING</t>
        </is>
      </c>
      <c r="G249" t="n">
        <v>4.8</v>
      </c>
      <c r="H249" t="n">
        <v>0</v>
      </c>
      <c r="I249" t="n">
        <v>0</v>
      </c>
      <c r="J249" t="n">
        <v>0</v>
      </c>
      <c r="K249" t="n">
        <v>0</v>
      </c>
      <c r="L249" t="n">
        <v>0</v>
      </c>
      <c r="M249" t="n">
        <v>0</v>
      </c>
      <c r="N249" t="n">
        <v>0</v>
      </c>
      <c r="O249" t="n">
        <v>0</v>
      </c>
      <c r="P249" t="n">
        <v>0</v>
      </c>
      <c r="Q249" t="n">
        <v>0</v>
      </c>
      <c r="R249" s="2" t="inlineStr"/>
    </row>
    <row r="250" ht="15" customHeight="1">
      <c r="A250" t="inlineStr">
        <is>
          <t>A 33867-2023</t>
        </is>
      </c>
      <c r="B250" s="1" t="n">
        <v>45133.94640046296</v>
      </c>
      <c r="C250" s="1" t="n">
        <v>46104</v>
      </c>
      <c r="D250" t="inlineStr">
        <is>
          <t>ÖSTERGÖTLANDS LÄN</t>
        </is>
      </c>
      <c r="E250" t="inlineStr">
        <is>
          <t>LINKÖPING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57752-2023</t>
        </is>
      </c>
      <c r="B251" s="1" t="n">
        <v>45246.78474537037</v>
      </c>
      <c r="C251" s="1" t="n">
        <v>46104</v>
      </c>
      <c r="D251" t="inlineStr">
        <is>
          <t>ÖSTERGÖTLANDS LÄN</t>
        </is>
      </c>
      <c r="E251" t="inlineStr">
        <is>
          <t>LINKÖPING</t>
        </is>
      </c>
      <c r="G251" t="n">
        <v>1.1</v>
      </c>
      <c r="H251" t="n">
        <v>0</v>
      </c>
      <c r="I251" t="n">
        <v>0</v>
      </c>
      <c r="J251" t="n">
        <v>0</v>
      </c>
      <c r="K251" t="n">
        <v>0</v>
      </c>
      <c r="L251" t="n">
        <v>0</v>
      </c>
      <c r="M251" t="n">
        <v>0</v>
      </c>
      <c r="N251" t="n">
        <v>0</v>
      </c>
      <c r="O251" t="n">
        <v>0</v>
      </c>
      <c r="P251" t="n">
        <v>0</v>
      </c>
      <c r="Q251" t="n">
        <v>0</v>
      </c>
      <c r="R251" s="2" t="inlineStr"/>
    </row>
    <row r="252" ht="15" customHeight="1">
      <c r="A252" t="inlineStr">
        <is>
          <t>A 3008-2023</t>
        </is>
      </c>
      <c r="B252" s="1" t="n">
        <v>44945.79784722222</v>
      </c>
      <c r="C252" s="1" t="n">
        <v>46104</v>
      </c>
      <c r="D252" t="inlineStr">
        <is>
          <t>ÖSTERGÖTLANDS LÄN</t>
        </is>
      </c>
      <c r="E252" t="inlineStr">
        <is>
          <t>LINKÖPING</t>
        </is>
      </c>
      <c r="G252" t="n">
        <v>19.3</v>
      </c>
      <c r="H252" t="n">
        <v>0</v>
      </c>
      <c r="I252" t="n">
        <v>0</v>
      </c>
      <c r="J252" t="n">
        <v>0</v>
      </c>
      <c r="K252" t="n">
        <v>0</v>
      </c>
      <c r="L252" t="n">
        <v>0</v>
      </c>
      <c r="M252" t="n">
        <v>0</v>
      </c>
      <c r="N252" t="n">
        <v>0</v>
      </c>
      <c r="O252" t="n">
        <v>0</v>
      </c>
      <c r="P252" t="n">
        <v>0</v>
      </c>
      <c r="Q252" t="n">
        <v>0</v>
      </c>
      <c r="R252" s="2" t="inlineStr"/>
    </row>
    <row r="253" ht="15" customHeight="1">
      <c r="A253" t="inlineStr">
        <is>
          <t>A 30985-2022</t>
        </is>
      </c>
      <c r="B253" s="1" t="n">
        <v>44768</v>
      </c>
      <c r="C253" s="1" t="n">
        <v>46104</v>
      </c>
      <c r="D253" t="inlineStr">
        <is>
          <t>ÖSTERGÖTLANDS LÄN</t>
        </is>
      </c>
      <c r="E253" t="inlineStr">
        <is>
          <t>LINKÖPING</t>
        </is>
      </c>
      <c r="G253" t="n">
        <v>1.1</v>
      </c>
      <c r="H253" t="n">
        <v>0</v>
      </c>
      <c r="I253" t="n">
        <v>0</v>
      </c>
      <c r="J253" t="n">
        <v>0</v>
      </c>
      <c r="K253" t="n">
        <v>0</v>
      </c>
      <c r="L253" t="n">
        <v>0</v>
      </c>
      <c r="M253" t="n">
        <v>0</v>
      </c>
      <c r="N253" t="n">
        <v>0</v>
      </c>
      <c r="O253" t="n">
        <v>0</v>
      </c>
      <c r="P253" t="n">
        <v>0</v>
      </c>
      <c r="Q253" t="n">
        <v>0</v>
      </c>
      <c r="R253" s="2" t="inlineStr"/>
    </row>
    <row r="254" ht="15" customHeight="1">
      <c r="A254" t="inlineStr">
        <is>
          <t>A 38317-2024</t>
        </is>
      </c>
      <c r="B254" s="1" t="n">
        <v>45545.65766203704</v>
      </c>
      <c r="C254" s="1" t="n">
        <v>46104</v>
      </c>
      <c r="D254" t="inlineStr">
        <is>
          <t>ÖSTERGÖTLANDS LÄN</t>
        </is>
      </c>
      <c r="E254" t="inlineStr">
        <is>
          <t>LINKÖPING</t>
        </is>
      </c>
      <c r="G254" t="n">
        <v>0.7</v>
      </c>
      <c r="H254" t="n">
        <v>0</v>
      </c>
      <c r="I254" t="n">
        <v>0</v>
      </c>
      <c r="J254" t="n">
        <v>0</v>
      </c>
      <c r="K254" t="n">
        <v>0</v>
      </c>
      <c r="L254" t="n">
        <v>0</v>
      </c>
      <c r="M254" t="n">
        <v>0</v>
      </c>
      <c r="N254" t="n">
        <v>0</v>
      </c>
      <c r="O254" t="n">
        <v>0</v>
      </c>
      <c r="P254" t="n">
        <v>0</v>
      </c>
      <c r="Q254" t="n">
        <v>0</v>
      </c>
      <c r="R254" s="2" t="inlineStr"/>
    </row>
    <row r="255" ht="15" customHeight="1">
      <c r="A255" t="inlineStr">
        <is>
          <t>A 39438-2025</t>
        </is>
      </c>
      <c r="B255" s="1" t="n">
        <v>45889.68641203704</v>
      </c>
      <c r="C255" s="1" t="n">
        <v>46104</v>
      </c>
      <c r="D255" t="inlineStr">
        <is>
          <t>ÖSTERGÖTLANDS LÄN</t>
        </is>
      </c>
      <c r="E255" t="inlineStr">
        <is>
          <t>LINKÖPING</t>
        </is>
      </c>
      <c r="G255" t="n">
        <v>2.4</v>
      </c>
      <c r="H255" t="n">
        <v>0</v>
      </c>
      <c r="I255" t="n">
        <v>0</v>
      </c>
      <c r="J255" t="n">
        <v>0</v>
      </c>
      <c r="K255" t="n">
        <v>0</v>
      </c>
      <c r="L255" t="n">
        <v>0</v>
      </c>
      <c r="M255" t="n">
        <v>0</v>
      </c>
      <c r="N255" t="n">
        <v>0</v>
      </c>
      <c r="O255" t="n">
        <v>0</v>
      </c>
      <c r="P255" t="n">
        <v>0</v>
      </c>
      <c r="Q255" t="n">
        <v>0</v>
      </c>
      <c r="R255" s="2" t="inlineStr"/>
    </row>
    <row r="256" ht="15" customHeight="1">
      <c r="A256" t="inlineStr">
        <is>
          <t>A 27264-2025</t>
        </is>
      </c>
      <c r="B256" s="1" t="n">
        <v>45812.4794212963</v>
      </c>
      <c r="C256" s="1" t="n">
        <v>46104</v>
      </c>
      <c r="D256" t="inlineStr">
        <is>
          <t>ÖSTERGÖTLANDS LÄN</t>
        </is>
      </c>
      <c r="E256" t="inlineStr">
        <is>
          <t>LINKÖPING</t>
        </is>
      </c>
      <c r="G256" t="n">
        <v>2.6</v>
      </c>
      <c r="H256" t="n">
        <v>0</v>
      </c>
      <c r="I256" t="n">
        <v>0</v>
      </c>
      <c r="J256" t="n">
        <v>0</v>
      </c>
      <c r="K256" t="n">
        <v>0</v>
      </c>
      <c r="L256" t="n">
        <v>0</v>
      </c>
      <c r="M256" t="n">
        <v>0</v>
      </c>
      <c r="N256" t="n">
        <v>0</v>
      </c>
      <c r="O256" t="n">
        <v>0</v>
      </c>
      <c r="P256" t="n">
        <v>0</v>
      </c>
      <c r="Q256" t="n">
        <v>0</v>
      </c>
      <c r="R256" s="2" t="inlineStr"/>
    </row>
    <row r="257" ht="15" customHeight="1">
      <c r="A257" t="inlineStr">
        <is>
          <t>A 39074-2025</t>
        </is>
      </c>
      <c r="B257" s="1" t="n">
        <v>45888</v>
      </c>
      <c r="C257" s="1" t="n">
        <v>46104</v>
      </c>
      <c r="D257" t="inlineStr">
        <is>
          <t>ÖSTERGÖTLANDS LÄN</t>
        </is>
      </c>
      <c r="E257" t="inlineStr">
        <is>
          <t>LINKÖPING</t>
        </is>
      </c>
      <c r="G257" t="n">
        <v>2.9</v>
      </c>
      <c r="H257" t="n">
        <v>0</v>
      </c>
      <c r="I257" t="n">
        <v>0</v>
      </c>
      <c r="J257" t="n">
        <v>0</v>
      </c>
      <c r="K257" t="n">
        <v>0</v>
      </c>
      <c r="L257" t="n">
        <v>0</v>
      </c>
      <c r="M257" t="n">
        <v>0</v>
      </c>
      <c r="N257" t="n">
        <v>0</v>
      </c>
      <c r="O257" t="n">
        <v>0</v>
      </c>
      <c r="P257" t="n">
        <v>0</v>
      </c>
      <c r="Q257" t="n">
        <v>0</v>
      </c>
      <c r="R257" s="2" t="inlineStr"/>
    </row>
    <row r="258" ht="15" customHeight="1">
      <c r="A258" t="inlineStr">
        <is>
          <t>A 72567-2021</t>
        </is>
      </c>
      <c r="B258" s="1" t="n">
        <v>44546.45023148148</v>
      </c>
      <c r="C258" s="1" t="n">
        <v>46104</v>
      </c>
      <c r="D258" t="inlineStr">
        <is>
          <t>ÖSTERGÖTLANDS LÄN</t>
        </is>
      </c>
      <c r="E258" t="inlineStr">
        <is>
          <t>LINKÖPING</t>
        </is>
      </c>
      <c r="G258" t="n">
        <v>1.6</v>
      </c>
      <c r="H258" t="n">
        <v>0</v>
      </c>
      <c r="I258" t="n">
        <v>0</v>
      </c>
      <c r="J258" t="n">
        <v>0</v>
      </c>
      <c r="K258" t="n">
        <v>0</v>
      </c>
      <c r="L258" t="n">
        <v>0</v>
      </c>
      <c r="M258" t="n">
        <v>0</v>
      </c>
      <c r="N258" t="n">
        <v>0</v>
      </c>
      <c r="O258" t="n">
        <v>0</v>
      </c>
      <c r="P258" t="n">
        <v>0</v>
      </c>
      <c r="Q258" t="n">
        <v>0</v>
      </c>
      <c r="R258" s="2" t="inlineStr"/>
    </row>
    <row r="259" ht="15" customHeight="1">
      <c r="A259" t="inlineStr">
        <is>
          <t>A 29312-2024</t>
        </is>
      </c>
      <c r="B259" s="1" t="n">
        <v>45483</v>
      </c>
      <c r="C259" s="1" t="n">
        <v>46104</v>
      </c>
      <c r="D259" t="inlineStr">
        <is>
          <t>ÖSTERGÖTLANDS LÄN</t>
        </is>
      </c>
      <c r="E259" t="inlineStr">
        <is>
          <t>LINKÖPING</t>
        </is>
      </c>
      <c r="G259" t="n">
        <v>2.1</v>
      </c>
      <c r="H259" t="n">
        <v>0</v>
      </c>
      <c r="I259" t="n">
        <v>0</v>
      </c>
      <c r="J259" t="n">
        <v>0</v>
      </c>
      <c r="K259" t="n">
        <v>0</v>
      </c>
      <c r="L259" t="n">
        <v>0</v>
      </c>
      <c r="M259" t="n">
        <v>0</v>
      </c>
      <c r="N259" t="n">
        <v>0</v>
      </c>
      <c r="O259" t="n">
        <v>0</v>
      </c>
      <c r="P259" t="n">
        <v>0</v>
      </c>
      <c r="Q259" t="n">
        <v>0</v>
      </c>
      <c r="R259" s="2" t="inlineStr"/>
    </row>
    <row r="260" ht="15" customHeight="1">
      <c r="A260" t="inlineStr">
        <is>
          <t>A 58947-2022</t>
        </is>
      </c>
      <c r="B260" s="1" t="n">
        <v>44903.64769675926</v>
      </c>
      <c r="C260" s="1" t="n">
        <v>46104</v>
      </c>
      <c r="D260" t="inlineStr">
        <is>
          <t>ÖSTERGÖTLANDS LÄN</t>
        </is>
      </c>
      <c r="E260" t="inlineStr">
        <is>
          <t>LINKÖPING</t>
        </is>
      </c>
      <c r="G260" t="n">
        <v>4</v>
      </c>
      <c r="H260" t="n">
        <v>0</v>
      </c>
      <c r="I260" t="n">
        <v>0</v>
      </c>
      <c r="J260" t="n">
        <v>0</v>
      </c>
      <c r="K260" t="n">
        <v>0</v>
      </c>
      <c r="L260" t="n">
        <v>0</v>
      </c>
      <c r="M260" t="n">
        <v>0</v>
      </c>
      <c r="N260" t="n">
        <v>0</v>
      </c>
      <c r="O260" t="n">
        <v>0</v>
      </c>
      <c r="P260" t="n">
        <v>0</v>
      </c>
      <c r="Q260" t="n">
        <v>0</v>
      </c>
      <c r="R260" s="2" t="inlineStr"/>
    </row>
    <row r="261" ht="15" customHeight="1">
      <c r="A261" t="inlineStr">
        <is>
          <t>A 23120-2025</t>
        </is>
      </c>
      <c r="B261" s="1" t="n">
        <v>45791.37481481482</v>
      </c>
      <c r="C261" s="1" t="n">
        <v>46104</v>
      </c>
      <c r="D261" t="inlineStr">
        <is>
          <t>ÖSTERGÖTLANDS LÄN</t>
        </is>
      </c>
      <c r="E261" t="inlineStr">
        <is>
          <t>LINKÖPING</t>
        </is>
      </c>
      <c r="G261" t="n">
        <v>2.9</v>
      </c>
      <c r="H261" t="n">
        <v>0</v>
      </c>
      <c r="I261" t="n">
        <v>0</v>
      </c>
      <c r="J261" t="n">
        <v>0</v>
      </c>
      <c r="K261" t="n">
        <v>0</v>
      </c>
      <c r="L261" t="n">
        <v>0</v>
      </c>
      <c r="M261" t="n">
        <v>0</v>
      </c>
      <c r="N261" t="n">
        <v>0</v>
      </c>
      <c r="O261" t="n">
        <v>0</v>
      </c>
      <c r="P261" t="n">
        <v>0</v>
      </c>
      <c r="Q261" t="n">
        <v>0</v>
      </c>
      <c r="R261" s="2" t="inlineStr"/>
    </row>
    <row r="262" ht="15" customHeight="1">
      <c r="A262" t="inlineStr">
        <is>
          <t>A 58802-2025</t>
        </is>
      </c>
      <c r="B262" s="1" t="n">
        <v>45986.8768287037</v>
      </c>
      <c r="C262" s="1" t="n">
        <v>46104</v>
      </c>
      <c r="D262" t="inlineStr">
        <is>
          <t>ÖSTERGÖTLANDS LÄN</t>
        </is>
      </c>
      <c r="E262" t="inlineStr">
        <is>
          <t>LINKÖPING</t>
        </is>
      </c>
      <c r="G262" t="n">
        <v>0.9</v>
      </c>
      <c r="H262" t="n">
        <v>0</v>
      </c>
      <c r="I262" t="n">
        <v>0</v>
      </c>
      <c r="J262" t="n">
        <v>0</v>
      </c>
      <c r="K262" t="n">
        <v>0</v>
      </c>
      <c r="L262" t="n">
        <v>0</v>
      </c>
      <c r="M262" t="n">
        <v>0</v>
      </c>
      <c r="N262" t="n">
        <v>0</v>
      </c>
      <c r="O262" t="n">
        <v>0</v>
      </c>
      <c r="P262" t="n">
        <v>0</v>
      </c>
      <c r="Q262" t="n">
        <v>0</v>
      </c>
      <c r="R262" s="2" t="inlineStr"/>
    </row>
    <row r="263" ht="15" customHeight="1">
      <c r="A263" t="inlineStr">
        <is>
          <t>A 55004-2025</t>
        </is>
      </c>
      <c r="B263" s="1" t="n">
        <v>45967</v>
      </c>
      <c r="C263" s="1" t="n">
        <v>46104</v>
      </c>
      <c r="D263" t="inlineStr">
        <is>
          <t>ÖSTERGÖTLANDS LÄN</t>
        </is>
      </c>
      <c r="E263" t="inlineStr">
        <is>
          <t>LINKÖPING</t>
        </is>
      </c>
      <c r="G263" t="n">
        <v>2.5</v>
      </c>
      <c r="H263" t="n">
        <v>0</v>
      </c>
      <c r="I263" t="n">
        <v>0</v>
      </c>
      <c r="J263" t="n">
        <v>0</v>
      </c>
      <c r="K263" t="n">
        <v>0</v>
      </c>
      <c r="L263" t="n">
        <v>0</v>
      </c>
      <c r="M263" t="n">
        <v>0</v>
      </c>
      <c r="N263" t="n">
        <v>0</v>
      </c>
      <c r="O263" t="n">
        <v>0</v>
      </c>
      <c r="P263" t="n">
        <v>0</v>
      </c>
      <c r="Q263" t="n">
        <v>0</v>
      </c>
      <c r="R263" s="2" t="inlineStr"/>
    </row>
    <row r="264" ht="15" customHeight="1">
      <c r="A264" t="inlineStr">
        <is>
          <t>A 16665-2023</t>
        </is>
      </c>
      <c r="B264" s="1" t="n">
        <v>45030.5583912037</v>
      </c>
      <c r="C264" s="1" t="n">
        <v>46104</v>
      </c>
      <c r="D264" t="inlineStr">
        <is>
          <t>ÖSTERGÖTLANDS LÄN</t>
        </is>
      </c>
      <c r="E264" t="inlineStr">
        <is>
          <t>LINKÖPING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23768-2025</t>
        </is>
      </c>
      <c r="B265" s="1" t="n">
        <v>45793.47493055555</v>
      </c>
      <c r="C265" s="1" t="n">
        <v>46104</v>
      </c>
      <c r="D265" t="inlineStr">
        <is>
          <t>ÖSTERGÖTLANDS LÄN</t>
        </is>
      </c>
      <c r="E265" t="inlineStr">
        <is>
          <t>LINKÖPING</t>
        </is>
      </c>
      <c r="G265" t="n">
        <v>3.4</v>
      </c>
      <c r="H265" t="n">
        <v>0</v>
      </c>
      <c r="I265" t="n">
        <v>0</v>
      </c>
      <c r="J265" t="n">
        <v>0</v>
      </c>
      <c r="K265" t="n">
        <v>0</v>
      </c>
      <c r="L265" t="n">
        <v>0</v>
      </c>
      <c r="M265" t="n">
        <v>0</v>
      </c>
      <c r="N265" t="n">
        <v>0</v>
      </c>
      <c r="O265" t="n">
        <v>0</v>
      </c>
      <c r="P265" t="n">
        <v>0</v>
      </c>
      <c r="Q265" t="n">
        <v>0</v>
      </c>
      <c r="R265" s="2" t="inlineStr"/>
    </row>
    <row r="266" ht="15" customHeight="1">
      <c r="A266" t="inlineStr">
        <is>
          <t>A 40169-2025</t>
        </is>
      </c>
      <c r="B266" s="1" t="n">
        <v>45894.62824074074</v>
      </c>
      <c r="C266" s="1" t="n">
        <v>46104</v>
      </c>
      <c r="D266" t="inlineStr">
        <is>
          <t>ÖSTERGÖTLANDS LÄN</t>
        </is>
      </c>
      <c r="E266" t="inlineStr">
        <is>
          <t>LINKÖPING</t>
        </is>
      </c>
      <c r="G266" t="n">
        <v>2.8</v>
      </c>
      <c r="H266" t="n">
        <v>0</v>
      </c>
      <c r="I266" t="n">
        <v>0</v>
      </c>
      <c r="J266" t="n">
        <v>0</v>
      </c>
      <c r="K266" t="n">
        <v>0</v>
      </c>
      <c r="L266" t="n">
        <v>0</v>
      </c>
      <c r="M266" t="n">
        <v>0</v>
      </c>
      <c r="N266" t="n">
        <v>0</v>
      </c>
      <c r="O266" t="n">
        <v>0</v>
      </c>
      <c r="P266" t="n">
        <v>0</v>
      </c>
      <c r="Q266" t="n">
        <v>0</v>
      </c>
      <c r="R266" s="2" t="inlineStr"/>
    </row>
    <row r="267" ht="15" customHeight="1">
      <c r="A267" t="inlineStr">
        <is>
          <t>A 60001-2022</t>
        </is>
      </c>
      <c r="B267" s="1" t="n">
        <v>44909.47087962963</v>
      </c>
      <c r="C267" s="1" t="n">
        <v>46104</v>
      </c>
      <c r="D267" t="inlineStr">
        <is>
          <t>ÖSTERGÖTLANDS LÄN</t>
        </is>
      </c>
      <c r="E267" t="inlineStr">
        <is>
          <t>LINKÖPING</t>
        </is>
      </c>
      <c r="G267" t="n">
        <v>0.9</v>
      </c>
      <c r="H267" t="n">
        <v>0</v>
      </c>
      <c r="I267" t="n">
        <v>0</v>
      </c>
      <c r="J267" t="n">
        <v>0</v>
      </c>
      <c r="K267" t="n">
        <v>0</v>
      </c>
      <c r="L267" t="n">
        <v>0</v>
      </c>
      <c r="M267" t="n">
        <v>0</v>
      </c>
      <c r="N267" t="n">
        <v>0</v>
      </c>
      <c r="O267" t="n">
        <v>0</v>
      </c>
      <c r="P267" t="n">
        <v>0</v>
      </c>
      <c r="Q267" t="n">
        <v>0</v>
      </c>
      <c r="R267" s="2" t="inlineStr"/>
    </row>
    <row r="268" ht="15" customHeight="1">
      <c r="A268" t="inlineStr">
        <is>
          <t>A 60013-2022</t>
        </is>
      </c>
      <c r="B268" s="1" t="n">
        <v>44909.47482638889</v>
      </c>
      <c r="C268" s="1" t="n">
        <v>46104</v>
      </c>
      <c r="D268" t="inlineStr">
        <is>
          <t>ÖSTERGÖTLANDS LÄN</t>
        </is>
      </c>
      <c r="E268" t="inlineStr">
        <is>
          <t>LINKÖPING</t>
        </is>
      </c>
      <c r="G268" t="n">
        <v>0.9</v>
      </c>
      <c r="H268" t="n">
        <v>0</v>
      </c>
      <c r="I268" t="n">
        <v>0</v>
      </c>
      <c r="J268" t="n">
        <v>0</v>
      </c>
      <c r="K268" t="n">
        <v>0</v>
      </c>
      <c r="L268" t="n">
        <v>0</v>
      </c>
      <c r="M268" t="n">
        <v>0</v>
      </c>
      <c r="N268" t="n">
        <v>0</v>
      </c>
      <c r="O268" t="n">
        <v>0</v>
      </c>
      <c r="P268" t="n">
        <v>0</v>
      </c>
      <c r="Q268" t="n">
        <v>0</v>
      </c>
      <c r="R268" s="2" t="inlineStr"/>
    </row>
    <row r="269" ht="15" customHeight="1">
      <c r="A269" t="inlineStr">
        <is>
          <t>A 59205-2025</t>
        </is>
      </c>
      <c r="B269" s="1" t="n">
        <v>45988.60721064815</v>
      </c>
      <c r="C269" s="1" t="n">
        <v>46104</v>
      </c>
      <c r="D269" t="inlineStr">
        <is>
          <t>ÖSTERGÖTLANDS LÄN</t>
        </is>
      </c>
      <c r="E269" t="inlineStr">
        <is>
          <t>LINKÖPING</t>
        </is>
      </c>
      <c r="F269" t="inlineStr">
        <is>
          <t>Sveaskog</t>
        </is>
      </c>
      <c r="G269" t="n">
        <v>11.3</v>
      </c>
      <c r="H269" t="n">
        <v>0</v>
      </c>
      <c r="I269" t="n">
        <v>0</v>
      </c>
      <c r="J269" t="n">
        <v>0</v>
      </c>
      <c r="K269" t="n">
        <v>0</v>
      </c>
      <c r="L269" t="n">
        <v>0</v>
      </c>
      <c r="M269" t="n">
        <v>0</v>
      </c>
      <c r="N269" t="n">
        <v>0</v>
      </c>
      <c r="O269" t="n">
        <v>0</v>
      </c>
      <c r="P269" t="n">
        <v>0</v>
      </c>
      <c r="Q269" t="n">
        <v>0</v>
      </c>
      <c r="R269" s="2" t="inlineStr"/>
    </row>
    <row r="270" ht="15" customHeight="1">
      <c r="A270" t="inlineStr">
        <is>
          <t>A 1211-2023</t>
        </is>
      </c>
      <c r="B270" s="1" t="n">
        <v>44930</v>
      </c>
      <c r="C270" s="1" t="n">
        <v>46104</v>
      </c>
      <c r="D270" t="inlineStr">
        <is>
          <t>ÖSTERGÖTLANDS LÄN</t>
        </is>
      </c>
      <c r="E270" t="inlineStr">
        <is>
          <t>LINKÖPING</t>
        </is>
      </c>
      <c r="F270" t="inlineStr">
        <is>
          <t>Övriga statliga verk och myndigheter</t>
        </is>
      </c>
      <c r="G270" t="n">
        <v>7.9</v>
      </c>
      <c r="H270" t="n">
        <v>0</v>
      </c>
      <c r="I270" t="n">
        <v>0</v>
      </c>
      <c r="J270" t="n">
        <v>0</v>
      </c>
      <c r="K270" t="n">
        <v>0</v>
      </c>
      <c r="L270" t="n">
        <v>0</v>
      </c>
      <c r="M270" t="n">
        <v>0</v>
      </c>
      <c r="N270" t="n">
        <v>0</v>
      </c>
      <c r="O270" t="n">
        <v>0</v>
      </c>
      <c r="P270" t="n">
        <v>0</v>
      </c>
      <c r="Q270" t="n">
        <v>0</v>
      </c>
      <c r="R270" s="2" t="inlineStr"/>
    </row>
    <row r="271" ht="15" customHeight="1">
      <c r="A271" t="inlineStr">
        <is>
          <t>A 59472-2025</t>
        </is>
      </c>
      <c r="B271" s="1" t="n">
        <v>45989.58321759259</v>
      </c>
      <c r="C271" s="1" t="n">
        <v>46104</v>
      </c>
      <c r="D271" t="inlineStr">
        <is>
          <t>ÖSTERGÖTLANDS LÄN</t>
        </is>
      </c>
      <c r="E271" t="inlineStr">
        <is>
          <t>LINKÖPING</t>
        </is>
      </c>
      <c r="G271" t="n">
        <v>0.8</v>
      </c>
      <c r="H271" t="n">
        <v>0</v>
      </c>
      <c r="I271" t="n">
        <v>0</v>
      </c>
      <c r="J271" t="n">
        <v>0</v>
      </c>
      <c r="K271" t="n">
        <v>0</v>
      </c>
      <c r="L271" t="n">
        <v>0</v>
      </c>
      <c r="M271" t="n">
        <v>0</v>
      </c>
      <c r="N271" t="n">
        <v>0</v>
      </c>
      <c r="O271" t="n">
        <v>0</v>
      </c>
      <c r="P271" t="n">
        <v>0</v>
      </c>
      <c r="Q271" t="n">
        <v>0</v>
      </c>
      <c r="R271" s="2" t="inlineStr"/>
    </row>
    <row r="272" ht="15" customHeight="1">
      <c r="A272" t="inlineStr">
        <is>
          <t>A 38136-2023</t>
        </is>
      </c>
      <c r="B272" s="1" t="n">
        <v>45161.37310185185</v>
      </c>
      <c r="C272" s="1" t="n">
        <v>46104</v>
      </c>
      <c r="D272" t="inlineStr">
        <is>
          <t>ÖSTERGÖTLANDS LÄN</t>
        </is>
      </c>
      <c r="E272" t="inlineStr">
        <is>
          <t>LINKÖPING</t>
        </is>
      </c>
      <c r="G272" t="n">
        <v>5.6</v>
      </c>
      <c r="H272" t="n">
        <v>0</v>
      </c>
      <c r="I272" t="n">
        <v>0</v>
      </c>
      <c r="J272" t="n">
        <v>0</v>
      </c>
      <c r="K272" t="n">
        <v>0</v>
      </c>
      <c r="L272" t="n">
        <v>0</v>
      </c>
      <c r="M272" t="n">
        <v>0</v>
      </c>
      <c r="N272" t="n">
        <v>0</v>
      </c>
      <c r="O272" t="n">
        <v>0</v>
      </c>
      <c r="P272" t="n">
        <v>0</v>
      </c>
      <c r="Q272" t="n">
        <v>0</v>
      </c>
      <c r="R272" s="2" t="inlineStr"/>
    </row>
    <row r="273" ht="15" customHeight="1">
      <c r="A273" t="inlineStr">
        <is>
          <t>A 60087-2025</t>
        </is>
      </c>
      <c r="B273" s="1" t="n">
        <v>45993.71726851852</v>
      </c>
      <c r="C273" s="1" t="n">
        <v>46104</v>
      </c>
      <c r="D273" t="inlineStr">
        <is>
          <t>ÖSTERGÖTLANDS LÄN</t>
        </is>
      </c>
      <c r="E273" t="inlineStr">
        <is>
          <t>LINKÖPING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12317-2025</t>
        </is>
      </c>
      <c r="B274" s="1" t="n">
        <v>45729.8487037037</v>
      </c>
      <c r="C274" s="1" t="n">
        <v>46104</v>
      </c>
      <c r="D274" t="inlineStr">
        <is>
          <t>ÖSTERGÖTLANDS LÄN</t>
        </is>
      </c>
      <c r="E274" t="inlineStr">
        <is>
          <t>LINKÖPING</t>
        </is>
      </c>
      <c r="G274" t="n">
        <v>8</v>
      </c>
      <c r="H274" t="n">
        <v>0</v>
      </c>
      <c r="I274" t="n">
        <v>0</v>
      </c>
      <c r="J274" t="n">
        <v>0</v>
      </c>
      <c r="K274" t="n">
        <v>0</v>
      </c>
      <c r="L274" t="n">
        <v>0</v>
      </c>
      <c r="M274" t="n">
        <v>0</v>
      </c>
      <c r="N274" t="n">
        <v>0</v>
      </c>
      <c r="O274" t="n">
        <v>0</v>
      </c>
      <c r="P274" t="n">
        <v>0</v>
      </c>
      <c r="Q274" t="n">
        <v>0</v>
      </c>
      <c r="R274" s="2" t="inlineStr"/>
    </row>
    <row r="275" ht="15" customHeight="1">
      <c r="A275" t="inlineStr">
        <is>
          <t>A 36557-2023</t>
        </is>
      </c>
      <c r="B275" s="1" t="n">
        <v>45153</v>
      </c>
      <c r="C275" s="1" t="n">
        <v>46104</v>
      </c>
      <c r="D275" t="inlineStr">
        <is>
          <t>ÖSTERGÖTLANDS LÄN</t>
        </is>
      </c>
      <c r="E275" t="inlineStr">
        <is>
          <t>LINKÖPING</t>
        </is>
      </c>
      <c r="F275" t="inlineStr">
        <is>
          <t>Övriga Aktiebolag</t>
        </is>
      </c>
      <c r="G275" t="n">
        <v>3.1</v>
      </c>
      <c r="H275" t="n">
        <v>0</v>
      </c>
      <c r="I275" t="n">
        <v>0</v>
      </c>
      <c r="J275" t="n">
        <v>0</v>
      </c>
      <c r="K275" t="n">
        <v>0</v>
      </c>
      <c r="L275" t="n">
        <v>0</v>
      </c>
      <c r="M275" t="n">
        <v>0</v>
      </c>
      <c r="N275" t="n">
        <v>0</v>
      </c>
      <c r="O275" t="n">
        <v>0</v>
      </c>
      <c r="P275" t="n">
        <v>0</v>
      </c>
      <c r="Q275" t="n">
        <v>0</v>
      </c>
      <c r="R275" s="2" t="inlineStr"/>
    </row>
    <row r="276" ht="15" customHeight="1">
      <c r="A276" t="inlineStr">
        <is>
          <t>A 2085-2024</t>
        </is>
      </c>
      <c r="B276" s="1" t="n">
        <v>45309</v>
      </c>
      <c r="C276" s="1" t="n">
        <v>46104</v>
      </c>
      <c r="D276" t="inlineStr">
        <is>
          <t>ÖSTERGÖTLANDS LÄN</t>
        </is>
      </c>
      <c r="E276" t="inlineStr">
        <is>
          <t>LINKÖPING</t>
        </is>
      </c>
      <c r="G276" t="n">
        <v>4.5</v>
      </c>
      <c r="H276" t="n">
        <v>0</v>
      </c>
      <c r="I276" t="n">
        <v>0</v>
      </c>
      <c r="J276" t="n">
        <v>0</v>
      </c>
      <c r="K276" t="n">
        <v>0</v>
      </c>
      <c r="L276" t="n">
        <v>0</v>
      </c>
      <c r="M276" t="n">
        <v>0</v>
      </c>
      <c r="N276" t="n">
        <v>0</v>
      </c>
      <c r="O276" t="n">
        <v>0</v>
      </c>
      <c r="P276" t="n">
        <v>0</v>
      </c>
      <c r="Q276" t="n">
        <v>0</v>
      </c>
      <c r="R276" s="2" t="inlineStr"/>
    </row>
    <row r="277" ht="15" customHeight="1">
      <c r="A277" t="inlineStr">
        <is>
          <t>A 60306-2025</t>
        </is>
      </c>
      <c r="B277" s="1" t="n">
        <v>45994.68326388889</v>
      </c>
      <c r="C277" s="1" t="n">
        <v>46104</v>
      </c>
      <c r="D277" t="inlineStr">
        <is>
          <t>ÖSTERGÖTLANDS LÄN</t>
        </is>
      </c>
      <c r="E277" t="inlineStr">
        <is>
          <t>LINKÖPING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60284-2025</t>
        </is>
      </c>
      <c r="B278" s="1" t="n">
        <v>45994.64373842593</v>
      </c>
      <c r="C278" s="1" t="n">
        <v>46104</v>
      </c>
      <c r="D278" t="inlineStr">
        <is>
          <t>ÖSTERGÖTLANDS LÄN</t>
        </is>
      </c>
      <c r="E278" t="inlineStr">
        <is>
          <t>LINKÖPING</t>
        </is>
      </c>
      <c r="G278" t="n">
        <v>3.5</v>
      </c>
      <c r="H278" t="n">
        <v>0</v>
      </c>
      <c r="I278" t="n">
        <v>0</v>
      </c>
      <c r="J278" t="n">
        <v>0</v>
      </c>
      <c r="K278" t="n">
        <v>0</v>
      </c>
      <c r="L278" t="n">
        <v>0</v>
      </c>
      <c r="M278" t="n">
        <v>0</v>
      </c>
      <c r="N278" t="n">
        <v>0</v>
      </c>
      <c r="O278" t="n">
        <v>0</v>
      </c>
      <c r="P278" t="n">
        <v>0</v>
      </c>
      <c r="Q278" t="n">
        <v>0</v>
      </c>
      <c r="R278" s="2" t="inlineStr"/>
    </row>
    <row r="279" ht="15" customHeight="1">
      <c r="A279" t="inlineStr">
        <is>
          <t>A 30468-2023</t>
        </is>
      </c>
      <c r="B279" s="1" t="n">
        <v>45111.58732638889</v>
      </c>
      <c r="C279" s="1" t="n">
        <v>46104</v>
      </c>
      <c r="D279" t="inlineStr">
        <is>
          <t>ÖSTERGÖTLANDS LÄN</t>
        </is>
      </c>
      <c r="E279" t="inlineStr">
        <is>
          <t>LINKÖPING</t>
        </is>
      </c>
      <c r="G279" t="n">
        <v>10.1</v>
      </c>
      <c r="H279" t="n">
        <v>0</v>
      </c>
      <c r="I279" t="n">
        <v>0</v>
      </c>
      <c r="J279" t="n">
        <v>0</v>
      </c>
      <c r="K279" t="n">
        <v>0</v>
      </c>
      <c r="L279" t="n">
        <v>0</v>
      </c>
      <c r="M279" t="n">
        <v>0</v>
      </c>
      <c r="N279" t="n">
        <v>0</v>
      </c>
      <c r="O279" t="n">
        <v>0</v>
      </c>
      <c r="P279" t="n">
        <v>0</v>
      </c>
      <c r="Q279" t="n">
        <v>0</v>
      </c>
      <c r="R279" s="2" t="inlineStr"/>
    </row>
    <row r="280" ht="15" customHeight="1">
      <c r="A280" t="inlineStr">
        <is>
          <t>A 38715-2023</t>
        </is>
      </c>
      <c r="B280" s="1" t="n">
        <v>45160</v>
      </c>
      <c r="C280" s="1" t="n">
        <v>46104</v>
      </c>
      <c r="D280" t="inlineStr">
        <is>
          <t>ÖSTERGÖTLANDS LÄN</t>
        </is>
      </c>
      <c r="E280" t="inlineStr">
        <is>
          <t>LINKÖPING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41511-2025</t>
        </is>
      </c>
      <c r="B281" s="1" t="n">
        <v>45901.53839120371</v>
      </c>
      <c r="C281" s="1" t="n">
        <v>46104</v>
      </c>
      <c r="D281" t="inlineStr">
        <is>
          <t>ÖSTERGÖTLANDS LÄN</t>
        </is>
      </c>
      <c r="E281" t="inlineStr">
        <is>
          <t>LINKÖPING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60703-2025</t>
        </is>
      </c>
      <c r="B282" s="1" t="n">
        <v>45996.6052662037</v>
      </c>
      <c r="C282" s="1" t="n">
        <v>46104</v>
      </c>
      <c r="D282" t="inlineStr">
        <is>
          <t>ÖSTERGÖTLANDS LÄN</t>
        </is>
      </c>
      <c r="E282" t="inlineStr">
        <is>
          <t>LINKÖPING</t>
        </is>
      </c>
      <c r="F282" t="inlineStr">
        <is>
          <t>Övriga Aktiebolag</t>
        </is>
      </c>
      <c r="G282" t="n">
        <v>1.3</v>
      </c>
      <c r="H282" t="n">
        <v>0</v>
      </c>
      <c r="I282" t="n">
        <v>0</v>
      </c>
      <c r="J282" t="n">
        <v>0</v>
      </c>
      <c r="K282" t="n">
        <v>0</v>
      </c>
      <c r="L282" t="n">
        <v>0</v>
      </c>
      <c r="M282" t="n">
        <v>0</v>
      </c>
      <c r="N282" t="n">
        <v>0</v>
      </c>
      <c r="O282" t="n">
        <v>0</v>
      </c>
      <c r="P282" t="n">
        <v>0</v>
      </c>
      <c r="Q282" t="n">
        <v>0</v>
      </c>
      <c r="R282" s="2" t="inlineStr"/>
    </row>
    <row r="283" ht="15" customHeight="1">
      <c r="A283" t="inlineStr">
        <is>
          <t>A 34864-2023</t>
        </is>
      </c>
      <c r="B283" s="1" t="n">
        <v>45141</v>
      </c>
      <c r="C283" s="1" t="n">
        <v>46104</v>
      </c>
      <c r="D283" t="inlineStr">
        <is>
          <t>ÖSTERGÖTLANDS LÄN</t>
        </is>
      </c>
      <c r="E283" t="inlineStr">
        <is>
          <t>LINKÖPING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60866-2025</t>
        </is>
      </c>
      <c r="B284" s="1" t="n">
        <v>45999</v>
      </c>
      <c r="C284" s="1" t="n">
        <v>46104</v>
      </c>
      <c r="D284" t="inlineStr">
        <is>
          <t>ÖSTERGÖTLANDS LÄN</t>
        </is>
      </c>
      <c r="E284" t="inlineStr">
        <is>
          <t>LINKÖPING</t>
        </is>
      </c>
      <c r="G284" t="n">
        <v>0.9</v>
      </c>
      <c r="H284" t="n">
        <v>0</v>
      </c>
      <c r="I284" t="n">
        <v>0</v>
      </c>
      <c r="J284" t="n">
        <v>0</v>
      </c>
      <c r="K284" t="n">
        <v>0</v>
      </c>
      <c r="L284" t="n">
        <v>0</v>
      </c>
      <c r="M284" t="n">
        <v>0</v>
      </c>
      <c r="N284" t="n">
        <v>0</v>
      </c>
      <c r="O284" t="n">
        <v>0</v>
      </c>
      <c r="P284" t="n">
        <v>0</v>
      </c>
      <c r="Q284" t="n">
        <v>0</v>
      </c>
      <c r="R284" s="2" t="inlineStr"/>
    </row>
    <row r="285" ht="15" customHeight="1">
      <c r="A285" t="inlineStr">
        <is>
          <t>A 41706-2025</t>
        </is>
      </c>
      <c r="B285" s="1" t="n">
        <v>45902.42209490741</v>
      </c>
      <c r="C285" s="1" t="n">
        <v>46104</v>
      </c>
      <c r="D285" t="inlineStr">
        <is>
          <t>ÖSTERGÖTLANDS LÄN</t>
        </is>
      </c>
      <c r="E285" t="inlineStr">
        <is>
          <t>LINKÖPING</t>
        </is>
      </c>
      <c r="G285" t="n">
        <v>1.9</v>
      </c>
      <c r="H285" t="n">
        <v>0</v>
      </c>
      <c r="I285" t="n">
        <v>0</v>
      </c>
      <c r="J285" t="n">
        <v>0</v>
      </c>
      <c r="K285" t="n">
        <v>0</v>
      </c>
      <c r="L285" t="n">
        <v>0</v>
      </c>
      <c r="M285" t="n">
        <v>0</v>
      </c>
      <c r="N285" t="n">
        <v>0</v>
      </c>
      <c r="O285" t="n">
        <v>0</v>
      </c>
      <c r="P285" t="n">
        <v>0</v>
      </c>
      <c r="Q285" t="n">
        <v>0</v>
      </c>
      <c r="R285" s="2" t="inlineStr"/>
    </row>
    <row r="286" ht="15" customHeight="1">
      <c r="A286" t="inlineStr">
        <is>
          <t>A 46687-2021</t>
        </is>
      </c>
      <c r="B286" s="1" t="n">
        <v>44445</v>
      </c>
      <c r="C286" s="1" t="n">
        <v>46104</v>
      </c>
      <c r="D286" t="inlineStr">
        <is>
          <t>ÖSTERGÖTLANDS LÄN</t>
        </is>
      </c>
      <c r="E286" t="inlineStr">
        <is>
          <t>LINKÖPING</t>
        </is>
      </c>
      <c r="F286" t="inlineStr">
        <is>
          <t>Övriga statliga verk och myndigheter</t>
        </is>
      </c>
      <c r="G286" t="n">
        <v>2.3</v>
      </c>
      <c r="H286" t="n">
        <v>0</v>
      </c>
      <c r="I286" t="n">
        <v>0</v>
      </c>
      <c r="J286" t="n">
        <v>0</v>
      </c>
      <c r="K286" t="n">
        <v>0</v>
      </c>
      <c r="L286" t="n">
        <v>0</v>
      </c>
      <c r="M286" t="n">
        <v>0</v>
      </c>
      <c r="N286" t="n">
        <v>0</v>
      </c>
      <c r="O286" t="n">
        <v>0</v>
      </c>
      <c r="P286" t="n">
        <v>0</v>
      </c>
      <c r="Q286" t="n">
        <v>0</v>
      </c>
      <c r="R286" s="2" t="inlineStr"/>
    </row>
    <row r="287" ht="15" customHeight="1">
      <c r="A287" t="inlineStr">
        <is>
          <t>A 17103-2025</t>
        </is>
      </c>
      <c r="B287" s="1" t="n">
        <v>45755.66143518518</v>
      </c>
      <c r="C287" s="1" t="n">
        <v>46104</v>
      </c>
      <c r="D287" t="inlineStr">
        <is>
          <t>ÖSTERGÖTLANDS LÄN</t>
        </is>
      </c>
      <c r="E287" t="inlineStr">
        <is>
          <t>LINKÖPING</t>
        </is>
      </c>
      <c r="G287" t="n">
        <v>1.9</v>
      </c>
      <c r="H287" t="n">
        <v>0</v>
      </c>
      <c r="I287" t="n">
        <v>0</v>
      </c>
      <c r="J287" t="n">
        <v>0</v>
      </c>
      <c r="K287" t="n">
        <v>0</v>
      </c>
      <c r="L287" t="n">
        <v>0</v>
      </c>
      <c r="M287" t="n">
        <v>0</v>
      </c>
      <c r="N287" t="n">
        <v>0</v>
      </c>
      <c r="O287" t="n">
        <v>0</v>
      </c>
      <c r="P287" t="n">
        <v>0</v>
      </c>
      <c r="Q287" t="n">
        <v>0</v>
      </c>
      <c r="R287" s="2" t="inlineStr"/>
    </row>
    <row r="288" ht="15" customHeight="1">
      <c r="A288" t="inlineStr">
        <is>
          <t>A 3042-2024</t>
        </is>
      </c>
      <c r="B288" s="1" t="n">
        <v>45316.35028935185</v>
      </c>
      <c r="C288" s="1" t="n">
        <v>46104</v>
      </c>
      <c r="D288" t="inlineStr">
        <is>
          <t>ÖSTERGÖTLANDS LÄN</t>
        </is>
      </c>
      <c r="E288" t="inlineStr">
        <is>
          <t>LINKÖPING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61230-2025</t>
        </is>
      </c>
      <c r="B289" s="1" t="n">
        <v>46000.63111111111</v>
      </c>
      <c r="C289" s="1" t="n">
        <v>46104</v>
      </c>
      <c r="D289" t="inlineStr">
        <is>
          <t>ÖSTERGÖTLANDS LÄN</t>
        </is>
      </c>
      <c r="E289" t="inlineStr">
        <is>
          <t>LINKÖPING</t>
        </is>
      </c>
      <c r="F289" t="inlineStr">
        <is>
          <t>Kyrkan</t>
        </is>
      </c>
      <c r="G289" t="n">
        <v>2.1</v>
      </c>
      <c r="H289" t="n">
        <v>0</v>
      </c>
      <c r="I289" t="n">
        <v>0</v>
      </c>
      <c r="J289" t="n">
        <v>0</v>
      </c>
      <c r="K289" t="n">
        <v>0</v>
      </c>
      <c r="L289" t="n">
        <v>0</v>
      </c>
      <c r="M289" t="n">
        <v>0</v>
      </c>
      <c r="N289" t="n">
        <v>0</v>
      </c>
      <c r="O289" t="n">
        <v>0</v>
      </c>
      <c r="P289" t="n">
        <v>0</v>
      </c>
      <c r="Q289" t="n">
        <v>0</v>
      </c>
      <c r="R289" s="2" t="inlineStr"/>
    </row>
    <row r="290" ht="15" customHeight="1">
      <c r="A290" t="inlineStr">
        <is>
          <t>A 29293-2025</t>
        </is>
      </c>
      <c r="B290" s="1" t="n">
        <v>45824</v>
      </c>
      <c r="C290" s="1" t="n">
        <v>46104</v>
      </c>
      <c r="D290" t="inlineStr">
        <is>
          <t>ÖSTERGÖTLANDS LÄN</t>
        </is>
      </c>
      <c r="E290" t="inlineStr">
        <is>
          <t>LINKÖPING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42624-2025</t>
        </is>
      </c>
      <c r="B291" s="1" t="n">
        <v>45905</v>
      </c>
      <c r="C291" s="1" t="n">
        <v>46104</v>
      </c>
      <c r="D291" t="inlineStr">
        <is>
          <t>ÖSTERGÖTLANDS LÄN</t>
        </is>
      </c>
      <c r="E291" t="inlineStr">
        <is>
          <t>LINKÖPING</t>
        </is>
      </c>
      <c r="G291" t="n">
        <v>1.5</v>
      </c>
      <c r="H291" t="n">
        <v>0</v>
      </c>
      <c r="I291" t="n">
        <v>0</v>
      </c>
      <c r="J291" t="n">
        <v>0</v>
      </c>
      <c r="K291" t="n">
        <v>0</v>
      </c>
      <c r="L291" t="n">
        <v>0</v>
      </c>
      <c r="M291" t="n">
        <v>0</v>
      </c>
      <c r="N291" t="n">
        <v>0</v>
      </c>
      <c r="O291" t="n">
        <v>0</v>
      </c>
      <c r="P291" t="n">
        <v>0</v>
      </c>
      <c r="Q291" t="n">
        <v>0</v>
      </c>
      <c r="R291" s="2" t="inlineStr"/>
    </row>
    <row r="292" ht="15" customHeight="1">
      <c r="A292" t="inlineStr">
        <is>
          <t>A 42626-2025</t>
        </is>
      </c>
      <c r="B292" s="1" t="n">
        <v>45905</v>
      </c>
      <c r="C292" s="1" t="n">
        <v>46104</v>
      </c>
      <c r="D292" t="inlineStr">
        <is>
          <t>ÖSTERGÖTLANDS LÄN</t>
        </is>
      </c>
      <c r="E292" t="inlineStr">
        <is>
          <t>LINKÖPING</t>
        </is>
      </c>
      <c r="G292" t="n">
        <v>3.6</v>
      </c>
      <c r="H292" t="n">
        <v>0</v>
      </c>
      <c r="I292" t="n">
        <v>0</v>
      </c>
      <c r="J292" t="n">
        <v>0</v>
      </c>
      <c r="K292" t="n">
        <v>0</v>
      </c>
      <c r="L292" t="n">
        <v>0</v>
      </c>
      <c r="M292" t="n">
        <v>0</v>
      </c>
      <c r="N292" t="n">
        <v>0</v>
      </c>
      <c r="O292" t="n">
        <v>0</v>
      </c>
      <c r="P292" t="n">
        <v>0</v>
      </c>
      <c r="Q292" t="n">
        <v>0</v>
      </c>
      <c r="R292" s="2" t="inlineStr"/>
    </row>
    <row r="293" ht="15" customHeight="1">
      <c r="A293" t="inlineStr">
        <is>
          <t>A 42623-2025</t>
        </is>
      </c>
      <c r="B293" s="1" t="n">
        <v>45905</v>
      </c>
      <c r="C293" s="1" t="n">
        <v>46104</v>
      </c>
      <c r="D293" t="inlineStr">
        <is>
          <t>ÖSTERGÖTLANDS LÄN</t>
        </is>
      </c>
      <c r="E293" t="inlineStr">
        <is>
          <t>LINKÖPING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40618-2021</t>
        </is>
      </c>
      <c r="B294" s="1" t="n">
        <v>44420.49575231481</v>
      </c>
      <c r="C294" s="1" t="n">
        <v>46104</v>
      </c>
      <c r="D294" t="inlineStr">
        <is>
          <t>ÖSTERGÖTLANDS LÄN</t>
        </is>
      </c>
      <c r="E294" t="inlineStr">
        <is>
          <t>LINKÖPING</t>
        </is>
      </c>
      <c r="G294" t="n">
        <v>2.3</v>
      </c>
      <c r="H294" t="n">
        <v>0</v>
      </c>
      <c r="I294" t="n">
        <v>0</v>
      </c>
      <c r="J294" t="n">
        <v>0</v>
      </c>
      <c r="K294" t="n">
        <v>0</v>
      </c>
      <c r="L294" t="n">
        <v>0</v>
      </c>
      <c r="M294" t="n">
        <v>0</v>
      </c>
      <c r="N294" t="n">
        <v>0</v>
      </c>
      <c r="O294" t="n">
        <v>0</v>
      </c>
      <c r="P294" t="n">
        <v>0</v>
      </c>
      <c r="Q294" t="n">
        <v>0</v>
      </c>
      <c r="R294" s="2" t="inlineStr"/>
    </row>
    <row r="295" ht="15" customHeight="1">
      <c r="A295" t="inlineStr">
        <is>
          <t>A 56180-2024</t>
        </is>
      </c>
      <c r="B295" s="1" t="n">
        <v>45624.56611111111</v>
      </c>
      <c r="C295" s="1" t="n">
        <v>46104</v>
      </c>
      <c r="D295" t="inlineStr">
        <is>
          <t>ÖSTERGÖTLANDS LÄN</t>
        </is>
      </c>
      <c r="E295" t="inlineStr">
        <is>
          <t>LINKÖPING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48699-2024</t>
        </is>
      </c>
      <c r="B296" s="1" t="n">
        <v>45593.52091435185</v>
      </c>
      <c r="C296" s="1" t="n">
        <v>46104</v>
      </c>
      <c r="D296" t="inlineStr">
        <is>
          <t>ÖSTERGÖTLANDS LÄN</t>
        </is>
      </c>
      <c r="E296" t="inlineStr">
        <is>
          <t>LINKÖPING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30471-2023</t>
        </is>
      </c>
      <c r="B297" s="1" t="n">
        <v>45111.58931712963</v>
      </c>
      <c r="C297" s="1" t="n">
        <v>46104</v>
      </c>
      <c r="D297" t="inlineStr">
        <is>
          <t>ÖSTERGÖTLANDS LÄN</t>
        </is>
      </c>
      <c r="E297" t="inlineStr">
        <is>
          <t>LINKÖPING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227-2024</t>
        </is>
      </c>
      <c r="B298" s="1" t="n">
        <v>45294.73603009259</v>
      </c>
      <c r="C298" s="1" t="n">
        <v>46104</v>
      </c>
      <c r="D298" t="inlineStr">
        <is>
          <t>ÖSTERGÖTLANDS LÄN</t>
        </is>
      </c>
      <c r="E298" t="inlineStr">
        <is>
          <t>LINKÖPING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61447-2025</t>
        </is>
      </c>
      <c r="B299" s="1" t="n">
        <v>46001.57554398148</v>
      </c>
      <c r="C299" s="1" t="n">
        <v>46104</v>
      </c>
      <c r="D299" t="inlineStr">
        <is>
          <t>ÖSTERGÖTLANDS LÄN</t>
        </is>
      </c>
      <c r="E299" t="inlineStr">
        <is>
          <t>LINKÖPING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61899-2025</t>
        </is>
      </c>
      <c r="B300" s="1" t="n">
        <v>46003.46635416667</v>
      </c>
      <c r="C300" s="1" t="n">
        <v>46104</v>
      </c>
      <c r="D300" t="inlineStr">
        <is>
          <t>ÖSTERGÖTLANDS LÄN</t>
        </is>
      </c>
      <c r="E300" t="inlineStr">
        <is>
          <t>LINKÖPING</t>
        </is>
      </c>
      <c r="G300" t="n">
        <v>2.4</v>
      </c>
      <c r="H300" t="n">
        <v>0</v>
      </c>
      <c r="I300" t="n">
        <v>0</v>
      </c>
      <c r="J300" t="n">
        <v>0</v>
      </c>
      <c r="K300" t="n">
        <v>0</v>
      </c>
      <c r="L300" t="n">
        <v>0</v>
      </c>
      <c r="M300" t="n">
        <v>0</v>
      </c>
      <c r="N300" t="n">
        <v>0</v>
      </c>
      <c r="O300" t="n">
        <v>0</v>
      </c>
      <c r="P300" t="n">
        <v>0</v>
      </c>
      <c r="Q300" t="n">
        <v>0</v>
      </c>
      <c r="R300" s="2" t="inlineStr"/>
    </row>
    <row r="301" ht="15" customHeight="1">
      <c r="A301" t="inlineStr">
        <is>
          <t>A 44155-2024</t>
        </is>
      </c>
      <c r="B301" s="1" t="n">
        <v>45572.68226851852</v>
      </c>
      <c r="C301" s="1" t="n">
        <v>46104</v>
      </c>
      <c r="D301" t="inlineStr">
        <is>
          <t>ÖSTERGÖTLANDS LÄN</t>
        </is>
      </c>
      <c r="E301" t="inlineStr">
        <is>
          <t>LINKÖPING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30434-2024</t>
        </is>
      </c>
      <c r="B302" s="1" t="n">
        <v>45491.69811342593</v>
      </c>
      <c r="C302" s="1" t="n">
        <v>46104</v>
      </c>
      <c r="D302" t="inlineStr">
        <is>
          <t>ÖSTERGÖTLANDS LÄN</t>
        </is>
      </c>
      <c r="E302" t="inlineStr">
        <is>
          <t>LINKÖPING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56917-2022</t>
        </is>
      </c>
      <c r="B303" s="1" t="n">
        <v>44894</v>
      </c>
      <c r="C303" s="1" t="n">
        <v>46104</v>
      </c>
      <c r="D303" t="inlineStr">
        <is>
          <t>ÖSTERGÖTLANDS LÄN</t>
        </is>
      </c>
      <c r="E303" t="inlineStr">
        <is>
          <t>LINKÖPING</t>
        </is>
      </c>
      <c r="G303" t="n">
        <v>2.2</v>
      </c>
      <c r="H303" t="n">
        <v>0</v>
      </c>
      <c r="I303" t="n">
        <v>0</v>
      </c>
      <c r="J303" t="n">
        <v>0</v>
      </c>
      <c r="K303" t="n">
        <v>0</v>
      </c>
      <c r="L303" t="n">
        <v>0</v>
      </c>
      <c r="M303" t="n">
        <v>0</v>
      </c>
      <c r="N303" t="n">
        <v>0</v>
      </c>
      <c r="O303" t="n">
        <v>0</v>
      </c>
      <c r="P303" t="n">
        <v>0</v>
      </c>
      <c r="Q303" t="n">
        <v>0</v>
      </c>
      <c r="R303" s="2" t="inlineStr"/>
    </row>
    <row r="304" ht="15" customHeight="1">
      <c r="A304" t="inlineStr">
        <is>
          <t>A 57766-2023</t>
        </is>
      </c>
      <c r="B304" s="1" t="n">
        <v>45246</v>
      </c>
      <c r="C304" s="1" t="n">
        <v>46104</v>
      </c>
      <c r="D304" t="inlineStr">
        <is>
          <t>ÖSTERGÖTLANDS LÄN</t>
        </is>
      </c>
      <c r="E304" t="inlineStr">
        <is>
          <t>LINKÖPING</t>
        </is>
      </c>
      <c r="F304" t="inlineStr">
        <is>
          <t>Allmännings- och besparingsskogar</t>
        </is>
      </c>
      <c r="G304" t="n">
        <v>12.8</v>
      </c>
      <c r="H304" t="n">
        <v>0</v>
      </c>
      <c r="I304" t="n">
        <v>0</v>
      </c>
      <c r="J304" t="n">
        <v>0</v>
      </c>
      <c r="K304" t="n">
        <v>0</v>
      </c>
      <c r="L304" t="n">
        <v>0</v>
      </c>
      <c r="M304" t="n">
        <v>0</v>
      </c>
      <c r="N304" t="n">
        <v>0</v>
      </c>
      <c r="O304" t="n">
        <v>0</v>
      </c>
      <c r="P304" t="n">
        <v>0</v>
      </c>
      <c r="Q304" t="n">
        <v>0</v>
      </c>
      <c r="R304" s="2" t="inlineStr"/>
    </row>
    <row r="305" ht="15" customHeight="1">
      <c r="A305" t="inlineStr">
        <is>
          <t>A 61643-2025</t>
        </is>
      </c>
      <c r="B305" s="1" t="n">
        <v>46002.43575231481</v>
      </c>
      <c r="C305" s="1" t="n">
        <v>46104</v>
      </c>
      <c r="D305" t="inlineStr">
        <is>
          <t>ÖSTERGÖTLANDS LÄN</t>
        </is>
      </c>
      <c r="E305" t="inlineStr">
        <is>
          <t>LINKÖPING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61645-2025</t>
        </is>
      </c>
      <c r="B306" s="1" t="n">
        <v>46002.43697916667</v>
      </c>
      <c r="C306" s="1" t="n">
        <v>46104</v>
      </c>
      <c r="D306" t="inlineStr">
        <is>
          <t>ÖSTERGÖTLANDS LÄN</t>
        </is>
      </c>
      <c r="E306" t="inlineStr">
        <is>
          <t>LINKÖPING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44170-2025</t>
        </is>
      </c>
      <c r="B307" s="1" t="n">
        <v>45915.59864583334</v>
      </c>
      <c r="C307" s="1" t="n">
        <v>46104</v>
      </c>
      <c r="D307" t="inlineStr">
        <is>
          <t>ÖSTERGÖTLANDS LÄN</t>
        </is>
      </c>
      <c r="E307" t="inlineStr">
        <is>
          <t>LINKÖPING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43755-2025</t>
        </is>
      </c>
      <c r="B308" s="1" t="n">
        <v>45912.47329861111</v>
      </c>
      <c r="C308" s="1" t="n">
        <v>46104</v>
      </c>
      <c r="D308" t="inlineStr">
        <is>
          <t>ÖSTERGÖTLANDS LÄN</t>
        </is>
      </c>
      <c r="E308" t="inlineStr">
        <is>
          <t>LINKÖPING</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43758-2025</t>
        </is>
      </c>
      <c r="B309" s="1" t="n">
        <v>45912.47711805555</v>
      </c>
      <c r="C309" s="1" t="n">
        <v>46104</v>
      </c>
      <c r="D309" t="inlineStr">
        <is>
          <t>ÖSTERGÖTLANDS LÄN</t>
        </is>
      </c>
      <c r="E309" t="inlineStr">
        <is>
          <t>LINKÖPING</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62515-2025</t>
        </is>
      </c>
      <c r="B310" s="1" t="n">
        <v>46007.60548611111</v>
      </c>
      <c r="C310" s="1" t="n">
        <v>46104</v>
      </c>
      <c r="D310" t="inlineStr">
        <is>
          <t>ÖSTERGÖTLANDS LÄN</t>
        </is>
      </c>
      <c r="E310" t="inlineStr">
        <is>
          <t>LINKÖPING</t>
        </is>
      </c>
      <c r="G310" t="n">
        <v>2.2</v>
      </c>
      <c r="H310" t="n">
        <v>0</v>
      </c>
      <c r="I310" t="n">
        <v>0</v>
      </c>
      <c r="J310" t="n">
        <v>0</v>
      </c>
      <c r="K310" t="n">
        <v>0</v>
      </c>
      <c r="L310" t="n">
        <v>0</v>
      </c>
      <c r="M310" t="n">
        <v>0</v>
      </c>
      <c r="N310" t="n">
        <v>0</v>
      </c>
      <c r="O310" t="n">
        <v>0</v>
      </c>
      <c r="P310" t="n">
        <v>0</v>
      </c>
      <c r="Q310" t="n">
        <v>0</v>
      </c>
      <c r="R310" s="2" t="inlineStr"/>
    </row>
    <row r="311" ht="15" customHeight="1">
      <c r="A311" t="inlineStr">
        <is>
          <t>A 43753-2025</t>
        </is>
      </c>
      <c r="B311" s="1" t="n">
        <v>45912.4715625</v>
      </c>
      <c r="C311" s="1" t="n">
        <v>46104</v>
      </c>
      <c r="D311" t="inlineStr">
        <is>
          <t>ÖSTERGÖTLANDS LÄN</t>
        </is>
      </c>
      <c r="E311" t="inlineStr">
        <is>
          <t>LINKÖPING</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25568-2024</t>
        </is>
      </c>
      <c r="B312" s="1" t="n">
        <v>45463.58699074074</v>
      </c>
      <c r="C312" s="1" t="n">
        <v>46104</v>
      </c>
      <c r="D312" t="inlineStr">
        <is>
          <t>ÖSTERGÖTLANDS LÄN</t>
        </is>
      </c>
      <c r="E312" t="inlineStr">
        <is>
          <t>LINKÖPING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44759-2025</t>
        </is>
      </c>
      <c r="B313" s="1" t="n">
        <v>45917.7152662037</v>
      </c>
      <c r="C313" s="1" t="n">
        <v>46104</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44764-2025</t>
        </is>
      </c>
      <c r="B314" s="1" t="n">
        <v>45917.72821759259</v>
      </c>
      <c r="C314" s="1" t="n">
        <v>46104</v>
      </c>
      <c r="D314" t="inlineStr">
        <is>
          <t>ÖSTERGÖTLANDS LÄN</t>
        </is>
      </c>
      <c r="E314" t="inlineStr">
        <is>
          <t>LINKÖPING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13911-2025</t>
        </is>
      </c>
      <c r="B315" s="1" t="n">
        <v>45737.64784722222</v>
      </c>
      <c r="C315" s="1" t="n">
        <v>46104</v>
      </c>
      <c r="D315" t="inlineStr">
        <is>
          <t>ÖSTERGÖTLANDS LÄN</t>
        </is>
      </c>
      <c r="E315" t="inlineStr">
        <is>
          <t>LINKÖPING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62791-2025</t>
        </is>
      </c>
      <c r="B316" s="1" t="n">
        <v>46008.63266203704</v>
      </c>
      <c r="C316" s="1" t="n">
        <v>46104</v>
      </c>
      <c r="D316" t="inlineStr">
        <is>
          <t>ÖSTERGÖTLANDS LÄN</t>
        </is>
      </c>
      <c r="E316" t="inlineStr">
        <is>
          <t>LINKÖPING</t>
        </is>
      </c>
      <c r="G316" t="n">
        <v>2.4</v>
      </c>
      <c r="H316" t="n">
        <v>0</v>
      </c>
      <c r="I316" t="n">
        <v>0</v>
      </c>
      <c r="J316" t="n">
        <v>0</v>
      </c>
      <c r="K316" t="n">
        <v>0</v>
      </c>
      <c r="L316" t="n">
        <v>0</v>
      </c>
      <c r="M316" t="n">
        <v>0</v>
      </c>
      <c r="N316" t="n">
        <v>0</v>
      </c>
      <c r="O316" t="n">
        <v>0</v>
      </c>
      <c r="P316" t="n">
        <v>0</v>
      </c>
      <c r="Q316" t="n">
        <v>0</v>
      </c>
      <c r="R316" s="2" t="inlineStr"/>
    </row>
    <row r="317" ht="15" customHeight="1">
      <c r="A317" t="inlineStr">
        <is>
          <t>A 22833-2023</t>
        </is>
      </c>
      <c r="B317" s="1" t="n">
        <v>45071</v>
      </c>
      <c r="C317" s="1" t="n">
        <v>46104</v>
      </c>
      <c r="D317" t="inlineStr">
        <is>
          <t>ÖSTERGÖTLANDS LÄN</t>
        </is>
      </c>
      <c r="E317" t="inlineStr">
        <is>
          <t>LINKÖPING</t>
        </is>
      </c>
      <c r="F317" t="inlineStr">
        <is>
          <t>Kommuner</t>
        </is>
      </c>
      <c r="G317" t="n">
        <v>1</v>
      </c>
      <c r="H317" t="n">
        <v>0</v>
      </c>
      <c r="I317" t="n">
        <v>0</v>
      </c>
      <c r="J317" t="n">
        <v>0</v>
      </c>
      <c r="K317" t="n">
        <v>0</v>
      </c>
      <c r="L317" t="n">
        <v>0</v>
      </c>
      <c r="M317" t="n">
        <v>0</v>
      </c>
      <c r="N317" t="n">
        <v>0</v>
      </c>
      <c r="O317" t="n">
        <v>0</v>
      </c>
      <c r="P317" t="n">
        <v>0</v>
      </c>
      <c r="Q317" t="n">
        <v>0</v>
      </c>
      <c r="R317" s="2" t="inlineStr"/>
    </row>
    <row r="318" ht="15" customHeight="1">
      <c r="A318" t="inlineStr">
        <is>
          <t>A 62686-2025</t>
        </is>
      </c>
      <c r="B318" s="1" t="n">
        <v>46008.46769675926</v>
      </c>
      <c r="C318" s="1" t="n">
        <v>46104</v>
      </c>
      <c r="D318" t="inlineStr">
        <is>
          <t>ÖSTERGÖTLANDS LÄN</t>
        </is>
      </c>
      <c r="E318" t="inlineStr">
        <is>
          <t>LINKÖPING</t>
        </is>
      </c>
      <c r="G318" t="n">
        <v>7.6</v>
      </c>
      <c r="H318" t="n">
        <v>0</v>
      </c>
      <c r="I318" t="n">
        <v>0</v>
      </c>
      <c r="J318" t="n">
        <v>0</v>
      </c>
      <c r="K318" t="n">
        <v>0</v>
      </c>
      <c r="L318" t="n">
        <v>0</v>
      </c>
      <c r="M318" t="n">
        <v>0</v>
      </c>
      <c r="N318" t="n">
        <v>0</v>
      </c>
      <c r="O318" t="n">
        <v>0</v>
      </c>
      <c r="P318" t="n">
        <v>0</v>
      </c>
      <c r="Q318" t="n">
        <v>0</v>
      </c>
      <c r="R318" s="2" t="inlineStr"/>
    </row>
    <row r="319" ht="15" customHeight="1">
      <c r="A319" t="inlineStr">
        <is>
          <t>A 45112-2025</t>
        </is>
      </c>
      <c r="B319" s="1" t="n">
        <v>45919</v>
      </c>
      <c r="C319" s="1" t="n">
        <v>46104</v>
      </c>
      <c r="D319" t="inlineStr">
        <is>
          <t>ÖSTERGÖTLANDS LÄN</t>
        </is>
      </c>
      <c r="E319" t="inlineStr">
        <is>
          <t>LINKÖPING</t>
        </is>
      </c>
      <c r="G319" t="n">
        <v>3.5</v>
      </c>
      <c r="H319" t="n">
        <v>0</v>
      </c>
      <c r="I319" t="n">
        <v>0</v>
      </c>
      <c r="J319" t="n">
        <v>0</v>
      </c>
      <c r="K319" t="n">
        <v>0</v>
      </c>
      <c r="L319" t="n">
        <v>0</v>
      </c>
      <c r="M319" t="n">
        <v>0</v>
      </c>
      <c r="N319" t="n">
        <v>0</v>
      </c>
      <c r="O319" t="n">
        <v>0</v>
      </c>
      <c r="P319" t="n">
        <v>0</v>
      </c>
      <c r="Q319" t="n">
        <v>0</v>
      </c>
      <c r="R319" s="2" t="inlineStr"/>
    </row>
    <row r="320" ht="15" customHeight="1">
      <c r="A320" t="inlineStr">
        <is>
          <t>A 63147-2025</t>
        </is>
      </c>
      <c r="B320" s="1" t="n">
        <v>46010.35003472222</v>
      </c>
      <c r="C320" s="1" t="n">
        <v>46104</v>
      </c>
      <c r="D320" t="inlineStr">
        <is>
          <t>ÖSTERGÖTLANDS LÄN</t>
        </is>
      </c>
      <c r="E320" t="inlineStr">
        <is>
          <t>LINKÖPING</t>
        </is>
      </c>
      <c r="G320" t="n">
        <v>4</v>
      </c>
      <c r="H320" t="n">
        <v>0</v>
      </c>
      <c r="I320" t="n">
        <v>0</v>
      </c>
      <c r="J320" t="n">
        <v>0</v>
      </c>
      <c r="K320" t="n">
        <v>0</v>
      </c>
      <c r="L320" t="n">
        <v>0</v>
      </c>
      <c r="M320" t="n">
        <v>0</v>
      </c>
      <c r="N320" t="n">
        <v>0</v>
      </c>
      <c r="O320" t="n">
        <v>0</v>
      </c>
      <c r="P320" t="n">
        <v>0</v>
      </c>
      <c r="Q320" t="n">
        <v>0</v>
      </c>
      <c r="R320" s="2" t="inlineStr"/>
    </row>
    <row r="321" ht="15" customHeight="1">
      <c r="A321" t="inlineStr">
        <is>
          <t>A 2997-2025</t>
        </is>
      </c>
      <c r="B321" s="1" t="n">
        <v>45678.54631944445</v>
      </c>
      <c r="C321" s="1" t="n">
        <v>46104</v>
      </c>
      <c r="D321" t="inlineStr">
        <is>
          <t>ÖSTERGÖTLANDS LÄN</t>
        </is>
      </c>
      <c r="E321" t="inlineStr">
        <is>
          <t>LINKÖPING</t>
        </is>
      </c>
      <c r="G321" t="n">
        <v>2.7</v>
      </c>
      <c r="H321" t="n">
        <v>0</v>
      </c>
      <c r="I321" t="n">
        <v>0</v>
      </c>
      <c r="J321" t="n">
        <v>0</v>
      </c>
      <c r="K321" t="n">
        <v>0</v>
      </c>
      <c r="L321" t="n">
        <v>0</v>
      </c>
      <c r="M321" t="n">
        <v>0</v>
      </c>
      <c r="N321" t="n">
        <v>0</v>
      </c>
      <c r="O321" t="n">
        <v>0</v>
      </c>
      <c r="P321" t="n">
        <v>0</v>
      </c>
      <c r="Q321" t="n">
        <v>0</v>
      </c>
      <c r="R321" s="2" t="inlineStr"/>
    </row>
    <row r="322" ht="15" customHeight="1">
      <c r="A322" t="inlineStr">
        <is>
          <t>A 45634-2025</t>
        </is>
      </c>
      <c r="B322" s="1" t="n">
        <v>45922.85089120371</v>
      </c>
      <c r="C322" s="1" t="n">
        <v>46104</v>
      </c>
      <c r="D322" t="inlineStr">
        <is>
          <t>ÖSTERGÖTLANDS LÄN</t>
        </is>
      </c>
      <c r="E322" t="inlineStr">
        <is>
          <t>LINKÖPING</t>
        </is>
      </c>
      <c r="F322" t="inlineStr">
        <is>
          <t>Övriga Aktiebolag</t>
        </is>
      </c>
      <c r="G322" t="n">
        <v>0.3</v>
      </c>
      <c r="H322" t="n">
        <v>0</v>
      </c>
      <c r="I322" t="n">
        <v>0</v>
      </c>
      <c r="J322" t="n">
        <v>0</v>
      </c>
      <c r="K322" t="n">
        <v>0</v>
      </c>
      <c r="L322" t="n">
        <v>0</v>
      </c>
      <c r="M322" t="n">
        <v>0</v>
      </c>
      <c r="N322" t="n">
        <v>0</v>
      </c>
      <c r="O322" t="n">
        <v>0</v>
      </c>
      <c r="P322" t="n">
        <v>0</v>
      </c>
      <c r="Q322" t="n">
        <v>0</v>
      </c>
      <c r="R322" s="2" t="inlineStr"/>
    </row>
    <row r="323" ht="15" customHeight="1">
      <c r="A323" t="inlineStr">
        <is>
          <t>A 41345-2021</t>
        </is>
      </c>
      <c r="B323" s="1" t="n">
        <v>44424.61851851852</v>
      </c>
      <c r="C323" s="1" t="n">
        <v>46104</v>
      </c>
      <c r="D323" t="inlineStr">
        <is>
          <t>ÖSTERGÖTLANDS LÄN</t>
        </is>
      </c>
      <c r="E323" t="inlineStr">
        <is>
          <t>LINKÖPING</t>
        </is>
      </c>
      <c r="F323" t="inlineStr">
        <is>
          <t>Sveaskog</t>
        </is>
      </c>
      <c r="G323" t="n">
        <v>6.3</v>
      </c>
      <c r="H323" t="n">
        <v>0</v>
      </c>
      <c r="I323" t="n">
        <v>0</v>
      </c>
      <c r="J323" t="n">
        <v>0</v>
      </c>
      <c r="K323" t="n">
        <v>0</v>
      </c>
      <c r="L323" t="n">
        <v>0</v>
      </c>
      <c r="M323" t="n">
        <v>0</v>
      </c>
      <c r="N323" t="n">
        <v>0</v>
      </c>
      <c r="O323" t="n">
        <v>0</v>
      </c>
      <c r="P323" t="n">
        <v>0</v>
      </c>
      <c r="Q323" t="n">
        <v>0</v>
      </c>
      <c r="R323" s="2" t="inlineStr"/>
    </row>
    <row r="324" ht="15" customHeight="1">
      <c r="A324" t="inlineStr">
        <is>
          <t>A 13266-2025</t>
        </is>
      </c>
      <c r="B324" s="1" t="n">
        <v>45735.53318287037</v>
      </c>
      <c r="C324" s="1" t="n">
        <v>46104</v>
      </c>
      <c r="D324" t="inlineStr">
        <is>
          <t>ÖSTERGÖTLANDS LÄN</t>
        </is>
      </c>
      <c r="E324" t="inlineStr">
        <is>
          <t>LINKÖPING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16213-2025</t>
        </is>
      </c>
      <c r="B325" s="1" t="n">
        <v>45750.62740740741</v>
      </c>
      <c r="C325" s="1" t="n">
        <v>46104</v>
      </c>
      <c r="D325" t="inlineStr">
        <is>
          <t>ÖSTERGÖTLANDS LÄN</t>
        </is>
      </c>
      <c r="E325" t="inlineStr">
        <is>
          <t>LINKÖPING</t>
        </is>
      </c>
      <c r="G325" t="n">
        <v>3.4</v>
      </c>
      <c r="H325" t="n">
        <v>0</v>
      </c>
      <c r="I325" t="n">
        <v>0</v>
      </c>
      <c r="J325" t="n">
        <v>0</v>
      </c>
      <c r="K325" t="n">
        <v>0</v>
      </c>
      <c r="L325" t="n">
        <v>0</v>
      </c>
      <c r="M325" t="n">
        <v>0</v>
      </c>
      <c r="N325" t="n">
        <v>0</v>
      </c>
      <c r="O325" t="n">
        <v>0</v>
      </c>
      <c r="P325" t="n">
        <v>0</v>
      </c>
      <c r="Q325" t="n">
        <v>0</v>
      </c>
      <c r="R325" s="2" t="inlineStr"/>
    </row>
    <row r="326" ht="15" customHeight="1">
      <c r="A326" t="inlineStr">
        <is>
          <t>A 63144-2025</t>
        </is>
      </c>
      <c r="B326" s="1" t="n">
        <v>46010.34716435185</v>
      </c>
      <c r="C326" s="1" t="n">
        <v>46104</v>
      </c>
      <c r="D326" t="inlineStr">
        <is>
          <t>ÖSTERGÖTLANDS LÄN</t>
        </is>
      </c>
      <c r="E326" t="inlineStr">
        <is>
          <t>LINKÖPING</t>
        </is>
      </c>
      <c r="G326" t="n">
        <v>0.9</v>
      </c>
      <c r="H326" t="n">
        <v>0</v>
      </c>
      <c r="I326" t="n">
        <v>0</v>
      </c>
      <c r="J326" t="n">
        <v>0</v>
      </c>
      <c r="K326" t="n">
        <v>0</v>
      </c>
      <c r="L326" t="n">
        <v>0</v>
      </c>
      <c r="M326" t="n">
        <v>0</v>
      </c>
      <c r="N326" t="n">
        <v>0</v>
      </c>
      <c r="O326" t="n">
        <v>0</v>
      </c>
      <c r="P326" t="n">
        <v>0</v>
      </c>
      <c r="Q326" t="n">
        <v>0</v>
      </c>
      <c r="R326" s="2" t="inlineStr"/>
    </row>
    <row r="327" ht="15" customHeight="1">
      <c r="A327" t="inlineStr">
        <is>
          <t>A 45792-2025</t>
        </is>
      </c>
      <c r="B327" s="1" t="n">
        <v>45923.56998842592</v>
      </c>
      <c r="C327" s="1" t="n">
        <v>46104</v>
      </c>
      <c r="D327" t="inlineStr">
        <is>
          <t>ÖSTERGÖTLANDS LÄN</t>
        </is>
      </c>
      <c r="E327" t="inlineStr">
        <is>
          <t>LINKÖPING</t>
        </is>
      </c>
      <c r="G327" t="n">
        <v>2.6</v>
      </c>
      <c r="H327" t="n">
        <v>0</v>
      </c>
      <c r="I327" t="n">
        <v>0</v>
      </c>
      <c r="J327" t="n">
        <v>0</v>
      </c>
      <c r="K327" t="n">
        <v>0</v>
      </c>
      <c r="L327" t="n">
        <v>0</v>
      </c>
      <c r="M327" t="n">
        <v>0</v>
      </c>
      <c r="N327" t="n">
        <v>0</v>
      </c>
      <c r="O327" t="n">
        <v>0</v>
      </c>
      <c r="P327" t="n">
        <v>0</v>
      </c>
      <c r="Q327" t="n">
        <v>0</v>
      </c>
      <c r="R327" s="2" t="inlineStr"/>
    </row>
    <row r="328" ht="15" customHeight="1">
      <c r="A328" t="inlineStr">
        <is>
          <t>A 45804-2025</t>
        </is>
      </c>
      <c r="B328" s="1" t="n">
        <v>45923.5819675926</v>
      </c>
      <c r="C328" s="1" t="n">
        <v>46104</v>
      </c>
      <c r="D328" t="inlineStr">
        <is>
          <t>ÖSTERGÖTLANDS LÄN</t>
        </is>
      </c>
      <c r="E328" t="inlineStr">
        <is>
          <t>LINKÖPING</t>
        </is>
      </c>
      <c r="G328" t="n">
        <v>3.3</v>
      </c>
      <c r="H328" t="n">
        <v>0</v>
      </c>
      <c r="I328" t="n">
        <v>0</v>
      </c>
      <c r="J328" t="n">
        <v>0</v>
      </c>
      <c r="K328" t="n">
        <v>0</v>
      </c>
      <c r="L328" t="n">
        <v>0</v>
      </c>
      <c r="M328" t="n">
        <v>0</v>
      </c>
      <c r="N328" t="n">
        <v>0</v>
      </c>
      <c r="O328" t="n">
        <v>0</v>
      </c>
      <c r="P328" t="n">
        <v>0</v>
      </c>
      <c r="Q328" t="n">
        <v>0</v>
      </c>
      <c r="R328" s="2" t="inlineStr"/>
    </row>
    <row r="329" ht="15" customHeight="1">
      <c r="A329" t="inlineStr">
        <is>
          <t>A 46426-2025</t>
        </is>
      </c>
      <c r="B329" s="1" t="n">
        <v>45925.6012962963</v>
      </c>
      <c r="C329" s="1" t="n">
        <v>46104</v>
      </c>
      <c r="D329" t="inlineStr">
        <is>
          <t>ÖSTERGÖTLANDS LÄN</t>
        </is>
      </c>
      <c r="E329" t="inlineStr">
        <is>
          <t>LINKÖPING</t>
        </is>
      </c>
      <c r="G329" t="n">
        <v>4.4</v>
      </c>
      <c r="H329" t="n">
        <v>0</v>
      </c>
      <c r="I329" t="n">
        <v>0</v>
      </c>
      <c r="J329" t="n">
        <v>0</v>
      </c>
      <c r="K329" t="n">
        <v>0</v>
      </c>
      <c r="L329" t="n">
        <v>0</v>
      </c>
      <c r="M329" t="n">
        <v>0</v>
      </c>
      <c r="N329" t="n">
        <v>0</v>
      </c>
      <c r="O329" t="n">
        <v>0</v>
      </c>
      <c r="P329" t="n">
        <v>0</v>
      </c>
      <c r="Q329" t="n">
        <v>0</v>
      </c>
      <c r="R329" s="2" t="inlineStr"/>
    </row>
    <row r="330" ht="15" customHeight="1">
      <c r="A330" t="inlineStr">
        <is>
          <t>A 46225-2021</t>
        </is>
      </c>
      <c r="B330" s="1" t="n">
        <v>44442</v>
      </c>
      <c r="C330" s="1" t="n">
        <v>46104</v>
      </c>
      <c r="D330" t="inlineStr">
        <is>
          <t>ÖSTERGÖTLANDS LÄN</t>
        </is>
      </c>
      <c r="E330" t="inlineStr">
        <is>
          <t>LINKÖPING</t>
        </is>
      </c>
      <c r="G330" t="n">
        <v>2.9</v>
      </c>
      <c r="H330" t="n">
        <v>0</v>
      </c>
      <c r="I330" t="n">
        <v>0</v>
      </c>
      <c r="J330" t="n">
        <v>0</v>
      </c>
      <c r="K330" t="n">
        <v>0</v>
      </c>
      <c r="L330" t="n">
        <v>0</v>
      </c>
      <c r="M330" t="n">
        <v>0</v>
      </c>
      <c r="N330" t="n">
        <v>0</v>
      </c>
      <c r="O330" t="n">
        <v>0</v>
      </c>
      <c r="P330" t="n">
        <v>0</v>
      </c>
      <c r="Q330" t="n">
        <v>0</v>
      </c>
      <c r="R330" s="2" t="inlineStr"/>
    </row>
    <row r="331" ht="15" customHeight="1">
      <c r="A331" t="inlineStr">
        <is>
          <t>A 25776-2021</t>
        </is>
      </c>
      <c r="B331" s="1" t="n">
        <v>44343</v>
      </c>
      <c r="C331" s="1" t="n">
        <v>46104</v>
      </c>
      <c r="D331" t="inlineStr">
        <is>
          <t>ÖSTERGÖTLANDS LÄN</t>
        </is>
      </c>
      <c r="E331" t="inlineStr">
        <is>
          <t>LINKÖPING</t>
        </is>
      </c>
      <c r="G331" t="n">
        <v>2.6</v>
      </c>
      <c r="H331" t="n">
        <v>0</v>
      </c>
      <c r="I331" t="n">
        <v>0</v>
      </c>
      <c r="J331" t="n">
        <v>0</v>
      </c>
      <c r="K331" t="n">
        <v>0</v>
      </c>
      <c r="L331" t="n">
        <v>0</v>
      </c>
      <c r="M331" t="n">
        <v>0</v>
      </c>
      <c r="N331" t="n">
        <v>0</v>
      </c>
      <c r="O331" t="n">
        <v>0</v>
      </c>
      <c r="P331" t="n">
        <v>0</v>
      </c>
      <c r="Q331" t="n">
        <v>0</v>
      </c>
      <c r="R331" s="2" t="inlineStr"/>
    </row>
    <row r="332" ht="15" customHeight="1">
      <c r="A332" t="inlineStr">
        <is>
          <t>A 51484-2023</t>
        </is>
      </c>
      <c r="B332" s="1" t="n">
        <v>45222</v>
      </c>
      <c r="C332" s="1" t="n">
        <v>46104</v>
      </c>
      <c r="D332" t="inlineStr">
        <is>
          <t>ÖSTERGÖTLANDS LÄN</t>
        </is>
      </c>
      <c r="E332" t="inlineStr">
        <is>
          <t>LINKÖPING</t>
        </is>
      </c>
      <c r="F332" t="inlineStr">
        <is>
          <t>Övriga Aktiebolag</t>
        </is>
      </c>
      <c r="G332" t="n">
        <v>7.7</v>
      </c>
      <c r="H332" t="n">
        <v>0</v>
      </c>
      <c r="I332" t="n">
        <v>0</v>
      </c>
      <c r="J332" t="n">
        <v>0</v>
      </c>
      <c r="K332" t="n">
        <v>0</v>
      </c>
      <c r="L332" t="n">
        <v>0</v>
      </c>
      <c r="M332" t="n">
        <v>0</v>
      </c>
      <c r="N332" t="n">
        <v>0</v>
      </c>
      <c r="O332" t="n">
        <v>0</v>
      </c>
      <c r="P332" t="n">
        <v>0</v>
      </c>
      <c r="Q332" t="n">
        <v>0</v>
      </c>
      <c r="R332" s="2" t="inlineStr"/>
    </row>
    <row r="333" ht="15" customHeight="1">
      <c r="A333" t="inlineStr">
        <is>
          <t>A 46428-2025</t>
        </is>
      </c>
      <c r="B333" s="1" t="n">
        <v>45925.60758101852</v>
      </c>
      <c r="C333" s="1" t="n">
        <v>46104</v>
      </c>
      <c r="D333" t="inlineStr">
        <is>
          <t>ÖSTERGÖTLANDS LÄN</t>
        </is>
      </c>
      <c r="E333" t="inlineStr">
        <is>
          <t>LINKÖPING</t>
        </is>
      </c>
      <c r="G333" t="n">
        <v>3</v>
      </c>
      <c r="H333" t="n">
        <v>0</v>
      </c>
      <c r="I333" t="n">
        <v>0</v>
      </c>
      <c r="J333" t="n">
        <v>0</v>
      </c>
      <c r="K333" t="n">
        <v>0</v>
      </c>
      <c r="L333" t="n">
        <v>0</v>
      </c>
      <c r="M333" t="n">
        <v>0</v>
      </c>
      <c r="N333" t="n">
        <v>0</v>
      </c>
      <c r="O333" t="n">
        <v>0</v>
      </c>
      <c r="P333" t="n">
        <v>0</v>
      </c>
      <c r="Q333" t="n">
        <v>0</v>
      </c>
      <c r="R333" s="2" t="inlineStr"/>
    </row>
    <row r="334" ht="15" customHeight="1">
      <c r="A334" t="inlineStr">
        <is>
          <t>A 17898-2022</t>
        </is>
      </c>
      <c r="B334" s="1" t="n">
        <v>44683</v>
      </c>
      <c r="C334" s="1" t="n">
        <v>46104</v>
      </c>
      <c r="D334" t="inlineStr">
        <is>
          <t>ÖSTERGÖTLANDS LÄN</t>
        </is>
      </c>
      <c r="E334" t="inlineStr">
        <is>
          <t>LINKÖPING</t>
        </is>
      </c>
      <c r="G334" t="n">
        <v>1.1</v>
      </c>
      <c r="H334" t="n">
        <v>0</v>
      </c>
      <c r="I334" t="n">
        <v>0</v>
      </c>
      <c r="J334" t="n">
        <v>0</v>
      </c>
      <c r="K334" t="n">
        <v>0</v>
      </c>
      <c r="L334" t="n">
        <v>0</v>
      </c>
      <c r="M334" t="n">
        <v>0</v>
      </c>
      <c r="N334" t="n">
        <v>0</v>
      </c>
      <c r="O334" t="n">
        <v>0</v>
      </c>
      <c r="P334" t="n">
        <v>0</v>
      </c>
      <c r="Q334" t="n">
        <v>0</v>
      </c>
      <c r="R334" s="2" t="inlineStr"/>
    </row>
    <row r="335" ht="15" customHeight="1">
      <c r="A335" t="inlineStr">
        <is>
          <t>A 44280-2024</t>
        </is>
      </c>
      <c r="B335" s="1" t="n">
        <v>45573.49461805556</v>
      </c>
      <c r="C335" s="1" t="n">
        <v>46104</v>
      </c>
      <c r="D335" t="inlineStr">
        <is>
          <t>ÖSTERGÖTLANDS LÄN</t>
        </is>
      </c>
      <c r="E335" t="inlineStr">
        <is>
          <t>LINKÖPING</t>
        </is>
      </c>
      <c r="G335" t="n">
        <v>5.3</v>
      </c>
      <c r="H335" t="n">
        <v>0</v>
      </c>
      <c r="I335" t="n">
        <v>0</v>
      </c>
      <c r="J335" t="n">
        <v>0</v>
      </c>
      <c r="K335" t="n">
        <v>0</v>
      </c>
      <c r="L335" t="n">
        <v>0</v>
      </c>
      <c r="M335" t="n">
        <v>0</v>
      </c>
      <c r="N335" t="n">
        <v>0</v>
      </c>
      <c r="O335" t="n">
        <v>0</v>
      </c>
      <c r="P335" t="n">
        <v>0</v>
      </c>
      <c r="Q335" t="n">
        <v>0</v>
      </c>
      <c r="R335" s="2" t="inlineStr"/>
    </row>
    <row r="336" ht="15" customHeight="1">
      <c r="A336" t="inlineStr">
        <is>
          <t>A 46377-2025</t>
        </is>
      </c>
      <c r="B336" s="1" t="n">
        <v>45925.51773148148</v>
      </c>
      <c r="C336" s="1" t="n">
        <v>46104</v>
      </c>
      <c r="D336" t="inlineStr">
        <is>
          <t>ÖSTERGÖTLANDS LÄN</t>
        </is>
      </c>
      <c r="E336" t="inlineStr">
        <is>
          <t>LINKÖPING</t>
        </is>
      </c>
      <c r="G336" t="n">
        <v>3.1</v>
      </c>
      <c r="H336" t="n">
        <v>0</v>
      </c>
      <c r="I336" t="n">
        <v>0</v>
      </c>
      <c r="J336" t="n">
        <v>0</v>
      </c>
      <c r="K336" t="n">
        <v>0</v>
      </c>
      <c r="L336" t="n">
        <v>0</v>
      </c>
      <c r="M336" t="n">
        <v>0</v>
      </c>
      <c r="N336" t="n">
        <v>0</v>
      </c>
      <c r="O336" t="n">
        <v>0</v>
      </c>
      <c r="P336" t="n">
        <v>0</v>
      </c>
      <c r="Q336" t="n">
        <v>0</v>
      </c>
      <c r="R336" s="2" t="inlineStr"/>
    </row>
    <row r="337" ht="15" customHeight="1">
      <c r="A337" t="inlineStr">
        <is>
          <t>A 63487-2023</t>
        </is>
      </c>
      <c r="B337" s="1" t="n">
        <v>45274.66712962963</v>
      </c>
      <c r="C337" s="1" t="n">
        <v>46104</v>
      </c>
      <c r="D337" t="inlineStr">
        <is>
          <t>ÖSTERGÖTLANDS LÄN</t>
        </is>
      </c>
      <c r="E337" t="inlineStr">
        <is>
          <t>LINKÖPING</t>
        </is>
      </c>
      <c r="G337" t="n">
        <v>1.4</v>
      </c>
      <c r="H337" t="n">
        <v>0</v>
      </c>
      <c r="I337" t="n">
        <v>0</v>
      </c>
      <c r="J337" t="n">
        <v>0</v>
      </c>
      <c r="K337" t="n">
        <v>0</v>
      </c>
      <c r="L337" t="n">
        <v>0</v>
      </c>
      <c r="M337" t="n">
        <v>0</v>
      </c>
      <c r="N337" t="n">
        <v>0</v>
      </c>
      <c r="O337" t="n">
        <v>0</v>
      </c>
      <c r="P337" t="n">
        <v>0</v>
      </c>
      <c r="Q337" t="n">
        <v>0</v>
      </c>
      <c r="R337" s="2" t="inlineStr"/>
    </row>
    <row r="338" ht="15" customHeight="1">
      <c r="A338" t="inlineStr">
        <is>
          <t>A 35463-2023</t>
        </is>
      </c>
      <c r="B338" s="1" t="n">
        <v>45146</v>
      </c>
      <c r="C338" s="1" t="n">
        <v>46104</v>
      </c>
      <c r="D338" t="inlineStr">
        <is>
          <t>ÖSTERGÖTLANDS LÄN</t>
        </is>
      </c>
      <c r="E338" t="inlineStr">
        <is>
          <t>LINKÖPING</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55632-2022</t>
        </is>
      </c>
      <c r="B339" s="1" t="n">
        <v>44888</v>
      </c>
      <c r="C339" s="1" t="n">
        <v>46104</v>
      </c>
      <c r="D339" t="inlineStr">
        <is>
          <t>ÖSTERGÖTLANDS LÄN</t>
        </is>
      </c>
      <c r="E339" t="inlineStr">
        <is>
          <t>LINKÖPING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46847-2025</t>
        </is>
      </c>
      <c r="B340" s="1" t="n">
        <v>45928.69971064815</v>
      </c>
      <c r="C340" s="1" t="n">
        <v>46104</v>
      </c>
      <c r="D340" t="inlineStr">
        <is>
          <t>ÖSTERGÖTLANDS LÄN</t>
        </is>
      </c>
      <c r="E340" t="inlineStr">
        <is>
          <t>LINKÖPING</t>
        </is>
      </c>
      <c r="G340" t="n">
        <v>4.6</v>
      </c>
      <c r="H340" t="n">
        <v>0</v>
      </c>
      <c r="I340" t="n">
        <v>0</v>
      </c>
      <c r="J340" t="n">
        <v>0</v>
      </c>
      <c r="K340" t="n">
        <v>0</v>
      </c>
      <c r="L340" t="n">
        <v>0</v>
      </c>
      <c r="M340" t="n">
        <v>0</v>
      </c>
      <c r="N340" t="n">
        <v>0</v>
      </c>
      <c r="O340" t="n">
        <v>0</v>
      </c>
      <c r="P340" t="n">
        <v>0</v>
      </c>
      <c r="Q340" t="n">
        <v>0</v>
      </c>
      <c r="R340" s="2" t="inlineStr"/>
    </row>
    <row r="341" ht="15" customHeight="1">
      <c r="A341" t="inlineStr">
        <is>
          <t>A 63559-2023</t>
        </is>
      </c>
      <c r="B341" s="1" t="n">
        <v>45275.35924768518</v>
      </c>
      <c r="C341" s="1" t="n">
        <v>46104</v>
      </c>
      <c r="D341" t="inlineStr">
        <is>
          <t>ÖSTERGÖTLANDS LÄN</t>
        </is>
      </c>
      <c r="E341" t="inlineStr">
        <is>
          <t>LINKÖPING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47233-2025</t>
        </is>
      </c>
      <c r="B342" s="1" t="n">
        <v>45930.40612268518</v>
      </c>
      <c r="C342" s="1" t="n">
        <v>46104</v>
      </c>
      <c r="D342" t="inlineStr">
        <is>
          <t>ÖSTERGÖTLANDS LÄN</t>
        </is>
      </c>
      <c r="E342" t="inlineStr">
        <is>
          <t>LINKÖPING</t>
        </is>
      </c>
      <c r="G342" t="n">
        <v>4.3</v>
      </c>
      <c r="H342" t="n">
        <v>0</v>
      </c>
      <c r="I342" t="n">
        <v>0</v>
      </c>
      <c r="J342" t="n">
        <v>0</v>
      </c>
      <c r="K342" t="n">
        <v>0</v>
      </c>
      <c r="L342" t="n">
        <v>0</v>
      </c>
      <c r="M342" t="n">
        <v>0</v>
      </c>
      <c r="N342" t="n">
        <v>0</v>
      </c>
      <c r="O342" t="n">
        <v>0</v>
      </c>
      <c r="P342" t="n">
        <v>0</v>
      </c>
      <c r="Q342" t="n">
        <v>0</v>
      </c>
      <c r="R342" s="2" t="inlineStr"/>
    </row>
    <row r="343" ht="15" customHeight="1">
      <c r="A343" t="inlineStr">
        <is>
          <t>A 47606-2025</t>
        </is>
      </c>
      <c r="B343" s="1" t="n">
        <v>45931.46402777778</v>
      </c>
      <c r="C343" s="1" t="n">
        <v>46104</v>
      </c>
      <c r="D343" t="inlineStr">
        <is>
          <t>ÖSTERGÖTLANDS LÄN</t>
        </is>
      </c>
      <c r="E343" t="inlineStr">
        <is>
          <t>LINKÖPING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58114-2021</t>
        </is>
      </c>
      <c r="B344" s="1" t="n">
        <v>44487</v>
      </c>
      <c r="C344" s="1" t="n">
        <v>46104</v>
      </c>
      <c r="D344" t="inlineStr">
        <is>
          <t>ÖSTERGÖTLANDS LÄN</t>
        </is>
      </c>
      <c r="E344" t="inlineStr">
        <is>
          <t>LINKÖPING</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47304-2025</t>
        </is>
      </c>
      <c r="B345" s="1" t="n">
        <v>45930.52037037037</v>
      </c>
      <c r="C345" s="1" t="n">
        <v>46104</v>
      </c>
      <c r="D345" t="inlineStr">
        <is>
          <t>ÖSTERGÖTLANDS LÄN</t>
        </is>
      </c>
      <c r="E345" t="inlineStr">
        <is>
          <t>LINKÖPING</t>
        </is>
      </c>
      <c r="G345" t="n">
        <v>2.7</v>
      </c>
      <c r="H345" t="n">
        <v>0</v>
      </c>
      <c r="I345" t="n">
        <v>0</v>
      </c>
      <c r="J345" t="n">
        <v>0</v>
      </c>
      <c r="K345" t="n">
        <v>0</v>
      </c>
      <c r="L345" t="n">
        <v>0</v>
      </c>
      <c r="M345" t="n">
        <v>0</v>
      </c>
      <c r="N345" t="n">
        <v>0</v>
      </c>
      <c r="O345" t="n">
        <v>0</v>
      </c>
      <c r="P345" t="n">
        <v>0</v>
      </c>
      <c r="Q345" t="n">
        <v>0</v>
      </c>
      <c r="R345" s="2" t="inlineStr"/>
    </row>
    <row r="346" ht="15" customHeight="1">
      <c r="A346" t="inlineStr">
        <is>
          <t>A 55944-2024</t>
        </is>
      </c>
      <c r="B346" s="1" t="n">
        <v>45623.61640046296</v>
      </c>
      <c r="C346" s="1" t="n">
        <v>46104</v>
      </c>
      <c r="D346" t="inlineStr">
        <is>
          <t>ÖSTERGÖTLANDS LÄN</t>
        </is>
      </c>
      <c r="E346" t="inlineStr">
        <is>
          <t>LINKÖPING</t>
        </is>
      </c>
      <c r="G346" t="n">
        <v>0.8</v>
      </c>
      <c r="H346" t="n">
        <v>0</v>
      </c>
      <c r="I346" t="n">
        <v>0</v>
      </c>
      <c r="J346" t="n">
        <v>0</v>
      </c>
      <c r="K346" t="n">
        <v>0</v>
      </c>
      <c r="L346" t="n">
        <v>0</v>
      </c>
      <c r="M346" t="n">
        <v>0</v>
      </c>
      <c r="N346" t="n">
        <v>0</v>
      </c>
      <c r="O346" t="n">
        <v>0</v>
      </c>
      <c r="P346" t="n">
        <v>0</v>
      </c>
      <c r="Q346" t="n">
        <v>0</v>
      </c>
      <c r="R346" s="2" t="inlineStr"/>
    </row>
    <row r="347" ht="15" customHeight="1">
      <c r="A347" t="inlineStr">
        <is>
          <t>A 55947-2024</t>
        </is>
      </c>
      <c r="B347" s="1" t="n">
        <v>45623</v>
      </c>
      <c r="C347" s="1" t="n">
        <v>46104</v>
      </c>
      <c r="D347" t="inlineStr">
        <is>
          <t>ÖSTERGÖTLANDS LÄN</t>
        </is>
      </c>
      <c r="E347" t="inlineStr">
        <is>
          <t>LINKÖPING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3374-2023</t>
        </is>
      </c>
      <c r="B348" s="1" t="n">
        <v>44949</v>
      </c>
      <c r="C348" s="1" t="n">
        <v>46104</v>
      </c>
      <c r="D348" t="inlineStr">
        <is>
          <t>ÖSTERGÖTLANDS LÄN</t>
        </is>
      </c>
      <c r="E348" t="inlineStr">
        <is>
          <t>LINKÖPING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24151-2024</t>
        </is>
      </c>
      <c r="B349" s="1" t="n">
        <v>45456.67717592593</v>
      </c>
      <c r="C349" s="1" t="n">
        <v>46104</v>
      </c>
      <c r="D349" t="inlineStr">
        <is>
          <t>ÖSTERGÖTLANDS LÄN</t>
        </is>
      </c>
      <c r="E349" t="inlineStr">
        <is>
          <t>LINKÖPING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48343-2025</t>
        </is>
      </c>
      <c r="B350" s="1" t="n">
        <v>45932</v>
      </c>
      <c r="C350" s="1" t="n">
        <v>46104</v>
      </c>
      <c r="D350" t="inlineStr">
        <is>
          <t>ÖSTERGÖTLANDS LÄN</t>
        </is>
      </c>
      <c r="E350" t="inlineStr">
        <is>
          <t>LINKÖPING</t>
        </is>
      </c>
      <c r="F350" t="inlineStr">
        <is>
          <t>Övriga Aktiebolag</t>
        </is>
      </c>
      <c r="G350" t="n">
        <v>2</v>
      </c>
      <c r="H350" t="n">
        <v>0</v>
      </c>
      <c r="I350" t="n">
        <v>0</v>
      </c>
      <c r="J350" t="n">
        <v>0</v>
      </c>
      <c r="K350" t="n">
        <v>0</v>
      </c>
      <c r="L350" t="n">
        <v>0</v>
      </c>
      <c r="M350" t="n">
        <v>0</v>
      </c>
      <c r="N350" t="n">
        <v>0</v>
      </c>
      <c r="O350" t="n">
        <v>0</v>
      </c>
      <c r="P350" t="n">
        <v>0</v>
      </c>
      <c r="Q350" t="n">
        <v>0</v>
      </c>
      <c r="R350" s="2" t="inlineStr"/>
    </row>
    <row r="351" ht="15" customHeight="1">
      <c r="A351" t="inlineStr">
        <is>
          <t>A 48266-2025</t>
        </is>
      </c>
      <c r="B351" s="1" t="n">
        <v>45932</v>
      </c>
      <c r="C351" s="1" t="n">
        <v>46104</v>
      </c>
      <c r="D351" t="inlineStr">
        <is>
          <t>ÖSTERGÖTLANDS LÄN</t>
        </is>
      </c>
      <c r="E351" t="inlineStr">
        <is>
          <t>LINKÖPING</t>
        </is>
      </c>
      <c r="F351" t="inlineStr">
        <is>
          <t>Övriga Aktiebolag</t>
        </is>
      </c>
      <c r="G351" t="n">
        <v>0.5</v>
      </c>
      <c r="H351" t="n">
        <v>0</v>
      </c>
      <c r="I351" t="n">
        <v>0</v>
      </c>
      <c r="J351" t="n">
        <v>0</v>
      </c>
      <c r="K351" t="n">
        <v>0</v>
      </c>
      <c r="L351" t="n">
        <v>0</v>
      </c>
      <c r="M351" t="n">
        <v>0</v>
      </c>
      <c r="N351" t="n">
        <v>0</v>
      </c>
      <c r="O351" t="n">
        <v>0</v>
      </c>
      <c r="P351" t="n">
        <v>0</v>
      </c>
      <c r="Q351" t="n">
        <v>0</v>
      </c>
      <c r="R351" s="2" t="inlineStr"/>
    </row>
    <row r="352" ht="15" customHeight="1">
      <c r="A352" t="inlineStr">
        <is>
          <t>A 48254-2025</t>
        </is>
      </c>
      <c r="B352" s="1" t="n">
        <v>45932</v>
      </c>
      <c r="C352" s="1" t="n">
        <v>46104</v>
      </c>
      <c r="D352" t="inlineStr">
        <is>
          <t>ÖSTERGÖTLANDS LÄN</t>
        </is>
      </c>
      <c r="E352" t="inlineStr">
        <is>
          <t>LINKÖPING</t>
        </is>
      </c>
      <c r="F352" t="inlineStr">
        <is>
          <t>Övriga Aktiebolag</t>
        </is>
      </c>
      <c r="G352" t="n">
        <v>0.8</v>
      </c>
      <c r="H352" t="n">
        <v>0</v>
      </c>
      <c r="I352" t="n">
        <v>0</v>
      </c>
      <c r="J352" t="n">
        <v>0</v>
      </c>
      <c r="K352" t="n">
        <v>0</v>
      </c>
      <c r="L352" t="n">
        <v>0</v>
      </c>
      <c r="M352" t="n">
        <v>0</v>
      </c>
      <c r="N352" t="n">
        <v>0</v>
      </c>
      <c r="O352" t="n">
        <v>0</v>
      </c>
      <c r="P352" t="n">
        <v>0</v>
      </c>
      <c r="Q352" t="n">
        <v>0</v>
      </c>
      <c r="R352" s="2" t="inlineStr"/>
    </row>
    <row r="353" ht="15" customHeight="1">
      <c r="A353" t="inlineStr">
        <is>
          <t>A 14576-2023</t>
        </is>
      </c>
      <c r="B353" s="1" t="n">
        <v>45013</v>
      </c>
      <c r="C353" s="1" t="n">
        <v>46104</v>
      </c>
      <c r="D353" t="inlineStr">
        <is>
          <t>ÖSTERGÖTLANDS LÄN</t>
        </is>
      </c>
      <c r="E353" t="inlineStr">
        <is>
          <t>LINKÖPING</t>
        </is>
      </c>
      <c r="G353" t="n">
        <v>3.2</v>
      </c>
      <c r="H353" t="n">
        <v>0</v>
      </c>
      <c r="I353" t="n">
        <v>0</v>
      </c>
      <c r="J353" t="n">
        <v>0</v>
      </c>
      <c r="K353" t="n">
        <v>0</v>
      </c>
      <c r="L353" t="n">
        <v>0</v>
      </c>
      <c r="M353" t="n">
        <v>0</v>
      </c>
      <c r="N353" t="n">
        <v>0</v>
      </c>
      <c r="O353" t="n">
        <v>0</v>
      </c>
      <c r="P353" t="n">
        <v>0</v>
      </c>
      <c r="Q353" t="n">
        <v>0</v>
      </c>
      <c r="R353" s="2" t="inlineStr"/>
    </row>
    <row r="354" ht="15" customHeight="1">
      <c r="A354" t="inlineStr">
        <is>
          <t>A 1223-2026</t>
        </is>
      </c>
      <c r="B354" s="1" t="n">
        <v>46031.40233796297</v>
      </c>
      <c r="C354" s="1" t="n">
        <v>46104</v>
      </c>
      <c r="D354" t="inlineStr">
        <is>
          <t>ÖSTERGÖTLANDS LÄN</t>
        </is>
      </c>
      <c r="E354" t="inlineStr">
        <is>
          <t>LINKÖPING</t>
        </is>
      </c>
      <c r="G354" t="n">
        <v>1</v>
      </c>
      <c r="H354" t="n">
        <v>0</v>
      </c>
      <c r="I354" t="n">
        <v>0</v>
      </c>
      <c r="J354" t="n">
        <v>0</v>
      </c>
      <c r="K354" t="n">
        <v>0</v>
      </c>
      <c r="L354" t="n">
        <v>0</v>
      </c>
      <c r="M354" t="n">
        <v>0</v>
      </c>
      <c r="N354" t="n">
        <v>0</v>
      </c>
      <c r="O354" t="n">
        <v>0</v>
      </c>
      <c r="P354" t="n">
        <v>0</v>
      </c>
      <c r="Q354" t="n">
        <v>0</v>
      </c>
      <c r="R354" s="2" t="inlineStr"/>
    </row>
    <row r="355" ht="15" customHeight="1">
      <c r="A355" t="inlineStr">
        <is>
          <t>A 858-2026</t>
        </is>
      </c>
      <c r="B355" s="1" t="n">
        <v>46030.41200231481</v>
      </c>
      <c r="C355" s="1" t="n">
        <v>46104</v>
      </c>
      <c r="D355" t="inlineStr">
        <is>
          <t>ÖSTERGÖTLANDS LÄN</t>
        </is>
      </c>
      <c r="E355" t="inlineStr">
        <is>
          <t>LINKÖPING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873-2026</t>
        </is>
      </c>
      <c r="B356" s="1" t="n">
        <v>46030.43818287037</v>
      </c>
      <c r="C356" s="1" t="n">
        <v>46104</v>
      </c>
      <c r="D356" t="inlineStr">
        <is>
          <t>ÖSTERGÖTLANDS LÄN</t>
        </is>
      </c>
      <c r="E356" t="inlineStr">
        <is>
          <t>LINKÖPING</t>
        </is>
      </c>
      <c r="G356" t="n">
        <v>4.1</v>
      </c>
      <c r="H356" t="n">
        <v>0</v>
      </c>
      <c r="I356" t="n">
        <v>0</v>
      </c>
      <c r="J356" t="n">
        <v>0</v>
      </c>
      <c r="K356" t="n">
        <v>0</v>
      </c>
      <c r="L356" t="n">
        <v>0</v>
      </c>
      <c r="M356" t="n">
        <v>0</v>
      </c>
      <c r="N356" t="n">
        <v>0</v>
      </c>
      <c r="O356" t="n">
        <v>0</v>
      </c>
      <c r="P356" t="n">
        <v>0</v>
      </c>
      <c r="Q356" t="n">
        <v>0</v>
      </c>
      <c r="R356" s="2" t="inlineStr"/>
    </row>
    <row r="357" ht="15" customHeight="1">
      <c r="A357" t="inlineStr">
        <is>
          <t>A 856-2026</t>
        </is>
      </c>
      <c r="B357" s="1" t="n">
        <v>46030.40644675926</v>
      </c>
      <c r="C357" s="1" t="n">
        <v>46104</v>
      </c>
      <c r="D357" t="inlineStr">
        <is>
          <t>ÖSTERGÖTLANDS LÄN</t>
        </is>
      </c>
      <c r="E357" t="inlineStr">
        <is>
          <t>LINKÖPING</t>
        </is>
      </c>
      <c r="G357" t="n">
        <v>6.4</v>
      </c>
      <c r="H357" t="n">
        <v>0</v>
      </c>
      <c r="I357" t="n">
        <v>0</v>
      </c>
      <c r="J357" t="n">
        <v>0</v>
      </c>
      <c r="K357" t="n">
        <v>0</v>
      </c>
      <c r="L357" t="n">
        <v>0</v>
      </c>
      <c r="M357" t="n">
        <v>0</v>
      </c>
      <c r="N357" t="n">
        <v>0</v>
      </c>
      <c r="O357" t="n">
        <v>0</v>
      </c>
      <c r="P357" t="n">
        <v>0</v>
      </c>
      <c r="Q357" t="n">
        <v>0</v>
      </c>
      <c r="R357" s="2" t="inlineStr"/>
    </row>
    <row r="358" ht="15" customHeight="1">
      <c r="A358" t="inlineStr">
        <is>
          <t>A 74160-2021</t>
        </is>
      </c>
      <c r="B358" s="1" t="n">
        <v>44558</v>
      </c>
      <c r="C358" s="1" t="n">
        <v>46104</v>
      </c>
      <c r="D358" t="inlineStr">
        <is>
          <t>ÖSTERGÖTLANDS LÄN</t>
        </is>
      </c>
      <c r="E358" t="inlineStr">
        <is>
          <t>LINKÖPING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49455-2025</t>
        </is>
      </c>
      <c r="B359" s="1" t="n">
        <v>45938</v>
      </c>
      <c r="C359" s="1" t="n">
        <v>46104</v>
      </c>
      <c r="D359" t="inlineStr">
        <is>
          <t>ÖSTERGÖTLANDS LÄN</t>
        </is>
      </c>
      <c r="E359" t="inlineStr">
        <is>
          <t>LINKÖPING</t>
        </is>
      </c>
      <c r="F359" t="inlineStr">
        <is>
          <t>Övriga Aktiebolag</t>
        </is>
      </c>
      <c r="G359" t="n">
        <v>5.9</v>
      </c>
      <c r="H359" t="n">
        <v>0</v>
      </c>
      <c r="I359" t="n">
        <v>0</v>
      </c>
      <c r="J359" t="n">
        <v>0</v>
      </c>
      <c r="K359" t="n">
        <v>0</v>
      </c>
      <c r="L359" t="n">
        <v>0</v>
      </c>
      <c r="M359" t="n">
        <v>0</v>
      </c>
      <c r="N359" t="n">
        <v>0</v>
      </c>
      <c r="O359" t="n">
        <v>0</v>
      </c>
      <c r="P359" t="n">
        <v>0</v>
      </c>
      <c r="Q359" t="n">
        <v>0</v>
      </c>
      <c r="R359" s="2" t="inlineStr"/>
    </row>
    <row r="360" ht="15" customHeight="1">
      <c r="A360" t="inlineStr">
        <is>
          <t>A 860-2026</t>
        </is>
      </c>
      <c r="B360" s="1" t="n">
        <v>46030.41974537037</v>
      </c>
      <c r="C360" s="1" t="n">
        <v>46104</v>
      </c>
      <c r="D360" t="inlineStr">
        <is>
          <t>ÖSTERGÖTLANDS LÄN</t>
        </is>
      </c>
      <c r="E360" t="inlineStr">
        <is>
          <t>LINKÖPING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940-2026</t>
        </is>
      </c>
      <c r="B361" s="1" t="n">
        <v>46030.53052083333</v>
      </c>
      <c r="C361" s="1" t="n">
        <v>46104</v>
      </c>
      <c r="D361" t="inlineStr">
        <is>
          <t>ÖSTERGÖTLANDS LÄN</t>
        </is>
      </c>
      <c r="E361" t="inlineStr">
        <is>
          <t>LINKÖPING</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944-2026</t>
        </is>
      </c>
      <c r="B362" s="1" t="n">
        <v>46030.53461805556</v>
      </c>
      <c r="C362" s="1" t="n">
        <v>46104</v>
      </c>
      <c r="D362" t="inlineStr">
        <is>
          <t>ÖSTERGÖTLANDS LÄN</t>
        </is>
      </c>
      <c r="E362" t="inlineStr">
        <is>
          <t>LINKÖPING</t>
        </is>
      </c>
      <c r="F362" t="inlineStr">
        <is>
          <t>Allmännings- och besparingsskogar</t>
        </is>
      </c>
      <c r="G362" t="n">
        <v>0.9</v>
      </c>
      <c r="H362" t="n">
        <v>0</v>
      </c>
      <c r="I362" t="n">
        <v>0</v>
      </c>
      <c r="J362" t="n">
        <v>0</v>
      </c>
      <c r="K362" t="n">
        <v>0</v>
      </c>
      <c r="L362" t="n">
        <v>0</v>
      </c>
      <c r="M362" t="n">
        <v>0</v>
      </c>
      <c r="N362" t="n">
        <v>0</v>
      </c>
      <c r="O362" t="n">
        <v>0</v>
      </c>
      <c r="P362" t="n">
        <v>0</v>
      </c>
      <c r="Q362" t="n">
        <v>0</v>
      </c>
      <c r="R362" s="2" t="inlineStr"/>
    </row>
    <row r="363" ht="15" customHeight="1">
      <c r="A363" t="inlineStr">
        <is>
          <t>A 49605-2025</t>
        </is>
      </c>
      <c r="B363" s="1" t="n">
        <v>45938</v>
      </c>
      <c r="C363" s="1" t="n">
        <v>46104</v>
      </c>
      <c r="D363" t="inlineStr">
        <is>
          <t>ÖSTERGÖTLANDS LÄN</t>
        </is>
      </c>
      <c r="E363" t="inlineStr">
        <is>
          <t>LINKÖPING</t>
        </is>
      </c>
      <c r="F363" t="inlineStr">
        <is>
          <t>Övriga Aktiebolag</t>
        </is>
      </c>
      <c r="G363" t="n">
        <v>3.3</v>
      </c>
      <c r="H363" t="n">
        <v>0</v>
      </c>
      <c r="I363" t="n">
        <v>0</v>
      </c>
      <c r="J363" t="n">
        <v>0</v>
      </c>
      <c r="K363" t="n">
        <v>0</v>
      </c>
      <c r="L363" t="n">
        <v>0</v>
      </c>
      <c r="M363" t="n">
        <v>0</v>
      </c>
      <c r="N363" t="n">
        <v>0</v>
      </c>
      <c r="O363" t="n">
        <v>0</v>
      </c>
      <c r="P363" t="n">
        <v>0</v>
      </c>
      <c r="Q363" t="n">
        <v>0</v>
      </c>
      <c r="R363" s="2" t="inlineStr"/>
    </row>
    <row r="364" ht="15" customHeight="1">
      <c r="A364" t="inlineStr">
        <is>
          <t>A 49663-2025</t>
        </is>
      </c>
      <c r="B364" s="1" t="n">
        <v>45938</v>
      </c>
      <c r="C364" s="1" t="n">
        <v>46104</v>
      </c>
      <c r="D364" t="inlineStr">
        <is>
          <t>ÖSTERGÖTLANDS LÄN</t>
        </is>
      </c>
      <c r="E364" t="inlineStr">
        <is>
          <t>LINKÖPING</t>
        </is>
      </c>
      <c r="F364" t="inlineStr">
        <is>
          <t>Övriga Aktiebolag</t>
        </is>
      </c>
      <c r="G364" t="n">
        <v>1.2</v>
      </c>
      <c r="H364" t="n">
        <v>0</v>
      </c>
      <c r="I364" t="n">
        <v>0</v>
      </c>
      <c r="J364" t="n">
        <v>0</v>
      </c>
      <c r="K364" t="n">
        <v>0</v>
      </c>
      <c r="L364" t="n">
        <v>0</v>
      </c>
      <c r="M364" t="n">
        <v>0</v>
      </c>
      <c r="N364" t="n">
        <v>0</v>
      </c>
      <c r="O364" t="n">
        <v>0</v>
      </c>
      <c r="P364" t="n">
        <v>0</v>
      </c>
      <c r="Q364" t="n">
        <v>0</v>
      </c>
      <c r="R364" s="2" t="inlineStr"/>
    </row>
    <row r="365" ht="15" customHeight="1">
      <c r="A365" t="inlineStr">
        <is>
          <t>A 49632-2025</t>
        </is>
      </c>
      <c r="B365" s="1" t="n">
        <v>45938</v>
      </c>
      <c r="C365" s="1" t="n">
        <v>46104</v>
      </c>
      <c r="D365" t="inlineStr">
        <is>
          <t>ÖSTERGÖTLANDS LÄN</t>
        </is>
      </c>
      <c r="E365" t="inlineStr">
        <is>
          <t>LINKÖPING</t>
        </is>
      </c>
      <c r="F365" t="inlineStr">
        <is>
          <t>Övriga Aktiebolag</t>
        </is>
      </c>
      <c r="G365" t="n">
        <v>1.6</v>
      </c>
      <c r="H365" t="n">
        <v>0</v>
      </c>
      <c r="I365" t="n">
        <v>0</v>
      </c>
      <c r="J365" t="n">
        <v>0</v>
      </c>
      <c r="K365" t="n">
        <v>0</v>
      </c>
      <c r="L365" t="n">
        <v>0</v>
      </c>
      <c r="M365" t="n">
        <v>0</v>
      </c>
      <c r="N365" t="n">
        <v>0</v>
      </c>
      <c r="O365" t="n">
        <v>0</v>
      </c>
      <c r="P365" t="n">
        <v>0</v>
      </c>
      <c r="Q365" t="n">
        <v>0</v>
      </c>
      <c r="R365" s="2" t="inlineStr"/>
    </row>
    <row r="366" ht="15" customHeight="1">
      <c r="A366" t="inlineStr">
        <is>
          <t>A 49647-2025</t>
        </is>
      </c>
      <c r="B366" s="1" t="n">
        <v>45938</v>
      </c>
      <c r="C366" s="1" t="n">
        <v>46104</v>
      </c>
      <c r="D366" t="inlineStr">
        <is>
          <t>ÖSTERGÖTLANDS LÄN</t>
        </is>
      </c>
      <c r="E366" t="inlineStr">
        <is>
          <t>LINKÖPING</t>
        </is>
      </c>
      <c r="F366" t="inlineStr">
        <is>
          <t>Övriga Aktiebolag</t>
        </is>
      </c>
      <c r="G366" t="n">
        <v>0.6</v>
      </c>
      <c r="H366" t="n">
        <v>0</v>
      </c>
      <c r="I366" t="n">
        <v>0</v>
      </c>
      <c r="J366" t="n">
        <v>0</v>
      </c>
      <c r="K366" t="n">
        <v>0</v>
      </c>
      <c r="L366" t="n">
        <v>0</v>
      </c>
      <c r="M366" t="n">
        <v>0</v>
      </c>
      <c r="N366" t="n">
        <v>0</v>
      </c>
      <c r="O366" t="n">
        <v>0</v>
      </c>
      <c r="P366" t="n">
        <v>0</v>
      </c>
      <c r="Q366" t="n">
        <v>0</v>
      </c>
      <c r="R366" s="2" t="inlineStr"/>
    </row>
    <row r="367" ht="15" customHeight="1">
      <c r="A367" t="inlineStr">
        <is>
          <t>A 49652-2025</t>
        </is>
      </c>
      <c r="B367" s="1" t="n">
        <v>45938</v>
      </c>
      <c r="C367" s="1" t="n">
        <v>46104</v>
      </c>
      <c r="D367" t="inlineStr">
        <is>
          <t>ÖSTERGÖTLANDS LÄN</t>
        </is>
      </c>
      <c r="E367" t="inlineStr">
        <is>
          <t>LINKÖPING</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49654-2025</t>
        </is>
      </c>
      <c r="B368" s="1" t="n">
        <v>45938</v>
      </c>
      <c r="C368" s="1" t="n">
        <v>46104</v>
      </c>
      <c r="D368" t="inlineStr">
        <is>
          <t>ÖSTERGÖTLANDS LÄN</t>
        </is>
      </c>
      <c r="E368" t="inlineStr">
        <is>
          <t>LINKÖPING</t>
        </is>
      </c>
      <c r="F368" t="inlineStr">
        <is>
          <t>Övriga Aktiebolag</t>
        </is>
      </c>
      <c r="G368" t="n">
        <v>3.1</v>
      </c>
      <c r="H368" t="n">
        <v>0</v>
      </c>
      <c r="I368" t="n">
        <v>0</v>
      </c>
      <c r="J368" t="n">
        <v>0</v>
      </c>
      <c r="K368" t="n">
        <v>0</v>
      </c>
      <c r="L368" t="n">
        <v>0</v>
      </c>
      <c r="M368" t="n">
        <v>0</v>
      </c>
      <c r="N368" t="n">
        <v>0</v>
      </c>
      <c r="O368" t="n">
        <v>0</v>
      </c>
      <c r="P368" t="n">
        <v>0</v>
      </c>
      <c r="Q368" t="n">
        <v>0</v>
      </c>
      <c r="R368" s="2" t="inlineStr"/>
    </row>
    <row r="369" ht="15" customHeight="1">
      <c r="A369" t="inlineStr">
        <is>
          <t>A 927-2026</t>
        </is>
      </c>
      <c r="B369" s="1" t="n">
        <v>46030.50560185185</v>
      </c>
      <c r="C369" s="1" t="n">
        <v>46104</v>
      </c>
      <c r="D369" t="inlineStr">
        <is>
          <t>ÖSTERGÖTLANDS LÄN</t>
        </is>
      </c>
      <c r="E369" t="inlineStr">
        <is>
          <t>LINKÖPING</t>
        </is>
      </c>
      <c r="G369" t="n">
        <v>1.4</v>
      </c>
      <c r="H369" t="n">
        <v>0</v>
      </c>
      <c r="I369" t="n">
        <v>0</v>
      </c>
      <c r="J369" t="n">
        <v>0</v>
      </c>
      <c r="K369" t="n">
        <v>0</v>
      </c>
      <c r="L369" t="n">
        <v>0</v>
      </c>
      <c r="M369" t="n">
        <v>0</v>
      </c>
      <c r="N369" t="n">
        <v>0</v>
      </c>
      <c r="O369" t="n">
        <v>0</v>
      </c>
      <c r="P369" t="n">
        <v>0</v>
      </c>
      <c r="Q369" t="n">
        <v>0</v>
      </c>
      <c r="R369" s="2" t="inlineStr"/>
    </row>
    <row r="370" ht="15" customHeight="1">
      <c r="A370" t="inlineStr">
        <is>
          <t>A 49615-2025</t>
        </is>
      </c>
      <c r="B370" s="1" t="n">
        <v>45938</v>
      </c>
      <c r="C370" s="1" t="n">
        <v>46104</v>
      </c>
      <c r="D370" t="inlineStr">
        <is>
          <t>ÖSTERGÖTLANDS LÄN</t>
        </is>
      </c>
      <c r="E370" t="inlineStr">
        <is>
          <t>LINKÖPING</t>
        </is>
      </c>
      <c r="F370" t="inlineStr">
        <is>
          <t>Övriga Aktiebolag</t>
        </is>
      </c>
      <c r="G370" t="n">
        <v>1.6</v>
      </c>
      <c r="H370" t="n">
        <v>0</v>
      </c>
      <c r="I370" t="n">
        <v>0</v>
      </c>
      <c r="J370" t="n">
        <v>0</v>
      </c>
      <c r="K370" t="n">
        <v>0</v>
      </c>
      <c r="L370" t="n">
        <v>0</v>
      </c>
      <c r="M370" t="n">
        <v>0</v>
      </c>
      <c r="N370" t="n">
        <v>0</v>
      </c>
      <c r="O370" t="n">
        <v>0</v>
      </c>
      <c r="P370" t="n">
        <v>0</v>
      </c>
      <c r="Q370" t="n">
        <v>0</v>
      </c>
      <c r="R370" s="2" t="inlineStr"/>
    </row>
    <row r="371" ht="15" customHeight="1">
      <c r="A371" t="inlineStr">
        <is>
          <t>A 49619-2025</t>
        </is>
      </c>
      <c r="B371" s="1" t="n">
        <v>45938</v>
      </c>
      <c r="C371" s="1" t="n">
        <v>46104</v>
      </c>
      <c r="D371" t="inlineStr">
        <is>
          <t>ÖSTERGÖTLANDS LÄN</t>
        </is>
      </c>
      <c r="E371" t="inlineStr">
        <is>
          <t>LINKÖPING</t>
        </is>
      </c>
      <c r="F371" t="inlineStr">
        <is>
          <t>Övriga Aktiebolag</t>
        </is>
      </c>
      <c r="G371" t="n">
        <v>2.3</v>
      </c>
      <c r="H371" t="n">
        <v>0</v>
      </c>
      <c r="I371" t="n">
        <v>0</v>
      </c>
      <c r="J371" t="n">
        <v>0</v>
      </c>
      <c r="K371" t="n">
        <v>0</v>
      </c>
      <c r="L371" t="n">
        <v>0</v>
      </c>
      <c r="M371" t="n">
        <v>0</v>
      </c>
      <c r="N371" t="n">
        <v>0</v>
      </c>
      <c r="O371" t="n">
        <v>0</v>
      </c>
      <c r="P371" t="n">
        <v>0</v>
      </c>
      <c r="Q371" t="n">
        <v>0</v>
      </c>
      <c r="R371" s="2" t="inlineStr"/>
    </row>
    <row r="372" ht="15" customHeight="1">
      <c r="A372" t="inlineStr">
        <is>
          <t>A 49629-2025</t>
        </is>
      </c>
      <c r="B372" s="1" t="n">
        <v>45938</v>
      </c>
      <c r="C372" s="1" t="n">
        <v>46104</v>
      </c>
      <c r="D372" t="inlineStr">
        <is>
          <t>ÖSTERGÖTLANDS LÄN</t>
        </is>
      </c>
      <c r="E372" t="inlineStr">
        <is>
          <t>LINKÖPING</t>
        </is>
      </c>
      <c r="F372" t="inlineStr">
        <is>
          <t>Övriga Aktiebolag</t>
        </is>
      </c>
      <c r="G372" t="n">
        <v>4.5</v>
      </c>
      <c r="H372" t="n">
        <v>0</v>
      </c>
      <c r="I372" t="n">
        <v>0</v>
      </c>
      <c r="J372" t="n">
        <v>0</v>
      </c>
      <c r="K372" t="n">
        <v>0</v>
      </c>
      <c r="L372" t="n">
        <v>0</v>
      </c>
      <c r="M372" t="n">
        <v>0</v>
      </c>
      <c r="N372" t="n">
        <v>0</v>
      </c>
      <c r="O372" t="n">
        <v>0</v>
      </c>
      <c r="P372" t="n">
        <v>0</v>
      </c>
      <c r="Q372" t="n">
        <v>0</v>
      </c>
      <c r="R372" s="2" t="inlineStr"/>
    </row>
    <row r="373" ht="15" customHeight="1">
      <c r="A373" t="inlineStr">
        <is>
          <t>A 49650-2025</t>
        </is>
      </c>
      <c r="B373" s="1" t="n">
        <v>45938</v>
      </c>
      <c r="C373" s="1" t="n">
        <v>46104</v>
      </c>
      <c r="D373" t="inlineStr">
        <is>
          <t>ÖSTERGÖTLANDS LÄN</t>
        </is>
      </c>
      <c r="E373" t="inlineStr">
        <is>
          <t>LINKÖPING</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49633-2025</t>
        </is>
      </c>
      <c r="B374" s="1" t="n">
        <v>45938</v>
      </c>
      <c r="C374" s="1" t="n">
        <v>46104</v>
      </c>
      <c r="D374" t="inlineStr">
        <is>
          <t>ÖSTERGÖTLANDS LÄN</t>
        </is>
      </c>
      <c r="E374" t="inlineStr">
        <is>
          <t>LINKÖPING</t>
        </is>
      </c>
      <c r="F374" t="inlineStr">
        <is>
          <t>Övriga Aktiebolag</t>
        </is>
      </c>
      <c r="G374" t="n">
        <v>0.7</v>
      </c>
      <c r="H374" t="n">
        <v>0</v>
      </c>
      <c r="I374" t="n">
        <v>0</v>
      </c>
      <c r="J374" t="n">
        <v>0</v>
      </c>
      <c r="K374" t="n">
        <v>0</v>
      </c>
      <c r="L374" t="n">
        <v>0</v>
      </c>
      <c r="M374" t="n">
        <v>0</v>
      </c>
      <c r="N374" t="n">
        <v>0</v>
      </c>
      <c r="O374" t="n">
        <v>0</v>
      </c>
      <c r="P374" t="n">
        <v>0</v>
      </c>
      <c r="Q374" t="n">
        <v>0</v>
      </c>
      <c r="R374" s="2" t="inlineStr"/>
    </row>
    <row r="375" ht="15" customHeight="1">
      <c r="A375" t="inlineStr">
        <is>
          <t>A 859-2026</t>
        </is>
      </c>
      <c r="B375" s="1" t="n">
        <v>46030.41450231482</v>
      </c>
      <c r="C375" s="1" t="n">
        <v>46104</v>
      </c>
      <c r="D375" t="inlineStr">
        <is>
          <t>ÖSTERGÖTLANDS LÄN</t>
        </is>
      </c>
      <c r="E375" t="inlineStr">
        <is>
          <t>LINKÖPING</t>
        </is>
      </c>
      <c r="G375" t="n">
        <v>0.2</v>
      </c>
      <c r="H375" t="n">
        <v>0</v>
      </c>
      <c r="I375" t="n">
        <v>0</v>
      </c>
      <c r="J375" t="n">
        <v>0</v>
      </c>
      <c r="K375" t="n">
        <v>0</v>
      </c>
      <c r="L375" t="n">
        <v>0</v>
      </c>
      <c r="M375" t="n">
        <v>0</v>
      </c>
      <c r="N375" t="n">
        <v>0</v>
      </c>
      <c r="O375" t="n">
        <v>0</v>
      </c>
      <c r="P375" t="n">
        <v>0</v>
      </c>
      <c r="Q375" t="n">
        <v>0</v>
      </c>
      <c r="R375" s="2" t="inlineStr"/>
    </row>
    <row r="376" ht="15" customHeight="1">
      <c r="A376" t="inlineStr">
        <is>
          <t>A 27766-2022</t>
        </is>
      </c>
      <c r="B376" s="1" t="n">
        <v>44743.53112268518</v>
      </c>
      <c r="C376" s="1" t="n">
        <v>46104</v>
      </c>
      <c r="D376" t="inlineStr">
        <is>
          <t>ÖSTERGÖTLANDS LÄN</t>
        </is>
      </c>
      <c r="E376" t="inlineStr">
        <is>
          <t>LINKÖPING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53641-2023</t>
        </is>
      </c>
      <c r="B377" s="1" t="n">
        <v>45230</v>
      </c>
      <c r="C377" s="1" t="n">
        <v>46104</v>
      </c>
      <c r="D377" t="inlineStr">
        <is>
          <t>ÖSTERGÖTLANDS LÄN</t>
        </is>
      </c>
      <c r="E377" t="inlineStr">
        <is>
          <t>LINKÖPING</t>
        </is>
      </c>
      <c r="G377" t="n">
        <v>1.7</v>
      </c>
      <c r="H377" t="n">
        <v>0</v>
      </c>
      <c r="I377" t="n">
        <v>0</v>
      </c>
      <c r="J377" t="n">
        <v>0</v>
      </c>
      <c r="K377" t="n">
        <v>0</v>
      </c>
      <c r="L377" t="n">
        <v>0</v>
      </c>
      <c r="M377" t="n">
        <v>0</v>
      </c>
      <c r="N377" t="n">
        <v>0</v>
      </c>
      <c r="O377" t="n">
        <v>0</v>
      </c>
      <c r="P377" t="n">
        <v>0</v>
      </c>
      <c r="Q377" t="n">
        <v>0</v>
      </c>
      <c r="R377" s="2" t="inlineStr"/>
    </row>
    <row r="378" ht="15" customHeight="1">
      <c r="A378" t="inlineStr">
        <is>
          <t>A 2030-2026</t>
        </is>
      </c>
      <c r="B378" s="1" t="n">
        <v>46035.73590277778</v>
      </c>
      <c r="C378" s="1" t="n">
        <v>46104</v>
      </c>
      <c r="D378" t="inlineStr">
        <is>
          <t>ÖSTERGÖTLANDS LÄN</t>
        </is>
      </c>
      <c r="E378" t="inlineStr">
        <is>
          <t>LINKÖPING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40983-2025</t>
        </is>
      </c>
      <c r="B379" s="1" t="n">
        <v>45898</v>
      </c>
      <c r="C379" s="1" t="n">
        <v>46104</v>
      </c>
      <c r="D379" t="inlineStr">
        <is>
          <t>ÖSTERGÖTLANDS LÄN</t>
        </is>
      </c>
      <c r="E379" t="inlineStr">
        <is>
          <t>LINKÖPING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33000-2023</t>
        </is>
      </c>
      <c r="B380" s="1" t="n">
        <v>45125</v>
      </c>
      <c r="C380" s="1" t="n">
        <v>46104</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52892-2024</t>
        </is>
      </c>
      <c r="B381" s="1" t="n">
        <v>45610</v>
      </c>
      <c r="C381" s="1" t="n">
        <v>46104</v>
      </c>
      <c r="D381" t="inlineStr">
        <is>
          <t>ÖSTERGÖTLANDS LÄN</t>
        </is>
      </c>
      <c r="E381" t="inlineStr">
        <is>
          <t>LINKÖPING</t>
        </is>
      </c>
      <c r="G381" t="n">
        <v>4.2</v>
      </c>
      <c r="H381" t="n">
        <v>0</v>
      </c>
      <c r="I381" t="n">
        <v>0</v>
      </c>
      <c r="J381" t="n">
        <v>0</v>
      </c>
      <c r="K381" t="n">
        <v>0</v>
      </c>
      <c r="L381" t="n">
        <v>0</v>
      </c>
      <c r="M381" t="n">
        <v>0</v>
      </c>
      <c r="N381" t="n">
        <v>0</v>
      </c>
      <c r="O381" t="n">
        <v>0</v>
      </c>
      <c r="P381" t="n">
        <v>0</v>
      </c>
      <c r="Q381" t="n">
        <v>0</v>
      </c>
      <c r="R381" s="2" t="inlineStr"/>
    </row>
    <row r="382" ht="15" customHeight="1">
      <c r="A382" t="inlineStr">
        <is>
          <t>A 50056-2025</t>
        </is>
      </c>
      <c r="B382" s="1" t="n">
        <v>45941</v>
      </c>
      <c r="C382" s="1" t="n">
        <v>46104</v>
      </c>
      <c r="D382" t="inlineStr">
        <is>
          <t>ÖSTERGÖTLANDS LÄN</t>
        </is>
      </c>
      <c r="E382" t="inlineStr">
        <is>
          <t>LINKÖPING</t>
        </is>
      </c>
      <c r="G382" t="n">
        <v>0.3</v>
      </c>
      <c r="H382" t="n">
        <v>0</v>
      </c>
      <c r="I382" t="n">
        <v>0</v>
      </c>
      <c r="J382" t="n">
        <v>0</v>
      </c>
      <c r="K382" t="n">
        <v>0</v>
      </c>
      <c r="L382" t="n">
        <v>0</v>
      </c>
      <c r="M382" t="n">
        <v>0</v>
      </c>
      <c r="N382" t="n">
        <v>0</v>
      </c>
      <c r="O382" t="n">
        <v>0</v>
      </c>
      <c r="P382" t="n">
        <v>0</v>
      </c>
      <c r="Q382" t="n">
        <v>0</v>
      </c>
      <c r="R382" s="2" t="inlineStr"/>
    </row>
    <row r="383" ht="15" customHeight="1">
      <c r="A383" t="inlineStr">
        <is>
          <t>A 10479-2026</t>
        </is>
      </c>
      <c r="B383" s="1" t="n">
        <v>46077.49231481482</v>
      </c>
      <c r="C383" s="1" t="n">
        <v>46104</v>
      </c>
      <c r="D383" t="inlineStr">
        <is>
          <t>ÖSTERGÖTLANDS LÄN</t>
        </is>
      </c>
      <c r="E383" t="inlineStr">
        <is>
          <t>LINKÖPING</t>
        </is>
      </c>
      <c r="G383" t="n">
        <v>1.9</v>
      </c>
      <c r="H383" t="n">
        <v>0</v>
      </c>
      <c r="I383" t="n">
        <v>0</v>
      </c>
      <c r="J383" t="n">
        <v>0</v>
      </c>
      <c r="K383" t="n">
        <v>0</v>
      </c>
      <c r="L383" t="n">
        <v>0</v>
      </c>
      <c r="M383" t="n">
        <v>0</v>
      </c>
      <c r="N383" t="n">
        <v>0</v>
      </c>
      <c r="O383" t="n">
        <v>0</v>
      </c>
      <c r="P383" t="n">
        <v>0</v>
      </c>
      <c r="Q383" t="n">
        <v>0</v>
      </c>
      <c r="R383" s="2" t="inlineStr"/>
    </row>
    <row r="384" ht="15" customHeight="1">
      <c r="A384" t="inlineStr">
        <is>
          <t>A 50667-2025</t>
        </is>
      </c>
      <c r="B384" s="1" t="n">
        <v>45945</v>
      </c>
      <c r="C384" s="1" t="n">
        <v>46104</v>
      </c>
      <c r="D384" t="inlineStr">
        <is>
          <t>ÖSTERGÖTLANDS LÄN</t>
        </is>
      </c>
      <c r="E384" t="inlineStr">
        <is>
          <t>LINKÖPING</t>
        </is>
      </c>
      <c r="G384" t="n">
        <v>3.3</v>
      </c>
      <c r="H384" t="n">
        <v>0</v>
      </c>
      <c r="I384" t="n">
        <v>0</v>
      </c>
      <c r="J384" t="n">
        <v>0</v>
      </c>
      <c r="K384" t="n">
        <v>0</v>
      </c>
      <c r="L384" t="n">
        <v>0</v>
      </c>
      <c r="M384" t="n">
        <v>0</v>
      </c>
      <c r="N384" t="n">
        <v>0</v>
      </c>
      <c r="O384" t="n">
        <v>0</v>
      </c>
      <c r="P384" t="n">
        <v>0</v>
      </c>
      <c r="Q384" t="n">
        <v>0</v>
      </c>
      <c r="R384" s="2" t="inlineStr"/>
    </row>
    <row r="385" ht="15" customHeight="1">
      <c r="A385" t="inlineStr">
        <is>
          <t>A 30521-2024</t>
        </is>
      </c>
      <c r="B385" s="1" t="n">
        <v>45492</v>
      </c>
      <c r="C385" s="1" t="n">
        <v>46104</v>
      </c>
      <c r="D385" t="inlineStr">
        <is>
          <t>ÖSTERGÖTLANDS LÄN</t>
        </is>
      </c>
      <c r="E385" t="inlineStr">
        <is>
          <t>LINKÖPING</t>
        </is>
      </c>
      <c r="G385" t="n">
        <v>0.8</v>
      </c>
      <c r="H385" t="n">
        <v>0</v>
      </c>
      <c r="I385" t="n">
        <v>0</v>
      </c>
      <c r="J385" t="n">
        <v>0</v>
      </c>
      <c r="K385" t="n">
        <v>0</v>
      </c>
      <c r="L385" t="n">
        <v>0</v>
      </c>
      <c r="M385" t="n">
        <v>0</v>
      </c>
      <c r="N385" t="n">
        <v>0</v>
      </c>
      <c r="O385" t="n">
        <v>0</v>
      </c>
      <c r="P385" t="n">
        <v>0</v>
      </c>
      <c r="Q385" t="n">
        <v>0</v>
      </c>
      <c r="R385" s="2" t="inlineStr"/>
    </row>
    <row r="386" ht="15" customHeight="1">
      <c r="A386" t="inlineStr">
        <is>
          <t>A 51191-2022</t>
        </is>
      </c>
      <c r="B386" s="1" t="n">
        <v>44865</v>
      </c>
      <c r="C386" s="1" t="n">
        <v>46104</v>
      </c>
      <c r="D386" t="inlineStr">
        <is>
          <t>ÖSTERGÖTLANDS LÄN</t>
        </is>
      </c>
      <c r="E386" t="inlineStr">
        <is>
          <t>LINKÖPING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2031-2026</t>
        </is>
      </c>
      <c r="B387" s="1" t="n">
        <v>46035.74182870371</v>
      </c>
      <c r="C387" s="1" t="n">
        <v>46104</v>
      </c>
      <c r="D387" t="inlineStr">
        <is>
          <t>ÖSTERGÖTLANDS LÄN</t>
        </is>
      </c>
      <c r="E387" t="inlineStr">
        <is>
          <t>LINKÖPING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12289-2025</t>
        </is>
      </c>
      <c r="B388" s="1" t="n">
        <v>45729</v>
      </c>
      <c r="C388" s="1" t="n">
        <v>46104</v>
      </c>
      <c r="D388" t="inlineStr">
        <is>
          <t>ÖSTERGÖTLANDS LÄN</t>
        </is>
      </c>
      <c r="E388" t="inlineStr">
        <is>
          <t>LINKÖPING</t>
        </is>
      </c>
      <c r="F388" t="inlineStr">
        <is>
          <t>Övriga statliga verk och myndigheter</t>
        </is>
      </c>
      <c r="G388" t="n">
        <v>6.5</v>
      </c>
      <c r="H388" t="n">
        <v>0</v>
      </c>
      <c r="I388" t="n">
        <v>0</v>
      </c>
      <c r="J388" t="n">
        <v>0</v>
      </c>
      <c r="K388" t="n">
        <v>0</v>
      </c>
      <c r="L388" t="n">
        <v>0</v>
      </c>
      <c r="M388" t="n">
        <v>0</v>
      </c>
      <c r="N388" t="n">
        <v>0</v>
      </c>
      <c r="O388" t="n">
        <v>0</v>
      </c>
      <c r="P388" t="n">
        <v>0</v>
      </c>
      <c r="Q388" t="n">
        <v>0</v>
      </c>
      <c r="R388" s="2" t="inlineStr"/>
    </row>
    <row r="389" ht="15" customHeight="1">
      <c r="A389" t="inlineStr">
        <is>
          <t>A 11033-2026</t>
        </is>
      </c>
      <c r="B389" s="1" t="n">
        <v>46079.57361111111</v>
      </c>
      <c r="C389" s="1" t="n">
        <v>46104</v>
      </c>
      <c r="D389" t="inlineStr">
        <is>
          <t>ÖSTERGÖTLANDS LÄN</t>
        </is>
      </c>
      <c r="E389" t="inlineStr">
        <is>
          <t>LINKÖPING</t>
        </is>
      </c>
      <c r="G389" t="n">
        <v>7.9</v>
      </c>
      <c r="H389" t="n">
        <v>0</v>
      </c>
      <c r="I389" t="n">
        <v>0</v>
      </c>
      <c r="J389" t="n">
        <v>0</v>
      </c>
      <c r="K389" t="n">
        <v>0</v>
      </c>
      <c r="L389" t="n">
        <v>0</v>
      </c>
      <c r="M389" t="n">
        <v>0</v>
      </c>
      <c r="N389" t="n">
        <v>0</v>
      </c>
      <c r="O389" t="n">
        <v>0</v>
      </c>
      <c r="P389" t="n">
        <v>0</v>
      </c>
      <c r="Q389" t="n">
        <v>0</v>
      </c>
      <c r="R389" s="2" t="inlineStr"/>
    </row>
    <row r="390" ht="15" customHeight="1">
      <c r="A390" t="inlineStr">
        <is>
          <t>A 9434-2024</t>
        </is>
      </c>
      <c r="B390" s="1" t="n">
        <v>45359</v>
      </c>
      <c r="C390" s="1" t="n">
        <v>46104</v>
      </c>
      <c r="D390" t="inlineStr">
        <is>
          <t>ÖSTERGÖTLANDS LÄN</t>
        </is>
      </c>
      <c r="E390" t="inlineStr">
        <is>
          <t>LINKÖPING</t>
        </is>
      </c>
      <c r="G390" t="n">
        <v>1.2</v>
      </c>
      <c r="H390" t="n">
        <v>0</v>
      </c>
      <c r="I390" t="n">
        <v>0</v>
      </c>
      <c r="J390" t="n">
        <v>0</v>
      </c>
      <c r="K390" t="n">
        <v>0</v>
      </c>
      <c r="L390" t="n">
        <v>0</v>
      </c>
      <c r="M390" t="n">
        <v>0</v>
      </c>
      <c r="N390" t="n">
        <v>0</v>
      </c>
      <c r="O390" t="n">
        <v>0</v>
      </c>
      <c r="P390" t="n">
        <v>0</v>
      </c>
      <c r="Q390" t="n">
        <v>0</v>
      </c>
      <c r="R390" s="2" t="inlineStr"/>
    </row>
    <row r="391" ht="15" customHeight="1">
      <c r="A391" t="inlineStr">
        <is>
          <t>A 42054-2022</t>
        </is>
      </c>
      <c r="B391" s="1" t="n">
        <v>44830</v>
      </c>
      <c r="C391" s="1" t="n">
        <v>46104</v>
      </c>
      <c r="D391" t="inlineStr">
        <is>
          <t>ÖSTERGÖTLANDS LÄN</t>
        </is>
      </c>
      <c r="E391" t="inlineStr">
        <is>
          <t>LINKÖPING</t>
        </is>
      </c>
      <c r="G391" t="n">
        <v>1.7</v>
      </c>
      <c r="H391" t="n">
        <v>0</v>
      </c>
      <c r="I391" t="n">
        <v>0</v>
      </c>
      <c r="J391" t="n">
        <v>0</v>
      </c>
      <c r="K391" t="n">
        <v>0</v>
      </c>
      <c r="L391" t="n">
        <v>0</v>
      </c>
      <c r="M391" t="n">
        <v>0</v>
      </c>
      <c r="N391" t="n">
        <v>0</v>
      </c>
      <c r="O391" t="n">
        <v>0</v>
      </c>
      <c r="P391" t="n">
        <v>0</v>
      </c>
      <c r="Q391" t="n">
        <v>0</v>
      </c>
      <c r="R391" s="2" t="inlineStr"/>
    </row>
    <row r="392" ht="15" customHeight="1">
      <c r="A392" t="inlineStr">
        <is>
          <t>A 50182-2023</t>
        </is>
      </c>
      <c r="B392" s="1" t="n">
        <v>45208</v>
      </c>
      <c r="C392" s="1" t="n">
        <v>46104</v>
      </c>
      <c r="D392" t="inlineStr">
        <is>
          <t>ÖSTERGÖTLANDS LÄN</t>
        </is>
      </c>
      <c r="E392" t="inlineStr">
        <is>
          <t>LINKÖPING</t>
        </is>
      </c>
      <c r="G392" t="n">
        <v>2.5</v>
      </c>
      <c r="H392" t="n">
        <v>0</v>
      </c>
      <c r="I392" t="n">
        <v>0</v>
      </c>
      <c r="J392" t="n">
        <v>0</v>
      </c>
      <c r="K392" t="n">
        <v>0</v>
      </c>
      <c r="L392" t="n">
        <v>0</v>
      </c>
      <c r="M392" t="n">
        <v>0</v>
      </c>
      <c r="N392" t="n">
        <v>0</v>
      </c>
      <c r="O392" t="n">
        <v>0</v>
      </c>
      <c r="P392" t="n">
        <v>0</v>
      </c>
      <c r="Q392" t="n">
        <v>0</v>
      </c>
      <c r="R392" s="2" t="inlineStr"/>
    </row>
    <row r="393" ht="15" customHeight="1">
      <c r="A393" t="inlineStr">
        <is>
          <t>A 10756-2026</t>
        </is>
      </c>
      <c r="B393" s="1" t="n">
        <v>46078.55412037037</v>
      </c>
      <c r="C393" s="1" t="n">
        <v>46104</v>
      </c>
      <c r="D393" t="inlineStr">
        <is>
          <t>ÖSTERGÖTLANDS LÄN</t>
        </is>
      </c>
      <c r="E393" t="inlineStr">
        <is>
          <t>LINKÖPING</t>
        </is>
      </c>
      <c r="F393" t="inlineStr">
        <is>
          <t>Övriga Aktiebolag</t>
        </is>
      </c>
      <c r="G393" t="n">
        <v>1.2</v>
      </c>
      <c r="H393" t="n">
        <v>0</v>
      </c>
      <c r="I393" t="n">
        <v>0</v>
      </c>
      <c r="J393" t="n">
        <v>0</v>
      </c>
      <c r="K393" t="n">
        <v>0</v>
      </c>
      <c r="L393" t="n">
        <v>0</v>
      </c>
      <c r="M393" t="n">
        <v>0</v>
      </c>
      <c r="N393" t="n">
        <v>0</v>
      </c>
      <c r="O393" t="n">
        <v>0</v>
      </c>
      <c r="P393" t="n">
        <v>0</v>
      </c>
      <c r="Q393" t="n">
        <v>0</v>
      </c>
      <c r="R393" s="2" t="inlineStr"/>
    </row>
    <row r="394" ht="15" customHeight="1">
      <c r="A394" t="inlineStr">
        <is>
          <t>A 35781-2023</t>
        </is>
      </c>
      <c r="B394" s="1" t="n">
        <v>45147</v>
      </c>
      <c r="C394" s="1" t="n">
        <v>46104</v>
      </c>
      <c r="D394" t="inlineStr">
        <is>
          <t>ÖSTERGÖTLANDS LÄN</t>
        </is>
      </c>
      <c r="E394" t="inlineStr">
        <is>
          <t>LINKÖPING</t>
        </is>
      </c>
      <c r="G394" t="n">
        <v>1.6</v>
      </c>
      <c r="H394" t="n">
        <v>0</v>
      </c>
      <c r="I394" t="n">
        <v>0</v>
      </c>
      <c r="J394" t="n">
        <v>0</v>
      </c>
      <c r="K394" t="n">
        <v>0</v>
      </c>
      <c r="L394" t="n">
        <v>0</v>
      </c>
      <c r="M394" t="n">
        <v>0</v>
      </c>
      <c r="N394" t="n">
        <v>0</v>
      </c>
      <c r="O394" t="n">
        <v>0</v>
      </c>
      <c r="P394" t="n">
        <v>0</v>
      </c>
      <c r="Q394" t="n">
        <v>0</v>
      </c>
      <c r="R394" s="2" t="inlineStr"/>
    </row>
    <row r="395" ht="15" customHeight="1">
      <c r="A395" t="inlineStr">
        <is>
          <t>A 11057-2026</t>
        </is>
      </c>
      <c r="B395" s="1" t="n">
        <v>46079.59515046296</v>
      </c>
      <c r="C395" s="1" t="n">
        <v>46104</v>
      </c>
      <c r="D395" t="inlineStr">
        <is>
          <t>ÖSTERGÖTLANDS LÄN</t>
        </is>
      </c>
      <c r="E395" t="inlineStr">
        <is>
          <t>LINKÖPING</t>
        </is>
      </c>
      <c r="G395" t="n">
        <v>2.9</v>
      </c>
      <c r="H395" t="n">
        <v>0</v>
      </c>
      <c r="I395" t="n">
        <v>0</v>
      </c>
      <c r="J395" t="n">
        <v>0</v>
      </c>
      <c r="K395" t="n">
        <v>0</v>
      </c>
      <c r="L395" t="n">
        <v>0</v>
      </c>
      <c r="M395" t="n">
        <v>0</v>
      </c>
      <c r="N395" t="n">
        <v>0</v>
      </c>
      <c r="O395" t="n">
        <v>0</v>
      </c>
      <c r="P395" t="n">
        <v>0</v>
      </c>
      <c r="Q395" t="n">
        <v>0</v>
      </c>
      <c r="R395" s="2" t="inlineStr"/>
    </row>
    <row r="396" ht="15" customHeight="1">
      <c r="A396" t="inlineStr">
        <is>
          <t>A 51802-2025</t>
        </is>
      </c>
      <c r="B396" s="1" t="n">
        <v>45950</v>
      </c>
      <c r="C396" s="1" t="n">
        <v>46104</v>
      </c>
      <c r="D396" t="inlineStr">
        <is>
          <t>ÖSTERGÖTLANDS LÄN</t>
        </is>
      </c>
      <c r="E396" t="inlineStr">
        <is>
          <t>LINKÖPING</t>
        </is>
      </c>
      <c r="F396" t="inlineStr">
        <is>
          <t>Övriga Aktiebolag</t>
        </is>
      </c>
      <c r="G396" t="n">
        <v>2</v>
      </c>
      <c r="H396" t="n">
        <v>0</v>
      </c>
      <c r="I396" t="n">
        <v>0</v>
      </c>
      <c r="J396" t="n">
        <v>0</v>
      </c>
      <c r="K396" t="n">
        <v>0</v>
      </c>
      <c r="L396" t="n">
        <v>0</v>
      </c>
      <c r="M396" t="n">
        <v>0</v>
      </c>
      <c r="N396" t="n">
        <v>0</v>
      </c>
      <c r="O396" t="n">
        <v>0</v>
      </c>
      <c r="P396" t="n">
        <v>0</v>
      </c>
      <c r="Q396" t="n">
        <v>0</v>
      </c>
      <c r="R396" s="2" t="inlineStr"/>
    </row>
    <row r="397" ht="15" customHeight="1">
      <c r="A397" t="inlineStr">
        <is>
          <t>A 6387-2022</t>
        </is>
      </c>
      <c r="B397" s="1" t="n">
        <v>44600</v>
      </c>
      <c r="C397" s="1" t="n">
        <v>46104</v>
      </c>
      <c r="D397" t="inlineStr">
        <is>
          <t>ÖSTERGÖTLANDS LÄN</t>
        </is>
      </c>
      <c r="E397" t="inlineStr">
        <is>
          <t>LINKÖPING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26002-2025</t>
        </is>
      </c>
      <c r="B398" s="1" t="n">
        <v>45804.66534722222</v>
      </c>
      <c r="C398" s="1" t="n">
        <v>46104</v>
      </c>
      <c r="D398" t="inlineStr">
        <is>
          <t>ÖSTERGÖTLANDS LÄN</t>
        </is>
      </c>
      <c r="E398" t="inlineStr">
        <is>
          <t>LINKÖPING</t>
        </is>
      </c>
      <c r="G398" t="n">
        <v>2.5</v>
      </c>
      <c r="H398" t="n">
        <v>0</v>
      </c>
      <c r="I398" t="n">
        <v>0</v>
      </c>
      <c r="J398" t="n">
        <v>0</v>
      </c>
      <c r="K398" t="n">
        <v>0</v>
      </c>
      <c r="L398" t="n">
        <v>0</v>
      </c>
      <c r="M398" t="n">
        <v>0</v>
      </c>
      <c r="N398" t="n">
        <v>0</v>
      </c>
      <c r="O398" t="n">
        <v>0</v>
      </c>
      <c r="P398" t="n">
        <v>0</v>
      </c>
      <c r="Q398" t="n">
        <v>0</v>
      </c>
      <c r="R398" s="2" t="inlineStr"/>
    </row>
    <row r="399" ht="15" customHeight="1">
      <c r="A399" t="inlineStr">
        <is>
          <t>A 48707-2023</t>
        </is>
      </c>
      <c r="B399" s="1" t="n">
        <v>45202</v>
      </c>
      <c r="C399" s="1" t="n">
        <v>46104</v>
      </c>
      <c r="D399" t="inlineStr">
        <is>
          <t>ÖSTERGÖTLANDS LÄN</t>
        </is>
      </c>
      <c r="E399" t="inlineStr">
        <is>
          <t>LINKÖPING</t>
        </is>
      </c>
      <c r="G399" t="n">
        <v>1.6</v>
      </c>
      <c r="H399" t="n">
        <v>0</v>
      </c>
      <c r="I399" t="n">
        <v>0</v>
      </c>
      <c r="J399" t="n">
        <v>0</v>
      </c>
      <c r="K399" t="n">
        <v>0</v>
      </c>
      <c r="L399" t="n">
        <v>0</v>
      </c>
      <c r="M399" t="n">
        <v>0</v>
      </c>
      <c r="N399" t="n">
        <v>0</v>
      </c>
      <c r="O399" t="n">
        <v>0</v>
      </c>
      <c r="P399" t="n">
        <v>0</v>
      </c>
      <c r="Q399" t="n">
        <v>0</v>
      </c>
      <c r="R399" s="2" t="inlineStr"/>
    </row>
    <row r="400" ht="15" customHeight="1">
      <c r="A400" t="inlineStr">
        <is>
          <t>A 11036-2026</t>
        </is>
      </c>
      <c r="B400" s="1" t="n">
        <v>46079.57836805555</v>
      </c>
      <c r="C400" s="1" t="n">
        <v>46104</v>
      </c>
      <c r="D400" t="inlineStr">
        <is>
          <t>ÖSTERGÖTLANDS LÄN</t>
        </is>
      </c>
      <c r="E400" t="inlineStr">
        <is>
          <t>LINKÖPING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3045-2026</t>
        </is>
      </c>
      <c r="B401" s="1" t="n">
        <v>46038.74047453704</v>
      </c>
      <c r="C401" s="1" t="n">
        <v>46104</v>
      </c>
      <c r="D401" t="inlineStr">
        <is>
          <t>ÖSTERGÖTLANDS LÄN</t>
        </is>
      </c>
      <c r="E401" t="inlineStr">
        <is>
          <t>LINKÖPING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11169-2026</t>
        </is>
      </c>
      <c r="B402" s="1" t="n">
        <v>46080.37020833333</v>
      </c>
      <c r="C402" s="1" t="n">
        <v>46104</v>
      </c>
      <c r="D402" t="inlineStr">
        <is>
          <t>ÖSTERGÖTLANDS LÄN</t>
        </is>
      </c>
      <c r="E402" t="inlineStr">
        <is>
          <t>LINKÖPING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52111-2025</t>
        </is>
      </c>
      <c r="B403" s="1" t="n">
        <v>45952.69527777778</v>
      </c>
      <c r="C403" s="1" t="n">
        <v>46104</v>
      </c>
      <c r="D403" t="inlineStr">
        <is>
          <t>ÖSTERGÖTLANDS LÄN</t>
        </is>
      </c>
      <c r="E403" t="inlineStr">
        <is>
          <t>LINKÖPING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3043-2026</t>
        </is>
      </c>
      <c r="B404" s="1" t="n">
        <v>46038.73675925926</v>
      </c>
      <c r="C404" s="1" t="n">
        <v>46104</v>
      </c>
      <c r="D404" t="inlineStr">
        <is>
          <t>ÖSTERGÖTLANDS LÄN</t>
        </is>
      </c>
      <c r="E404" t="inlineStr">
        <is>
          <t>LINKÖPING</t>
        </is>
      </c>
      <c r="G404" t="n">
        <v>2.5</v>
      </c>
      <c r="H404" t="n">
        <v>0</v>
      </c>
      <c r="I404" t="n">
        <v>0</v>
      </c>
      <c r="J404" t="n">
        <v>0</v>
      </c>
      <c r="K404" t="n">
        <v>0</v>
      </c>
      <c r="L404" t="n">
        <v>0</v>
      </c>
      <c r="M404" t="n">
        <v>0</v>
      </c>
      <c r="N404" t="n">
        <v>0</v>
      </c>
      <c r="O404" t="n">
        <v>0</v>
      </c>
      <c r="P404" t="n">
        <v>0</v>
      </c>
      <c r="Q404" t="n">
        <v>0</v>
      </c>
      <c r="R404" s="2" t="inlineStr"/>
    </row>
    <row r="405" ht="15" customHeight="1">
      <c r="A405" t="inlineStr">
        <is>
          <t>A 12089-2025</t>
        </is>
      </c>
      <c r="B405" s="1" t="n">
        <v>45729</v>
      </c>
      <c r="C405" s="1" t="n">
        <v>46104</v>
      </c>
      <c r="D405" t="inlineStr">
        <is>
          <t>ÖSTERGÖTLANDS LÄN</t>
        </is>
      </c>
      <c r="E405" t="inlineStr">
        <is>
          <t>LINKÖPING</t>
        </is>
      </c>
      <c r="G405" t="n">
        <v>1.3</v>
      </c>
      <c r="H405" t="n">
        <v>0</v>
      </c>
      <c r="I405" t="n">
        <v>0</v>
      </c>
      <c r="J405" t="n">
        <v>0</v>
      </c>
      <c r="K405" t="n">
        <v>0</v>
      </c>
      <c r="L405" t="n">
        <v>0</v>
      </c>
      <c r="M405" t="n">
        <v>0</v>
      </c>
      <c r="N405" t="n">
        <v>0</v>
      </c>
      <c r="O405" t="n">
        <v>0</v>
      </c>
      <c r="P405" t="n">
        <v>0</v>
      </c>
      <c r="Q405" t="n">
        <v>0</v>
      </c>
      <c r="R405" s="2" t="inlineStr"/>
    </row>
    <row r="406" ht="15" customHeight="1">
      <c r="A406" t="inlineStr">
        <is>
          <t>A 3044-2026</t>
        </is>
      </c>
      <c r="B406" s="1" t="n">
        <v>46038.73855324074</v>
      </c>
      <c r="C406" s="1" t="n">
        <v>46104</v>
      </c>
      <c r="D406" t="inlineStr">
        <is>
          <t>ÖSTERGÖTLANDS LÄN</t>
        </is>
      </c>
      <c r="E406" t="inlineStr">
        <is>
          <t>LINKÖPING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15658-2023</t>
        </is>
      </c>
      <c r="B407" s="1" t="n">
        <v>45021.41194444444</v>
      </c>
      <c r="C407" s="1" t="n">
        <v>46104</v>
      </c>
      <c r="D407" t="inlineStr">
        <is>
          <t>ÖSTERGÖTLANDS LÄN</t>
        </is>
      </c>
      <c r="E407" t="inlineStr">
        <is>
          <t>LINKÖPING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10764-2026</t>
        </is>
      </c>
      <c r="B408" s="1" t="n">
        <v>46078</v>
      </c>
      <c r="C408" s="1" t="n">
        <v>46104</v>
      </c>
      <c r="D408" t="inlineStr">
        <is>
          <t>ÖSTERGÖTLANDS LÄN</t>
        </is>
      </c>
      <c r="E408" t="inlineStr">
        <is>
          <t>LINKÖPING</t>
        </is>
      </c>
      <c r="G408" t="n">
        <v>1.1</v>
      </c>
      <c r="H408" t="n">
        <v>0</v>
      </c>
      <c r="I408" t="n">
        <v>0</v>
      </c>
      <c r="J408" t="n">
        <v>0</v>
      </c>
      <c r="K408" t="n">
        <v>0</v>
      </c>
      <c r="L408" t="n">
        <v>0</v>
      </c>
      <c r="M408" t="n">
        <v>0</v>
      </c>
      <c r="N408" t="n">
        <v>0</v>
      </c>
      <c r="O408" t="n">
        <v>0</v>
      </c>
      <c r="P408" t="n">
        <v>0</v>
      </c>
      <c r="Q408" t="n">
        <v>0</v>
      </c>
      <c r="R408" s="2" t="inlineStr"/>
    </row>
    <row r="409" ht="15" customHeight="1">
      <c r="A409" t="inlineStr">
        <is>
          <t>A 52740-2025</t>
        </is>
      </c>
      <c r="B409" s="1" t="n">
        <v>45957.37747685185</v>
      </c>
      <c r="C409" s="1" t="n">
        <v>46104</v>
      </c>
      <c r="D409" t="inlineStr">
        <is>
          <t>ÖSTERGÖTLANDS LÄN</t>
        </is>
      </c>
      <c r="E409" t="inlineStr">
        <is>
          <t>LINKÖPING</t>
        </is>
      </c>
      <c r="G409" t="n">
        <v>3.7</v>
      </c>
      <c r="H409" t="n">
        <v>0</v>
      </c>
      <c r="I409" t="n">
        <v>0</v>
      </c>
      <c r="J409" t="n">
        <v>0</v>
      </c>
      <c r="K409" t="n">
        <v>0</v>
      </c>
      <c r="L409" t="n">
        <v>0</v>
      </c>
      <c r="M409" t="n">
        <v>0</v>
      </c>
      <c r="N409" t="n">
        <v>0</v>
      </c>
      <c r="O409" t="n">
        <v>0</v>
      </c>
      <c r="P409" t="n">
        <v>0</v>
      </c>
      <c r="Q409" t="n">
        <v>0</v>
      </c>
      <c r="R409" s="2" t="inlineStr"/>
    </row>
    <row r="410" ht="15" customHeight="1">
      <c r="A410" t="inlineStr">
        <is>
          <t>A 51583-2024</t>
        </is>
      </c>
      <c r="B410" s="1" t="n">
        <v>45604.6397337963</v>
      </c>
      <c r="C410" s="1" t="n">
        <v>46104</v>
      </c>
      <c r="D410" t="inlineStr">
        <is>
          <t>ÖSTERGÖTLANDS LÄN</t>
        </is>
      </c>
      <c r="E410" t="inlineStr">
        <is>
          <t>LINKÖPING</t>
        </is>
      </c>
      <c r="F410" t="inlineStr">
        <is>
          <t>Övriga Aktiebolag</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3046-2026</t>
        </is>
      </c>
      <c r="B411" s="1" t="n">
        <v>46038.74182870371</v>
      </c>
      <c r="C411" s="1" t="n">
        <v>46104</v>
      </c>
      <c r="D411" t="inlineStr">
        <is>
          <t>ÖSTERGÖTLANDS LÄN</t>
        </is>
      </c>
      <c r="E411" t="inlineStr">
        <is>
          <t>LINKÖPING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64694-2023</t>
        </is>
      </c>
      <c r="B412" s="1" t="n">
        <v>45281</v>
      </c>
      <c r="C412" s="1" t="n">
        <v>46104</v>
      </c>
      <c r="D412" t="inlineStr">
        <is>
          <t>ÖSTERGÖTLANDS LÄN</t>
        </is>
      </c>
      <c r="E412" t="inlineStr">
        <is>
          <t>LINKÖPING</t>
        </is>
      </c>
      <c r="F412" t="inlineStr">
        <is>
          <t>Övriga statliga verk och myndigheter</t>
        </is>
      </c>
      <c r="G412" t="n">
        <v>4.9</v>
      </c>
      <c r="H412" t="n">
        <v>0</v>
      </c>
      <c r="I412" t="n">
        <v>0</v>
      </c>
      <c r="J412" t="n">
        <v>0</v>
      </c>
      <c r="K412" t="n">
        <v>0</v>
      </c>
      <c r="L412" t="n">
        <v>0</v>
      </c>
      <c r="M412" t="n">
        <v>0</v>
      </c>
      <c r="N412" t="n">
        <v>0</v>
      </c>
      <c r="O412" t="n">
        <v>0</v>
      </c>
      <c r="P412" t="n">
        <v>0</v>
      </c>
      <c r="Q412" t="n">
        <v>0</v>
      </c>
      <c r="R412" s="2" t="inlineStr"/>
    </row>
    <row r="413" ht="15" customHeight="1">
      <c r="A413" t="inlineStr">
        <is>
          <t>A 11888-2026</t>
        </is>
      </c>
      <c r="B413" s="1" t="n">
        <v>46085.51813657407</v>
      </c>
      <c r="C413" s="1" t="n">
        <v>46104</v>
      </c>
      <c r="D413" t="inlineStr">
        <is>
          <t>ÖSTERGÖTLANDS LÄN</t>
        </is>
      </c>
      <c r="E413" t="inlineStr">
        <is>
          <t>LINKÖPING</t>
        </is>
      </c>
      <c r="G413" t="n">
        <v>3.6</v>
      </c>
      <c r="H413" t="n">
        <v>0</v>
      </c>
      <c r="I413" t="n">
        <v>0</v>
      </c>
      <c r="J413" t="n">
        <v>0</v>
      </c>
      <c r="K413" t="n">
        <v>0</v>
      </c>
      <c r="L413" t="n">
        <v>0</v>
      </c>
      <c r="M413" t="n">
        <v>0</v>
      </c>
      <c r="N413" t="n">
        <v>0</v>
      </c>
      <c r="O413" t="n">
        <v>0</v>
      </c>
      <c r="P413" t="n">
        <v>0</v>
      </c>
      <c r="Q413" t="n">
        <v>0</v>
      </c>
      <c r="R413" s="2" t="inlineStr"/>
    </row>
    <row r="414" ht="15" customHeight="1">
      <c r="A414" t="inlineStr">
        <is>
          <t>A 32602-2022</t>
        </is>
      </c>
      <c r="B414" s="1" t="n">
        <v>44783.43192129629</v>
      </c>
      <c r="C414" s="1" t="n">
        <v>46104</v>
      </c>
      <c r="D414" t="inlineStr">
        <is>
          <t>ÖSTERGÖTLANDS LÄN</t>
        </is>
      </c>
      <c r="E414" t="inlineStr">
        <is>
          <t>LINKÖPING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52800-2025</t>
        </is>
      </c>
      <c r="B415" s="1" t="n">
        <v>45957.44152777778</v>
      </c>
      <c r="C415" s="1" t="n">
        <v>46104</v>
      </c>
      <c r="D415" t="inlineStr">
        <is>
          <t>ÖSTERGÖTLANDS LÄN</t>
        </is>
      </c>
      <c r="E415" t="inlineStr">
        <is>
          <t>LINKÖPING</t>
        </is>
      </c>
      <c r="G415" t="n">
        <v>2.5</v>
      </c>
      <c r="H415" t="n">
        <v>0</v>
      </c>
      <c r="I415" t="n">
        <v>0</v>
      </c>
      <c r="J415" t="n">
        <v>0</v>
      </c>
      <c r="K415" t="n">
        <v>0</v>
      </c>
      <c r="L415" t="n">
        <v>0</v>
      </c>
      <c r="M415" t="n">
        <v>0</v>
      </c>
      <c r="N415" t="n">
        <v>0</v>
      </c>
      <c r="O415" t="n">
        <v>0</v>
      </c>
      <c r="P415" t="n">
        <v>0</v>
      </c>
      <c r="Q415" t="n">
        <v>0</v>
      </c>
      <c r="R415" s="2" t="inlineStr"/>
    </row>
    <row r="416" ht="15" customHeight="1">
      <c r="A416" t="inlineStr">
        <is>
          <t>A 52802-2025</t>
        </is>
      </c>
      <c r="B416" s="1" t="n">
        <v>45957.44295138889</v>
      </c>
      <c r="C416" s="1" t="n">
        <v>46104</v>
      </c>
      <c r="D416" t="inlineStr">
        <is>
          <t>ÖSTERGÖTLANDS LÄN</t>
        </is>
      </c>
      <c r="E416" t="inlineStr">
        <is>
          <t>LINKÖPING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52743-2025</t>
        </is>
      </c>
      <c r="B417" s="1" t="n">
        <v>45957.38039351852</v>
      </c>
      <c r="C417" s="1" t="n">
        <v>46104</v>
      </c>
      <c r="D417" t="inlineStr">
        <is>
          <t>ÖSTERGÖTLANDS LÄN</t>
        </is>
      </c>
      <c r="E417" t="inlineStr">
        <is>
          <t>LINKÖPING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52807-2025</t>
        </is>
      </c>
      <c r="B418" s="1" t="n">
        <v>45957.44837962963</v>
      </c>
      <c r="C418" s="1" t="n">
        <v>46104</v>
      </c>
      <c r="D418" t="inlineStr">
        <is>
          <t>ÖSTERGÖTLANDS LÄN</t>
        </is>
      </c>
      <c r="E418" t="inlineStr">
        <is>
          <t>LINKÖPING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62321-2022</t>
        </is>
      </c>
      <c r="B419" s="1" t="n">
        <v>44916</v>
      </c>
      <c r="C419" s="1" t="n">
        <v>46104</v>
      </c>
      <c r="D419" t="inlineStr">
        <is>
          <t>ÖSTERGÖTLANDS LÄN</t>
        </is>
      </c>
      <c r="E419" t="inlineStr">
        <is>
          <t>LINKÖPING</t>
        </is>
      </c>
      <c r="F419" t="inlineStr">
        <is>
          <t>Kommuner</t>
        </is>
      </c>
      <c r="G419" t="n">
        <v>5.3</v>
      </c>
      <c r="H419" t="n">
        <v>0</v>
      </c>
      <c r="I419" t="n">
        <v>0</v>
      </c>
      <c r="J419" t="n">
        <v>0</v>
      </c>
      <c r="K419" t="n">
        <v>0</v>
      </c>
      <c r="L419" t="n">
        <v>0</v>
      </c>
      <c r="M419" t="n">
        <v>0</v>
      </c>
      <c r="N419" t="n">
        <v>0</v>
      </c>
      <c r="O419" t="n">
        <v>0</v>
      </c>
      <c r="P419" t="n">
        <v>0</v>
      </c>
      <c r="Q419" t="n">
        <v>0</v>
      </c>
      <c r="R419" s="2" t="inlineStr"/>
    </row>
    <row r="420" ht="15" customHeight="1">
      <c r="A420" t="inlineStr">
        <is>
          <t>A 1084-2023</t>
        </is>
      </c>
      <c r="B420" s="1" t="n">
        <v>44929</v>
      </c>
      <c r="C420" s="1" t="n">
        <v>46104</v>
      </c>
      <c r="D420" t="inlineStr">
        <is>
          <t>ÖSTERGÖTLANDS LÄN</t>
        </is>
      </c>
      <c r="E420" t="inlineStr">
        <is>
          <t>LINKÖPING</t>
        </is>
      </c>
      <c r="G420" t="n">
        <v>10.4</v>
      </c>
      <c r="H420" t="n">
        <v>0</v>
      </c>
      <c r="I420" t="n">
        <v>0</v>
      </c>
      <c r="J420" t="n">
        <v>0</v>
      </c>
      <c r="K420" t="n">
        <v>0</v>
      </c>
      <c r="L420" t="n">
        <v>0</v>
      </c>
      <c r="M420" t="n">
        <v>0</v>
      </c>
      <c r="N420" t="n">
        <v>0</v>
      </c>
      <c r="O420" t="n">
        <v>0</v>
      </c>
      <c r="P420" t="n">
        <v>0</v>
      </c>
      <c r="Q420" t="n">
        <v>0</v>
      </c>
      <c r="R420" s="2" t="inlineStr"/>
    </row>
    <row r="421" ht="15" customHeight="1">
      <c r="A421" t="inlineStr">
        <is>
          <t>A 267-2023</t>
        </is>
      </c>
      <c r="B421" s="1" t="n">
        <v>44928.80907407407</v>
      </c>
      <c r="C421" s="1" t="n">
        <v>46104</v>
      </c>
      <c r="D421" t="inlineStr">
        <is>
          <t>ÖSTERGÖTLANDS LÄN</t>
        </is>
      </c>
      <c r="E421" t="inlineStr">
        <is>
          <t>LINKÖPING</t>
        </is>
      </c>
      <c r="G421" t="n">
        <v>2.7</v>
      </c>
      <c r="H421" t="n">
        <v>0</v>
      </c>
      <c r="I421" t="n">
        <v>0</v>
      </c>
      <c r="J421" t="n">
        <v>0</v>
      </c>
      <c r="K421" t="n">
        <v>0</v>
      </c>
      <c r="L421" t="n">
        <v>0</v>
      </c>
      <c r="M421" t="n">
        <v>0</v>
      </c>
      <c r="N421" t="n">
        <v>0</v>
      </c>
      <c r="O421" t="n">
        <v>0</v>
      </c>
      <c r="P421" t="n">
        <v>0</v>
      </c>
      <c r="Q421" t="n">
        <v>0</v>
      </c>
      <c r="R421" s="2" t="inlineStr"/>
    </row>
    <row r="422" ht="15" customHeight="1">
      <c r="A422" t="inlineStr">
        <is>
          <t>A 940-2023</t>
        </is>
      </c>
      <c r="B422" s="1" t="n">
        <v>44933</v>
      </c>
      <c r="C422" s="1" t="n">
        <v>46104</v>
      </c>
      <c r="D422" t="inlineStr">
        <is>
          <t>ÖSTERGÖTLANDS LÄN</t>
        </is>
      </c>
      <c r="E422" t="inlineStr">
        <is>
          <t>LINKÖPING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11891-2026</t>
        </is>
      </c>
      <c r="B423" s="1" t="n">
        <v>46085.5197800926</v>
      </c>
      <c r="C423" s="1" t="n">
        <v>46104</v>
      </c>
      <c r="D423" t="inlineStr">
        <is>
          <t>ÖSTERGÖTLANDS LÄN</t>
        </is>
      </c>
      <c r="E423" t="inlineStr">
        <is>
          <t>LINKÖPING</t>
        </is>
      </c>
      <c r="G423" t="n">
        <v>2.8</v>
      </c>
      <c r="H423" t="n">
        <v>0</v>
      </c>
      <c r="I423" t="n">
        <v>0</v>
      </c>
      <c r="J423" t="n">
        <v>0</v>
      </c>
      <c r="K423" t="n">
        <v>0</v>
      </c>
      <c r="L423" t="n">
        <v>0</v>
      </c>
      <c r="M423" t="n">
        <v>0</v>
      </c>
      <c r="N423" t="n">
        <v>0</v>
      </c>
      <c r="O423" t="n">
        <v>0</v>
      </c>
      <c r="P423" t="n">
        <v>0</v>
      </c>
      <c r="Q423" t="n">
        <v>0</v>
      </c>
      <c r="R423" s="2" t="inlineStr"/>
    </row>
    <row r="424" ht="15" customHeight="1">
      <c r="A424" t="inlineStr">
        <is>
          <t>A 6369-2023</t>
        </is>
      </c>
      <c r="B424" s="1" t="n">
        <v>44965.61106481482</v>
      </c>
      <c r="C424" s="1" t="n">
        <v>46104</v>
      </c>
      <c r="D424" t="inlineStr">
        <is>
          <t>ÖSTERGÖTLANDS LÄN</t>
        </is>
      </c>
      <c r="E424" t="inlineStr">
        <is>
          <t>LINKÖPING</t>
        </is>
      </c>
      <c r="G424" t="n">
        <v>4</v>
      </c>
      <c r="H424" t="n">
        <v>0</v>
      </c>
      <c r="I424" t="n">
        <v>0</v>
      </c>
      <c r="J424" t="n">
        <v>0</v>
      </c>
      <c r="K424" t="n">
        <v>0</v>
      </c>
      <c r="L424" t="n">
        <v>0</v>
      </c>
      <c r="M424" t="n">
        <v>0</v>
      </c>
      <c r="N424" t="n">
        <v>0</v>
      </c>
      <c r="O424" t="n">
        <v>0</v>
      </c>
      <c r="P424" t="n">
        <v>0</v>
      </c>
      <c r="Q424" t="n">
        <v>0</v>
      </c>
      <c r="R424" s="2" t="inlineStr"/>
    </row>
    <row r="425" ht="15" customHeight="1">
      <c r="A425" t="inlineStr">
        <is>
          <t>A 30980-2022</t>
        </is>
      </c>
      <c r="B425" s="1" t="n">
        <v>44768</v>
      </c>
      <c r="C425" s="1" t="n">
        <v>46104</v>
      </c>
      <c r="D425" t="inlineStr">
        <is>
          <t>ÖSTERGÖTLANDS LÄN</t>
        </is>
      </c>
      <c r="E425" t="inlineStr">
        <is>
          <t>LINKÖPING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60007-2022</t>
        </is>
      </c>
      <c r="B426" s="1" t="n">
        <v>44909.47282407407</v>
      </c>
      <c r="C426" s="1" t="n">
        <v>46104</v>
      </c>
      <c r="D426" t="inlineStr">
        <is>
          <t>ÖSTERGÖTLANDS LÄN</t>
        </is>
      </c>
      <c r="E426" t="inlineStr">
        <is>
          <t>LINKÖPING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50799-2022</t>
        </is>
      </c>
      <c r="B427" s="1" t="n">
        <v>44862</v>
      </c>
      <c r="C427" s="1" t="n">
        <v>46104</v>
      </c>
      <c r="D427" t="inlineStr">
        <is>
          <t>ÖSTERGÖTLANDS LÄN</t>
        </is>
      </c>
      <c r="E427" t="inlineStr">
        <is>
          <t>LINKÖPING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56064-2022</t>
        </is>
      </c>
      <c r="B428" s="1" t="n">
        <v>44889.59107638889</v>
      </c>
      <c r="C428" s="1" t="n">
        <v>46104</v>
      </c>
      <c r="D428" t="inlineStr">
        <is>
          <t>ÖSTERGÖTLANDS LÄN</t>
        </is>
      </c>
      <c r="E428" t="inlineStr">
        <is>
          <t>LINKÖPING</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54332-2025</t>
        </is>
      </c>
      <c r="B429" s="1" t="n">
        <v>45965.34915509259</v>
      </c>
      <c r="C429" s="1" t="n">
        <v>46104</v>
      </c>
      <c r="D429" t="inlineStr">
        <is>
          <t>ÖSTERGÖTLANDS LÄN</t>
        </is>
      </c>
      <c r="E429" t="inlineStr">
        <is>
          <t>LINKÖPING</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47703-2023</t>
        </is>
      </c>
      <c r="B430" s="1" t="n">
        <v>45203</v>
      </c>
      <c r="C430" s="1" t="n">
        <v>46104</v>
      </c>
      <c r="D430" t="inlineStr">
        <is>
          <t>ÖSTERGÖTLANDS LÄN</t>
        </is>
      </c>
      <c r="E430" t="inlineStr">
        <is>
          <t>LINKÖPING</t>
        </is>
      </c>
      <c r="G430" t="n">
        <v>4.1</v>
      </c>
      <c r="H430" t="n">
        <v>0</v>
      </c>
      <c r="I430" t="n">
        <v>0</v>
      </c>
      <c r="J430" t="n">
        <v>0</v>
      </c>
      <c r="K430" t="n">
        <v>0</v>
      </c>
      <c r="L430" t="n">
        <v>0</v>
      </c>
      <c r="M430" t="n">
        <v>0</v>
      </c>
      <c r="N430" t="n">
        <v>0</v>
      </c>
      <c r="O430" t="n">
        <v>0</v>
      </c>
      <c r="P430" t="n">
        <v>0</v>
      </c>
      <c r="Q430" t="n">
        <v>0</v>
      </c>
      <c r="R430" s="2" t="inlineStr"/>
    </row>
    <row r="431" ht="15" customHeight="1">
      <c r="A431" t="inlineStr">
        <is>
          <t>A 12251-2026</t>
        </is>
      </c>
      <c r="B431" s="1" t="n">
        <v>46087.45278935185</v>
      </c>
      <c r="C431" s="1" t="n">
        <v>46104</v>
      </c>
      <c r="D431" t="inlineStr">
        <is>
          <t>ÖSTERGÖTLANDS LÄN</t>
        </is>
      </c>
      <c r="E431" t="inlineStr">
        <is>
          <t>LINKÖPING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12254-2026</t>
        </is>
      </c>
      <c r="B432" s="1" t="n">
        <v>46087.46196759259</v>
      </c>
      <c r="C432" s="1" t="n">
        <v>46104</v>
      </c>
      <c r="D432" t="inlineStr">
        <is>
          <t>ÖSTERGÖTLANDS LÄN</t>
        </is>
      </c>
      <c r="E432" t="inlineStr">
        <is>
          <t>LINKÖPING</t>
        </is>
      </c>
      <c r="G432" t="n">
        <v>10.4</v>
      </c>
      <c r="H432" t="n">
        <v>0</v>
      </c>
      <c r="I432" t="n">
        <v>0</v>
      </c>
      <c r="J432" t="n">
        <v>0</v>
      </c>
      <c r="K432" t="n">
        <v>0</v>
      </c>
      <c r="L432" t="n">
        <v>0</v>
      </c>
      <c r="M432" t="n">
        <v>0</v>
      </c>
      <c r="N432" t="n">
        <v>0</v>
      </c>
      <c r="O432" t="n">
        <v>0</v>
      </c>
      <c r="P432" t="n">
        <v>0</v>
      </c>
      <c r="Q432" t="n">
        <v>0</v>
      </c>
      <c r="R432" s="2" t="inlineStr"/>
    </row>
    <row r="433" ht="15" customHeight="1">
      <c r="A433" t="inlineStr">
        <is>
          <t>A 54329-2025</t>
        </is>
      </c>
      <c r="B433" s="1" t="n">
        <v>45965.34706018519</v>
      </c>
      <c r="C433" s="1" t="n">
        <v>46104</v>
      </c>
      <c r="D433" t="inlineStr">
        <is>
          <t>ÖSTERGÖTLANDS LÄN</t>
        </is>
      </c>
      <c r="E433" t="inlineStr">
        <is>
          <t>LINKÖPING</t>
        </is>
      </c>
      <c r="F433" t="inlineStr">
        <is>
          <t>Sveaskog</t>
        </is>
      </c>
      <c r="G433" t="n">
        <v>5.1</v>
      </c>
      <c r="H433" t="n">
        <v>0</v>
      </c>
      <c r="I433" t="n">
        <v>0</v>
      </c>
      <c r="J433" t="n">
        <v>0</v>
      </c>
      <c r="K433" t="n">
        <v>0</v>
      </c>
      <c r="L433" t="n">
        <v>0</v>
      </c>
      <c r="M433" t="n">
        <v>0</v>
      </c>
      <c r="N433" t="n">
        <v>0</v>
      </c>
      <c r="O433" t="n">
        <v>0</v>
      </c>
      <c r="P433" t="n">
        <v>0</v>
      </c>
      <c r="Q433" t="n">
        <v>0</v>
      </c>
      <c r="R433" s="2" t="inlineStr"/>
    </row>
    <row r="434" ht="15" customHeight="1">
      <c r="A434" t="inlineStr">
        <is>
          <t>A 4469-2026</t>
        </is>
      </c>
      <c r="B434" s="1" t="n">
        <v>46045.65662037037</v>
      </c>
      <c r="C434" s="1" t="n">
        <v>46104</v>
      </c>
      <c r="D434" t="inlineStr">
        <is>
          <t>ÖSTERGÖTLANDS LÄN</t>
        </is>
      </c>
      <c r="E434" t="inlineStr">
        <is>
          <t>LINKÖPING</t>
        </is>
      </c>
      <c r="F434" t="inlineStr">
        <is>
          <t>Övriga Aktiebolag</t>
        </is>
      </c>
      <c r="G434" t="n">
        <v>3.8</v>
      </c>
      <c r="H434" t="n">
        <v>0</v>
      </c>
      <c r="I434" t="n">
        <v>0</v>
      </c>
      <c r="J434" t="n">
        <v>0</v>
      </c>
      <c r="K434" t="n">
        <v>0</v>
      </c>
      <c r="L434" t="n">
        <v>0</v>
      </c>
      <c r="M434" t="n">
        <v>0</v>
      </c>
      <c r="N434" t="n">
        <v>0</v>
      </c>
      <c r="O434" t="n">
        <v>0</v>
      </c>
      <c r="P434" t="n">
        <v>0</v>
      </c>
      <c r="Q434" t="n">
        <v>0</v>
      </c>
      <c r="R434" s="2" t="inlineStr"/>
    </row>
    <row r="435" ht="15" customHeight="1">
      <c r="A435" t="inlineStr">
        <is>
          <t>A 16111-2022</t>
        </is>
      </c>
      <c r="B435" s="1" t="n">
        <v>44665</v>
      </c>
      <c r="C435" s="1" t="n">
        <v>46104</v>
      </c>
      <c r="D435" t="inlineStr">
        <is>
          <t>ÖSTERGÖTLANDS LÄN</t>
        </is>
      </c>
      <c r="E435" t="inlineStr">
        <is>
          <t>LINKÖPING</t>
        </is>
      </c>
      <c r="F435" t="inlineStr">
        <is>
          <t>Övriga Aktiebolag</t>
        </is>
      </c>
      <c r="G435" t="n">
        <v>2.9</v>
      </c>
      <c r="H435" t="n">
        <v>0</v>
      </c>
      <c r="I435" t="n">
        <v>0</v>
      </c>
      <c r="J435" t="n">
        <v>0</v>
      </c>
      <c r="K435" t="n">
        <v>0</v>
      </c>
      <c r="L435" t="n">
        <v>0</v>
      </c>
      <c r="M435" t="n">
        <v>0</v>
      </c>
      <c r="N435" t="n">
        <v>0</v>
      </c>
      <c r="O435" t="n">
        <v>0</v>
      </c>
      <c r="P435" t="n">
        <v>0</v>
      </c>
      <c r="Q435" t="n">
        <v>0</v>
      </c>
      <c r="R435" s="2" t="inlineStr"/>
    </row>
    <row r="436" ht="15" customHeight="1">
      <c r="A436" t="inlineStr">
        <is>
          <t>A 12247-2026</t>
        </is>
      </c>
      <c r="B436" s="1" t="n">
        <v>46087.44436342592</v>
      </c>
      <c r="C436" s="1" t="n">
        <v>46104</v>
      </c>
      <c r="D436" t="inlineStr">
        <is>
          <t>ÖSTERGÖTLANDS LÄN</t>
        </is>
      </c>
      <c r="E436" t="inlineStr">
        <is>
          <t>LINKÖPING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12255-2026</t>
        </is>
      </c>
      <c r="B437" s="1" t="n">
        <v>46087.46630787037</v>
      </c>
      <c r="C437" s="1" t="n">
        <v>46104</v>
      </c>
      <c r="D437" t="inlineStr">
        <is>
          <t>ÖSTERGÖTLANDS LÄN</t>
        </is>
      </c>
      <c r="E437" t="inlineStr">
        <is>
          <t>LINKÖPING</t>
        </is>
      </c>
      <c r="F437" t="inlineStr">
        <is>
          <t>Övriga Aktiebolag</t>
        </is>
      </c>
      <c r="G437" t="n">
        <v>3.2</v>
      </c>
      <c r="H437" t="n">
        <v>0</v>
      </c>
      <c r="I437" t="n">
        <v>0</v>
      </c>
      <c r="J437" t="n">
        <v>0</v>
      </c>
      <c r="K437" t="n">
        <v>0</v>
      </c>
      <c r="L437" t="n">
        <v>0</v>
      </c>
      <c r="M437" t="n">
        <v>0</v>
      </c>
      <c r="N437" t="n">
        <v>0</v>
      </c>
      <c r="O437" t="n">
        <v>0</v>
      </c>
      <c r="P437" t="n">
        <v>0</v>
      </c>
      <c r="Q437" t="n">
        <v>0</v>
      </c>
      <c r="R437" s="2" t="inlineStr"/>
    </row>
    <row r="438" ht="15" customHeight="1">
      <c r="A438" t="inlineStr">
        <is>
          <t>A 48962-2022</t>
        </is>
      </c>
      <c r="B438" s="1" t="n">
        <v>44860.31635416667</v>
      </c>
      <c r="C438" s="1" t="n">
        <v>46104</v>
      </c>
      <c r="D438" t="inlineStr">
        <is>
          <t>ÖSTERGÖTLANDS LÄN</t>
        </is>
      </c>
      <c r="E438" t="inlineStr">
        <is>
          <t>LINKÖPING</t>
        </is>
      </c>
      <c r="G438" t="n">
        <v>2.9</v>
      </c>
      <c r="H438" t="n">
        <v>0</v>
      </c>
      <c r="I438" t="n">
        <v>0</v>
      </c>
      <c r="J438" t="n">
        <v>0</v>
      </c>
      <c r="K438" t="n">
        <v>0</v>
      </c>
      <c r="L438" t="n">
        <v>0</v>
      </c>
      <c r="M438" t="n">
        <v>0</v>
      </c>
      <c r="N438" t="n">
        <v>0</v>
      </c>
      <c r="O438" t="n">
        <v>0</v>
      </c>
      <c r="P438" t="n">
        <v>0</v>
      </c>
      <c r="Q438" t="n">
        <v>0</v>
      </c>
      <c r="R438" s="2" t="inlineStr"/>
    </row>
    <row r="439" ht="15" customHeight="1">
      <c r="A439" t="inlineStr">
        <is>
          <t>A 54333-2025</t>
        </is>
      </c>
      <c r="B439" s="1" t="n">
        <v>45965.35090277778</v>
      </c>
      <c r="C439" s="1" t="n">
        <v>46104</v>
      </c>
      <c r="D439" t="inlineStr">
        <is>
          <t>ÖSTERGÖTLANDS LÄN</t>
        </is>
      </c>
      <c r="E439" t="inlineStr">
        <is>
          <t>LINKÖPING</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27891-2021</t>
        </is>
      </c>
      <c r="B440" s="1" t="n">
        <v>44354.65108796296</v>
      </c>
      <c r="C440" s="1" t="n">
        <v>46104</v>
      </c>
      <c r="D440" t="inlineStr">
        <is>
          <t>ÖSTERGÖTLANDS LÄN</t>
        </is>
      </c>
      <c r="E440" t="inlineStr">
        <is>
          <t>LINKÖPING</t>
        </is>
      </c>
      <c r="G440" t="n">
        <v>1.8</v>
      </c>
      <c r="H440" t="n">
        <v>0</v>
      </c>
      <c r="I440" t="n">
        <v>0</v>
      </c>
      <c r="J440" t="n">
        <v>0</v>
      </c>
      <c r="K440" t="n">
        <v>0</v>
      </c>
      <c r="L440" t="n">
        <v>0</v>
      </c>
      <c r="M440" t="n">
        <v>0</v>
      </c>
      <c r="N440" t="n">
        <v>0</v>
      </c>
      <c r="O440" t="n">
        <v>0</v>
      </c>
      <c r="P440" t="n">
        <v>0</v>
      </c>
      <c r="Q440" t="n">
        <v>0</v>
      </c>
      <c r="R440" s="2" t="inlineStr"/>
    </row>
    <row r="441" ht="15" customHeight="1">
      <c r="A441" t="inlineStr">
        <is>
          <t>A 38886-2024</t>
        </is>
      </c>
      <c r="B441" s="1" t="n">
        <v>45547.66443287037</v>
      </c>
      <c r="C441" s="1" t="n">
        <v>46104</v>
      </c>
      <c r="D441" t="inlineStr">
        <is>
          <t>ÖSTERGÖTLANDS LÄN</t>
        </is>
      </c>
      <c r="E441" t="inlineStr">
        <is>
          <t>LINKÖPING</t>
        </is>
      </c>
      <c r="G441" t="n">
        <v>5.3</v>
      </c>
      <c r="H441" t="n">
        <v>0</v>
      </c>
      <c r="I441" t="n">
        <v>0</v>
      </c>
      <c r="J441" t="n">
        <v>0</v>
      </c>
      <c r="K441" t="n">
        <v>0</v>
      </c>
      <c r="L441" t="n">
        <v>0</v>
      </c>
      <c r="M441" t="n">
        <v>0</v>
      </c>
      <c r="N441" t="n">
        <v>0</v>
      </c>
      <c r="O441" t="n">
        <v>0</v>
      </c>
      <c r="P441" t="n">
        <v>0</v>
      </c>
      <c r="Q441" t="n">
        <v>0</v>
      </c>
      <c r="R441" s="2" t="inlineStr"/>
    </row>
    <row r="442" ht="15" customHeight="1">
      <c r="A442" t="inlineStr">
        <is>
          <t>A 12486-2026</t>
        </is>
      </c>
      <c r="B442" s="1" t="n">
        <v>46090.56501157407</v>
      </c>
      <c r="C442" s="1" t="n">
        <v>46104</v>
      </c>
      <c r="D442" t="inlineStr">
        <is>
          <t>ÖSTERGÖTLANDS LÄN</t>
        </is>
      </c>
      <c r="E442" t="inlineStr">
        <is>
          <t>LINKÖPING</t>
        </is>
      </c>
      <c r="G442" t="n">
        <v>2.6</v>
      </c>
      <c r="H442" t="n">
        <v>0</v>
      </c>
      <c r="I442" t="n">
        <v>0</v>
      </c>
      <c r="J442" t="n">
        <v>0</v>
      </c>
      <c r="K442" t="n">
        <v>0</v>
      </c>
      <c r="L442" t="n">
        <v>0</v>
      </c>
      <c r="M442" t="n">
        <v>0</v>
      </c>
      <c r="N442" t="n">
        <v>0</v>
      </c>
      <c r="O442" t="n">
        <v>0</v>
      </c>
      <c r="P442" t="n">
        <v>0</v>
      </c>
      <c r="Q442" t="n">
        <v>0</v>
      </c>
      <c r="R442" s="2" t="inlineStr"/>
    </row>
    <row r="443" ht="15" customHeight="1">
      <c r="A443" t="inlineStr">
        <is>
          <t>A 1268-2023</t>
        </is>
      </c>
      <c r="B443" s="1" t="n">
        <v>44936</v>
      </c>
      <c r="C443" s="1" t="n">
        <v>46104</v>
      </c>
      <c r="D443" t="inlineStr">
        <is>
          <t>ÖSTERGÖTLANDS LÄN</t>
        </is>
      </c>
      <c r="E443" t="inlineStr">
        <is>
          <t>LINKÖPING</t>
        </is>
      </c>
      <c r="G443" t="n">
        <v>4.6</v>
      </c>
      <c r="H443" t="n">
        <v>0</v>
      </c>
      <c r="I443" t="n">
        <v>0</v>
      </c>
      <c r="J443" t="n">
        <v>0</v>
      </c>
      <c r="K443" t="n">
        <v>0</v>
      </c>
      <c r="L443" t="n">
        <v>0</v>
      </c>
      <c r="M443" t="n">
        <v>0</v>
      </c>
      <c r="N443" t="n">
        <v>0</v>
      </c>
      <c r="O443" t="n">
        <v>0</v>
      </c>
      <c r="P443" t="n">
        <v>0</v>
      </c>
      <c r="Q443" t="n">
        <v>0</v>
      </c>
      <c r="R443" s="2" t="inlineStr"/>
    </row>
    <row r="444" ht="15" customHeight="1">
      <c r="A444" t="inlineStr">
        <is>
          <t>A 10477-2026</t>
        </is>
      </c>
      <c r="B444" s="1" t="n">
        <v>46077.4871875</v>
      </c>
      <c r="C444" s="1" t="n">
        <v>46104</v>
      </c>
      <c r="D444" t="inlineStr">
        <is>
          <t>ÖSTERGÖTLANDS LÄN</t>
        </is>
      </c>
      <c r="E444" t="inlineStr">
        <is>
          <t>LINKÖPING</t>
        </is>
      </c>
      <c r="G444" t="n">
        <v>9.6</v>
      </c>
      <c r="H444" t="n">
        <v>0</v>
      </c>
      <c r="I444" t="n">
        <v>0</v>
      </c>
      <c r="J444" t="n">
        <v>0</v>
      </c>
      <c r="K444" t="n">
        <v>0</v>
      </c>
      <c r="L444" t="n">
        <v>0</v>
      </c>
      <c r="M444" t="n">
        <v>0</v>
      </c>
      <c r="N444" t="n">
        <v>0</v>
      </c>
      <c r="O444" t="n">
        <v>0</v>
      </c>
      <c r="P444" t="n">
        <v>0</v>
      </c>
      <c r="Q444" t="n">
        <v>0</v>
      </c>
      <c r="R444" s="2" t="inlineStr"/>
    </row>
    <row r="445" ht="15" customHeight="1">
      <c r="A445" t="inlineStr">
        <is>
          <t>A 62687-2023</t>
        </is>
      </c>
      <c r="B445" s="1" t="n">
        <v>45271</v>
      </c>
      <c r="C445" s="1" t="n">
        <v>46104</v>
      </c>
      <c r="D445" t="inlineStr">
        <is>
          <t>ÖSTERGÖTLANDS LÄN</t>
        </is>
      </c>
      <c r="E445" t="inlineStr">
        <is>
          <t>LINKÖPING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34641-2022</t>
        </is>
      </c>
      <c r="B446" s="1" t="n">
        <v>44795</v>
      </c>
      <c r="C446" s="1" t="n">
        <v>46104</v>
      </c>
      <c r="D446" t="inlineStr">
        <is>
          <t>ÖSTERGÖTLANDS LÄN</t>
        </is>
      </c>
      <c r="E446" t="inlineStr">
        <is>
          <t>LINKÖPING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55102-2025</t>
        </is>
      </c>
      <c r="B447" s="1" t="n">
        <v>45968.35410879629</v>
      </c>
      <c r="C447" s="1" t="n">
        <v>46104</v>
      </c>
      <c r="D447" t="inlineStr">
        <is>
          <t>ÖSTERGÖTLANDS LÄN</t>
        </is>
      </c>
      <c r="E447" t="inlineStr">
        <is>
          <t>LINKÖPING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55132-2025</t>
        </is>
      </c>
      <c r="B448" s="1" t="n">
        <v>45968.41912037037</v>
      </c>
      <c r="C448" s="1" t="n">
        <v>46104</v>
      </c>
      <c r="D448" t="inlineStr">
        <is>
          <t>ÖSTERGÖTLANDS LÄN</t>
        </is>
      </c>
      <c r="E448" t="inlineStr">
        <is>
          <t>LINKÖPING</t>
        </is>
      </c>
      <c r="G448" t="n">
        <v>2.4</v>
      </c>
      <c r="H448" t="n">
        <v>0</v>
      </c>
      <c r="I448" t="n">
        <v>0</v>
      </c>
      <c r="J448" t="n">
        <v>0</v>
      </c>
      <c r="K448" t="n">
        <v>0</v>
      </c>
      <c r="L448" t="n">
        <v>0</v>
      </c>
      <c r="M448" t="n">
        <v>0</v>
      </c>
      <c r="N448" t="n">
        <v>0</v>
      </c>
      <c r="O448" t="n">
        <v>0</v>
      </c>
      <c r="P448" t="n">
        <v>0</v>
      </c>
      <c r="Q448" t="n">
        <v>0</v>
      </c>
      <c r="R448" s="2" t="inlineStr"/>
    </row>
    <row r="449" ht="15" customHeight="1">
      <c r="A449" t="inlineStr">
        <is>
          <t>A 938-2023</t>
        </is>
      </c>
      <c r="B449" s="1" t="n">
        <v>44933</v>
      </c>
      <c r="C449" s="1" t="n">
        <v>46104</v>
      </c>
      <c r="D449" t="inlineStr">
        <is>
          <t>ÖSTERGÖTLANDS LÄN</t>
        </is>
      </c>
      <c r="E449" t="inlineStr">
        <is>
          <t>LINKÖPING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2389-2023</t>
        </is>
      </c>
      <c r="B450" s="1" t="n">
        <v>44942</v>
      </c>
      <c r="C450" s="1" t="n">
        <v>46104</v>
      </c>
      <c r="D450" t="inlineStr">
        <is>
          <t>ÖSTERGÖTLANDS LÄN</t>
        </is>
      </c>
      <c r="E450" t="inlineStr">
        <is>
          <t>LINKÖPING</t>
        </is>
      </c>
      <c r="G450" t="n">
        <v>3.3</v>
      </c>
      <c r="H450" t="n">
        <v>0</v>
      </c>
      <c r="I450" t="n">
        <v>0</v>
      </c>
      <c r="J450" t="n">
        <v>0</v>
      </c>
      <c r="K450" t="n">
        <v>0</v>
      </c>
      <c r="L450" t="n">
        <v>0</v>
      </c>
      <c r="M450" t="n">
        <v>0</v>
      </c>
      <c r="N450" t="n">
        <v>0</v>
      </c>
      <c r="O450" t="n">
        <v>0</v>
      </c>
      <c r="P450" t="n">
        <v>0</v>
      </c>
      <c r="Q450" t="n">
        <v>0</v>
      </c>
      <c r="R450" s="2" t="inlineStr"/>
    </row>
    <row r="451" ht="15" customHeight="1">
      <c r="A451" t="inlineStr">
        <is>
          <t>A 55109-2025</t>
        </is>
      </c>
      <c r="B451" s="1" t="n">
        <v>45968.37731481482</v>
      </c>
      <c r="C451" s="1" t="n">
        <v>46104</v>
      </c>
      <c r="D451" t="inlineStr">
        <is>
          <t>ÖSTERGÖTLANDS LÄN</t>
        </is>
      </c>
      <c r="E451" t="inlineStr">
        <is>
          <t>LINKÖPING</t>
        </is>
      </c>
      <c r="G451" t="n">
        <v>3.2</v>
      </c>
      <c r="H451" t="n">
        <v>0</v>
      </c>
      <c r="I451" t="n">
        <v>0</v>
      </c>
      <c r="J451" t="n">
        <v>0</v>
      </c>
      <c r="K451" t="n">
        <v>0</v>
      </c>
      <c r="L451" t="n">
        <v>0</v>
      </c>
      <c r="M451" t="n">
        <v>0</v>
      </c>
      <c r="N451" t="n">
        <v>0</v>
      </c>
      <c r="O451" t="n">
        <v>0</v>
      </c>
      <c r="P451" t="n">
        <v>0</v>
      </c>
      <c r="Q451" t="n">
        <v>0</v>
      </c>
      <c r="R451" s="2" t="inlineStr"/>
    </row>
    <row r="452" ht="15" customHeight="1">
      <c r="A452" t="inlineStr">
        <is>
          <t>A 48-2024</t>
        </is>
      </c>
      <c r="B452" s="1" t="n">
        <v>45293</v>
      </c>
      <c r="C452" s="1" t="n">
        <v>46104</v>
      </c>
      <c r="D452" t="inlineStr">
        <is>
          <t>ÖSTERGÖTLANDS LÄN</t>
        </is>
      </c>
      <c r="E452" t="inlineStr">
        <is>
          <t>LINKÖPING</t>
        </is>
      </c>
      <c r="G452" t="n">
        <v>4.6</v>
      </c>
      <c r="H452" t="n">
        <v>0</v>
      </c>
      <c r="I452" t="n">
        <v>0</v>
      </c>
      <c r="J452" t="n">
        <v>0</v>
      </c>
      <c r="K452" t="n">
        <v>0</v>
      </c>
      <c r="L452" t="n">
        <v>0</v>
      </c>
      <c r="M452" t="n">
        <v>0</v>
      </c>
      <c r="N452" t="n">
        <v>0</v>
      </c>
      <c r="O452" t="n">
        <v>0</v>
      </c>
      <c r="P452" t="n">
        <v>0</v>
      </c>
      <c r="Q452" t="n">
        <v>0</v>
      </c>
      <c r="R452" s="2" t="inlineStr"/>
    </row>
    <row r="453" ht="15" customHeight="1">
      <c r="A453" t="inlineStr">
        <is>
          <t>A 45771-2023</t>
        </is>
      </c>
      <c r="B453" s="1" t="n">
        <v>45195.4384375</v>
      </c>
      <c r="C453" s="1" t="n">
        <v>46104</v>
      </c>
      <c r="D453" t="inlineStr">
        <is>
          <t>ÖSTERGÖTLANDS LÄN</t>
        </is>
      </c>
      <c r="E453" t="inlineStr">
        <is>
          <t>LINKÖPING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30547-2023</t>
        </is>
      </c>
      <c r="B454" s="1" t="n">
        <v>45111.75905092592</v>
      </c>
      <c r="C454" s="1" t="n">
        <v>46104</v>
      </c>
      <c r="D454" t="inlineStr">
        <is>
          <t>ÖSTERGÖTLANDS LÄN</t>
        </is>
      </c>
      <c r="E454" t="inlineStr">
        <is>
          <t>LINKÖPING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40502-2024</t>
        </is>
      </c>
      <c r="B455" s="1" t="n">
        <v>45555.57263888889</v>
      </c>
      <c r="C455" s="1" t="n">
        <v>46104</v>
      </c>
      <c r="D455" t="inlineStr">
        <is>
          <t>ÖSTERGÖTLANDS LÄN</t>
        </is>
      </c>
      <c r="E455" t="inlineStr">
        <is>
          <t>LINKÖPING</t>
        </is>
      </c>
      <c r="F455" t="inlineStr">
        <is>
          <t>Allmännings- och besparingsskogar</t>
        </is>
      </c>
      <c r="G455" t="n">
        <v>17.5</v>
      </c>
      <c r="H455" t="n">
        <v>0</v>
      </c>
      <c r="I455" t="n">
        <v>0</v>
      </c>
      <c r="J455" t="n">
        <v>0</v>
      </c>
      <c r="K455" t="n">
        <v>0</v>
      </c>
      <c r="L455" t="n">
        <v>0</v>
      </c>
      <c r="M455" t="n">
        <v>0</v>
      </c>
      <c r="N455" t="n">
        <v>0</v>
      </c>
      <c r="O455" t="n">
        <v>0</v>
      </c>
      <c r="P455" t="n">
        <v>0</v>
      </c>
      <c r="Q455" t="n">
        <v>0</v>
      </c>
      <c r="R455" s="2" t="inlineStr"/>
    </row>
    <row r="456" ht="15" customHeight="1">
      <c r="A456" t="inlineStr">
        <is>
          <t>A 5099-2026</t>
        </is>
      </c>
      <c r="B456" s="1" t="n">
        <v>46049.56158564815</v>
      </c>
      <c r="C456" s="1" t="n">
        <v>46104</v>
      </c>
      <c r="D456" t="inlineStr">
        <is>
          <t>ÖSTERGÖTLANDS LÄN</t>
        </is>
      </c>
      <c r="E456" t="inlineStr">
        <is>
          <t>LINKÖPING</t>
        </is>
      </c>
      <c r="G456" t="n">
        <v>5</v>
      </c>
      <c r="H456" t="n">
        <v>0</v>
      </c>
      <c r="I456" t="n">
        <v>0</v>
      </c>
      <c r="J456" t="n">
        <v>0</v>
      </c>
      <c r="K456" t="n">
        <v>0</v>
      </c>
      <c r="L456" t="n">
        <v>0</v>
      </c>
      <c r="M456" t="n">
        <v>0</v>
      </c>
      <c r="N456" t="n">
        <v>0</v>
      </c>
      <c r="O456" t="n">
        <v>0</v>
      </c>
      <c r="P456" t="n">
        <v>0</v>
      </c>
      <c r="Q456" t="n">
        <v>0</v>
      </c>
      <c r="R456" s="2" t="inlineStr"/>
    </row>
    <row r="457" ht="15" customHeight="1">
      <c r="A457" t="inlineStr">
        <is>
          <t>A 12482-2026</t>
        </is>
      </c>
      <c r="B457" s="1" t="n">
        <v>46090.56292824074</v>
      </c>
      <c r="C457" s="1" t="n">
        <v>46104</v>
      </c>
      <c r="D457" t="inlineStr">
        <is>
          <t>ÖSTERGÖTLANDS LÄN</t>
        </is>
      </c>
      <c r="E457" t="inlineStr">
        <is>
          <t>LINKÖPING</t>
        </is>
      </c>
      <c r="G457" t="n">
        <v>1.2</v>
      </c>
      <c r="H457" t="n">
        <v>0</v>
      </c>
      <c r="I457" t="n">
        <v>0</v>
      </c>
      <c r="J457" t="n">
        <v>0</v>
      </c>
      <c r="K457" t="n">
        <v>0</v>
      </c>
      <c r="L457" t="n">
        <v>0</v>
      </c>
      <c r="M457" t="n">
        <v>0</v>
      </c>
      <c r="N457" t="n">
        <v>0</v>
      </c>
      <c r="O457" t="n">
        <v>0</v>
      </c>
      <c r="P457" t="n">
        <v>0</v>
      </c>
      <c r="Q457" t="n">
        <v>0</v>
      </c>
      <c r="R457" s="2" t="inlineStr"/>
    </row>
    <row r="458" ht="15" customHeight="1">
      <c r="A458" t="inlineStr">
        <is>
          <t>A 25996-2025</t>
        </is>
      </c>
      <c r="B458" s="1" t="n">
        <v>45804.65851851852</v>
      </c>
      <c r="C458" s="1" t="n">
        <v>46104</v>
      </c>
      <c r="D458" t="inlineStr">
        <is>
          <t>ÖSTERGÖTLANDS LÄN</t>
        </is>
      </c>
      <c r="E458" t="inlineStr">
        <is>
          <t>LINKÖPING</t>
        </is>
      </c>
      <c r="G458" t="n">
        <v>3.2</v>
      </c>
      <c r="H458" t="n">
        <v>0</v>
      </c>
      <c r="I458" t="n">
        <v>0</v>
      </c>
      <c r="J458" t="n">
        <v>0</v>
      </c>
      <c r="K458" t="n">
        <v>0</v>
      </c>
      <c r="L458" t="n">
        <v>0</v>
      </c>
      <c r="M458" t="n">
        <v>0</v>
      </c>
      <c r="N458" t="n">
        <v>0</v>
      </c>
      <c r="O458" t="n">
        <v>0</v>
      </c>
      <c r="P458" t="n">
        <v>0</v>
      </c>
      <c r="Q458" t="n">
        <v>0</v>
      </c>
      <c r="R458" s="2" t="inlineStr"/>
    </row>
    <row r="459" ht="15" customHeight="1">
      <c r="A459" t="inlineStr">
        <is>
          <t>A 24464-2023</t>
        </is>
      </c>
      <c r="B459" s="1" t="n">
        <v>45082.58068287037</v>
      </c>
      <c r="C459" s="1" t="n">
        <v>46104</v>
      </c>
      <c r="D459" t="inlineStr">
        <is>
          <t>ÖSTERGÖTLANDS LÄN</t>
        </is>
      </c>
      <c r="E459" t="inlineStr">
        <is>
          <t>LINKÖPING</t>
        </is>
      </c>
      <c r="G459" t="n">
        <v>1.6</v>
      </c>
      <c r="H459" t="n">
        <v>0</v>
      </c>
      <c r="I459" t="n">
        <v>0</v>
      </c>
      <c r="J459" t="n">
        <v>0</v>
      </c>
      <c r="K459" t="n">
        <v>0</v>
      </c>
      <c r="L459" t="n">
        <v>0</v>
      </c>
      <c r="M459" t="n">
        <v>0</v>
      </c>
      <c r="N459" t="n">
        <v>0</v>
      </c>
      <c r="O459" t="n">
        <v>0</v>
      </c>
      <c r="P459" t="n">
        <v>0</v>
      </c>
      <c r="Q459" t="n">
        <v>0</v>
      </c>
      <c r="R459" s="2" t="inlineStr"/>
    </row>
    <row r="460" ht="15" customHeight="1">
      <c r="A460" t="inlineStr">
        <is>
          <t>A 24467-2023</t>
        </is>
      </c>
      <c r="B460" s="1" t="n">
        <v>45082</v>
      </c>
      <c r="C460" s="1" t="n">
        <v>46104</v>
      </c>
      <c r="D460" t="inlineStr">
        <is>
          <t>ÖSTERGÖTLANDS LÄN</t>
        </is>
      </c>
      <c r="E460" t="inlineStr">
        <is>
          <t>LINKÖPING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48389-2024</t>
        </is>
      </c>
      <c r="B461" s="1" t="n">
        <v>45590.59991898148</v>
      </c>
      <c r="C461" s="1" t="n">
        <v>46104</v>
      </c>
      <c r="D461" t="inlineStr">
        <is>
          <t>ÖSTERGÖTLANDS LÄN</t>
        </is>
      </c>
      <c r="E461" t="inlineStr">
        <is>
          <t>LINKÖPING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5545-2026</t>
        </is>
      </c>
      <c r="B462" s="1" t="n">
        <v>46050.70089120371</v>
      </c>
      <c r="C462" s="1" t="n">
        <v>46104</v>
      </c>
      <c r="D462" t="inlineStr">
        <is>
          <t>ÖSTERGÖTLANDS LÄN</t>
        </is>
      </c>
      <c r="E462" t="inlineStr">
        <is>
          <t>LINKÖPING</t>
        </is>
      </c>
      <c r="G462" t="n">
        <v>1.4</v>
      </c>
      <c r="H462" t="n">
        <v>0</v>
      </c>
      <c r="I462" t="n">
        <v>0</v>
      </c>
      <c r="J462" t="n">
        <v>0</v>
      </c>
      <c r="K462" t="n">
        <v>0</v>
      </c>
      <c r="L462" t="n">
        <v>0</v>
      </c>
      <c r="M462" t="n">
        <v>0</v>
      </c>
      <c r="N462" t="n">
        <v>0</v>
      </c>
      <c r="O462" t="n">
        <v>0</v>
      </c>
      <c r="P462" t="n">
        <v>0</v>
      </c>
      <c r="Q462" t="n">
        <v>0</v>
      </c>
      <c r="R462" s="2" t="inlineStr"/>
    </row>
    <row r="463" ht="15" customHeight="1">
      <c r="A463" t="inlineStr">
        <is>
          <t>A 56792-2023</t>
        </is>
      </c>
      <c r="B463" s="1" t="n">
        <v>45244</v>
      </c>
      <c r="C463" s="1" t="n">
        <v>46104</v>
      </c>
      <c r="D463" t="inlineStr">
        <is>
          <t>ÖSTERGÖTLANDS LÄN</t>
        </is>
      </c>
      <c r="E463" t="inlineStr">
        <is>
          <t>LINKÖPING</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39017-2021</t>
        </is>
      </c>
      <c r="B464" s="1" t="n">
        <v>44412</v>
      </c>
      <c r="C464" s="1" t="n">
        <v>46104</v>
      </c>
      <c r="D464" t="inlineStr">
        <is>
          <t>ÖSTERGÖTLANDS LÄN</t>
        </is>
      </c>
      <c r="E464" t="inlineStr">
        <is>
          <t>LINKÖPING</t>
        </is>
      </c>
      <c r="F464" t="inlineStr">
        <is>
          <t>Övriga statliga verk och myndigheter</t>
        </is>
      </c>
      <c r="G464" t="n">
        <v>0.8</v>
      </c>
      <c r="H464" t="n">
        <v>0</v>
      </c>
      <c r="I464" t="n">
        <v>0</v>
      </c>
      <c r="J464" t="n">
        <v>0</v>
      </c>
      <c r="K464" t="n">
        <v>0</v>
      </c>
      <c r="L464" t="n">
        <v>0</v>
      </c>
      <c r="M464" t="n">
        <v>0</v>
      </c>
      <c r="N464" t="n">
        <v>0</v>
      </c>
      <c r="O464" t="n">
        <v>0</v>
      </c>
      <c r="P464" t="n">
        <v>0</v>
      </c>
      <c r="Q464" t="n">
        <v>0</v>
      </c>
      <c r="R464" s="2" t="inlineStr"/>
    </row>
    <row r="465" ht="15" customHeight="1">
      <c r="A465" t="inlineStr">
        <is>
          <t>A 1260-2023</t>
        </is>
      </c>
      <c r="B465" s="1" t="n">
        <v>44936</v>
      </c>
      <c r="C465" s="1" t="n">
        <v>46104</v>
      </c>
      <c r="D465" t="inlineStr">
        <is>
          <t>ÖSTERGÖTLANDS LÄN</t>
        </is>
      </c>
      <c r="E465" t="inlineStr">
        <is>
          <t>LINKÖPING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1355-2023</t>
        </is>
      </c>
      <c r="B466" s="1" t="n">
        <v>44931</v>
      </c>
      <c r="C466" s="1" t="n">
        <v>46104</v>
      </c>
      <c r="D466" t="inlineStr">
        <is>
          <t>ÖSTERGÖTLANDS LÄN</t>
        </is>
      </c>
      <c r="E466" t="inlineStr">
        <is>
          <t>LINKÖPING</t>
        </is>
      </c>
      <c r="G466" t="n">
        <v>4</v>
      </c>
      <c r="H466" t="n">
        <v>0</v>
      </c>
      <c r="I466" t="n">
        <v>0</v>
      </c>
      <c r="J466" t="n">
        <v>0</v>
      </c>
      <c r="K466" t="n">
        <v>0</v>
      </c>
      <c r="L466" t="n">
        <v>0</v>
      </c>
      <c r="M466" t="n">
        <v>0</v>
      </c>
      <c r="N466" t="n">
        <v>0</v>
      </c>
      <c r="O466" t="n">
        <v>0</v>
      </c>
      <c r="P466" t="n">
        <v>0</v>
      </c>
      <c r="Q466" t="n">
        <v>0</v>
      </c>
      <c r="R466" s="2" t="inlineStr"/>
    </row>
    <row r="467" ht="15" customHeight="1">
      <c r="A467" t="inlineStr">
        <is>
          <t>A 3007-2025</t>
        </is>
      </c>
      <c r="B467" s="1" t="n">
        <v>45678.56328703704</v>
      </c>
      <c r="C467" s="1" t="n">
        <v>46104</v>
      </c>
      <c r="D467" t="inlineStr">
        <is>
          <t>ÖSTERGÖTLANDS LÄN</t>
        </is>
      </c>
      <c r="E467" t="inlineStr">
        <is>
          <t>LINKÖPING</t>
        </is>
      </c>
      <c r="G467" t="n">
        <v>3.1</v>
      </c>
      <c r="H467" t="n">
        <v>0</v>
      </c>
      <c r="I467" t="n">
        <v>0</v>
      </c>
      <c r="J467" t="n">
        <v>0</v>
      </c>
      <c r="K467" t="n">
        <v>0</v>
      </c>
      <c r="L467" t="n">
        <v>0</v>
      </c>
      <c r="M467" t="n">
        <v>0</v>
      </c>
      <c r="N467" t="n">
        <v>0</v>
      </c>
      <c r="O467" t="n">
        <v>0</v>
      </c>
      <c r="P467" t="n">
        <v>0</v>
      </c>
      <c r="Q467" t="n">
        <v>0</v>
      </c>
      <c r="R467" s="2" t="inlineStr"/>
    </row>
    <row r="468" ht="15" customHeight="1">
      <c r="A468" t="inlineStr">
        <is>
          <t>A 10492-2022</t>
        </is>
      </c>
      <c r="B468" s="1" t="n">
        <v>44623.6377199074</v>
      </c>
      <c r="C468" s="1" t="n">
        <v>46104</v>
      </c>
      <c r="D468" t="inlineStr">
        <is>
          <t>ÖSTERGÖTLANDS LÄN</t>
        </is>
      </c>
      <c r="E468" t="inlineStr">
        <is>
          <t>LINKÖPING</t>
        </is>
      </c>
      <c r="G468" t="n">
        <v>2.1</v>
      </c>
      <c r="H468" t="n">
        <v>0</v>
      </c>
      <c r="I468" t="n">
        <v>0</v>
      </c>
      <c r="J468" t="n">
        <v>0</v>
      </c>
      <c r="K468" t="n">
        <v>0</v>
      </c>
      <c r="L468" t="n">
        <v>0</v>
      </c>
      <c r="M468" t="n">
        <v>0</v>
      </c>
      <c r="N468" t="n">
        <v>0</v>
      </c>
      <c r="O468" t="n">
        <v>0</v>
      </c>
      <c r="P468" t="n">
        <v>0</v>
      </c>
      <c r="Q468" t="n">
        <v>0</v>
      </c>
      <c r="R468" s="2" t="inlineStr"/>
    </row>
    <row r="469" ht="15" customHeight="1">
      <c r="A469" t="inlineStr">
        <is>
          <t>A 30465-2023</t>
        </is>
      </c>
      <c r="B469" s="1" t="n">
        <v>45111</v>
      </c>
      <c r="C469" s="1" t="n">
        <v>46104</v>
      </c>
      <c r="D469" t="inlineStr">
        <is>
          <t>ÖSTERGÖTLANDS LÄN</t>
        </is>
      </c>
      <c r="E469" t="inlineStr">
        <is>
          <t>LINKÖPING</t>
        </is>
      </c>
      <c r="F469" t="inlineStr">
        <is>
          <t>Övriga Aktiebolag</t>
        </is>
      </c>
      <c r="G469" t="n">
        <v>0.7</v>
      </c>
      <c r="H469" t="n">
        <v>0</v>
      </c>
      <c r="I469" t="n">
        <v>0</v>
      </c>
      <c r="J469" t="n">
        <v>0</v>
      </c>
      <c r="K469" t="n">
        <v>0</v>
      </c>
      <c r="L469" t="n">
        <v>0</v>
      </c>
      <c r="M469" t="n">
        <v>0</v>
      </c>
      <c r="N469" t="n">
        <v>0</v>
      </c>
      <c r="O469" t="n">
        <v>0</v>
      </c>
      <c r="P469" t="n">
        <v>0</v>
      </c>
      <c r="Q469" t="n">
        <v>0</v>
      </c>
      <c r="R469" s="2" t="inlineStr"/>
    </row>
    <row r="470" ht="15" customHeight="1">
      <c r="A470" t="inlineStr">
        <is>
          <t>A 39021-2021</t>
        </is>
      </c>
      <c r="B470" s="1" t="n">
        <v>44412</v>
      </c>
      <c r="C470" s="1" t="n">
        <v>46104</v>
      </c>
      <c r="D470" t="inlineStr">
        <is>
          <t>ÖSTERGÖTLANDS LÄN</t>
        </is>
      </c>
      <c r="E470" t="inlineStr">
        <is>
          <t>LINKÖPING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62353-2022</t>
        </is>
      </c>
      <c r="B471" s="1" t="n">
        <v>44923</v>
      </c>
      <c r="C471" s="1" t="n">
        <v>46104</v>
      </c>
      <c r="D471" t="inlineStr">
        <is>
          <t>ÖSTERGÖTLANDS LÄN</t>
        </is>
      </c>
      <c r="E471" t="inlineStr">
        <is>
          <t>LINKÖPING</t>
        </is>
      </c>
      <c r="F471" t="inlineStr">
        <is>
          <t>Allmännings- och besparingsskogar</t>
        </is>
      </c>
      <c r="G471" t="n">
        <v>1.7</v>
      </c>
      <c r="H471" t="n">
        <v>0</v>
      </c>
      <c r="I471" t="n">
        <v>0</v>
      </c>
      <c r="J471" t="n">
        <v>0</v>
      </c>
      <c r="K471" t="n">
        <v>0</v>
      </c>
      <c r="L471" t="n">
        <v>0</v>
      </c>
      <c r="M471" t="n">
        <v>0</v>
      </c>
      <c r="N471" t="n">
        <v>0</v>
      </c>
      <c r="O471" t="n">
        <v>0</v>
      </c>
      <c r="P471" t="n">
        <v>0</v>
      </c>
      <c r="Q471" t="n">
        <v>0</v>
      </c>
      <c r="R471" s="2" t="inlineStr"/>
    </row>
    <row r="472" ht="15" customHeight="1">
      <c r="A472" t="inlineStr">
        <is>
          <t>A 30111-2024</t>
        </is>
      </c>
      <c r="B472" s="1" t="n">
        <v>45489.46947916667</v>
      </c>
      <c r="C472" s="1" t="n">
        <v>46104</v>
      </c>
      <c r="D472" t="inlineStr">
        <is>
          <t>ÖSTERGÖTLANDS LÄN</t>
        </is>
      </c>
      <c r="E472" t="inlineStr">
        <is>
          <t>LINKÖPING</t>
        </is>
      </c>
      <c r="G472" t="n">
        <v>1.5</v>
      </c>
      <c r="H472" t="n">
        <v>0</v>
      </c>
      <c r="I472" t="n">
        <v>0</v>
      </c>
      <c r="J472" t="n">
        <v>0</v>
      </c>
      <c r="K472" t="n">
        <v>0</v>
      </c>
      <c r="L472" t="n">
        <v>0</v>
      </c>
      <c r="M472" t="n">
        <v>0</v>
      </c>
      <c r="N472" t="n">
        <v>0</v>
      </c>
      <c r="O472" t="n">
        <v>0</v>
      </c>
      <c r="P472" t="n">
        <v>0</v>
      </c>
      <c r="Q472" t="n">
        <v>0</v>
      </c>
      <c r="R472" s="2" t="inlineStr"/>
    </row>
    <row r="473" ht="15" customHeight="1">
      <c r="A473" t="inlineStr">
        <is>
          <t>A 30119-2024</t>
        </is>
      </c>
      <c r="B473" s="1" t="n">
        <v>45489</v>
      </c>
      <c r="C473" s="1" t="n">
        <v>46104</v>
      </c>
      <c r="D473" t="inlineStr">
        <is>
          <t>ÖSTERGÖTLANDS LÄN</t>
        </is>
      </c>
      <c r="E473" t="inlineStr">
        <is>
          <t>LINKÖPING</t>
        </is>
      </c>
      <c r="G473" t="n">
        <v>1.7</v>
      </c>
      <c r="H473" t="n">
        <v>0</v>
      </c>
      <c r="I473" t="n">
        <v>0</v>
      </c>
      <c r="J473" t="n">
        <v>0</v>
      </c>
      <c r="K473" t="n">
        <v>0</v>
      </c>
      <c r="L473" t="n">
        <v>0</v>
      </c>
      <c r="M473" t="n">
        <v>0</v>
      </c>
      <c r="N473" t="n">
        <v>0</v>
      </c>
      <c r="O473" t="n">
        <v>0</v>
      </c>
      <c r="P473" t="n">
        <v>0</v>
      </c>
      <c r="Q473" t="n">
        <v>0</v>
      </c>
      <c r="R473" s="2" t="inlineStr"/>
    </row>
    <row r="474" ht="15" customHeight="1">
      <c r="A474" t="inlineStr">
        <is>
          <t>A 29411-2023</t>
        </is>
      </c>
      <c r="B474" s="1" t="n">
        <v>45106.46225694445</v>
      </c>
      <c r="C474" s="1" t="n">
        <v>46104</v>
      </c>
      <c r="D474" t="inlineStr">
        <is>
          <t>ÖSTERGÖTLANDS LÄN</t>
        </is>
      </c>
      <c r="E474" t="inlineStr">
        <is>
          <t>LINKÖPING</t>
        </is>
      </c>
      <c r="G474" t="n">
        <v>2.5</v>
      </c>
      <c r="H474" t="n">
        <v>0</v>
      </c>
      <c r="I474" t="n">
        <v>0</v>
      </c>
      <c r="J474" t="n">
        <v>0</v>
      </c>
      <c r="K474" t="n">
        <v>0</v>
      </c>
      <c r="L474" t="n">
        <v>0</v>
      </c>
      <c r="M474" t="n">
        <v>0</v>
      </c>
      <c r="N474" t="n">
        <v>0</v>
      </c>
      <c r="O474" t="n">
        <v>0</v>
      </c>
      <c r="P474" t="n">
        <v>0</v>
      </c>
      <c r="Q474" t="n">
        <v>0</v>
      </c>
      <c r="R474" s="2" t="inlineStr"/>
    </row>
    <row r="475" ht="15" customHeight="1">
      <c r="A475" t="inlineStr">
        <is>
          <t>A 29412-2023</t>
        </is>
      </c>
      <c r="B475" s="1" t="n">
        <v>45106.46359953703</v>
      </c>
      <c r="C475" s="1" t="n">
        <v>46104</v>
      </c>
      <c r="D475" t="inlineStr">
        <is>
          <t>ÖSTERGÖTLANDS LÄN</t>
        </is>
      </c>
      <c r="E475" t="inlineStr">
        <is>
          <t>LINKÖPING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31792-2021</t>
        </is>
      </c>
      <c r="B476" s="1" t="n">
        <v>44369</v>
      </c>
      <c r="C476" s="1" t="n">
        <v>46104</v>
      </c>
      <c r="D476" t="inlineStr">
        <is>
          <t>ÖSTERGÖTLANDS LÄN</t>
        </is>
      </c>
      <c r="E476" t="inlineStr">
        <is>
          <t>LINKÖPING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421-2024</t>
        </is>
      </c>
      <c r="B477" s="1" t="n">
        <v>45296.51877314815</v>
      </c>
      <c r="C477" s="1" t="n">
        <v>46104</v>
      </c>
      <c r="D477" t="inlineStr">
        <is>
          <t>ÖSTERGÖTLANDS LÄN</t>
        </is>
      </c>
      <c r="E477" t="inlineStr">
        <is>
          <t>LINKÖPING</t>
        </is>
      </c>
      <c r="G477" t="n">
        <v>3.7</v>
      </c>
      <c r="H477" t="n">
        <v>0</v>
      </c>
      <c r="I477" t="n">
        <v>0</v>
      </c>
      <c r="J477" t="n">
        <v>0</v>
      </c>
      <c r="K477" t="n">
        <v>0</v>
      </c>
      <c r="L477" t="n">
        <v>0</v>
      </c>
      <c r="M477" t="n">
        <v>0</v>
      </c>
      <c r="N477" t="n">
        <v>0</v>
      </c>
      <c r="O477" t="n">
        <v>0</v>
      </c>
      <c r="P477" t="n">
        <v>0</v>
      </c>
      <c r="Q477" t="n">
        <v>0</v>
      </c>
      <c r="R477" s="2" t="inlineStr"/>
    </row>
    <row r="478" ht="15" customHeight="1">
      <c r="A478" t="inlineStr">
        <is>
          <t>A 22043-2023</t>
        </is>
      </c>
      <c r="B478" s="1" t="n">
        <v>45069.39050925926</v>
      </c>
      <c r="C478" s="1" t="n">
        <v>46104</v>
      </c>
      <c r="D478" t="inlineStr">
        <is>
          <t>ÖSTERGÖTLANDS LÄN</t>
        </is>
      </c>
      <c r="E478" t="inlineStr">
        <is>
          <t>LINKÖPING</t>
        </is>
      </c>
      <c r="G478" t="n">
        <v>5.9</v>
      </c>
      <c r="H478" t="n">
        <v>0</v>
      </c>
      <c r="I478" t="n">
        <v>0</v>
      </c>
      <c r="J478" t="n">
        <v>0</v>
      </c>
      <c r="K478" t="n">
        <v>0</v>
      </c>
      <c r="L478" t="n">
        <v>0</v>
      </c>
      <c r="M478" t="n">
        <v>0</v>
      </c>
      <c r="N478" t="n">
        <v>0</v>
      </c>
      <c r="O478" t="n">
        <v>0</v>
      </c>
      <c r="P478" t="n">
        <v>0</v>
      </c>
      <c r="Q478" t="n">
        <v>0</v>
      </c>
      <c r="R478" s="2" t="inlineStr"/>
    </row>
    <row r="479" ht="15" customHeight="1">
      <c r="A479" t="inlineStr">
        <is>
          <t>A 61532-2021</t>
        </is>
      </c>
      <c r="B479" s="1" t="n">
        <v>44501</v>
      </c>
      <c r="C479" s="1" t="n">
        <v>46104</v>
      </c>
      <c r="D479" t="inlineStr">
        <is>
          <t>ÖSTERGÖTLANDS LÄN</t>
        </is>
      </c>
      <c r="E479" t="inlineStr">
        <is>
          <t>LINKÖPING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14028-2024</t>
        </is>
      </c>
      <c r="B480" s="1" t="n">
        <v>45392</v>
      </c>
      <c r="C480" s="1" t="n">
        <v>46104</v>
      </c>
      <c r="D480" t="inlineStr">
        <is>
          <t>ÖSTERGÖTLANDS LÄN</t>
        </is>
      </c>
      <c r="E480" t="inlineStr">
        <is>
          <t>LINKÖPING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40431-2024</t>
        </is>
      </c>
      <c r="B481" s="1" t="n">
        <v>45555.47070601852</v>
      </c>
      <c r="C481" s="1" t="n">
        <v>46104</v>
      </c>
      <c r="D481" t="inlineStr">
        <is>
          <t>ÖSTERGÖTLANDS LÄN</t>
        </is>
      </c>
      <c r="E481" t="inlineStr">
        <is>
          <t>LINKÖPING</t>
        </is>
      </c>
      <c r="F481" t="inlineStr">
        <is>
          <t>Allmännings- och besparingsskogar</t>
        </is>
      </c>
      <c r="G481" t="n">
        <v>2.9</v>
      </c>
      <c r="H481" t="n">
        <v>0</v>
      </c>
      <c r="I481" t="n">
        <v>0</v>
      </c>
      <c r="J481" t="n">
        <v>0</v>
      </c>
      <c r="K481" t="n">
        <v>0</v>
      </c>
      <c r="L481" t="n">
        <v>0</v>
      </c>
      <c r="M481" t="n">
        <v>0</v>
      </c>
      <c r="N481" t="n">
        <v>0</v>
      </c>
      <c r="O481" t="n">
        <v>0</v>
      </c>
      <c r="P481" t="n">
        <v>0</v>
      </c>
      <c r="Q481" t="n">
        <v>0</v>
      </c>
      <c r="R481" s="2" t="inlineStr"/>
    </row>
    <row r="482" ht="15" customHeight="1">
      <c r="A482" t="inlineStr">
        <is>
          <t>A 13565-2026</t>
        </is>
      </c>
      <c r="B482" s="1" t="n">
        <v>46094.80006944444</v>
      </c>
      <c r="C482" s="1" t="n">
        <v>46104</v>
      </c>
      <c r="D482" t="inlineStr">
        <is>
          <t>ÖSTERGÖTLANDS LÄN</t>
        </is>
      </c>
      <c r="E482" t="inlineStr">
        <is>
          <t>LINKÖPING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6384-2026</t>
        </is>
      </c>
      <c r="B483" s="1" t="n">
        <v>46055.63732638889</v>
      </c>
      <c r="C483" s="1" t="n">
        <v>46104</v>
      </c>
      <c r="D483" t="inlineStr">
        <is>
          <t>ÖSTERGÖTLANDS LÄN</t>
        </is>
      </c>
      <c r="E483" t="inlineStr">
        <is>
          <t>LINKÖPING</t>
        </is>
      </c>
      <c r="G483" t="n">
        <v>1.4</v>
      </c>
      <c r="H483" t="n">
        <v>0</v>
      </c>
      <c r="I483" t="n">
        <v>0</v>
      </c>
      <c r="J483" t="n">
        <v>0</v>
      </c>
      <c r="K483" t="n">
        <v>0</v>
      </c>
      <c r="L483" t="n">
        <v>0</v>
      </c>
      <c r="M483" t="n">
        <v>0</v>
      </c>
      <c r="N483" t="n">
        <v>0</v>
      </c>
      <c r="O483" t="n">
        <v>0</v>
      </c>
      <c r="P483" t="n">
        <v>0</v>
      </c>
      <c r="Q483" t="n">
        <v>0</v>
      </c>
      <c r="R483" s="2" t="inlineStr"/>
    </row>
    <row r="484" ht="15" customHeight="1">
      <c r="A484" t="inlineStr">
        <is>
          <t>A 60860-2024</t>
        </is>
      </c>
      <c r="B484" s="1" t="n">
        <v>45644.6893287037</v>
      </c>
      <c r="C484" s="1" t="n">
        <v>46104</v>
      </c>
      <c r="D484" t="inlineStr">
        <is>
          <t>ÖSTERGÖTLANDS LÄN</t>
        </is>
      </c>
      <c r="E484" t="inlineStr">
        <is>
          <t>LINKÖPING</t>
        </is>
      </c>
      <c r="G484" t="n">
        <v>1.3</v>
      </c>
      <c r="H484" t="n">
        <v>0</v>
      </c>
      <c r="I484" t="n">
        <v>0</v>
      </c>
      <c r="J484" t="n">
        <v>0</v>
      </c>
      <c r="K484" t="n">
        <v>0</v>
      </c>
      <c r="L484" t="n">
        <v>0</v>
      </c>
      <c r="M484" t="n">
        <v>0</v>
      </c>
      <c r="N484" t="n">
        <v>0</v>
      </c>
      <c r="O484" t="n">
        <v>0</v>
      </c>
      <c r="P484" t="n">
        <v>0</v>
      </c>
      <c r="Q484" t="n">
        <v>0</v>
      </c>
      <c r="R484" s="2" t="inlineStr"/>
    </row>
    <row r="485" ht="15" customHeight="1">
      <c r="A485" t="inlineStr">
        <is>
          <t>A 6164-2026</t>
        </is>
      </c>
      <c r="B485" s="1" t="n">
        <v>46055.32596064815</v>
      </c>
      <c r="C485" s="1" t="n">
        <v>46104</v>
      </c>
      <c r="D485" t="inlineStr">
        <is>
          <t>ÖSTERGÖTLANDS LÄN</t>
        </is>
      </c>
      <c r="E485" t="inlineStr">
        <is>
          <t>LINKÖPING</t>
        </is>
      </c>
      <c r="G485" t="n">
        <v>0.4</v>
      </c>
      <c r="H485" t="n">
        <v>0</v>
      </c>
      <c r="I485" t="n">
        <v>0</v>
      </c>
      <c r="J485" t="n">
        <v>0</v>
      </c>
      <c r="K485" t="n">
        <v>0</v>
      </c>
      <c r="L485" t="n">
        <v>0</v>
      </c>
      <c r="M485" t="n">
        <v>0</v>
      </c>
      <c r="N485" t="n">
        <v>0</v>
      </c>
      <c r="O485" t="n">
        <v>0</v>
      </c>
      <c r="P485" t="n">
        <v>0</v>
      </c>
      <c r="Q485" t="n">
        <v>0</v>
      </c>
      <c r="R485" s="2" t="inlineStr"/>
    </row>
    <row r="486" ht="15" customHeight="1">
      <c r="A486" t="inlineStr">
        <is>
          <t>A 2697-2023</t>
        </is>
      </c>
      <c r="B486" s="1" t="n">
        <v>44944</v>
      </c>
      <c r="C486" s="1" t="n">
        <v>46104</v>
      </c>
      <c r="D486" t="inlineStr">
        <is>
          <t>ÖSTERGÖTLANDS LÄN</t>
        </is>
      </c>
      <c r="E486" t="inlineStr">
        <is>
          <t>LINKÖPING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45806-2024</t>
        </is>
      </c>
      <c r="B487" s="1" t="n">
        <v>45579.69619212963</v>
      </c>
      <c r="C487" s="1" t="n">
        <v>46104</v>
      </c>
      <c r="D487" t="inlineStr">
        <is>
          <t>ÖSTERGÖTLANDS LÄN</t>
        </is>
      </c>
      <c r="E487" t="inlineStr">
        <is>
          <t>LINKÖPING</t>
        </is>
      </c>
      <c r="G487" t="n">
        <v>1.6</v>
      </c>
      <c r="H487" t="n">
        <v>0</v>
      </c>
      <c r="I487" t="n">
        <v>0</v>
      </c>
      <c r="J487" t="n">
        <v>0</v>
      </c>
      <c r="K487" t="n">
        <v>0</v>
      </c>
      <c r="L487" t="n">
        <v>0</v>
      </c>
      <c r="M487" t="n">
        <v>0</v>
      </c>
      <c r="N487" t="n">
        <v>0</v>
      </c>
      <c r="O487" t="n">
        <v>0</v>
      </c>
      <c r="P487" t="n">
        <v>0</v>
      </c>
      <c r="Q487" t="n">
        <v>0</v>
      </c>
      <c r="R487" s="2" t="inlineStr"/>
    </row>
    <row r="488" ht="15" customHeight="1">
      <c r="A488" t="inlineStr">
        <is>
          <t>A 56756-2023</t>
        </is>
      </c>
      <c r="B488" s="1" t="n">
        <v>45244</v>
      </c>
      <c r="C488" s="1" t="n">
        <v>46104</v>
      </c>
      <c r="D488" t="inlineStr">
        <is>
          <t>ÖSTERGÖTLANDS LÄN</t>
        </is>
      </c>
      <c r="E488" t="inlineStr">
        <is>
          <t>LINKÖPING</t>
        </is>
      </c>
      <c r="F488" t="inlineStr">
        <is>
          <t>Övriga Aktiebolag</t>
        </is>
      </c>
      <c r="G488" t="n">
        <v>0.8</v>
      </c>
      <c r="H488" t="n">
        <v>0</v>
      </c>
      <c r="I488" t="n">
        <v>0</v>
      </c>
      <c r="J488" t="n">
        <v>0</v>
      </c>
      <c r="K488" t="n">
        <v>0</v>
      </c>
      <c r="L488" t="n">
        <v>0</v>
      </c>
      <c r="M488" t="n">
        <v>0</v>
      </c>
      <c r="N488" t="n">
        <v>0</v>
      </c>
      <c r="O488" t="n">
        <v>0</v>
      </c>
      <c r="P488" t="n">
        <v>0</v>
      </c>
      <c r="Q488" t="n">
        <v>0</v>
      </c>
      <c r="R488" s="2" t="inlineStr"/>
    </row>
    <row r="489" ht="15" customHeight="1">
      <c r="A489" t="inlineStr">
        <is>
          <t>A 60985-2023</t>
        </is>
      </c>
      <c r="B489" s="1" t="n">
        <v>45261.48429398148</v>
      </c>
      <c r="C489" s="1" t="n">
        <v>46104</v>
      </c>
      <c r="D489" t="inlineStr">
        <is>
          <t>ÖSTERGÖTLANDS LÄN</t>
        </is>
      </c>
      <c r="E489" t="inlineStr">
        <is>
          <t>LINKÖPING</t>
        </is>
      </c>
      <c r="G489" t="n">
        <v>0.5</v>
      </c>
      <c r="H489" t="n">
        <v>0</v>
      </c>
      <c r="I489" t="n">
        <v>0</v>
      </c>
      <c r="J489" t="n">
        <v>0</v>
      </c>
      <c r="K489" t="n">
        <v>0</v>
      </c>
      <c r="L489" t="n">
        <v>0</v>
      </c>
      <c r="M489" t="n">
        <v>0</v>
      </c>
      <c r="N489" t="n">
        <v>0</v>
      </c>
      <c r="O489" t="n">
        <v>0</v>
      </c>
      <c r="P489" t="n">
        <v>0</v>
      </c>
      <c r="Q489" t="n">
        <v>0</v>
      </c>
      <c r="R489" s="2" t="inlineStr"/>
    </row>
    <row r="490" ht="15" customHeight="1">
      <c r="A490" t="inlineStr">
        <is>
          <t>A 13927-2026</t>
        </is>
      </c>
      <c r="B490" s="1" t="n">
        <v>46098</v>
      </c>
      <c r="C490" s="1" t="n">
        <v>46104</v>
      </c>
      <c r="D490" t="inlineStr">
        <is>
          <t>ÖSTERGÖTLANDS LÄN</t>
        </is>
      </c>
      <c r="E490" t="inlineStr">
        <is>
          <t>LINKÖPING</t>
        </is>
      </c>
      <c r="G490" t="n">
        <v>1.8</v>
      </c>
      <c r="H490" t="n">
        <v>0</v>
      </c>
      <c r="I490" t="n">
        <v>0</v>
      </c>
      <c r="J490" t="n">
        <v>0</v>
      </c>
      <c r="K490" t="n">
        <v>0</v>
      </c>
      <c r="L490" t="n">
        <v>0</v>
      </c>
      <c r="M490" t="n">
        <v>0</v>
      </c>
      <c r="N490" t="n">
        <v>0</v>
      </c>
      <c r="O490" t="n">
        <v>0</v>
      </c>
      <c r="P490" t="n">
        <v>0</v>
      </c>
      <c r="Q490" t="n">
        <v>0</v>
      </c>
      <c r="R490" s="2" t="inlineStr"/>
    </row>
    <row r="491" ht="15" customHeight="1">
      <c r="A491" t="inlineStr">
        <is>
          <t>A 14157-2026</t>
        </is>
      </c>
      <c r="B491" s="1" t="n">
        <v>46099.46829861111</v>
      </c>
      <c r="C491" s="1" t="n">
        <v>46104</v>
      </c>
      <c r="D491" t="inlineStr">
        <is>
          <t>ÖSTERGÖTLANDS LÄN</t>
        </is>
      </c>
      <c r="E491" t="inlineStr">
        <is>
          <t>LINKÖPING</t>
        </is>
      </c>
      <c r="F491" t="inlineStr">
        <is>
          <t>Allmännings- och besparingsskogar</t>
        </is>
      </c>
      <c r="G491" t="n">
        <v>1.6</v>
      </c>
      <c r="H491" t="n">
        <v>0</v>
      </c>
      <c r="I491" t="n">
        <v>0</v>
      </c>
      <c r="J491" t="n">
        <v>0</v>
      </c>
      <c r="K491" t="n">
        <v>0</v>
      </c>
      <c r="L491" t="n">
        <v>0</v>
      </c>
      <c r="M491" t="n">
        <v>0</v>
      </c>
      <c r="N491" t="n">
        <v>0</v>
      </c>
      <c r="O491" t="n">
        <v>0</v>
      </c>
      <c r="P491" t="n">
        <v>0</v>
      </c>
      <c r="Q491" t="n">
        <v>0</v>
      </c>
      <c r="R491" s="2" t="inlineStr"/>
    </row>
    <row r="492" ht="15" customHeight="1">
      <c r="A492" t="inlineStr">
        <is>
          <t>A 24904-2024</t>
        </is>
      </c>
      <c r="B492" s="1" t="n">
        <v>45461</v>
      </c>
      <c r="C492" s="1" t="n">
        <v>46104</v>
      </c>
      <c r="D492" t="inlineStr">
        <is>
          <t>ÖSTERGÖTLANDS LÄN</t>
        </is>
      </c>
      <c r="E492" t="inlineStr">
        <is>
          <t>LINKÖPING</t>
        </is>
      </c>
      <c r="G492" t="n">
        <v>3.8</v>
      </c>
      <c r="H492" t="n">
        <v>0</v>
      </c>
      <c r="I492" t="n">
        <v>0</v>
      </c>
      <c r="J492" t="n">
        <v>0</v>
      </c>
      <c r="K492" t="n">
        <v>0</v>
      </c>
      <c r="L492" t="n">
        <v>0</v>
      </c>
      <c r="M492" t="n">
        <v>0</v>
      </c>
      <c r="N492" t="n">
        <v>0</v>
      </c>
      <c r="O492" t="n">
        <v>0</v>
      </c>
      <c r="P492" t="n">
        <v>0</v>
      </c>
      <c r="Q492" t="n">
        <v>0</v>
      </c>
      <c r="R492" s="2" t="inlineStr"/>
    </row>
    <row r="493" ht="15" customHeight="1">
      <c r="A493" t="inlineStr">
        <is>
          <t>A 55009-2023</t>
        </is>
      </c>
      <c r="B493" s="1" t="n">
        <v>45237</v>
      </c>
      <c r="C493" s="1" t="n">
        <v>46104</v>
      </c>
      <c r="D493" t="inlineStr">
        <is>
          <t>ÖSTERGÖTLANDS LÄN</t>
        </is>
      </c>
      <c r="E493" t="inlineStr">
        <is>
          <t>LINKÖPING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34872-2023</t>
        </is>
      </c>
      <c r="B494" s="1" t="n">
        <v>45140</v>
      </c>
      <c r="C494" s="1" t="n">
        <v>46104</v>
      </c>
      <c r="D494" t="inlineStr">
        <is>
          <t>ÖSTERGÖTLANDS LÄN</t>
        </is>
      </c>
      <c r="E494" t="inlineStr">
        <is>
          <t>LINKÖPING</t>
        </is>
      </c>
      <c r="G494" t="n">
        <v>4.8</v>
      </c>
      <c r="H494" t="n">
        <v>0</v>
      </c>
      <c r="I494" t="n">
        <v>0</v>
      </c>
      <c r="J494" t="n">
        <v>0</v>
      </c>
      <c r="K494" t="n">
        <v>0</v>
      </c>
      <c r="L494" t="n">
        <v>0</v>
      </c>
      <c r="M494" t="n">
        <v>0</v>
      </c>
      <c r="N494" t="n">
        <v>0</v>
      </c>
      <c r="O494" t="n">
        <v>0</v>
      </c>
      <c r="P494" t="n">
        <v>0</v>
      </c>
      <c r="Q494" t="n">
        <v>0</v>
      </c>
      <c r="R494" s="2" t="inlineStr"/>
    </row>
    <row r="495" ht="15" customHeight="1">
      <c r="A495" t="inlineStr">
        <is>
          <t>A 27950-2025</t>
        </is>
      </c>
      <c r="B495" s="1" t="n">
        <v>45817.52960648148</v>
      </c>
      <c r="C495" s="1" t="n">
        <v>46104</v>
      </c>
      <c r="D495" t="inlineStr">
        <is>
          <t>ÖSTERGÖTLANDS LÄN</t>
        </is>
      </c>
      <c r="E495" t="inlineStr">
        <is>
          <t>LINKÖPING</t>
        </is>
      </c>
      <c r="G495" t="n">
        <v>0.7</v>
      </c>
      <c r="H495" t="n">
        <v>0</v>
      </c>
      <c r="I495" t="n">
        <v>0</v>
      </c>
      <c r="J495" t="n">
        <v>0</v>
      </c>
      <c r="K495" t="n">
        <v>0</v>
      </c>
      <c r="L495" t="n">
        <v>0</v>
      </c>
      <c r="M495" t="n">
        <v>0</v>
      </c>
      <c r="N495" t="n">
        <v>0</v>
      </c>
      <c r="O495" t="n">
        <v>0</v>
      </c>
      <c r="P495" t="n">
        <v>0</v>
      </c>
      <c r="Q495" t="n">
        <v>0</v>
      </c>
      <c r="R495" s="2" t="inlineStr"/>
    </row>
    <row r="496" ht="15" customHeight="1">
      <c r="A496" t="inlineStr">
        <is>
          <t>A 7133-2026</t>
        </is>
      </c>
      <c r="B496" s="1" t="n">
        <v>46057</v>
      </c>
      <c r="C496" s="1" t="n">
        <v>46104</v>
      </c>
      <c r="D496" t="inlineStr">
        <is>
          <t>ÖSTERGÖTLANDS LÄN</t>
        </is>
      </c>
      <c r="E496" t="inlineStr">
        <is>
          <t>LINKÖPING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36336-2022</t>
        </is>
      </c>
      <c r="B497" s="1" t="n">
        <v>44803</v>
      </c>
      <c r="C497" s="1" t="n">
        <v>46104</v>
      </c>
      <c r="D497" t="inlineStr">
        <is>
          <t>ÖSTERGÖTLANDS LÄN</t>
        </is>
      </c>
      <c r="E497" t="inlineStr">
        <is>
          <t>LINKÖPING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27797-2025</t>
        </is>
      </c>
      <c r="B498" s="1" t="n">
        <v>45816.80521990741</v>
      </c>
      <c r="C498" s="1" t="n">
        <v>46104</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27798-2025</t>
        </is>
      </c>
      <c r="B499" s="1" t="n">
        <v>45816.81532407407</v>
      </c>
      <c r="C499" s="1" t="n">
        <v>46104</v>
      </c>
      <c r="D499" t="inlineStr">
        <is>
          <t>ÖSTERGÖTLANDS LÄN</t>
        </is>
      </c>
      <c r="E499" t="inlineStr">
        <is>
          <t>LINKÖPING</t>
        </is>
      </c>
      <c r="G499" t="n">
        <v>1.9</v>
      </c>
      <c r="H499" t="n">
        <v>0</v>
      </c>
      <c r="I499" t="n">
        <v>0</v>
      </c>
      <c r="J499" t="n">
        <v>0</v>
      </c>
      <c r="K499" t="n">
        <v>0</v>
      </c>
      <c r="L499" t="n">
        <v>0</v>
      </c>
      <c r="M499" t="n">
        <v>0</v>
      </c>
      <c r="N499" t="n">
        <v>0</v>
      </c>
      <c r="O499" t="n">
        <v>0</v>
      </c>
      <c r="P499" t="n">
        <v>0</v>
      </c>
      <c r="Q499" t="n">
        <v>0</v>
      </c>
      <c r="R499" s="2" t="inlineStr"/>
    </row>
    <row r="500" ht="15" customHeight="1">
      <c r="A500" t="inlineStr">
        <is>
          <t>A 25097-2023</t>
        </is>
      </c>
      <c r="B500" s="1" t="n">
        <v>45086</v>
      </c>
      <c r="C500" s="1" t="n">
        <v>46104</v>
      </c>
      <c r="D500" t="inlineStr">
        <is>
          <t>ÖSTERGÖTLANDS LÄN</t>
        </is>
      </c>
      <c r="E500" t="inlineStr">
        <is>
          <t>LINKÖPING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28200-2025</t>
        </is>
      </c>
      <c r="B501" s="1" t="n">
        <v>45818.4428125</v>
      </c>
      <c r="C501" s="1" t="n">
        <v>46104</v>
      </c>
      <c r="D501" t="inlineStr">
        <is>
          <t>ÖSTERGÖTLANDS LÄN</t>
        </is>
      </c>
      <c r="E501" t="inlineStr">
        <is>
          <t>LINKÖPING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28204-2025</t>
        </is>
      </c>
      <c r="B502" s="1" t="n">
        <v>45818.4477662037</v>
      </c>
      <c r="C502" s="1" t="n">
        <v>46104</v>
      </c>
      <c r="D502" t="inlineStr">
        <is>
          <t>ÖSTERGÖTLANDS LÄN</t>
        </is>
      </c>
      <c r="E502" t="inlineStr">
        <is>
          <t>LINKÖPING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28416-2025</t>
        </is>
      </c>
      <c r="B503" s="1" t="n">
        <v>45819.35346064815</v>
      </c>
      <c r="C503" s="1" t="n">
        <v>46104</v>
      </c>
      <c r="D503" t="inlineStr">
        <is>
          <t>ÖSTERGÖTLANDS LÄN</t>
        </is>
      </c>
      <c r="E503" t="inlineStr">
        <is>
          <t>LINKÖPING</t>
        </is>
      </c>
      <c r="F503" t="inlineStr">
        <is>
          <t>Sveaskog</t>
        </is>
      </c>
      <c r="G503" t="n">
        <v>3.7</v>
      </c>
      <c r="H503" t="n">
        <v>0</v>
      </c>
      <c r="I503" t="n">
        <v>0</v>
      </c>
      <c r="J503" t="n">
        <v>0</v>
      </c>
      <c r="K503" t="n">
        <v>0</v>
      </c>
      <c r="L503" t="n">
        <v>0</v>
      </c>
      <c r="M503" t="n">
        <v>0</v>
      </c>
      <c r="N503" t="n">
        <v>0</v>
      </c>
      <c r="O503" t="n">
        <v>0</v>
      </c>
      <c r="P503" t="n">
        <v>0</v>
      </c>
      <c r="Q503" t="n">
        <v>0</v>
      </c>
      <c r="R503" s="2" t="inlineStr"/>
    </row>
    <row r="504" ht="15" customHeight="1">
      <c r="A504" t="inlineStr">
        <is>
          <t>A 10461-2023</t>
        </is>
      </c>
      <c r="B504" s="1" t="n">
        <v>44987.5969212963</v>
      </c>
      <c r="C504" s="1" t="n">
        <v>46104</v>
      </c>
      <c r="D504" t="inlineStr">
        <is>
          <t>ÖSTERGÖTLANDS LÄN</t>
        </is>
      </c>
      <c r="E504" t="inlineStr">
        <is>
          <t>LINKÖPING</t>
        </is>
      </c>
      <c r="G504" t="n">
        <v>7.8</v>
      </c>
      <c r="H504" t="n">
        <v>0</v>
      </c>
      <c r="I504" t="n">
        <v>0</v>
      </c>
      <c r="J504" t="n">
        <v>0</v>
      </c>
      <c r="K504" t="n">
        <v>0</v>
      </c>
      <c r="L504" t="n">
        <v>0</v>
      </c>
      <c r="M504" t="n">
        <v>0</v>
      </c>
      <c r="N504" t="n">
        <v>0</v>
      </c>
      <c r="O504" t="n">
        <v>0</v>
      </c>
      <c r="P504" t="n">
        <v>0</v>
      </c>
      <c r="Q504" t="n">
        <v>0</v>
      </c>
      <c r="R504" s="2" t="inlineStr"/>
    </row>
    <row r="505" ht="15" customHeight="1">
      <c r="A505" t="inlineStr">
        <is>
          <t>A 50386-2021</t>
        </is>
      </c>
      <c r="B505" s="1" t="n">
        <v>44459</v>
      </c>
      <c r="C505" s="1" t="n">
        <v>46104</v>
      </c>
      <c r="D505" t="inlineStr">
        <is>
          <t>ÖSTERGÖTLANDS LÄN</t>
        </is>
      </c>
      <c r="E505" t="inlineStr">
        <is>
          <t>LINKÖPING</t>
        </is>
      </c>
      <c r="G505" t="n">
        <v>2.3</v>
      </c>
      <c r="H505" t="n">
        <v>0</v>
      </c>
      <c r="I505" t="n">
        <v>0</v>
      </c>
      <c r="J505" t="n">
        <v>0</v>
      </c>
      <c r="K505" t="n">
        <v>0</v>
      </c>
      <c r="L505" t="n">
        <v>0</v>
      </c>
      <c r="M505" t="n">
        <v>0</v>
      </c>
      <c r="N505" t="n">
        <v>0</v>
      </c>
      <c r="O505" t="n">
        <v>0</v>
      </c>
      <c r="P505" t="n">
        <v>0</v>
      </c>
      <c r="Q505" t="n">
        <v>0</v>
      </c>
      <c r="R505" s="2" t="inlineStr"/>
    </row>
    <row r="506" ht="15" customHeight="1">
      <c r="A506" t="inlineStr">
        <is>
          <t>A 28398-2025</t>
        </is>
      </c>
      <c r="B506" s="1" t="n">
        <v>45819.34208333334</v>
      </c>
      <c r="C506" s="1" t="n">
        <v>46104</v>
      </c>
      <c r="D506" t="inlineStr">
        <is>
          <t>ÖSTERGÖTLANDS LÄN</t>
        </is>
      </c>
      <c r="E506" t="inlineStr">
        <is>
          <t>LINKÖPING</t>
        </is>
      </c>
      <c r="F506" t="inlineStr">
        <is>
          <t>Sveaskog</t>
        </is>
      </c>
      <c r="G506" t="n">
        <v>7.9</v>
      </c>
      <c r="H506" t="n">
        <v>0</v>
      </c>
      <c r="I506" t="n">
        <v>0</v>
      </c>
      <c r="J506" t="n">
        <v>0</v>
      </c>
      <c r="K506" t="n">
        <v>0</v>
      </c>
      <c r="L506" t="n">
        <v>0</v>
      </c>
      <c r="M506" t="n">
        <v>0</v>
      </c>
      <c r="N506" t="n">
        <v>0</v>
      </c>
      <c r="O506" t="n">
        <v>0</v>
      </c>
      <c r="P506" t="n">
        <v>0</v>
      </c>
      <c r="Q506" t="n">
        <v>0</v>
      </c>
      <c r="R506" s="2" t="inlineStr"/>
    </row>
    <row r="507" ht="15" customHeight="1">
      <c r="A507" t="inlineStr">
        <is>
          <t>A 28209-2025</t>
        </is>
      </c>
      <c r="B507" s="1" t="n">
        <v>45818.45112268518</v>
      </c>
      <c r="C507" s="1" t="n">
        <v>46104</v>
      </c>
      <c r="D507" t="inlineStr">
        <is>
          <t>ÖSTERGÖTLANDS LÄN</t>
        </is>
      </c>
      <c r="E507" t="inlineStr">
        <is>
          <t>LINKÖPING</t>
        </is>
      </c>
      <c r="G507" t="n">
        <v>4.2</v>
      </c>
      <c r="H507" t="n">
        <v>0</v>
      </c>
      <c r="I507" t="n">
        <v>0</v>
      </c>
      <c r="J507" t="n">
        <v>0</v>
      </c>
      <c r="K507" t="n">
        <v>0</v>
      </c>
      <c r="L507" t="n">
        <v>0</v>
      </c>
      <c r="M507" t="n">
        <v>0</v>
      </c>
      <c r="N507" t="n">
        <v>0</v>
      </c>
      <c r="O507" t="n">
        <v>0</v>
      </c>
      <c r="P507" t="n">
        <v>0</v>
      </c>
      <c r="Q507" t="n">
        <v>0</v>
      </c>
      <c r="R507" s="2" t="inlineStr"/>
    </row>
    <row r="508" ht="15" customHeight="1">
      <c r="A508" t="inlineStr">
        <is>
          <t>A 350-2022</t>
        </is>
      </c>
      <c r="B508" s="1" t="n">
        <v>44565</v>
      </c>
      <c r="C508" s="1" t="n">
        <v>46104</v>
      </c>
      <c r="D508" t="inlineStr">
        <is>
          <t>ÖSTERGÖTLANDS LÄN</t>
        </is>
      </c>
      <c r="E508" t="inlineStr">
        <is>
          <t>LINKÖPING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18891-2022</t>
        </is>
      </c>
      <c r="B509" s="1" t="n">
        <v>44690</v>
      </c>
      <c r="C509" s="1" t="n">
        <v>46104</v>
      </c>
      <c r="D509" t="inlineStr">
        <is>
          <t>ÖSTERGÖTLANDS LÄN</t>
        </is>
      </c>
      <c r="E509" t="inlineStr">
        <is>
          <t>LINKÖPING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29027-2025</t>
        </is>
      </c>
      <c r="B510" s="1" t="n">
        <v>45821.4375462963</v>
      </c>
      <c r="C510" s="1" t="n">
        <v>46104</v>
      </c>
      <c r="D510" t="inlineStr">
        <is>
          <t>ÖSTERGÖTLANDS LÄN</t>
        </is>
      </c>
      <c r="E510" t="inlineStr">
        <is>
          <t>LINKÖPING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30976-2022</t>
        </is>
      </c>
      <c r="B511" s="1" t="n">
        <v>44768</v>
      </c>
      <c r="C511" s="1" t="n">
        <v>46104</v>
      </c>
      <c r="D511" t="inlineStr">
        <is>
          <t>ÖSTERGÖTLANDS LÄN</t>
        </is>
      </c>
      <c r="E511" t="inlineStr">
        <is>
          <t>LINKÖPING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29411-2025</t>
        </is>
      </c>
      <c r="B512" s="1" t="n">
        <v>45824.6219212963</v>
      </c>
      <c r="C512" s="1" t="n">
        <v>46104</v>
      </c>
      <c r="D512" t="inlineStr">
        <is>
          <t>ÖSTERGÖTLANDS LÄN</t>
        </is>
      </c>
      <c r="E512" t="inlineStr">
        <is>
          <t>LINKÖPING</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55736-2022</t>
        </is>
      </c>
      <c r="B513" s="1" t="n">
        <v>44888</v>
      </c>
      <c r="C513" s="1" t="n">
        <v>46104</v>
      </c>
      <c r="D513" t="inlineStr">
        <is>
          <t>ÖSTERGÖTLANDS LÄN</t>
        </is>
      </c>
      <c r="E513" t="inlineStr">
        <is>
          <t>LINKÖPING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29599-2025</t>
        </is>
      </c>
      <c r="B514" s="1" t="n">
        <v>45825.41101851852</v>
      </c>
      <c r="C514" s="1" t="n">
        <v>46104</v>
      </c>
      <c r="D514" t="inlineStr">
        <is>
          <t>ÖSTERGÖTLANDS LÄN</t>
        </is>
      </c>
      <c r="E514" t="inlineStr">
        <is>
          <t>LINKÖPING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10194-2023</t>
        </is>
      </c>
      <c r="B515" s="1" t="n">
        <v>44986.52277777778</v>
      </c>
      <c r="C515" s="1" t="n">
        <v>46104</v>
      </c>
      <c r="D515" t="inlineStr">
        <is>
          <t>ÖSTERGÖTLANDS LÄN</t>
        </is>
      </c>
      <c r="E515" t="inlineStr">
        <is>
          <t>LINKÖPING</t>
        </is>
      </c>
      <c r="G515" t="n">
        <v>0.7</v>
      </c>
      <c r="H515" t="n">
        <v>0</v>
      </c>
      <c r="I515" t="n">
        <v>0</v>
      </c>
      <c r="J515" t="n">
        <v>0</v>
      </c>
      <c r="K515" t="n">
        <v>0</v>
      </c>
      <c r="L515" t="n">
        <v>0</v>
      </c>
      <c r="M515" t="n">
        <v>0</v>
      </c>
      <c r="N515" t="n">
        <v>0</v>
      </c>
      <c r="O515" t="n">
        <v>0</v>
      </c>
      <c r="P515" t="n">
        <v>0</v>
      </c>
      <c r="Q515" t="n">
        <v>0</v>
      </c>
      <c r="R515" s="2" t="inlineStr"/>
    </row>
    <row r="516" ht="15" customHeight="1">
      <c r="A516" t="inlineStr">
        <is>
          <t>A 30355-2025</t>
        </is>
      </c>
      <c r="B516" s="1" t="n">
        <v>45827</v>
      </c>
      <c r="C516" s="1" t="n">
        <v>46104</v>
      </c>
      <c r="D516" t="inlineStr">
        <is>
          <t>ÖSTERGÖTLANDS LÄN</t>
        </is>
      </c>
      <c r="E516" t="inlineStr">
        <is>
          <t>LINKÖPING</t>
        </is>
      </c>
      <c r="F516" t="inlineStr">
        <is>
          <t>Sveaskog</t>
        </is>
      </c>
      <c r="G516" t="n">
        <v>3.1</v>
      </c>
      <c r="H516" t="n">
        <v>0</v>
      </c>
      <c r="I516" t="n">
        <v>0</v>
      </c>
      <c r="J516" t="n">
        <v>0</v>
      </c>
      <c r="K516" t="n">
        <v>0</v>
      </c>
      <c r="L516" t="n">
        <v>0</v>
      </c>
      <c r="M516" t="n">
        <v>0</v>
      </c>
      <c r="N516" t="n">
        <v>0</v>
      </c>
      <c r="O516" t="n">
        <v>0</v>
      </c>
      <c r="P516" t="n">
        <v>0</v>
      </c>
      <c r="Q516" t="n">
        <v>0</v>
      </c>
      <c r="R516" s="2" t="inlineStr"/>
    </row>
    <row r="517" ht="15" customHeight="1">
      <c r="A517" t="inlineStr">
        <is>
          <t>A 30353-2025</t>
        </is>
      </c>
      <c r="B517" s="1" t="n">
        <v>45827</v>
      </c>
      <c r="C517" s="1" t="n">
        <v>46104</v>
      </c>
      <c r="D517" t="inlineStr">
        <is>
          <t>ÖSTERGÖTLANDS LÄN</t>
        </is>
      </c>
      <c r="E517" t="inlineStr">
        <is>
          <t>LINKÖPING</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7702-2023</t>
        </is>
      </c>
      <c r="B518" s="1" t="n">
        <v>44967</v>
      </c>
      <c r="C518" s="1" t="n">
        <v>46104</v>
      </c>
      <c r="D518" t="inlineStr">
        <is>
          <t>ÖSTERGÖTLANDS LÄN</t>
        </is>
      </c>
      <c r="E518" t="inlineStr">
        <is>
          <t>LINKÖPING</t>
        </is>
      </c>
      <c r="F518" t="inlineStr">
        <is>
          <t>Övriga statliga verk och myndigheter</t>
        </is>
      </c>
      <c r="G518" t="n">
        <v>8</v>
      </c>
      <c r="H518" t="n">
        <v>0</v>
      </c>
      <c r="I518" t="n">
        <v>0</v>
      </c>
      <c r="J518" t="n">
        <v>0</v>
      </c>
      <c r="K518" t="n">
        <v>0</v>
      </c>
      <c r="L518" t="n">
        <v>0</v>
      </c>
      <c r="M518" t="n">
        <v>0</v>
      </c>
      <c r="N518" t="n">
        <v>0</v>
      </c>
      <c r="O518" t="n">
        <v>0</v>
      </c>
      <c r="P518" t="n">
        <v>0</v>
      </c>
      <c r="Q518" t="n">
        <v>0</v>
      </c>
      <c r="R518" s="2" t="inlineStr"/>
    </row>
    <row r="519" ht="15" customHeight="1">
      <c r="A519" t="inlineStr">
        <is>
          <t>A 42000-2023</t>
        </is>
      </c>
      <c r="B519" s="1" t="n">
        <v>45177</v>
      </c>
      <c r="C519" s="1" t="n">
        <v>46104</v>
      </c>
      <c r="D519" t="inlineStr">
        <is>
          <t>ÖSTERGÖTLANDS LÄN</t>
        </is>
      </c>
      <c r="E519" t="inlineStr">
        <is>
          <t>LINKÖPING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31534-2023</t>
        </is>
      </c>
      <c r="B520" s="1" t="n">
        <v>45116</v>
      </c>
      <c r="C520" s="1" t="n">
        <v>46104</v>
      </c>
      <c r="D520" t="inlineStr">
        <is>
          <t>ÖSTERGÖTLANDS LÄN</t>
        </is>
      </c>
      <c r="E520" t="inlineStr">
        <is>
          <t>LINKÖPING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35427-2023</t>
        </is>
      </c>
      <c r="B521" s="1" t="n">
        <v>45146</v>
      </c>
      <c r="C521" s="1" t="n">
        <v>46104</v>
      </c>
      <c r="D521" t="inlineStr">
        <is>
          <t>ÖSTERGÖTLANDS LÄN</t>
        </is>
      </c>
      <c r="E521" t="inlineStr">
        <is>
          <t>LINKÖPING</t>
        </is>
      </c>
      <c r="F521" t="inlineStr">
        <is>
          <t>Övriga Aktiebolag</t>
        </is>
      </c>
      <c r="G521" t="n">
        <v>2.5</v>
      </c>
      <c r="H521" t="n">
        <v>0</v>
      </c>
      <c r="I521" t="n">
        <v>0</v>
      </c>
      <c r="J521" t="n">
        <v>0</v>
      </c>
      <c r="K521" t="n">
        <v>0</v>
      </c>
      <c r="L521" t="n">
        <v>0</v>
      </c>
      <c r="M521" t="n">
        <v>0</v>
      </c>
      <c r="N521" t="n">
        <v>0</v>
      </c>
      <c r="O521" t="n">
        <v>0</v>
      </c>
      <c r="P521" t="n">
        <v>0</v>
      </c>
      <c r="Q521" t="n">
        <v>0</v>
      </c>
      <c r="R521" s="2" t="inlineStr"/>
    </row>
    <row r="522" ht="15" customHeight="1">
      <c r="A522" t="inlineStr">
        <is>
          <t>A 36725-2023</t>
        </is>
      </c>
      <c r="B522" s="1" t="n">
        <v>45153.68471064815</v>
      </c>
      <c r="C522" s="1" t="n">
        <v>46104</v>
      </c>
      <c r="D522" t="inlineStr">
        <is>
          <t>ÖSTERGÖTLANDS LÄN</t>
        </is>
      </c>
      <c r="E522" t="inlineStr">
        <is>
          <t>LINKÖPING</t>
        </is>
      </c>
      <c r="F522" t="inlineStr">
        <is>
          <t>Allmännings- och besparingsskogar</t>
        </is>
      </c>
      <c r="G522" t="n">
        <v>2.6</v>
      </c>
      <c r="H522" t="n">
        <v>0</v>
      </c>
      <c r="I522" t="n">
        <v>0</v>
      </c>
      <c r="J522" t="n">
        <v>0</v>
      </c>
      <c r="K522" t="n">
        <v>0</v>
      </c>
      <c r="L522" t="n">
        <v>0</v>
      </c>
      <c r="M522" t="n">
        <v>0</v>
      </c>
      <c r="N522" t="n">
        <v>0</v>
      </c>
      <c r="O522" t="n">
        <v>0</v>
      </c>
      <c r="P522" t="n">
        <v>0</v>
      </c>
      <c r="Q522" t="n">
        <v>0</v>
      </c>
      <c r="R522" s="2" t="inlineStr"/>
    </row>
    <row r="523" ht="15" customHeight="1">
      <c r="A523" t="inlineStr">
        <is>
          <t>A 53639-2023</t>
        </is>
      </c>
      <c r="B523" s="1" t="n">
        <v>45230.59686342593</v>
      </c>
      <c r="C523" s="1" t="n">
        <v>46104</v>
      </c>
      <c r="D523" t="inlineStr">
        <is>
          <t>ÖSTERGÖTLANDS LÄN</t>
        </is>
      </c>
      <c r="E523" t="inlineStr">
        <is>
          <t>LINKÖPING</t>
        </is>
      </c>
      <c r="G523" t="n">
        <v>2.3</v>
      </c>
      <c r="H523" t="n">
        <v>0</v>
      </c>
      <c r="I523" t="n">
        <v>0</v>
      </c>
      <c r="J523" t="n">
        <v>0</v>
      </c>
      <c r="K523" t="n">
        <v>0</v>
      </c>
      <c r="L523" t="n">
        <v>0</v>
      </c>
      <c r="M523" t="n">
        <v>0</v>
      </c>
      <c r="N523" t="n">
        <v>0</v>
      </c>
      <c r="O523" t="n">
        <v>0</v>
      </c>
      <c r="P523" t="n">
        <v>0</v>
      </c>
      <c r="Q523" t="n">
        <v>0</v>
      </c>
      <c r="R523" s="2" t="inlineStr"/>
    </row>
    <row r="524" ht="15" customHeight="1">
      <c r="A524" t="inlineStr">
        <is>
          <t>A 1657-2024</t>
        </is>
      </c>
      <c r="B524" s="1" t="n">
        <v>45306.82501157407</v>
      </c>
      <c r="C524" s="1" t="n">
        <v>46104</v>
      </c>
      <c r="D524" t="inlineStr">
        <is>
          <t>ÖSTERGÖTLANDS LÄN</t>
        </is>
      </c>
      <c r="E524" t="inlineStr">
        <is>
          <t>LINKÖPING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50784-2022</t>
        </is>
      </c>
      <c r="B525" s="1" t="n">
        <v>44862</v>
      </c>
      <c r="C525" s="1" t="n">
        <v>46104</v>
      </c>
      <c r="D525" t="inlineStr">
        <is>
          <t>ÖSTERGÖTLANDS LÄN</t>
        </is>
      </c>
      <c r="E525" t="inlineStr">
        <is>
          <t>LINKÖPING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31581-2025</t>
        </is>
      </c>
      <c r="B526" s="1" t="n">
        <v>45833.6840162037</v>
      </c>
      <c r="C526" s="1" t="n">
        <v>46104</v>
      </c>
      <c r="D526" t="inlineStr">
        <is>
          <t>ÖSTERGÖTLANDS LÄN</t>
        </is>
      </c>
      <c r="E526" t="inlineStr">
        <is>
          <t>LINKÖPING</t>
        </is>
      </c>
      <c r="G526" t="n">
        <v>2.6</v>
      </c>
      <c r="H526" t="n">
        <v>0</v>
      </c>
      <c r="I526" t="n">
        <v>0</v>
      </c>
      <c r="J526" t="n">
        <v>0</v>
      </c>
      <c r="K526" t="n">
        <v>0</v>
      </c>
      <c r="L526" t="n">
        <v>0</v>
      </c>
      <c r="M526" t="n">
        <v>0</v>
      </c>
      <c r="N526" t="n">
        <v>0</v>
      </c>
      <c r="O526" t="n">
        <v>0</v>
      </c>
      <c r="P526" t="n">
        <v>0</v>
      </c>
      <c r="Q526" t="n">
        <v>0</v>
      </c>
      <c r="R526" s="2" t="inlineStr"/>
    </row>
    <row r="527" ht="15" customHeight="1">
      <c r="A527" t="inlineStr">
        <is>
          <t>A 31585-2025</t>
        </is>
      </c>
      <c r="B527" s="1" t="n">
        <v>45833.68815972222</v>
      </c>
      <c r="C527" s="1" t="n">
        <v>46104</v>
      </c>
      <c r="D527" t="inlineStr">
        <is>
          <t>ÖSTERGÖTLANDS LÄN</t>
        </is>
      </c>
      <c r="E527" t="inlineStr">
        <is>
          <t>LINKÖPING</t>
        </is>
      </c>
      <c r="G527" t="n">
        <v>1.6</v>
      </c>
      <c r="H527" t="n">
        <v>0</v>
      </c>
      <c r="I527" t="n">
        <v>0</v>
      </c>
      <c r="J527" t="n">
        <v>0</v>
      </c>
      <c r="K527" t="n">
        <v>0</v>
      </c>
      <c r="L527" t="n">
        <v>0</v>
      </c>
      <c r="M527" t="n">
        <v>0</v>
      </c>
      <c r="N527" t="n">
        <v>0</v>
      </c>
      <c r="O527" t="n">
        <v>0</v>
      </c>
      <c r="P527" t="n">
        <v>0</v>
      </c>
      <c r="Q527" t="n">
        <v>0</v>
      </c>
      <c r="R527" s="2" t="inlineStr"/>
    </row>
    <row r="528" ht="15" customHeight="1">
      <c r="A528" t="inlineStr">
        <is>
          <t>A 26803-2024</t>
        </is>
      </c>
      <c r="B528" s="1" t="n">
        <v>45470</v>
      </c>
      <c r="C528" s="1" t="n">
        <v>46104</v>
      </c>
      <c r="D528" t="inlineStr">
        <is>
          <t>ÖSTERGÖTLANDS LÄN</t>
        </is>
      </c>
      <c r="E528" t="inlineStr">
        <is>
          <t>LINKÖPING</t>
        </is>
      </c>
      <c r="F528" t="inlineStr">
        <is>
          <t>Allmännings- och besparingsskogar</t>
        </is>
      </c>
      <c r="G528" t="n">
        <v>4.5</v>
      </c>
      <c r="H528" t="n">
        <v>0</v>
      </c>
      <c r="I528" t="n">
        <v>0</v>
      </c>
      <c r="J528" t="n">
        <v>0</v>
      </c>
      <c r="K528" t="n">
        <v>0</v>
      </c>
      <c r="L528" t="n">
        <v>0</v>
      </c>
      <c r="M528" t="n">
        <v>0</v>
      </c>
      <c r="N528" t="n">
        <v>0</v>
      </c>
      <c r="O528" t="n">
        <v>0</v>
      </c>
      <c r="P528" t="n">
        <v>0</v>
      </c>
      <c r="Q528" t="n">
        <v>0</v>
      </c>
      <c r="R528" s="2" t="inlineStr"/>
    </row>
    <row r="529" ht="15" customHeight="1">
      <c r="A529" t="inlineStr">
        <is>
          <t>A 19187-2021</t>
        </is>
      </c>
      <c r="B529" s="1" t="n">
        <v>44308</v>
      </c>
      <c r="C529" s="1" t="n">
        <v>46104</v>
      </c>
      <c r="D529" t="inlineStr">
        <is>
          <t>ÖSTERGÖTLANDS LÄN</t>
        </is>
      </c>
      <c r="E529" t="inlineStr">
        <is>
          <t>LINKÖPING</t>
        </is>
      </c>
      <c r="F529" t="inlineStr">
        <is>
          <t>Allmännings- och besparingsskogar</t>
        </is>
      </c>
      <c r="G529" t="n">
        <v>20</v>
      </c>
      <c r="H529" t="n">
        <v>0</v>
      </c>
      <c r="I529" t="n">
        <v>0</v>
      </c>
      <c r="J529" t="n">
        <v>0</v>
      </c>
      <c r="K529" t="n">
        <v>0</v>
      </c>
      <c r="L529" t="n">
        <v>0</v>
      </c>
      <c r="M529" t="n">
        <v>0</v>
      </c>
      <c r="N529" t="n">
        <v>0</v>
      </c>
      <c r="O529" t="n">
        <v>0</v>
      </c>
      <c r="P529" t="n">
        <v>0</v>
      </c>
      <c r="Q529" t="n">
        <v>0</v>
      </c>
      <c r="R529" s="2" t="inlineStr"/>
    </row>
    <row r="530" ht="15" customHeight="1">
      <c r="A530" t="inlineStr">
        <is>
          <t>A 60472-2022</t>
        </is>
      </c>
      <c r="B530" s="1" t="n">
        <v>44911.41037037037</v>
      </c>
      <c r="C530" s="1" t="n">
        <v>46104</v>
      </c>
      <c r="D530" t="inlineStr">
        <is>
          <t>ÖSTERGÖTLANDS LÄN</t>
        </is>
      </c>
      <c r="E530" t="inlineStr">
        <is>
          <t>LINKÖPING</t>
        </is>
      </c>
      <c r="G530" t="n">
        <v>1.4</v>
      </c>
      <c r="H530" t="n">
        <v>0</v>
      </c>
      <c r="I530" t="n">
        <v>0</v>
      </c>
      <c r="J530" t="n">
        <v>0</v>
      </c>
      <c r="K530" t="n">
        <v>0</v>
      </c>
      <c r="L530" t="n">
        <v>0</v>
      </c>
      <c r="M530" t="n">
        <v>0</v>
      </c>
      <c r="N530" t="n">
        <v>0</v>
      </c>
      <c r="O530" t="n">
        <v>0</v>
      </c>
      <c r="P530" t="n">
        <v>0</v>
      </c>
      <c r="Q530" t="n">
        <v>0</v>
      </c>
      <c r="R530" s="2" t="inlineStr"/>
    </row>
    <row r="531" ht="15" customHeight="1">
      <c r="A531" t="inlineStr">
        <is>
          <t>A 43934-2023</t>
        </is>
      </c>
      <c r="B531" s="1" t="n">
        <v>45187</v>
      </c>
      <c r="C531" s="1" t="n">
        <v>46104</v>
      </c>
      <c r="D531" t="inlineStr">
        <is>
          <t>ÖSTERGÖTLANDS LÄN</t>
        </is>
      </c>
      <c r="E531" t="inlineStr">
        <is>
          <t>LINKÖPING</t>
        </is>
      </c>
      <c r="F531" t="inlineStr">
        <is>
          <t>Övriga Aktiebolag</t>
        </is>
      </c>
      <c r="G531" t="n">
        <v>3.8</v>
      </c>
      <c r="H531" t="n">
        <v>0</v>
      </c>
      <c r="I531" t="n">
        <v>0</v>
      </c>
      <c r="J531" t="n">
        <v>0</v>
      </c>
      <c r="K531" t="n">
        <v>0</v>
      </c>
      <c r="L531" t="n">
        <v>0</v>
      </c>
      <c r="M531" t="n">
        <v>0</v>
      </c>
      <c r="N531" t="n">
        <v>0</v>
      </c>
      <c r="O531" t="n">
        <v>0</v>
      </c>
      <c r="P531" t="n">
        <v>0</v>
      </c>
      <c r="Q531" t="n">
        <v>0</v>
      </c>
      <c r="R531" s="2" t="inlineStr"/>
    </row>
    <row r="532" ht="15" customHeight="1">
      <c r="A532" t="inlineStr">
        <is>
          <t>A 22774-2024</t>
        </is>
      </c>
      <c r="B532" s="1" t="n">
        <v>45448.46924768519</v>
      </c>
      <c r="C532" s="1" t="n">
        <v>46104</v>
      </c>
      <c r="D532" t="inlineStr">
        <is>
          <t>ÖSTERGÖTLANDS LÄN</t>
        </is>
      </c>
      <c r="E532" t="inlineStr">
        <is>
          <t>LINKÖPING</t>
        </is>
      </c>
      <c r="F532" t="inlineStr">
        <is>
          <t>Sveaskog</t>
        </is>
      </c>
      <c r="G532" t="n">
        <v>3.3</v>
      </c>
      <c r="H532" t="n">
        <v>0</v>
      </c>
      <c r="I532" t="n">
        <v>0</v>
      </c>
      <c r="J532" t="n">
        <v>0</v>
      </c>
      <c r="K532" t="n">
        <v>0</v>
      </c>
      <c r="L532" t="n">
        <v>0</v>
      </c>
      <c r="M532" t="n">
        <v>0</v>
      </c>
      <c r="N532" t="n">
        <v>0</v>
      </c>
      <c r="O532" t="n">
        <v>0</v>
      </c>
      <c r="P532" t="n">
        <v>0</v>
      </c>
      <c r="Q532" t="n">
        <v>0</v>
      </c>
      <c r="R532" s="2" t="inlineStr"/>
    </row>
    <row r="533" ht="15" customHeight="1">
      <c r="A533" t="inlineStr">
        <is>
          <t>A 22778-2024</t>
        </is>
      </c>
      <c r="B533" s="1" t="n">
        <v>45448.47233796296</v>
      </c>
      <c r="C533" s="1" t="n">
        <v>46104</v>
      </c>
      <c r="D533" t="inlineStr">
        <is>
          <t>ÖSTERGÖTLANDS LÄN</t>
        </is>
      </c>
      <c r="E533" t="inlineStr">
        <is>
          <t>LINKÖPING</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1209-2023</t>
        </is>
      </c>
      <c r="B534" s="1" t="n">
        <v>44930</v>
      </c>
      <c r="C534" s="1" t="n">
        <v>46104</v>
      </c>
      <c r="D534" t="inlineStr">
        <is>
          <t>ÖSTERGÖTLANDS LÄN</t>
        </is>
      </c>
      <c r="E534" t="inlineStr">
        <is>
          <t>LINKÖPING</t>
        </is>
      </c>
      <c r="F534" t="inlineStr">
        <is>
          <t>Övriga statliga verk och myndigheter</t>
        </is>
      </c>
      <c r="G534" t="n">
        <v>25.8</v>
      </c>
      <c r="H534" t="n">
        <v>0</v>
      </c>
      <c r="I534" t="n">
        <v>0</v>
      </c>
      <c r="J534" t="n">
        <v>0</v>
      </c>
      <c r="K534" t="n">
        <v>0</v>
      </c>
      <c r="L534" t="n">
        <v>0</v>
      </c>
      <c r="M534" t="n">
        <v>0</v>
      </c>
      <c r="N534" t="n">
        <v>0</v>
      </c>
      <c r="O534" t="n">
        <v>0</v>
      </c>
      <c r="P534" t="n">
        <v>0</v>
      </c>
      <c r="Q534" t="n">
        <v>0</v>
      </c>
      <c r="R534" s="2" t="inlineStr"/>
    </row>
    <row r="535" ht="15" customHeight="1">
      <c r="A535" t="inlineStr">
        <is>
          <t>A 10407-2025</t>
        </is>
      </c>
      <c r="B535" s="1" t="n">
        <v>45720.62863425926</v>
      </c>
      <c r="C535" s="1" t="n">
        <v>46104</v>
      </c>
      <c r="D535" t="inlineStr">
        <is>
          <t>ÖSTERGÖTLANDS LÄN</t>
        </is>
      </c>
      <c r="E535" t="inlineStr">
        <is>
          <t>LINKÖPING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11590-2023</t>
        </is>
      </c>
      <c r="B536" s="1" t="n">
        <v>44994.36689814815</v>
      </c>
      <c r="C536" s="1" t="n">
        <v>46104</v>
      </c>
      <c r="D536" t="inlineStr">
        <is>
          <t>ÖSTERGÖTLANDS LÄN</t>
        </is>
      </c>
      <c r="E536" t="inlineStr">
        <is>
          <t>LINKÖPING</t>
        </is>
      </c>
      <c r="G536" t="n">
        <v>3.1</v>
      </c>
      <c r="H536" t="n">
        <v>0</v>
      </c>
      <c r="I536" t="n">
        <v>0</v>
      </c>
      <c r="J536" t="n">
        <v>0</v>
      </c>
      <c r="K536" t="n">
        <v>0</v>
      </c>
      <c r="L536" t="n">
        <v>0</v>
      </c>
      <c r="M536" t="n">
        <v>0</v>
      </c>
      <c r="N536" t="n">
        <v>0</v>
      </c>
      <c r="O536" t="n">
        <v>0</v>
      </c>
      <c r="P536" t="n">
        <v>0</v>
      </c>
      <c r="Q536" t="n">
        <v>0</v>
      </c>
      <c r="R536" s="2" t="inlineStr"/>
    </row>
    <row r="537" ht="15" customHeight="1">
      <c r="A537" t="inlineStr">
        <is>
          <t>A 19169-2023</t>
        </is>
      </c>
      <c r="B537" s="1" t="n">
        <v>45044</v>
      </c>
      <c r="C537" s="1" t="n">
        <v>46104</v>
      </c>
      <c r="D537" t="inlineStr">
        <is>
          <t>ÖSTERGÖTLANDS LÄN</t>
        </is>
      </c>
      <c r="E537" t="inlineStr">
        <is>
          <t>LINKÖPING</t>
        </is>
      </c>
      <c r="G537" t="n">
        <v>2.7</v>
      </c>
      <c r="H537" t="n">
        <v>0</v>
      </c>
      <c r="I537" t="n">
        <v>0</v>
      </c>
      <c r="J537" t="n">
        <v>0</v>
      </c>
      <c r="K537" t="n">
        <v>0</v>
      </c>
      <c r="L537" t="n">
        <v>0</v>
      </c>
      <c r="M537" t="n">
        <v>0</v>
      </c>
      <c r="N537" t="n">
        <v>0</v>
      </c>
      <c r="O537" t="n">
        <v>0</v>
      </c>
      <c r="P537" t="n">
        <v>0</v>
      </c>
      <c r="Q537" t="n">
        <v>0</v>
      </c>
      <c r="R537" s="2" t="inlineStr"/>
    </row>
    <row r="538" ht="15" customHeight="1">
      <c r="A538" t="inlineStr">
        <is>
          <t>A 672-2024</t>
        </is>
      </c>
      <c r="B538" s="1" t="n">
        <v>45300</v>
      </c>
      <c r="C538" s="1" t="n">
        <v>46104</v>
      </c>
      <c r="D538" t="inlineStr">
        <is>
          <t>ÖSTERGÖTLANDS LÄN</t>
        </is>
      </c>
      <c r="E538" t="inlineStr">
        <is>
          <t>LINKÖPING</t>
        </is>
      </c>
      <c r="F538" t="inlineStr">
        <is>
          <t>Sveaskog</t>
        </is>
      </c>
      <c r="G538" t="n">
        <v>4.5</v>
      </c>
      <c r="H538" t="n">
        <v>0</v>
      </c>
      <c r="I538" t="n">
        <v>0</v>
      </c>
      <c r="J538" t="n">
        <v>0</v>
      </c>
      <c r="K538" t="n">
        <v>0</v>
      </c>
      <c r="L538" t="n">
        <v>0</v>
      </c>
      <c r="M538" t="n">
        <v>0</v>
      </c>
      <c r="N538" t="n">
        <v>0</v>
      </c>
      <c r="O538" t="n">
        <v>0</v>
      </c>
      <c r="P538" t="n">
        <v>0</v>
      </c>
      <c r="Q538" t="n">
        <v>0</v>
      </c>
      <c r="R538" s="2" t="inlineStr"/>
    </row>
    <row r="539" ht="15" customHeight="1">
      <c r="A539" t="inlineStr">
        <is>
          <t>A 55493-2021</t>
        </is>
      </c>
      <c r="B539" s="1" t="n">
        <v>44475.61988425926</v>
      </c>
      <c r="C539" s="1" t="n">
        <v>46104</v>
      </c>
      <c r="D539" t="inlineStr">
        <is>
          <t>ÖSTERGÖTLANDS LÄN</t>
        </is>
      </c>
      <c r="E539" t="inlineStr">
        <is>
          <t>LINKÖPING</t>
        </is>
      </c>
      <c r="G539" t="n">
        <v>1.5</v>
      </c>
      <c r="H539" t="n">
        <v>0</v>
      </c>
      <c r="I539" t="n">
        <v>0</v>
      </c>
      <c r="J539" t="n">
        <v>0</v>
      </c>
      <c r="K539" t="n">
        <v>0</v>
      </c>
      <c r="L539" t="n">
        <v>0</v>
      </c>
      <c r="M539" t="n">
        <v>0</v>
      </c>
      <c r="N539" t="n">
        <v>0</v>
      </c>
      <c r="O539" t="n">
        <v>0</v>
      </c>
      <c r="P539" t="n">
        <v>0</v>
      </c>
      <c r="Q539" t="n">
        <v>0</v>
      </c>
      <c r="R539" s="2" t="inlineStr"/>
    </row>
    <row r="540" ht="15" customHeight="1">
      <c r="A540" t="inlineStr">
        <is>
          <t>A 32723-2025</t>
        </is>
      </c>
      <c r="B540" s="1" t="n">
        <v>45838</v>
      </c>
      <c r="C540" s="1" t="n">
        <v>46104</v>
      </c>
      <c r="D540" t="inlineStr">
        <is>
          <t>ÖSTERGÖTLANDS LÄN</t>
        </is>
      </c>
      <c r="E540" t="inlineStr">
        <is>
          <t>LINKÖPING</t>
        </is>
      </c>
      <c r="G540" t="n">
        <v>2.1</v>
      </c>
      <c r="H540" t="n">
        <v>0</v>
      </c>
      <c r="I540" t="n">
        <v>0</v>
      </c>
      <c r="J540" t="n">
        <v>0</v>
      </c>
      <c r="K540" t="n">
        <v>0</v>
      </c>
      <c r="L540" t="n">
        <v>0</v>
      </c>
      <c r="M540" t="n">
        <v>0</v>
      </c>
      <c r="N540" t="n">
        <v>0</v>
      </c>
      <c r="O540" t="n">
        <v>0</v>
      </c>
      <c r="P540" t="n">
        <v>0</v>
      </c>
      <c r="Q540" t="n">
        <v>0</v>
      </c>
      <c r="R540" s="2" t="inlineStr"/>
    </row>
    <row r="541" ht="15" customHeight="1">
      <c r="A541" t="inlineStr">
        <is>
          <t>A 14093-2024</t>
        </is>
      </c>
      <c r="B541" s="1" t="n">
        <v>45392.60278935185</v>
      </c>
      <c r="C541" s="1" t="n">
        <v>46104</v>
      </c>
      <c r="D541" t="inlineStr">
        <is>
          <t>ÖSTERGÖTLANDS LÄN</t>
        </is>
      </c>
      <c r="E541" t="inlineStr">
        <is>
          <t>LINKÖPING</t>
        </is>
      </c>
      <c r="F541" t="inlineStr">
        <is>
          <t>Övriga Aktiebolag</t>
        </is>
      </c>
      <c r="G541" t="n">
        <v>0.6</v>
      </c>
      <c r="H541" t="n">
        <v>0</v>
      </c>
      <c r="I541" t="n">
        <v>0</v>
      </c>
      <c r="J541" t="n">
        <v>0</v>
      </c>
      <c r="K541" t="n">
        <v>0</v>
      </c>
      <c r="L541" t="n">
        <v>0</v>
      </c>
      <c r="M541" t="n">
        <v>0</v>
      </c>
      <c r="N541" t="n">
        <v>0</v>
      </c>
      <c r="O541" t="n">
        <v>0</v>
      </c>
      <c r="P541" t="n">
        <v>0</v>
      </c>
      <c r="Q541" t="n">
        <v>0</v>
      </c>
      <c r="R541" s="2" t="inlineStr"/>
    </row>
    <row r="542" ht="15" customHeight="1">
      <c r="A542" t="inlineStr">
        <is>
          <t>A 62019-2024</t>
        </is>
      </c>
      <c r="B542" s="1" t="n">
        <v>45655.82</v>
      </c>
      <c r="C542" s="1" t="n">
        <v>46104</v>
      </c>
      <c r="D542" t="inlineStr">
        <is>
          <t>ÖSTERGÖTLANDS LÄN</t>
        </is>
      </c>
      <c r="E542" t="inlineStr">
        <is>
          <t>LINKÖPING</t>
        </is>
      </c>
      <c r="G542" t="n">
        <v>1.1</v>
      </c>
      <c r="H542" t="n">
        <v>0</v>
      </c>
      <c r="I542" t="n">
        <v>0</v>
      </c>
      <c r="J542" t="n">
        <v>0</v>
      </c>
      <c r="K542" t="n">
        <v>0</v>
      </c>
      <c r="L542" t="n">
        <v>0</v>
      </c>
      <c r="M542" t="n">
        <v>0</v>
      </c>
      <c r="N542" t="n">
        <v>0</v>
      </c>
      <c r="O542" t="n">
        <v>0</v>
      </c>
      <c r="P542" t="n">
        <v>0</v>
      </c>
      <c r="Q542" t="n">
        <v>0</v>
      </c>
      <c r="R542" s="2" t="inlineStr"/>
    </row>
    <row r="543" ht="15" customHeight="1">
      <c r="A543" t="inlineStr">
        <is>
          <t>A 25119-2023</t>
        </is>
      </c>
      <c r="B543" s="1" t="n">
        <v>45086.42326388889</v>
      </c>
      <c r="C543" s="1" t="n">
        <v>46104</v>
      </c>
      <c r="D543" t="inlineStr">
        <is>
          <t>ÖSTERGÖTLANDS LÄN</t>
        </is>
      </c>
      <c r="E543" t="inlineStr">
        <is>
          <t>LINKÖPING</t>
        </is>
      </c>
      <c r="G543" t="n">
        <v>3.2</v>
      </c>
      <c r="H543" t="n">
        <v>0</v>
      </c>
      <c r="I543" t="n">
        <v>0</v>
      </c>
      <c r="J543" t="n">
        <v>0</v>
      </c>
      <c r="K543" t="n">
        <v>0</v>
      </c>
      <c r="L543" t="n">
        <v>0</v>
      </c>
      <c r="M543" t="n">
        <v>0</v>
      </c>
      <c r="N543" t="n">
        <v>0</v>
      </c>
      <c r="O543" t="n">
        <v>0</v>
      </c>
      <c r="P543" t="n">
        <v>0</v>
      </c>
      <c r="Q543" t="n">
        <v>0</v>
      </c>
      <c r="R543" s="2" t="inlineStr"/>
    </row>
    <row r="544" ht="15" customHeight="1">
      <c r="A544" t="inlineStr">
        <is>
          <t>A 57396-2021</t>
        </is>
      </c>
      <c r="B544" s="1" t="n">
        <v>44483.56151620371</v>
      </c>
      <c r="C544" s="1" t="n">
        <v>46104</v>
      </c>
      <c r="D544" t="inlineStr">
        <is>
          <t>ÖSTERGÖTLANDS LÄN</t>
        </is>
      </c>
      <c r="E544" t="inlineStr">
        <is>
          <t>LINKÖPING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51571-2024</t>
        </is>
      </c>
      <c r="B545" s="1" t="n">
        <v>45604</v>
      </c>
      <c r="C545" s="1" t="n">
        <v>46104</v>
      </c>
      <c r="D545" t="inlineStr">
        <is>
          <t>ÖSTERGÖTLANDS LÄN</t>
        </is>
      </c>
      <c r="E545" t="inlineStr">
        <is>
          <t>LINKÖPING</t>
        </is>
      </c>
      <c r="F545" t="inlineStr">
        <is>
          <t>Övriga Aktiebolag</t>
        </is>
      </c>
      <c r="G545" t="n">
        <v>1.4</v>
      </c>
      <c r="H545" t="n">
        <v>0</v>
      </c>
      <c r="I545" t="n">
        <v>0</v>
      </c>
      <c r="J545" t="n">
        <v>0</v>
      </c>
      <c r="K545" t="n">
        <v>0</v>
      </c>
      <c r="L545" t="n">
        <v>0</v>
      </c>
      <c r="M545" t="n">
        <v>0</v>
      </c>
      <c r="N545" t="n">
        <v>0</v>
      </c>
      <c r="O545" t="n">
        <v>0</v>
      </c>
      <c r="P545" t="n">
        <v>0</v>
      </c>
      <c r="Q545" t="n">
        <v>0</v>
      </c>
      <c r="R545" s="2" t="inlineStr"/>
    </row>
    <row r="546" ht="15" customHeight="1">
      <c r="A546" t="inlineStr">
        <is>
          <t>A 17143-2025</t>
        </is>
      </c>
      <c r="B546" s="1" t="n">
        <v>45755.92731481481</v>
      </c>
      <c r="C546" s="1" t="n">
        <v>46104</v>
      </c>
      <c r="D546" t="inlineStr">
        <is>
          <t>ÖSTERGÖTLANDS LÄN</t>
        </is>
      </c>
      <c r="E546" t="inlineStr">
        <is>
          <t>LINKÖPING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17124-2025</t>
        </is>
      </c>
      <c r="B547" s="1" t="n">
        <v>45755.69678240741</v>
      </c>
      <c r="C547" s="1" t="n">
        <v>46104</v>
      </c>
      <c r="D547" t="inlineStr">
        <is>
          <t>ÖSTERGÖTLANDS LÄN</t>
        </is>
      </c>
      <c r="E547" t="inlineStr">
        <is>
          <t>LINKÖPING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17126-2025</t>
        </is>
      </c>
      <c r="B548" s="1" t="n">
        <v>45755.70814814815</v>
      </c>
      <c r="C548" s="1" t="n">
        <v>46104</v>
      </c>
      <c r="D548" t="inlineStr">
        <is>
          <t>ÖSTERGÖTLANDS LÄN</t>
        </is>
      </c>
      <c r="E548" t="inlineStr">
        <is>
          <t>LINKÖPING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31640-2023</t>
        </is>
      </c>
      <c r="B549" s="1" t="n">
        <v>45117</v>
      </c>
      <c r="C549" s="1" t="n">
        <v>46104</v>
      </c>
      <c r="D549" t="inlineStr">
        <is>
          <t>ÖSTERGÖTLANDS LÄN</t>
        </is>
      </c>
      <c r="E549" t="inlineStr">
        <is>
          <t>LINKÖPING</t>
        </is>
      </c>
      <c r="G549" t="n">
        <v>0.5</v>
      </c>
      <c r="H549" t="n">
        <v>0</v>
      </c>
      <c r="I549" t="n">
        <v>0</v>
      </c>
      <c r="J549" t="n">
        <v>0</v>
      </c>
      <c r="K549" t="n">
        <v>0</v>
      </c>
      <c r="L549" t="n">
        <v>0</v>
      </c>
      <c r="M549" t="n">
        <v>0</v>
      </c>
      <c r="N549" t="n">
        <v>0</v>
      </c>
      <c r="O549" t="n">
        <v>0</v>
      </c>
      <c r="P549" t="n">
        <v>0</v>
      </c>
      <c r="Q549" t="n">
        <v>0</v>
      </c>
      <c r="R549" s="2" t="inlineStr"/>
    </row>
    <row r="550" ht="15" customHeight="1">
      <c r="A550" t="inlineStr">
        <is>
          <t>A 33947-2025</t>
        </is>
      </c>
      <c r="B550" s="1" t="n">
        <v>45842.65444444444</v>
      </c>
      <c r="C550" s="1" t="n">
        <v>46104</v>
      </c>
      <c r="D550" t="inlineStr">
        <is>
          <t>ÖSTERGÖTLANDS LÄN</t>
        </is>
      </c>
      <c r="E550" t="inlineStr">
        <is>
          <t>LINKÖPING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53529-2024</t>
        </is>
      </c>
      <c r="B551" s="1" t="n">
        <v>45614</v>
      </c>
      <c r="C551" s="1" t="n">
        <v>46104</v>
      </c>
      <c r="D551" t="inlineStr">
        <is>
          <t>ÖSTERGÖTLANDS LÄN</t>
        </is>
      </c>
      <c r="E551" t="inlineStr">
        <is>
          <t>LINKÖPING</t>
        </is>
      </c>
      <c r="G551" t="n">
        <v>6.7</v>
      </c>
      <c r="H551" t="n">
        <v>0</v>
      </c>
      <c r="I551" t="n">
        <v>0</v>
      </c>
      <c r="J551" t="n">
        <v>0</v>
      </c>
      <c r="K551" t="n">
        <v>0</v>
      </c>
      <c r="L551" t="n">
        <v>0</v>
      </c>
      <c r="M551" t="n">
        <v>0</v>
      </c>
      <c r="N551" t="n">
        <v>0</v>
      </c>
      <c r="O551" t="n">
        <v>0</v>
      </c>
      <c r="P551" t="n">
        <v>0</v>
      </c>
      <c r="Q551" t="n">
        <v>0</v>
      </c>
      <c r="R551" s="2" t="inlineStr"/>
    </row>
    <row r="552" ht="15" customHeight="1">
      <c r="A552" t="inlineStr">
        <is>
          <t>A 62012-2024</t>
        </is>
      </c>
      <c r="B552" s="1" t="n">
        <v>45655.79679398148</v>
      </c>
      <c r="C552" s="1" t="n">
        <v>46104</v>
      </c>
      <c r="D552" t="inlineStr">
        <is>
          <t>ÖSTERGÖTLANDS LÄN</t>
        </is>
      </c>
      <c r="E552" t="inlineStr">
        <is>
          <t>LINKÖPING</t>
        </is>
      </c>
      <c r="G552" t="n">
        <v>1.5</v>
      </c>
      <c r="H552" t="n">
        <v>0</v>
      </c>
      <c r="I552" t="n">
        <v>0</v>
      </c>
      <c r="J552" t="n">
        <v>0</v>
      </c>
      <c r="K552" t="n">
        <v>0</v>
      </c>
      <c r="L552" t="n">
        <v>0</v>
      </c>
      <c r="M552" t="n">
        <v>0</v>
      </c>
      <c r="N552" t="n">
        <v>0</v>
      </c>
      <c r="O552" t="n">
        <v>0</v>
      </c>
      <c r="P552" t="n">
        <v>0</v>
      </c>
      <c r="Q552" t="n">
        <v>0</v>
      </c>
      <c r="R552" s="2" t="inlineStr"/>
    </row>
    <row r="553" ht="15" customHeight="1">
      <c r="A553" t="inlineStr">
        <is>
          <t>A 20469-2025</t>
        </is>
      </c>
      <c r="B553" s="1" t="n">
        <v>45775</v>
      </c>
      <c r="C553" s="1" t="n">
        <v>46104</v>
      </c>
      <c r="D553" t="inlineStr">
        <is>
          <t>ÖSTERGÖTLANDS LÄN</t>
        </is>
      </c>
      <c r="E553" t="inlineStr">
        <is>
          <t>LINKÖPING</t>
        </is>
      </c>
      <c r="F553" t="inlineStr">
        <is>
          <t>Kyrkan</t>
        </is>
      </c>
      <c r="G553" t="n">
        <v>6.1</v>
      </c>
      <c r="H553" t="n">
        <v>0</v>
      </c>
      <c r="I553" t="n">
        <v>0</v>
      </c>
      <c r="J553" t="n">
        <v>0</v>
      </c>
      <c r="K553" t="n">
        <v>0</v>
      </c>
      <c r="L553" t="n">
        <v>0</v>
      </c>
      <c r="M553" t="n">
        <v>0</v>
      </c>
      <c r="N553" t="n">
        <v>0</v>
      </c>
      <c r="O553" t="n">
        <v>0</v>
      </c>
      <c r="P553" t="n">
        <v>0</v>
      </c>
      <c r="Q553" t="n">
        <v>0</v>
      </c>
      <c r="R553" s="2" t="inlineStr"/>
    </row>
    <row r="554" ht="15" customHeight="1">
      <c r="A554" t="inlineStr">
        <is>
          <t>A 11790-2024</t>
        </is>
      </c>
      <c r="B554" s="1" t="n">
        <v>45374</v>
      </c>
      <c r="C554" s="1" t="n">
        <v>46104</v>
      </c>
      <c r="D554" t="inlineStr">
        <is>
          <t>ÖSTERGÖTLANDS LÄN</t>
        </is>
      </c>
      <c r="E554" t="inlineStr">
        <is>
          <t>LINKÖPING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61281-2021</t>
        </is>
      </c>
      <c r="B555" s="1" t="n">
        <v>44498.60736111111</v>
      </c>
      <c r="C555" s="1" t="n">
        <v>46104</v>
      </c>
      <c r="D555" t="inlineStr">
        <is>
          <t>ÖSTERGÖTLANDS LÄN</t>
        </is>
      </c>
      <c r="E555" t="inlineStr">
        <is>
          <t>LINKÖPING</t>
        </is>
      </c>
      <c r="G555" t="n">
        <v>4.5</v>
      </c>
      <c r="H555" t="n">
        <v>0</v>
      </c>
      <c r="I555" t="n">
        <v>0</v>
      </c>
      <c r="J555" t="n">
        <v>0</v>
      </c>
      <c r="K555" t="n">
        <v>0</v>
      </c>
      <c r="L555" t="n">
        <v>0</v>
      </c>
      <c r="M555" t="n">
        <v>0</v>
      </c>
      <c r="N555" t="n">
        <v>0</v>
      </c>
      <c r="O555" t="n">
        <v>0</v>
      </c>
      <c r="P555" t="n">
        <v>0</v>
      </c>
      <c r="Q555" t="n">
        <v>0</v>
      </c>
      <c r="R555" s="2" t="inlineStr"/>
    </row>
    <row r="556" ht="15" customHeight="1">
      <c r="A556" t="inlineStr">
        <is>
          <t>A 6206-2024</t>
        </is>
      </c>
      <c r="B556" s="1" t="n">
        <v>45337.5977662037</v>
      </c>
      <c r="C556" s="1" t="n">
        <v>46104</v>
      </c>
      <c r="D556" t="inlineStr">
        <is>
          <t>ÖSTERGÖTLANDS LÄN</t>
        </is>
      </c>
      <c r="E556" t="inlineStr">
        <is>
          <t>LINKÖPING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168-2024</t>
        </is>
      </c>
      <c r="B557" s="1" t="n">
        <v>45294</v>
      </c>
      <c r="C557" s="1" t="n">
        <v>46104</v>
      </c>
      <c r="D557" t="inlineStr">
        <is>
          <t>ÖSTERGÖTLANDS LÄN</t>
        </is>
      </c>
      <c r="E557" t="inlineStr">
        <is>
          <t>LINKÖPING</t>
        </is>
      </c>
      <c r="F557" t="inlineStr">
        <is>
          <t>Allmännings- och besparingsskogar</t>
        </is>
      </c>
      <c r="G557" t="n">
        <v>8.9</v>
      </c>
      <c r="H557" t="n">
        <v>0</v>
      </c>
      <c r="I557" t="n">
        <v>0</v>
      </c>
      <c r="J557" t="n">
        <v>0</v>
      </c>
      <c r="K557" t="n">
        <v>0</v>
      </c>
      <c r="L557" t="n">
        <v>0</v>
      </c>
      <c r="M557" t="n">
        <v>0</v>
      </c>
      <c r="N557" t="n">
        <v>0</v>
      </c>
      <c r="O557" t="n">
        <v>0</v>
      </c>
      <c r="P557" t="n">
        <v>0</v>
      </c>
      <c r="Q557" t="n">
        <v>0</v>
      </c>
      <c r="R557" s="2" t="inlineStr"/>
    </row>
    <row r="558" ht="15" customHeight="1">
      <c r="A558" t="inlineStr">
        <is>
          <t>A 33800-2023</t>
        </is>
      </c>
      <c r="B558" s="1" t="n">
        <v>45121</v>
      </c>
      <c r="C558" s="1" t="n">
        <v>46104</v>
      </c>
      <c r="D558" t="inlineStr">
        <is>
          <t>ÖSTERGÖTLANDS LÄN</t>
        </is>
      </c>
      <c r="E558" t="inlineStr">
        <is>
          <t>LINKÖPING</t>
        </is>
      </c>
      <c r="G558" t="n">
        <v>1.3</v>
      </c>
      <c r="H558" t="n">
        <v>0</v>
      </c>
      <c r="I558" t="n">
        <v>0</v>
      </c>
      <c r="J558" t="n">
        <v>0</v>
      </c>
      <c r="K558" t="n">
        <v>0</v>
      </c>
      <c r="L558" t="n">
        <v>0</v>
      </c>
      <c r="M558" t="n">
        <v>0</v>
      </c>
      <c r="N558" t="n">
        <v>0</v>
      </c>
      <c r="O558" t="n">
        <v>0</v>
      </c>
      <c r="P558" t="n">
        <v>0</v>
      </c>
      <c r="Q558" t="n">
        <v>0</v>
      </c>
      <c r="R558" s="2" t="inlineStr"/>
    </row>
    <row r="559" ht="15" customHeight="1">
      <c r="A559" t="inlineStr">
        <is>
          <t>A 26007-2025</t>
        </is>
      </c>
      <c r="B559" s="1" t="n">
        <v>45804.67081018518</v>
      </c>
      <c r="C559" s="1" t="n">
        <v>46104</v>
      </c>
      <c r="D559" t="inlineStr">
        <is>
          <t>ÖSTERGÖTLANDS LÄN</t>
        </is>
      </c>
      <c r="E559" t="inlineStr">
        <is>
          <t>LINKÖPING</t>
        </is>
      </c>
      <c r="G559" t="n">
        <v>1.5</v>
      </c>
      <c r="H559" t="n">
        <v>0</v>
      </c>
      <c r="I559" t="n">
        <v>0</v>
      </c>
      <c r="J559" t="n">
        <v>0</v>
      </c>
      <c r="K559" t="n">
        <v>0</v>
      </c>
      <c r="L559" t="n">
        <v>0</v>
      </c>
      <c r="M559" t="n">
        <v>0</v>
      </c>
      <c r="N559" t="n">
        <v>0</v>
      </c>
      <c r="O559" t="n">
        <v>0</v>
      </c>
      <c r="P559" t="n">
        <v>0</v>
      </c>
      <c r="Q559" t="n">
        <v>0</v>
      </c>
      <c r="R559" s="2" t="inlineStr"/>
    </row>
    <row r="560" ht="15" customHeight="1">
      <c r="A560" t="inlineStr">
        <is>
          <t>A 35174-2025</t>
        </is>
      </c>
      <c r="B560" s="1" t="n">
        <v>45852.90648148148</v>
      </c>
      <c r="C560" s="1" t="n">
        <v>46104</v>
      </c>
      <c r="D560" t="inlineStr">
        <is>
          <t>ÖSTERGÖTLANDS LÄN</t>
        </is>
      </c>
      <c r="E560" t="inlineStr">
        <is>
          <t>LINKÖPING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51919-2024</t>
        </is>
      </c>
      <c r="B561" s="1" t="n">
        <v>45607.60791666667</v>
      </c>
      <c r="C561" s="1" t="n">
        <v>46104</v>
      </c>
      <c r="D561" t="inlineStr">
        <is>
          <t>ÖSTERGÖTLANDS LÄN</t>
        </is>
      </c>
      <c r="E561" t="inlineStr">
        <is>
          <t>LINKÖPING</t>
        </is>
      </c>
      <c r="G561" t="n">
        <v>2.5</v>
      </c>
      <c r="H561" t="n">
        <v>0</v>
      </c>
      <c r="I561" t="n">
        <v>0</v>
      </c>
      <c r="J561" t="n">
        <v>0</v>
      </c>
      <c r="K561" t="n">
        <v>0</v>
      </c>
      <c r="L561" t="n">
        <v>0</v>
      </c>
      <c r="M561" t="n">
        <v>0</v>
      </c>
      <c r="N561" t="n">
        <v>0</v>
      </c>
      <c r="O561" t="n">
        <v>0</v>
      </c>
      <c r="P561" t="n">
        <v>0</v>
      </c>
      <c r="Q561" t="n">
        <v>0</v>
      </c>
      <c r="R561" s="2" t="inlineStr"/>
    </row>
    <row r="562" ht="15" customHeight="1">
      <c r="A562" t="inlineStr">
        <is>
          <t>A 56623-2024</t>
        </is>
      </c>
      <c r="B562" s="1" t="n">
        <v>45625</v>
      </c>
      <c r="C562" s="1" t="n">
        <v>46104</v>
      </c>
      <c r="D562" t="inlineStr">
        <is>
          <t>ÖSTERGÖTLANDS LÄN</t>
        </is>
      </c>
      <c r="E562" t="inlineStr">
        <is>
          <t>LINKÖPING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11330-2023</t>
        </is>
      </c>
      <c r="B563" s="1" t="n">
        <v>44993.24648148148</v>
      </c>
      <c r="C563" s="1" t="n">
        <v>46104</v>
      </c>
      <c r="D563" t="inlineStr">
        <is>
          <t>ÖSTERGÖTLANDS LÄN</t>
        </is>
      </c>
      <c r="E563" t="inlineStr">
        <is>
          <t>LINKÖPING</t>
        </is>
      </c>
      <c r="G563" t="n">
        <v>1.1</v>
      </c>
      <c r="H563" t="n">
        <v>0</v>
      </c>
      <c r="I563" t="n">
        <v>0</v>
      </c>
      <c r="J563" t="n">
        <v>0</v>
      </c>
      <c r="K563" t="n">
        <v>0</v>
      </c>
      <c r="L563" t="n">
        <v>0</v>
      </c>
      <c r="M563" t="n">
        <v>0</v>
      </c>
      <c r="N563" t="n">
        <v>0</v>
      </c>
      <c r="O563" t="n">
        <v>0</v>
      </c>
      <c r="P563" t="n">
        <v>0</v>
      </c>
      <c r="Q563" t="n">
        <v>0</v>
      </c>
      <c r="R563" s="2" t="inlineStr"/>
    </row>
    <row r="564" ht="15" customHeight="1">
      <c r="A564" t="inlineStr">
        <is>
          <t>A 47991-2023</t>
        </is>
      </c>
      <c r="B564" s="1" t="n">
        <v>45204.62655092592</v>
      </c>
      <c r="C564" s="1" t="n">
        <v>46104</v>
      </c>
      <c r="D564" t="inlineStr">
        <is>
          <t>ÖSTERGÖTLANDS LÄN</t>
        </is>
      </c>
      <c r="E564" t="inlineStr">
        <is>
          <t>LINKÖPING</t>
        </is>
      </c>
      <c r="F564" t="inlineStr">
        <is>
          <t>Allmännings- och besparingsskogar</t>
        </is>
      </c>
      <c r="G564" t="n">
        <v>7.3</v>
      </c>
      <c r="H564" t="n">
        <v>0</v>
      </c>
      <c r="I564" t="n">
        <v>0</v>
      </c>
      <c r="J564" t="n">
        <v>0</v>
      </c>
      <c r="K564" t="n">
        <v>0</v>
      </c>
      <c r="L564" t="n">
        <v>0</v>
      </c>
      <c r="M564" t="n">
        <v>0</v>
      </c>
      <c r="N564" t="n">
        <v>0</v>
      </c>
      <c r="O564" t="n">
        <v>0</v>
      </c>
      <c r="P564" t="n">
        <v>0</v>
      </c>
      <c r="Q564" t="n">
        <v>0</v>
      </c>
      <c r="R564" s="2" t="inlineStr"/>
    </row>
    <row r="565" ht="15" customHeight="1">
      <c r="A565" t="inlineStr">
        <is>
          <t>A 63304-2021</t>
        </is>
      </c>
      <c r="B565" s="1" t="n">
        <v>44508.4396412037</v>
      </c>
      <c r="C565" s="1" t="n">
        <v>46104</v>
      </c>
      <c r="D565" t="inlineStr">
        <is>
          <t>ÖSTERGÖTLANDS LÄN</t>
        </is>
      </c>
      <c r="E565" t="inlineStr">
        <is>
          <t>LINKÖPING</t>
        </is>
      </c>
      <c r="G565" t="n">
        <v>1</v>
      </c>
      <c r="H565" t="n">
        <v>0</v>
      </c>
      <c r="I565" t="n">
        <v>0</v>
      </c>
      <c r="J565" t="n">
        <v>0</v>
      </c>
      <c r="K565" t="n">
        <v>0</v>
      </c>
      <c r="L565" t="n">
        <v>0</v>
      </c>
      <c r="M565" t="n">
        <v>0</v>
      </c>
      <c r="N565" t="n">
        <v>0</v>
      </c>
      <c r="O565" t="n">
        <v>0</v>
      </c>
      <c r="P565" t="n">
        <v>0</v>
      </c>
      <c r="Q565" t="n">
        <v>0</v>
      </c>
      <c r="R565" s="2" t="inlineStr"/>
    </row>
    <row r="566" ht="15" customHeight="1">
      <c r="A566" t="inlineStr">
        <is>
          <t>A 35179-2025</t>
        </is>
      </c>
      <c r="B566" s="1" t="n">
        <v>45852.93737268518</v>
      </c>
      <c r="C566" s="1" t="n">
        <v>46104</v>
      </c>
      <c r="D566" t="inlineStr">
        <is>
          <t>ÖSTERGÖTLANDS LÄN</t>
        </is>
      </c>
      <c r="E566" t="inlineStr">
        <is>
          <t>LINKÖPING</t>
        </is>
      </c>
      <c r="G566" t="n">
        <v>2.2</v>
      </c>
      <c r="H566" t="n">
        <v>0</v>
      </c>
      <c r="I566" t="n">
        <v>0</v>
      </c>
      <c r="J566" t="n">
        <v>0</v>
      </c>
      <c r="K566" t="n">
        <v>0</v>
      </c>
      <c r="L566" t="n">
        <v>0</v>
      </c>
      <c r="M566" t="n">
        <v>0</v>
      </c>
      <c r="N566" t="n">
        <v>0</v>
      </c>
      <c r="O566" t="n">
        <v>0</v>
      </c>
      <c r="P566" t="n">
        <v>0</v>
      </c>
      <c r="Q566" t="n">
        <v>0</v>
      </c>
      <c r="R566" s="2" t="inlineStr"/>
    </row>
    <row r="567" ht="15" customHeight="1">
      <c r="A567" t="inlineStr">
        <is>
          <t>A 35180-2025</t>
        </is>
      </c>
      <c r="B567" s="1" t="n">
        <v>45852.9413425926</v>
      </c>
      <c r="C567" s="1" t="n">
        <v>46104</v>
      </c>
      <c r="D567" t="inlineStr">
        <is>
          <t>ÖSTERGÖTLANDS LÄN</t>
        </is>
      </c>
      <c r="E567" t="inlineStr">
        <is>
          <t>LINKÖPING</t>
        </is>
      </c>
      <c r="G567" t="n">
        <v>1.9</v>
      </c>
      <c r="H567" t="n">
        <v>0</v>
      </c>
      <c r="I567" t="n">
        <v>0</v>
      </c>
      <c r="J567" t="n">
        <v>0</v>
      </c>
      <c r="K567" t="n">
        <v>0</v>
      </c>
      <c r="L567" t="n">
        <v>0</v>
      </c>
      <c r="M567" t="n">
        <v>0</v>
      </c>
      <c r="N567" t="n">
        <v>0</v>
      </c>
      <c r="O567" t="n">
        <v>0</v>
      </c>
      <c r="P567" t="n">
        <v>0</v>
      </c>
      <c r="Q567" t="n">
        <v>0</v>
      </c>
      <c r="R567" s="2" t="inlineStr"/>
    </row>
    <row r="568" ht="15" customHeight="1">
      <c r="A568" t="inlineStr">
        <is>
          <t>A 14528-2025</t>
        </is>
      </c>
      <c r="B568" s="1" t="n">
        <v>45741</v>
      </c>
      <c r="C568" s="1" t="n">
        <v>46104</v>
      </c>
      <c r="D568" t="inlineStr">
        <is>
          <t>ÖSTERGÖTLANDS LÄN</t>
        </is>
      </c>
      <c r="E568" t="inlineStr">
        <is>
          <t>LINKÖPING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35178-2025</t>
        </is>
      </c>
      <c r="B569" s="1" t="n">
        <v>45852.91939814815</v>
      </c>
      <c r="C569" s="1" t="n">
        <v>46104</v>
      </c>
      <c r="D569" t="inlineStr">
        <is>
          <t>ÖSTERGÖTLANDS LÄN</t>
        </is>
      </c>
      <c r="E569" t="inlineStr">
        <is>
          <t>LINKÖPING</t>
        </is>
      </c>
      <c r="G569" t="n">
        <v>0.8</v>
      </c>
      <c r="H569" t="n">
        <v>0</v>
      </c>
      <c r="I569" t="n">
        <v>0</v>
      </c>
      <c r="J569" t="n">
        <v>0</v>
      </c>
      <c r="K569" t="n">
        <v>0</v>
      </c>
      <c r="L569" t="n">
        <v>0</v>
      </c>
      <c r="M569" t="n">
        <v>0</v>
      </c>
      <c r="N569" t="n">
        <v>0</v>
      </c>
      <c r="O569" t="n">
        <v>0</v>
      </c>
      <c r="P569" t="n">
        <v>0</v>
      </c>
      <c r="Q569" t="n">
        <v>0</v>
      </c>
      <c r="R569" s="2" t="inlineStr"/>
    </row>
    <row r="570" ht="15" customHeight="1">
      <c r="A570" t="inlineStr">
        <is>
          <t>A 3530-2024</t>
        </is>
      </c>
      <c r="B570" s="1" t="n">
        <v>45320.54717592592</v>
      </c>
      <c r="C570" s="1" t="n">
        <v>46104</v>
      </c>
      <c r="D570" t="inlineStr">
        <is>
          <t>ÖSTERGÖTLANDS LÄN</t>
        </is>
      </c>
      <c r="E570" t="inlineStr">
        <is>
          <t>LINKÖPING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62073-2023</t>
        </is>
      </c>
      <c r="B571" s="1" t="n">
        <v>45266.73844907407</v>
      </c>
      <c r="C571" s="1" t="n">
        <v>46104</v>
      </c>
      <c r="D571" t="inlineStr">
        <is>
          <t>ÖSTERGÖTLANDS LÄN</t>
        </is>
      </c>
      <c r="E571" t="inlineStr">
        <is>
          <t>LINKÖPING</t>
        </is>
      </c>
      <c r="F571" t="inlineStr">
        <is>
          <t>Allmännings- och besparingsskogar</t>
        </is>
      </c>
      <c r="G571" t="n">
        <v>1.8</v>
      </c>
      <c r="H571" t="n">
        <v>0</v>
      </c>
      <c r="I571" t="n">
        <v>0</v>
      </c>
      <c r="J571" t="n">
        <v>0</v>
      </c>
      <c r="K571" t="n">
        <v>0</v>
      </c>
      <c r="L571" t="n">
        <v>0</v>
      </c>
      <c r="M571" t="n">
        <v>0</v>
      </c>
      <c r="N571" t="n">
        <v>0</v>
      </c>
      <c r="O571" t="n">
        <v>0</v>
      </c>
      <c r="P571" t="n">
        <v>0</v>
      </c>
      <c r="Q571" t="n">
        <v>0</v>
      </c>
      <c r="R571" s="2" t="inlineStr"/>
    </row>
    <row r="572" ht="15" customHeight="1">
      <c r="A572" t="inlineStr">
        <is>
          <t>A 5872-2025</t>
        </is>
      </c>
      <c r="B572" s="1" t="n">
        <v>45695.36659722222</v>
      </c>
      <c r="C572" s="1" t="n">
        <v>46104</v>
      </c>
      <c r="D572" t="inlineStr">
        <is>
          <t>ÖSTERGÖTLANDS LÄN</t>
        </is>
      </c>
      <c r="E572" t="inlineStr">
        <is>
          <t>LINKÖPING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53814-2023</t>
        </is>
      </c>
      <c r="B573" s="1" t="n">
        <v>45231</v>
      </c>
      <c r="C573" s="1" t="n">
        <v>46104</v>
      </c>
      <c r="D573" t="inlineStr">
        <is>
          <t>ÖSTERGÖTLANDS LÄN</t>
        </is>
      </c>
      <c r="E573" t="inlineStr">
        <is>
          <t>LINKÖPING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3432-2023</t>
        </is>
      </c>
      <c r="B574" s="1" t="n">
        <v>44949</v>
      </c>
      <c r="C574" s="1" t="n">
        <v>46104</v>
      </c>
      <c r="D574" t="inlineStr">
        <is>
          <t>ÖSTERGÖTLANDS LÄN</t>
        </is>
      </c>
      <c r="E574" t="inlineStr">
        <is>
          <t>LINKÖPING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35757-2025</t>
        </is>
      </c>
      <c r="B575" s="1" t="n">
        <v>45860.59876157407</v>
      </c>
      <c r="C575" s="1" t="n">
        <v>46104</v>
      </c>
      <c r="D575" t="inlineStr">
        <is>
          <t>ÖSTERGÖTLANDS LÄN</t>
        </is>
      </c>
      <c r="E575" t="inlineStr">
        <is>
          <t>LINKÖPING</t>
        </is>
      </c>
      <c r="G575" t="n">
        <v>5.7</v>
      </c>
      <c r="H575" t="n">
        <v>0</v>
      </c>
      <c r="I575" t="n">
        <v>0</v>
      </c>
      <c r="J575" t="n">
        <v>0</v>
      </c>
      <c r="K575" t="n">
        <v>0</v>
      </c>
      <c r="L575" t="n">
        <v>0</v>
      </c>
      <c r="M575" t="n">
        <v>0</v>
      </c>
      <c r="N575" t="n">
        <v>0</v>
      </c>
      <c r="O575" t="n">
        <v>0</v>
      </c>
      <c r="P575" t="n">
        <v>0</v>
      </c>
      <c r="Q575" t="n">
        <v>0</v>
      </c>
      <c r="R575" s="2" t="inlineStr"/>
    </row>
    <row r="576" ht="15" customHeight="1">
      <c r="A576" t="inlineStr">
        <is>
          <t>A 35745-2025</t>
        </is>
      </c>
      <c r="B576" s="1" t="n">
        <v>45860.54739583333</v>
      </c>
      <c r="C576" s="1" t="n">
        <v>46104</v>
      </c>
      <c r="D576" t="inlineStr">
        <is>
          <t>ÖSTERGÖTLANDS LÄN</t>
        </is>
      </c>
      <c r="E576" t="inlineStr">
        <is>
          <t>LINKÖPING</t>
        </is>
      </c>
      <c r="G576" t="n">
        <v>4.4</v>
      </c>
      <c r="H576" t="n">
        <v>0</v>
      </c>
      <c r="I576" t="n">
        <v>0</v>
      </c>
      <c r="J576" t="n">
        <v>0</v>
      </c>
      <c r="K576" t="n">
        <v>0</v>
      </c>
      <c r="L576" t="n">
        <v>0</v>
      </c>
      <c r="M576" t="n">
        <v>0</v>
      </c>
      <c r="N576" t="n">
        <v>0</v>
      </c>
      <c r="O576" t="n">
        <v>0</v>
      </c>
      <c r="P576" t="n">
        <v>0</v>
      </c>
      <c r="Q576" t="n">
        <v>0</v>
      </c>
      <c r="R576" s="2" t="inlineStr"/>
    </row>
    <row r="577" ht="15" customHeight="1">
      <c r="A577" t="inlineStr">
        <is>
          <t>A 35747-2025</t>
        </is>
      </c>
      <c r="B577" s="1" t="n">
        <v>45860.56385416666</v>
      </c>
      <c r="C577" s="1" t="n">
        <v>46104</v>
      </c>
      <c r="D577" t="inlineStr">
        <is>
          <t>ÖSTERGÖTLANDS LÄN</t>
        </is>
      </c>
      <c r="E577" t="inlineStr">
        <is>
          <t>LINKÖPING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54425-2022</t>
        </is>
      </c>
      <c r="B578" s="1" t="n">
        <v>44882.57453703704</v>
      </c>
      <c r="C578" s="1" t="n">
        <v>46104</v>
      </c>
      <c r="D578" t="inlineStr">
        <is>
          <t>ÖSTERGÖTLANDS LÄN</t>
        </is>
      </c>
      <c r="E578" t="inlineStr">
        <is>
          <t>LINKÖPING</t>
        </is>
      </c>
      <c r="G578" t="n">
        <v>1.5</v>
      </c>
      <c r="H578" t="n">
        <v>0</v>
      </c>
      <c r="I578" t="n">
        <v>0</v>
      </c>
      <c r="J578" t="n">
        <v>0</v>
      </c>
      <c r="K578" t="n">
        <v>0</v>
      </c>
      <c r="L578" t="n">
        <v>0</v>
      </c>
      <c r="M578" t="n">
        <v>0</v>
      </c>
      <c r="N578" t="n">
        <v>0</v>
      </c>
      <c r="O578" t="n">
        <v>0</v>
      </c>
      <c r="P578" t="n">
        <v>0</v>
      </c>
      <c r="Q578" t="n">
        <v>0</v>
      </c>
      <c r="R578" s="2" t="inlineStr"/>
    </row>
    <row r="579" ht="15" customHeight="1">
      <c r="A579" t="inlineStr">
        <is>
          <t>A 54428-2022</t>
        </is>
      </c>
      <c r="B579" s="1" t="n">
        <v>44882.57643518518</v>
      </c>
      <c r="C579" s="1" t="n">
        <v>46104</v>
      </c>
      <c r="D579" t="inlineStr">
        <is>
          <t>ÖSTERGÖTLANDS LÄN</t>
        </is>
      </c>
      <c r="E579" t="inlineStr">
        <is>
          <t>LINKÖPING</t>
        </is>
      </c>
      <c r="G579" t="n">
        <v>1.4</v>
      </c>
      <c r="H579" t="n">
        <v>0</v>
      </c>
      <c r="I579" t="n">
        <v>0</v>
      </c>
      <c r="J579" t="n">
        <v>0</v>
      </c>
      <c r="K579" t="n">
        <v>0</v>
      </c>
      <c r="L579" t="n">
        <v>0</v>
      </c>
      <c r="M579" t="n">
        <v>0</v>
      </c>
      <c r="N579" t="n">
        <v>0</v>
      </c>
      <c r="O579" t="n">
        <v>0</v>
      </c>
      <c r="P579" t="n">
        <v>0</v>
      </c>
      <c r="Q579" t="n">
        <v>0</v>
      </c>
      <c r="R579" s="2" t="inlineStr"/>
    </row>
    <row r="580" ht="15" customHeight="1">
      <c r="A580" t="inlineStr">
        <is>
          <t>A 35759-2025</t>
        </is>
      </c>
      <c r="B580" s="1" t="n">
        <v>45860</v>
      </c>
      <c r="C580" s="1" t="n">
        <v>46104</v>
      </c>
      <c r="D580" t="inlineStr">
        <is>
          <t>ÖSTERGÖTLANDS LÄN</t>
        </is>
      </c>
      <c r="E580" t="inlineStr">
        <is>
          <t>LINKÖPING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660-2023</t>
        </is>
      </c>
      <c r="B581" s="1" t="n">
        <v>44930</v>
      </c>
      <c r="C581" s="1" t="n">
        <v>46104</v>
      </c>
      <c r="D581" t="inlineStr">
        <is>
          <t>ÖSTERGÖTLANDS LÄN</t>
        </is>
      </c>
      <c r="E581" t="inlineStr">
        <is>
          <t>LINKÖPING</t>
        </is>
      </c>
      <c r="F581" t="inlineStr">
        <is>
          <t>Kyrkan</t>
        </is>
      </c>
      <c r="G581" t="n">
        <v>1.6</v>
      </c>
      <c r="H581" t="n">
        <v>0</v>
      </c>
      <c r="I581" t="n">
        <v>0</v>
      </c>
      <c r="J581" t="n">
        <v>0</v>
      </c>
      <c r="K581" t="n">
        <v>0</v>
      </c>
      <c r="L581" t="n">
        <v>0</v>
      </c>
      <c r="M581" t="n">
        <v>0</v>
      </c>
      <c r="N581" t="n">
        <v>0</v>
      </c>
      <c r="O581" t="n">
        <v>0</v>
      </c>
      <c r="P581" t="n">
        <v>0</v>
      </c>
      <c r="Q581" t="n">
        <v>0</v>
      </c>
      <c r="R581" s="2" t="inlineStr"/>
    </row>
    <row r="582" ht="15" customHeight="1">
      <c r="A582" t="inlineStr">
        <is>
          <t>A 62501-2023</t>
        </is>
      </c>
      <c r="B582" s="1" t="n">
        <v>45268</v>
      </c>
      <c r="C582" s="1" t="n">
        <v>46104</v>
      </c>
      <c r="D582" t="inlineStr">
        <is>
          <t>ÖSTERGÖTLANDS LÄN</t>
        </is>
      </c>
      <c r="E582" t="inlineStr">
        <is>
          <t>LINKÖPING</t>
        </is>
      </c>
      <c r="G582" t="n">
        <v>7.4</v>
      </c>
      <c r="H582" t="n">
        <v>0</v>
      </c>
      <c r="I582" t="n">
        <v>0</v>
      </c>
      <c r="J582" t="n">
        <v>0</v>
      </c>
      <c r="K582" t="n">
        <v>0</v>
      </c>
      <c r="L582" t="n">
        <v>0</v>
      </c>
      <c r="M582" t="n">
        <v>0</v>
      </c>
      <c r="N582" t="n">
        <v>0</v>
      </c>
      <c r="O582" t="n">
        <v>0</v>
      </c>
      <c r="P582" t="n">
        <v>0</v>
      </c>
      <c r="Q582" t="n">
        <v>0</v>
      </c>
      <c r="R582" s="2" t="inlineStr"/>
    </row>
    <row r="583" ht="15" customHeight="1">
      <c r="A583" t="inlineStr">
        <is>
          <t>A 13413-2023</t>
        </is>
      </c>
      <c r="B583" s="1" t="n">
        <v>45005.58341435185</v>
      </c>
      <c r="C583" s="1" t="n">
        <v>46104</v>
      </c>
      <c r="D583" t="inlineStr">
        <is>
          <t>ÖSTERGÖTLANDS LÄN</t>
        </is>
      </c>
      <c r="E583" t="inlineStr">
        <is>
          <t>LINKÖPING</t>
        </is>
      </c>
      <c r="G583" t="n">
        <v>2.4</v>
      </c>
      <c r="H583" t="n">
        <v>0</v>
      </c>
      <c r="I583" t="n">
        <v>0</v>
      </c>
      <c r="J583" t="n">
        <v>0</v>
      </c>
      <c r="K583" t="n">
        <v>0</v>
      </c>
      <c r="L583" t="n">
        <v>0</v>
      </c>
      <c r="M583" t="n">
        <v>0</v>
      </c>
      <c r="N583" t="n">
        <v>0</v>
      </c>
      <c r="O583" t="n">
        <v>0</v>
      </c>
      <c r="P583" t="n">
        <v>0</v>
      </c>
      <c r="Q583" t="n">
        <v>0</v>
      </c>
      <c r="R583" s="2" t="inlineStr"/>
    </row>
    <row r="584" ht="15" customHeight="1">
      <c r="A584" t="inlineStr">
        <is>
          <t>A 26620-2023</t>
        </is>
      </c>
      <c r="B584" s="1" t="n">
        <v>45092.70390046296</v>
      </c>
      <c r="C584" s="1" t="n">
        <v>46104</v>
      </c>
      <c r="D584" t="inlineStr">
        <is>
          <t>ÖSTERGÖTLANDS LÄN</t>
        </is>
      </c>
      <c r="E584" t="inlineStr">
        <is>
          <t>LINKÖPING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16462-2021</t>
        </is>
      </c>
      <c r="B585" s="1" t="n">
        <v>44293</v>
      </c>
      <c r="C585" s="1" t="n">
        <v>46104</v>
      </c>
      <c r="D585" t="inlineStr">
        <is>
          <t>ÖSTERGÖTLANDS LÄN</t>
        </is>
      </c>
      <c r="E585" t="inlineStr">
        <is>
          <t>LINKÖPING</t>
        </is>
      </c>
      <c r="F585" t="inlineStr">
        <is>
          <t>Allmännings- och besparingsskogar</t>
        </is>
      </c>
      <c r="G585" t="n">
        <v>24.7</v>
      </c>
      <c r="H585" t="n">
        <v>0</v>
      </c>
      <c r="I585" t="n">
        <v>0</v>
      </c>
      <c r="J585" t="n">
        <v>0</v>
      </c>
      <c r="K585" t="n">
        <v>0</v>
      </c>
      <c r="L585" t="n">
        <v>0</v>
      </c>
      <c r="M585" t="n">
        <v>0</v>
      </c>
      <c r="N585" t="n">
        <v>0</v>
      </c>
      <c r="O585" t="n">
        <v>0</v>
      </c>
      <c r="P585" t="n">
        <v>0</v>
      </c>
      <c r="Q585" t="n">
        <v>0</v>
      </c>
      <c r="R585" s="2" t="inlineStr"/>
    </row>
    <row r="586" ht="15" customHeight="1">
      <c r="A586" t="inlineStr">
        <is>
          <t>A 63554-2023</t>
        </is>
      </c>
      <c r="B586" s="1" t="n">
        <v>45275</v>
      </c>
      <c r="C586" s="1" t="n">
        <v>46104</v>
      </c>
      <c r="D586" t="inlineStr">
        <is>
          <t>ÖSTERGÖTLANDS LÄN</t>
        </is>
      </c>
      <c r="E586" t="inlineStr">
        <is>
          <t>LINKÖPING</t>
        </is>
      </c>
      <c r="G586" t="n">
        <v>4.3</v>
      </c>
      <c r="H586" t="n">
        <v>0</v>
      </c>
      <c r="I586" t="n">
        <v>0</v>
      </c>
      <c r="J586" t="n">
        <v>0</v>
      </c>
      <c r="K586" t="n">
        <v>0</v>
      </c>
      <c r="L586" t="n">
        <v>0</v>
      </c>
      <c r="M586" t="n">
        <v>0</v>
      </c>
      <c r="N586" t="n">
        <v>0</v>
      </c>
      <c r="O586" t="n">
        <v>0</v>
      </c>
      <c r="P586" t="n">
        <v>0</v>
      </c>
      <c r="Q586" t="n">
        <v>0</v>
      </c>
      <c r="R586" s="2" t="inlineStr"/>
    </row>
    <row r="587" ht="15" customHeight="1">
      <c r="A587" t="inlineStr">
        <is>
          <t>A 63638-2023</t>
        </is>
      </c>
      <c r="B587" s="1" t="n">
        <v>45275</v>
      </c>
      <c r="C587" s="1" t="n">
        <v>46104</v>
      </c>
      <c r="D587" t="inlineStr">
        <is>
          <t>ÖSTERGÖTLANDS LÄN</t>
        </is>
      </c>
      <c r="E587" t="inlineStr">
        <is>
          <t>LINKÖPING</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63658-2023</t>
        </is>
      </c>
      <c r="B588" s="1" t="n">
        <v>45275</v>
      </c>
      <c r="C588" s="1" t="n">
        <v>46104</v>
      </c>
      <c r="D588" t="inlineStr">
        <is>
          <t>ÖSTERGÖTLANDS LÄN</t>
        </is>
      </c>
      <c r="E588" t="inlineStr">
        <is>
          <t>LINKÖPING</t>
        </is>
      </c>
      <c r="F588" t="inlineStr">
        <is>
          <t>Övriga Aktiebolag</t>
        </is>
      </c>
      <c r="G588" t="n">
        <v>1.5</v>
      </c>
      <c r="H588" t="n">
        <v>0</v>
      </c>
      <c r="I588" t="n">
        <v>0</v>
      </c>
      <c r="J588" t="n">
        <v>0</v>
      </c>
      <c r="K588" t="n">
        <v>0</v>
      </c>
      <c r="L588" t="n">
        <v>0</v>
      </c>
      <c r="M588" t="n">
        <v>0</v>
      </c>
      <c r="N588" t="n">
        <v>0</v>
      </c>
      <c r="O588" t="n">
        <v>0</v>
      </c>
      <c r="P588" t="n">
        <v>0</v>
      </c>
      <c r="Q588" t="n">
        <v>0</v>
      </c>
      <c r="R588" s="2" t="inlineStr"/>
    </row>
    <row r="589" ht="15" customHeight="1">
      <c r="A589" t="inlineStr">
        <is>
          <t>A 37057-2025</t>
        </is>
      </c>
      <c r="B589" s="1" t="n">
        <v>45875.37489583333</v>
      </c>
      <c r="C589" s="1" t="n">
        <v>46104</v>
      </c>
      <c r="D589" t="inlineStr">
        <is>
          <t>ÖSTERGÖTLANDS LÄN</t>
        </is>
      </c>
      <c r="E589" t="inlineStr">
        <is>
          <t>LINKÖPING</t>
        </is>
      </c>
      <c r="G589" t="n">
        <v>3.3</v>
      </c>
      <c r="H589" t="n">
        <v>0</v>
      </c>
      <c r="I589" t="n">
        <v>0</v>
      </c>
      <c r="J589" t="n">
        <v>0</v>
      </c>
      <c r="K589" t="n">
        <v>0</v>
      </c>
      <c r="L589" t="n">
        <v>0</v>
      </c>
      <c r="M589" t="n">
        <v>0</v>
      </c>
      <c r="N589" t="n">
        <v>0</v>
      </c>
      <c r="O589" t="n">
        <v>0</v>
      </c>
      <c r="P589" t="n">
        <v>0</v>
      </c>
      <c r="Q589" t="n">
        <v>0</v>
      </c>
      <c r="R589" s="2" t="inlineStr"/>
    </row>
    <row r="590" ht="15" customHeight="1">
      <c r="A590" t="inlineStr">
        <is>
          <t>A 16820-2024</t>
        </is>
      </c>
      <c r="B590" s="1" t="n">
        <v>45411.46809027778</v>
      </c>
      <c r="C590" s="1" t="n">
        <v>46104</v>
      </c>
      <c r="D590" t="inlineStr">
        <is>
          <t>ÖSTERGÖTLANDS LÄN</t>
        </is>
      </c>
      <c r="E590" t="inlineStr">
        <is>
          <t>LINKÖPING</t>
        </is>
      </c>
      <c r="G590" t="n">
        <v>1</v>
      </c>
      <c r="H590" t="n">
        <v>0</v>
      </c>
      <c r="I590" t="n">
        <v>0</v>
      </c>
      <c r="J590" t="n">
        <v>0</v>
      </c>
      <c r="K590" t="n">
        <v>0</v>
      </c>
      <c r="L590" t="n">
        <v>0</v>
      </c>
      <c r="M590" t="n">
        <v>0</v>
      </c>
      <c r="N590" t="n">
        <v>0</v>
      </c>
      <c r="O590" t="n">
        <v>0</v>
      </c>
      <c r="P590" t="n">
        <v>0</v>
      </c>
      <c r="Q590" t="n">
        <v>0</v>
      </c>
      <c r="R590" s="2" t="inlineStr"/>
    </row>
    <row r="591" ht="15" customHeight="1">
      <c r="A591" t="inlineStr">
        <is>
          <t>A 4456-2024</t>
        </is>
      </c>
      <c r="B591" s="1" t="n">
        <v>45327.52847222222</v>
      </c>
      <c r="C591" s="1" t="n">
        <v>46104</v>
      </c>
      <c r="D591" t="inlineStr">
        <is>
          <t>ÖSTERGÖTLANDS LÄN</t>
        </is>
      </c>
      <c r="E591" t="inlineStr">
        <is>
          <t>LINKÖPING</t>
        </is>
      </c>
      <c r="G591" t="n">
        <v>2.7</v>
      </c>
      <c r="H591" t="n">
        <v>0</v>
      </c>
      <c r="I591" t="n">
        <v>0</v>
      </c>
      <c r="J591" t="n">
        <v>0</v>
      </c>
      <c r="K591" t="n">
        <v>0</v>
      </c>
      <c r="L591" t="n">
        <v>0</v>
      </c>
      <c r="M591" t="n">
        <v>0</v>
      </c>
      <c r="N591" t="n">
        <v>0</v>
      </c>
      <c r="O591" t="n">
        <v>0</v>
      </c>
      <c r="P591" t="n">
        <v>0</v>
      </c>
      <c r="Q591" t="n">
        <v>0</v>
      </c>
      <c r="R591" s="2" t="inlineStr"/>
    </row>
    <row r="592" ht="15" customHeight="1">
      <c r="A592" t="inlineStr">
        <is>
          <t>A 20298-2025</t>
        </is>
      </c>
      <c r="B592" s="1" t="n">
        <v>45774.75024305555</v>
      </c>
      <c r="C592" s="1" t="n">
        <v>46104</v>
      </c>
      <c r="D592" t="inlineStr">
        <is>
          <t>ÖSTERGÖTLANDS LÄN</t>
        </is>
      </c>
      <c r="E592" t="inlineStr">
        <is>
          <t>LINKÖPING</t>
        </is>
      </c>
      <c r="G592" t="n">
        <v>1.3</v>
      </c>
      <c r="H592" t="n">
        <v>0</v>
      </c>
      <c r="I592" t="n">
        <v>0</v>
      </c>
      <c r="J592" t="n">
        <v>0</v>
      </c>
      <c r="K592" t="n">
        <v>0</v>
      </c>
      <c r="L592" t="n">
        <v>0</v>
      </c>
      <c r="M592" t="n">
        <v>0</v>
      </c>
      <c r="N592" t="n">
        <v>0</v>
      </c>
      <c r="O592" t="n">
        <v>0</v>
      </c>
      <c r="P592" t="n">
        <v>0</v>
      </c>
      <c r="Q592" t="n">
        <v>0</v>
      </c>
      <c r="R592" s="2" t="inlineStr"/>
    </row>
    <row r="593" ht="15" customHeight="1">
      <c r="A593" t="inlineStr">
        <is>
          <t>A 15121-2022</t>
        </is>
      </c>
      <c r="B593" s="1" t="n">
        <v>44658</v>
      </c>
      <c r="C593" s="1" t="n">
        <v>46104</v>
      </c>
      <c r="D593" t="inlineStr">
        <is>
          <t>ÖSTERGÖTLANDS LÄN</t>
        </is>
      </c>
      <c r="E593" t="inlineStr">
        <is>
          <t>LINKÖPING</t>
        </is>
      </c>
      <c r="G593" t="n">
        <v>1</v>
      </c>
      <c r="H593" t="n">
        <v>0</v>
      </c>
      <c r="I593" t="n">
        <v>0</v>
      </c>
      <c r="J593" t="n">
        <v>0</v>
      </c>
      <c r="K593" t="n">
        <v>0</v>
      </c>
      <c r="L593" t="n">
        <v>0</v>
      </c>
      <c r="M593" t="n">
        <v>0</v>
      </c>
      <c r="N593" t="n">
        <v>0</v>
      </c>
      <c r="O593" t="n">
        <v>0</v>
      </c>
      <c r="P593" t="n">
        <v>0</v>
      </c>
      <c r="Q593" t="n">
        <v>0</v>
      </c>
      <c r="R593" s="2" t="inlineStr"/>
    </row>
    <row r="594" ht="15" customHeight="1">
      <c r="A594" t="inlineStr">
        <is>
          <t>A 50743-2023</t>
        </is>
      </c>
      <c r="B594" s="1" t="n">
        <v>45217</v>
      </c>
      <c r="C594" s="1" t="n">
        <v>46104</v>
      </c>
      <c r="D594" t="inlineStr">
        <is>
          <t>ÖSTERGÖTLANDS LÄN</t>
        </is>
      </c>
      <c r="E594" t="inlineStr">
        <is>
          <t>LINKÖPING</t>
        </is>
      </c>
      <c r="G594" t="n">
        <v>2.7</v>
      </c>
      <c r="H594" t="n">
        <v>0</v>
      </c>
      <c r="I594" t="n">
        <v>0</v>
      </c>
      <c r="J594" t="n">
        <v>0</v>
      </c>
      <c r="K594" t="n">
        <v>0</v>
      </c>
      <c r="L594" t="n">
        <v>0</v>
      </c>
      <c r="M594" t="n">
        <v>0</v>
      </c>
      <c r="N594" t="n">
        <v>0</v>
      </c>
      <c r="O594" t="n">
        <v>0</v>
      </c>
      <c r="P594" t="n">
        <v>0</v>
      </c>
      <c r="Q594" t="n">
        <v>0</v>
      </c>
      <c r="R594" s="2" t="inlineStr"/>
    </row>
    <row r="595" ht="15" customHeight="1">
      <c r="A595" t="inlineStr">
        <is>
          <t>A 13687-2025</t>
        </is>
      </c>
      <c r="B595" s="1" t="n">
        <v>45737.31425925926</v>
      </c>
      <c r="C595" s="1" t="n">
        <v>46104</v>
      </c>
      <c r="D595" t="inlineStr">
        <is>
          <t>ÖSTERGÖTLANDS LÄN</t>
        </is>
      </c>
      <c r="E595" t="inlineStr">
        <is>
          <t>LINKÖPING</t>
        </is>
      </c>
      <c r="G595" t="n">
        <v>2.7</v>
      </c>
      <c r="H595" t="n">
        <v>0</v>
      </c>
      <c r="I595" t="n">
        <v>0</v>
      </c>
      <c r="J595" t="n">
        <v>0</v>
      </c>
      <c r="K595" t="n">
        <v>0</v>
      </c>
      <c r="L595" t="n">
        <v>0</v>
      </c>
      <c r="M595" t="n">
        <v>0</v>
      </c>
      <c r="N595" t="n">
        <v>0</v>
      </c>
      <c r="O595" t="n">
        <v>0</v>
      </c>
      <c r="P595" t="n">
        <v>0</v>
      </c>
      <c r="Q595" t="n">
        <v>0</v>
      </c>
      <c r="R595" s="2" t="inlineStr"/>
    </row>
    <row r="596" ht="15" customHeight="1">
      <c r="A596" t="inlineStr">
        <is>
          <t>A 13695-2025</t>
        </is>
      </c>
      <c r="B596" s="1" t="n">
        <v>45737.32219907407</v>
      </c>
      <c r="C596" s="1" t="n">
        <v>46104</v>
      </c>
      <c r="D596" t="inlineStr">
        <is>
          <t>ÖSTERGÖTLANDS LÄN</t>
        </is>
      </c>
      <c r="E596" t="inlineStr">
        <is>
          <t>LINKÖPING</t>
        </is>
      </c>
      <c r="G596" t="n">
        <v>5.3</v>
      </c>
      <c r="H596" t="n">
        <v>0</v>
      </c>
      <c r="I596" t="n">
        <v>0</v>
      </c>
      <c r="J596" t="n">
        <v>0</v>
      </c>
      <c r="K596" t="n">
        <v>0</v>
      </c>
      <c r="L596" t="n">
        <v>0</v>
      </c>
      <c r="M596" t="n">
        <v>0</v>
      </c>
      <c r="N596" t="n">
        <v>0</v>
      </c>
      <c r="O596" t="n">
        <v>0</v>
      </c>
      <c r="P596" t="n">
        <v>0</v>
      </c>
      <c r="Q596" t="n">
        <v>0</v>
      </c>
      <c r="R596" s="2" t="inlineStr"/>
    </row>
    <row r="597" ht="15" customHeight="1">
      <c r="A597" t="inlineStr">
        <is>
          <t>A 20294-2025</t>
        </is>
      </c>
      <c r="B597" s="1" t="n">
        <v>45774.74667824074</v>
      </c>
      <c r="C597" s="1" t="n">
        <v>46104</v>
      </c>
      <c r="D597" t="inlineStr">
        <is>
          <t>ÖSTERGÖTLANDS LÄN</t>
        </is>
      </c>
      <c r="E597" t="inlineStr">
        <is>
          <t>LINKÖPING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17128-2025</t>
        </is>
      </c>
      <c r="B598" s="1" t="n">
        <v>45755.72622685185</v>
      </c>
      <c r="C598" s="1" t="n">
        <v>46104</v>
      </c>
      <c r="D598" t="inlineStr">
        <is>
          <t>ÖSTERGÖTLANDS LÄN</t>
        </is>
      </c>
      <c r="E598" t="inlineStr">
        <is>
          <t>LINKÖPING</t>
        </is>
      </c>
      <c r="G598" t="n">
        <v>2.9</v>
      </c>
      <c r="H598" t="n">
        <v>0</v>
      </c>
      <c r="I598" t="n">
        <v>0</v>
      </c>
      <c r="J598" t="n">
        <v>0</v>
      </c>
      <c r="K598" t="n">
        <v>0</v>
      </c>
      <c r="L598" t="n">
        <v>0</v>
      </c>
      <c r="M598" t="n">
        <v>0</v>
      </c>
      <c r="N598" t="n">
        <v>0</v>
      </c>
      <c r="O598" t="n">
        <v>0</v>
      </c>
      <c r="P598" t="n">
        <v>0</v>
      </c>
      <c r="Q598" t="n">
        <v>0</v>
      </c>
      <c r="R598" s="2" t="inlineStr"/>
    </row>
    <row r="599" ht="15" customHeight="1">
      <c r="A599" t="inlineStr">
        <is>
          <t>A 52125-2022</t>
        </is>
      </c>
      <c r="B599" s="1" t="n">
        <v>44873</v>
      </c>
      <c r="C599" s="1" t="n">
        <v>46104</v>
      </c>
      <c r="D599" t="inlineStr">
        <is>
          <t>ÖSTERGÖTLANDS LÄN</t>
        </is>
      </c>
      <c r="E599" t="inlineStr">
        <is>
          <t>LINKÖPING</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25829-2025</t>
        </is>
      </c>
      <c r="B600" s="1" t="n">
        <v>45804.44505787037</v>
      </c>
      <c r="C600" s="1" t="n">
        <v>46104</v>
      </c>
      <c r="D600" t="inlineStr">
        <is>
          <t>ÖSTERGÖTLANDS LÄN</t>
        </is>
      </c>
      <c r="E600" t="inlineStr">
        <is>
          <t>LINKÖPING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38046-2025</t>
        </is>
      </c>
      <c r="B601" s="1" t="n">
        <v>45882.39939814815</v>
      </c>
      <c r="C601" s="1" t="n">
        <v>46104</v>
      </c>
      <c r="D601" t="inlineStr">
        <is>
          <t>ÖSTERGÖTLANDS LÄN</t>
        </is>
      </c>
      <c r="E601" t="inlineStr">
        <is>
          <t>LINKÖPING</t>
        </is>
      </c>
      <c r="G601" t="n">
        <v>1.3</v>
      </c>
      <c r="H601" t="n">
        <v>0</v>
      </c>
      <c r="I601" t="n">
        <v>0</v>
      </c>
      <c r="J601" t="n">
        <v>0</v>
      </c>
      <c r="K601" t="n">
        <v>0</v>
      </c>
      <c r="L601" t="n">
        <v>0</v>
      </c>
      <c r="M601" t="n">
        <v>0</v>
      </c>
      <c r="N601" t="n">
        <v>0</v>
      </c>
      <c r="O601" t="n">
        <v>0</v>
      </c>
      <c r="P601" t="n">
        <v>0</v>
      </c>
      <c r="Q601" t="n">
        <v>0</v>
      </c>
      <c r="R601" s="2" t="inlineStr"/>
    </row>
    <row r="602" ht="15" customHeight="1">
      <c r="A602" t="inlineStr">
        <is>
          <t>A 27343-2023</t>
        </is>
      </c>
      <c r="B602" s="1" t="n">
        <v>45096</v>
      </c>
      <c r="C602" s="1" t="n">
        <v>46104</v>
      </c>
      <c r="D602" t="inlineStr">
        <is>
          <t>ÖSTERGÖTLANDS LÄN</t>
        </is>
      </c>
      <c r="E602" t="inlineStr">
        <is>
          <t>LINKÖPING</t>
        </is>
      </c>
      <c r="F602" t="inlineStr">
        <is>
          <t>Allmännings- och besparingsskogar</t>
        </is>
      </c>
      <c r="G602" t="n">
        <v>6.9</v>
      </c>
      <c r="H602" t="n">
        <v>0</v>
      </c>
      <c r="I602" t="n">
        <v>0</v>
      </c>
      <c r="J602" t="n">
        <v>0</v>
      </c>
      <c r="K602" t="n">
        <v>0</v>
      </c>
      <c r="L602" t="n">
        <v>0</v>
      </c>
      <c r="M602" t="n">
        <v>0</v>
      </c>
      <c r="N602" t="n">
        <v>0</v>
      </c>
      <c r="O602" t="n">
        <v>0</v>
      </c>
      <c r="P602" t="n">
        <v>0</v>
      </c>
      <c r="Q602" t="n">
        <v>0</v>
      </c>
      <c r="R602" s="2" t="inlineStr"/>
    </row>
    <row r="603" ht="15" customHeight="1">
      <c r="A603" t="inlineStr">
        <is>
          <t>A 22842-2023</t>
        </is>
      </c>
      <c r="B603" s="1" t="n">
        <v>45071</v>
      </c>
      <c r="C603" s="1" t="n">
        <v>46104</v>
      </c>
      <c r="D603" t="inlineStr">
        <is>
          <t>ÖSTERGÖTLANDS LÄN</t>
        </is>
      </c>
      <c r="E603" t="inlineStr">
        <is>
          <t>LINKÖPING</t>
        </is>
      </c>
      <c r="F603" t="inlineStr">
        <is>
          <t>Kommuner</t>
        </is>
      </c>
      <c r="G603" t="n">
        <v>1.3</v>
      </c>
      <c r="H603" t="n">
        <v>0</v>
      </c>
      <c r="I603" t="n">
        <v>0</v>
      </c>
      <c r="J603" t="n">
        <v>0</v>
      </c>
      <c r="K603" t="n">
        <v>0</v>
      </c>
      <c r="L603" t="n">
        <v>0</v>
      </c>
      <c r="M603" t="n">
        <v>0</v>
      </c>
      <c r="N603" t="n">
        <v>0</v>
      </c>
      <c r="O603" t="n">
        <v>0</v>
      </c>
      <c r="P603" t="n">
        <v>0</v>
      </c>
      <c r="Q603" t="n">
        <v>0</v>
      </c>
      <c r="R603" s="2" t="inlineStr"/>
    </row>
    <row r="604" ht="15" customHeight="1">
      <c r="A604" t="inlineStr">
        <is>
          <t>A 14520-2025</t>
        </is>
      </c>
      <c r="B604" s="1" t="n">
        <v>45741</v>
      </c>
      <c r="C604" s="1" t="n">
        <v>46104</v>
      </c>
      <c r="D604" t="inlineStr">
        <is>
          <t>ÖSTERGÖTLANDS LÄN</t>
        </is>
      </c>
      <c r="E604" t="inlineStr">
        <is>
          <t>LINKÖPING</t>
        </is>
      </c>
      <c r="G604" t="n">
        <v>0.5</v>
      </c>
      <c r="H604" t="n">
        <v>0</v>
      </c>
      <c r="I604" t="n">
        <v>0</v>
      </c>
      <c r="J604" t="n">
        <v>0</v>
      </c>
      <c r="K604" t="n">
        <v>0</v>
      </c>
      <c r="L604" t="n">
        <v>0</v>
      </c>
      <c r="M604" t="n">
        <v>0</v>
      </c>
      <c r="N604" t="n">
        <v>0</v>
      </c>
      <c r="O604" t="n">
        <v>0</v>
      </c>
      <c r="P604" t="n">
        <v>0</v>
      </c>
      <c r="Q604" t="n">
        <v>0</v>
      </c>
      <c r="R604" s="2" t="inlineStr"/>
    </row>
    <row r="605" ht="15" customHeight="1">
      <c r="A605" t="inlineStr">
        <is>
          <t>A 31548-2022</t>
        </is>
      </c>
      <c r="B605" s="1" t="n">
        <v>44775.39832175926</v>
      </c>
      <c r="C605" s="1" t="n">
        <v>46104</v>
      </c>
      <c r="D605" t="inlineStr">
        <is>
          <t>ÖSTERGÖTLANDS LÄN</t>
        </is>
      </c>
      <c r="E605" t="inlineStr">
        <is>
          <t>LINKÖPING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62017-2024</t>
        </is>
      </c>
      <c r="B606" s="1" t="n">
        <v>45655.81140046296</v>
      </c>
      <c r="C606" s="1" t="n">
        <v>46104</v>
      </c>
      <c r="D606" t="inlineStr">
        <is>
          <t>ÖSTERGÖTLANDS LÄN</t>
        </is>
      </c>
      <c r="E606" t="inlineStr">
        <is>
          <t>LINKÖPING</t>
        </is>
      </c>
      <c r="G606" t="n">
        <v>1</v>
      </c>
      <c r="H606" t="n">
        <v>0</v>
      </c>
      <c r="I606" t="n">
        <v>0</v>
      </c>
      <c r="J606" t="n">
        <v>0</v>
      </c>
      <c r="K606" t="n">
        <v>0</v>
      </c>
      <c r="L606" t="n">
        <v>0</v>
      </c>
      <c r="M606" t="n">
        <v>0</v>
      </c>
      <c r="N606" t="n">
        <v>0</v>
      </c>
      <c r="O606" t="n">
        <v>0</v>
      </c>
      <c r="P606" t="n">
        <v>0</v>
      </c>
      <c r="Q606" t="n">
        <v>0</v>
      </c>
      <c r="R606" s="2" t="inlineStr"/>
    </row>
    <row r="607" ht="15" customHeight="1">
      <c r="A607" t="inlineStr">
        <is>
          <t>A 17785-2023</t>
        </is>
      </c>
      <c r="B607" s="1" t="n">
        <v>45037.55094907407</v>
      </c>
      <c r="C607" s="1" t="n">
        <v>46104</v>
      </c>
      <c r="D607" t="inlineStr">
        <is>
          <t>ÖSTERGÖTLANDS LÄN</t>
        </is>
      </c>
      <c r="E607" t="inlineStr">
        <is>
          <t>LINKÖPING</t>
        </is>
      </c>
      <c r="F607" t="inlineStr">
        <is>
          <t>Allmännings- och besparingsskogar</t>
        </is>
      </c>
      <c r="G607" t="n">
        <v>3.1</v>
      </c>
      <c r="H607" t="n">
        <v>0</v>
      </c>
      <c r="I607" t="n">
        <v>0</v>
      </c>
      <c r="J607" t="n">
        <v>0</v>
      </c>
      <c r="K607" t="n">
        <v>0</v>
      </c>
      <c r="L607" t="n">
        <v>0</v>
      </c>
      <c r="M607" t="n">
        <v>0</v>
      </c>
      <c r="N607" t="n">
        <v>0</v>
      </c>
      <c r="O607" t="n">
        <v>0</v>
      </c>
      <c r="P607" t="n">
        <v>0</v>
      </c>
      <c r="Q607" t="n">
        <v>0</v>
      </c>
      <c r="R607" s="2" t="inlineStr"/>
    </row>
    <row r="608" ht="15" customHeight="1">
      <c r="A608" t="inlineStr">
        <is>
          <t>A 61281-2021</t>
        </is>
      </c>
      <c r="B608" s="1" t="n">
        <v>44498.60736111111</v>
      </c>
      <c r="C608" s="1" t="n">
        <v>46104</v>
      </c>
      <c r="D608" t="inlineStr">
        <is>
          <t>ÖSTERGÖTLANDS LÄN</t>
        </is>
      </c>
      <c r="E608" t="inlineStr">
        <is>
          <t>LINKÖPING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25292-2021</t>
        </is>
      </c>
      <c r="B609" s="1" t="n">
        <v>44342</v>
      </c>
      <c r="C609" s="1" t="n">
        <v>46104</v>
      </c>
      <c r="D609" t="inlineStr">
        <is>
          <t>ÖSTERGÖTLANDS LÄN</t>
        </is>
      </c>
      <c r="E609" t="inlineStr">
        <is>
          <t>LINKÖPING</t>
        </is>
      </c>
      <c r="F609" t="inlineStr">
        <is>
          <t>Övriga Aktiebolag</t>
        </is>
      </c>
      <c r="G609" t="n">
        <v>12.8</v>
      </c>
      <c r="H609" t="n">
        <v>0</v>
      </c>
      <c r="I609" t="n">
        <v>0</v>
      </c>
      <c r="J609" t="n">
        <v>0</v>
      </c>
      <c r="K609" t="n">
        <v>0</v>
      </c>
      <c r="L609" t="n">
        <v>0</v>
      </c>
      <c r="M609" t="n">
        <v>0</v>
      </c>
      <c r="N609" t="n">
        <v>0</v>
      </c>
      <c r="O609" t="n">
        <v>0</v>
      </c>
      <c r="P609" t="n">
        <v>0</v>
      </c>
      <c r="Q609" t="n">
        <v>0</v>
      </c>
      <c r="R609" s="2" t="inlineStr"/>
    </row>
    <row r="610" ht="15" customHeight="1">
      <c r="A610" t="inlineStr">
        <is>
          <t>A 63935-2021</t>
        </is>
      </c>
      <c r="B610" s="1" t="n">
        <v>44509</v>
      </c>
      <c r="C610" s="1" t="n">
        <v>46104</v>
      </c>
      <c r="D610" t="inlineStr">
        <is>
          <t>ÖSTERGÖTLANDS LÄN</t>
        </is>
      </c>
      <c r="E610" t="inlineStr">
        <is>
          <t>LINKÖPING</t>
        </is>
      </c>
      <c r="F610" t="inlineStr">
        <is>
          <t>Övriga statliga verk och myndigheter</t>
        </is>
      </c>
      <c r="G610" t="n">
        <v>2.8</v>
      </c>
      <c r="H610" t="n">
        <v>0</v>
      </c>
      <c r="I610" t="n">
        <v>0</v>
      </c>
      <c r="J610" t="n">
        <v>0</v>
      </c>
      <c r="K610" t="n">
        <v>0</v>
      </c>
      <c r="L610" t="n">
        <v>0</v>
      </c>
      <c r="M610" t="n">
        <v>0</v>
      </c>
      <c r="N610" t="n">
        <v>0</v>
      </c>
      <c r="O610" t="n">
        <v>0</v>
      </c>
      <c r="P610" t="n">
        <v>0</v>
      </c>
      <c r="Q610" t="n">
        <v>0</v>
      </c>
      <c r="R610" s="2" t="inlineStr"/>
    </row>
    <row r="611" ht="15" customHeight="1">
      <c r="A611" t="inlineStr">
        <is>
          <t>A 38971-2025</t>
        </is>
      </c>
      <c r="B611" s="1" t="n">
        <v>45887.71827546296</v>
      </c>
      <c r="C611" s="1" t="n">
        <v>46104</v>
      </c>
      <c r="D611" t="inlineStr">
        <is>
          <t>ÖSTERGÖTLANDS LÄN</t>
        </is>
      </c>
      <c r="E611" t="inlineStr">
        <is>
          <t>LINKÖPING</t>
        </is>
      </c>
      <c r="G611" t="n">
        <v>3.9</v>
      </c>
      <c r="H611" t="n">
        <v>0</v>
      </c>
      <c r="I611" t="n">
        <v>0</v>
      </c>
      <c r="J611" t="n">
        <v>0</v>
      </c>
      <c r="K611" t="n">
        <v>0</v>
      </c>
      <c r="L611" t="n">
        <v>0</v>
      </c>
      <c r="M611" t="n">
        <v>0</v>
      </c>
      <c r="N611" t="n">
        <v>0</v>
      </c>
      <c r="O611" t="n">
        <v>0</v>
      </c>
      <c r="P611" t="n">
        <v>0</v>
      </c>
      <c r="Q611" t="n">
        <v>0</v>
      </c>
      <c r="R611" s="2" t="inlineStr"/>
    </row>
    <row r="612" ht="15" customHeight="1">
      <c r="A612" t="inlineStr">
        <is>
          <t>A 55345-2021</t>
        </is>
      </c>
      <c r="B612" s="1" t="n">
        <v>44475</v>
      </c>
      <c r="C612" s="1" t="n">
        <v>46104</v>
      </c>
      <c r="D612" t="inlineStr">
        <is>
          <t>ÖSTERGÖTLANDS LÄN</t>
        </is>
      </c>
      <c r="E612" t="inlineStr">
        <is>
          <t>LINKÖPING</t>
        </is>
      </c>
      <c r="G612" t="n">
        <v>5.7</v>
      </c>
      <c r="H612" t="n">
        <v>0</v>
      </c>
      <c r="I612" t="n">
        <v>0</v>
      </c>
      <c r="J612" t="n">
        <v>0</v>
      </c>
      <c r="K612" t="n">
        <v>0</v>
      </c>
      <c r="L612" t="n">
        <v>0</v>
      </c>
      <c r="M612" t="n">
        <v>0</v>
      </c>
      <c r="N612" t="n">
        <v>0</v>
      </c>
      <c r="O612" t="n">
        <v>0</v>
      </c>
      <c r="P612" t="n">
        <v>0</v>
      </c>
      <c r="Q612" t="n">
        <v>0</v>
      </c>
      <c r="R612" s="2" t="inlineStr"/>
    </row>
    <row r="613" ht="15" customHeight="1">
      <c r="A613" t="inlineStr">
        <is>
          <t>A 62686-2023</t>
        </is>
      </c>
      <c r="B613" s="1" t="n">
        <v>45271</v>
      </c>
      <c r="C613" s="1" t="n">
        <v>46104</v>
      </c>
      <c r="D613" t="inlineStr">
        <is>
          <t>ÖSTERGÖTLANDS LÄN</t>
        </is>
      </c>
      <c r="E613" t="inlineStr">
        <is>
          <t>LINKÖPING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42044-2023</t>
        </is>
      </c>
      <c r="B614" s="1" t="n">
        <v>45177</v>
      </c>
      <c r="C614" s="1" t="n">
        <v>46104</v>
      </c>
      <c r="D614" t="inlineStr">
        <is>
          <t>ÖSTERGÖTLANDS LÄN</t>
        </is>
      </c>
      <c r="E614" t="inlineStr">
        <is>
          <t>LINKÖPING</t>
        </is>
      </c>
      <c r="G614" t="n">
        <v>3.9</v>
      </c>
      <c r="H614" t="n">
        <v>0</v>
      </c>
      <c r="I614" t="n">
        <v>0</v>
      </c>
      <c r="J614" t="n">
        <v>0</v>
      </c>
      <c r="K614" t="n">
        <v>0</v>
      </c>
      <c r="L614" t="n">
        <v>0</v>
      </c>
      <c r="M614" t="n">
        <v>0</v>
      </c>
      <c r="N614" t="n">
        <v>0</v>
      </c>
      <c r="O614" t="n">
        <v>0</v>
      </c>
      <c r="P614" t="n">
        <v>0</v>
      </c>
      <c r="Q614" t="n">
        <v>0</v>
      </c>
      <c r="R614" s="2" t="inlineStr"/>
    </row>
    <row r="615" ht="15" customHeight="1">
      <c r="A615" t="inlineStr">
        <is>
          <t>A 49656-2021</t>
        </is>
      </c>
      <c r="B615" s="1" t="n">
        <v>44454</v>
      </c>
      <c r="C615" s="1" t="n">
        <v>46104</v>
      </c>
      <c r="D615" t="inlineStr">
        <is>
          <t>ÖSTERGÖTLANDS LÄN</t>
        </is>
      </c>
      <c r="E615" t="inlineStr">
        <is>
          <t>LINKÖPING</t>
        </is>
      </c>
      <c r="G615" t="n">
        <v>2.3</v>
      </c>
      <c r="H615" t="n">
        <v>0</v>
      </c>
      <c r="I615" t="n">
        <v>0</v>
      </c>
      <c r="J615" t="n">
        <v>0</v>
      </c>
      <c r="K615" t="n">
        <v>0</v>
      </c>
      <c r="L615" t="n">
        <v>0</v>
      </c>
      <c r="M615" t="n">
        <v>0</v>
      </c>
      <c r="N615" t="n">
        <v>0</v>
      </c>
      <c r="O615" t="n">
        <v>0</v>
      </c>
      <c r="P615" t="n">
        <v>0</v>
      </c>
      <c r="Q615" t="n">
        <v>0</v>
      </c>
      <c r="R615" s="2" t="inlineStr"/>
    </row>
    <row r="616" ht="15" customHeight="1">
      <c r="A616" t="inlineStr">
        <is>
          <t>A 38230-2023</t>
        </is>
      </c>
      <c r="B616" s="1" t="n">
        <v>45161.55373842592</v>
      </c>
      <c r="C616" s="1" t="n">
        <v>46104</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45442-2024</t>
        </is>
      </c>
      <c r="B617" s="1" t="n">
        <v>45576.64189814815</v>
      </c>
      <c r="C617" s="1" t="n">
        <v>46104</v>
      </c>
      <c r="D617" t="inlineStr">
        <is>
          <t>ÖSTERGÖTLANDS LÄN</t>
        </is>
      </c>
      <c r="E617" t="inlineStr">
        <is>
          <t>LINKÖPING</t>
        </is>
      </c>
      <c r="G617" t="n">
        <v>1.8</v>
      </c>
      <c r="H617" t="n">
        <v>0</v>
      </c>
      <c r="I617" t="n">
        <v>0</v>
      </c>
      <c r="J617" t="n">
        <v>0</v>
      </c>
      <c r="K617" t="n">
        <v>0</v>
      </c>
      <c r="L617" t="n">
        <v>0</v>
      </c>
      <c r="M617" t="n">
        <v>0</v>
      </c>
      <c r="N617" t="n">
        <v>0</v>
      </c>
      <c r="O617" t="n">
        <v>0</v>
      </c>
      <c r="P617" t="n">
        <v>0</v>
      </c>
      <c r="Q617" t="n">
        <v>0</v>
      </c>
      <c r="R617" s="2" t="inlineStr"/>
    </row>
    <row r="618" ht="15" customHeight="1">
      <c r="A618" t="inlineStr">
        <is>
          <t>A 4908-2023</t>
        </is>
      </c>
      <c r="B618" s="1" t="n">
        <v>44958</v>
      </c>
      <c r="C618" s="1" t="n">
        <v>46104</v>
      </c>
      <c r="D618" t="inlineStr">
        <is>
          <t>ÖSTERGÖTLANDS LÄN</t>
        </is>
      </c>
      <c r="E618" t="inlineStr">
        <is>
          <t>LINKÖPING</t>
        </is>
      </c>
      <c r="G618" t="n">
        <v>0.7</v>
      </c>
      <c r="H618" t="n">
        <v>0</v>
      </c>
      <c r="I618" t="n">
        <v>0</v>
      </c>
      <c r="J618" t="n">
        <v>0</v>
      </c>
      <c r="K618" t="n">
        <v>0</v>
      </c>
      <c r="L618" t="n">
        <v>0</v>
      </c>
      <c r="M618" t="n">
        <v>0</v>
      </c>
      <c r="N618" t="n">
        <v>0</v>
      </c>
      <c r="O618" t="n">
        <v>0</v>
      </c>
      <c r="P618" t="n">
        <v>0</v>
      </c>
      <c r="Q618" t="n">
        <v>0</v>
      </c>
      <c r="R618" s="2" t="inlineStr"/>
    </row>
    <row r="619" ht="15" customHeight="1">
      <c r="A619" t="inlineStr">
        <is>
          <t>A 1265-2023</t>
        </is>
      </c>
      <c r="B619" s="1" t="n">
        <v>44936</v>
      </c>
      <c r="C619" s="1" t="n">
        <v>46104</v>
      </c>
      <c r="D619" t="inlineStr">
        <is>
          <t>ÖSTERGÖTLANDS LÄN</t>
        </is>
      </c>
      <c r="E619" t="inlineStr">
        <is>
          <t>LINKÖPING</t>
        </is>
      </c>
      <c r="G619" t="n">
        <v>2.3</v>
      </c>
      <c r="H619" t="n">
        <v>0</v>
      </c>
      <c r="I619" t="n">
        <v>0</v>
      </c>
      <c r="J619" t="n">
        <v>0</v>
      </c>
      <c r="K619" t="n">
        <v>0</v>
      </c>
      <c r="L619" t="n">
        <v>0</v>
      </c>
      <c r="M619" t="n">
        <v>0</v>
      </c>
      <c r="N619" t="n">
        <v>0</v>
      </c>
      <c r="O619" t="n">
        <v>0</v>
      </c>
      <c r="P619" t="n">
        <v>0</v>
      </c>
      <c r="Q619" t="n">
        <v>0</v>
      </c>
      <c r="R619" s="2" t="inlineStr"/>
    </row>
    <row r="620" ht="15" customHeight="1">
      <c r="A620" t="inlineStr">
        <is>
          <t>A 12411-2022</t>
        </is>
      </c>
      <c r="B620" s="1" t="n">
        <v>44638.21601851852</v>
      </c>
      <c r="C620" s="1" t="n">
        <v>46104</v>
      </c>
      <c r="D620" t="inlineStr">
        <is>
          <t>ÖSTERGÖTLANDS LÄN</t>
        </is>
      </c>
      <c r="E620" t="inlineStr">
        <is>
          <t>LINKÖPING</t>
        </is>
      </c>
      <c r="G620" t="n">
        <v>1</v>
      </c>
      <c r="H620" t="n">
        <v>0</v>
      </c>
      <c r="I620" t="n">
        <v>0</v>
      </c>
      <c r="J620" t="n">
        <v>0</v>
      </c>
      <c r="K620" t="n">
        <v>0</v>
      </c>
      <c r="L620" t="n">
        <v>0</v>
      </c>
      <c r="M620" t="n">
        <v>0</v>
      </c>
      <c r="N620" t="n">
        <v>0</v>
      </c>
      <c r="O620" t="n">
        <v>0</v>
      </c>
      <c r="P620" t="n">
        <v>0</v>
      </c>
      <c r="Q620" t="n">
        <v>0</v>
      </c>
      <c r="R620" s="2" t="inlineStr"/>
    </row>
    <row r="621" ht="15" customHeight="1">
      <c r="A621" t="inlineStr">
        <is>
          <t>A 23491-2024</t>
        </is>
      </c>
      <c r="B621" s="1" t="n">
        <v>45453</v>
      </c>
      <c r="C621" s="1" t="n">
        <v>46104</v>
      </c>
      <c r="D621" t="inlineStr">
        <is>
          <t>ÖSTERGÖTLANDS LÄN</t>
        </is>
      </c>
      <c r="E621" t="inlineStr">
        <is>
          <t>LINKÖPING</t>
        </is>
      </c>
      <c r="G621" t="n">
        <v>2.2</v>
      </c>
      <c r="H621" t="n">
        <v>0</v>
      </c>
      <c r="I621" t="n">
        <v>0</v>
      </c>
      <c r="J621" t="n">
        <v>0</v>
      </c>
      <c r="K621" t="n">
        <v>0</v>
      </c>
      <c r="L621" t="n">
        <v>0</v>
      </c>
      <c r="M621" t="n">
        <v>0</v>
      </c>
      <c r="N621" t="n">
        <v>0</v>
      </c>
      <c r="O621" t="n">
        <v>0</v>
      </c>
      <c r="P621" t="n">
        <v>0</v>
      </c>
      <c r="Q621" t="n">
        <v>0</v>
      </c>
      <c r="R621" s="2" t="inlineStr"/>
    </row>
    <row r="622" ht="15" customHeight="1">
      <c r="A622" t="inlineStr">
        <is>
          <t>A 70-2024</t>
        </is>
      </c>
      <c r="B622" s="1" t="n">
        <v>45293</v>
      </c>
      <c r="C622" s="1" t="n">
        <v>46104</v>
      </c>
      <c r="D622" t="inlineStr">
        <is>
          <t>ÖSTERGÖTLANDS LÄN</t>
        </is>
      </c>
      <c r="E622" t="inlineStr">
        <is>
          <t>LINKÖPING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6054-2022</t>
        </is>
      </c>
      <c r="B623" s="1" t="n">
        <v>44599.53623842593</v>
      </c>
      <c r="C623" s="1" t="n">
        <v>46104</v>
      </c>
      <c r="D623" t="inlineStr">
        <is>
          <t>ÖSTERGÖTLANDS LÄN</t>
        </is>
      </c>
      <c r="E623" t="inlineStr">
        <is>
          <t>LINKÖPING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31725-2022</t>
        </is>
      </c>
      <c r="B624" s="1" t="n">
        <v>44776.48541666667</v>
      </c>
      <c r="C624" s="1" t="n">
        <v>46104</v>
      </c>
      <c r="D624" t="inlineStr">
        <is>
          <t>ÖSTERGÖTLANDS LÄN</t>
        </is>
      </c>
      <c r="E624" t="inlineStr">
        <is>
          <t>LINKÖPING</t>
        </is>
      </c>
      <c r="G624" t="n">
        <v>2.6</v>
      </c>
      <c r="H624" t="n">
        <v>0</v>
      </c>
      <c r="I624" t="n">
        <v>0</v>
      </c>
      <c r="J624" t="n">
        <v>0</v>
      </c>
      <c r="K624" t="n">
        <v>0</v>
      </c>
      <c r="L624" t="n">
        <v>0</v>
      </c>
      <c r="M624" t="n">
        <v>0</v>
      </c>
      <c r="N624" t="n">
        <v>0</v>
      </c>
      <c r="O624" t="n">
        <v>0</v>
      </c>
      <c r="P624" t="n">
        <v>0</v>
      </c>
      <c r="Q624" t="n">
        <v>0</v>
      </c>
      <c r="R624" s="2" t="inlineStr"/>
    </row>
    <row r="625" ht="15" customHeight="1">
      <c r="A625" t="inlineStr">
        <is>
          <t>A 57391-2023</t>
        </is>
      </c>
      <c r="B625" s="1" t="n">
        <v>45245</v>
      </c>
      <c r="C625" s="1" t="n">
        <v>46104</v>
      </c>
      <c r="D625" t="inlineStr">
        <is>
          <t>ÖSTERGÖTLANDS LÄN</t>
        </is>
      </c>
      <c r="E625" t="inlineStr">
        <is>
          <t>LINKÖPING</t>
        </is>
      </c>
      <c r="F625" t="inlineStr">
        <is>
          <t>Övriga Aktiebolag</t>
        </is>
      </c>
      <c r="G625" t="n">
        <v>1.7</v>
      </c>
      <c r="H625" t="n">
        <v>0</v>
      </c>
      <c r="I625" t="n">
        <v>0</v>
      </c>
      <c r="J625" t="n">
        <v>0</v>
      </c>
      <c r="K625" t="n">
        <v>0</v>
      </c>
      <c r="L625" t="n">
        <v>0</v>
      </c>
      <c r="M625" t="n">
        <v>0</v>
      </c>
      <c r="N625" t="n">
        <v>0</v>
      </c>
      <c r="O625" t="n">
        <v>0</v>
      </c>
      <c r="P625" t="n">
        <v>0</v>
      </c>
      <c r="Q625" t="n">
        <v>0</v>
      </c>
      <c r="R625" s="2" t="inlineStr"/>
    </row>
    <row r="626" ht="15" customHeight="1">
      <c r="A626" t="inlineStr">
        <is>
          <t>A 7992-2023</t>
        </is>
      </c>
      <c r="B626" s="1" t="n">
        <v>44970</v>
      </c>
      <c r="C626" s="1" t="n">
        <v>46104</v>
      </c>
      <c r="D626" t="inlineStr">
        <is>
          <t>ÖSTERGÖTLANDS LÄN</t>
        </is>
      </c>
      <c r="E626" t="inlineStr">
        <is>
          <t>LINKÖPING</t>
        </is>
      </c>
      <c r="F626" t="inlineStr">
        <is>
          <t>Kommuner</t>
        </is>
      </c>
      <c r="G626" t="n">
        <v>1</v>
      </c>
      <c r="H626" t="n">
        <v>0</v>
      </c>
      <c r="I626" t="n">
        <v>0</v>
      </c>
      <c r="J626" t="n">
        <v>0</v>
      </c>
      <c r="K626" t="n">
        <v>0</v>
      </c>
      <c r="L626" t="n">
        <v>0</v>
      </c>
      <c r="M626" t="n">
        <v>0</v>
      </c>
      <c r="N626" t="n">
        <v>0</v>
      </c>
      <c r="O626" t="n">
        <v>0</v>
      </c>
      <c r="P626" t="n">
        <v>0</v>
      </c>
      <c r="Q626" t="n">
        <v>0</v>
      </c>
      <c r="R626" s="2" t="inlineStr"/>
    </row>
    <row r="627" ht="15" customHeight="1">
      <c r="A627" t="inlineStr">
        <is>
          <t>A 13689-2025</t>
        </is>
      </c>
      <c r="B627" s="1" t="n">
        <v>45737.31590277778</v>
      </c>
      <c r="C627" s="1" t="n">
        <v>46104</v>
      </c>
      <c r="D627" t="inlineStr">
        <is>
          <t>ÖSTERGÖTLANDS LÄN</t>
        </is>
      </c>
      <c r="E627" t="inlineStr">
        <is>
          <t>LINKÖPING</t>
        </is>
      </c>
      <c r="G627" t="n">
        <v>0.8</v>
      </c>
      <c r="H627" t="n">
        <v>0</v>
      </c>
      <c r="I627" t="n">
        <v>0</v>
      </c>
      <c r="J627" t="n">
        <v>0</v>
      </c>
      <c r="K627" t="n">
        <v>0</v>
      </c>
      <c r="L627" t="n">
        <v>0</v>
      </c>
      <c r="M627" t="n">
        <v>0</v>
      </c>
      <c r="N627" t="n">
        <v>0</v>
      </c>
      <c r="O627" t="n">
        <v>0</v>
      </c>
      <c r="P627" t="n">
        <v>0</v>
      </c>
      <c r="Q627" t="n">
        <v>0</v>
      </c>
      <c r="R627" s="2" t="inlineStr"/>
    </row>
    <row r="628" ht="15" customHeight="1">
      <c r="A628" t="inlineStr">
        <is>
          <t>A 13696-2025</t>
        </is>
      </c>
      <c r="B628" s="1" t="n">
        <v>45737.32273148148</v>
      </c>
      <c r="C628" s="1" t="n">
        <v>46104</v>
      </c>
      <c r="D628" t="inlineStr">
        <is>
          <t>ÖSTERGÖTLANDS LÄN</t>
        </is>
      </c>
      <c r="E628" t="inlineStr">
        <is>
          <t>LINKÖPING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1924-2024</t>
        </is>
      </c>
      <c r="B629" s="1" t="n">
        <v>45308</v>
      </c>
      <c r="C629" s="1" t="n">
        <v>46104</v>
      </c>
      <c r="D629" t="inlineStr">
        <is>
          <t>ÖSTERGÖTLANDS LÄN</t>
        </is>
      </c>
      <c r="E629" t="inlineStr">
        <is>
          <t>LINKÖPING</t>
        </is>
      </c>
      <c r="F629" t="inlineStr">
        <is>
          <t>Övriga Aktiebolag</t>
        </is>
      </c>
      <c r="G629" t="n">
        <v>0.5</v>
      </c>
      <c r="H629" t="n">
        <v>0</v>
      </c>
      <c r="I629" t="n">
        <v>0</v>
      </c>
      <c r="J629" t="n">
        <v>0</v>
      </c>
      <c r="K629" t="n">
        <v>0</v>
      </c>
      <c r="L629" t="n">
        <v>0</v>
      </c>
      <c r="M629" t="n">
        <v>0</v>
      </c>
      <c r="N629" t="n">
        <v>0</v>
      </c>
      <c r="O629" t="n">
        <v>0</v>
      </c>
      <c r="P629" t="n">
        <v>0</v>
      </c>
      <c r="Q629" t="n">
        <v>0</v>
      </c>
      <c r="R629" s="2" t="inlineStr"/>
    </row>
    <row r="630" ht="15" customHeight="1">
      <c r="A630" t="inlineStr">
        <is>
          <t>A 32346-2023</t>
        </is>
      </c>
      <c r="B630" s="1" t="n">
        <v>45120</v>
      </c>
      <c r="C630" s="1" t="n">
        <v>46104</v>
      </c>
      <c r="D630" t="inlineStr">
        <is>
          <t>ÖSTERGÖTLANDS LÄN</t>
        </is>
      </c>
      <c r="E630" t="inlineStr">
        <is>
          <t>LINKÖPING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50508-2024</t>
        </is>
      </c>
      <c r="B631" s="1" t="n">
        <v>45601.53907407408</v>
      </c>
      <c r="C631" s="1" t="n">
        <v>46104</v>
      </c>
      <c r="D631" t="inlineStr">
        <is>
          <t>ÖSTERGÖTLANDS LÄN</t>
        </is>
      </c>
      <c r="E631" t="inlineStr">
        <is>
          <t>LINKÖPING</t>
        </is>
      </c>
      <c r="F631" t="inlineStr">
        <is>
          <t>Övriga Aktiebolag</t>
        </is>
      </c>
      <c r="G631" t="n">
        <v>2</v>
      </c>
      <c r="H631" t="n">
        <v>0</v>
      </c>
      <c r="I631" t="n">
        <v>0</v>
      </c>
      <c r="J631" t="n">
        <v>0</v>
      </c>
      <c r="K631" t="n">
        <v>0</v>
      </c>
      <c r="L631" t="n">
        <v>0</v>
      </c>
      <c r="M631" t="n">
        <v>0</v>
      </c>
      <c r="N631" t="n">
        <v>0</v>
      </c>
      <c r="O631" t="n">
        <v>0</v>
      </c>
      <c r="P631" t="n">
        <v>0</v>
      </c>
      <c r="Q631" t="n">
        <v>0</v>
      </c>
      <c r="R631" s="2" t="inlineStr"/>
    </row>
    <row r="632" ht="15" customHeight="1">
      <c r="A632" t="inlineStr">
        <is>
          <t>A 7808-2022</t>
        </is>
      </c>
      <c r="B632" s="1" t="n">
        <v>44608</v>
      </c>
      <c r="C632" s="1" t="n">
        <v>46104</v>
      </c>
      <c r="D632" t="inlineStr">
        <is>
          <t>ÖSTERGÖTLANDS LÄN</t>
        </is>
      </c>
      <c r="E632" t="inlineStr">
        <is>
          <t>LINKÖPING</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27844-2024</t>
        </is>
      </c>
      <c r="B633" s="1" t="n">
        <v>45475.63047453704</v>
      </c>
      <c r="C633" s="1" t="n">
        <v>46104</v>
      </c>
      <c r="D633" t="inlineStr">
        <is>
          <t>ÖSTERGÖTLANDS LÄN</t>
        </is>
      </c>
      <c r="E633" t="inlineStr">
        <is>
          <t>LINKÖPING</t>
        </is>
      </c>
      <c r="G633" t="n">
        <v>1.2</v>
      </c>
      <c r="H633" t="n">
        <v>0</v>
      </c>
      <c r="I633" t="n">
        <v>0</v>
      </c>
      <c r="J633" t="n">
        <v>0</v>
      </c>
      <c r="K633" t="n">
        <v>0</v>
      </c>
      <c r="L633" t="n">
        <v>0</v>
      </c>
      <c r="M633" t="n">
        <v>0</v>
      </c>
      <c r="N633" t="n">
        <v>0</v>
      </c>
      <c r="O633" t="n">
        <v>0</v>
      </c>
      <c r="P633" t="n">
        <v>0</v>
      </c>
      <c r="Q633" t="n">
        <v>0</v>
      </c>
      <c r="R633" s="2" t="inlineStr"/>
    </row>
    <row r="634" ht="15" customHeight="1">
      <c r="A634" t="inlineStr">
        <is>
          <t>A 40810-2022</t>
        </is>
      </c>
      <c r="B634" s="1" t="n">
        <v>44824</v>
      </c>
      <c r="C634" s="1" t="n">
        <v>46104</v>
      </c>
      <c r="D634" t="inlineStr">
        <is>
          <t>ÖSTERGÖTLANDS LÄN</t>
        </is>
      </c>
      <c r="E634" t="inlineStr">
        <is>
          <t>LINKÖPING</t>
        </is>
      </c>
      <c r="G634" t="n">
        <v>2.8</v>
      </c>
      <c r="H634" t="n">
        <v>0</v>
      </c>
      <c r="I634" t="n">
        <v>0</v>
      </c>
      <c r="J634" t="n">
        <v>0</v>
      </c>
      <c r="K634" t="n">
        <v>0</v>
      </c>
      <c r="L634" t="n">
        <v>0</v>
      </c>
      <c r="M634" t="n">
        <v>0</v>
      </c>
      <c r="N634" t="n">
        <v>0</v>
      </c>
      <c r="O634" t="n">
        <v>0</v>
      </c>
      <c r="P634" t="n">
        <v>0</v>
      </c>
      <c r="Q634" t="n">
        <v>0</v>
      </c>
      <c r="R634" s="2" t="inlineStr"/>
    </row>
    <row r="635" ht="15" customHeight="1">
      <c r="A635" t="inlineStr">
        <is>
          <t>A 51559-2024</t>
        </is>
      </c>
      <c r="B635" s="1" t="n">
        <v>45604.61431712963</v>
      </c>
      <c r="C635" s="1" t="n">
        <v>46104</v>
      </c>
      <c r="D635" t="inlineStr">
        <is>
          <t>ÖSTERGÖTLANDS LÄN</t>
        </is>
      </c>
      <c r="E635" t="inlineStr">
        <is>
          <t>LINKÖPING</t>
        </is>
      </c>
      <c r="F635" t="inlineStr">
        <is>
          <t>Övriga Aktiebolag</t>
        </is>
      </c>
      <c r="G635" t="n">
        <v>2.4</v>
      </c>
      <c r="H635" t="n">
        <v>0</v>
      </c>
      <c r="I635" t="n">
        <v>0</v>
      </c>
      <c r="J635" t="n">
        <v>0</v>
      </c>
      <c r="K635" t="n">
        <v>0</v>
      </c>
      <c r="L635" t="n">
        <v>0</v>
      </c>
      <c r="M635" t="n">
        <v>0</v>
      </c>
      <c r="N635" t="n">
        <v>0</v>
      </c>
      <c r="O635" t="n">
        <v>0</v>
      </c>
      <c r="P635" t="n">
        <v>0</v>
      </c>
      <c r="Q635" t="n">
        <v>0</v>
      </c>
      <c r="R635" s="2" t="inlineStr"/>
    </row>
    <row r="636" ht="15" customHeight="1">
      <c r="A636" t="inlineStr">
        <is>
          <t>A 49979-2022</t>
        </is>
      </c>
      <c r="B636" s="1" t="n">
        <v>44865</v>
      </c>
      <c r="C636" s="1" t="n">
        <v>46104</v>
      </c>
      <c r="D636" t="inlineStr">
        <is>
          <t>ÖSTERGÖTLANDS LÄN</t>
        </is>
      </c>
      <c r="E636" t="inlineStr">
        <is>
          <t>LINKÖPING</t>
        </is>
      </c>
      <c r="F636" t="inlineStr">
        <is>
          <t>Övriga Aktiebolag</t>
        </is>
      </c>
      <c r="G636" t="n">
        <v>11.4</v>
      </c>
      <c r="H636" t="n">
        <v>0</v>
      </c>
      <c r="I636" t="n">
        <v>0</v>
      </c>
      <c r="J636" t="n">
        <v>0</v>
      </c>
      <c r="K636" t="n">
        <v>0</v>
      </c>
      <c r="L636" t="n">
        <v>0</v>
      </c>
      <c r="M636" t="n">
        <v>0</v>
      </c>
      <c r="N636" t="n">
        <v>0</v>
      </c>
      <c r="O636" t="n">
        <v>0</v>
      </c>
      <c r="P636" t="n">
        <v>0</v>
      </c>
      <c r="Q636" t="n">
        <v>0</v>
      </c>
      <c r="R636" s="2" t="inlineStr"/>
    </row>
    <row r="637" ht="15" customHeight="1">
      <c r="A637" t="inlineStr">
        <is>
          <t>A 39219-2021</t>
        </is>
      </c>
      <c r="B637" s="1" t="n">
        <v>44413</v>
      </c>
      <c r="C637" s="1" t="n">
        <v>46104</v>
      </c>
      <c r="D637" t="inlineStr">
        <is>
          <t>ÖSTERGÖTLANDS LÄN</t>
        </is>
      </c>
      <c r="E637" t="inlineStr">
        <is>
          <t>LINKÖPING</t>
        </is>
      </c>
      <c r="G637" t="n">
        <v>1.4</v>
      </c>
      <c r="H637" t="n">
        <v>0</v>
      </c>
      <c r="I637" t="n">
        <v>0</v>
      </c>
      <c r="J637" t="n">
        <v>0</v>
      </c>
      <c r="K637" t="n">
        <v>0</v>
      </c>
      <c r="L637" t="n">
        <v>0</v>
      </c>
      <c r="M637" t="n">
        <v>0</v>
      </c>
      <c r="N637" t="n">
        <v>0</v>
      </c>
      <c r="O637" t="n">
        <v>0</v>
      </c>
      <c r="P637" t="n">
        <v>0</v>
      </c>
      <c r="Q637" t="n">
        <v>0</v>
      </c>
      <c r="R637" s="2" t="inlineStr"/>
    </row>
    <row r="638" ht="15" customHeight="1">
      <c r="A638" t="inlineStr">
        <is>
          <t>A 39224-2021</t>
        </is>
      </c>
      <c r="B638" s="1" t="n">
        <v>44413</v>
      </c>
      <c r="C638" s="1" t="n">
        <v>46104</v>
      </c>
      <c r="D638" t="inlineStr">
        <is>
          <t>ÖSTERGÖTLANDS LÄN</t>
        </is>
      </c>
      <c r="E638" t="inlineStr">
        <is>
          <t>LINKÖPING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62495-2023</t>
        </is>
      </c>
      <c r="B639" s="1" t="n">
        <v>45268.59717592593</v>
      </c>
      <c r="C639" s="1" t="n">
        <v>46104</v>
      </c>
      <c r="D639" t="inlineStr">
        <is>
          <t>ÖSTERGÖTLANDS LÄN</t>
        </is>
      </c>
      <c r="E639" t="inlineStr">
        <is>
          <t>LINKÖPING</t>
        </is>
      </c>
      <c r="G639" t="n">
        <v>4.1</v>
      </c>
      <c r="H639" t="n">
        <v>0</v>
      </c>
      <c r="I639" t="n">
        <v>0</v>
      </c>
      <c r="J639" t="n">
        <v>0</v>
      </c>
      <c r="K639" t="n">
        <v>0</v>
      </c>
      <c r="L639" t="n">
        <v>0</v>
      </c>
      <c r="M639" t="n">
        <v>0</v>
      </c>
      <c r="N639" t="n">
        <v>0</v>
      </c>
      <c r="O639" t="n">
        <v>0</v>
      </c>
      <c r="P639" t="n">
        <v>0</v>
      </c>
      <c r="Q639" t="n">
        <v>0</v>
      </c>
      <c r="R639" s="2" t="inlineStr"/>
    </row>
    <row r="640" ht="15" customHeight="1">
      <c r="A640" t="inlineStr">
        <is>
          <t>A 29413-2023</t>
        </is>
      </c>
      <c r="B640" s="1" t="n">
        <v>45106.46465277778</v>
      </c>
      <c r="C640" s="1" t="n">
        <v>46104</v>
      </c>
      <c r="D640" t="inlineStr">
        <is>
          <t>ÖSTERGÖTLANDS LÄN</t>
        </is>
      </c>
      <c r="E640" t="inlineStr">
        <is>
          <t>LINKÖPING</t>
        </is>
      </c>
      <c r="G640" t="n">
        <v>8</v>
      </c>
      <c r="H640" t="n">
        <v>0</v>
      </c>
      <c r="I640" t="n">
        <v>0</v>
      </c>
      <c r="J640" t="n">
        <v>0</v>
      </c>
      <c r="K640" t="n">
        <v>0</v>
      </c>
      <c r="L640" t="n">
        <v>0</v>
      </c>
      <c r="M640" t="n">
        <v>0</v>
      </c>
      <c r="N640" t="n">
        <v>0</v>
      </c>
      <c r="O640" t="n">
        <v>0</v>
      </c>
      <c r="P640" t="n">
        <v>0</v>
      </c>
      <c r="Q640" t="n">
        <v>0</v>
      </c>
      <c r="R640" s="2" t="inlineStr"/>
    </row>
    <row r="641" ht="15" customHeight="1">
      <c r="A641" t="inlineStr">
        <is>
          <t>A 25948-2023</t>
        </is>
      </c>
      <c r="B641" s="1" t="n">
        <v>45090</v>
      </c>
      <c r="C641" s="1" t="n">
        <v>46104</v>
      </c>
      <c r="D641" t="inlineStr">
        <is>
          <t>ÖSTERGÖTLANDS LÄN</t>
        </is>
      </c>
      <c r="E641" t="inlineStr">
        <is>
          <t>LINKÖPING</t>
        </is>
      </c>
      <c r="G641" t="n">
        <v>1.1</v>
      </c>
      <c r="H641" t="n">
        <v>0</v>
      </c>
      <c r="I641" t="n">
        <v>0</v>
      </c>
      <c r="J641" t="n">
        <v>0</v>
      </c>
      <c r="K641" t="n">
        <v>0</v>
      </c>
      <c r="L641" t="n">
        <v>0</v>
      </c>
      <c r="M641" t="n">
        <v>0</v>
      </c>
      <c r="N641" t="n">
        <v>0</v>
      </c>
      <c r="O641" t="n">
        <v>0</v>
      </c>
      <c r="P641" t="n">
        <v>0</v>
      </c>
      <c r="Q641" t="n">
        <v>0</v>
      </c>
      <c r="R641" s="2" t="inlineStr"/>
    </row>
    <row r="642" ht="15" customHeight="1">
      <c r="A642" t="inlineStr">
        <is>
          <t>A 1627-2023</t>
        </is>
      </c>
      <c r="B642" s="1" t="n">
        <v>44937</v>
      </c>
      <c r="C642" s="1" t="n">
        <v>46104</v>
      </c>
      <c r="D642" t="inlineStr">
        <is>
          <t>ÖSTERGÖTLANDS LÄN</t>
        </is>
      </c>
      <c r="E642" t="inlineStr">
        <is>
          <t>LINKÖPING</t>
        </is>
      </c>
      <c r="G642" t="n">
        <v>10.8</v>
      </c>
      <c r="H642" t="n">
        <v>0</v>
      </c>
      <c r="I642" t="n">
        <v>0</v>
      </c>
      <c r="J642" t="n">
        <v>0</v>
      </c>
      <c r="K642" t="n">
        <v>0</v>
      </c>
      <c r="L642" t="n">
        <v>0</v>
      </c>
      <c r="M642" t="n">
        <v>0</v>
      </c>
      <c r="N642" t="n">
        <v>0</v>
      </c>
      <c r="O642" t="n">
        <v>0</v>
      </c>
      <c r="P642" t="n">
        <v>0</v>
      </c>
      <c r="Q642" t="n">
        <v>0</v>
      </c>
      <c r="R642" s="2" t="inlineStr"/>
    </row>
    <row r="643" ht="15" customHeight="1">
      <c r="A643" t="inlineStr">
        <is>
          <t>A 30481-2023</t>
        </is>
      </c>
      <c r="B643" s="1" t="n">
        <v>45111</v>
      </c>
      <c r="C643" s="1" t="n">
        <v>46104</v>
      </c>
      <c r="D643" t="inlineStr">
        <is>
          <t>ÖSTERGÖTLANDS LÄN</t>
        </is>
      </c>
      <c r="E643" t="inlineStr">
        <is>
          <t>LINKÖPING</t>
        </is>
      </c>
      <c r="F643" t="inlineStr">
        <is>
          <t>Övriga Aktiebolag</t>
        </is>
      </c>
      <c r="G643" t="n">
        <v>2</v>
      </c>
      <c r="H643" t="n">
        <v>0</v>
      </c>
      <c r="I643" t="n">
        <v>0</v>
      </c>
      <c r="J643" t="n">
        <v>0</v>
      </c>
      <c r="K643" t="n">
        <v>0</v>
      </c>
      <c r="L643" t="n">
        <v>0</v>
      </c>
      <c r="M643" t="n">
        <v>0</v>
      </c>
      <c r="N643" t="n">
        <v>0</v>
      </c>
      <c r="O643" t="n">
        <v>0</v>
      </c>
      <c r="P643" t="n">
        <v>0</v>
      </c>
      <c r="Q643" t="n">
        <v>0</v>
      </c>
      <c r="R643" s="2" t="inlineStr"/>
    </row>
    <row r="644" ht="15" customHeight="1">
      <c r="A644" t="inlineStr">
        <is>
          <t>A 21782-2024</t>
        </is>
      </c>
      <c r="B644" s="1" t="n">
        <v>45442.63368055555</v>
      </c>
      <c r="C644" s="1" t="n">
        <v>46104</v>
      </c>
      <c r="D644" t="inlineStr">
        <is>
          <t>ÖSTERGÖTLANDS LÄN</t>
        </is>
      </c>
      <c r="E644" t="inlineStr">
        <is>
          <t>LINKÖPING</t>
        </is>
      </c>
      <c r="G644" t="n">
        <v>1.4</v>
      </c>
      <c r="H644" t="n">
        <v>0</v>
      </c>
      <c r="I644" t="n">
        <v>0</v>
      </c>
      <c r="J644" t="n">
        <v>0</v>
      </c>
      <c r="K644" t="n">
        <v>0</v>
      </c>
      <c r="L644" t="n">
        <v>0</v>
      </c>
      <c r="M644" t="n">
        <v>0</v>
      </c>
      <c r="N644" t="n">
        <v>0</v>
      </c>
      <c r="O644" t="n">
        <v>0</v>
      </c>
      <c r="P644" t="n">
        <v>0</v>
      </c>
      <c r="Q644" t="n">
        <v>0</v>
      </c>
      <c r="R644" s="2" t="inlineStr"/>
    </row>
    <row r="645" ht="15" customHeight="1">
      <c r="A645" t="inlineStr">
        <is>
          <t>A 11671-2023</t>
        </is>
      </c>
      <c r="B645" s="1" t="n">
        <v>44994.48125</v>
      </c>
      <c r="C645" s="1" t="n">
        <v>46104</v>
      </c>
      <c r="D645" t="inlineStr">
        <is>
          <t>ÖSTERGÖTLANDS LÄN</t>
        </is>
      </c>
      <c r="E645" t="inlineStr">
        <is>
          <t>LINKÖPING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3013-2023</t>
        </is>
      </c>
      <c r="B646" s="1" t="n">
        <v>44945.8092824074</v>
      </c>
      <c r="C646" s="1" t="n">
        <v>46104</v>
      </c>
      <c r="D646" t="inlineStr">
        <is>
          <t>ÖSTERGÖTLANDS LÄN</t>
        </is>
      </c>
      <c r="E646" t="inlineStr">
        <is>
          <t>LINKÖPING</t>
        </is>
      </c>
      <c r="G646" t="n">
        <v>5.2</v>
      </c>
      <c r="H646" t="n">
        <v>0</v>
      </c>
      <c r="I646" t="n">
        <v>0</v>
      </c>
      <c r="J646" t="n">
        <v>0</v>
      </c>
      <c r="K646" t="n">
        <v>0</v>
      </c>
      <c r="L646" t="n">
        <v>0</v>
      </c>
      <c r="M646" t="n">
        <v>0</v>
      </c>
      <c r="N646" t="n">
        <v>0</v>
      </c>
      <c r="O646" t="n">
        <v>0</v>
      </c>
      <c r="P646" t="n">
        <v>0</v>
      </c>
      <c r="Q646" t="n">
        <v>0</v>
      </c>
      <c r="R646" s="2" t="inlineStr"/>
    </row>
    <row r="647" ht="15" customHeight="1">
      <c r="A647" t="inlineStr">
        <is>
          <t>A 49747-2024</t>
        </is>
      </c>
      <c r="B647" s="1" t="n">
        <v>45596</v>
      </c>
      <c r="C647" s="1" t="n">
        <v>46104</v>
      </c>
      <c r="D647" t="inlineStr">
        <is>
          <t>ÖSTERGÖTLANDS LÄN</t>
        </is>
      </c>
      <c r="E647" t="inlineStr">
        <is>
          <t>LINKÖPING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42997-2021</t>
        </is>
      </c>
      <c r="B648" s="1" t="n">
        <v>44431.45556712963</v>
      </c>
      <c r="C648" s="1" t="n">
        <v>46104</v>
      </c>
      <c r="D648" t="inlineStr">
        <is>
          <t>ÖSTERGÖTLANDS LÄN</t>
        </is>
      </c>
      <c r="E648" t="inlineStr">
        <is>
          <t>LINKÖPING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3011-2023</t>
        </is>
      </c>
      <c r="B649" s="1" t="n">
        <v>44945</v>
      </c>
      <c r="C649" s="1" t="n">
        <v>46104</v>
      </c>
      <c r="D649" t="inlineStr">
        <is>
          <t>ÖSTERGÖTLANDS LÄN</t>
        </is>
      </c>
      <c r="E649" t="inlineStr">
        <is>
          <t>LINKÖPING</t>
        </is>
      </c>
      <c r="G649" t="n">
        <v>0.6</v>
      </c>
      <c r="H649" t="n">
        <v>0</v>
      </c>
      <c r="I649" t="n">
        <v>0</v>
      </c>
      <c r="J649" t="n">
        <v>0</v>
      </c>
      <c r="K649" t="n">
        <v>0</v>
      </c>
      <c r="L649" t="n">
        <v>0</v>
      </c>
      <c r="M649" t="n">
        <v>0</v>
      </c>
      <c r="N649" t="n">
        <v>0</v>
      </c>
      <c r="O649" t="n">
        <v>0</v>
      </c>
      <c r="P649" t="n">
        <v>0</v>
      </c>
      <c r="Q649" t="n">
        <v>0</v>
      </c>
      <c r="R649" s="2" t="inlineStr"/>
    </row>
    <row r="650" ht="15" customHeight="1">
      <c r="A650" t="inlineStr">
        <is>
          <t>A 23735-2023</t>
        </is>
      </c>
      <c r="B650" s="1" t="n">
        <v>45077</v>
      </c>
      <c r="C650" s="1" t="n">
        <v>46104</v>
      </c>
      <c r="D650" t="inlineStr">
        <is>
          <t>ÖSTERGÖTLANDS LÄN</t>
        </is>
      </c>
      <c r="E650" t="inlineStr">
        <is>
          <t>LINKÖPING</t>
        </is>
      </c>
      <c r="G650" t="n">
        <v>1.7</v>
      </c>
      <c r="H650" t="n">
        <v>0</v>
      </c>
      <c r="I650" t="n">
        <v>0</v>
      </c>
      <c r="J650" t="n">
        <v>0</v>
      </c>
      <c r="K650" t="n">
        <v>0</v>
      </c>
      <c r="L650" t="n">
        <v>0</v>
      </c>
      <c r="M650" t="n">
        <v>0</v>
      </c>
      <c r="N650" t="n">
        <v>0</v>
      </c>
      <c r="O650" t="n">
        <v>0</v>
      </c>
      <c r="P650" t="n">
        <v>0</v>
      </c>
      <c r="Q650" t="n">
        <v>0</v>
      </c>
      <c r="R650" s="2" t="inlineStr"/>
    </row>
    <row r="651" ht="15" customHeight="1">
      <c r="A651" t="inlineStr">
        <is>
          <t>A 45821-2024</t>
        </is>
      </c>
      <c r="B651" s="1" t="n">
        <v>45579.75803240741</v>
      </c>
      <c r="C651" s="1" t="n">
        <v>46104</v>
      </c>
      <c r="D651" t="inlineStr">
        <is>
          <t>ÖSTERGÖTLANDS LÄN</t>
        </is>
      </c>
      <c r="E651" t="inlineStr">
        <is>
          <t>LINKÖPING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53647-2021</t>
        </is>
      </c>
      <c r="B652" s="1" t="n">
        <v>44469</v>
      </c>
      <c r="C652" s="1" t="n">
        <v>46104</v>
      </c>
      <c r="D652" t="inlineStr">
        <is>
          <t>ÖSTERGÖTLANDS LÄN</t>
        </is>
      </c>
      <c r="E652" t="inlineStr">
        <is>
          <t>LINKÖPING</t>
        </is>
      </c>
      <c r="G652" t="n">
        <v>2.3</v>
      </c>
      <c r="H652" t="n">
        <v>0</v>
      </c>
      <c r="I652" t="n">
        <v>0</v>
      </c>
      <c r="J652" t="n">
        <v>0</v>
      </c>
      <c r="K652" t="n">
        <v>0</v>
      </c>
      <c r="L652" t="n">
        <v>0</v>
      </c>
      <c r="M652" t="n">
        <v>0</v>
      </c>
      <c r="N652" t="n">
        <v>0</v>
      </c>
      <c r="O652" t="n">
        <v>0</v>
      </c>
      <c r="P652" t="n">
        <v>0</v>
      </c>
      <c r="Q652" t="n">
        <v>0</v>
      </c>
      <c r="R652" s="2" t="inlineStr"/>
    </row>
    <row r="653" ht="15" customHeight="1">
      <c r="A653" t="inlineStr">
        <is>
          <t>A 6599-2023</t>
        </is>
      </c>
      <c r="B653" s="1" t="n">
        <v>44966.52603009259</v>
      </c>
      <c r="C653" s="1" t="n">
        <v>46104</v>
      </c>
      <c r="D653" t="inlineStr">
        <is>
          <t>ÖSTERGÖTLANDS LÄN</t>
        </is>
      </c>
      <c r="E653" t="inlineStr">
        <is>
          <t>LINKÖPING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35735-2023</t>
        </is>
      </c>
      <c r="B654" s="1" t="n">
        <v>45147</v>
      </c>
      <c r="C654" s="1" t="n">
        <v>46104</v>
      </c>
      <c r="D654" t="inlineStr">
        <is>
          <t>ÖSTERGÖTLANDS LÄN</t>
        </is>
      </c>
      <c r="E654" t="inlineStr">
        <is>
          <t>LINKÖPING</t>
        </is>
      </c>
      <c r="G654" t="n">
        <v>2.8</v>
      </c>
      <c r="H654" t="n">
        <v>0</v>
      </c>
      <c r="I654" t="n">
        <v>0</v>
      </c>
      <c r="J654" t="n">
        <v>0</v>
      </c>
      <c r="K654" t="n">
        <v>0</v>
      </c>
      <c r="L654" t="n">
        <v>0</v>
      </c>
      <c r="M654" t="n">
        <v>0</v>
      </c>
      <c r="N654" t="n">
        <v>0</v>
      </c>
      <c r="O654" t="n">
        <v>0</v>
      </c>
      <c r="P654" t="n">
        <v>0</v>
      </c>
      <c r="Q654" t="n">
        <v>0</v>
      </c>
      <c r="R654" s="2" t="inlineStr"/>
    </row>
    <row r="655" ht="15" customHeight="1">
      <c r="A655" t="inlineStr">
        <is>
          <t>A 45831-2024</t>
        </is>
      </c>
      <c r="B655" s="1" t="n">
        <v>45579.90508101852</v>
      </c>
      <c r="C655" s="1" t="n">
        <v>46104</v>
      </c>
      <c r="D655" t="inlineStr">
        <is>
          <t>ÖSTERGÖTLANDS LÄN</t>
        </is>
      </c>
      <c r="E655" t="inlineStr">
        <is>
          <t>LINKÖPING</t>
        </is>
      </c>
      <c r="G655" t="n">
        <v>1.9</v>
      </c>
      <c r="H655" t="n">
        <v>0</v>
      </c>
      <c r="I655" t="n">
        <v>0</v>
      </c>
      <c r="J655" t="n">
        <v>0</v>
      </c>
      <c r="K655" t="n">
        <v>0</v>
      </c>
      <c r="L655" t="n">
        <v>0</v>
      </c>
      <c r="M655" t="n">
        <v>0</v>
      </c>
      <c r="N655" t="n">
        <v>0</v>
      </c>
      <c r="O655" t="n">
        <v>0</v>
      </c>
      <c r="P655" t="n">
        <v>0</v>
      </c>
      <c r="Q655" t="n">
        <v>0</v>
      </c>
      <c r="R655" s="2" t="inlineStr"/>
    </row>
    <row r="656" ht="15" customHeight="1">
      <c r="A656" t="inlineStr">
        <is>
          <t>A 17157-2024</t>
        </is>
      </c>
      <c r="B656" s="1" t="n">
        <v>45412.70567129629</v>
      </c>
      <c r="C656" s="1" t="n">
        <v>46104</v>
      </c>
      <c r="D656" t="inlineStr">
        <is>
          <t>ÖSTERGÖTLANDS LÄN</t>
        </is>
      </c>
      <c r="E656" t="inlineStr">
        <is>
          <t>LINKÖPING</t>
        </is>
      </c>
      <c r="G656" t="n">
        <v>0.8</v>
      </c>
      <c r="H656" t="n">
        <v>0</v>
      </c>
      <c r="I656" t="n">
        <v>0</v>
      </c>
      <c r="J656" t="n">
        <v>0</v>
      </c>
      <c r="K656" t="n">
        <v>0</v>
      </c>
      <c r="L656" t="n">
        <v>0</v>
      </c>
      <c r="M656" t="n">
        <v>0</v>
      </c>
      <c r="N656" t="n">
        <v>0</v>
      </c>
      <c r="O656" t="n">
        <v>0</v>
      </c>
      <c r="P656" t="n">
        <v>0</v>
      </c>
      <c r="Q656" t="n">
        <v>0</v>
      </c>
      <c r="R656" s="2" t="inlineStr"/>
    </row>
    <row r="657" ht="15" customHeight="1">
      <c r="A657" t="inlineStr">
        <is>
          <t>A 37154-2023</t>
        </is>
      </c>
      <c r="B657" s="1" t="n">
        <v>45155</v>
      </c>
      <c r="C657" s="1" t="n">
        <v>46104</v>
      </c>
      <c r="D657" t="inlineStr">
        <is>
          <t>ÖSTERGÖTLANDS LÄN</t>
        </is>
      </c>
      <c r="E657" t="inlineStr">
        <is>
          <t>LINKÖPING</t>
        </is>
      </c>
      <c r="G657" t="n">
        <v>1.7</v>
      </c>
      <c r="H657" t="n">
        <v>0</v>
      </c>
      <c r="I657" t="n">
        <v>0</v>
      </c>
      <c r="J657" t="n">
        <v>0</v>
      </c>
      <c r="K657" t="n">
        <v>0</v>
      </c>
      <c r="L657" t="n">
        <v>0</v>
      </c>
      <c r="M657" t="n">
        <v>0</v>
      </c>
      <c r="N657" t="n">
        <v>0</v>
      </c>
      <c r="O657" t="n">
        <v>0</v>
      </c>
      <c r="P657" t="n">
        <v>0</v>
      </c>
      <c r="Q657" t="n">
        <v>0</v>
      </c>
      <c r="R657" s="2" t="inlineStr"/>
    </row>
    <row r="658" ht="15" customHeight="1">
      <c r="A658" t="inlineStr">
        <is>
          <t>A 53812-2023</t>
        </is>
      </c>
      <c r="B658" s="1" t="n">
        <v>45231.39583333334</v>
      </c>
      <c r="C658" s="1" t="n">
        <v>46104</v>
      </c>
      <c r="D658" t="inlineStr">
        <is>
          <t>ÖSTERGÖTLANDS LÄN</t>
        </is>
      </c>
      <c r="E658" t="inlineStr">
        <is>
          <t>LINKÖPING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53830-2023</t>
        </is>
      </c>
      <c r="B659" s="1" t="n">
        <v>45230</v>
      </c>
      <c r="C659" s="1" t="n">
        <v>46104</v>
      </c>
      <c r="D659" t="inlineStr">
        <is>
          <t>ÖSTERGÖTLANDS LÄN</t>
        </is>
      </c>
      <c r="E659" t="inlineStr">
        <is>
          <t>LINKÖPING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56841-2023</t>
        </is>
      </c>
      <c r="B660" s="1" t="n">
        <v>45244</v>
      </c>
      <c r="C660" s="1" t="n">
        <v>46104</v>
      </c>
      <c r="D660" t="inlineStr">
        <is>
          <t>ÖSTERGÖTLANDS LÄN</t>
        </is>
      </c>
      <c r="E660" t="inlineStr">
        <is>
          <t>LINKÖPING</t>
        </is>
      </c>
      <c r="F660" t="inlineStr">
        <is>
          <t>Övriga Aktiebolag</t>
        </is>
      </c>
      <c r="G660" t="n">
        <v>0.5</v>
      </c>
      <c r="H660" t="n">
        <v>0</v>
      </c>
      <c r="I660" t="n">
        <v>0</v>
      </c>
      <c r="J660" t="n">
        <v>0</v>
      </c>
      <c r="K660" t="n">
        <v>0</v>
      </c>
      <c r="L660" t="n">
        <v>0</v>
      </c>
      <c r="M660" t="n">
        <v>0</v>
      </c>
      <c r="N660" t="n">
        <v>0</v>
      </c>
      <c r="O660" t="n">
        <v>0</v>
      </c>
      <c r="P660" t="n">
        <v>0</v>
      </c>
      <c r="Q660" t="n">
        <v>0</v>
      </c>
      <c r="R660" s="2" t="inlineStr"/>
    </row>
    <row r="661" ht="15" customHeight="1">
      <c r="A661" t="inlineStr">
        <is>
          <t>A 56741-2023</t>
        </is>
      </c>
      <c r="B661" s="1" t="n">
        <v>45244</v>
      </c>
      <c r="C661" s="1" t="n">
        <v>46104</v>
      </c>
      <c r="D661" t="inlineStr">
        <is>
          <t>ÖSTERGÖTLANDS LÄN</t>
        </is>
      </c>
      <c r="E661" t="inlineStr">
        <is>
          <t>LINKÖPING</t>
        </is>
      </c>
      <c r="F661" t="inlineStr">
        <is>
          <t>Övriga Aktiebolag</t>
        </is>
      </c>
      <c r="G661" t="n">
        <v>1.1</v>
      </c>
      <c r="H661" t="n">
        <v>0</v>
      </c>
      <c r="I661" t="n">
        <v>0</v>
      </c>
      <c r="J661" t="n">
        <v>0</v>
      </c>
      <c r="K661" t="n">
        <v>0</v>
      </c>
      <c r="L661" t="n">
        <v>0</v>
      </c>
      <c r="M661" t="n">
        <v>0</v>
      </c>
      <c r="N661" t="n">
        <v>0</v>
      </c>
      <c r="O661" t="n">
        <v>0</v>
      </c>
      <c r="P661" t="n">
        <v>0</v>
      </c>
      <c r="Q661" t="n">
        <v>0</v>
      </c>
      <c r="R661" s="2" t="inlineStr"/>
    </row>
    <row r="662" ht="15" customHeight="1">
      <c r="A662" t="inlineStr">
        <is>
          <t>A 53816-2023</t>
        </is>
      </c>
      <c r="B662" s="1" t="n">
        <v>45231.40012731482</v>
      </c>
      <c r="C662" s="1" t="n">
        <v>46104</v>
      </c>
      <c r="D662" t="inlineStr">
        <is>
          <t>ÖSTERGÖTLANDS LÄN</t>
        </is>
      </c>
      <c r="E662" t="inlineStr">
        <is>
          <t>LINKÖPING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63935-2021</t>
        </is>
      </c>
      <c r="B663" s="1" t="n">
        <v>44509</v>
      </c>
      <c r="C663" s="1" t="n">
        <v>46104</v>
      </c>
      <c r="D663" t="inlineStr">
        <is>
          <t>ÖSTERGÖTLANDS LÄN</t>
        </is>
      </c>
      <c r="E663" t="inlineStr">
        <is>
          <t>LINKÖPING</t>
        </is>
      </c>
      <c r="F663" t="inlineStr">
        <is>
          <t>Övriga statliga verk och myndigheter</t>
        </is>
      </c>
      <c r="G663" t="n">
        <v>2.8</v>
      </c>
      <c r="H663" t="n">
        <v>0</v>
      </c>
      <c r="I663" t="n">
        <v>0</v>
      </c>
      <c r="J663" t="n">
        <v>0</v>
      </c>
      <c r="K663" t="n">
        <v>0</v>
      </c>
      <c r="L663" t="n">
        <v>0</v>
      </c>
      <c r="M663" t="n">
        <v>0</v>
      </c>
      <c r="N663" t="n">
        <v>0</v>
      </c>
      <c r="O663" t="n">
        <v>0</v>
      </c>
      <c r="P663" t="n">
        <v>0</v>
      </c>
      <c r="Q663" t="n">
        <v>0</v>
      </c>
      <c r="R663" s="2" t="inlineStr"/>
    </row>
    <row r="664" ht="15" customHeight="1">
      <c r="A664" t="inlineStr">
        <is>
          <t>A 6726-2024</t>
        </is>
      </c>
      <c r="B664" s="1" t="n">
        <v>45341</v>
      </c>
      <c r="C664" s="1" t="n">
        <v>46104</v>
      </c>
      <c r="D664" t="inlineStr">
        <is>
          <t>ÖSTERGÖTLANDS LÄN</t>
        </is>
      </c>
      <c r="E664" t="inlineStr">
        <is>
          <t>LINKÖPING</t>
        </is>
      </c>
      <c r="G664" t="n">
        <v>2.7</v>
      </c>
      <c r="H664" t="n">
        <v>0</v>
      </c>
      <c r="I664" t="n">
        <v>0</v>
      </c>
      <c r="J664" t="n">
        <v>0</v>
      </c>
      <c r="K664" t="n">
        <v>0</v>
      </c>
      <c r="L664" t="n">
        <v>0</v>
      </c>
      <c r="M664" t="n">
        <v>0</v>
      </c>
      <c r="N664" t="n">
        <v>0</v>
      </c>
      <c r="O664" t="n">
        <v>0</v>
      </c>
      <c r="P664" t="n">
        <v>0</v>
      </c>
      <c r="Q664" t="n">
        <v>0</v>
      </c>
      <c r="R664" s="2" t="inlineStr"/>
    </row>
    <row r="665" ht="15" customHeight="1">
      <c r="A665" t="inlineStr">
        <is>
          <t>A 3007-2023</t>
        </is>
      </c>
      <c r="B665" s="1" t="n">
        <v>44945</v>
      </c>
      <c r="C665" s="1" t="n">
        <v>46104</v>
      </c>
      <c r="D665" t="inlineStr">
        <is>
          <t>ÖSTERGÖTLANDS LÄN</t>
        </is>
      </c>
      <c r="E665" t="inlineStr">
        <is>
          <t>LINKÖPING</t>
        </is>
      </c>
      <c r="G665" t="n">
        <v>2.6</v>
      </c>
      <c r="H665" t="n">
        <v>0</v>
      </c>
      <c r="I665" t="n">
        <v>0</v>
      </c>
      <c r="J665" t="n">
        <v>0</v>
      </c>
      <c r="K665" t="n">
        <v>0</v>
      </c>
      <c r="L665" t="n">
        <v>0</v>
      </c>
      <c r="M665" t="n">
        <v>0</v>
      </c>
      <c r="N665" t="n">
        <v>0</v>
      </c>
      <c r="O665" t="n">
        <v>0</v>
      </c>
      <c r="P665" t="n">
        <v>0</v>
      </c>
      <c r="Q665" t="n">
        <v>0</v>
      </c>
      <c r="R665" s="2" t="inlineStr"/>
    </row>
    <row r="666" ht="15" customHeight="1">
      <c r="A666" t="inlineStr">
        <is>
          <t>A 18145-2021</t>
        </is>
      </c>
      <c r="B666" s="1" t="n">
        <v>44302</v>
      </c>
      <c r="C666" s="1" t="n">
        <v>46104</v>
      </c>
      <c r="D666" t="inlineStr">
        <is>
          <t>ÖSTERGÖTLANDS LÄN</t>
        </is>
      </c>
      <c r="E666" t="inlineStr">
        <is>
          <t>LINKÖPING</t>
        </is>
      </c>
      <c r="G666" t="n">
        <v>2.4</v>
      </c>
      <c r="H666" t="n">
        <v>0</v>
      </c>
      <c r="I666" t="n">
        <v>0</v>
      </c>
      <c r="J666" t="n">
        <v>0</v>
      </c>
      <c r="K666" t="n">
        <v>0</v>
      </c>
      <c r="L666" t="n">
        <v>0</v>
      </c>
      <c r="M666" t="n">
        <v>0</v>
      </c>
      <c r="N666" t="n">
        <v>0</v>
      </c>
      <c r="O666" t="n">
        <v>0</v>
      </c>
      <c r="P666" t="n">
        <v>0</v>
      </c>
      <c r="Q666" t="n">
        <v>0</v>
      </c>
      <c r="R666" s="2" t="inlineStr"/>
    </row>
    <row r="667" ht="15" customHeight="1">
      <c r="A667" t="inlineStr">
        <is>
          <t>A 29309-2024</t>
        </is>
      </c>
      <c r="B667" s="1" t="n">
        <v>45483</v>
      </c>
      <c r="C667" s="1" t="n">
        <v>46104</v>
      </c>
      <c r="D667" t="inlineStr">
        <is>
          <t>ÖSTERGÖTLANDS LÄN</t>
        </is>
      </c>
      <c r="E667" t="inlineStr">
        <is>
          <t>LINKÖPING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53411-2023</t>
        </is>
      </c>
      <c r="B668" s="1" t="n">
        <v>45229.81049768518</v>
      </c>
      <c r="C668" s="1" t="n">
        <v>46104</v>
      </c>
      <c r="D668" t="inlineStr">
        <is>
          <t>ÖSTERGÖTLANDS LÄN</t>
        </is>
      </c>
      <c r="E668" t="inlineStr">
        <is>
          <t>LINKÖPING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26788-2022</t>
        </is>
      </c>
      <c r="B669" s="1" t="n">
        <v>44740</v>
      </c>
      <c r="C669" s="1" t="n">
        <v>46104</v>
      </c>
      <c r="D669" t="inlineStr">
        <is>
          <t>ÖSTERGÖTLANDS LÄN</t>
        </is>
      </c>
      <c r="E669" t="inlineStr">
        <is>
          <t>LINKÖPING</t>
        </is>
      </c>
      <c r="G669" t="n">
        <v>3.2</v>
      </c>
      <c r="H669" t="n">
        <v>0</v>
      </c>
      <c r="I669" t="n">
        <v>0</v>
      </c>
      <c r="J669" t="n">
        <v>0</v>
      </c>
      <c r="K669" t="n">
        <v>0</v>
      </c>
      <c r="L669" t="n">
        <v>0</v>
      </c>
      <c r="M669" t="n">
        <v>0</v>
      </c>
      <c r="N669" t="n">
        <v>0</v>
      </c>
      <c r="O669" t="n">
        <v>0</v>
      </c>
      <c r="P669" t="n">
        <v>0</v>
      </c>
      <c r="Q669" t="n">
        <v>0</v>
      </c>
      <c r="R669" s="2" t="inlineStr"/>
    </row>
    <row r="670" ht="15" customHeight="1">
      <c r="A670" t="inlineStr">
        <is>
          <t>A 24462-2023</t>
        </is>
      </c>
      <c r="B670" s="1" t="n">
        <v>45082</v>
      </c>
      <c r="C670" s="1" t="n">
        <v>46104</v>
      </c>
      <c r="D670" t="inlineStr">
        <is>
          <t>ÖSTERGÖTLANDS LÄN</t>
        </is>
      </c>
      <c r="E670" t="inlineStr">
        <is>
          <t>LINKÖPING</t>
        </is>
      </c>
      <c r="G670" t="n">
        <v>3.5</v>
      </c>
      <c r="H670" t="n">
        <v>0</v>
      </c>
      <c r="I670" t="n">
        <v>0</v>
      </c>
      <c r="J670" t="n">
        <v>0</v>
      </c>
      <c r="K670" t="n">
        <v>0</v>
      </c>
      <c r="L670" t="n">
        <v>0</v>
      </c>
      <c r="M670" t="n">
        <v>0</v>
      </c>
      <c r="N670" t="n">
        <v>0</v>
      </c>
      <c r="O670" t="n">
        <v>0</v>
      </c>
      <c r="P670" t="n">
        <v>0</v>
      </c>
      <c r="Q670" t="n">
        <v>0</v>
      </c>
      <c r="R670" s="2" t="inlineStr"/>
    </row>
    <row r="671" ht="15" customHeight="1">
      <c r="A671" t="inlineStr">
        <is>
          <t>A 62015-2024</t>
        </is>
      </c>
      <c r="B671" s="1" t="n">
        <v>45655.80457175926</v>
      </c>
      <c r="C671" s="1" t="n">
        <v>46104</v>
      </c>
      <c r="D671" t="inlineStr">
        <is>
          <t>ÖSTERGÖTLANDS LÄN</t>
        </is>
      </c>
      <c r="E671" t="inlineStr">
        <is>
          <t>LINKÖPING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10741-2023</t>
        </is>
      </c>
      <c r="B672" s="1" t="n">
        <v>44988.70084490741</v>
      </c>
      <c r="C672" s="1" t="n">
        <v>46104</v>
      </c>
      <c r="D672" t="inlineStr">
        <is>
          <t>ÖSTERGÖTLANDS LÄN</t>
        </is>
      </c>
      <c r="E672" t="inlineStr">
        <is>
          <t>LINKÖPING</t>
        </is>
      </c>
      <c r="F672" t="inlineStr">
        <is>
          <t>Allmännings- och besparingsskogar</t>
        </is>
      </c>
      <c r="G672" t="n">
        <v>11.2</v>
      </c>
      <c r="H672" t="n">
        <v>0</v>
      </c>
      <c r="I672" t="n">
        <v>0</v>
      </c>
      <c r="J672" t="n">
        <v>0</v>
      </c>
      <c r="K672" t="n">
        <v>0</v>
      </c>
      <c r="L672" t="n">
        <v>0</v>
      </c>
      <c r="M672" t="n">
        <v>0</v>
      </c>
      <c r="N672" t="n">
        <v>0</v>
      </c>
      <c r="O672" t="n">
        <v>0</v>
      </c>
      <c r="P672" t="n">
        <v>0</v>
      </c>
      <c r="Q672" t="n">
        <v>0</v>
      </c>
      <c r="R672" s="2" t="inlineStr"/>
    </row>
    <row r="673" ht="15" customHeight="1">
      <c r="A673" t="inlineStr">
        <is>
          <t>A 43473-2024</t>
        </is>
      </c>
      <c r="B673" s="1" t="n">
        <v>45568</v>
      </c>
      <c r="C673" s="1" t="n">
        <v>46104</v>
      </c>
      <c r="D673" t="inlineStr">
        <is>
          <t>ÖSTERGÖTLANDS LÄN</t>
        </is>
      </c>
      <c r="E673" t="inlineStr">
        <is>
          <t>LINKÖPING</t>
        </is>
      </c>
      <c r="G673" t="n">
        <v>0.7</v>
      </c>
      <c r="H673" t="n">
        <v>0</v>
      </c>
      <c r="I673" t="n">
        <v>0</v>
      </c>
      <c r="J673" t="n">
        <v>0</v>
      </c>
      <c r="K673" t="n">
        <v>0</v>
      </c>
      <c r="L673" t="n">
        <v>0</v>
      </c>
      <c r="M673" t="n">
        <v>0</v>
      </c>
      <c r="N673" t="n">
        <v>0</v>
      </c>
      <c r="O673" t="n">
        <v>0</v>
      </c>
      <c r="P673" t="n">
        <v>0</v>
      </c>
      <c r="Q673" t="n">
        <v>0</v>
      </c>
      <c r="R673" s="2" t="inlineStr"/>
    </row>
    <row r="674" ht="15" customHeight="1">
      <c r="A674" t="inlineStr">
        <is>
          <t>A 43475-2024</t>
        </is>
      </c>
      <c r="B674" s="1" t="n">
        <v>45568</v>
      </c>
      <c r="C674" s="1" t="n">
        <v>46104</v>
      </c>
      <c r="D674" t="inlineStr">
        <is>
          <t>ÖSTERGÖTLANDS LÄN</t>
        </is>
      </c>
      <c r="E674" t="inlineStr">
        <is>
          <t>LINKÖPING</t>
        </is>
      </c>
      <c r="G674" t="n">
        <v>3.2</v>
      </c>
      <c r="H674" t="n">
        <v>0</v>
      </c>
      <c r="I674" t="n">
        <v>0</v>
      </c>
      <c r="J674" t="n">
        <v>0</v>
      </c>
      <c r="K674" t="n">
        <v>0</v>
      </c>
      <c r="L674" t="n">
        <v>0</v>
      </c>
      <c r="M674" t="n">
        <v>0</v>
      </c>
      <c r="N674" t="n">
        <v>0</v>
      </c>
      <c r="O674" t="n">
        <v>0</v>
      </c>
      <c r="P674" t="n">
        <v>0</v>
      </c>
      <c r="Q674" t="n">
        <v>0</v>
      </c>
      <c r="R674" s="2" t="inlineStr"/>
    </row>
    <row r="675" ht="15" customHeight="1">
      <c r="A675" t="inlineStr">
        <is>
          <t>A 1207-2023</t>
        </is>
      </c>
      <c r="B675" s="1" t="n">
        <v>44930</v>
      </c>
      <c r="C675" s="1" t="n">
        <v>46104</v>
      </c>
      <c r="D675" t="inlineStr">
        <is>
          <t>ÖSTERGÖTLANDS LÄN</t>
        </is>
      </c>
      <c r="E675" t="inlineStr">
        <is>
          <t>LINKÖPING</t>
        </is>
      </c>
      <c r="F675" t="inlineStr">
        <is>
          <t>Övriga statliga verk och myndigheter</t>
        </is>
      </c>
      <c r="G675" t="n">
        <v>32.8</v>
      </c>
      <c r="H675" t="n">
        <v>0</v>
      </c>
      <c r="I675" t="n">
        <v>0</v>
      </c>
      <c r="J675" t="n">
        <v>0</v>
      </c>
      <c r="K675" t="n">
        <v>0</v>
      </c>
      <c r="L675" t="n">
        <v>0</v>
      </c>
      <c r="M675" t="n">
        <v>0</v>
      </c>
      <c r="N675" t="n">
        <v>0</v>
      </c>
      <c r="O675" t="n">
        <v>0</v>
      </c>
      <c r="P675" t="n">
        <v>0</v>
      </c>
      <c r="Q675" t="n">
        <v>0</v>
      </c>
      <c r="R675" s="2" t="inlineStr"/>
    </row>
    <row r="676" ht="15" customHeight="1">
      <c r="A676" t="inlineStr">
        <is>
          <t>A 29859-2024</t>
        </is>
      </c>
      <c r="B676" s="1" t="n">
        <v>45485.6846412037</v>
      </c>
      <c r="C676" s="1" t="n">
        <v>46104</v>
      </c>
      <c r="D676" t="inlineStr">
        <is>
          <t>ÖSTERGÖTLANDS LÄN</t>
        </is>
      </c>
      <c r="E676" t="inlineStr">
        <is>
          <t>LINKÖPING</t>
        </is>
      </c>
      <c r="G676" t="n">
        <v>0.4</v>
      </c>
      <c r="H676" t="n">
        <v>0</v>
      </c>
      <c r="I676" t="n">
        <v>0</v>
      </c>
      <c r="J676" t="n">
        <v>0</v>
      </c>
      <c r="K676" t="n">
        <v>0</v>
      </c>
      <c r="L676" t="n">
        <v>0</v>
      </c>
      <c r="M676" t="n">
        <v>0</v>
      </c>
      <c r="N676" t="n">
        <v>0</v>
      </c>
      <c r="O676" t="n">
        <v>0</v>
      </c>
      <c r="P676" t="n">
        <v>0</v>
      </c>
      <c r="Q676" t="n">
        <v>0</v>
      </c>
      <c r="R676" s="2" t="inlineStr"/>
    </row>
    <row r="677" ht="15" customHeight="1">
      <c r="A677" t="inlineStr">
        <is>
          <t>A 45819-2024</t>
        </is>
      </c>
      <c r="B677" s="1" t="n">
        <v>45579.7454050926</v>
      </c>
      <c r="C677" s="1" t="n">
        <v>46104</v>
      </c>
      <c r="D677" t="inlineStr">
        <is>
          <t>ÖSTERGÖTLANDS LÄN</t>
        </is>
      </c>
      <c r="E677" t="inlineStr">
        <is>
          <t>LINKÖPING</t>
        </is>
      </c>
      <c r="G677" t="n">
        <v>5</v>
      </c>
      <c r="H677" t="n">
        <v>0</v>
      </c>
      <c r="I677" t="n">
        <v>0</v>
      </c>
      <c r="J677" t="n">
        <v>0</v>
      </c>
      <c r="K677" t="n">
        <v>0</v>
      </c>
      <c r="L677" t="n">
        <v>0</v>
      </c>
      <c r="M677" t="n">
        <v>0</v>
      </c>
      <c r="N677" t="n">
        <v>0</v>
      </c>
      <c r="O677" t="n">
        <v>0</v>
      </c>
      <c r="P677" t="n">
        <v>0</v>
      </c>
      <c r="Q677" t="n">
        <v>0</v>
      </c>
      <c r="R677" s="2" t="inlineStr"/>
    </row>
    <row r="678" ht="15" customHeight="1">
      <c r="A678" t="inlineStr">
        <is>
          <t>A 15748-2025</t>
        </is>
      </c>
      <c r="B678" s="1" t="n">
        <v>45748.55282407408</v>
      </c>
      <c r="C678" s="1" t="n">
        <v>46104</v>
      </c>
      <c r="D678" t="inlineStr">
        <is>
          <t>ÖSTERGÖTLANDS LÄN</t>
        </is>
      </c>
      <c r="E678" t="inlineStr">
        <is>
          <t>LINKÖPING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15754-2025</t>
        </is>
      </c>
      <c r="B679" s="1" t="n">
        <v>45748.56105324074</v>
      </c>
      <c r="C679" s="1" t="n">
        <v>46104</v>
      </c>
      <c r="D679" t="inlineStr">
        <is>
          <t>ÖSTERGÖTLANDS LÄN</t>
        </is>
      </c>
      <c r="E679" t="inlineStr">
        <is>
          <t>LINKÖPING</t>
        </is>
      </c>
      <c r="G679" t="n">
        <v>1.7</v>
      </c>
      <c r="H679" t="n">
        <v>0</v>
      </c>
      <c r="I679" t="n">
        <v>0</v>
      </c>
      <c r="J679" t="n">
        <v>0</v>
      </c>
      <c r="K679" t="n">
        <v>0</v>
      </c>
      <c r="L679" t="n">
        <v>0</v>
      </c>
      <c r="M679" t="n">
        <v>0</v>
      </c>
      <c r="N679" t="n">
        <v>0</v>
      </c>
      <c r="O679" t="n">
        <v>0</v>
      </c>
      <c r="P679" t="n">
        <v>0</v>
      </c>
      <c r="Q679" t="n">
        <v>0</v>
      </c>
      <c r="R679" s="2" t="inlineStr"/>
    </row>
    <row r="680" ht="15" customHeight="1">
      <c r="A680" t="inlineStr">
        <is>
          <t>A 30518-2024</t>
        </is>
      </c>
      <c r="B680" s="1" t="n">
        <v>45492</v>
      </c>
      <c r="C680" s="1" t="n">
        <v>46104</v>
      </c>
      <c r="D680" t="inlineStr">
        <is>
          <t>ÖSTERGÖTLANDS LÄN</t>
        </is>
      </c>
      <c r="E680" t="inlineStr">
        <is>
          <t>LINKÖPING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53797-2023</t>
        </is>
      </c>
      <c r="B681" s="1" t="n">
        <v>45230</v>
      </c>
      <c r="C681" s="1" t="n">
        <v>46104</v>
      </c>
      <c r="D681" t="inlineStr">
        <is>
          <t>ÖSTERGÖTLANDS LÄN</t>
        </is>
      </c>
      <c r="E681" t="inlineStr">
        <is>
          <t>LINKÖPING</t>
        </is>
      </c>
      <c r="G681" t="n">
        <v>1.1</v>
      </c>
      <c r="H681" t="n">
        <v>0</v>
      </c>
      <c r="I681" t="n">
        <v>0</v>
      </c>
      <c r="J681" t="n">
        <v>0</v>
      </c>
      <c r="K681" t="n">
        <v>0</v>
      </c>
      <c r="L681" t="n">
        <v>0</v>
      </c>
      <c r="M681" t="n">
        <v>0</v>
      </c>
      <c r="N681" t="n">
        <v>0</v>
      </c>
      <c r="O681" t="n">
        <v>0</v>
      </c>
      <c r="P681" t="n">
        <v>0</v>
      </c>
      <c r="Q681" t="n">
        <v>0</v>
      </c>
      <c r="R681" s="2" t="inlineStr"/>
    </row>
    <row r="682" ht="15" customHeight="1">
      <c r="A682" t="inlineStr">
        <is>
          <t>A 55345-2021</t>
        </is>
      </c>
      <c r="B682" s="1" t="n">
        <v>44475</v>
      </c>
      <c r="C682" s="1" t="n">
        <v>46104</v>
      </c>
      <c r="D682" t="inlineStr">
        <is>
          <t>ÖSTERGÖTLANDS LÄN</t>
        </is>
      </c>
      <c r="E682" t="inlineStr">
        <is>
          <t>LINKÖPING</t>
        </is>
      </c>
      <c r="G682" t="n">
        <v>5.7</v>
      </c>
      <c r="H682" t="n">
        <v>0</v>
      </c>
      <c r="I682" t="n">
        <v>0</v>
      </c>
      <c r="J682" t="n">
        <v>0</v>
      </c>
      <c r="K682" t="n">
        <v>0</v>
      </c>
      <c r="L682" t="n">
        <v>0</v>
      </c>
      <c r="M682" t="n">
        <v>0</v>
      </c>
      <c r="N682" t="n">
        <v>0</v>
      </c>
      <c r="O682" t="n">
        <v>0</v>
      </c>
      <c r="P682" t="n">
        <v>0</v>
      </c>
      <c r="Q682" t="n">
        <v>0</v>
      </c>
      <c r="R682" s="2" t="inlineStr"/>
    </row>
    <row r="683" ht="15" customHeight="1">
      <c r="A683" t="inlineStr">
        <is>
          <t>A 10198-2023</t>
        </is>
      </c>
      <c r="B683" s="1" t="n">
        <v>44986.54665509259</v>
      </c>
      <c r="C683" s="1" t="n">
        <v>46104</v>
      </c>
      <c r="D683" t="inlineStr">
        <is>
          <t>ÖSTERGÖTLANDS LÄN</t>
        </is>
      </c>
      <c r="E683" t="inlineStr">
        <is>
          <t>LINKÖPING</t>
        </is>
      </c>
      <c r="G683" t="n">
        <v>4.6</v>
      </c>
      <c r="H683" t="n">
        <v>0</v>
      </c>
      <c r="I683" t="n">
        <v>0</v>
      </c>
      <c r="J683" t="n">
        <v>0</v>
      </c>
      <c r="K683" t="n">
        <v>0</v>
      </c>
      <c r="L683" t="n">
        <v>0</v>
      </c>
      <c r="M683" t="n">
        <v>0</v>
      </c>
      <c r="N683" t="n">
        <v>0</v>
      </c>
      <c r="O683" t="n">
        <v>0</v>
      </c>
      <c r="P683" t="n">
        <v>0</v>
      </c>
      <c r="Q683" t="n">
        <v>0</v>
      </c>
      <c r="R683" s="2" t="inlineStr"/>
    </row>
    <row r="684" ht="15" customHeight="1">
      <c r="A684" t="inlineStr">
        <is>
          <t>A 4298-2023</t>
        </is>
      </c>
      <c r="B684" s="1" t="n">
        <v>44953</v>
      </c>
      <c r="C684" s="1" t="n">
        <v>46104</v>
      </c>
      <c r="D684" t="inlineStr">
        <is>
          <t>ÖSTERGÖTLANDS LÄN</t>
        </is>
      </c>
      <c r="E684" t="inlineStr">
        <is>
          <t>LINKÖPING</t>
        </is>
      </c>
      <c r="G684" t="n">
        <v>2.8</v>
      </c>
      <c r="H684" t="n">
        <v>0</v>
      </c>
      <c r="I684" t="n">
        <v>0</v>
      </c>
      <c r="J684" t="n">
        <v>0</v>
      </c>
      <c r="K684" t="n">
        <v>0</v>
      </c>
      <c r="L684" t="n">
        <v>0</v>
      </c>
      <c r="M684" t="n">
        <v>0</v>
      </c>
      <c r="N684" t="n">
        <v>0</v>
      </c>
      <c r="O684" t="n">
        <v>0</v>
      </c>
      <c r="P684" t="n">
        <v>0</v>
      </c>
      <c r="Q684" t="n">
        <v>0</v>
      </c>
      <c r="R684" s="2" t="inlineStr"/>
    </row>
    <row r="685" ht="15" customHeight="1">
      <c r="A685" t="inlineStr">
        <is>
          <t>A 12428-2024</t>
        </is>
      </c>
      <c r="B685" s="1" t="n">
        <v>45379</v>
      </c>
      <c r="C685" s="1" t="n">
        <v>46104</v>
      </c>
      <c r="D685" t="inlineStr">
        <is>
          <t>ÖSTERGÖTLANDS LÄN</t>
        </is>
      </c>
      <c r="E685" t="inlineStr">
        <is>
          <t>LINKÖPING</t>
        </is>
      </c>
      <c r="G685" t="n">
        <v>1</v>
      </c>
      <c r="H685" t="n">
        <v>0</v>
      </c>
      <c r="I685" t="n">
        <v>0</v>
      </c>
      <c r="J685" t="n">
        <v>0</v>
      </c>
      <c r="K685" t="n">
        <v>0</v>
      </c>
      <c r="L685" t="n">
        <v>0</v>
      </c>
      <c r="M685" t="n">
        <v>0</v>
      </c>
      <c r="N685" t="n">
        <v>0</v>
      </c>
      <c r="O685" t="n">
        <v>0</v>
      </c>
      <c r="P685" t="n">
        <v>0</v>
      </c>
      <c r="Q685" t="n">
        <v>0</v>
      </c>
      <c r="R685" s="2" t="inlineStr"/>
    </row>
    <row r="686" ht="15" customHeight="1">
      <c r="A686" t="inlineStr">
        <is>
          <t>A 26618-2023</t>
        </is>
      </c>
      <c r="B686" s="1" t="n">
        <v>45092.70306712963</v>
      </c>
      <c r="C686" s="1" t="n">
        <v>46104</v>
      </c>
      <c r="D686" t="inlineStr">
        <is>
          <t>ÖSTERGÖTLANDS LÄN</t>
        </is>
      </c>
      <c r="E686" t="inlineStr">
        <is>
          <t>LINKÖPING</t>
        </is>
      </c>
      <c r="G686" t="n">
        <v>6.9</v>
      </c>
      <c r="H686" t="n">
        <v>0</v>
      </c>
      <c r="I686" t="n">
        <v>0</v>
      </c>
      <c r="J686" t="n">
        <v>0</v>
      </c>
      <c r="K686" t="n">
        <v>0</v>
      </c>
      <c r="L686" t="n">
        <v>0</v>
      </c>
      <c r="M686" t="n">
        <v>0</v>
      </c>
      <c r="N686" t="n">
        <v>0</v>
      </c>
      <c r="O686" t="n">
        <v>0</v>
      </c>
      <c r="P686" t="n">
        <v>0</v>
      </c>
      <c r="Q686" t="n">
        <v>0</v>
      </c>
      <c r="R686" s="2" t="inlineStr"/>
    </row>
    <row r="687" ht="15" customHeight="1">
      <c r="A687" t="inlineStr">
        <is>
          <t>A 34930-2023</t>
        </is>
      </c>
      <c r="B687" s="1" t="n">
        <v>45142</v>
      </c>
      <c r="C687" s="1" t="n">
        <v>46104</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670-2024</t>
        </is>
      </c>
      <c r="B688" s="1" t="n">
        <v>45300.3408912037</v>
      </c>
      <c r="C688" s="1" t="n">
        <v>46104</v>
      </c>
      <c r="D688" t="inlineStr">
        <is>
          <t>ÖSTERGÖTLANDS LÄN</t>
        </is>
      </c>
      <c r="E688" t="inlineStr">
        <is>
          <t>LINKÖPING</t>
        </is>
      </c>
      <c r="F688" t="inlineStr">
        <is>
          <t>Sveaskog</t>
        </is>
      </c>
      <c r="G688" t="n">
        <v>2.3</v>
      </c>
      <c r="H688" t="n">
        <v>0</v>
      </c>
      <c r="I688" t="n">
        <v>0</v>
      </c>
      <c r="J688" t="n">
        <v>0</v>
      </c>
      <c r="K688" t="n">
        <v>0</v>
      </c>
      <c r="L688" t="n">
        <v>0</v>
      </c>
      <c r="M688" t="n">
        <v>0</v>
      </c>
      <c r="N688" t="n">
        <v>0</v>
      </c>
      <c r="O688" t="n">
        <v>0</v>
      </c>
      <c r="P688" t="n">
        <v>0</v>
      </c>
      <c r="Q688" t="n">
        <v>0</v>
      </c>
      <c r="R688" s="2" t="inlineStr"/>
    </row>
    <row r="689" ht="15" customHeight="1">
      <c r="A689" t="inlineStr">
        <is>
          <t>A 63845-2021</t>
        </is>
      </c>
      <c r="B689" s="1" t="n">
        <v>44509</v>
      </c>
      <c r="C689" s="1" t="n">
        <v>46104</v>
      </c>
      <c r="D689" t="inlineStr">
        <is>
          <t>ÖSTERGÖTLANDS LÄN</t>
        </is>
      </c>
      <c r="E689" t="inlineStr">
        <is>
          <t>LINKÖPING</t>
        </is>
      </c>
      <c r="G689" t="n">
        <v>5</v>
      </c>
      <c r="H689" t="n">
        <v>0</v>
      </c>
      <c r="I689" t="n">
        <v>0</v>
      </c>
      <c r="J689" t="n">
        <v>0</v>
      </c>
      <c r="K689" t="n">
        <v>0</v>
      </c>
      <c r="L689" t="n">
        <v>0</v>
      </c>
      <c r="M689" t="n">
        <v>0</v>
      </c>
      <c r="N689" t="n">
        <v>0</v>
      </c>
      <c r="O689" t="n">
        <v>0</v>
      </c>
      <c r="P689" t="n">
        <v>0</v>
      </c>
      <c r="Q689" t="n">
        <v>0</v>
      </c>
      <c r="R689" s="2" t="inlineStr"/>
    </row>
    <row r="690" ht="15" customHeight="1">
      <c r="A690" t="inlineStr">
        <is>
          <t>A 54034-2022</t>
        </is>
      </c>
      <c r="B690" s="1" t="n">
        <v>44881</v>
      </c>
      <c r="C690" s="1" t="n">
        <v>46104</v>
      </c>
      <c r="D690" t="inlineStr">
        <is>
          <t>ÖSTERGÖTLANDS LÄN</t>
        </is>
      </c>
      <c r="E690" t="inlineStr">
        <is>
          <t>LINKÖPING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36336-2023</t>
        </is>
      </c>
      <c r="B691" s="1" t="n">
        <v>45152.45078703704</v>
      </c>
      <c r="C691" s="1" t="n">
        <v>46104</v>
      </c>
      <c r="D691" t="inlineStr">
        <is>
          <t>ÖSTERGÖTLANDS LÄN</t>
        </is>
      </c>
      <c r="E691" t="inlineStr">
        <is>
          <t>LINKÖPING</t>
        </is>
      </c>
      <c r="G691" t="n">
        <v>1.1</v>
      </c>
      <c r="H691" t="n">
        <v>0</v>
      </c>
      <c r="I691" t="n">
        <v>0</v>
      </c>
      <c r="J691" t="n">
        <v>0</v>
      </c>
      <c r="K691" t="n">
        <v>0</v>
      </c>
      <c r="L691" t="n">
        <v>0</v>
      </c>
      <c r="M691" t="n">
        <v>0</v>
      </c>
      <c r="N691" t="n">
        <v>0</v>
      </c>
      <c r="O691" t="n">
        <v>0</v>
      </c>
      <c r="P691" t="n">
        <v>0</v>
      </c>
      <c r="Q691" t="n">
        <v>0</v>
      </c>
      <c r="R691" s="2" t="inlineStr"/>
    </row>
    <row r="692" ht="15" customHeight="1">
      <c r="A692" t="inlineStr">
        <is>
          <t>A 48829-2023</t>
        </is>
      </c>
      <c r="B692" s="1" t="n">
        <v>45209.38177083333</v>
      </c>
      <c r="C692" s="1" t="n">
        <v>46104</v>
      </c>
      <c r="D692" t="inlineStr">
        <is>
          <t>ÖSTERGÖTLANDS LÄN</t>
        </is>
      </c>
      <c r="E692" t="inlineStr">
        <is>
          <t>LINKÖPING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48186-2022</t>
        </is>
      </c>
      <c r="B693" s="1" t="n">
        <v>44858</v>
      </c>
      <c r="C693" s="1" t="n">
        <v>46104</v>
      </c>
      <c r="D693" t="inlineStr">
        <is>
          <t>ÖSTERGÖTLANDS LÄN</t>
        </is>
      </c>
      <c r="E693" t="inlineStr">
        <is>
          <t>LINKÖPING</t>
        </is>
      </c>
      <c r="G693" t="n">
        <v>1</v>
      </c>
      <c r="H693" t="n">
        <v>0</v>
      </c>
      <c r="I693" t="n">
        <v>0</v>
      </c>
      <c r="J693" t="n">
        <v>0</v>
      </c>
      <c r="K693" t="n">
        <v>0</v>
      </c>
      <c r="L693" t="n">
        <v>0</v>
      </c>
      <c r="M693" t="n">
        <v>0</v>
      </c>
      <c r="N693" t="n">
        <v>0</v>
      </c>
      <c r="O693" t="n">
        <v>0</v>
      </c>
      <c r="P693" t="n">
        <v>0</v>
      </c>
      <c r="Q693" t="n">
        <v>0</v>
      </c>
      <c r="R693" s="2" t="inlineStr"/>
    </row>
    <row r="694" ht="15" customHeight="1">
      <c r="A694" t="inlineStr">
        <is>
          <t>A 63669-2023</t>
        </is>
      </c>
      <c r="B694" s="1" t="n">
        <v>45275</v>
      </c>
      <c r="C694" s="1" t="n">
        <v>46104</v>
      </c>
      <c r="D694" t="inlineStr">
        <is>
          <t>ÖSTERGÖTLANDS LÄN</t>
        </is>
      </c>
      <c r="E694" t="inlineStr">
        <is>
          <t>LINKÖPING</t>
        </is>
      </c>
      <c r="F694" t="inlineStr">
        <is>
          <t>Övriga Aktiebolag</t>
        </is>
      </c>
      <c r="G694" t="n">
        <v>3</v>
      </c>
      <c r="H694" t="n">
        <v>0</v>
      </c>
      <c r="I694" t="n">
        <v>0</v>
      </c>
      <c r="J694" t="n">
        <v>0</v>
      </c>
      <c r="K694" t="n">
        <v>0</v>
      </c>
      <c r="L694" t="n">
        <v>0</v>
      </c>
      <c r="M694" t="n">
        <v>0</v>
      </c>
      <c r="N694" t="n">
        <v>0</v>
      </c>
      <c r="O694" t="n">
        <v>0</v>
      </c>
      <c r="P694" t="n">
        <v>0</v>
      </c>
      <c r="Q694" t="n">
        <v>0</v>
      </c>
      <c r="R694" s="2" t="inlineStr"/>
    </row>
    <row r="695" ht="15" customHeight="1">
      <c r="A695" t="inlineStr">
        <is>
          <t>A 24586-2024</t>
        </is>
      </c>
      <c r="B695" s="1" t="n">
        <v>45460.46664351852</v>
      </c>
      <c r="C695" s="1" t="n">
        <v>46104</v>
      </c>
      <c r="D695" t="inlineStr">
        <is>
          <t>ÖSTERGÖTLANDS LÄN</t>
        </is>
      </c>
      <c r="E695" t="inlineStr">
        <is>
          <t>LINKÖPING</t>
        </is>
      </c>
      <c r="G695" t="n">
        <v>4</v>
      </c>
      <c r="H695" t="n">
        <v>0</v>
      </c>
      <c r="I695" t="n">
        <v>0</v>
      </c>
      <c r="J695" t="n">
        <v>0</v>
      </c>
      <c r="K695" t="n">
        <v>0</v>
      </c>
      <c r="L695" t="n">
        <v>0</v>
      </c>
      <c r="M695" t="n">
        <v>0</v>
      </c>
      <c r="N695" t="n">
        <v>0</v>
      </c>
      <c r="O695" t="n">
        <v>0</v>
      </c>
      <c r="P695" t="n">
        <v>0</v>
      </c>
      <c r="Q695" t="n">
        <v>0</v>
      </c>
      <c r="R695" s="2" t="inlineStr"/>
    </row>
    <row r="696" ht="15" customHeight="1">
      <c r="A696" t="inlineStr">
        <is>
          <t>A 59576-2024</t>
        </is>
      </c>
      <c r="B696" s="1" t="n">
        <v>45638.66378472222</v>
      </c>
      <c r="C696" s="1" t="n">
        <v>46104</v>
      </c>
      <c r="D696" t="inlineStr">
        <is>
          <t>ÖSTERGÖTLANDS LÄN</t>
        </is>
      </c>
      <c r="E696" t="inlineStr">
        <is>
          <t>LINKÖPING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59642-2024</t>
        </is>
      </c>
      <c r="B697" s="1" t="n">
        <v>45639.31511574074</v>
      </c>
      <c r="C697" s="1" t="n">
        <v>46104</v>
      </c>
      <c r="D697" t="inlineStr">
        <is>
          <t>ÖSTERGÖTLANDS LÄN</t>
        </is>
      </c>
      <c r="E697" t="inlineStr">
        <is>
          <t>LINKÖPING</t>
        </is>
      </c>
      <c r="G697" t="n">
        <v>0.9</v>
      </c>
      <c r="H697" t="n">
        <v>0</v>
      </c>
      <c r="I697" t="n">
        <v>0</v>
      </c>
      <c r="J697" t="n">
        <v>0</v>
      </c>
      <c r="K697" t="n">
        <v>0</v>
      </c>
      <c r="L697" t="n">
        <v>0</v>
      </c>
      <c r="M697" t="n">
        <v>0</v>
      </c>
      <c r="N697" t="n">
        <v>0</v>
      </c>
      <c r="O697" t="n">
        <v>0</v>
      </c>
      <c r="P697" t="n">
        <v>0</v>
      </c>
      <c r="Q697" t="n">
        <v>0</v>
      </c>
      <c r="R697" s="2" t="inlineStr"/>
    </row>
    <row r="698" ht="15" customHeight="1">
      <c r="A698" t="inlineStr">
        <is>
          <t>A 59674-2024</t>
        </is>
      </c>
      <c r="B698" s="1" t="n">
        <v>45639</v>
      </c>
      <c r="C698" s="1" t="n">
        <v>46104</v>
      </c>
      <c r="D698" t="inlineStr">
        <is>
          <t>ÖSTERGÖTLANDS LÄN</t>
        </is>
      </c>
      <c r="E698" t="inlineStr">
        <is>
          <t>LINKÖPING</t>
        </is>
      </c>
      <c r="G698" t="n">
        <v>6.3</v>
      </c>
      <c r="H698" t="n">
        <v>0</v>
      </c>
      <c r="I698" t="n">
        <v>0</v>
      </c>
      <c r="J698" t="n">
        <v>0</v>
      </c>
      <c r="K698" t="n">
        <v>0</v>
      </c>
      <c r="L698" t="n">
        <v>0</v>
      </c>
      <c r="M698" t="n">
        <v>0</v>
      </c>
      <c r="N698" t="n">
        <v>0</v>
      </c>
      <c r="O698" t="n">
        <v>0</v>
      </c>
      <c r="P698" t="n">
        <v>0</v>
      </c>
      <c r="Q698" t="n">
        <v>0</v>
      </c>
      <c r="R698" s="2" t="inlineStr"/>
    </row>
    <row r="699" ht="15" customHeight="1">
      <c r="A699" t="inlineStr">
        <is>
          <t>A 18916-2024</t>
        </is>
      </c>
      <c r="B699" s="1" t="n">
        <v>45427.39541666667</v>
      </c>
      <c r="C699" s="1" t="n">
        <v>46104</v>
      </c>
      <c r="D699" t="inlineStr">
        <is>
          <t>ÖSTERGÖTLANDS LÄN</t>
        </is>
      </c>
      <c r="E699" t="inlineStr">
        <is>
          <t>LINKÖPING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11084-2022</t>
        </is>
      </c>
      <c r="B700" s="1" t="n">
        <v>44628</v>
      </c>
      <c r="C700" s="1" t="n">
        <v>46104</v>
      </c>
      <c r="D700" t="inlineStr">
        <is>
          <t>ÖSTERGÖTLANDS LÄN</t>
        </is>
      </c>
      <c r="E700" t="inlineStr">
        <is>
          <t>LINKÖPING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10203-2023</t>
        </is>
      </c>
      <c r="B701" s="1" t="n">
        <v>44986.55711805556</v>
      </c>
      <c r="C701" s="1" t="n">
        <v>46104</v>
      </c>
      <c r="D701" t="inlineStr">
        <is>
          <t>ÖSTERGÖTLANDS LÄN</t>
        </is>
      </c>
      <c r="E701" t="inlineStr">
        <is>
          <t>LINKÖPING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2618-2023</t>
        </is>
      </c>
      <c r="B702" s="1" t="n">
        <v>44944.35847222222</v>
      </c>
      <c r="C702" s="1" t="n">
        <v>46104</v>
      </c>
      <c r="D702" t="inlineStr">
        <is>
          <t>ÖSTERGÖTLANDS LÄN</t>
        </is>
      </c>
      <c r="E702" t="inlineStr">
        <is>
          <t>LINKÖPING</t>
        </is>
      </c>
      <c r="G702" t="n">
        <v>4.3</v>
      </c>
      <c r="H702" t="n">
        <v>0</v>
      </c>
      <c r="I702" t="n">
        <v>0</v>
      </c>
      <c r="J702" t="n">
        <v>0</v>
      </c>
      <c r="K702" t="n">
        <v>0</v>
      </c>
      <c r="L702" t="n">
        <v>0</v>
      </c>
      <c r="M702" t="n">
        <v>0</v>
      </c>
      <c r="N702" t="n">
        <v>0</v>
      </c>
      <c r="O702" t="n">
        <v>0</v>
      </c>
      <c r="P702" t="n">
        <v>0</v>
      </c>
      <c r="Q702" t="n">
        <v>0</v>
      </c>
      <c r="R702" s="2" t="inlineStr"/>
    </row>
    <row r="703" ht="15" customHeight="1">
      <c r="A703" t="inlineStr">
        <is>
          <t>A 62020-2024</t>
        </is>
      </c>
      <c r="B703" s="1" t="n">
        <v>45655.83563657408</v>
      </c>
      <c r="C703" s="1" t="n">
        <v>46104</v>
      </c>
      <c r="D703" t="inlineStr">
        <is>
          <t>ÖSTERGÖTLANDS LÄN</t>
        </is>
      </c>
      <c r="E703" t="inlineStr">
        <is>
          <t>LINKÖPING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62021-2024</t>
        </is>
      </c>
      <c r="B704" s="1" t="n">
        <v>45655.84232638889</v>
      </c>
      <c r="C704" s="1" t="n">
        <v>46104</v>
      </c>
      <c r="D704" t="inlineStr">
        <is>
          <t>ÖSTERGÖTLANDS LÄN</t>
        </is>
      </c>
      <c r="E704" t="inlineStr">
        <is>
          <t>LINKÖPING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1362-2023</t>
        </is>
      </c>
      <c r="B705" s="1" t="n">
        <v>44931</v>
      </c>
      <c r="C705" s="1" t="n">
        <v>46104</v>
      </c>
      <c r="D705" t="inlineStr">
        <is>
          <t>ÖSTERGÖTLANDS LÄN</t>
        </is>
      </c>
      <c r="E705" t="inlineStr">
        <is>
          <t>LINKÖPING</t>
        </is>
      </c>
      <c r="G705" t="n">
        <v>1.8</v>
      </c>
      <c r="H705" t="n">
        <v>0</v>
      </c>
      <c r="I705" t="n">
        <v>0</v>
      </c>
      <c r="J705" t="n">
        <v>0</v>
      </c>
      <c r="K705" t="n">
        <v>0</v>
      </c>
      <c r="L705" t="n">
        <v>0</v>
      </c>
      <c r="M705" t="n">
        <v>0</v>
      </c>
      <c r="N705" t="n">
        <v>0</v>
      </c>
      <c r="O705" t="n">
        <v>0</v>
      </c>
      <c r="P705" t="n">
        <v>0</v>
      </c>
      <c r="Q705" t="n">
        <v>0</v>
      </c>
      <c r="R705" s="2" t="inlineStr"/>
    </row>
    <row r="706" ht="15" customHeight="1">
      <c r="A706" t="inlineStr">
        <is>
          <t>A 49928-2024</t>
        </is>
      </c>
      <c r="B706" s="1" t="n">
        <v>45597.57811342592</v>
      </c>
      <c r="C706" s="1" t="n">
        <v>46104</v>
      </c>
      <c r="D706" t="inlineStr">
        <is>
          <t>ÖSTERGÖTLANDS LÄN</t>
        </is>
      </c>
      <c r="E706" t="inlineStr">
        <is>
          <t>LINKÖPING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3627-2023</t>
        </is>
      </c>
      <c r="B707" s="1" t="n">
        <v>44950.64782407408</v>
      </c>
      <c r="C707" s="1" t="n">
        <v>46104</v>
      </c>
      <c r="D707" t="inlineStr">
        <is>
          <t>ÖSTERGÖTLANDS LÄN</t>
        </is>
      </c>
      <c r="E707" t="inlineStr">
        <is>
          <t>LINKÖPING</t>
        </is>
      </c>
      <c r="G707" t="n">
        <v>3.1</v>
      </c>
      <c r="H707" t="n">
        <v>0</v>
      </c>
      <c r="I707" t="n">
        <v>0</v>
      </c>
      <c r="J707" t="n">
        <v>0</v>
      </c>
      <c r="K707" t="n">
        <v>0</v>
      </c>
      <c r="L707" t="n">
        <v>0</v>
      </c>
      <c r="M707" t="n">
        <v>0</v>
      </c>
      <c r="N707" t="n">
        <v>0</v>
      </c>
      <c r="O707" t="n">
        <v>0</v>
      </c>
      <c r="P707" t="n">
        <v>0</v>
      </c>
      <c r="Q707" t="n">
        <v>0</v>
      </c>
      <c r="R707" s="2" t="inlineStr"/>
    </row>
    <row r="708" ht="15" customHeight="1">
      <c r="A708" t="inlineStr">
        <is>
          <t>A 51405-2023</t>
        </is>
      </c>
      <c r="B708" s="1" t="n">
        <v>45219</v>
      </c>
      <c r="C708" s="1" t="n">
        <v>46104</v>
      </c>
      <c r="D708" t="inlineStr">
        <is>
          <t>ÖSTERGÖTLANDS LÄN</t>
        </is>
      </c>
      <c r="E708" t="inlineStr">
        <is>
          <t>LINKÖPING</t>
        </is>
      </c>
      <c r="F708" t="inlineStr">
        <is>
          <t>Övriga Aktiebolag</t>
        </is>
      </c>
      <c r="G708" t="n">
        <v>3</v>
      </c>
      <c r="H708" t="n">
        <v>0</v>
      </c>
      <c r="I708" t="n">
        <v>0</v>
      </c>
      <c r="J708" t="n">
        <v>0</v>
      </c>
      <c r="K708" t="n">
        <v>0</v>
      </c>
      <c r="L708" t="n">
        <v>0</v>
      </c>
      <c r="M708" t="n">
        <v>0</v>
      </c>
      <c r="N708" t="n">
        <v>0</v>
      </c>
      <c r="O708" t="n">
        <v>0</v>
      </c>
      <c r="P708" t="n">
        <v>0</v>
      </c>
      <c r="Q708" t="n">
        <v>0</v>
      </c>
      <c r="R708" s="2" t="inlineStr"/>
    </row>
    <row r="709" ht="15" customHeight="1">
      <c r="A709" t="inlineStr">
        <is>
          <t>A 11601-2023</t>
        </is>
      </c>
      <c r="B709" s="1" t="n">
        <v>44994</v>
      </c>
      <c r="C709" s="1" t="n">
        <v>46104</v>
      </c>
      <c r="D709" t="inlineStr">
        <is>
          <t>ÖSTERGÖTLANDS LÄN</t>
        </is>
      </c>
      <c r="E709" t="inlineStr">
        <is>
          <t>LINKÖPING</t>
        </is>
      </c>
      <c r="G709" t="n">
        <v>1.7</v>
      </c>
      <c r="H709" t="n">
        <v>0</v>
      </c>
      <c r="I709" t="n">
        <v>0</v>
      </c>
      <c r="J709" t="n">
        <v>0</v>
      </c>
      <c r="K709" t="n">
        <v>0</v>
      </c>
      <c r="L709" t="n">
        <v>0</v>
      </c>
      <c r="M709" t="n">
        <v>0</v>
      </c>
      <c r="N709" t="n">
        <v>0</v>
      </c>
      <c r="O709" t="n">
        <v>0</v>
      </c>
      <c r="P709" t="n">
        <v>0</v>
      </c>
      <c r="Q709" t="n">
        <v>0</v>
      </c>
      <c r="R709" s="2" t="inlineStr"/>
    </row>
    <row r="710" ht="15" customHeight="1">
      <c r="A710" t="inlineStr">
        <is>
          <t>A 40338-2024</t>
        </is>
      </c>
      <c r="B710" s="1" t="n">
        <v>45555.32940972222</v>
      </c>
      <c r="C710" s="1" t="n">
        <v>46104</v>
      </c>
      <c r="D710" t="inlineStr">
        <is>
          <t>ÖSTERGÖTLANDS LÄN</t>
        </is>
      </c>
      <c r="E710" t="inlineStr">
        <is>
          <t>LINKÖPING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167-2024</t>
        </is>
      </c>
      <c r="B711" s="1" t="n">
        <v>45294</v>
      </c>
      <c r="C711" s="1" t="n">
        <v>46104</v>
      </c>
      <c r="D711" t="inlineStr">
        <is>
          <t>ÖSTERGÖTLANDS LÄN</t>
        </is>
      </c>
      <c r="E711" t="inlineStr">
        <is>
          <t>LINKÖPING</t>
        </is>
      </c>
      <c r="F711" t="inlineStr">
        <is>
          <t>Allmännings- och besparingsskogar</t>
        </is>
      </c>
      <c r="G711" t="n">
        <v>11.6</v>
      </c>
      <c r="H711" t="n">
        <v>0</v>
      </c>
      <c r="I711" t="n">
        <v>0</v>
      </c>
      <c r="J711" t="n">
        <v>0</v>
      </c>
      <c r="K711" t="n">
        <v>0</v>
      </c>
      <c r="L711" t="n">
        <v>0</v>
      </c>
      <c r="M711" t="n">
        <v>0</v>
      </c>
      <c r="N711" t="n">
        <v>0</v>
      </c>
      <c r="O711" t="n">
        <v>0</v>
      </c>
      <c r="P711" t="n">
        <v>0</v>
      </c>
      <c r="Q711" t="n">
        <v>0</v>
      </c>
      <c r="R711" s="2" t="inlineStr"/>
    </row>
    <row r="712" ht="15" customHeight="1">
      <c r="A712" t="inlineStr">
        <is>
          <t>A 27186-2021</t>
        </is>
      </c>
      <c r="B712" s="1" t="n">
        <v>44350.67715277777</v>
      </c>
      <c r="C712" s="1" t="n">
        <v>46104</v>
      </c>
      <c r="D712" t="inlineStr">
        <is>
          <t>ÖSTERGÖTLANDS LÄN</t>
        </is>
      </c>
      <c r="E712" t="inlineStr">
        <is>
          <t>LINKÖPING</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7343-2025</t>
        </is>
      </c>
      <c r="B713" s="1" t="n">
        <v>45703.67853009259</v>
      </c>
      <c r="C713" s="1" t="n">
        <v>46104</v>
      </c>
      <c r="D713" t="inlineStr">
        <is>
          <t>ÖSTERGÖTLANDS LÄN</t>
        </is>
      </c>
      <c r="E713" t="inlineStr">
        <is>
          <t>LINKÖPING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48271-2023</t>
        </is>
      </c>
      <c r="B714" s="1" t="n">
        <v>45205</v>
      </c>
      <c r="C714" s="1" t="n">
        <v>46104</v>
      </c>
      <c r="D714" t="inlineStr">
        <is>
          <t>ÖSTERGÖTLANDS LÄN</t>
        </is>
      </c>
      <c r="E714" t="inlineStr">
        <is>
          <t>LINKÖPING</t>
        </is>
      </c>
      <c r="G714" t="n">
        <v>3</v>
      </c>
      <c r="H714" t="n">
        <v>0</v>
      </c>
      <c r="I714" t="n">
        <v>0</v>
      </c>
      <c r="J714" t="n">
        <v>0</v>
      </c>
      <c r="K714" t="n">
        <v>0</v>
      </c>
      <c r="L714" t="n">
        <v>0</v>
      </c>
      <c r="M714" t="n">
        <v>0</v>
      </c>
      <c r="N714" t="n">
        <v>0</v>
      </c>
      <c r="O714" t="n">
        <v>0</v>
      </c>
      <c r="P714" t="n">
        <v>0</v>
      </c>
      <c r="Q714" t="n">
        <v>0</v>
      </c>
      <c r="R714" s="2" t="inlineStr"/>
    </row>
    <row r="715" ht="15" customHeight="1">
      <c r="A715" t="inlineStr">
        <is>
          <t>A 12720-2022</t>
        </is>
      </c>
      <c r="B715" s="1" t="n">
        <v>44641</v>
      </c>
      <c r="C715" s="1" t="n">
        <v>46104</v>
      </c>
      <c r="D715" t="inlineStr">
        <is>
          <t>ÖSTERGÖTLANDS LÄN</t>
        </is>
      </c>
      <c r="E715" t="inlineStr">
        <is>
          <t>LINKÖPING</t>
        </is>
      </c>
      <c r="F715" t="inlineStr">
        <is>
          <t>Övriga Aktiebolag</t>
        </is>
      </c>
      <c r="G715" t="n">
        <v>2</v>
      </c>
      <c r="H715" t="n">
        <v>0</v>
      </c>
      <c r="I715" t="n">
        <v>0</v>
      </c>
      <c r="J715" t="n">
        <v>0</v>
      </c>
      <c r="K715" t="n">
        <v>0</v>
      </c>
      <c r="L715" t="n">
        <v>0</v>
      </c>
      <c r="M715" t="n">
        <v>0</v>
      </c>
      <c r="N715" t="n">
        <v>0</v>
      </c>
      <c r="O715" t="n">
        <v>0</v>
      </c>
      <c r="P715" t="n">
        <v>0</v>
      </c>
      <c r="Q715" t="n">
        <v>0</v>
      </c>
      <c r="R715" s="2" t="inlineStr"/>
    </row>
    <row r="716" ht="15" customHeight="1">
      <c r="A716" t="inlineStr">
        <is>
          <t>A 62018-2024</t>
        </is>
      </c>
      <c r="B716" s="1" t="n">
        <v>45655.81387731482</v>
      </c>
      <c r="C716" s="1" t="n">
        <v>46104</v>
      </c>
      <c r="D716" t="inlineStr">
        <is>
          <t>ÖSTERGÖTLANDS LÄN</t>
        </is>
      </c>
      <c r="E716" t="inlineStr">
        <is>
          <t>LINKÖPING</t>
        </is>
      </c>
      <c r="G716" t="n">
        <v>1.3</v>
      </c>
      <c r="H716" t="n">
        <v>0</v>
      </c>
      <c r="I716" t="n">
        <v>0</v>
      </c>
      <c r="J716" t="n">
        <v>0</v>
      </c>
      <c r="K716" t="n">
        <v>0</v>
      </c>
      <c r="L716" t="n">
        <v>0</v>
      </c>
      <c r="M716" t="n">
        <v>0</v>
      </c>
      <c r="N716" t="n">
        <v>0</v>
      </c>
      <c r="O716" t="n">
        <v>0</v>
      </c>
      <c r="P716" t="n">
        <v>0</v>
      </c>
      <c r="Q716" t="n">
        <v>0</v>
      </c>
      <c r="R716" s="2" t="inlineStr"/>
    </row>
    <row r="717" ht="15" customHeight="1">
      <c r="A717" t="inlineStr">
        <is>
          <t>A 30551-2023</t>
        </is>
      </c>
      <c r="B717" s="1" t="n">
        <v>45111</v>
      </c>
      <c r="C717" s="1" t="n">
        <v>46104</v>
      </c>
      <c r="D717" t="inlineStr">
        <is>
          <t>ÖSTERGÖTLANDS LÄN</t>
        </is>
      </c>
      <c r="E717" t="inlineStr">
        <is>
          <t>LINKÖPING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30860-2022</t>
        </is>
      </c>
      <c r="B718" s="1" t="n">
        <v>44767</v>
      </c>
      <c r="C718" s="1" t="n">
        <v>46104</v>
      </c>
      <c r="D718" t="inlineStr">
        <is>
          <t>ÖSTERGÖTLANDS LÄN</t>
        </is>
      </c>
      <c r="E718" t="inlineStr">
        <is>
          <t>LINKÖPING</t>
        </is>
      </c>
      <c r="G718" t="n">
        <v>0.8</v>
      </c>
      <c r="H718" t="n">
        <v>0</v>
      </c>
      <c r="I718" t="n">
        <v>0</v>
      </c>
      <c r="J718" t="n">
        <v>0</v>
      </c>
      <c r="K718" t="n">
        <v>0</v>
      </c>
      <c r="L718" t="n">
        <v>0</v>
      </c>
      <c r="M718" t="n">
        <v>0</v>
      </c>
      <c r="N718" t="n">
        <v>0</v>
      </c>
      <c r="O718" t="n">
        <v>0</v>
      </c>
      <c r="P718" t="n">
        <v>0</v>
      </c>
      <c r="Q718" t="n">
        <v>0</v>
      </c>
      <c r="R718" s="2" t="inlineStr"/>
    </row>
    <row r="719" ht="15" customHeight="1">
      <c r="A719" t="inlineStr">
        <is>
          <t>A 60004-2022</t>
        </is>
      </c>
      <c r="B719" s="1" t="n">
        <v>44909.47206018519</v>
      </c>
      <c r="C719" s="1" t="n">
        <v>46104</v>
      </c>
      <c r="D719" t="inlineStr">
        <is>
          <t>ÖSTERGÖTLANDS LÄN</t>
        </is>
      </c>
      <c r="E719" t="inlineStr">
        <is>
          <t>LINKÖPING</t>
        </is>
      </c>
      <c r="G719" t="n">
        <v>2.2</v>
      </c>
      <c r="H719" t="n">
        <v>0</v>
      </c>
      <c r="I719" t="n">
        <v>0</v>
      </c>
      <c r="J719" t="n">
        <v>0</v>
      </c>
      <c r="K719" t="n">
        <v>0</v>
      </c>
      <c r="L719" t="n">
        <v>0</v>
      </c>
      <c r="M719" t="n">
        <v>0</v>
      </c>
      <c r="N719" t="n">
        <v>0</v>
      </c>
      <c r="O719" t="n">
        <v>0</v>
      </c>
      <c r="P719" t="n">
        <v>0</v>
      </c>
      <c r="Q719" t="n">
        <v>0</v>
      </c>
      <c r="R719" s="2" t="inlineStr"/>
    </row>
    <row r="720" ht="15" customHeight="1">
      <c r="A720" t="inlineStr">
        <is>
          <t>A 60010-2022</t>
        </is>
      </c>
      <c r="B720" s="1" t="n">
        <v>44909.4740625</v>
      </c>
      <c r="C720" s="1" t="n">
        <v>46104</v>
      </c>
      <c r="D720" t="inlineStr">
        <is>
          <t>ÖSTERGÖTLANDS LÄN</t>
        </is>
      </c>
      <c r="E720" t="inlineStr">
        <is>
          <t>LINKÖPING</t>
        </is>
      </c>
      <c r="G720" t="n">
        <v>1.2</v>
      </c>
      <c r="H720" t="n">
        <v>0</v>
      </c>
      <c r="I720" t="n">
        <v>0</v>
      </c>
      <c r="J720" t="n">
        <v>0</v>
      </c>
      <c r="K720" t="n">
        <v>0</v>
      </c>
      <c r="L720" t="n">
        <v>0</v>
      </c>
      <c r="M720" t="n">
        <v>0</v>
      </c>
      <c r="N720" t="n">
        <v>0</v>
      </c>
      <c r="O720" t="n">
        <v>0</v>
      </c>
      <c r="P720" t="n">
        <v>0</v>
      </c>
      <c r="Q720" t="n">
        <v>0</v>
      </c>
      <c r="R720" s="2" t="inlineStr"/>
    </row>
    <row r="721" ht="15" customHeight="1">
      <c r="A721" t="inlineStr">
        <is>
          <t>A 53827-2023</t>
        </is>
      </c>
      <c r="B721" s="1" t="n">
        <v>45230</v>
      </c>
      <c r="C721" s="1" t="n">
        <v>46104</v>
      </c>
      <c r="D721" t="inlineStr">
        <is>
          <t>ÖSTERGÖTLANDS LÄN</t>
        </is>
      </c>
      <c r="E721" t="inlineStr">
        <is>
          <t>LINKÖPING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4256-2022</t>
        </is>
      </c>
      <c r="B722" s="1" t="n">
        <v>44588</v>
      </c>
      <c r="C722" s="1" t="n">
        <v>46104</v>
      </c>
      <c r="D722" t="inlineStr">
        <is>
          <t>ÖSTERGÖTLANDS LÄN</t>
        </is>
      </c>
      <c r="E722" t="inlineStr">
        <is>
          <t>LINKÖPING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61649-2023</t>
        </is>
      </c>
      <c r="B723" s="1" t="n">
        <v>45265</v>
      </c>
      <c r="C723" s="1" t="n">
        <v>46104</v>
      </c>
      <c r="D723" t="inlineStr">
        <is>
          <t>ÖSTERGÖTLANDS LÄN</t>
        </is>
      </c>
      <c r="E723" t="inlineStr">
        <is>
          <t>LINKÖPING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223-2024</t>
        </is>
      </c>
      <c r="B724" s="1" t="n">
        <v>45294.72739583333</v>
      </c>
      <c r="C724" s="1" t="n">
        <v>46104</v>
      </c>
      <c r="D724" t="inlineStr">
        <is>
          <t>ÖSTERGÖTLANDS LÄN</t>
        </is>
      </c>
      <c r="E724" t="inlineStr">
        <is>
          <t>LINKÖPING</t>
        </is>
      </c>
      <c r="G724" t="n">
        <v>2.2</v>
      </c>
      <c r="H724" t="n">
        <v>0</v>
      </c>
      <c r="I724" t="n">
        <v>0</v>
      </c>
      <c r="J724" t="n">
        <v>0</v>
      </c>
      <c r="K724" t="n">
        <v>0</v>
      </c>
      <c r="L724" t="n">
        <v>0</v>
      </c>
      <c r="M724" t="n">
        <v>0</v>
      </c>
      <c r="N724" t="n">
        <v>0</v>
      </c>
      <c r="O724" t="n">
        <v>0</v>
      </c>
      <c r="P724" t="n">
        <v>0</v>
      </c>
      <c r="Q724" t="n">
        <v>0</v>
      </c>
      <c r="R724" s="2" t="inlineStr"/>
    </row>
    <row r="725" ht="15" customHeight="1">
      <c r="A725" t="inlineStr">
        <is>
          <t>A 19464-2024</t>
        </is>
      </c>
      <c r="B725" s="1" t="n">
        <v>45429</v>
      </c>
      <c r="C725" s="1" t="n">
        <v>46104</v>
      </c>
      <c r="D725" t="inlineStr">
        <is>
          <t>ÖSTERGÖTLANDS LÄN</t>
        </is>
      </c>
      <c r="E725" t="inlineStr">
        <is>
          <t>LINKÖPING</t>
        </is>
      </c>
      <c r="G725" t="n">
        <v>2.7</v>
      </c>
      <c r="H725" t="n">
        <v>0</v>
      </c>
      <c r="I725" t="n">
        <v>0</v>
      </c>
      <c r="J725" t="n">
        <v>0</v>
      </c>
      <c r="K725" t="n">
        <v>0</v>
      </c>
      <c r="L725" t="n">
        <v>0</v>
      </c>
      <c r="M725" t="n">
        <v>0</v>
      </c>
      <c r="N725" t="n">
        <v>0</v>
      </c>
      <c r="O725" t="n">
        <v>0</v>
      </c>
      <c r="P725" t="n">
        <v>0</v>
      </c>
      <c r="Q725" t="n">
        <v>0</v>
      </c>
      <c r="R725" s="2" t="inlineStr"/>
    </row>
    <row r="726" ht="15" customHeight="1">
      <c r="A726" t="inlineStr">
        <is>
          <t>A 630-2024</t>
        </is>
      </c>
      <c r="B726" s="1" t="n">
        <v>45299.67736111111</v>
      </c>
      <c r="C726" s="1" t="n">
        <v>46104</v>
      </c>
      <c r="D726" t="inlineStr">
        <is>
          <t>ÖSTERGÖTLANDS LÄN</t>
        </is>
      </c>
      <c r="E726" t="inlineStr">
        <is>
          <t>LINKÖPING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30433-2024</t>
        </is>
      </c>
      <c r="B727" s="1" t="n">
        <v>45491.69741898148</v>
      </c>
      <c r="C727" s="1" t="n">
        <v>46104</v>
      </c>
      <c r="D727" t="inlineStr">
        <is>
          <t>ÖSTERGÖTLANDS LÄN</t>
        </is>
      </c>
      <c r="E727" t="inlineStr">
        <is>
          <t>LINKÖPING</t>
        </is>
      </c>
      <c r="G727" t="n">
        <v>1.7</v>
      </c>
      <c r="H727" t="n">
        <v>0</v>
      </c>
      <c r="I727" t="n">
        <v>0</v>
      </c>
      <c r="J727" t="n">
        <v>0</v>
      </c>
      <c r="K727" t="n">
        <v>0</v>
      </c>
      <c r="L727" t="n">
        <v>0</v>
      </c>
      <c r="M727" t="n">
        <v>0</v>
      </c>
      <c r="N727" t="n">
        <v>0</v>
      </c>
      <c r="O727" t="n">
        <v>0</v>
      </c>
      <c r="P727" t="n">
        <v>0</v>
      </c>
      <c r="Q727" t="n">
        <v>0</v>
      </c>
      <c r="R727" s="2" t="inlineStr"/>
    </row>
    <row r="728" ht="15" customHeight="1">
      <c r="A728" t="inlineStr">
        <is>
          <t>A 63528-2023</t>
        </is>
      </c>
      <c r="B728" s="1" t="n">
        <v>45274.94810185185</v>
      </c>
      <c r="C728" s="1" t="n">
        <v>46104</v>
      </c>
      <c r="D728" t="inlineStr">
        <is>
          <t>ÖSTERGÖTLANDS LÄN</t>
        </is>
      </c>
      <c r="E728" t="inlineStr">
        <is>
          <t>LINKÖPING</t>
        </is>
      </c>
      <c r="G728" t="n">
        <v>1.6</v>
      </c>
      <c r="H728" t="n">
        <v>0</v>
      </c>
      <c r="I728" t="n">
        <v>0</v>
      </c>
      <c r="J728" t="n">
        <v>0</v>
      </c>
      <c r="K728" t="n">
        <v>0</v>
      </c>
      <c r="L728" t="n">
        <v>0</v>
      </c>
      <c r="M728" t="n">
        <v>0</v>
      </c>
      <c r="N728" t="n">
        <v>0</v>
      </c>
      <c r="O728" t="n">
        <v>0</v>
      </c>
      <c r="P728" t="n">
        <v>0</v>
      </c>
      <c r="Q728" t="n">
        <v>0</v>
      </c>
      <c r="R728" s="2" t="inlineStr"/>
    </row>
    <row r="729" ht="15" customHeight="1">
      <c r="A729" t="inlineStr">
        <is>
          <t>A 61936-2023</t>
        </is>
      </c>
      <c r="B729" s="1" t="n">
        <v>45266.54534722222</v>
      </c>
      <c r="C729" s="1" t="n">
        <v>46104</v>
      </c>
      <c r="D729" t="inlineStr">
        <is>
          <t>ÖSTERGÖTLANDS LÄN</t>
        </is>
      </c>
      <c r="E729" t="inlineStr">
        <is>
          <t>LINKÖPING</t>
        </is>
      </c>
      <c r="G729" t="n">
        <v>0.8</v>
      </c>
      <c r="H729" t="n">
        <v>0</v>
      </c>
      <c r="I729" t="n">
        <v>0</v>
      </c>
      <c r="J729" t="n">
        <v>0</v>
      </c>
      <c r="K729" t="n">
        <v>0</v>
      </c>
      <c r="L729" t="n">
        <v>0</v>
      </c>
      <c r="M729" t="n">
        <v>0</v>
      </c>
      <c r="N729" t="n">
        <v>0</v>
      </c>
      <c r="O729" t="n">
        <v>0</v>
      </c>
      <c r="P729" t="n">
        <v>0</v>
      </c>
      <c r="Q729" t="n">
        <v>0</v>
      </c>
      <c r="R729" s="2" t="inlineStr"/>
    </row>
    <row r="730" ht="15" customHeight="1">
      <c r="A730" t="inlineStr">
        <is>
          <t>A 62492-2023</t>
        </is>
      </c>
      <c r="B730" s="1" t="n">
        <v>45268.58987268519</v>
      </c>
      <c r="C730" s="1" t="n">
        <v>46104</v>
      </c>
      <c r="D730" t="inlineStr">
        <is>
          <t>ÖSTERGÖTLANDS LÄN</t>
        </is>
      </c>
      <c r="E730" t="inlineStr">
        <is>
          <t>LINKÖPING</t>
        </is>
      </c>
      <c r="G730" t="n">
        <v>1.8</v>
      </c>
      <c r="H730" t="n">
        <v>0</v>
      </c>
      <c r="I730" t="n">
        <v>0</v>
      </c>
      <c r="J730" t="n">
        <v>0</v>
      </c>
      <c r="K730" t="n">
        <v>0</v>
      </c>
      <c r="L730" t="n">
        <v>0</v>
      </c>
      <c r="M730" t="n">
        <v>0</v>
      </c>
      <c r="N730" t="n">
        <v>0</v>
      </c>
      <c r="O730" t="n">
        <v>0</v>
      </c>
      <c r="P730" t="n">
        <v>0</v>
      </c>
      <c r="Q730" t="n">
        <v>0</v>
      </c>
      <c r="R730" s="2" t="inlineStr"/>
    </row>
    <row r="731" ht="15" customHeight="1">
      <c r="A731" t="inlineStr">
        <is>
          <t>A 674-2024</t>
        </is>
      </c>
      <c r="B731" s="1" t="n">
        <v>45300.34408564815</v>
      </c>
      <c r="C731" s="1" t="n">
        <v>46104</v>
      </c>
      <c r="D731" t="inlineStr">
        <is>
          <t>ÖSTERGÖTLANDS LÄN</t>
        </is>
      </c>
      <c r="E731" t="inlineStr">
        <is>
          <t>LINKÖPING</t>
        </is>
      </c>
      <c r="F731" t="inlineStr">
        <is>
          <t>Sveaskog</t>
        </is>
      </c>
      <c r="G731" t="n">
        <v>2.9</v>
      </c>
      <c r="H731" t="n">
        <v>0</v>
      </c>
      <c r="I731" t="n">
        <v>0</v>
      </c>
      <c r="J731" t="n">
        <v>0</v>
      </c>
      <c r="K731" t="n">
        <v>0</v>
      </c>
      <c r="L731" t="n">
        <v>0</v>
      </c>
      <c r="M731" t="n">
        <v>0</v>
      </c>
      <c r="N731" t="n">
        <v>0</v>
      </c>
      <c r="O731" t="n">
        <v>0</v>
      </c>
      <c r="P731" t="n">
        <v>0</v>
      </c>
      <c r="Q731" t="n">
        <v>0</v>
      </c>
      <c r="R731" s="2" t="inlineStr"/>
    </row>
    <row r="732" ht="15" customHeight="1">
      <c r="A732" t="inlineStr">
        <is>
          <t>A 6782-2024</t>
        </is>
      </c>
      <c r="B732" s="1" t="n">
        <v>45342</v>
      </c>
      <c r="C732" s="1" t="n">
        <v>46104</v>
      </c>
      <c r="D732" t="inlineStr">
        <is>
          <t>ÖSTERGÖTLANDS LÄN</t>
        </is>
      </c>
      <c r="E732" t="inlineStr">
        <is>
          <t>LINKÖPING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10094-2024</t>
        </is>
      </c>
      <c r="B733" s="1" t="n">
        <v>45364</v>
      </c>
      <c r="C733" s="1" t="n">
        <v>46104</v>
      </c>
      <c r="D733" t="inlineStr">
        <is>
          <t>ÖSTERGÖTLANDS LÄN</t>
        </is>
      </c>
      <c r="E733" t="inlineStr">
        <is>
          <t>LINKÖPING</t>
        </is>
      </c>
      <c r="F733" t="inlineStr">
        <is>
          <t>Övriga Aktiebolag</t>
        </is>
      </c>
      <c r="G733" t="n">
        <v>1.9</v>
      </c>
      <c r="H733" t="n">
        <v>0</v>
      </c>
      <c r="I733" t="n">
        <v>0</v>
      </c>
      <c r="J733" t="n">
        <v>0</v>
      </c>
      <c r="K733" t="n">
        <v>0</v>
      </c>
      <c r="L733" t="n">
        <v>0</v>
      </c>
      <c r="M733" t="n">
        <v>0</v>
      </c>
      <c r="N733" t="n">
        <v>0</v>
      </c>
      <c r="O733" t="n">
        <v>0</v>
      </c>
      <c r="P733" t="n">
        <v>0</v>
      </c>
      <c r="Q733" t="n">
        <v>0</v>
      </c>
      <c r="R733" s="2" t="inlineStr"/>
    </row>
    <row r="734" ht="15" customHeight="1">
      <c r="A734" t="inlineStr">
        <is>
          <t>A 63684-2023</t>
        </is>
      </c>
      <c r="B734" s="1" t="n">
        <v>45275</v>
      </c>
      <c r="C734" s="1" t="n">
        <v>46104</v>
      </c>
      <c r="D734" t="inlineStr">
        <is>
          <t>ÖSTERGÖTLANDS LÄN</t>
        </is>
      </c>
      <c r="E734" t="inlineStr">
        <is>
          <t>LINKÖPING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63688-2023</t>
        </is>
      </c>
      <c r="B735" s="1" t="n">
        <v>45275</v>
      </c>
      <c r="C735" s="1" t="n">
        <v>46104</v>
      </c>
      <c r="D735" t="inlineStr">
        <is>
          <t>ÖSTERGÖTLANDS LÄN</t>
        </is>
      </c>
      <c r="E735" t="inlineStr">
        <is>
          <t>LINKÖPING</t>
        </is>
      </c>
      <c r="F735" t="inlineStr">
        <is>
          <t>Övriga Aktiebolag</t>
        </is>
      </c>
      <c r="G735" t="n">
        <v>2.4</v>
      </c>
      <c r="H735" t="n">
        <v>0</v>
      </c>
      <c r="I735" t="n">
        <v>0</v>
      </c>
      <c r="J735" t="n">
        <v>0</v>
      </c>
      <c r="K735" t="n">
        <v>0</v>
      </c>
      <c r="L735" t="n">
        <v>0</v>
      </c>
      <c r="M735" t="n">
        <v>0</v>
      </c>
      <c r="N735" t="n">
        <v>0</v>
      </c>
      <c r="O735" t="n">
        <v>0</v>
      </c>
      <c r="P735" t="n">
        <v>0</v>
      </c>
      <c r="Q735" t="n">
        <v>0</v>
      </c>
      <c r="R735" s="2" t="inlineStr"/>
    </row>
    <row r="736" ht="15" customHeight="1">
      <c r="A736" t="inlineStr">
        <is>
          <t>A 63691-2023</t>
        </is>
      </c>
      <c r="B736" s="1" t="n">
        <v>45275</v>
      </c>
      <c r="C736" s="1" t="n">
        <v>46104</v>
      </c>
      <c r="D736" t="inlineStr">
        <is>
          <t>ÖSTERGÖTLANDS LÄN</t>
        </is>
      </c>
      <c r="E736" t="inlineStr">
        <is>
          <t>LINKÖPING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36657-2023</t>
        </is>
      </c>
      <c r="B737" s="1" t="n">
        <v>45153.5702662037</v>
      </c>
      <c r="C737" s="1" t="n">
        <v>46104</v>
      </c>
      <c r="D737" t="inlineStr">
        <is>
          <t>ÖSTERGÖTLANDS LÄN</t>
        </is>
      </c>
      <c r="E737" t="inlineStr">
        <is>
          <t>LINKÖPING</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14667-2024</t>
        </is>
      </c>
      <c r="B738" s="1" t="n">
        <v>45397.42005787037</v>
      </c>
      <c r="C738" s="1" t="n">
        <v>46104</v>
      </c>
      <c r="D738" t="inlineStr">
        <is>
          <t>ÖSTERGÖTLANDS LÄN</t>
        </is>
      </c>
      <c r="E738" t="inlineStr">
        <is>
          <t>LINKÖPING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15714-2024</t>
        </is>
      </c>
      <c r="B739" s="1" t="n">
        <v>45404.48288194444</v>
      </c>
      <c r="C739" s="1" t="n">
        <v>46104</v>
      </c>
      <c r="D739" t="inlineStr">
        <is>
          <t>ÖSTERGÖTLANDS LÄN</t>
        </is>
      </c>
      <c r="E739" t="inlineStr">
        <is>
          <t>LINKÖPING</t>
        </is>
      </c>
      <c r="G739" t="n">
        <v>1.1</v>
      </c>
      <c r="H739" t="n">
        <v>0</v>
      </c>
      <c r="I739" t="n">
        <v>0</v>
      </c>
      <c r="J739" t="n">
        <v>0</v>
      </c>
      <c r="K739" t="n">
        <v>0</v>
      </c>
      <c r="L739" t="n">
        <v>0</v>
      </c>
      <c r="M739" t="n">
        <v>0</v>
      </c>
      <c r="N739" t="n">
        <v>0</v>
      </c>
      <c r="O739" t="n">
        <v>0</v>
      </c>
      <c r="P739" t="n">
        <v>0</v>
      </c>
      <c r="Q739" t="n">
        <v>0</v>
      </c>
      <c r="R739" s="2" t="inlineStr"/>
    </row>
    <row r="740" ht="15" customHeight="1">
      <c r="A740" t="inlineStr">
        <is>
          <t>A 37715-2022</t>
        </is>
      </c>
      <c r="B740" s="1" t="n">
        <v>44810</v>
      </c>
      <c r="C740" s="1" t="n">
        <v>46104</v>
      </c>
      <c r="D740" t="inlineStr">
        <is>
          <t>ÖSTERGÖTLANDS LÄN</t>
        </is>
      </c>
      <c r="E740" t="inlineStr">
        <is>
          <t>LINKÖPING</t>
        </is>
      </c>
      <c r="G740" t="n">
        <v>0.7</v>
      </c>
      <c r="H740" t="n">
        <v>0</v>
      </c>
      <c r="I740" t="n">
        <v>0</v>
      </c>
      <c r="J740" t="n">
        <v>0</v>
      </c>
      <c r="K740" t="n">
        <v>0</v>
      </c>
      <c r="L740" t="n">
        <v>0</v>
      </c>
      <c r="M740" t="n">
        <v>0</v>
      </c>
      <c r="N740" t="n">
        <v>0</v>
      </c>
      <c r="O740" t="n">
        <v>0</v>
      </c>
      <c r="P740" t="n">
        <v>0</v>
      </c>
      <c r="Q740" t="n">
        <v>0</v>
      </c>
      <c r="R740" s="2" t="inlineStr"/>
    </row>
    <row r="741" ht="15" customHeight="1">
      <c r="A741" t="inlineStr">
        <is>
          <t>A 30429-2024</t>
        </is>
      </c>
      <c r="B741" s="1" t="n">
        <v>45491.68972222223</v>
      </c>
      <c r="C741" s="1" t="n">
        <v>46104</v>
      </c>
      <c r="D741" t="inlineStr">
        <is>
          <t>ÖSTERGÖTLANDS LÄN</t>
        </is>
      </c>
      <c r="E741" t="inlineStr">
        <is>
          <t>LINKÖPING</t>
        </is>
      </c>
      <c r="G741" t="n">
        <v>2.2</v>
      </c>
      <c r="H741" t="n">
        <v>0</v>
      </c>
      <c r="I741" t="n">
        <v>0</v>
      </c>
      <c r="J741" t="n">
        <v>0</v>
      </c>
      <c r="K741" t="n">
        <v>0</v>
      </c>
      <c r="L741" t="n">
        <v>0</v>
      </c>
      <c r="M741" t="n">
        <v>0</v>
      </c>
      <c r="N741" t="n">
        <v>0</v>
      </c>
      <c r="O741" t="n">
        <v>0</v>
      </c>
      <c r="P741" t="n">
        <v>0</v>
      </c>
      <c r="Q741" t="n">
        <v>0</v>
      </c>
      <c r="R741" s="2" t="inlineStr"/>
    </row>
    <row r="742" ht="15" customHeight="1">
      <c r="A742" t="inlineStr">
        <is>
          <t>A 30435-2024</t>
        </is>
      </c>
      <c r="B742" s="1" t="n">
        <v>45491.69962962963</v>
      </c>
      <c r="C742" s="1" t="n">
        <v>46104</v>
      </c>
      <c r="D742" t="inlineStr">
        <is>
          <t>ÖSTERGÖTLANDS LÄN</t>
        </is>
      </c>
      <c r="E742" t="inlineStr">
        <is>
          <t>LINKÖPING</t>
        </is>
      </c>
      <c r="G742" t="n">
        <v>1.9</v>
      </c>
      <c r="H742" t="n">
        <v>0</v>
      </c>
      <c r="I742" t="n">
        <v>0</v>
      </c>
      <c r="J742" t="n">
        <v>0</v>
      </c>
      <c r="K742" t="n">
        <v>0</v>
      </c>
      <c r="L742" t="n">
        <v>0</v>
      </c>
      <c r="M742" t="n">
        <v>0</v>
      </c>
      <c r="N742" t="n">
        <v>0</v>
      </c>
      <c r="O742" t="n">
        <v>0</v>
      </c>
      <c r="P742" t="n">
        <v>0</v>
      </c>
      <c r="Q742" t="n">
        <v>0</v>
      </c>
      <c r="R742" s="2" t="inlineStr"/>
    </row>
    <row r="743" ht="15" customHeight="1">
      <c r="A743" t="inlineStr">
        <is>
          <t>A 38231-2022</t>
        </is>
      </c>
      <c r="B743" s="1" t="n">
        <v>44812</v>
      </c>
      <c r="C743" s="1" t="n">
        <v>46104</v>
      </c>
      <c r="D743" t="inlineStr">
        <is>
          <t>ÖSTERGÖTLANDS LÄN</t>
        </is>
      </c>
      <c r="E743" t="inlineStr">
        <is>
          <t>LINKÖPING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34557-2022</t>
        </is>
      </c>
      <c r="B744" s="1" t="n">
        <v>44794.57074074074</v>
      </c>
      <c r="C744" s="1" t="n">
        <v>46104</v>
      </c>
      <c r="D744" t="inlineStr">
        <is>
          <t>ÖSTERGÖTLANDS LÄN</t>
        </is>
      </c>
      <c r="E744" t="inlineStr">
        <is>
          <t>LINKÖPING</t>
        </is>
      </c>
      <c r="G744" t="n">
        <v>1.8</v>
      </c>
      <c r="H744" t="n">
        <v>0</v>
      </c>
      <c r="I744" t="n">
        <v>0</v>
      </c>
      <c r="J744" t="n">
        <v>0</v>
      </c>
      <c r="K744" t="n">
        <v>0</v>
      </c>
      <c r="L744" t="n">
        <v>0</v>
      </c>
      <c r="M744" t="n">
        <v>0</v>
      </c>
      <c r="N744" t="n">
        <v>0</v>
      </c>
      <c r="O744" t="n">
        <v>0</v>
      </c>
      <c r="P744" t="n">
        <v>0</v>
      </c>
      <c r="Q744" t="n">
        <v>0</v>
      </c>
      <c r="R744" s="2" t="inlineStr"/>
    </row>
    <row r="745" ht="15" customHeight="1">
      <c r="A745" t="inlineStr">
        <is>
          <t>A 13011-2022</t>
        </is>
      </c>
      <c r="B745" s="1" t="n">
        <v>44643</v>
      </c>
      <c r="C745" s="1" t="n">
        <v>46104</v>
      </c>
      <c r="D745" t="inlineStr">
        <is>
          <t>ÖSTERGÖTLANDS LÄN</t>
        </is>
      </c>
      <c r="E745" t="inlineStr">
        <is>
          <t>LINKÖPING</t>
        </is>
      </c>
      <c r="G745" t="n">
        <v>3.7</v>
      </c>
      <c r="H745" t="n">
        <v>0</v>
      </c>
      <c r="I745" t="n">
        <v>0</v>
      </c>
      <c r="J745" t="n">
        <v>0</v>
      </c>
      <c r="K745" t="n">
        <v>0</v>
      </c>
      <c r="L745" t="n">
        <v>0</v>
      </c>
      <c r="M745" t="n">
        <v>0</v>
      </c>
      <c r="N745" t="n">
        <v>0</v>
      </c>
      <c r="O745" t="n">
        <v>0</v>
      </c>
      <c r="P745" t="n">
        <v>0</v>
      </c>
      <c r="Q745" t="n">
        <v>0</v>
      </c>
      <c r="R745" s="2" t="inlineStr"/>
    </row>
    <row r="746" ht="15" customHeight="1">
      <c r="A746" t="inlineStr">
        <is>
          <t>A 617-2024</t>
        </is>
      </c>
      <c r="B746" s="1" t="n">
        <v>45299.66028935185</v>
      </c>
      <c r="C746" s="1" t="n">
        <v>46104</v>
      </c>
      <c r="D746" t="inlineStr">
        <is>
          <t>ÖSTERGÖTLANDS LÄN</t>
        </is>
      </c>
      <c r="E746" t="inlineStr">
        <is>
          <t>LINKÖPING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19362-2023</t>
        </is>
      </c>
      <c r="B747" s="1" t="n">
        <v>45049</v>
      </c>
      <c r="C747" s="1" t="n">
        <v>46104</v>
      </c>
      <c r="D747" t="inlineStr">
        <is>
          <t>ÖSTERGÖTLANDS LÄN</t>
        </is>
      </c>
      <c r="E747" t="inlineStr">
        <is>
          <t>LINKÖPING</t>
        </is>
      </c>
      <c r="G747" t="n">
        <v>0.1</v>
      </c>
      <c r="H747" t="n">
        <v>0</v>
      </c>
      <c r="I747" t="n">
        <v>0</v>
      </c>
      <c r="J747" t="n">
        <v>0</v>
      </c>
      <c r="K747" t="n">
        <v>0</v>
      </c>
      <c r="L747" t="n">
        <v>0</v>
      </c>
      <c r="M747" t="n">
        <v>0</v>
      </c>
      <c r="N747" t="n">
        <v>0</v>
      </c>
      <c r="O747" t="n">
        <v>0</v>
      </c>
      <c r="P747" t="n">
        <v>0</v>
      </c>
      <c r="Q747" t="n">
        <v>0</v>
      </c>
      <c r="R747" s="2" t="inlineStr"/>
    </row>
    <row r="748" ht="15" customHeight="1">
      <c r="A748" t="inlineStr">
        <is>
          <t>A 19132-2023</t>
        </is>
      </c>
      <c r="B748" s="1" t="n">
        <v>45048.54754629629</v>
      </c>
      <c r="C748" s="1" t="n">
        <v>46104</v>
      </c>
      <c r="D748" t="inlineStr">
        <is>
          <t>ÖSTERGÖTLANDS LÄN</t>
        </is>
      </c>
      <c r="E748" t="inlineStr">
        <is>
          <t>LINKÖPING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31635-2023</t>
        </is>
      </c>
      <c r="B749" s="1" t="n">
        <v>45105</v>
      </c>
      <c r="C749" s="1" t="n">
        <v>46104</v>
      </c>
      <c r="D749" t="inlineStr">
        <is>
          <t>ÖSTERGÖTLANDS LÄN</t>
        </is>
      </c>
      <c r="E749" t="inlineStr">
        <is>
          <t>LINKÖPING</t>
        </is>
      </c>
      <c r="F749" t="inlineStr">
        <is>
          <t>Övriga statliga verk och myndigheter</t>
        </is>
      </c>
      <c r="G749" t="n">
        <v>4.6</v>
      </c>
      <c r="H749" t="n">
        <v>0</v>
      </c>
      <c r="I749" t="n">
        <v>0</v>
      </c>
      <c r="J749" t="n">
        <v>0</v>
      </c>
      <c r="K749" t="n">
        <v>0</v>
      </c>
      <c r="L749" t="n">
        <v>0</v>
      </c>
      <c r="M749" t="n">
        <v>0</v>
      </c>
      <c r="N749" t="n">
        <v>0</v>
      </c>
      <c r="O749" t="n">
        <v>0</v>
      </c>
      <c r="P749" t="n">
        <v>0</v>
      </c>
      <c r="Q749" t="n">
        <v>0</v>
      </c>
      <c r="R749" s="2" t="inlineStr"/>
    </row>
    <row r="750" ht="15" customHeight="1">
      <c r="A750" t="inlineStr">
        <is>
          <t>A 20296-2025</t>
        </is>
      </c>
      <c r="B750" s="1" t="n">
        <v>45774.74922453704</v>
      </c>
      <c r="C750" s="1" t="n">
        <v>46104</v>
      </c>
      <c r="D750" t="inlineStr">
        <is>
          <t>ÖSTERGÖTLANDS LÄN</t>
        </is>
      </c>
      <c r="E750" t="inlineStr">
        <is>
          <t>LINKÖPING</t>
        </is>
      </c>
      <c r="G750" t="n">
        <v>2.2</v>
      </c>
      <c r="H750" t="n">
        <v>0</v>
      </c>
      <c r="I750" t="n">
        <v>0</v>
      </c>
      <c r="J750" t="n">
        <v>0</v>
      </c>
      <c r="K750" t="n">
        <v>0</v>
      </c>
      <c r="L750" t="n">
        <v>0</v>
      </c>
      <c r="M750" t="n">
        <v>0</v>
      </c>
      <c r="N750" t="n">
        <v>0</v>
      </c>
      <c r="O750" t="n">
        <v>0</v>
      </c>
      <c r="P750" t="n">
        <v>0</v>
      </c>
      <c r="Q750" t="n">
        <v>0</v>
      </c>
      <c r="R750" s="2" t="inlineStr"/>
    </row>
    <row r="751" ht="15" customHeight="1">
      <c r="A751" t="inlineStr">
        <is>
          <t>A 22770-2024</t>
        </is>
      </c>
      <c r="B751" s="1" t="n">
        <v>45448.4634375</v>
      </c>
      <c r="C751" s="1" t="n">
        <v>46104</v>
      </c>
      <c r="D751" t="inlineStr">
        <is>
          <t>ÖSTERGÖTLANDS LÄN</t>
        </is>
      </c>
      <c r="E751" t="inlineStr">
        <is>
          <t>LINKÖPING</t>
        </is>
      </c>
      <c r="F751" t="inlineStr">
        <is>
          <t>Sveaskog</t>
        </is>
      </c>
      <c r="G751" t="n">
        <v>3.4</v>
      </c>
      <c r="H751" t="n">
        <v>0</v>
      </c>
      <c r="I751" t="n">
        <v>0</v>
      </c>
      <c r="J751" t="n">
        <v>0</v>
      </c>
      <c r="K751" t="n">
        <v>0</v>
      </c>
      <c r="L751" t="n">
        <v>0</v>
      </c>
      <c r="M751" t="n">
        <v>0</v>
      </c>
      <c r="N751" t="n">
        <v>0</v>
      </c>
      <c r="O751" t="n">
        <v>0</v>
      </c>
      <c r="P751" t="n">
        <v>0</v>
      </c>
      <c r="Q751" t="n">
        <v>0</v>
      </c>
      <c r="R751" s="2" t="inlineStr"/>
    </row>
    <row r="752" ht="15" customHeight="1">
      <c r="A752" t="inlineStr">
        <is>
          <t>A 11595-2025</t>
        </is>
      </c>
      <c r="B752" s="1" t="n">
        <v>45727.41893518518</v>
      </c>
      <c r="C752" s="1" t="n">
        <v>46104</v>
      </c>
      <c r="D752" t="inlineStr">
        <is>
          <t>ÖSTERGÖTLANDS LÄN</t>
        </is>
      </c>
      <c r="E752" t="inlineStr">
        <is>
          <t>LINKÖPING</t>
        </is>
      </c>
      <c r="G752" t="n">
        <v>6.6</v>
      </c>
      <c r="H752" t="n">
        <v>0</v>
      </c>
      <c r="I752" t="n">
        <v>0</v>
      </c>
      <c r="J752" t="n">
        <v>0</v>
      </c>
      <c r="K752" t="n">
        <v>0</v>
      </c>
      <c r="L752" t="n">
        <v>0</v>
      </c>
      <c r="M752" t="n">
        <v>0</v>
      </c>
      <c r="N752" t="n">
        <v>0</v>
      </c>
      <c r="O752" t="n">
        <v>0</v>
      </c>
      <c r="P752" t="n">
        <v>0</v>
      </c>
      <c r="Q752" t="n">
        <v>0</v>
      </c>
      <c r="R752" s="2" t="inlineStr"/>
    </row>
    <row r="753" ht="15" customHeight="1">
      <c r="A753" t="inlineStr">
        <is>
          <t>A 48839-2022</t>
        </is>
      </c>
      <c r="B753" s="1" t="n">
        <v>44859</v>
      </c>
      <c r="C753" s="1" t="n">
        <v>46104</v>
      </c>
      <c r="D753" t="inlineStr">
        <is>
          <t>ÖSTERGÖTLANDS LÄN</t>
        </is>
      </c>
      <c r="E753" t="inlineStr">
        <is>
          <t>LINKÖPING</t>
        </is>
      </c>
      <c r="F753" t="inlineStr">
        <is>
          <t>Övriga Aktiebolag</t>
        </is>
      </c>
      <c r="G753" t="n">
        <v>0.6</v>
      </c>
      <c r="H753" t="n">
        <v>0</v>
      </c>
      <c r="I753" t="n">
        <v>0</v>
      </c>
      <c r="J753" t="n">
        <v>0</v>
      </c>
      <c r="K753" t="n">
        <v>0</v>
      </c>
      <c r="L753" t="n">
        <v>0</v>
      </c>
      <c r="M753" t="n">
        <v>0</v>
      </c>
      <c r="N753" t="n">
        <v>0</v>
      </c>
      <c r="O753" t="n">
        <v>0</v>
      </c>
      <c r="P753" t="n">
        <v>0</v>
      </c>
      <c r="Q753" t="n">
        <v>0</v>
      </c>
      <c r="R753" s="2" t="inlineStr"/>
    </row>
    <row r="754" ht="15" customHeight="1">
      <c r="A754" t="inlineStr">
        <is>
          <t>A 8967-2025</t>
        </is>
      </c>
      <c r="B754" s="1" t="n">
        <v>45712</v>
      </c>
      <c r="C754" s="1" t="n">
        <v>46104</v>
      </c>
      <c r="D754" t="inlineStr">
        <is>
          <t>ÖSTERGÖTLANDS LÄN</t>
        </is>
      </c>
      <c r="E754" t="inlineStr">
        <is>
          <t>LINKÖPING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63678-2023</t>
        </is>
      </c>
      <c r="B755" s="1" t="n">
        <v>45275.64769675926</v>
      </c>
      <c r="C755" s="1" t="n">
        <v>46104</v>
      </c>
      <c r="D755" t="inlineStr">
        <is>
          <t>ÖSTERGÖTLANDS LÄN</t>
        </is>
      </c>
      <c r="E755" t="inlineStr">
        <is>
          <t>LINKÖPING</t>
        </is>
      </c>
      <c r="F755" t="inlineStr">
        <is>
          <t>Övriga Aktiebolag</t>
        </is>
      </c>
      <c r="G755" t="n">
        <v>0.4</v>
      </c>
      <c r="H755" t="n">
        <v>0</v>
      </c>
      <c r="I755" t="n">
        <v>0</v>
      </c>
      <c r="J755" t="n">
        <v>0</v>
      </c>
      <c r="K755" t="n">
        <v>0</v>
      </c>
      <c r="L755" t="n">
        <v>0</v>
      </c>
      <c r="M755" t="n">
        <v>0</v>
      </c>
      <c r="N755" t="n">
        <v>0</v>
      </c>
      <c r="O755" t="n">
        <v>0</v>
      </c>
      <c r="P755" t="n">
        <v>0</v>
      </c>
      <c r="Q755" t="n">
        <v>0</v>
      </c>
      <c r="R755" s="2" t="inlineStr"/>
    </row>
    <row r="756" ht="15" customHeight="1">
      <c r="A756" t="inlineStr">
        <is>
          <t>A 1844-2025</t>
        </is>
      </c>
      <c r="B756" s="1" t="n">
        <v>45671.57730324074</v>
      </c>
      <c r="C756" s="1" t="n">
        <v>46104</v>
      </c>
      <c r="D756" t="inlineStr">
        <is>
          <t>ÖSTERGÖTLANDS LÄN</t>
        </is>
      </c>
      <c r="E756" t="inlineStr">
        <is>
          <t>LINKÖPING</t>
        </is>
      </c>
      <c r="G756" t="n">
        <v>2</v>
      </c>
      <c r="H756" t="n">
        <v>0</v>
      </c>
      <c r="I756" t="n">
        <v>0</v>
      </c>
      <c r="J756" t="n">
        <v>0</v>
      </c>
      <c r="K756" t="n">
        <v>0</v>
      </c>
      <c r="L756" t="n">
        <v>0</v>
      </c>
      <c r="M756" t="n">
        <v>0</v>
      </c>
      <c r="N756" t="n">
        <v>0</v>
      </c>
      <c r="O756" t="n">
        <v>0</v>
      </c>
      <c r="P756" t="n">
        <v>0</v>
      </c>
      <c r="Q756" t="n">
        <v>0</v>
      </c>
      <c r="R756" s="2" t="inlineStr"/>
    </row>
    <row r="757" ht="15" customHeight="1">
      <c r="A757" t="inlineStr">
        <is>
          <t>A 21165-2025</t>
        </is>
      </c>
      <c r="B757" s="1" t="n">
        <v>45779.39417824074</v>
      </c>
      <c r="C757" s="1" t="n">
        <v>46104</v>
      </c>
      <c r="D757" t="inlineStr">
        <is>
          <t>ÖSTERGÖTLANDS LÄN</t>
        </is>
      </c>
      <c r="E757" t="inlineStr">
        <is>
          <t>LINKÖPING</t>
        </is>
      </c>
      <c r="G757" t="n">
        <v>1.2</v>
      </c>
      <c r="H757" t="n">
        <v>0</v>
      </c>
      <c r="I757" t="n">
        <v>0</v>
      </c>
      <c r="J757" t="n">
        <v>0</v>
      </c>
      <c r="K757" t="n">
        <v>0</v>
      </c>
      <c r="L757" t="n">
        <v>0</v>
      </c>
      <c r="M757" t="n">
        <v>0</v>
      </c>
      <c r="N757" t="n">
        <v>0</v>
      </c>
      <c r="O757" t="n">
        <v>0</v>
      </c>
      <c r="P757" t="n">
        <v>0</v>
      </c>
      <c r="Q757" t="n">
        <v>0</v>
      </c>
      <c r="R757" s="2" t="inlineStr"/>
    </row>
    <row r="758" ht="15" customHeight="1">
      <c r="A758" t="inlineStr">
        <is>
          <t>A 21155-2025</t>
        </is>
      </c>
      <c r="B758" s="1" t="n">
        <v>45779.37586805555</v>
      </c>
      <c r="C758" s="1" t="n">
        <v>46104</v>
      </c>
      <c r="D758" t="inlineStr">
        <is>
          <t>ÖSTERGÖTLANDS LÄN</t>
        </is>
      </c>
      <c r="E758" t="inlineStr">
        <is>
          <t>LINKÖPING</t>
        </is>
      </c>
      <c r="G758" t="n">
        <v>0.5</v>
      </c>
      <c r="H758" t="n">
        <v>0</v>
      </c>
      <c r="I758" t="n">
        <v>0</v>
      </c>
      <c r="J758" t="n">
        <v>0</v>
      </c>
      <c r="K758" t="n">
        <v>0</v>
      </c>
      <c r="L758" t="n">
        <v>0</v>
      </c>
      <c r="M758" t="n">
        <v>0</v>
      </c>
      <c r="N758" t="n">
        <v>0</v>
      </c>
      <c r="O758" t="n">
        <v>0</v>
      </c>
      <c r="P758" t="n">
        <v>0</v>
      </c>
      <c r="Q758" t="n">
        <v>0</v>
      </c>
      <c r="R758" s="2" t="inlineStr"/>
    </row>
    <row r="759">
      <c r="A759" t="inlineStr">
        <is>
          <t>A 22264-2025</t>
        </is>
      </c>
      <c r="B759" s="1" t="n">
        <v>45785</v>
      </c>
      <c r="C759" s="1" t="n">
        <v>46104</v>
      </c>
      <c r="D759" t="inlineStr">
        <is>
          <t>ÖSTERGÖTLANDS LÄN</t>
        </is>
      </c>
      <c r="E759" t="inlineStr">
        <is>
          <t>LINKÖPING</t>
        </is>
      </c>
      <c r="G759" t="n">
        <v>1.1</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2026-03-23T11:32:30Z</dcterms:created>
  <dcterms:modified xmlns:dcterms="http://purl.org/dc/terms/" xmlns:xsi="http://www.w3.org/2001/XMLSchema-instance" xsi:type="dcterms:W3CDTF">2026-03-23T11:32:31Z</dcterms:modified>
</cp:coreProperties>
</file>