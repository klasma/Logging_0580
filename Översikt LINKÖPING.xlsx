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46174</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46174</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46174</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46174</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40469-2024</t>
        </is>
      </c>
      <c r="B13" s="1" t="n">
        <v>45555.53145833333</v>
      </c>
      <c r="C13" s="1" t="n">
        <v>46174</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48329-2025</t>
        </is>
      </c>
      <c r="B14" s="1" t="n">
        <v>45932</v>
      </c>
      <c r="C14" s="1" t="n">
        <v>46174</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17502-2022</t>
        </is>
      </c>
      <c r="B15" s="1" t="n">
        <v>44679</v>
      </c>
      <c r="C15" s="1" t="n">
        <v>46174</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55341-2024</t>
        </is>
      </c>
      <c r="B16" s="1" t="n">
        <v>45621.71255787037</v>
      </c>
      <c r="C16" s="1" t="n">
        <v>46174</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38913-2023</t>
        </is>
      </c>
      <c r="B17" s="1" t="n">
        <v>45163</v>
      </c>
      <c r="C17" s="1" t="n">
        <v>46174</v>
      </c>
      <c r="D17" t="inlineStr">
        <is>
          <t>ÖSTERGÖTLANDS LÄN</t>
        </is>
      </c>
      <c r="E17" t="inlineStr">
        <is>
          <t>LINKÖPING</t>
        </is>
      </c>
      <c r="G17" t="n">
        <v>2.7</v>
      </c>
      <c r="H17" t="n">
        <v>2</v>
      </c>
      <c r="I17" t="n">
        <v>1</v>
      </c>
      <c r="J17" t="n">
        <v>0</v>
      </c>
      <c r="K17" t="n">
        <v>0</v>
      </c>
      <c r="L17" t="n">
        <v>0</v>
      </c>
      <c r="M17" t="n">
        <v>0</v>
      </c>
      <c r="N17" t="n">
        <v>0</v>
      </c>
      <c r="O17" t="n">
        <v>0</v>
      </c>
      <c r="P17" t="n">
        <v>0</v>
      </c>
      <c r="Q17" t="n">
        <v>3</v>
      </c>
      <c r="R17" s="2" t="inlineStr">
        <is>
          <t>Skogsbräsma
Dubbelnycklar
Revlummer</t>
        </is>
      </c>
      <c r="S17">
        <f>HYPERLINK("https://klasma.github.io/Logging_0580/artfynd/A 38913-2023 artfynd.xlsx", "A 38913-2023")</f>
        <v/>
      </c>
      <c r="T17">
        <f>HYPERLINK("https://klasma.github.io/Logging_0580/kartor/A 38913-2023 karta.png", "A 38913-2023")</f>
        <v/>
      </c>
      <c r="V17">
        <f>HYPERLINK("https://klasma.github.io/Logging_0580/klagomål/A 38913-2023 FSC-klagomål.docx", "A 38913-2023")</f>
        <v/>
      </c>
      <c r="W17">
        <f>HYPERLINK("https://klasma.github.io/Logging_0580/klagomålsmail/A 38913-2023 FSC-klagomål mail.docx", "A 38913-2023")</f>
        <v/>
      </c>
      <c r="X17">
        <f>HYPERLINK("https://klasma.github.io/Logging_0580/tillsyn/A 38913-2023 tillsynsbegäran.docx", "A 38913-2023")</f>
        <v/>
      </c>
      <c r="Y17">
        <f>HYPERLINK("https://klasma.github.io/Logging_0580/tillsynsmail/A 38913-2023 tillsynsbegäran mail.docx", "A 38913-2023")</f>
        <v/>
      </c>
    </row>
    <row r="18" ht="15" customHeight="1">
      <c r="A18" t="inlineStr">
        <is>
          <t>A 49999-2025</t>
        </is>
      </c>
      <c r="B18" s="1" t="n">
        <v>45943.30185185185</v>
      </c>
      <c r="C18" s="1" t="n">
        <v>46174</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577-2025</t>
        </is>
      </c>
      <c r="B19" s="1" t="n">
        <v>45664.56525462963</v>
      </c>
      <c r="C19" s="1" t="n">
        <v>46174</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46174</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46174</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11048-2026</t>
        </is>
      </c>
      <c r="B22" s="1" t="n">
        <v>46079.58841435185</v>
      </c>
      <c r="C22" s="1" t="n">
        <v>46174</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46174</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12494-2026</t>
        </is>
      </c>
      <c r="B24" s="1" t="n">
        <v>46090.56896990741</v>
      </c>
      <c r="C24" s="1" t="n">
        <v>46174</v>
      </c>
      <c r="D24" t="inlineStr">
        <is>
          <t>ÖSTERGÖTLANDS LÄN</t>
        </is>
      </c>
      <c r="E24" t="inlineStr">
        <is>
          <t>LINKÖPING</t>
        </is>
      </c>
      <c r="G24" t="n">
        <v>3.4</v>
      </c>
      <c r="H24" t="n">
        <v>1</v>
      </c>
      <c r="I24" t="n">
        <v>0</v>
      </c>
      <c r="J24" t="n">
        <v>1</v>
      </c>
      <c r="K24" t="n">
        <v>1</v>
      </c>
      <c r="L24" t="n">
        <v>0</v>
      </c>
      <c r="M24" t="n">
        <v>0</v>
      </c>
      <c r="N24" t="n">
        <v>0</v>
      </c>
      <c r="O24" t="n">
        <v>2</v>
      </c>
      <c r="P24" t="n">
        <v>1</v>
      </c>
      <c r="Q24" t="n">
        <v>3</v>
      </c>
      <c r="R24" s="2" t="inlineStr">
        <is>
          <t>Slåttergubbe
Svinrot
Blåsippa</t>
        </is>
      </c>
      <c r="S24">
        <f>HYPERLINK("https://klasma.github.io/Logging_0580/artfynd/A 12494-2026 artfynd.xlsx", "A 12494-2026")</f>
        <v/>
      </c>
      <c r="T24">
        <f>HYPERLINK("https://klasma.github.io/Logging_0580/kartor/A 12494-2026 karta.png", "A 12494-2026")</f>
        <v/>
      </c>
      <c r="V24">
        <f>HYPERLINK("https://klasma.github.io/Logging_0580/klagomål/A 12494-2026 FSC-klagomål.docx", "A 12494-2026")</f>
        <v/>
      </c>
      <c r="W24">
        <f>HYPERLINK("https://klasma.github.io/Logging_0580/klagomålsmail/A 12494-2026 FSC-klagomål mail.docx", "A 12494-2026")</f>
        <v/>
      </c>
      <c r="X24">
        <f>HYPERLINK("https://klasma.github.io/Logging_0580/tillsyn/A 12494-2026 tillsynsbegäran.docx", "A 12494-2026")</f>
        <v/>
      </c>
      <c r="Y24">
        <f>HYPERLINK("https://klasma.github.io/Logging_0580/tillsynsmail/A 12494-2026 tillsynsbegäran mail.docx", "A 12494-2026")</f>
        <v/>
      </c>
    </row>
    <row r="25" ht="15" customHeight="1">
      <c r="A25" t="inlineStr">
        <is>
          <t>A 38137-2021</t>
        </is>
      </c>
      <c r="B25" s="1" t="n">
        <v>44405.38357638889</v>
      </c>
      <c r="C25" s="1" t="n">
        <v>46174</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46174</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50404-2023</t>
        </is>
      </c>
      <c r="B27" s="1" t="n">
        <v>45216</v>
      </c>
      <c r="C27" s="1" t="n">
        <v>46174</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27981-2022</t>
        </is>
      </c>
      <c r="B28" s="1" t="n">
        <v>44745</v>
      </c>
      <c r="C28" s="1" t="n">
        <v>46174</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20292-2025</t>
        </is>
      </c>
      <c r="B29" s="1" t="n">
        <v>45774.7449537037</v>
      </c>
      <c r="C29" s="1" t="n">
        <v>46174</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46174</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55344-2024</t>
        </is>
      </c>
      <c r="B31" s="1" t="n">
        <v>45621.7202662037</v>
      </c>
      <c r="C31" s="1" t="n">
        <v>46174</v>
      </c>
      <c r="D31" t="inlineStr">
        <is>
          <t>ÖSTERGÖTLANDS LÄN</t>
        </is>
      </c>
      <c r="E31" t="inlineStr">
        <is>
          <t>LINKÖPING</t>
        </is>
      </c>
      <c r="G31" t="n">
        <v>6.6</v>
      </c>
      <c r="H31" t="n">
        <v>0</v>
      </c>
      <c r="I31" t="n">
        <v>0</v>
      </c>
      <c r="J31" t="n">
        <v>2</v>
      </c>
      <c r="K31" t="n">
        <v>0</v>
      </c>
      <c r="L31" t="n">
        <v>0</v>
      </c>
      <c r="M31" t="n">
        <v>0</v>
      </c>
      <c r="N31" t="n">
        <v>0</v>
      </c>
      <c r="O31" t="n">
        <v>2</v>
      </c>
      <c r="P31" t="n">
        <v>0</v>
      </c>
      <c r="Q31" t="n">
        <v>2</v>
      </c>
      <c r="R31" s="2" t="inlineStr">
        <is>
          <t>Kandelabersvamp
Stjärnnästing</t>
        </is>
      </c>
      <c r="S31">
        <f>HYPERLINK("https://klasma.github.io/Logging_0580/artfynd/A 55344-2024 artfynd.xlsx", "A 55344-2024")</f>
        <v/>
      </c>
      <c r="T31">
        <f>HYPERLINK("https://klasma.github.io/Logging_0580/kartor/A 55344-2024 karta.png", "A 55344-2024")</f>
        <v/>
      </c>
      <c r="V31">
        <f>HYPERLINK("https://klasma.github.io/Logging_0580/klagomål/A 55344-2024 FSC-klagomål.docx", "A 55344-2024")</f>
        <v/>
      </c>
      <c r="W31">
        <f>HYPERLINK("https://klasma.github.io/Logging_0580/klagomålsmail/A 55344-2024 FSC-klagomål mail.docx", "A 55344-2024")</f>
        <v/>
      </c>
      <c r="X31">
        <f>HYPERLINK("https://klasma.github.io/Logging_0580/tillsyn/A 55344-2024 tillsynsbegäran.docx", "A 55344-2024")</f>
        <v/>
      </c>
      <c r="Y31">
        <f>HYPERLINK("https://klasma.github.io/Logging_0580/tillsynsmail/A 55344-2024 tillsynsbegäran mail.docx", "A 55344-2024")</f>
        <v/>
      </c>
    </row>
    <row r="32" ht="15" customHeight="1">
      <c r="A32" t="inlineStr">
        <is>
          <t>A 58068-2021</t>
        </is>
      </c>
      <c r="B32" s="1" t="n">
        <v>44487</v>
      </c>
      <c r="C32" s="1" t="n">
        <v>46174</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14879-2024</t>
        </is>
      </c>
      <c r="B33" s="1" t="n">
        <v>45398</v>
      </c>
      <c r="C33" s="1" t="n">
        <v>46174</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8818-2025</t>
        </is>
      </c>
      <c r="B34" s="1" t="n">
        <v>45712</v>
      </c>
      <c r="C34" s="1" t="n">
        <v>46174</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58068-2021</t>
        </is>
      </c>
      <c r="B35" s="1" t="n">
        <v>44487</v>
      </c>
      <c r="C35" s="1" t="n">
        <v>46174</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50048-2025</t>
        </is>
      </c>
      <c r="B36" s="1" t="n">
        <v>45941</v>
      </c>
      <c r="C36" s="1" t="n">
        <v>46174</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22040-2023</t>
        </is>
      </c>
      <c r="B37" s="1" t="n">
        <v>45068</v>
      </c>
      <c r="C37" s="1" t="n">
        <v>46174</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46174</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41751-2023</t>
        </is>
      </c>
      <c r="B39" s="1" t="n">
        <v>45176</v>
      </c>
      <c r="C39" s="1" t="n">
        <v>46174</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21326-2025</t>
        </is>
      </c>
      <c r="B40" s="1" t="n">
        <v>45782.35407407407</v>
      </c>
      <c r="C40" s="1" t="n">
        <v>46174</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11613-2025</t>
        </is>
      </c>
      <c r="B41" s="1" t="n">
        <v>45727.44623842592</v>
      </c>
      <c r="C41" s="1" t="n">
        <v>46174</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4256-2022</t>
        </is>
      </c>
      <c r="B42" s="1" t="n">
        <v>44588</v>
      </c>
      <c r="C42" s="1" t="n">
        <v>46174</v>
      </c>
      <c r="D42" t="inlineStr">
        <is>
          <t>ÖSTERGÖTLANDS LÄN</t>
        </is>
      </c>
      <c r="E42" t="inlineStr">
        <is>
          <t>LINKÖPING</t>
        </is>
      </c>
      <c r="G42" t="n">
        <v>1.4</v>
      </c>
      <c r="H42" t="n">
        <v>2</v>
      </c>
      <c r="I42" t="n">
        <v>0</v>
      </c>
      <c r="J42" t="n">
        <v>1</v>
      </c>
      <c r="K42" t="n">
        <v>1</v>
      </c>
      <c r="L42" t="n">
        <v>0</v>
      </c>
      <c r="M42" t="n">
        <v>0</v>
      </c>
      <c r="N42" t="n">
        <v>0</v>
      </c>
      <c r="O42" t="n">
        <v>2</v>
      </c>
      <c r="P42" t="n">
        <v>1</v>
      </c>
      <c r="Q42" t="n">
        <v>2</v>
      </c>
      <c r="R42" s="2" t="inlineStr">
        <is>
          <t>Stare
Gulsparv</t>
        </is>
      </c>
      <c r="S42">
        <f>HYPERLINK("https://klasma.github.io/Logging_0580/artfynd/A 4256-2022 artfynd.xlsx", "A 4256-2022")</f>
        <v/>
      </c>
      <c r="T42">
        <f>HYPERLINK("https://klasma.github.io/Logging_0580/kartor/A 4256-2022 karta.png", "A 4256-2022")</f>
        <v/>
      </c>
      <c r="V42">
        <f>HYPERLINK("https://klasma.github.io/Logging_0580/klagomål/A 4256-2022 FSC-klagomål.docx", "A 4256-2022")</f>
        <v/>
      </c>
      <c r="W42">
        <f>HYPERLINK("https://klasma.github.io/Logging_0580/klagomålsmail/A 4256-2022 FSC-klagomål mail.docx", "A 4256-2022")</f>
        <v/>
      </c>
      <c r="X42">
        <f>HYPERLINK("https://klasma.github.io/Logging_0580/tillsyn/A 4256-2022 tillsynsbegäran.docx", "A 4256-2022")</f>
        <v/>
      </c>
      <c r="Y42">
        <f>HYPERLINK("https://klasma.github.io/Logging_0580/tillsynsmail/A 4256-2022 tillsynsbegäran mail.docx", "A 4256-2022")</f>
        <v/>
      </c>
      <c r="Z42">
        <f>HYPERLINK("https://klasma.github.io/Logging_0580/fåglar/A 4256-2022 prioriterade fågelarter.docx", "A 4256-2022")</f>
        <v/>
      </c>
    </row>
    <row r="43" ht="15" customHeight="1">
      <c r="A43" t="inlineStr">
        <is>
          <t>A 42858-2023</t>
        </is>
      </c>
      <c r="B43" s="1" t="n">
        <v>45177</v>
      </c>
      <c r="C43" s="1" t="n">
        <v>46174</v>
      </c>
      <c r="D43" t="inlineStr">
        <is>
          <t>ÖSTERGÖTLANDS LÄN</t>
        </is>
      </c>
      <c r="E43" t="inlineStr">
        <is>
          <t>LINKÖPING</t>
        </is>
      </c>
      <c r="G43" t="n">
        <v>5.3</v>
      </c>
      <c r="H43" t="n">
        <v>1</v>
      </c>
      <c r="I43" t="n">
        <v>0</v>
      </c>
      <c r="J43" t="n">
        <v>1</v>
      </c>
      <c r="K43" t="n">
        <v>0</v>
      </c>
      <c r="L43" t="n">
        <v>0</v>
      </c>
      <c r="M43" t="n">
        <v>0</v>
      </c>
      <c r="N43" t="n">
        <v>0</v>
      </c>
      <c r="O43" t="n">
        <v>1</v>
      </c>
      <c r="P43" t="n">
        <v>0</v>
      </c>
      <c r="Q43" t="n">
        <v>2</v>
      </c>
      <c r="R43" s="2" t="inlineStr">
        <is>
          <t>Svinrot
Skogsödla</t>
        </is>
      </c>
      <c r="S43">
        <f>HYPERLINK("https://klasma.github.io/Logging_0580/artfynd/A 42858-2023 artfynd.xlsx", "A 42858-2023")</f>
        <v/>
      </c>
      <c r="T43">
        <f>HYPERLINK("https://klasma.github.io/Logging_0580/kartor/A 42858-2023 karta.png", "A 42858-2023")</f>
        <v/>
      </c>
      <c r="V43">
        <f>HYPERLINK("https://klasma.github.io/Logging_0580/klagomål/A 42858-2023 FSC-klagomål.docx", "A 42858-2023")</f>
        <v/>
      </c>
      <c r="W43">
        <f>HYPERLINK("https://klasma.github.io/Logging_0580/klagomålsmail/A 42858-2023 FSC-klagomål mail.docx", "A 42858-2023")</f>
        <v/>
      </c>
      <c r="X43">
        <f>HYPERLINK("https://klasma.github.io/Logging_0580/tillsyn/A 42858-2023 tillsynsbegäran.docx", "A 42858-2023")</f>
        <v/>
      </c>
      <c r="Y43">
        <f>HYPERLINK("https://klasma.github.io/Logging_0580/tillsynsmail/A 42858-2023 tillsynsbegäran mail.docx", "A 42858-2023")</f>
        <v/>
      </c>
    </row>
    <row r="44" ht="15" customHeight="1">
      <c r="A44" t="inlineStr">
        <is>
          <t>A 27795-2025</t>
        </is>
      </c>
      <c r="B44" s="1" t="n">
        <v>45816.7908912037</v>
      </c>
      <c r="C44" s="1" t="n">
        <v>46174</v>
      </c>
      <c r="D44" t="inlineStr">
        <is>
          <t>ÖSTERGÖTLANDS LÄN</t>
        </is>
      </c>
      <c r="E44" t="inlineStr">
        <is>
          <t>LINKÖPING</t>
        </is>
      </c>
      <c r="G44" t="n">
        <v>5</v>
      </c>
      <c r="H44" t="n">
        <v>0</v>
      </c>
      <c r="I44" t="n">
        <v>0</v>
      </c>
      <c r="J44" t="n">
        <v>2</v>
      </c>
      <c r="K44" t="n">
        <v>0</v>
      </c>
      <c r="L44" t="n">
        <v>0</v>
      </c>
      <c r="M44" t="n">
        <v>0</v>
      </c>
      <c r="N44" t="n">
        <v>0</v>
      </c>
      <c r="O44" t="n">
        <v>2</v>
      </c>
      <c r="P44" t="n">
        <v>0</v>
      </c>
      <c r="Q44" t="n">
        <v>2</v>
      </c>
      <c r="R44" s="2" t="inlineStr">
        <is>
          <t>Svinrot
Ängsskära</t>
        </is>
      </c>
      <c r="S44">
        <f>HYPERLINK("https://klasma.github.io/Logging_0580/artfynd/A 27795-2025 artfynd.xlsx", "A 27795-2025")</f>
        <v/>
      </c>
      <c r="T44">
        <f>HYPERLINK("https://klasma.github.io/Logging_0580/kartor/A 27795-2025 karta.png", "A 27795-2025")</f>
        <v/>
      </c>
      <c r="V44">
        <f>HYPERLINK("https://klasma.github.io/Logging_0580/klagomål/A 27795-2025 FSC-klagomål.docx", "A 27795-2025")</f>
        <v/>
      </c>
      <c r="W44">
        <f>HYPERLINK("https://klasma.github.io/Logging_0580/klagomålsmail/A 27795-2025 FSC-klagomål mail.docx", "A 27795-2025")</f>
        <v/>
      </c>
      <c r="X44">
        <f>HYPERLINK("https://klasma.github.io/Logging_0580/tillsyn/A 27795-2025 tillsynsbegäran.docx", "A 27795-2025")</f>
        <v/>
      </c>
      <c r="Y44">
        <f>HYPERLINK("https://klasma.github.io/Logging_0580/tillsynsmail/A 27795-2025 tillsynsbegäran mail.docx", "A 27795-2025")</f>
        <v/>
      </c>
    </row>
    <row r="45" ht="15" customHeight="1">
      <c r="A45" t="inlineStr">
        <is>
          <t>A 3912-2026</t>
        </is>
      </c>
      <c r="B45" s="1" t="n">
        <v>46043.71958333333</v>
      </c>
      <c r="C45" s="1" t="n">
        <v>46174</v>
      </c>
      <c r="D45" t="inlineStr">
        <is>
          <t>ÖSTERGÖTLANDS LÄN</t>
        </is>
      </c>
      <c r="E45" t="inlineStr">
        <is>
          <t>LINKÖPING</t>
        </is>
      </c>
      <c r="F45" t="inlineStr">
        <is>
          <t>Kyrkan</t>
        </is>
      </c>
      <c r="G45" t="n">
        <v>6.8</v>
      </c>
      <c r="H45" t="n">
        <v>1</v>
      </c>
      <c r="I45" t="n">
        <v>1</v>
      </c>
      <c r="J45" t="n">
        <v>0</v>
      </c>
      <c r="K45" t="n">
        <v>1</v>
      </c>
      <c r="L45" t="n">
        <v>0</v>
      </c>
      <c r="M45" t="n">
        <v>0</v>
      </c>
      <c r="N45" t="n">
        <v>0</v>
      </c>
      <c r="O45" t="n">
        <v>1</v>
      </c>
      <c r="P45" t="n">
        <v>1</v>
      </c>
      <c r="Q45" t="n">
        <v>2</v>
      </c>
      <c r="R45" s="2" t="inlineStr">
        <is>
          <t>Knärot
Grönpyrola</t>
        </is>
      </c>
      <c r="S45">
        <f>HYPERLINK("https://klasma.github.io/Logging_0580/artfynd/A 3912-2026 artfynd.xlsx", "A 3912-2026")</f>
        <v/>
      </c>
      <c r="T45">
        <f>HYPERLINK("https://klasma.github.io/Logging_0580/kartor/A 3912-2026 karta.png", "A 3912-2026")</f>
        <v/>
      </c>
      <c r="U45">
        <f>HYPERLINK("https://klasma.github.io/Logging_0580/knärot/A 3912-2026 karta knärot.png", "A 3912-2026")</f>
        <v/>
      </c>
      <c r="V45">
        <f>HYPERLINK("https://klasma.github.io/Logging_0580/klagomål/A 3912-2026 FSC-klagomål.docx", "A 3912-2026")</f>
        <v/>
      </c>
      <c r="W45">
        <f>HYPERLINK("https://klasma.github.io/Logging_0580/klagomålsmail/A 3912-2026 FSC-klagomål mail.docx", "A 3912-2026")</f>
        <v/>
      </c>
      <c r="X45">
        <f>HYPERLINK("https://klasma.github.io/Logging_0580/tillsyn/A 3912-2026 tillsynsbegäran.docx", "A 3912-2026")</f>
        <v/>
      </c>
      <c r="Y45">
        <f>HYPERLINK("https://klasma.github.io/Logging_0580/tillsynsmail/A 3912-2026 tillsynsbegäran mail.docx", "A 3912-2026")</f>
        <v/>
      </c>
    </row>
    <row r="46" ht="15" customHeight="1">
      <c r="A46" t="inlineStr">
        <is>
          <t>A 25985-2025</t>
        </is>
      </c>
      <c r="B46" s="1" t="n">
        <v>45804.64479166667</v>
      </c>
      <c r="C46" s="1" t="n">
        <v>46174</v>
      </c>
      <c r="D46" t="inlineStr">
        <is>
          <t>ÖSTERGÖTLANDS LÄN</t>
        </is>
      </c>
      <c r="E46" t="inlineStr">
        <is>
          <t>LINKÖPING</t>
        </is>
      </c>
      <c r="G46" t="n">
        <v>4.5</v>
      </c>
      <c r="H46" t="n">
        <v>2</v>
      </c>
      <c r="I46" t="n">
        <v>0</v>
      </c>
      <c r="J46" t="n">
        <v>1</v>
      </c>
      <c r="K46" t="n">
        <v>0</v>
      </c>
      <c r="L46" t="n">
        <v>0</v>
      </c>
      <c r="M46" t="n">
        <v>0</v>
      </c>
      <c r="N46" t="n">
        <v>0</v>
      </c>
      <c r="O46" t="n">
        <v>1</v>
      </c>
      <c r="P46" t="n">
        <v>0</v>
      </c>
      <c r="Q46" t="n">
        <v>2</v>
      </c>
      <c r="R46" s="2" t="inlineStr">
        <is>
          <t>Spillkråka
Revlummer</t>
        </is>
      </c>
      <c r="S46">
        <f>HYPERLINK("https://klasma.github.io/Logging_0580/artfynd/A 25985-2025 artfynd.xlsx", "A 25985-2025")</f>
        <v/>
      </c>
      <c r="T46">
        <f>HYPERLINK("https://klasma.github.io/Logging_0580/kartor/A 25985-2025 karta.png", "A 25985-2025")</f>
        <v/>
      </c>
      <c r="V46">
        <f>HYPERLINK("https://klasma.github.io/Logging_0580/klagomål/A 25985-2025 FSC-klagomål.docx", "A 25985-2025")</f>
        <v/>
      </c>
      <c r="W46">
        <f>HYPERLINK("https://klasma.github.io/Logging_0580/klagomålsmail/A 25985-2025 FSC-klagomål mail.docx", "A 25985-2025")</f>
        <v/>
      </c>
      <c r="X46">
        <f>HYPERLINK("https://klasma.github.io/Logging_0580/tillsyn/A 25985-2025 tillsynsbegäran.docx", "A 25985-2025")</f>
        <v/>
      </c>
      <c r="Y46">
        <f>HYPERLINK("https://klasma.github.io/Logging_0580/tillsynsmail/A 25985-2025 tillsynsbegäran mail.docx", "A 25985-2025")</f>
        <v/>
      </c>
      <c r="Z46">
        <f>HYPERLINK("https://klasma.github.io/Logging_0580/fåglar/A 25985-2025 prioriterade fågelarter.docx", "A 25985-2025")</f>
        <v/>
      </c>
    </row>
    <row r="47" ht="15" customHeight="1">
      <c r="A47" t="inlineStr">
        <is>
          <t>A 12247-2026</t>
        </is>
      </c>
      <c r="B47" s="1" t="n">
        <v>46087.44436342592</v>
      </c>
      <c r="C47" s="1" t="n">
        <v>46174</v>
      </c>
      <c r="D47" t="inlineStr">
        <is>
          <t>ÖSTERGÖTLANDS LÄN</t>
        </is>
      </c>
      <c r="E47" t="inlineStr">
        <is>
          <t>LINKÖPING</t>
        </is>
      </c>
      <c r="G47" t="n">
        <v>0.9</v>
      </c>
      <c r="H47" t="n">
        <v>1</v>
      </c>
      <c r="I47" t="n">
        <v>0</v>
      </c>
      <c r="J47" t="n">
        <v>2</v>
      </c>
      <c r="K47" t="n">
        <v>0</v>
      </c>
      <c r="L47" t="n">
        <v>0</v>
      </c>
      <c r="M47" t="n">
        <v>0</v>
      </c>
      <c r="N47" t="n">
        <v>0</v>
      </c>
      <c r="O47" t="n">
        <v>2</v>
      </c>
      <c r="P47" t="n">
        <v>0</v>
      </c>
      <c r="Q47" t="n">
        <v>2</v>
      </c>
      <c r="R47" s="2" t="inlineStr">
        <is>
          <t>Spillkråka
Vedtrappmossa</t>
        </is>
      </c>
      <c r="S47">
        <f>HYPERLINK("https://klasma.github.io/Logging_0580/artfynd/A 12247-2026 artfynd.xlsx", "A 12247-2026")</f>
        <v/>
      </c>
      <c r="T47">
        <f>HYPERLINK("https://klasma.github.io/Logging_0580/kartor/A 12247-2026 karta.png", "A 12247-2026")</f>
        <v/>
      </c>
      <c r="V47">
        <f>HYPERLINK("https://klasma.github.io/Logging_0580/klagomål/A 12247-2026 FSC-klagomål.docx", "A 12247-2026")</f>
        <v/>
      </c>
      <c r="W47">
        <f>HYPERLINK("https://klasma.github.io/Logging_0580/klagomålsmail/A 12247-2026 FSC-klagomål mail.docx", "A 12247-2026")</f>
        <v/>
      </c>
      <c r="X47">
        <f>HYPERLINK("https://klasma.github.io/Logging_0580/tillsyn/A 12247-2026 tillsynsbegäran.docx", "A 12247-2026")</f>
        <v/>
      </c>
      <c r="Y47">
        <f>HYPERLINK("https://klasma.github.io/Logging_0580/tillsynsmail/A 12247-2026 tillsynsbegäran mail.docx", "A 12247-2026")</f>
        <v/>
      </c>
      <c r="Z47">
        <f>HYPERLINK("https://klasma.github.io/Logging_0580/fåglar/A 12247-2026 prioriterade fågelarter.docx", "A 12247-2026")</f>
        <v/>
      </c>
    </row>
    <row r="48" ht="15" customHeight="1">
      <c r="A48" t="inlineStr">
        <is>
          <t>A 21228-2026</t>
        </is>
      </c>
      <c r="B48" s="1" t="n">
        <v>46146.7919212963</v>
      </c>
      <c r="C48" s="1" t="n">
        <v>46174</v>
      </c>
      <c r="D48" t="inlineStr">
        <is>
          <t>ÖSTERGÖTLANDS LÄN</t>
        </is>
      </c>
      <c r="E48" t="inlineStr">
        <is>
          <t>LINKÖPING</t>
        </is>
      </c>
      <c r="G48" t="n">
        <v>2.5</v>
      </c>
      <c r="H48" t="n">
        <v>2</v>
      </c>
      <c r="I48" t="n">
        <v>0</v>
      </c>
      <c r="J48" t="n">
        <v>0</v>
      </c>
      <c r="K48" t="n">
        <v>0</v>
      </c>
      <c r="L48" t="n">
        <v>0</v>
      </c>
      <c r="M48" t="n">
        <v>0</v>
      </c>
      <c r="N48" t="n">
        <v>0</v>
      </c>
      <c r="O48" t="n">
        <v>0</v>
      </c>
      <c r="P48" t="n">
        <v>0</v>
      </c>
      <c r="Q48" t="n">
        <v>2</v>
      </c>
      <c r="R48" s="2" t="inlineStr">
        <is>
          <t>Kungsfågel
Vanlig groda</t>
        </is>
      </c>
      <c r="S48">
        <f>HYPERLINK("https://klasma.github.io/Logging_0580/artfynd/A 21228-2026 artfynd.xlsx", "A 21228-2026")</f>
        <v/>
      </c>
      <c r="T48">
        <f>HYPERLINK("https://klasma.github.io/Logging_0580/kartor/A 21228-2026 karta.png", "A 21228-2026")</f>
        <v/>
      </c>
      <c r="V48">
        <f>HYPERLINK("https://klasma.github.io/Logging_0580/klagomål/A 21228-2026 FSC-klagomål.docx", "A 21228-2026")</f>
        <v/>
      </c>
      <c r="W48">
        <f>HYPERLINK("https://klasma.github.io/Logging_0580/klagomålsmail/A 21228-2026 FSC-klagomål mail.docx", "A 21228-2026")</f>
        <v/>
      </c>
      <c r="X48">
        <f>HYPERLINK("https://klasma.github.io/Logging_0580/tillsyn/A 21228-2026 tillsynsbegäran.docx", "A 21228-2026")</f>
        <v/>
      </c>
      <c r="Y48">
        <f>HYPERLINK("https://klasma.github.io/Logging_0580/tillsynsmail/A 21228-2026 tillsynsbegäran mail.docx", "A 21228-2026")</f>
        <v/>
      </c>
      <c r="Z48">
        <f>HYPERLINK("https://klasma.github.io/Logging_0580/fåglar/A 21228-2026 prioriterade fågelarter.docx", "A 21228-2026")</f>
        <v/>
      </c>
    </row>
    <row r="49" ht="15" customHeight="1">
      <c r="A49" t="inlineStr">
        <is>
          <t>A 15856-2026</t>
        </is>
      </c>
      <c r="B49" s="1" t="n">
        <v>46107.57620370371</v>
      </c>
      <c r="C49" s="1" t="n">
        <v>46174</v>
      </c>
      <c r="D49" t="inlineStr">
        <is>
          <t>ÖSTERGÖTLANDS LÄN</t>
        </is>
      </c>
      <c r="E49" t="inlineStr">
        <is>
          <t>LINKÖPING</t>
        </is>
      </c>
      <c r="F49" t="inlineStr">
        <is>
          <t>Sveaskog</t>
        </is>
      </c>
      <c r="G49" t="n">
        <v>16.2</v>
      </c>
      <c r="H49" t="n">
        <v>0</v>
      </c>
      <c r="I49" t="n">
        <v>1</v>
      </c>
      <c r="J49" t="n">
        <v>1</v>
      </c>
      <c r="K49" t="n">
        <v>0</v>
      </c>
      <c r="L49" t="n">
        <v>0</v>
      </c>
      <c r="M49" t="n">
        <v>0</v>
      </c>
      <c r="N49" t="n">
        <v>0</v>
      </c>
      <c r="O49" t="n">
        <v>1</v>
      </c>
      <c r="P49" t="n">
        <v>0</v>
      </c>
      <c r="Q49" t="n">
        <v>2</v>
      </c>
      <c r="R49" s="2" t="inlineStr">
        <is>
          <t>Svinrot
Granbräken</t>
        </is>
      </c>
      <c r="S49">
        <f>HYPERLINK("https://klasma.github.io/Logging_0580/artfynd/A 15856-2026 artfynd.xlsx", "A 15856-2026")</f>
        <v/>
      </c>
      <c r="T49">
        <f>HYPERLINK("https://klasma.github.io/Logging_0580/kartor/A 15856-2026 karta.png", "A 15856-2026")</f>
        <v/>
      </c>
      <c r="V49">
        <f>HYPERLINK("https://klasma.github.io/Logging_0580/klagomål/A 15856-2026 FSC-klagomål.docx", "A 15856-2026")</f>
        <v/>
      </c>
      <c r="W49">
        <f>HYPERLINK("https://klasma.github.io/Logging_0580/klagomålsmail/A 15856-2026 FSC-klagomål mail.docx", "A 15856-2026")</f>
        <v/>
      </c>
      <c r="X49">
        <f>HYPERLINK("https://klasma.github.io/Logging_0580/tillsyn/A 15856-2026 tillsynsbegäran.docx", "A 15856-2026")</f>
        <v/>
      </c>
      <c r="Y49">
        <f>HYPERLINK("https://klasma.github.io/Logging_0580/tillsynsmail/A 15856-2026 tillsynsbegäran mail.docx", "A 15856-2026")</f>
        <v/>
      </c>
    </row>
    <row r="50" ht="15" customHeight="1">
      <c r="A50" t="inlineStr">
        <is>
          <t>A 15844-2026</t>
        </is>
      </c>
      <c r="B50" s="1" t="n">
        <v>46107.56542824074</v>
      </c>
      <c r="C50" s="1" t="n">
        <v>46174</v>
      </c>
      <c r="D50" t="inlineStr">
        <is>
          <t>ÖSTERGÖTLANDS LÄN</t>
        </is>
      </c>
      <c r="E50" t="inlineStr">
        <is>
          <t>LINKÖPING</t>
        </is>
      </c>
      <c r="F50" t="inlineStr">
        <is>
          <t>Sveaskog</t>
        </is>
      </c>
      <c r="G50" t="n">
        <v>10.6</v>
      </c>
      <c r="H50" t="n">
        <v>0</v>
      </c>
      <c r="I50" t="n">
        <v>2</v>
      </c>
      <c r="J50" t="n">
        <v>0</v>
      </c>
      <c r="K50" t="n">
        <v>0</v>
      </c>
      <c r="L50" t="n">
        <v>0</v>
      </c>
      <c r="M50" t="n">
        <v>0</v>
      </c>
      <c r="N50" t="n">
        <v>0</v>
      </c>
      <c r="O50" t="n">
        <v>0</v>
      </c>
      <c r="P50" t="n">
        <v>0</v>
      </c>
      <c r="Q50" t="n">
        <v>2</v>
      </c>
      <c r="R50" s="2" t="inlineStr">
        <is>
          <t>Fällmossa
Toppvaxing</t>
        </is>
      </c>
      <c r="S50">
        <f>HYPERLINK("https://klasma.github.io/Logging_0580/artfynd/A 15844-2026 artfynd.xlsx", "A 15844-2026")</f>
        <v/>
      </c>
      <c r="T50">
        <f>HYPERLINK("https://klasma.github.io/Logging_0580/kartor/A 15844-2026 karta.png", "A 15844-2026")</f>
        <v/>
      </c>
      <c r="V50">
        <f>HYPERLINK("https://klasma.github.io/Logging_0580/klagomål/A 15844-2026 FSC-klagomål.docx", "A 15844-2026")</f>
        <v/>
      </c>
      <c r="W50">
        <f>HYPERLINK("https://klasma.github.io/Logging_0580/klagomålsmail/A 15844-2026 FSC-klagomål mail.docx", "A 15844-2026")</f>
        <v/>
      </c>
      <c r="X50">
        <f>HYPERLINK("https://klasma.github.io/Logging_0580/tillsyn/A 15844-2026 tillsynsbegäran.docx", "A 15844-2026")</f>
        <v/>
      </c>
      <c r="Y50">
        <f>HYPERLINK("https://klasma.github.io/Logging_0580/tillsynsmail/A 15844-2026 tillsynsbegäran mail.docx", "A 15844-2026")</f>
        <v/>
      </c>
    </row>
    <row r="51" ht="15" customHeight="1">
      <c r="A51" t="inlineStr">
        <is>
          <t>A 22074-2026</t>
        </is>
      </c>
      <c r="B51" s="1" t="n">
        <v>46153.50032407408</v>
      </c>
      <c r="C51" s="1" t="n">
        <v>46174</v>
      </c>
      <c r="D51" t="inlineStr">
        <is>
          <t>ÖSTERGÖTLANDS LÄN</t>
        </is>
      </c>
      <c r="E51" t="inlineStr">
        <is>
          <t>LINKÖPING</t>
        </is>
      </c>
      <c r="G51" t="n">
        <v>1.9</v>
      </c>
      <c r="H51" t="n">
        <v>0</v>
      </c>
      <c r="I51" t="n">
        <v>2</v>
      </c>
      <c r="J51" t="n">
        <v>0</v>
      </c>
      <c r="K51" t="n">
        <v>0</v>
      </c>
      <c r="L51" t="n">
        <v>0</v>
      </c>
      <c r="M51" t="n">
        <v>0</v>
      </c>
      <c r="N51" t="n">
        <v>0</v>
      </c>
      <c r="O51" t="n">
        <v>0</v>
      </c>
      <c r="P51" t="n">
        <v>0</v>
      </c>
      <c r="Q51" t="n">
        <v>2</v>
      </c>
      <c r="R51" s="2" t="inlineStr">
        <is>
          <t>Blomkålssvamp
Mandelriska</t>
        </is>
      </c>
      <c r="S51">
        <f>HYPERLINK("https://klasma.github.io/Logging_0580/artfynd/A 22074-2026 artfynd.xlsx", "A 22074-2026")</f>
        <v/>
      </c>
      <c r="T51">
        <f>HYPERLINK("https://klasma.github.io/Logging_0580/kartor/A 22074-2026 karta.png", "A 22074-2026")</f>
        <v/>
      </c>
      <c r="V51">
        <f>HYPERLINK("https://klasma.github.io/Logging_0580/klagomål/A 22074-2026 FSC-klagomål.docx", "A 22074-2026")</f>
        <v/>
      </c>
      <c r="W51">
        <f>HYPERLINK("https://klasma.github.io/Logging_0580/klagomålsmail/A 22074-2026 FSC-klagomål mail.docx", "A 22074-2026")</f>
        <v/>
      </c>
      <c r="X51">
        <f>HYPERLINK("https://klasma.github.io/Logging_0580/tillsyn/A 22074-2026 tillsynsbegäran.docx", "A 22074-2026")</f>
        <v/>
      </c>
      <c r="Y51">
        <f>HYPERLINK("https://klasma.github.io/Logging_0580/tillsynsmail/A 22074-2026 tillsynsbegäran mail.docx", "A 22074-2026")</f>
        <v/>
      </c>
    </row>
    <row r="52" ht="15" customHeight="1">
      <c r="A52" t="inlineStr">
        <is>
          <t>A 38129-2021</t>
        </is>
      </c>
      <c r="B52" s="1" t="n">
        <v>44405.37199074074</v>
      </c>
      <c r="C52" s="1" t="n">
        <v>46174</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Spillkråka</t>
        </is>
      </c>
      <c r="S52">
        <f>HYPERLINK("https://klasma.github.io/Logging_0580/artfynd/A 38129-2021 artfynd.xlsx", "A 38129-2021")</f>
        <v/>
      </c>
      <c r="T52">
        <f>HYPERLINK("https://klasma.github.io/Logging_0580/kartor/A 38129-2021 karta.png", "A 38129-2021")</f>
        <v/>
      </c>
      <c r="V52">
        <f>HYPERLINK("https://klasma.github.io/Logging_0580/klagomål/A 38129-2021 FSC-klagomål.docx", "A 38129-2021")</f>
        <v/>
      </c>
      <c r="W52">
        <f>HYPERLINK("https://klasma.github.io/Logging_0580/klagomålsmail/A 38129-2021 FSC-klagomål mail.docx", "A 38129-2021")</f>
        <v/>
      </c>
      <c r="X52">
        <f>HYPERLINK("https://klasma.github.io/Logging_0580/tillsyn/A 38129-2021 tillsynsbegäran.docx", "A 38129-2021")</f>
        <v/>
      </c>
      <c r="Y52">
        <f>HYPERLINK("https://klasma.github.io/Logging_0580/tillsynsmail/A 38129-2021 tillsynsbegäran mail.docx", "A 38129-2021")</f>
        <v/>
      </c>
      <c r="Z52">
        <f>HYPERLINK("https://klasma.github.io/Logging_0580/fåglar/A 38129-2021 prioriterade fågelarter.docx", "A 38129-2021")</f>
        <v/>
      </c>
    </row>
    <row r="53" ht="15" customHeight="1">
      <c r="A53" t="inlineStr">
        <is>
          <t>A 46496-2022</t>
        </is>
      </c>
      <c r="B53" s="1" t="n">
        <v>44848</v>
      </c>
      <c r="C53" s="1" t="n">
        <v>46174</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17513-2022</t>
        </is>
      </c>
      <c r="B54" s="1" t="n">
        <v>44679</v>
      </c>
      <c r="C54" s="1" t="n">
        <v>46174</v>
      </c>
      <c r="D54" t="inlineStr">
        <is>
          <t>ÖSTERGÖTLANDS LÄN</t>
        </is>
      </c>
      <c r="E54" t="inlineStr">
        <is>
          <t>LINKÖPING</t>
        </is>
      </c>
      <c r="F54" t="inlineStr">
        <is>
          <t>Kommuner</t>
        </is>
      </c>
      <c r="G54" t="n">
        <v>1.6</v>
      </c>
      <c r="H54" t="n">
        <v>0</v>
      </c>
      <c r="I54" t="n">
        <v>0</v>
      </c>
      <c r="J54" t="n">
        <v>1</v>
      </c>
      <c r="K54" t="n">
        <v>0</v>
      </c>
      <c r="L54" t="n">
        <v>0</v>
      </c>
      <c r="M54" t="n">
        <v>0</v>
      </c>
      <c r="N54" t="n">
        <v>0</v>
      </c>
      <c r="O54" t="n">
        <v>1</v>
      </c>
      <c r="P54" t="n">
        <v>0</v>
      </c>
      <c r="Q54" t="n">
        <v>1</v>
      </c>
      <c r="R54" s="2" t="inlineStr">
        <is>
          <t>Sexfläckig bastardsvärmare</t>
        </is>
      </c>
      <c r="S54">
        <f>HYPERLINK("https://klasma.github.io/Logging_0580/artfynd/A 17513-2022 artfynd.xlsx", "A 17513-2022")</f>
        <v/>
      </c>
      <c r="T54">
        <f>HYPERLINK("https://klasma.github.io/Logging_0580/kartor/A 17513-2022 karta.png", "A 17513-2022")</f>
        <v/>
      </c>
      <c r="V54">
        <f>HYPERLINK("https://klasma.github.io/Logging_0580/klagomål/A 17513-2022 FSC-klagomål.docx", "A 17513-2022")</f>
        <v/>
      </c>
      <c r="W54">
        <f>HYPERLINK("https://klasma.github.io/Logging_0580/klagomålsmail/A 17513-2022 FSC-klagomål mail.docx", "A 17513-2022")</f>
        <v/>
      </c>
      <c r="X54">
        <f>HYPERLINK("https://klasma.github.io/Logging_0580/tillsyn/A 17513-2022 tillsynsbegäran.docx", "A 17513-2022")</f>
        <v/>
      </c>
      <c r="Y54">
        <f>HYPERLINK("https://klasma.github.io/Logging_0580/tillsynsmail/A 17513-2022 tillsynsbegäran mail.docx", "A 17513-2022")</f>
        <v/>
      </c>
    </row>
    <row r="55" ht="15" customHeight="1">
      <c r="A55" t="inlineStr">
        <is>
          <t>A 56250-2021</t>
        </is>
      </c>
      <c r="B55" s="1" t="n">
        <v>44479</v>
      </c>
      <c r="C55" s="1" t="n">
        <v>46174</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43017-2021</t>
        </is>
      </c>
      <c r="B56" s="1" t="n">
        <v>44431</v>
      </c>
      <c r="C56" s="1" t="n">
        <v>46174</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Apelsinticka</t>
        </is>
      </c>
      <c r="S56">
        <f>HYPERLINK("https://klasma.github.io/Logging_0580/artfynd/A 43017-2021 artfynd.xlsx", "A 43017-2021")</f>
        <v/>
      </c>
      <c r="T56">
        <f>HYPERLINK("https://klasma.github.io/Logging_0580/kartor/A 43017-2021 karta.png", "A 43017-2021")</f>
        <v/>
      </c>
      <c r="V56">
        <f>HYPERLINK("https://klasma.github.io/Logging_0580/klagomål/A 43017-2021 FSC-klagomål.docx", "A 43017-2021")</f>
        <v/>
      </c>
      <c r="W56">
        <f>HYPERLINK("https://klasma.github.io/Logging_0580/klagomålsmail/A 43017-2021 FSC-klagomål mail.docx", "A 43017-2021")</f>
        <v/>
      </c>
      <c r="X56">
        <f>HYPERLINK("https://klasma.github.io/Logging_0580/tillsyn/A 43017-2021 tillsynsbegäran.docx", "A 43017-2021")</f>
        <v/>
      </c>
      <c r="Y56">
        <f>HYPERLINK("https://klasma.github.io/Logging_0580/tillsynsmail/A 43017-2021 tillsynsbegäran mail.docx", "A 43017-2021")</f>
        <v/>
      </c>
    </row>
    <row r="57" ht="15" customHeight="1">
      <c r="A57" t="inlineStr">
        <is>
          <t>A 71127-2021</t>
        </is>
      </c>
      <c r="B57" s="1" t="n">
        <v>44537</v>
      </c>
      <c r="C57" s="1" t="n">
        <v>46174</v>
      </c>
      <c r="D57" t="inlineStr">
        <is>
          <t>ÖSTERGÖTLANDS LÄN</t>
        </is>
      </c>
      <c r="E57" t="inlineStr">
        <is>
          <t>LINKÖPING</t>
        </is>
      </c>
      <c r="F57" t="inlineStr">
        <is>
          <t>Kommuner</t>
        </is>
      </c>
      <c r="G57" t="n">
        <v>7.2</v>
      </c>
      <c r="H57" t="n">
        <v>0</v>
      </c>
      <c r="I57" t="n">
        <v>0</v>
      </c>
      <c r="J57" t="n">
        <v>1</v>
      </c>
      <c r="K57" t="n">
        <v>0</v>
      </c>
      <c r="L57" t="n">
        <v>0</v>
      </c>
      <c r="M57" t="n">
        <v>0</v>
      </c>
      <c r="N57" t="n">
        <v>0</v>
      </c>
      <c r="O57" t="n">
        <v>1</v>
      </c>
      <c r="P57" t="n">
        <v>0</v>
      </c>
      <c r="Q57" t="n">
        <v>1</v>
      </c>
      <c r="R57" s="2" t="inlineStr">
        <is>
          <t>Svinrot</t>
        </is>
      </c>
      <c r="S57">
        <f>HYPERLINK("https://klasma.github.io/Logging_0580/artfynd/A 71127-2021 artfynd.xlsx", "A 71127-2021")</f>
        <v/>
      </c>
      <c r="T57">
        <f>HYPERLINK("https://klasma.github.io/Logging_0580/kartor/A 71127-2021 karta.png", "A 71127-2021")</f>
        <v/>
      </c>
      <c r="V57">
        <f>HYPERLINK("https://klasma.github.io/Logging_0580/klagomål/A 71127-2021 FSC-klagomål.docx", "A 71127-2021")</f>
        <v/>
      </c>
      <c r="W57">
        <f>HYPERLINK("https://klasma.github.io/Logging_0580/klagomålsmail/A 71127-2021 FSC-klagomål mail.docx", "A 71127-2021")</f>
        <v/>
      </c>
      <c r="X57">
        <f>HYPERLINK("https://klasma.github.io/Logging_0580/tillsyn/A 71127-2021 tillsynsbegäran.docx", "A 71127-2021")</f>
        <v/>
      </c>
      <c r="Y57">
        <f>HYPERLINK("https://klasma.github.io/Logging_0580/tillsynsmail/A 71127-2021 tillsynsbegäran mail.docx", "A 71127-2021")</f>
        <v/>
      </c>
    </row>
    <row r="58" ht="15" customHeight="1">
      <c r="A58" t="inlineStr">
        <is>
          <t>A 126-2024</t>
        </is>
      </c>
      <c r="B58" s="1" t="n">
        <v>45294</v>
      </c>
      <c r="C58" s="1" t="n">
        <v>46174</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59948-2022</t>
        </is>
      </c>
      <c r="B59" s="1" t="n">
        <v>44909</v>
      </c>
      <c r="C59" s="1" t="n">
        <v>46174</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931-2025</t>
        </is>
      </c>
      <c r="B60" s="1" t="n">
        <v>45665.88498842593</v>
      </c>
      <c r="C60" s="1" t="n">
        <v>46174</v>
      </c>
      <c r="D60" t="inlineStr">
        <is>
          <t>ÖSTERGÖTLANDS LÄN</t>
        </is>
      </c>
      <c r="E60" t="inlineStr">
        <is>
          <t>LINKÖPING</t>
        </is>
      </c>
      <c r="F60" t="inlineStr">
        <is>
          <t>Övriga Aktiebolag</t>
        </is>
      </c>
      <c r="G60" t="n">
        <v>0.8</v>
      </c>
      <c r="H60" t="n">
        <v>0</v>
      </c>
      <c r="I60" t="n">
        <v>0</v>
      </c>
      <c r="J60" t="n">
        <v>1</v>
      </c>
      <c r="K60" t="n">
        <v>0</v>
      </c>
      <c r="L60" t="n">
        <v>0</v>
      </c>
      <c r="M60" t="n">
        <v>0</v>
      </c>
      <c r="N60" t="n">
        <v>0</v>
      </c>
      <c r="O60" t="n">
        <v>1</v>
      </c>
      <c r="P60" t="n">
        <v>0</v>
      </c>
      <c r="Q60" t="n">
        <v>1</v>
      </c>
      <c r="R60" s="2" t="inlineStr">
        <is>
          <t>Tallticka</t>
        </is>
      </c>
      <c r="S60">
        <f>HYPERLINK("https://klasma.github.io/Logging_0580/artfynd/A 931-2025 artfynd.xlsx", "A 931-2025")</f>
        <v/>
      </c>
      <c r="T60">
        <f>HYPERLINK("https://klasma.github.io/Logging_0580/kartor/A 931-2025 karta.png", "A 931-2025")</f>
        <v/>
      </c>
      <c r="V60">
        <f>HYPERLINK("https://klasma.github.io/Logging_0580/klagomål/A 931-2025 FSC-klagomål.docx", "A 931-2025")</f>
        <v/>
      </c>
      <c r="W60">
        <f>HYPERLINK("https://klasma.github.io/Logging_0580/klagomålsmail/A 931-2025 FSC-klagomål mail.docx", "A 931-2025")</f>
        <v/>
      </c>
      <c r="X60">
        <f>HYPERLINK("https://klasma.github.io/Logging_0580/tillsyn/A 931-2025 tillsynsbegäran.docx", "A 931-2025")</f>
        <v/>
      </c>
      <c r="Y60">
        <f>HYPERLINK("https://klasma.github.io/Logging_0580/tillsynsmail/A 931-2025 tillsynsbegäran mail.docx", "A 931-2025")</f>
        <v/>
      </c>
    </row>
    <row r="61" ht="15" customHeight="1">
      <c r="A61" t="inlineStr">
        <is>
          <t>A 1716-2023</t>
        </is>
      </c>
      <c r="B61" s="1" t="n">
        <v>44938</v>
      </c>
      <c r="C61" s="1" t="n">
        <v>46174</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1716-2023 artfynd.xlsx", "A 1716-2023")</f>
        <v/>
      </c>
      <c r="T61">
        <f>HYPERLINK("https://klasma.github.io/Logging_0580/kartor/A 1716-2023 karta.png", "A 1716-2023")</f>
        <v/>
      </c>
      <c r="V61">
        <f>HYPERLINK("https://klasma.github.io/Logging_0580/klagomål/A 1716-2023 FSC-klagomål.docx", "A 1716-2023")</f>
        <v/>
      </c>
      <c r="W61">
        <f>HYPERLINK("https://klasma.github.io/Logging_0580/klagomålsmail/A 1716-2023 FSC-klagomål mail.docx", "A 1716-2023")</f>
        <v/>
      </c>
      <c r="X61">
        <f>HYPERLINK("https://klasma.github.io/Logging_0580/tillsyn/A 1716-2023 tillsynsbegäran.docx", "A 1716-2023")</f>
        <v/>
      </c>
      <c r="Y61">
        <f>HYPERLINK("https://klasma.github.io/Logging_0580/tillsynsmail/A 1716-2023 tillsynsbegäran mail.docx", "A 1716-2023")</f>
        <v/>
      </c>
    </row>
    <row r="62" ht="15" customHeight="1">
      <c r="A62" t="inlineStr">
        <is>
          <t>A 1213-2023</t>
        </is>
      </c>
      <c r="B62" s="1" t="n">
        <v>44930</v>
      </c>
      <c r="C62" s="1" t="n">
        <v>46174</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45317-2023</t>
        </is>
      </c>
      <c r="B63" s="1" t="n">
        <v>45191.74868055555</v>
      </c>
      <c r="C63" s="1" t="n">
        <v>46174</v>
      </c>
      <c r="D63" t="inlineStr">
        <is>
          <t>ÖSTERGÖTLANDS LÄN</t>
        </is>
      </c>
      <c r="E63" t="inlineStr">
        <is>
          <t>LINKÖPING</t>
        </is>
      </c>
      <c r="F63" t="inlineStr">
        <is>
          <t>Allmännings- och besparingsskogar</t>
        </is>
      </c>
      <c r="G63" t="n">
        <v>29.3</v>
      </c>
      <c r="H63" t="n">
        <v>0</v>
      </c>
      <c r="I63" t="n">
        <v>0</v>
      </c>
      <c r="J63" t="n">
        <v>1</v>
      </c>
      <c r="K63" t="n">
        <v>0</v>
      </c>
      <c r="L63" t="n">
        <v>0</v>
      </c>
      <c r="M63" t="n">
        <v>0</v>
      </c>
      <c r="N63" t="n">
        <v>0</v>
      </c>
      <c r="O63" t="n">
        <v>1</v>
      </c>
      <c r="P63" t="n">
        <v>0</v>
      </c>
      <c r="Q63" t="n">
        <v>1</v>
      </c>
      <c r="R63" s="2" t="inlineStr">
        <is>
          <t>Svinrot</t>
        </is>
      </c>
      <c r="S63">
        <f>HYPERLINK("https://klasma.github.io/Logging_0580/artfynd/A 45317-2023 artfynd.xlsx", "A 45317-2023")</f>
        <v/>
      </c>
      <c r="T63">
        <f>HYPERLINK("https://klasma.github.io/Logging_0580/kartor/A 45317-2023 karta.png", "A 45317-2023")</f>
        <v/>
      </c>
      <c r="V63">
        <f>HYPERLINK("https://klasma.github.io/Logging_0580/klagomål/A 45317-2023 FSC-klagomål.docx", "A 45317-2023")</f>
        <v/>
      </c>
      <c r="W63">
        <f>HYPERLINK("https://klasma.github.io/Logging_0580/klagomålsmail/A 45317-2023 FSC-klagomål mail.docx", "A 45317-2023")</f>
        <v/>
      </c>
      <c r="X63">
        <f>HYPERLINK("https://klasma.github.io/Logging_0580/tillsyn/A 45317-2023 tillsynsbegäran.docx", "A 45317-2023")</f>
        <v/>
      </c>
      <c r="Y63">
        <f>HYPERLINK("https://klasma.github.io/Logging_0580/tillsynsmail/A 45317-2023 tillsynsbegäran mail.docx", "A 45317-2023")</f>
        <v/>
      </c>
    </row>
    <row r="64" ht="15" customHeight="1">
      <c r="A64" t="inlineStr">
        <is>
          <t>A 20295-2025</t>
        </is>
      </c>
      <c r="B64" s="1" t="n">
        <v>45774.74846064814</v>
      </c>
      <c r="C64" s="1" t="n">
        <v>46174</v>
      </c>
      <c r="D64" t="inlineStr">
        <is>
          <t>ÖSTERGÖTLANDS LÄN</t>
        </is>
      </c>
      <c r="E64" t="inlineStr">
        <is>
          <t>LINKÖPING</t>
        </is>
      </c>
      <c r="G64" t="n">
        <v>3</v>
      </c>
      <c r="H64" t="n">
        <v>0</v>
      </c>
      <c r="I64" t="n">
        <v>0</v>
      </c>
      <c r="J64" t="n">
        <v>1</v>
      </c>
      <c r="K64" t="n">
        <v>0</v>
      </c>
      <c r="L64" t="n">
        <v>0</v>
      </c>
      <c r="M64" t="n">
        <v>0</v>
      </c>
      <c r="N64" t="n">
        <v>0</v>
      </c>
      <c r="O64" t="n">
        <v>1</v>
      </c>
      <c r="P64" t="n">
        <v>0</v>
      </c>
      <c r="Q64" t="n">
        <v>1</v>
      </c>
      <c r="R64" s="2" t="inlineStr">
        <is>
          <t>Tallticka</t>
        </is>
      </c>
      <c r="S64">
        <f>HYPERLINK("https://klasma.github.io/Logging_0580/artfynd/A 20295-2025 artfynd.xlsx", "A 20295-2025")</f>
        <v/>
      </c>
      <c r="T64">
        <f>HYPERLINK("https://klasma.github.io/Logging_0580/kartor/A 20295-2025 karta.png", "A 20295-2025")</f>
        <v/>
      </c>
      <c r="V64">
        <f>HYPERLINK("https://klasma.github.io/Logging_0580/klagomål/A 20295-2025 FSC-klagomål.docx", "A 20295-2025")</f>
        <v/>
      </c>
      <c r="W64">
        <f>HYPERLINK("https://klasma.github.io/Logging_0580/klagomålsmail/A 20295-2025 FSC-klagomål mail.docx", "A 20295-2025")</f>
        <v/>
      </c>
      <c r="X64">
        <f>HYPERLINK("https://klasma.github.io/Logging_0580/tillsyn/A 20295-2025 tillsynsbegäran.docx", "A 20295-2025")</f>
        <v/>
      </c>
      <c r="Y64">
        <f>HYPERLINK("https://klasma.github.io/Logging_0580/tillsynsmail/A 20295-2025 tillsynsbegäran mail.docx", "A 20295-2025")</f>
        <v/>
      </c>
    </row>
    <row r="65" ht="15" customHeight="1">
      <c r="A65" t="inlineStr">
        <is>
          <t>A 37683-2024</t>
        </is>
      </c>
      <c r="B65" s="1" t="n">
        <v>45541.59120370371</v>
      </c>
      <c r="C65" s="1" t="n">
        <v>46174</v>
      </c>
      <c r="D65" t="inlineStr">
        <is>
          <t>ÖSTERGÖTLANDS LÄN</t>
        </is>
      </c>
      <c r="E65" t="inlineStr">
        <is>
          <t>LINKÖPING</t>
        </is>
      </c>
      <c r="G65" t="n">
        <v>0.6</v>
      </c>
      <c r="H65" t="n">
        <v>0</v>
      </c>
      <c r="I65" t="n">
        <v>1</v>
      </c>
      <c r="J65" t="n">
        <v>0</v>
      </c>
      <c r="K65" t="n">
        <v>0</v>
      </c>
      <c r="L65" t="n">
        <v>0</v>
      </c>
      <c r="M65" t="n">
        <v>0</v>
      </c>
      <c r="N65" t="n">
        <v>0</v>
      </c>
      <c r="O65" t="n">
        <v>0</v>
      </c>
      <c r="P65" t="n">
        <v>0</v>
      </c>
      <c r="Q65" t="n">
        <v>1</v>
      </c>
      <c r="R65" s="2" t="inlineStr">
        <is>
          <t>Tibast</t>
        </is>
      </c>
      <c r="S65">
        <f>HYPERLINK("https://klasma.github.io/Logging_0580/artfynd/A 37683-2024 artfynd.xlsx", "A 37683-2024")</f>
        <v/>
      </c>
      <c r="T65">
        <f>HYPERLINK("https://klasma.github.io/Logging_0580/kartor/A 37683-2024 karta.png", "A 37683-2024")</f>
        <v/>
      </c>
      <c r="V65">
        <f>HYPERLINK("https://klasma.github.io/Logging_0580/klagomål/A 37683-2024 FSC-klagomål.docx", "A 37683-2024")</f>
        <v/>
      </c>
      <c r="W65">
        <f>HYPERLINK("https://klasma.github.io/Logging_0580/klagomålsmail/A 37683-2024 FSC-klagomål mail.docx", "A 37683-2024")</f>
        <v/>
      </c>
      <c r="X65">
        <f>HYPERLINK("https://klasma.github.io/Logging_0580/tillsyn/A 37683-2024 tillsynsbegäran.docx", "A 37683-2024")</f>
        <v/>
      </c>
      <c r="Y65">
        <f>HYPERLINK("https://klasma.github.io/Logging_0580/tillsynsmail/A 37683-2024 tillsynsbegäran mail.docx", "A 37683-2024")</f>
        <v/>
      </c>
    </row>
    <row r="66" ht="15" customHeight="1">
      <c r="A66" t="inlineStr">
        <is>
          <t>A 22526-2025</t>
        </is>
      </c>
      <c r="B66" s="1" t="n">
        <v>45786.78096064815</v>
      </c>
      <c r="C66" s="1" t="n">
        <v>46174</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56651-2023</t>
        </is>
      </c>
      <c r="B67" s="1" t="n">
        <v>45243</v>
      </c>
      <c r="C67" s="1" t="n">
        <v>46174</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17444-2025</t>
        </is>
      </c>
      <c r="B68" s="1" t="n">
        <v>45757.43452546297</v>
      </c>
      <c r="C68" s="1" t="n">
        <v>46174</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42054-2022</t>
        </is>
      </c>
      <c r="B69" s="1" t="n">
        <v>44830</v>
      </c>
      <c r="C69" s="1" t="n">
        <v>46174</v>
      </c>
      <c r="D69" t="inlineStr">
        <is>
          <t>ÖSTERGÖTLANDS LÄN</t>
        </is>
      </c>
      <c r="E69" t="inlineStr">
        <is>
          <t>LINKÖPING</t>
        </is>
      </c>
      <c r="G69" t="n">
        <v>1.7</v>
      </c>
      <c r="H69" t="n">
        <v>0</v>
      </c>
      <c r="I69" t="n">
        <v>0</v>
      </c>
      <c r="J69" t="n">
        <v>1</v>
      </c>
      <c r="K69" t="n">
        <v>0</v>
      </c>
      <c r="L69" t="n">
        <v>0</v>
      </c>
      <c r="M69" t="n">
        <v>0</v>
      </c>
      <c r="N69" t="n">
        <v>0</v>
      </c>
      <c r="O69" t="n">
        <v>1</v>
      </c>
      <c r="P69" t="n">
        <v>0</v>
      </c>
      <c r="Q69" t="n">
        <v>1</v>
      </c>
      <c r="R69" s="2" t="inlineStr">
        <is>
          <t>Tallticka</t>
        </is>
      </c>
      <c r="S69">
        <f>HYPERLINK("https://klasma.github.io/Logging_0580/artfynd/A 42054-2022 artfynd.xlsx", "A 42054-2022")</f>
        <v/>
      </c>
      <c r="T69">
        <f>HYPERLINK("https://klasma.github.io/Logging_0580/kartor/A 42054-2022 karta.png", "A 42054-2022")</f>
        <v/>
      </c>
      <c r="V69">
        <f>HYPERLINK("https://klasma.github.io/Logging_0580/klagomål/A 42054-2022 FSC-klagomål.docx", "A 42054-2022")</f>
        <v/>
      </c>
      <c r="W69">
        <f>HYPERLINK("https://klasma.github.io/Logging_0580/klagomålsmail/A 42054-2022 FSC-klagomål mail.docx", "A 42054-2022")</f>
        <v/>
      </c>
      <c r="X69">
        <f>HYPERLINK("https://klasma.github.io/Logging_0580/tillsyn/A 42054-2022 tillsynsbegäran.docx", "A 42054-2022")</f>
        <v/>
      </c>
      <c r="Y69">
        <f>HYPERLINK("https://klasma.github.io/Logging_0580/tillsynsmail/A 42054-2022 tillsynsbegäran mail.docx", "A 42054-2022")</f>
        <v/>
      </c>
    </row>
    <row r="70" ht="15" customHeight="1">
      <c r="A70" t="inlineStr">
        <is>
          <t>A 60573-2021</t>
        </is>
      </c>
      <c r="B70" s="1" t="n">
        <v>44496</v>
      </c>
      <c r="C70" s="1" t="n">
        <v>46174</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5911-2022</t>
        </is>
      </c>
      <c r="B71" s="1" t="n">
        <v>44597</v>
      </c>
      <c r="C71" s="1" t="n">
        <v>46174</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90-2024</t>
        </is>
      </c>
      <c r="B72" s="1" t="n">
        <v>45293</v>
      </c>
      <c r="C72" s="1" t="n">
        <v>46174</v>
      </c>
      <c r="D72" t="inlineStr">
        <is>
          <t>ÖSTERGÖTLANDS LÄN</t>
        </is>
      </c>
      <c r="E72" t="inlineStr">
        <is>
          <t>LINKÖPING</t>
        </is>
      </c>
      <c r="G72" t="n">
        <v>1.8</v>
      </c>
      <c r="H72" t="n">
        <v>0</v>
      </c>
      <c r="I72" t="n">
        <v>1</v>
      </c>
      <c r="J72" t="n">
        <v>0</v>
      </c>
      <c r="K72" t="n">
        <v>0</v>
      </c>
      <c r="L72" t="n">
        <v>0</v>
      </c>
      <c r="M72" t="n">
        <v>0</v>
      </c>
      <c r="N72" t="n">
        <v>0</v>
      </c>
      <c r="O72" t="n">
        <v>0</v>
      </c>
      <c r="P72" t="n">
        <v>0</v>
      </c>
      <c r="Q72" t="n">
        <v>1</v>
      </c>
      <c r="R72" s="2" t="inlineStr">
        <is>
          <t>Grov fjädermossa</t>
        </is>
      </c>
      <c r="S72">
        <f>HYPERLINK("https://klasma.github.io/Logging_0580/artfynd/A 90-2024 artfynd.xlsx", "A 90-2024")</f>
        <v/>
      </c>
      <c r="T72">
        <f>HYPERLINK("https://klasma.github.io/Logging_0580/kartor/A 90-2024 karta.png", "A 90-2024")</f>
        <v/>
      </c>
      <c r="V72">
        <f>HYPERLINK("https://klasma.github.io/Logging_0580/klagomål/A 90-2024 FSC-klagomål.docx", "A 90-2024")</f>
        <v/>
      </c>
      <c r="W72">
        <f>HYPERLINK("https://klasma.github.io/Logging_0580/klagomålsmail/A 90-2024 FSC-klagomål mail.docx", "A 90-2024")</f>
        <v/>
      </c>
      <c r="X72">
        <f>HYPERLINK("https://klasma.github.io/Logging_0580/tillsyn/A 90-2024 tillsynsbegäran.docx", "A 90-2024")</f>
        <v/>
      </c>
      <c r="Y72">
        <f>HYPERLINK("https://klasma.github.io/Logging_0580/tillsynsmail/A 90-2024 tillsynsbegäran mail.docx", "A 90-2024")</f>
        <v/>
      </c>
    </row>
    <row r="73" ht="15" customHeight="1">
      <c r="A73" t="inlineStr">
        <is>
          <t>A 43989-2025</t>
        </is>
      </c>
      <c r="B73" s="1" t="n">
        <v>45915.44128472222</v>
      </c>
      <c r="C73" s="1" t="n">
        <v>46174</v>
      </c>
      <c r="D73" t="inlineStr">
        <is>
          <t>ÖSTERGÖTLANDS LÄN</t>
        </is>
      </c>
      <c r="E73" t="inlineStr">
        <is>
          <t>LINKÖPING</t>
        </is>
      </c>
      <c r="F73" t="inlineStr">
        <is>
          <t>Allmännings- och besparingsskogar</t>
        </is>
      </c>
      <c r="G73" t="n">
        <v>3.5</v>
      </c>
      <c r="H73" t="n">
        <v>0</v>
      </c>
      <c r="I73" t="n">
        <v>0</v>
      </c>
      <c r="J73" t="n">
        <v>1</v>
      </c>
      <c r="K73" t="n">
        <v>0</v>
      </c>
      <c r="L73" t="n">
        <v>0</v>
      </c>
      <c r="M73" t="n">
        <v>0</v>
      </c>
      <c r="N73" t="n">
        <v>0</v>
      </c>
      <c r="O73" t="n">
        <v>1</v>
      </c>
      <c r="P73" t="n">
        <v>0</v>
      </c>
      <c r="Q73" t="n">
        <v>1</v>
      </c>
      <c r="R73" s="2" t="inlineStr">
        <is>
          <t>Kavelhirs</t>
        </is>
      </c>
      <c r="S73">
        <f>HYPERLINK("https://klasma.github.io/Logging_0580/artfynd/A 43989-2025 artfynd.xlsx", "A 43989-2025")</f>
        <v/>
      </c>
      <c r="T73">
        <f>HYPERLINK("https://klasma.github.io/Logging_0580/kartor/A 43989-2025 karta.png", "A 43989-2025")</f>
        <v/>
      </c>
      <c r="V73">
        <f>HYPERLINK("https://klasma.github.io/Logging_0580/klagomål/A 43989-2025 FSC-klagomål.docx", "A 43989-2025")</f>
        <v/>
      </c>
      <c r="W73">
        <f>HYPERLINK("https://klasma.github.io/Logging_0580/klagomålsmail/A 43989-2025 FSC-klagomål mail.docx", "A 43989-2025")</f>
        <v/>
      </c>
      <c r="X73">
        <f>HYPERLINK("https://klasma.github.io/Logging_0580/tillsyn/A 43989-2025 tillsynsbegäran.docx", "A 43989-2025")</f>
        <v/>
      </c>
      <c r="Y73">
        <f>HYPERLINK("https://klasma.github.io/Logging_0580/tillsynsmail/A 43989-2025 tillsynsbegäran mail.docx", "A 43989-2025")</f>
        <v/>
      </c>
    </row>
    <row r="74" ht="15" customHeight="1">
      <c r="A74" t="inlineStr">
        <is>
          <t>A 40315-2024</t>
        </is>
      </c>
      <c r="B74" s="1" t="n">
        <v>45554.7571875</v>
      </c>
      <c r="C74" s="1" t="n">
        <v>46174</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3395-2023</t>
        </is>
      </c>
      <c r="B75" s="1" t="n">
        <v>44949</v>
      </c>
      <c r="C75" s="1" t="n">
        <v>46174</v>
      </c>
      <c r="D75" t="inlineStr">
        <is>
          <t>ÖSTERGÖTLANDS LÄN</t>
        </is>
      </c>
      <c r="E75" t="inlineStr">
        <is>
          <t>LINKÖPING</t>
        </is>
      </c>
      <c r="G75" t="n">
        <v>2</v>
      </c>
      <c r="H75" t="n">
        <v>0</v>
      </c>
      <c r="I75" t="n">
        <v>0</v>
      </c>
      <c r="J75" t="n">
        <v>1</v>
      </c>
      <c r="K75" t="n">
        <v>0</v>
      </c>
      <c r="L75" t="n">
        <v>0</v>
      </c>
      <c r="M75" t="n">
        <v>0</v>
      </c>
      <c r="N75" t="n">
        <v>0</v>
      </c>
      <c r="O75" t="n">
        <v>1</v>
      </c>
      <c r="P75" t="n">
        <v>0</v>
      </c>
      <c r="Q75" t="n">
        <v>1</v>
      </c>
      <c r="R75" s="2" t="inlineStr">
        <is>
          <t>Sommarfibbla</t>
        </is>
      </c>
      <c r="S75">
        <f>HYPERLINK("https://klasma.github.io/Logging_0580/artfynd/A 3395-2023 artfynd.xlsx", "A 3395-2023")</f>
        <v/>
      </c>
      <c r="T75">
        <f>HYPERLINK("https://klasma.github.io/Logging_0580/kartor/A 3395-2023 karta.png", "A 3395-2023")</f>
        <v/>
      </c>
      <c r="V75">
        <f>HYPERLINK("https://klasma.github.io/Logging_0580/klagomål/A 3395-2023 FSC-klagomål.docx", "A 3395-2023")</f>
        <v/>
      </c>
      <c r="W75">
        <f>HYPERLINK("https://klasma.github.io/Logging_0580/klagomålsmail/A 3395-2023 FSC-klagomål mail.docx", "A 3395-2023")</f>
        <v/>
      </c>
      <c r="X75">
        <f>HYPERLINK("https://klasma.github.io/Logging_0580/tillsyn/A 3395-2023 tillsynsbegäran.docx", "A 3395-2023")</f>
        <v/>
      </c>
      <c r="Y75">
        <f>HYPERLINK("https://klasma.github.io/Logging_0580/tillsynsmail/A 3395-2023 tillsynsbegäran mail.docx", "A 3395-2023")</f>
        <v/>
      </c>
    </row>
    <row r="76" ht="15" customHeight="1">
      <c r="A76" t="inlineStr">
        <is>
          <t>A 44760-2025</t>
        </is>
      </c>
      <c r="B76" s="1" t="n">
        <v>45917.71873842592</v>
      </c>
      <c r="C76" s="1" t="n">
        <v>46174</v>
      </c>
      <c r="D76" t="inlineStr">
        <is>
          <t>ÖSTERGÖTLANDS LÄN</t>
        </is>
      </c>
      <c r="E76" t="inlineStr">
        <is>
          <t>LINKÖPING</t>
        </is>
      </c>
      <c r="G76" t="n">
        <v>0.9</v>
      </c>
      <c r="H76" t="n">
        <v>0</v>
      </c>
      <c r="I76" t="n">
        <v>0</v>
      </c>
      <c r="J76" t="n">
        <v>1</v>
      </c>
      <c r="K76" t="n">
        <v>0</v>
      </c>
      <c r="L76" t="n">
        <v>0</v>
      </c>
      <c r="M76" t="n">
        <v>0</v>
      </c>
      <c r="N76" t="n">
        <v>0</v>
      </c>
      <c r="O76" t="n">
        <v>1</v>
      </c>
      <c r="P76" t="n">
        <v>0</v>
      </c>
      <c r="Q76" t="n">
        <v>1</v>
      </c>
      <c r="R76" s="2" t="inlineStr">
        <is>
          <t>Tallticka</t>
        </is>
      </c>
      <c r="S76">
        <f>HYPERLINK("https://klasma.github.io/Logging_0580/artfynd/A 44760-2025 artfynd.xlsx", "A 44760-2025")</f>
        <v/>
      </c>
      <c r="T76">
        <f>HYPERLINK("https://klasma.github.io/Logging_0580/kartor/A 44760-2025 karta.png", "A 44760-2025")</f>
        <v/>
      </c>
      <c r="V76">
        <f>HYPERLINK("https://klasma.github.io/Logging_0580/klagomål/A 44760-2025 FSC-klagomål.docx", "A 44760-2025")</f>
        <v/>
      </c>
      <c r="W76">
        <f>HYPERLINK("https://klasma.github.io/Logging_0580/klagomålsmail/A 44760-2025 FSC-klagomål mail.docx", "A 44760-2025")</f>
        <v/>
      </c>
      <c r="X76">
        <f>HYPERLINK("https://klasma.github.io/Logging_0580/tillsyn/A 44760-2025 tillsynsbegäran.docx", "A 44760-2025")</f>
        <v/>
      </c>
      <c r="Y76">
        <f>HYPERLINK("https://klasma.github.io/Logging_0580/tillsynsmail/A 44760-2025 tillsynsbegäran mail.docx", "A 44760-2025")</f>
        <v/>
      </c>
    </row>
    <row r="77" ht="15" customHeight="1">
      <c r="A77" t="inlineStr">
        <is>
          <t>A 50806-2023</t>
        </is>
      </c>
      <c r="B77" s="1" t="n">
        <v>45217</v>
      </c>
      <c r="C77" s="1" t="n">
        <v>46174</v>
      </c>
      <c r="D77" t="inlineStr">
        <is>
          <t>ÖSTERGÖTLANDS LÄN</t>
        </is>
      </c>
      <c r="E77" t="inlineStr">
        <is>
          <t>LINKÖPING</t>
        </is>
      </c>
      <c r="F77" t="inlineStr">
        <is>
          <t>Övriga Aktiebolag</t>
        </is>
      </c>
      <c r="G77" t="n">
        <v>0.7</v>
      </c>
      <c r="H77" t="n">
        <v>1</v>
      </c>
      <c r="I77" t="n">
        <v>0</v>
      </c>
      <c r="J77" t="n">
        <v>0</v>
      </c>
      <c r="K77" t="n">
        <v>0</v>
      </c>
      <c r="L77" t="n">
        <v>0</v>
      </c>
      <c r="M77" t="n">
        <v>0</v>
      </c>
      <c r="N77" t="n">
        <v>0</v>
      </c>
      <c r="O77" t="n">
        <v>0</v>
      </c>
      <c r="P77" t="n">
        <v>0</v>
      </c>
      <c r="Q77" t="n">
        <v>1</v>
      </c>
      <c r="R77" s="2" t="inlineStr">
        <is>
          <t>Gullviva</t>
        </is>
      </c>
      <c r="S77">
        <f>HYPERLINK("https://klasma.github.io/Logging_0580/artfynd/A 50806-2023 artfynd.xlsx", "A 50806-2023")</f>
        <v/>
      </c>
      <c r="T77">
        <f>HYPERLINK("https://klasma.github.io/Logging_0580/kartor/A 50806-2023 karta.png", "A 50806-2023")</f>
        <v/>
      </c>
      <c r="V77">
        <f>HYPERLINK("https://klasma.github.io/Logging_0580/klagomål/A 50806-2023 FSC-klagomål.docx", "A 50806-2023")</f>
        <v/>
      </c>
      <c r="W77">
        <f>HYPERLINK("https://klasma.github.io/Logging_0580/klagomålsmail/A 50806-2023 FSC-klagomål mail.docx", "A 50806-2023")</f>
        <v/>
      </c>
      <c r="X77">
        <f>HYPERLINK("https://klasma.github.io/Logging_0580/tillsyn/A 50806-2023 tillsynsbegäran.docx", "A 50806-2023")</f>
        <v/>
      </c>
      <c r="Y77">
        <f>HYPERLINK("https://klasma.github.io/Logging_0580/tillsynsmail/A 50806-2023 tillsynsbegäran mail.docx", "A 50806-2023")</f>
        <v/>
      </c>
    </row>
    <row r="78" ht="15" customHeight="1">
      <c r="A78" t="inlineStr">
        <is>
          <t>A 48347-2025</t>
        </is>
      </c>
      <c r="B78" s="1" t="n">
        <v>45932</v>
      </c>
      <c r="C78" s="1" t="n">
        <v>46174</v>
      </c>
      <c r="D78" t="inlineStr">
        <is>
          <t>ÖSTERGÖTLANDS LÄN</t>
        </is>
      </c>
      <c r="E78" t="inlineStr">
        <is>
          <t>LINKÖPING</t>
        </is>
      </c>
      <c r="F78" t="inlineStr">
        <is>
          <t>Övriga Aktiebolag</t>
        </is>
      </c>
      <c r="G78" t="n">
        <v>0.9</v>
      </c>
      <c r="H78" t="n">
        <v>0</v>
      </c>
      <c r="I78" t="n">
        <v>0</v>
      </c>
      <c r="J78" t="n">
        <v>1</v>
      </c>
      <c r="K78" t="n">
        <v>0</v>
      </c>
      <c r="L78" t="n">
        <v>0</v>
      </c>
      <c r="M78" t="n">
        <v>0</v>
      </c>
      <c r="N78" t="n">
        <v>0</v>
      </c>
      <c r="O78" t="n">
        <v>1</v>
      </c>
      <c r="P78" t="n">
        <v>0</v>
      </c>
      <c r="Q78" t="n">
        <v>1</v>
      </c>
      <c r="R78" s="2" t="inlineStr">
        <is>
          <t>Igelkott</t>
        </is>
      </c>
      <c r="S78">
        <f>HYPERLINK("https://klasma.github.io/Logging_0580/artfynd/A 48347-2025 artfynd.xlsx", "A 48347-2025")</f>
        <v/>
      </c>
      <c r="T78">
        <f>HYPERLINK("https://klasma.github.io/Logging_0580/kartor/A 48347-2025 karta.png", "A 48347-2025")</f>
        <v/>
      </c>
      <c r="V78">
        <f>HYPERLINK("https://klasma.github.io/Logging_0580/klagomål/A 48347-2025 FSC-klagomål.docx", "A 48347-2025")</f>
        <v/>
      </c>
      <c r="W78">
        <f>HYPERLINK("https://klasma.github.io/Logging_0580/klagomålsmail/A 48347-2025 FSC-klagomål mail.docx", "A 48347-2025")</f>
        <v/>
      </c>
      <c r="X78">
        <f>HYPERLINK("https://klasma.github.io/Logging_0580/tillsyn/A 48347-2025 tillsynsbegäran.docx", "A 48347-2025")</f>
        <v/>
      </c>
      <c r="Y78">
        <f>HYPERLINK("https://klasma.github.io/Logging_0580/tillsynsmail/A 48347-2025 tillsynsbegäran mail.docx", "A 48347-2025")</f>
        <v/>
      </c>
    </row>
    <row r="79" ht="15" customHeight="1">
      <c r="A79" t="inlineStr">
        <is>
          <t>A 15290-2025</t>
        </is>
      </c>
      <c r="B79" s="1" t="n">
        <v>45745.45288194445</v>
      </c>
      <c r="C79" s="1" t="n">
        <v>46174</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48353-2025</t>
        </is>
      </c>
      <c r="B80" s="1" t="n">
        <v>45932</v>
      </c>
      <c r="C80" s="1" t="n">
        <v>46174</v>
      </c>
      <c r="D80" t="inlineStr">
        <is>
          <t>ÖSTERGÖTLANDS LÄN</t>
        </is>
      </c>
      <c r="E80" t="inlineStr">
        <is>
          <t>LINKÖPING</t>
        </is>
      </c>
      <c r="F80" t="inlineStr">
        <is>
          <t>Övriga Aktiebolag</t>
        </is>
      </c>
      <c r="G80" t="n">
        <v>4.5</v>
      </c>
      <c r="H80" t="n">
        <v>1</v>
      </c>
      <c r="I80" t="n">
        <v>0</v>
      </c>
      <c r="J80" t="n">
        <v>1</v>
      </c>
      <c r="K80" t="n">
        <v>0</v>
      </c>
      <c r="L80" t="n">
        <v>0</v>
      </c>
      <c r="M80" t="n">
        <v>0</v>
      </c>
      <c r="N80" t="n">
        <v>0</v>
      </c>
      <c r="O80" t="n">
        <v>1</v>
      </c>
      <c r="P80" t="n">
        <v>0</v>
      </c>
      <c r="Q80" t="n">
        <v>1</v>
      </c>
      <c r="R80" s="2" t="inlineStr">
        <is>
          <t>Entita</t>
        </is>
      </c>
      <c r="S80">
        <f>HYPERLINK("https://klasma.github.io/Logging_0580/artfynd/A 48353-2025 artfynd.xlsx", "A 48353-2025")</f>
        <v/>
      </c>
      <c r="T80">
        <f>HYPERLINK("https://klasma.github.io/Logging_0580/kartor/A 48353-2025 karta.png", "A 48353-2025")</f>
        <v/>
      </c>
      <c r="V80">
        <f>HYPERLINK("https://klasma.github.io/Logging_0580/klagomål/A 48353-2025 FSC-klagomål.docx", "A 48353-2025")</f>
        <v/>
      </c>
      <c r="W80">
        <f>HYPERLINK("https://klasma.github.io/Logging_0580/klagomålsmail/A 48353-2025 FSC-klagomål mail.docx", "A 48353-2025")</f>
        <v/>
      </c>
      <c r="X80">
        <f>HYPERLINK("https://klasma.github.io/Logging_0580/tillsyn/A 48353-2025 tillsynsbegäran.docx", "A 48353-2025")</f>
        <v/>
      </c>
      <c r="Y80">
        <f>HYPERLINK("https://klasma.github.io/Logging_0580/tillsynsmail/A 48353-2025 tillsynsbegäran mail.docx", "A 48353-2025")</f>
        <v/>
      </c>
      <c r="Z80">
        <f>HYPERLINK("https://klasma.github.io/Logging_0580/fåglar/A 48353-2025 prioriterade fågelarter.docx", "A 48353-2025")</f>
        <v/>
      </c>
    </row>
    <row r="81" ht="15" customHeight="1">
      <c r="A81" t="inlineStr">
        <is>
          <t>A 48273-2025</t>
        </is>
      </c>
      <c r="B81" s="1" t="n">
        <v>45932</v>
      </c>
      <c r="C81" s="1" t="n">
        <v>46174</v>
      </c>
      <c r="D81" t="inlineStr">
        <is>
          <t>ÖSTERGÖTLANDS LÄN</t>
        </is>
      </c>
      <c r="E81" t="inlineStr">
        <is>
          <t>LINKÖPING</t>
        </is>
      </c>
      <c r="F81" t="inlineStr">
        <is>
          <t>Övriga Aktiebolag</t>
        </is>
      </c>
      <c r="G81" t="n">
        <v>4.6</v>
      </c>
      <c r="H81" t="n">
        <v>0</v>
      </c>
      <c r="I81" t="n">
        <v>0</v>
      </c>
      <c r="J81" t="n">
        <v>1</v>
      </c>
      <c r="K81" t="n">
        <v>0</v>
      </c>
      <c r="L81" t="n">
        <v>0</v>
      </c>
      <c r="M81" t="n">
        <v>0</v>
      </c>
      <c r="N81" t="n">
        <v>0</v>
      </c>
      <c r="O81" t="n">
        <v>1</v>
      </c>
      <c r="P81" t="n">
        <v>0</v>
      </c>
      <c r="Q81" t="n">
        <v>1</v>
      </c>
      <c r="R81" s="2" t="inlineStr">
        <is>
          <t>Barrviolspindling</t>
        </is>
      </c>
      <c r="S81">
        <f>HYPERLINK("https://klasma.github.io/Logging_0580/artfynd/A 48273-2025 artfynd.xlsx", "A 48273-2025")</f>
        <v/>
      </c>
      <c r="T81">
        <f>HYPERLINK("https://klasma.github.io/Logging_0580/kartor/A 48273-2025 karta.png", "A 48273-2025")</f>
        <v/>
      </c>
      <c r="V81">
        <f>HYPERLINK("https://klasma.github.io/Logging_0580/klagomål/A 48273-2025 FSC-klagomål.docx", "A 48273-2025")</f>
        <v/>
      </c>
      <c r="W81">
        <f>HYPERLINK("https://klasma.github.io/Logging_0580/klagomålsmail/A 48273-2025 FSC-klagomål mail.docx", "A 48273-2025")</f>
        <v/>
      </c>
      <c r="X81">
        <f>HYPERLINK("https://klasma.github.io/Logging_0580/tillsyn/A 48273-2025 tillsynsbegäran.docx", "A 48273-2025")</f>
        <v/>
      </c>
      <c r="Y81">
        <f>HYPERLINK("https://klasma.github.io/Logging_0580/tillsynsmail/A 48273-2025 tillsynsbegäran mail.docx", "A 48273-2025")</f>
        <v/>
      </c>
    </row>
    <row r="82" ht="15" customHeight="1">
      <c r="A82" t="inlineStr">
        <is>
          <t>A 48298-2025</t>
        </is>
      </c>
      <c r="B82" s="1" t="n">
        <v>45932</v>
      </c>
      <c r="C82" s="1" t="n">
        <v>46174</v>
      </c>
      <c r="D82" t="inlineStr">
        <is>
          <t>ÖSTERGÖTLANDS LÄN</t>
        </is>
      </c>
      <c r="E82" t="inlineStr">
        <is>
          <t>LINKÖPING</t>
        </is>
      </c>
      <c r="F82" t="inlineStr">
        <is>
          <t>Övriga Aktiebolag</t>
        </is>
      </c>
      <c r="G82" t="n">
        <v>1.7</v>
      </c>
      <c r="H82" t="n">
        <v>0</v>
      </c>
      <c r="I82" t="n">
        <v>1</v>
      </c>
      <c r="J82" t="n">
        <v>0</v>
      </c>
      <c r="K82" t="n">
        <v>0</v>
      </c>
      <c r="L82" t="n">
        <v>0</v>
      </c>
      <c r="M82" t="n">
        <v>0</v>
      </c>
      <c r="N82" t="n">
        <v>0</v>
      </c>
      <c r="O82" t="n">
        <v>0</v>
      </c>
      <c r="P82" t="n">
        <v>0</v>
      </c>
      <c r="Q82" t="n">
        <v>1</v>
      </c>
      <c r="R82" s="2" t="inlineStr">
        <is>
          <t>Västlig hakmossa</t>
        </is>
      </c>
      <c r="S82">
        <f>HYPERLINK("https://klasma.github.io/Logging_0580/artfynd/A 48298-2025 artfynd.xlsx", "A 48298-2025")</f>
        <v/>
      </c>
      <c r="T82">
        <f>HYPERLINK("https://klasma.github.io/Logging_0580/kartor/A 48298-2025 karta.png", "A 48298-2025")</f>
        <v/>
      </c>
      <c r="V82">
        <f>HYPERLINK("https://klasma.github.io/Logging_0580/klagomål/A 48298-2025 FSC-klagomål.docx", "A 48298-2025")</f>
        <v/>
      </c>
      <c r="W82">
        <f>HYPERLINK("https://klasma.github.io/Logging_0580/klagomålsmail/A 48298-2025 FSC-klagomål mail.docx", "A 48298-2025")</f>
        <v/>
      </c>
      <c r="X82">
        <f>HYPERLINK("https://klasma.github.io/Logging_0580/tillsyn/A 48298-2025 tillsynsbegäran.docx", "A 48298-2025")</f>
        <v/>
      </c>
      <c r="Y82">
        <f>HYPERLINK("https://klasma.github.io/Logging_0580/tillsynsmail/A 48298-2025 tillsynsbegäran mail.docx", "A 48298-2025")</f>
        <v/>
      </c>
    </row>
    <row r="83" ht="15" customHeight="1">
      <c r="A83" t="inlineStr">
        <is>
          <t>A 34881-2023</t>
        </is>
      </c>
      <c r="B83" s="1" t="n">
        <v>45140</v>
      </c>
      <c r="C83" s="1" t="n">
        <v>46174</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Tallticka</t>
        </is>
      </c>
      <c r="S83">
        <f>HYPERLINK("https://klasma.github.io/Logging_0580/artfynd/A 34881-2023 artfynd.xlsx", "A 34881-2023")</f>
        <v/>
      </c>
      <c r="T83">
        <f>HYPERLINK("https://klasma.github.io/Logging_0580/kartor/A 34881-2023 karta.png", "A 34881-2023")</f>
        <v/>
      </c>
      <c r="U83">
        <f>HYPERLINK("https://klasma.github.io/Logging_0580/knärot/A 34881-2023 karta knärot.png", "A 34881-2023")</f>
        <v/>
      </c>
      <c r="V83">
        <f>HYPERLINK("https://klasma.github.io/Logging_0580/klagomål/A 34881-2023 FSC-klagomål.docx", "A 34881-2023")</f>
        <v/>
      </c>
      <c r="W83">
        <f>HYPERLINK("https://klasma.github.io/Logging_0580/klagomålsmail/A 34881-2023 FSC-klagomål mail.docx", "A 34881-2023")</f>
        <v/>
      </c>
      <c r="X83">
        <f>HYPERLINK("https://klasma.github.io/Logging_0580/tillsyn/A 34881-2023 tillsynsbegäran.docx", "A 34881-2023")</f>
        <v/>
      </c>
      <c r="Y83">
        <f>HYPERLINK("https://klasma.github.io/Logging_0580/tillsynsmail/A 34881-2023 tillsynsbegäran mail.docx", "A 34881-2023")</f>
        <v/>
      </c>
    </row>
    <row r="84" ht="15" customHeight="1">
      <c r="A84" t="inlineStr">
        <is>
          <t>A 50471-2024</t>
        </is>
      </c>
      <c r="B84" s="1" t="n">
        <v>45601.47166666666</v>
      </c>
      <c r="C84" s="1" t="n">
        <v>46174</v>
      </c>
      <c r="D84" t="inlineStr">
        <is>
          <t>ÖSTERGÖTLANDS LÄN</t>
        </is>
      </c>
      <c r="E84" t="inlineStr">
        <is>
          <t>LINKÖPING</t>
        </is>
      </c>
      <c r="F84" t="inlineStr">
        <is>
          <t>Övriga Aktiebolag</t>
        </is>
      </c>
      <c r="G84" t="n">
        <v>2</v>
      </c>
      <c r="H84" t="n">
        <v>0</v>
      </c>
      <c r="I84" t="n">
        <v>1</v>
      </c>
      <c r="J84" t="n">
        <v>0</v>
      </c>
      <c r="K84" t="n">
        <v>0</v>
      </c>
      <c r="L84" t="n">
        <v>0</v>
      </c>
      <c r="M84" t="n">
        <v>0</v>
      </c>
      <c r="N84" t="n">
        <v>0</v>
      </c>
      <c r="O84" t="n">
        <v>0</v>
      </c>
      <c r="P84" t="n">
        <v>0</v>
      </c>
      <c r="Q84" t="n">
        <v>1</v>
      </c>
      <c r="R84" s="2" t="inlineStr">
        <is>
          <t>Västlig hakmossa</t>
        </is>
      </c>
      <c r="S84">
        <f>HYPERLINK("https://klasma.github.io/Logging_0580/artfynd/A 50471-2024 artfynd.xlsx", "A 50471-2024")</f>
        <v/>
      </c>
      <c r="T84">
        <f>HYPERLINK("https://klasma.github.io/Logging_0580/kartor/A 50471-2024 karta.png", "A 50471-2024")</f>
        <v/>
      </c>
      <c r="V84">
        <f>HYPERLINK("https://klasma.github.io/Logging_0580/klagomål/A 50471-2024 FSC-klagomål.docx", "A 50471-2024")</f>
        <v/>
      </c>
      <c r="W84">
        <f>HYPERLINK("https://klasma.github.io/Logging_0580/klagomålsmail/A 50471-2024 FSC-klagomål mail.docx", "A 50471-2024")</f>
        <v/>
      </c>
      <c r="X84">
        <f>HYPERLINK("https://klasma.github.io/Logging_0580/tillsyn/A 50471-2024 tillsynsbegäran.docx", "A 50471-2024")</f>
        <v/>
      </c>
      <c r="Y84">
        <f>HYPERLINK("https://klasma.github.io/Logging_0580/tillsynsmail/A 50471-2024 tillsynsbegäran mail.docx", "A 50471-2024")</f>
        <v/>
      </c>
    </row>
    <row r="85" ht="15" customHeight="1">
      <c r="A85" t="inlineStr">
        <is>
          <t>A 50034-2025</t>
        </is>
      </c>
      <c r="B85" s="1" t="n">
        <v>45941</v>
      </c>
      <c r="C85" s="1" t="n">
        <v>46174</v>
      </c>
      <c r="D85" t="inlineStr">
        <is>
          <t>ÖSTERGÖTLANDS LÄN</t>
        </is>
      </c>
      <c r="E85" t="inlineStr">
        <is>
          <t>LINKÖPING</t>
        </is>
      </c>
      <c r="G85" t="n">
        <v>6.2</v>
      </c>
      <c r="H85" t="n">
        <v>0</v>
      </c>
      <c r="I85" t="n">
        <v>0</v>
      </c>
      <c r="J85" t="n">
        <v>0</v>
      </c>
      <c r="K85" t="n">
        <v>0</v>
      </c>
      <c r="L85" t="n">
        <v>0</v>
      </c>
      <c r="M85" t="n">
        <v>1</v>
      </c>
      <c r="N85" t="n">
        <v>0</v>
      </c>
      <c r="O85" t="n">
        <v>1</v>
      </c>
      <c r="P85" t="n">
        <v>1</v>
      </c>
      <c r="Q85" t="n">
        <v>1</v>
      </c>
      <c r="R85" s="2" t="inlineStr">
        <is>
          <t>Skogsalm</t>
        </is>
      </c>
      <c r="S85">
        <f>HYPERLINK("https://klasma.github.io/Logging_0580/artfynd/A 50034-2025 artfynd.xlsx", "A 50034-2025")</f>
        <v/>
      </c>
      <c r="T85">
        <f>HYPERLINK("https://klasma.github.io/Logging_0580/kartor/A 50034-2025 karta.png", "A 50034-2025")</f>
        <v/>
      </c>
      <c r="V85">
        <f>HYPERLINK("https://klasma.github.io/Logging_0580/klagomål/A 50034-2025 FSC-klagomål.docx", "A 50034-2025")</f>
        <v/>
      </c>
      <c r="W85">
        <f>HYPERLINK("https://klasma.github.io/Logging_0580/klagomålsmail/A 50034-2025 FSC-klagomål mail.docx", "A 50034-2025")</f>
        <v/>
      </c>
      <c r="X85">
        <f>HYPERLINK("https://klasma.github.io/Logging_0580/tillsyn/A 50034-2025 tillsynsbegäran.docx", "A 50034-2025")</f>
        <v/>
      </c>
      <c r="Y85">
        <f>HYPERLINK("https://klasma.github.io/Logging_0580/tillsynsmail/A 50034-2025 tillsynsbegäran mail.docx", "A 50034-2025")</f>
        <v/>
      </c>
    </row>
    <row r="86" ht="15" customHeight="1">
      <c r="A86" t="inlineStr">
        <is>
          <t>A 39457-2023</t>
        </is>
      </c>
      <c r="B86" s="1" t="n">
        <v>45166</v>
      </c>
      <c r="C86" s="1" t="n">
        <v>46174</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56128-2022</t>
        </is>
      </c>
      <c r="B87" s="1" t="n">
        <v>44889</v>
      </c>
      <c r="C87" s="1" t="n">
        <v>46174</v>
      </c>
      <c r="D87" t="inlineStr">
        <is>
          <t>ÖSTERGÖTLANDS LÄN</t>
        </is>
      </c>
      <c r="E87" t="inlineStr">
        <is>
          <t>LINKÖPING</t>
        </is>
      </c>
      <c r="G87" t="n">
        <v>2</v>
      </c>
      <c r="H87" t="n">
        <v>0</v>
      </c>
      <c r="I87" t="n">
        <v>1</v>
      </c>
      <c r="J87" t="n">
        <v>0</v>
      </c>
      <c r="K87" t="n">
        <v>0</v>
      </c>
      <c r="L87" t="n">
        <v>0</v>
      </c>
      <c r="M87" t="n">
        <v>0</v>
      </c>
      <c r="N87" t="n">
        <v>0</v>
      </c>
      <c r="O87" t="n">
        <v>0</v>
      </c>
      <c r="P87" t="n">
        <v>0</v>
      </c>
      <c r="Q87" t="n">
        <v>1</v>
      </c>
      <c r="R87" s="2" t="inlineStr">
        <is>
          <t>Tibast</t>
        </is>
      </c>
      <c r="S87">
        <f>HYPERLINK("https://klasma.github.io/Logging_0580/artfynd/A 56128-2022 artfynd.xlsx", "A 56128-2022")</f>
        <v/>
      </c>
      <c r="T87">
        <f>HYPERLINK("https://klasma.github.io/Logging_0580/kartor/A 56128-2022 karta.png", "A 56128-2022")</f>
        <v/>
      </c>
      <c r="V87">
        <f>HYPERLINK("https://klasma.github.io/Logging_0580/klagomål/A 56128-2022 FSC-klagomål.docx", "A 56128-2022")</f>
        <v/>
      </c>
      <c r="W87">
        <f>HYPERLINK("https://klasma.github.io/Logging_0580/klagomålsmail/A 56128-2022 FSC-klagomål mail.docx", "A 56128-2022")</f>
        <v/>
      </c>
      <c r="X87">
        <f>HYPERLINK("https://klasma.github.io/Logging_0580/tillsyn/A 56128-2022 tillsynsbegäran.docx", "A 56128-2022")</f>
        <v/>
      </c>
      <c r="Y87">
        <f>HYPERLINK("https://klasma.github.io/Logging_0580/tillsynsmail/A 56128-2022 tillsynsbegäran mail.docx", "A 56128-2022")</f>
        <v/>
      </c>
    </row>
    <row r="88" ht="15" customHeight="1">
      <c r="A88" t="inlineStr">
        <is>
          <t>A 40309-2024</t>
        </is>
      </c>
      <c r="B88" s="1" t="n">
        <v>45554.724375</v>
      </c>
      <c r="C88" s="1" t="n">
        <v>46174</v>
      </c>
      <c r="D88" t="inlineStr">
        <is>
          <t>ÖSTERGÖTLANDS LÄN</t>
        </is>
      </c>
      <c r="E88" t="inlineStr">
        <is>
          <t>LINKÖPING</t>
        </is>
      </c>
      <c r="F88" t="inlineStr">
        <is>
          <t>Allmännings- och besparingsskogar</t>
        </is>
      </c>
      <c r="G88" t="n">
        <v>6</v>
      </c>
      <c r="H88" t="n">
        <v>0</v>
      </c>
      <c r="I88" t="n">
        <v>0</v>
      </c>
      <c r="J88" t="n">
        <v>1</v>
      </c>
      <c r="K88" t="n">
        <v>0</v>
      </c>
      <c r="L88" t="n">
        <v>0</v>
      </c>
      <c r="M88" t="n">
        <v>0</v>
      </c>
      <c r="N88" t="n">
        <v>0</v>
      </c>
      <c r="O88" t="n">
        <v>1</v>
      </c>
      <c r="P88" t="n">
        <v>0</v>
      </c>
      <c r="Q88" t="n">
        <v>1</v>
      </c>
      <c r="R88" s="2" t="inlineStr">
        <is>
          <t>Garnlav</t>
        </is>
      </c>
      <c r="S88">
        <f>HYPERLINK("https://klasma.github.io/Logging_0580/artfynd/A 40309-2024 artfynd.xlsx", "A 40309-2024")</f>
        <v/>
      </c>
      <c r="T88">
        <f>HYPERLINK("https://klasma.github.io/Logging_0580/kartor/A 40309-2024 karta.png", "A 40309-2024")</f>
        <v/>
      </c>
      <c r="V88">
        <f>HYPERLINK("https://klasma.github.io/Logging_0580/klagomål/A 40309-2024 FSC-klagomål.docx", "A 40309-2024")</f>
        <v/>
      </c>
      <c r="W88">
        <f>HYPERLINK("https://klasma.github.io/Logging_0580/klagomålsmail/A 40309-2024 FSC-klagomål mail.docx", "A 40309-2024")</f>
        <v/>
      </c>
      <c r="X88">
        <f>HYPERLINK("https://klasma.github.io/Logging_0580/tillsyn/A 40309-2024 tillsynsbegäran.docx", "A 40309-2024")</f>
        <v/>
      </c>
      <c r="Y88">
        <f>HYPERLINK("https://klasma.github.io/Logging_0580/tillsynsmail/A 40309-2024 tillsynsbegäran mail.docx", "A 40309-2024")</f>
        <v/>
      </c>
    </row>
    <row r="89" ht="15" customHeight="1">
      <c r="A89" t="inlineStr">
        <is>
          <t>A 35948-2023</t>
        </is>
      </c>
      <c r="B89" s="1" t="n">
        <v>45148</v>
      </c>
      <c r="C89" s="1" t="n">
        <v>46174</v>
      </c>
      <c r="D89" t="inlineStr">
        <is>
          <t>ÖSTERGÖTLANDS LÄN</t>
        </is>
      </c>
      <c r="E89" t="inlineStr">
        <is>
          <t>LINKÖPING</t>
        </is>
      </c>
      <c r="G89" t="n">
        <v>1.9</v>
      </c>
      <c r="H89" t="n">
        <v>0</v>
      </c>
      <c r="I89" t="n">
        <v>1</v>
      </c>
      <c r="J89" t="n">
        <v>0</v>
      </c>
      <c r="K89" t="n">
        <v>0</v>
      </c>
      <c r="L89" t="n">
        <v>0</v>
      </c>
      <c r="M89" t="n">
        <v>0</v>
      </c>
      <c r="N89" t="n">
        <v>0</v>
      </c>
      <c r="O89" t="n">
        <v>0</v>
      </c>
      <c r="P89" t="n">
        <v>0</v>
      </c>
      <c r="Q89" t="n">
        <v>1</v>
      </c>
      <c r="R89" s="2" t="inlineStr">
        <is>
          <t>Brun nållav</t>
        </is>
      </c>
      <c r="S89">
        <f>HYPERLINK("https://klasma.github.io/Logging_0580/artfynd/A 35948-2023 artfynd.xlsx", "A 35948-2023")</f>
        <v/>
      </c>
      <c r="T89">
        <f>HYPERLINK("https://klasma.github.io/Logging_0580/kartor/A 35948-2023 karta.png", "A 35948-2023")</f>
        <v/>
      </c>
      <c r="V89">
        <f>HYPERLINK("https://klasma.github.io/Logging_0580/klagomål/A 35948-2023 FSC-klagomål.docx", "A 35948-2023")</f>
        <v/>
      </c>
      <c r="W89">
        <f>HYPERLINK("https://klasma.github.io/Logging_0580/klagomålsmail/A 35948-2023 FSC-klagomål mail.docx", "A 35948-2023")</f>
        <v/>
      </c>
      <c r="X89">
        <f>HYPERLINK("https://klasma.github.io/Logging_0580/tillsyn/A 35948-2023 tillsynsbegäran.docx", "A 35948-2023")</f>
        <v/>
      </c>
      <c r="Y89">
        <f>HYPERLINK("https://klasma.github.io/Logging_0580/tillsynsmail/A 35948-2023 tillsynsbegäran mail.docx", "A 35948-2023")</f>
        <v/>
      </c>
    </row>
    <row r="90" ht="15" customHeight="1">
      <c r="A90" t="inlineStr">
        <is>
          <t>A 62071-2023</t>
        </is>
      </c>
      <c r="B90" s="1" t="n">
        <v>45266.73542824074</v>
      </c>
      <c r="C90" s="1" t="n">
        <v>46174</v>
      </c>
      <c r="D90" t="inlineStr">
        <is>
          <t>ÖSTERGÖTLANDS LÄN</t>
        </is>
      </c>
      <c r="E90" t="inlineStr">
        <is>
          <t>LINKÖPING</t>
        </is>
      </c>
      <c r="G90" t="n">
        <v>6.5</v>
      </c>
      <c r="H90" t="n">
        <v>0</v>
      </c>
      <c r="I90" t="n">
        <v>0</v>
      </c>
      <c r="J90" t="n">
        <v>1</v>
      </c>
      <c r="K90" t="n">
        <v>0</v>
      </c>
      <c r="L90" t="n">
        <v>0</v>
      </c>
      <c r="M90" t="n">
        <v>0</v>
      </c>
      <c r="N90" t="n">
        <v>0</v>
      </c>
      <c r="O90" t="n">
        <v>1</v>
      </c>
      <c r="P90" t="n">
        <v>0</v>
      </c>
      <c r="Q90" t="n">
        <v>1</v>
      </c>
      <c r="R90" s="2" t="inlineStr">
        <is>
          <t>Svinrot</t>
        </is>
      </c>
      <c r="S90">
        <f>HYPERLINK("https://klasma.github.io/Logging_0580/artfynd/A 62071-2023 artfynd.xlsx", "A 62071-2023")</f>
        <v/>
      </c>
      <c r="T90">
        <f>HYPERLINK("https://klasma.github.io/Logging_0580/kartor/A 62071-2023 karta.png", "A 62071-2023")</f>
        <v/>
      </c>
      <c r="V90">
        <f>HYPERLINK("https://klasma.github.io/Logging_0580/klagomål/A 62071-2023 FSC-klagomål.docx", "A 62071-2023")</f>
        <v/>
      </c>
      <c r="W90">
        <f>HYPERLINK("https://klasma.github.io/Logging_0580/klagomålsmail/A 62071-2023 FSC-klagomål mail.docx", "A 62071-2023")</f>
        <v/>
      </c>
      <c r="X90">
        <f>HYPERLINK("https://klasma.github.io/Logging_0580/tillsyn/A 62071-2023 tillsynsbegäran.docx", "A 62071-2023")</f>
        <v/>
      </c>
      <c r="Y90">
        <f>HYPERLINK("https://klasma.github.io/Logging_0580/tillsynsmail/A 62071-2023 tillsynsbegäran mail.docx", "A 62071-2023")</f>
        <v/>
      </c>
    </row>
    <row r="91" ht="15" customHeight="1">
      <c r="A91" t="inlineStr">
        <is>
          <t>A 3397-2023</t>
        </is>
      </c>
      <c r="B91" s="1" t="n">
        <v>44949</v>
      </c>
      <c r="C91" s="1" t="n">
        <v>46174</v>
      </c>
      <c r="D91" t="inlineStr">
        <is>
          <t>ÖSTERGÖTLANDS LÄN</t>
        </is>
      </c>
      <c r="E91" t="inlineStr">
        <is>
          <t>LINKÖPING</t>
        </is>
      </c>
      <c r="G91" t="n">
        <v>4.1</v>
      </c>
      <c r="H91" t="n">
        <v>0</v>
      </c>
      <c r="I91" t="n">
        <v>0</v>
      </c>
      <c r="J91" t="n">
        <v>1</v>
      </c>
      <c r="K91" t="n">
        <v>0</v>
      </c>
      <c r="L91" t="n">
        <v>0</v>
      </c>
      <c r="M91" t="n">
        <v>0</v>
      </c>
      <c r="N91" t="n">
        <v>0</v>
      </c>
      <c r="O91" t="n">
        <v>1</v>
      </c>
      <c r="P91" t="n">
        <v>0</v>
      </c>
      <c r="Q91" t="n">
        <v>1</v>
      </c>
      <c r="R91" s="2" t="inlineStr">
        <is>
          <t>Svinrot</t>
        </is>
      </c>
      <c r="S91">
        <f>HYPERLINK("https://klasma.github.io/Logging_0580/artfynd/A 3397-2023 artfynd.xlsx", "A 3397-2023")</f>
        <v/>
      </c>
      <c r="T91">
        <f>HYPERLINK("https://klasma.github.io/Logging_0580/kartor/A 3397-2023 karta.png", "A 3397-2023")</f>
        <v/>
      </c>
      <c r="V91">
        <f>HYPERLINK("https://klasma.github.io/Logging_0580/klagomål/A 3397-2023 FSC-klagomål.docx", "A 3397-2023")</f>
        <v/>
      </c>
      <c r="W91">
        <f>HYPERLINK("https://klasma.github.io/Logging_0580/klagomålsmail/A 3397-2023 FSC-klagomål mail.docx", "A 3397-2023")</f>
        <v/>
      </c>
      <c r="X91">
        <f>HYPERLINK("https://klasma.github.io/Logging_0580/tillsyn/A 3397-2023 tillsynsbegäran.docx", "A 3397-2023")</f>
        <v/>
      </c>
      <c r="Y91">
        <f>HYPERLINK("https://klasma.github.io/Logging_0580/tillsynsmail/A 3397-2023 tillsynsbegäran mail.docx", "A 3397-2023")</f>
        <v/>
      </c>
    </row>
    <row r="92" ht="15" customHeight="1">
      <c r="A92" t="inlineStr">
        <is>
          <t>A 54835-2023</t>
        </is>
      </c>
      <c r="B92" s="1" t="n">
        <v>45236</v>
      </c>
      <c r="C92" s="1" t="n">
        <v>46174</v>
      </c>
      <c r="D92" t="inlineStr">
        <is>
          <t>ÖSTERGÖTLANDS LÄN</t>
        </is>
      </c>
      <c r="E92" t="inlineStr">
        <is>
          <t>LINKÖPING</t>
        </is>
      </c>
      <c r="G92" t="n">
        <v>2</v>
      </c>
      <c r="H92" t="n">
        <v>1</v>
      </c>
      <c r="I92" t="n">
        <v>0</v>
      </c>
      <c r="J92" t="n">
        <v>0</v>
      </c>
      <c r="K92" t="n">
        <v>0</v>
      </c>
      <c r="L92" t="n">
        <v>0</v>
      </c>
      <c r="M92" t="n">
        <v>0</v>
      </c>
      <c r="N92" t="n">
        <v>0</v>
      </c>
      <c r="O92" t="n">
        <v>0</v>
      </c>
      <c r="P92" t="n">
        <v>0</v>
      </c>
      <c r="Q92" t="n">
        <v>1</v>
      </c>
      <c r="R92" s="2" t="inlineStr">
        <is>
          <t>Sparvuggla</t>
        </is>
      </c>
      <c r="S92">
        <f>HYPERLINK("https://klasma.github.io/Logging_0580/artfynd/A 54835-2023 artfynd.xlsx", "A 54835-2023")</f>
        <v/>
      </c>
      <c r="T92">
        <f>HYPERLINK("https://klasma.github.io/Logging_0580/kartor/A 54835-2023 karta.png", "A 54835-2023")</f>
        <v/>
      </c>
      <c r="V92">
        <f>HYPERLINK("https://klasma.github.io/Logging_0580/klagomål/A 54835-2023 FSC-klagomål.docx", "A 54835-2023")</f>
        <v/>
      </c>
      <c r="W92">
        <f>HYPERLINK("https://klasma.github.io/Logging_0580/klagomålsmail/A 54835-2023 FSC-klagomål mail.docx", "A 54835-2023")</f>
        <v/>
      </c>
      <c r="X92">
        <f>HYPERLINK("https://klasma.github.io/Logging_0580/tillsyn/A 54835-2023 tillsynsbegäran.docx", "A 54835-2023")</f>
        <v/>
      </c>
      <c r="Y92">
        <f>HYPERLINK("https://klasma.github.io/Logging_0580/tillsynsmail/A 54835-2023 tillsynsbegäran mail.docx", "A 54835-2023")</f>
        <v/>
      </c>
      <c r="Z92">
        <f>HYPERLINK("https://klasma.github.io/Logging_0580/fåglar/A 54835-2023 prioriterade fågelarter.docx", "A 54835-2023")</f>
        <v/>
      </c>
    </row>
    <row r="93" ht="15" customHeight="1">
      <c r="A93" t="inlineStr">
        <is>
          <t>A 56112-2025</t>
        </is>
      </c>
      <c r="B93" s="1" t="n">
        <v>45973.73625</v>
      </c>
      <c r="C93" s="1" t="n">
        <v>46174</v>
      </c>
      <c r="D93" t="inlineStr">
        <is>
          <t>ÖSTERGÖTLANDS LÄN</t>
        </is>
      </c>
      <c r="E93" t="inlineStr">
        <is>
          <t>LINKÖPING</t>
        </is>
      </c>
      <c r="G93" t="n">
        <v>0.6</v>
      </c>
      <c r="H93" t="n">
        <v>0</v>
      </c>
      <c r="I93" t="n">
        <v>0</v>
      </c>
      <c r="J93" t="n">
        <v>1</v>
      </c>
      <c r="K93" t="n">
        <v>0</v>
      </c>
      <c r="L93" t="n">
        <v>0</v>
      </c>
      <c r="M93" t="n">
        <v>0</v>
      </c>
      <c r="N93" t="n">
        <v>0</v>
      </c>
      <c r="O93" t="n">
        <v>1</v>
      </c>
      <c r="P93" t="n">
        <v>0</v>
      </c>
      <c r="Q93" t="n">
        <v>1</v>
      </c>
      <c r="R93" s="2" t="inlineStr">
        <is>
          <t>Solvända</t>
        </is>
      </c>
      <c r="S93">
        <f>HYPERLINK("https://klasma.github.io/Logging_0580/artfynd/A 56112-2025 artfynd.xlsx", "A 56112-2025")</f>
        <v/>
      </c>
      <c r="T93">
        <f>HYPERLINK("https://klasma.github.io/Logging_0580/kartor/A 56112-2025 karta.png", "A 56112-2025")</f>
        <v/>
      </c>
      <c r="V93">
        <f>HYPERLINK("https://klasma.github.io/Logging_0580/klagomål/A 56112-2025 FSC-klagomål.docx", "A 56112-2025")</f>
        <v/>
      </c>
      <c r="W93">
        <f>HYPERLINK("https://klasma.github.io/Logging_0580/klagomålsmail/A 56112-2025 FSC-klagomål mail.docx", "A 56112-2025")</f>
        <v/>
      </c>
      <c r="X93">
        <f>HYPERLINK("https://klasma.github.io/Logging_0580/tillsyn/A 56112-2025 tillsynsbegäran.docx", "A 56112-2025")</f>
        <v/>
      </c>
      <c r="Y93">
        <f>HYPERLINK("https://klasma.github.io/Logging_0580/tillsynsmail/A 56112-2025 tillsynsbegäran mail.docx", "A 56112-2025")</f>
        <v/>
      </c>
    </row>
    <row r="94" ht="15" customHeight="1">
      <c r="A94" t="inlineStr">
        <is>
          <t>A 41749-2023</t>
        </is>
      </c>
      <c r="B94" s="1" t="n">
        <v>45176</v>
      </c>
      <c r="C94" s="1" t="n">
        <v>46174</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41749-2023 artfynd.xlsx", "A 41749-2023")</f>
        <v/>
      </c>
      <c r="T94">
        <f>HYPERLINK("https://klasma.github.io/Logging_0580/kartor/A 41749-2023 karta.png", "A 41749-2023")</f>
        <v/>
      </c>
      <c r="V94">
        <f>HYPERLINK("https://klasma.github.io/Logging_0580/klagomål/A 41749-2023 FSC-klagomål.docx", "A 41749-2023")</f>
        <v/>
      </c>
      <c r="W94">
        <f>HYPERLINK("https://klasma.github.io/Logging_0580/klagomålsmail/A 41749-2023 FSC-klagomål mail.docx", "A 41749-2023")</f>
        <v/>
      </c>
      <c r="X94">
        <f>HYPERLINK("https://klasma.github.io/Logging_0580/tillsyn/A 41749-2023 tillsynsbegäran.docx", "A 41749-2023")</f>
        <v/>
      </c>
      <c r="Y94">
        <f>HYPERLINK("https://klasma.github.io/Logging_0580/tillsynsmail/A 41749-2023 tillsynsbegäran mail.docx", "A 41749-2023")</f>
        <v/>
      </c>
    </row>
    <row r="95" ht="15" customHeight="1">
      <c r="A95" t="inlineStr">
        <is>
          <t>A 59474-2025</t>
        </is>
      </c>
      <c r="B95" s="1" t="n">
        <v>45989.58512731481</v>
      </c>
      <c r="C95" s="1" t="n">
        <v>46174</v>
      </c>
      <c r="D95" t="inlineStr">
        <is>
          <t>ÖSTERGÖTLANDS LÄN</t>
        </is>
      </c>
      <c r="E95" t="inlineStr">
        <is>
          <t>LINKÖPING</t>
        </is>
      </c>
      <c r="G95" t="n">
        <v>8</v>
      </c>
      <c r="H95" t="n">
        <v>0</v>
      </c>
      <c r="I95" t="n">
        <v>1</v>
      </c>
      <c r="J95" t="n">
        <v>0</v>
      </c>
      <c r="K95" t="n">
        <v>0</v>
      </c>
      <c r="L95" t="n">
        <v>0</v>
      </c>
      <c r="M95" t="n">
        <v>0</v>
      </c>
      <c r="N95" t="n">
        <v>0</v>
      </c>
      <c r="O95" t="n">
        <v>0</v>
      </c>
      <c r="P95" t="n">
        <v>0</v>
      </c>
      <c r="Q95" t="n">
        <v>1</v>
      </c>
      <c r="R95" s="2" t="inlineStr">
        <is>
          <t>Fällmossa</t>
        </is>
      </c>
      <c r="S95">
        <f>HYPERLINK("https://klasma.github.io/Logging_0580/artfynd/A 59474-2025 artfynd.xlsx", "A 59474-2025")</f>
        <v/>
      </c>
      <c r="T95">
        <f>HYPERLINK("https://klasma.github.io/Logging_0580/kartor/A 59474-2025 karta.png", "A 59474-2025")</f>
        <v/>
      </c>
      <c r="V95">
        <f>HYPERLINK("https://klasma.github.io/Logging_0580/klagomål/A 59474-2025 FSC-klagomål.docx", "A 59474-2025")</f>
        <v/>
      </c>
      <c r="W95">
        <f>HYPERLINK("https://klasma.github.io/Logging_0580/klagomålsmail/A 59474-2025 FSC-klagomål mail.docx", "A 59474-2025")</f>
        <v/>
      </c>
      <c r="X95">
        <f>HYPERLINK("https://klasma.github.io/Logging_0580/tillsyn/A 59474-2025 tillsynsbegäran.docx", "A 59474-2025")</f>
        <v/>
      </c>
      <c r="Y95">
        <f>HYPERLINK("https://klasma.github.io/Logging_0580/tillsynsmail/A 59474-2025 tillsynsbegäran mail.docx", "A 59474-2025")</f>
        <v/>
      </c>
    </row>
    <row r="96" ht="15" customHeight="1">
      <c r="A96" t="inlineStr">
        <is>
          <t>A 60311-2025</t>
        </is>
      </c>
      <c r="B96" s="1" t="n">
        <v>45994</v>
      </c>
      <c r="C96" s="1" t="n">
        <v>46174</v>
      </c>
      <c r="D96" t="inlineStr">
        <is>
          <t>ÖSTERGÖTLANDS LÄN</t>
        </is>
      </c>
      <c r="E96" t="inlineStr">
        <is>
          <t>LINKÖPING</t>
        </is>
      </c>
      <c r="G96" t="n">
        <v>1.9</v>
      </c>
      <c r="H96" t="n">
        <v>0</v>
      </c>
      <c r="I96" t="n">
        <v>0</v>
      </c>
      <c r="J96" t="n">
        <v>1</v>
      </c>
      <c r="K96" t="n">
        <v>0</v>
      </c>
      <c r="L96" t="n">
        <v>0</v>
      </c>
      <c r="M96" t="n">
        <v>0</v>
      </c>
      <c r="N96" t="n">
        <v>0</v>
      </c>
      <c r="O96" t="n">
        <v>1</v>
      </c>
      <c r="P96" t="n">
        <v>0</v>
      </c>
      <c r="Q96" t="n">
        <v>1</v>
      </c>
      <c r="R96" s="2" t="inlineStr">
        <is>
          <t>Gammelekslav</t>
        </is>
      </c>
      <c r="S96">
        <f>HYPERLINK("https://klasma.github.io/Logging_0580/artfynd/A 60311-2025 artfynd.xlsx", "A 60311-2025")</f>
        <v/>
      </c>
      <c r="T96">
        <f>HYPERLINK("https://klasma.github.io/Logging_0580/kartor/A 60311-2025 karta.png", "A 60311-2025")</f>
        <v/>
      </c>
      <c r="V96">
        <f>HYPERLINK("https://klasma.github.io/Logging_0580/klagomål/A 60311-2025 FSC-klagomål.docx", "A 60311-2025")</f>
        <v/>
      </c>
      <c r="W96">
        <f>HYPERLINK("https://klasma.github.io/Logging_0580/klagomålsmail/A 60311-2025 FSC-klagomål mail.docx", "A 60311-2025")</f>
        <v/>
      </c>
      <c r="X96">
        <f>HYPERLINK("https://klasma.github.io/Logging_0580/tillsyn/A 60311-2025 tillsynsbegäran.docx", "A 60311-2025")</f>
        <v/>
      </c>
      <c r="Y96">
        <f>HYPERLINK("https://klasma.github.io/Logging_0580/tillsynsmail/A 60311-2025 tillsynsbegäran mail.docx", "A 60311-2025")</f>
        <v/>
      </c>
    </row>
    <row r="97" ht="15" customHeight="1">
      <c r="A97" t="inlineStr">
        <is>
          <t>A 27403-2025</t>
        </is>
      </c>
      <c r="B97" s="1" t="n">
        <v>45812.72518518518</v>
      </c>
      <c r="C97" s="1" t="n">
        <v>46174</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29393-2025</t>
        </is>
      </c>
      <c r="B98" s="1" t="n">
        <v>45824.6057175926</v>
      </c>
      <c r="C98" s="1" t="n">
        <v>46174</v>
      </c>
      <c r="D98" t="inlineStr">
        <is>
          <t>ÖSTERGÖTLANDS LÄN</t>
        </is>
      </c>
      <c r="E98" t="inlineStr">
        <is>
          <t>LINKÖPING</t>
        </is>
      </c>
      <c r="F98" t="inlineStr">
        <is>
          <t>Sveaskog</t>
        </is>
      </c>
      <c r="G98" t="n">
        <v>24.6</v>
      </c>
      <c r="H98" t="n">
        <v>1</v>
      </c>
      <c r="I98" t="n">
        <v>0</v>
      </c>
      <c r="J98" t="n">
        <v>0</v>
      </c>
      <c r="K98" t="n">
        <v>1</v>
      </c>
      <c r="L98" t="n">
        <v>0</v>
      </c>
      <c r="M98" t="n">
        <v>0</v>
      </c>
      <c r="N98" t="n">
        <v>0</v>
      </c>
      <c r="O98" t="n">
        <v>1</v>
      </c>
      <c r="P98" t="n">
        <v>1</v>
      </c>
      <c r="Q98" t="n">
        <v>1</v>
      </c>
      <c r="R98" s="2" t="inlineStr">
        <is>
          <t>Skogsgås</t>
        </is>
      </c>
      <c r="S98">
        <f>HYPERLINK("https://klasma.github.io/Logging_0580/artfynd/A 29393-2025 artfynd.xlsx", "A 29393-2025")</f>
        <v/>
      </c>
      <c r="T98">
        <f>HYPERLINK("https://klasma.github.io/Logging_0580/kartor/A 29393-2025 karta.png", "A 29393-2025")</f>
        <v/>
      </c>
      <c r="V98">
        <f>HYPERLINK("https://klasma.github.io/Logging_0580/klagomål/A 29393-2025 FSC-klagomål.docx", "A 29393-2025")</f>
        <v/>
      </c>
      <c r="W98">
        <f>HYPERLINK("https://klasma.github.io/Logging_0580/klagomålsmail/A 29393-2025 FSC-klagomål mail.docx", "A 29393-2025")</f>
        <v/>
      </c>
      <c r="X98">
        <f>HYPERLINK("https://klasma.github.io/Logging_0580/tillsyn/A 29393-2025 tillsynsbegäran.docx", "A 29393-2025")</f>
        <v/>
      </c>
      <c r="Y98">
        <f>HYPERLINK("https://klasma.github.io/Logging_0580/tillsynsmail/A 29393-2025 tillsynsbegäran mail.docx", "A 29393-2025")</f>
        <v/>
      </c>
      <c r="Z98">
        <f>HYPERLINK("https://klasma.github.io/Logging_0580/fåglar/A 29393-2025 prioriterade fågelarter.docx", "A 29393-2025")</f>
        <v/>
      </c>
    </row>
    <row r="99" ht="15" customHeight="1">
      <c r="A99" t="inlineStr">
        <is>
          <t>A 36723-2023</t>
        </is>
      </c>
      <c r="B99" s="1" t="n">
        <v>45153</v>
      </c>
      <c r="C99" s="1" t="n">
        <v>46174</v>
      </c>
      <c r="D99" t="inlineStr">
        <is>
          <t>ÖSTERGÖTLANDS LÄN</t>
        </is>
      </c>
      <c r="E99" t="inlineStr">
        <is>
          <t>LINKÖPING</t>
        </is>
      </c>
      <c r="F99" t="inlineStr">
        <is>
          <t>Allmännings- och besparingsskogar</t>
        </is>
      </c>
      <c r="G99" t="n">
        <v>9.9</v>
      </c>
      <c r="H99" t="n">
        <v>0</v>
      </c>
      <c r="I99" t="n">
        <v>0</v>
      </c>
      <c r="J99" t="n">
        <v>0</v>
      </c>
      <c r="K99" t="n">
        <v>1</v>
      </c>
      <c r="L99" t="n">
        <v>0</v>
      </c>
      <c r="M99" t="n">
        <v>0</v>
      </c>
      <c r="N99" t="n">
        <v>0</v>
      </c>
      <c r="O99" t="n">
        <v>1</v>
      </c>
      <c r="P99" t="n">
        <v>1</v>
      </c>
      <c r="Q99" t="n">
        <v>1</v>
      </c>
      <c r="R99" s="2" t="inlineStr">
        <is>
          <t>Bitter taggsvamp</t>
        </is>
      </c>
      <c r="S99">
        <f>HYPERLINK("https://klasma.github.io/Logging_0580/artfynd/A 36723-2023 artfynd.xlsx", "A 36723-2023")</f>
        <v/>
      </c>
      <c r="T99">
        <f>HYPERLINK("https://klasma.github.io/Logging_0580/kartor/A 36723-2023 karta.png", "A 36723-2023")</f>
        <v/>
      </c>
      <c r="V99">
        <f>HYPERLINK("https://klasma.github.io/Logging_0580/klagomål/A 36723-2023 FSC-klagomål.docx", "A 36723-2023")</f>
        <v/>
      </c>
      <c r="W99">
        <f>HYPERLINK("https://klasma.github.io/Logging_0580/klagomålsmail/A 36723-2023 FSC-klagomål mail.docx", "A 36723-2023")</f>
        <v/>
      </c>
      <c r="X99">
        <f>HYPERLINK("https://klasma.github.io/Logging_0580/tillsyn/A 36723-2023 tillsynsbegäran.docx", "A 36723-2023")</f>
        <v/>
      </c>
      <c r="Y99">
        <f>HYPERLINK("https://klasma.github.io/Logging_0580/tillsynsmail/A 36723-2023 tillsynsbegäran mail.docx", "A 36723-2023")</f>
        <v/>
      </c>
    </row>
    <row r="100" ht="15" customHeight="1">
      <c r="A100" t="inlineStr">
        <is>
          <t>A 21227-2026</t>
        </is>
      </c>
      <c r="B100" s="1" t="n">
        <v>46146.78898148148</v>
      </c>
      <c r="C100" s="1" t="n">
        <v>46174</v>
      </c>
      <c r="D100" t="inlineStr">
        <is>
          <t>ÖSTERGÖTLANDS LÄN</t>
        </is>
      </c>
      <c r="E100" t="inlineStr">
        <is>
          <t>LINKÖPING</t>
        </is>
      </c>
      <c r="G100" t="n">
        <v>1.8</v>
      </c>
      <c r="H100" t="n">
        <v>1</v>
      </c>
      <c r="I100" t="n">
        <v>0</v>
      </c>
      <c r="J100" t="n">
        <v>1</v>
      </c>
      <c r="K100" t="n">
        <v>0</v>
      </c>
      <c r="L100" t="n">
        <v>0</v>
      </c>
      <c r="M100" t="n">
        <v>0</v>
      </c>
      <c r="N100" t="n">
        <v>0</v>
      </c>
      <c r="O100" t="n">
        <v>1</v>
      </c>
      <c r="P100" t="n">
        <v>0</v>
      </c>
      <c r="Q100" t="n">
        <v>1</v>
      </c>
      <c r="R100" s="2" t="inlineStr">
        <is>
          <t>Rödvingetrast</t>
        </is>
      </c>
      <c r="S100">
        <f>HYPERLINK("https://klasma.github.io/Logging_0580/artfynd/A 21227-2026 artfynd.xlsx", "A 21227-2026")</f>
        <v/>
      </c>
      <c r="T100">
        <f>HYPERLINK("https://klasma.github.io/Logging_0580/kartor/A 21227-2026 karta.png", "A 21227-2026")</f>
        <v/>
      </c>
      <c r="V100">
        <f>HYPERLINK("https://klasma.github.io/Logging_0580/klagomål/A 21227-2026 FSC-klagomål.docx", "A 21227-2026")</f>
        <v/>
      </c>
      <c r="W100">
        <f>HYPERLINK("https://klasma.github.io/Logging_0580/klagomålsmail/A 21227-2026 FSC-klagomål mail.docx", "A 21227-2026")</f>
        <v/>
      </c>
      <c r="X100">
        <f>HYPERLINK("https://klasma.github.io/Logging_0580/tillsyn/A 21227-2026 tillsynsbegäran.docx", "A 21227-2026")</f>
        <v/>
      </c>
      <c r="Y100">
        <f>HYPERLINK("https://klasma.github.io/Logging_0580/tillsynsmail/A 21227-2026 tillsynsbegäran mail.docx", "A 21227-2026")</f>
        <v/>
      </c>
      <c r="Z100">
        <f>HYPERLINK("https://klasma.github.io/Logging_0580/fåglar/A 21227-2026 prioriterade fågelarter.docx", "A 21227-2026")</f>
        <v/>
      </c>
    </row>
    <row r="101" ht="15" customHeight="1">
      <c r="A101" t="inlineStr">
        <is>
          <t>A 38881-2021</t>
        </is>
      </c>
      <c r="B101" s="1" t="n">
        <v>44411.46893518518</v>
      </c>
      <c r="C101" s="1" t="n">
        <v>46174</v>
      </c>
      <c r="D101" t="inlineStr">
        <is>
          <t>ÖSTERGÖTLANDS LÄN</t>
        </is>
      </c>
      <c r="E101" t="inlineStr">
        <is>
          <t>LINKÖPING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38887-2021</t>
        </is>
      </c>
      <c r="B102" s="1" t="n">
        <v>44411</v>
      </c>
      <c r="C102" s="1" t="n">
        <v>46174</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56239-2021</t>
        </is>
      </c>
      <c r="B103" s="1" t="n">
        <v>44478</v>
      </c>
      <c r="C103" s="1" t="n">
        <v>46174</v>
      </c>
      <c r="D103" t="inlineStr">
        <is>
          <t>ÖSTERGÖTLANDS LÄN</t>
        </is>
      </c>
      <c r="E103" t="inlineStr">
        <is>
          <t>LINKÖPING</t>
        </is>
      </c>
      <c r="F103" t="inlineStr">
        <is>
          <t>Övriga Aktiebolag</t>
        </is>
      </c>
      <c r="G103" t="n">
        <v>3</v>
      </c>
      <c r="H103" t="n">
        <v>0</v>
      </c>
      <c r="I103" t="n">
        <v>0</v>
      </c>
      <c r="J103" t="n">
        <v>0</v>
      </c>
      <c r="K103" t="n">
        <v>0</v>
      </c>
      <c r="L103" t="n">
        <v>0</v>
      </c>
      <c r="M103" t="n">
        <v>0</v>
      </c>
      <c r="N103" t="n">
        <v>0</v>
      </c>
      <c r="O103" t="n">
        <v>0</v>
      </c>
      <c r="P103" t="n">
        <v>0</v>
      </c>
      <c r="Q103" t="n">
        <v>0</v>
      </c>
      <c r="R103" s="2" t="inlineStr"/>
    </row>
    <row r="104" ht="15" customHeight="1">
      <c r="A104" t="inlineStr">
        <is>
          <t>A 67322-2021</t>
        </is>
      </c>
      <c r="B104" s="1" t="n">
        <v>44523</v>
      </c>
      <c r="C104" s="1" t="n">
        <v>46174</v>
      </c>
      <c r="D104" t="inlineStr">
        <is>
          <t>ÖSTERGÖTLANDS LÄN</t>
        </is>
      </c>
      <c r="E104" t="inlineStr">
        <is>
          <t>LINKÖPING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7840-2022</t>
        </is>
      </c>
      <c r="B105" s="1" t="n">
        <v>44608</v>
      </c>
      <c r="C105" s="1" t="n">
        <v>46174</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40506-2021</t>
        </is>
      </c>
      <c r="B106" s="1" t="n">
        <v>44420</v>
      </c>
      <c r="C106" s="1" t="n">
        <v>46174</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46174</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58407-2021</t>
        </is>
      </c>
      <c r="B108" s="1" t="n">
        <v>44488</v>
      </c>
      <c r="C108" s="1" t="n">
        <v>46174</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30800-2022</t>
        </is>
      </c>
      <c r="B109" s="1" t="n">
        <v>44764.75119212963</v>
      </c>
      <c r="C109" s="1" t="n">
        <v>46174</v>
      </c>
      <c r="D109" t="inlineStr">
        <is>
          <t>ÖSTERGÖTLANDS LÄN</t>
        </is>
      </c>
      <c r="E109" t="inlineStr">
        <is>
          <t>LINKÖPING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40635-2021</t>
        </is>
      </c>
      <c r="B110" s="1" t="n">
        <v>44420</v>
      </c>
      <c r="C110" s="1" t="n">
        <v>46174</v>
      </c>
      <c r="D110" t="inlineStr">
        <is>
          <t>ÖSTERGÖTLANDS LÄN</t>
        </is>
      </c>
      <c r="E110" t="inlineStr">
        <is>
          <t>LINKÖPING</t>
        </is>
      </c>
      <c r="G110" t="n">
        <v>2.7</v>
      </c>
      <c r="H110" t="n">
        <v>0</v>
      </c>
      <c r="I110" t="n">
        <v>0</v>
      </c>
      <c r="J110" t="n">
        <v>0</v>
      </c>
      <c r="K110" t="n">
        <v>0</v>
      </c>
      <c r="L110" t="n">
        <v>0</v>
      </c>
      <c r="M110" t="n">
        <v>0</v>
      </c>
      <c r="N110" t="n">
        <v>0</v>
      </c>
      <c r="O110" t="n">
        <v>0</v>
      </c>
      <c r="P110" t="n">
        <v>0</v>
      </c>
      <c r="Q110" t="n">
        <v>0</v>
      </c>
      <c r="R110" s="2" t="inlineStr"/>
    </row>
    <row r="111" ht="15" customHeight="1">
      <c r="A111" t="inlineStr">
        <is>
          <t>A 49018-2022</t>
        </is>
      </c>
      <c r="B111" s="1" t="n">
        <v>44855</v>
      </c>
      <c r="C111" s="1" t="n">
        <v>46174</v>
      </c>
      <c r="D111" t="inlineStr">
        <is>
          <t>ÖSTERGÖTLANDS LÄN</t>
        </is>
      </c>
      <c r="E111" t="inlineStr">
        <is>
          <t>LINKÖPING</t>
        </is>
      </c>
      <c r="F111" t="inlineStr">
        <is>
          <t>Kommuner</t>
        </is>
      </c>
      <c r="G111" t="n">
        <v>0.4</v>
      </c>
      <c r="H111" t="n">
        <v>0</v>
      </c>
      <c r="I111" t="n">
        <v>0</v>
      </c>
      <c r="J111" t="n">
        <v>0</v>
      </c>
      <c r="K111" t="n">
        <v>0</v>
      </c>
      <c r="L111" t="n">
        <v>0</v>
      </c>
      <c r="M111" t="n">
        <v>0</v>
      </c>
      <c r="N111" t="n">
        <v>0</v>
      </c>
      <c r="O111" t="n">
        <v>0</v>
      </c>
      <c r="P111" t="n">
        <v>0</v>
      </c>
      <c r="Q111" t="n">
        <v>0</v>
      </c>
      <c r="R111" s="2" t="inlineStr"/>
    </row>
    <row r="112" ht="15" customHeight="1">
      <c r="A112" t="inlineStr">
        <is>
          <t>A 1581-2022</t>
        </is>
      </c>
      <c r="B112" s="1" t="n">
        <v>44573</v>
      </c>
      <c r="C112" s="1" t="n">
        <v>46174</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46234-2022</t>
        </is>
      </c>
      <c r="B113" s="1" t="n">
        <v>44846</v>
      </c>
      <c r="C113" s="1" t="n">
        <v>46174</v>
      </c>
      <c r="D113" t="inlineStr">
        <is>
          <t>ÖSTERGÖTLANDS LÄN</t>
        </is>
      </c>
      <c r="E113" t="inlineStr">
        <is>
          <t>LINKÖPING</t>
        </is>
      </c>
      <c r="G113" t="n">
        <v>3.3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46174</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38961-2021</t>
        </is>
      </c>
      <c r="B115" s="1" t="n">
        <v>44411</v>
      </c>
      <c r="C115" s="1" t="n">
        <v>46174</v>
      </c>
      <c r="D115" t="inlineStr">
        <is>
          <t>ÖSTERGÖTLANDS LÄN</t>
        </is>
      </c>
      <c r="E115" t="inlineStr">
        <is>
          <t>LINKÖPING</t>
        </is>
      </c>
      <c r="G115" t="n">
        <v>1.3</v>
      </c>
      <c r="H115" t="n">
        <v>0</v>
      </c>
      <c r="I115" t="n">
        <v>0</v>
      </c>
      <c r="J115" t="n">
        <v>0</v>
      </c>
      <c r="K115" t="n">
        <v>0</v>
      </c>
      <c r="L115" t="n">
        <v>0</v>
      </c>
      <c r="M115" t="n">
        <v>0</v>
      </c>
      <c r="N115" t="n">
        <v>0</v>
      </c>
      <c r="O115" t="n">
        <v>0</v>
      </c>
      <c r="P115" t="n">
        <v>0</v>
      </c>
      <c r="Q115" t="n">
        <v>0</v>
      </c>
      <c r="R115" s="2" t="inlineStr"/>
    </row>
    <row r="116" ht="15" customHeight="1">
      <c r="A116" t="inlineStr">
        <is>
          <t>A 159-2022</t>
        </is>
      </c>
      <c r="B116" s="1" t="n">
        <v>44564</v>
      </c>
      <c r="C116" s="1" t="n">
        <v>46174</v>
      </c>
      <c r="D116" t="inlineStr">
        <is>
          <t>ÖSTERGÖTLANDS LÄN</t>
        </is>
      </c>
      <c r="E116" t="inlineStr">
        <is>
          <t>LINKÖPING</t>
        </is>
      </c>
      <c r="G116" t="n">
        <v>0.3</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46174</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32433-2022</t>
        </is>
      </c>
      <c r="B118" s="1" t="n">
        <v>44782.48431712963</v>
      </c>
      <c r="C118" s="1" t="n">
        <v>46174</v>
      </c>
      <c r="D118" t="inlineStr">
        <is>
          <t>ÖSTERGÖTLANDS LÄN</t>
        </is>
      </c>
      <c r="E118" t="inlineStr">
        <is>
          <t>LINKÖPING</t>
        </is>
      </c>
      <c r="G118" t="n">
        <v>11.3</v>
      </c>
      <c r="H118" t="n">
        <v>0</v>
      </c>
      <c r="I118" t="n">
        <v>0</v>
      </c>
      <c r="J118" t="n">
        <v>0</v>
      </c>
      <c r="K118" t="n">
        <v>0</v>
      </c>
      <c r="L118" t="n">
        <v>0</v>
      </c>
      <c r="M118" t="n">
        <v>0</v>
      </c>
      <c r="N118" t="n">
        <v>0</v>
      </c>
      <c r="O118" t="n">
        <v>0</v>
      </c>
      <c r="P118" t="n">
        <v>0</v>
      </c>
      <c r="Q118" t="n">
        <v>0</v>
      </c>
      <c r="R118" s="2" t="inlineStr"/>
    </row>
    <row r="119" ht="15" customHeight="1">
      <c r="A119" t="inlineStr">
        <is>
          <t>A 38143-2021</t>
        </is>
      </c>
      <c r="B119" s="1" t="n">
        <v>44405</v>
      </c>
      <c r="C119" s="1" t="n">
        <v>46174</v>
      </c>
      <c r="D119" t="inlineStr">
        <is>
          <t>ÖSTERGÖTLANDS LÄN</t>
        </is>
      </c>
      <c r="E119" t="inlineStr">
        <is>
          <t>LINKÖPING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38254-2021</t>
        </is>
      </c>
      <c r="B120" s="1" t="n">
        <v>44405</v>
      </c>
      <c r="C120" s="1" t="n">
        <v>46174</v>
      </c>
      <c r="D120" t="inlineStr">
        <is>
          <t>ÖSTERGÖTLANDS LÄN</t>
        </is>
      </c>
      <c r="E120" t="inlineStr">
        <is>
          <t>LINKÖPING</t>
        </is>
      </c>
      <c r="G120" t="n">
        <v>1.9</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46174</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31703-2022</t>
        </is>
      </c>
      <c r="B122" s="1" t="n">
        <v>44776</v>
      </c>
      <c r="C122" s="1" t="n">
        <v>46174</v>
      </c>
      <c r="D122" t="inlineStr">
        <is>
          <t>ÖSTERGÖTLANDS LÄN</t>
        </is>
      </c>
      <c r="E122" t="inlineStr">
        <is>
          <t>LINKÖPING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46174</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53146-2021</t>
        </is>
      </c>
      <c r="B124" s="1" t="n">
        <v>44466</v>
      </c>
      <c r="C124" s="1" t="n">
        <v>46174</v>
      </c>
      <c r="D124" t="inlineStr">
        <is>
          <t>ÖSTERGÖTLANDS LÄN</t>
        </is>
      </c>
      <c r="E124" t="inlineStr">
        <is>
          <t>LINKÖPING</t>
        </is>
      </c>
      <c r="G124" t="n">
        <v>1.2</v>
      </c>
      <c r="H124" t="n">
        <v>0</v>
      </c>
      <c r="I124" t="n">
        <v>0</v>
      </c>
      <c r="J124" t="n">
        <v>0</v>
      </c>
      <c r="K124" t="n">
        <v>0</v>
      </c>
      <c r="L124" t="n">
        <v>0</v>
      </c>
      <c r="M124" t="n">
        <v>0</v>
      </c>
      <c r="N124" t="n">
        <v>0</v>
      </c>
      <c r="O124" t="n">
        <v>0</v>
      </c>
      <c r="P124" t="n">
        <v>0</v>
      </c>
      <c r="Q124" t="n">
        <v>0</v>
      </c>
      <c r="R124" s="2" t="inlineStr"/>
    </row>
    <row r="125" ht="15" customHeight="1">
      <c r="A125" t="inlineStr">
        <is>
          <t>A 17497-2022</t>
        </is>
      </c>
      <c r="B125" s="1" t="n">
        <v>44679</v>
      </c>
      <c r="C125" s="1" t="n">
        <v>46174</v>
      </c>
      <c r="D125" t="inlineStr">
        <is>
          <t>ÖSTERGÖTLANDS LÄN</t>
        </is>
      </c>
      <c r="E125" t="inlineStr">
        <is>
          <t>LINKÖPING</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17500-2022</t>
        </is>
      </c>
      <c r="B126" s="1" t="n">
        <v>44679</v>
      </c>
      <c r="C126" s="1" t="n">
        <v>46174</v>
      </c>
      <c r="D126" t="inlineStr">
        <is>
          <t>ÖSTERGÖTLANDS LÄN</t>
        </is>
      </c>
      <c r="E126" t="inlineStr">
        <is>
          <t>LINKÖPING</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32000-2022</t>
        </is>
      </c>
      <c r="B127" s="1" t="n">
        <v>44777</v>
      </c>
      <c r="C127" s="1" t="n">
        <v>46174</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33876-2021</t>
        </is>
      </c>
      <c r="B128" s="1" t="n">
        <v>44378</v>
      </c>
      <c r="C128" s="1" t="n">
        <v>46174</v>
      </c>
      <c r="D128" t="inlineStr">
        <is>
          <t>ÖSTERGÖTLANDS LÄN</t>
        </is>
      </c>
      <c r="E128" t="inlineStr">
        <is>
          <t>LINKÖPING</t>
        </is>
      </c>
      <c r="G128" t="n">
        <v>6.3</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46174</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46174</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46174</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46174</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46174</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46174</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46174</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46174</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46174</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46174</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46174</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46174</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46174</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46174</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27666-2022</t>
        </is>
      </c>
      <c r="B143" s="1" t="n">
        <v>44743.39017361111</v>
      </c>
      <c r="C143" s="1" t="n">
        <v>46174</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33134-2022</t>
        </is>
      </c>
      <c r="B144" s="1" t="n">
        <v>44785</v>
      </c>
      <c r="C144" s="1" t="n">
        <v>46174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13075-2022</t>
        </is>
      </c>
      <c r="B145" s="1" t="n">
        <v>44643</v>
      </c>
      <c r="C145" s="1" t="n">
        <v>46174</v>
      </c>
      <c r="D145" t="inlineStr">
        <is>
          <t>ÖSTERGÖTLANDS LÄN</t>
        </is>
      </c>
      <c r="E145" t="inlineStr">
        <is>
          <t>LINKÖPING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46174</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1787-2022</t>
        </is>
      </c>
      <c r="B147" s="1" t="n">
        <v>44574</v>
      </c>
      <c r="C147" s="1" t="n">
        <v>46174</v>
      </c>
      <c r="D147" t="inlineStr">
        <is>
          <t>ÖSTERGÖTLANDS LÄN</t>
        </is>
      </c>
      <c r="E147" t="inlineStr">
        <is>
          <t>LINKÖPING</t>
        </is>
      </c>
      <c r="G147" t="n">
        <v>1.9</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46174</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948-2022</t>
        </is>
      </c>
      <c r="B149" s="1" t="n">
        <v>44571</v>
      </c>
      <c r="C149" s="1" t="n">
        <v>46174</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52968-2021</t>
        </is>
      </c>
      <c r="B150" s="1" t="n">
        <v>44467</v>
      </c>
      <c r="C150" s="1" t="n">
        <v>46174</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34486-2021</t>
        </is>
      </c>
      <c r="B151" s="1" t="n">
        <v>44382.29295138889</v>
      </c>
      <c r="C151" s="1" t="n">
        <v>46174</v>
      </c>
      <c r="D151" t="inlineStr">
        <is>
          <t>ÖSTERGÖTLANDS LÄN</t>
        </is>
      </c>
      <c r="E151" t="inlineStr">
        <is>
          <t>LINKÖPING</t>
        </is>
      </c>
      <c r="G151" t="n">
        <v>4.4</v>
      </c>
      <c r="H151" t="n">
        <v>0</v>
      </c>
      <c r="I151" t="n">
        <v>0</v>
      </c>
      <c r="J151" t="n">
        <v>0</v>
      </c>
      <c r="K151" t="n">
        <v>0</v>
      </c>
      <c r="L151" t="n">
        <v>0</v>
      </c>
      <c r="M151" t="n">
        <v>0</v>
      </c>
      <c r="N151" t="n">
        <v>0</v>
      </c>
      <c r="O151" t="n">
        <v>0</v>
      </c>
      <c r="P151" t="n">
        <v>0</v>
      </c>
      <c r="Q151" t="n">
        <v>0</v>
      </c>
      <c r="R151" s="2" t="inlineStr"/>
    </row>
    <row r="152" ht="15" customHeight="1">
      <c r="A152" t="inlineStr">
        <is>
          <t>A 37014-2021</t>
        </is>
      </c>
      <c r="B152" s="1" t="n">
        <v>44393</v>
      </c>
      <c r="C152" s="1" t="n">
        <v>46174</v>
      </c>
      <c r="D152" t="inlineStr">
        <is>
          <t>ÖSTERGÖTLANDS LÄN</t>
        </is>
      </c>
      <c r="E152" t="inlineStr">
        <is>
          <t>LINKÖPING</t>
        </is>
      </c>
      <c r="F152" t="inlineStr">
        <is>
          <t>Allmännings- och besparingsskogar</t>
        </is>
      </c>
      <c r="G152" t="n">
        <v>7.7</v>
      </c>
      <c r="H152" t="n">
        <v>0</v>
      </c>
      <c r="I152" t="n">
        <v>0</v>
      </c>
      <c r="J152" t="n">
        <v>0</v>
      </c>
      <c r="K152" t="n">
        <v>0</v>
      </c>
      <c r="L152" t="n">
        <v>0</v>
      </c>
      <c r="M152" t="n">
        <v>0</v>
      </c>
      <c r="N152" t="n">
        <v>0</v>
      </c>
      <c r="O152" t="n">
        <v>0</v>
      </c>
      <c r="P152" t="n">
        <v>0</v>
      </c>
      <c r="Q152" t="n">
        <v>0</v>
      </c>
      <c r="R152" s="2" t="inlineStr"/>
    </row>
    <row r="153" ht="15" customHeight="1">
      <c r="A153" t="inlineStr">
        <is>
          <t>A 65395-2021</t>
        </is>
      </c>
      <c r="B153" s="1" t="n">
        <v>44515</v>
      </c>
      <c r="C153" s="1" t="n">
        <v>46174</v>
      </c>
      <c r="D153" t="inlineStr">
        <is>
          <t>ÖSTERGÖTLANDS LÄN</t>
        </is>
      </c>
      <c r="E153" t="inlineStr">
        <is>
          <t>LINKÖPING</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48016-2021</t>
        </is>
      </c>
      <c r="B154" s="1" t="n">
        <v>44449</v>
      </c>
      <c r="C154" s="1" t="n">
        <v>46174</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38134-2021</t>
        </is>
      </c>
      <c r="B155" s="1" t="n">
        <v>44405.3794212963</v>
      </c>
      <c r="C155" s="1" t="n">
        <v>46174</v>
      </c>
      <c r="D155" t="inlineStr">
        <is>
          <t>ÖSTERGÖTLANDS LÄN</t>
        </is>
      </c>
      <c r="E155" t="inlineStr">
        <is>
          <t>LINKÖPING</t>
        </is>
      </c>
      <c r="G155" t="n">
        <v>5.1</v>
      </c>
      <c r="H155" t="n">
        <v>0</v>
      </c>
      <c r="I155" t="n">
        <v>0</v>
      </c>
      <c r="J155" t="n">
        <v>0</v>
      </c>
      <c r="K155" t="n">
        <v>0</v>
      </c>
      <c r="L155" t="n">
        <v>0</v>
      </c>
      <c r="M155" t="n">
        <v>0</v>
      </c>
      <c r="N155" t="n">
        <v>0</v>
      </c>
      <c r="O155" t="n">
        <v>0</v>
      </c>
      <c r="P155" t="n">
        <v>0</v>
      </c>
      <c r="Q155" t="n">
        <v>0</v>
      </c>
      <c r="R155" s="2" t="inlineStr"/>
    </row>
    <row r="156" ht="15" customHeight="1">
      <c r="A156" t="inlineStr">
        <is>
          <t>A 30858-2022</t>
        </is>
      </c>
      <c r="B156" s="1" t="n">
        <v>44767</v>
      </c>
      <c r="C156" s="1" t="n">
        <v>46174</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23175-2022</t>
        </is>
      </c>
      <c r="B157" s="1" t="n">
        <v>44719</v>
      </c>
      <c r="C157" s="1" t="n">
        <v>46174</v>
      </c>
      <c r="D157" t="inlineStr">
        <is>
          <t>ÖSTERGÖTLANDS LÄN</t>
        </is>
      </c>
      <c r="E157" t="inlineStr">
        <is>
          <t>LINKÖPING</t>
        </is>
      </c>
      <c r="F157" t="inlineStr">
        <is>
          <t>Allmännings- och besparingsskogar</t>
        </is>
      </c>
      <c r="G157" t="n">
        <v>1.4</v>
      </c>
      <c r="H157" t="n">
        <v>0</v>
      </c>
      <c r="I157" t="n">
        <v>0</v>
      </c>
      <c r="J157" t="n">
        <v>0</v>
      </c>
      <c r="K157" t="n">
        <v>0</v>
      </c>
      <c r="L157" t="n">
        <v>0</v>
      </c>
      <c r="M157" t="n">
        <v>0</v>
      </c>
      <c r="N157" t="n">
        <v>0</v>
      </c>
      <c r="O157" t="n">
        <v>0</v>
      </c>
      <c r="P157" t="n">
        <v>0</v>
      </c>
      <c r="Q157" t="n">
        <v>0</v>
      </c>
      <c r="R157" s="2" t="inlineStr"/>
    </row>
    <row r="158" ht="15" customHeight="1">
      <c r="A158" t="inlineStr">
        <is>
          <t>A 44849-2022</t>
        </is>
      </c>
      <c r="B158" s="1" t="n">
        <v>44841</v>
      </c>
      <c r="C158" s="1" t="n">
        <v>46174</v>
      </c>
      <c r="D158" t="inlineStr">
        <is>
          <t>ÖSTERGÖTLANDS LÄN</t>
        </is>
      </c>
      <c r="E158" t="inlineStr">
        <is>
          <t>LINKÖPING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70835-2021</t>
        </is>
      </c>
      <c r="B159" s="1" t="n">
        <v>44537</v>
      </c>
      <c r="C159" s="1" t="n">
        <v>46174</v>
      </c>
      <c r="D159" t="inlineStr">
        <is>
          <t>ÖSTERGÖTLANDS LÄN</t>
        </is>
      </c>
      <c r="E159" t="inlineStr">
        <is>
          <t>LINKÖPING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31732-2022</t>
        </is>
      </c>
      <c r="B160" s="1" t="n">
        <v>44776.49267361111</v>
      </c>
      <c r="C160" s="1" t="n">
        <v>46174</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37934-2022</t>
        </is>
      </c>
      <c r="B161" s="1" t="n">
        <v>44809</v>
      </c>
      <c r="C161" s="1" t="n">
        <v>46174</v>
      </c>
      <c r="D161" t="inlineStr">
        <is>
          <t>ÖSTERGÖTLANDS LÄN</t>
        </is>
      </c>
      <c r="E161" t="inlineStr">
        <is>
          <t>LINKÖPING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23416-2022</t>
        </is>
      </c>
      <c r="B162" s="1" t="n">
        <v>44720.78243055556</v>
      </c>
      <c r="C162" s="1" t="n">
        <v>46174</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5605-2022</t>
        </is>
      </c>
      <c r="B163" s="1" t="n">
        <v>44595</v>
      </c>
      <c r="C163" s="1" t="n">
        <v>46174</v>
      </c>
      <c r="D163" t="inlineStr">
        <is>
          <t>ÖSTERGÖTLANDS LÄN</t>
        </is>
      </c>
      <c r="E163" t="inlineStr">
        <is>
          <t>LINKÖPING</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54854-2022</t>
        </is>
      </c>
      <c r="B164" s="1" t="n">
        <v>44884</v>
      </c>
      <c r="C164" s="1" t="n">
        <v>46174</v>
      </c>
      <c r="D164" t="inlineStr">
        <is>
          <t>ÖSTERGÖTLANDS LÄN</t>
        </is>
      </c>
      <c r="E164" t="inlineStr">
        <is>
          <t>LINKÖPING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54855-2022</t>
        </is>
      </c>
      <c r="B165" s="1" t="n">
        <v>44884.59502314815</v>
      </c>
      <c r="C165" s="1" t="n">
        <v>46174</v>
      </c>
      <c r="D165" t="inlineStr">
        <is>
          <t>ÖSTERGÖTLANDS LÄN</t>
        </is>
      </c>
      <c r="E165" t="inlineStr">
        <is>
          <t>LINKÖPING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58266-2021</t>
        </is>
      </c>
      <c r="B166" s="1" t="n">
        <v>44487</v>
      </c>
      <c r="C166" s="1" t="n">
        <v>46174</v>
      </c>
      <c r="D166" t="inlineStr">
        <is>
          <t>ÖSTERGÖTLANDS LÄN</t>
        </is>
      </c>
      <c r="E166" t="inlineStr">
        <is>
          <t>LINKÖPING</t>
        </is>
      </c>
      <c r="F166" t="inlineStr">
        <is>
          <t>Övriga Aktiebolag</t>
        </is>
      </c>
      <c r="G166" t="n">
        <v>3.2</v>
      </c>
      <c r="H166" t="n">
        <v>0</v>
      </c>
      <c r="I166" t="n">
        <v>0</v>
      </c>
      <c r="J166" t="n">
        <v>0</v>
      </c>
      <c r="K166" t="n">
        <v>0</v>
      </c>
      <c r="L166" t="n">
        <v>0</v>
      </c>
      <c r="M166" t="n">
        <v>0</v>
      </c>
      <c r="N166" t="n">
        <v>0</v>
      </c>
      <c r="O166" t="n">
        <v>0</v>
      </c>
      <c r="P166" t="n">
        <v>0</v>
      </c>
      <c r="Q166" t="n">
        <v>0</v>
      </c>
      <c r="R166" s="2" t="inlineStr"/>
    </row>
    <row r="167" ht="15" customHeight="1">
      <c r="A167" t="inlineStr">
        <is>
          <t>A 28447-2021</t>
        </is>
      </c>
      <c r="B167" s="1" t="n">
        <v>44356</v>
      </c>
      <c r="C167" s="1" t="n">
        <v>46174</v>
      </c>
      <c r="D167" t="inlineStr">
        <is>
          <t>ÖSTERGÖTLANDS LÄN</t>
        </is>
      </c>
      <c r="E167" t="inlineStr">
        <is>
          <t>LINKÖPING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61302-2021</t>
        </is>
      </c>
      <c r="B168" s="1" t="n">
        <v>44498.63189814815</v>
      </c>
      <c r="C168" s="1" t="n">
        <v>46174</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46174</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56688-2021</t>
        </is>
      </c>
      <c r="B170" s="1" t="n">
        <v>44481</v>
      </c>
      <c r="C170" s="1" t="n">
        <v>46174</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31705-2022</t>
        </is>
      </c>
      <c r="B171" s="1" t="n">
        <v>44776.43607638889</v>
      </c>
      <c r="C171" s="1" t="n">
        <v>46174</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19318-2022</t>
        </is>
      </c>
      <c r="B172" s="1" t="n">
        <v>44692.5827662037</v>
      </c>
      <c r="C172" s="1" t="n">
        <v>46174</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41426-2022</t>
        </is>
      </c>
      <c r="B173" s="1" t="n">
        <v>44826</v>
      </c>
      <c r="C173" s="1" t="n">
        <v>46174</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54467-2022</t>
        </is>
      </c>
      <c r="B174" s="1" t="n">
        <v>44882</v>
      </c>
      <c r="C174" s="1" t="n">
        <v>46174</v>
      </c>
      <c r="D174" t="inlineStr">
        <is>
          <t>ÖSTERGÖTLANDS LÄN</t>
        </is>
      </c>
      <c r="E174" t="inlineStr">
        <is>
          <t>LINKÖPING</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65398-2021</t>
        </is>
      </c>
      <c r="B175" s="1" t="n">
        <v>44515</v>
      </c>
      <c r="C175" s="1" t="n">
        <v>46174</v>
      </c>
      <c r="D175" t="inlineStr">
        <is>
          <t>ÖSTERGÖTLANDS LÄN</t>
        </is>
      </c>
      <c r="E175" t="inlineStr">
        <is>
          <t>LINKÖPING</t>
        </is>
      </c>
      <c r="F175" t="inlineStr">
        <is>
          <t>Övriga statliga verk och myndigheter</t>
        </is>
      </c>
      <c r="G175" t="n">
        <v>2.4</v>
      </c>
      <c r="H175" t="n">
        <v>0</v>
      </c>
      <c r="I175" t="n">
        <v>0</v>
      </c>
      <c r="J175" t="n">
        <v>0</v>
      </c>
      <c r="K175" t="n">
        <v>0</v>
      </c>
      <c r="L175" t="n">
        <v>0</v>
      </c>
      <c r="M175" t="n">
        <v>0</v>
      </c>
      <c r="N175" t="n">
        <v>0</v>
      </c>
      <c r="O175" t="n">
        <v>0</v>
      </c>
      <c r="P175" t="n">
        <v>0</v>
      </c>
      <c r="Q175" t="n">
        <v>0</v>
      </c>
      <c r="R175" s="2" t="inlineStr"/>
    </row>
    <row r="176" ht="15" customHeight="1">
      <c r="A176" t="inlineStr">
        <is>
          <t>A 34162-2022</t>
        </is>
      </c>
      <c r="B176" s="1" t="n">
        <v>44791</v>
      </c>
      <c r="C176" s="1" t="n">
        <v>46174</v>
      </c>
      <c r="D176" t="inlineStr">
        <is>
          <t>ÖSTERGÖTLANDS LÄN</t>
        </is>
      </c>
      <c r="E176" t="inlineStr">
        <is>
          <t>LINKÖPING</t>
        </is>
      </c>
      <c r="G176" t="n">
        <v>3</v>
      </c>
      <c r="H176" t="n">
        <v>0</v>
      </c>
      <c r="I176" t="n">
        <v>0</v>
      </c>
      <c r="J176" t="n">
        <v>0</v>
      </c>
      <c r="K176" t="n">
        <v>0</v>
      </c>
      <c r="L176" t="n">
        <v>0</v>
      </c>
      <c r="M176" t="n">
        <v>0</v>
      </c>
      <c r="N176" t="n">
        <v>0</v>
      </c>
      <c r="O176" t="n">
        <v>0</v>
      </c>
      <c r="P176" t="n">
        <v>0</v>
      </c>
      <c r="Q176" t="n">
        <v>0</v>
      </c>
      <c r="R176" s="2" t="inlineStr"/>
    </row>
    <row r="177" ht="15" customHeight="1">
      <c r="A177" t="inlineStr">
        <is>
          <t>A 36341-2022</t>
        </is>
      </c>
      <c r="B177" s="1" t="n">
        <v>44803</v>
      </c>
      <c r="C177" s="1" t="n">
        <v>46174</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46174</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46174</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46174</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61298-2021</t>
        </is>
      </c>
      <c r="B181" s="1" t="n">
        <v>44498.62533564815</v>
      </c>
      <c r="C181" s="1" t="n">
        <v>46174</v>
      </c>
      <c r="D181" t="inlineStr">
        <is>
          <t>ÖSTERGÖTLANDS LÄN</t>
        </is>
      </c>
      <c r="E181" t="inlineStr">
        <is>
          <t>LINKÖPING</t>
        </is>
      </c>
      <c r="G181" t="n">
        <v>4.3</v>
      </c>
      <c r="H181" t="n">
        <v>0</v>
      </c>
      <c r="I181" t="n">
        <v>0</v>
      </c>
      <c r="J181" t="n">
        <v>0</v>
      </c>
      <c r="K181" t="n">
        <v>0</v>
      </c>
      <c r="L181" t="n">
        <v>0</v>
      </c>
      <c r="M181" t="n">
        <v>0</v>
      </c>
      <c r="N181" t="n">
        <v>0</v>
      </c>
      <c r="O181" t="n">
        <v>0</v>
      </c>
      <c r="P181" t="n">
        <v>0</v>
      </c>
      <c r="Q181" t="n">
        <v>0</v>
      </c>
      <c r="R181" s="2" t="inlineStr"/>
    </row>
    <row r="182" ht="15" customHeight="1">
      <c r="A182" t="inlineStr">
        <is>
          <t>A 61333-2021</t>
        </is>
      </c>
      <c r="B182" s="1" t="n">
        <v>44498.6764699074</v>
      </c>
      <c r="C182" s="1" t="n">
        <v>46174</v>
      </c>
      <c r="D182" t="inlineStr">
        <is>
          <t>ÖSTERGÖTLANDS LÄN</t>
        </is>
      </c>
      <c r="E182" t="inlineStr">
        <is>
          <t>LINKÖPING</t>
        </is>
      </c>
      <c r="G182" t="n">
        <v>7.5</v>
      </c>
      <c r="H182" t="n">
        <v>0</v>
      </c>
      <c r="I182" t="n">
        <v>0</v>
      </c>
      <c r="J182" t="n">
        <v>0</v>
      </c>
      <c r="K182" t="n">
        <v>0</v>
      </c>
      <c r="L182" t="n">
        <v>0</v>
      </c>
      <c r="M182" t="n">
        <v>0</v>
      </c>
      <c r="N182" t="n">
        <v>0</v>
      </c>
      <c r="O182" t="n">
        <v>0</v>
      </c>
      <c r="P182" t="n">
        <v>0</v>
      </c>
      <c r="Q182" t="n">
        <v>0</v>
      </c>
      <c r="R182" s="2" t="inlineStr"/>
    </row>
    <row r="183" ht="15" customHeight="1">
      <c r="A183" t="inlineStr">
        <is>
          <t>A 12412-2022</t>
        </is>
      </c>
      <c r="B183" s="1" t="n">
        <v>44638</v>
      </c>
      <c r="C183" s="1" t="n">
        <v>46174</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4240-2022</t>
        </is>
      </c>
      <c r="B184" s="1" t="n">
        <v>44588</v>
      </c>
      <c r="C184" s="1" t="n">
        <v>46174</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10951-2022</t>
        </is>
      </c>
      <c r="B185" s="1" t="n">
        <v>44627</v>
      </c>
      <c r="C185" s="1" t="n">
        <v>46174</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44446.44587962963</v>
      </c>
      <c r="C186" s="1" t="n">
        <v>46174</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20291-2025</t>
        </is>
      </c>
      <c r="B187" s="1" t="n">
        <v>45774.74288194445</v>
      </c>
      <c r="C187" s="1" t="n">
        <v>46174</v>
      </c>
      <c r="D187" t="inlineStr">
        <is>
          <t>ÖSTERGÖTLANDS LÄN</t>
        </is>
      </c>
      <c r="E187" t="inlineStr">
        <is>
          <t>LINKÖPING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20293-2025</t>
        </is>
      </c>
      <c r="B188" s="1" t="n">
        <v>45774.74611111111</v>
      </c>
      <c r="C188" s="1" t="n">
        <v>46174</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61281-2021</t>
        </is>
      </c>
      <c r="B189" s="1" t="n">
        <v>44498.60736111111</v>
      </c>
      <c r="C189" s="1" t="n">
        <v>46174</v>
      </c>
      <c r="D189" t="inlineStr">
        <is>
          <t>ÖSTERGÖTLANDS LÄN</t>
        </is>
      </c>
      <c r="E189" t="inlineStr">
        <is>
          <t>LINKÖPING</t>
        </is>
      </c>
      <c r="G189" t="n">
        <v>4.5</v>
      </c>
      <c r="H189" t="n">
        <v>0</v>
      </c>
      <c r="I189" t="n">
        <v>0</v>
      </c>
      <c r="J189" t="n">
        <v>0</v>
      </c>
      <c r="K189" t="n">
        <v>0</v>
      </c>
      <c r="L189" t="n">
        <v>0</v>
      </c>
      <c r="M189" t="n">
        <v>0</v>
      </c>
      <c r="N189" t="n">
        <v>0</v>
      </c>
      <c r="O189" t="n">
        <v>0</v>
      </c>
      <c r="P189" t="n">
        <v>0</v>
      </c>
      <c r="Q189" t="n">
        <v>0</v>
      </c>
      <c r="R189" s="2" t="inlineStr"/>
    </row>
    <row r="190" ht="15" customHeight="1">
      <c r="A190" t="inlineStr">
        <is>
          <t>A 32255-2021</t>
        </is>
      </c>
      <c r="B190" s="1" t="n">
        <v>44371.45949074074</v>
      </c>
      <c r="C190" s="1" t="n">
        <v>46174</v>
      </c>
      <c r="D190" t="inlineStr">
        <is>
          <t>ÖSTERGÖTLANDS LÄN</t>
        </is>
      </c>
      <c r="E190" t="inlineStr">
        <is>
          <t>LINKÖPING</t>
        </is>
      </c>
      <c r="F190" t="inlineStr">
        <is>
          <t>Övriga Aktiebolag</t>
        </is>
      </c>
      <c r="G190" t="n">
        <v>1.1</v>
      </c>
      <c r="H190" t="n">
        <v>0</v>
      </c>
      <c r="I190" t="n">
        <v>0</v>
      </c>
      <c r="J190" t="n">
        <v>0</v>
      </c>
      <c r="K190" t="n">
        <v>0</v>
      </c>
      <c r="L190" t="n">
        <v>0</v>
      </c>
      <c r="M190" t="n">
        <v>0</v>
      </c>
      <c r="N190" t="n">
        <v>0</v>
      </c>
      <c r="O190" t="n">
        <v>0</v>
      </c>
      <c r="P190" t="n">
        <v>0</v>
      </c>
      <c r="Q190" t="n">
        <v>0</v>
      </c>
      <c r="R190" s="2" t="inlineStr"/>
    </row>
    <row r="191" ht="15" customHeight="1">
      <c r="A191" t="inlineStr">
        <is>
          <t>A 6206-2024</t>
        </is>
      </c>
      <c r="B191" s="1" t="n">
        <v>45337.5977662037</v>
      </c>
      <c r="C191" s="1" t="n">
        <v>46174</v>
      </c>
      <c r="D191" t="inlineStr">
        <is>
          <t>ÖSTERGÖTLANDS LÄN</t>
        </is>
      </c>
      <c r="E191" t="inlineStr">
        <is>
          <t>LINKÖPING</t>
        </is>
      </c>
      <c r="G191" t="n">
        <v>2</v>
      </c>
      <c r="H191" t="n">
        <v>0</v>
      </c>
      <c r="I191" t="n">
        <v>0</v>
      </c>
      <c r="J191" t="n">
        <v>0</v>
      </c>
      <c r="K191" t="n">
        <v>0</v>
      </c>
      <c r="L191" t="n">
        <v>0</v>
      </c>
      <c r="M191" t="n">
        <v>0</v>
      </c>
      <c r="N191" t="n">
        <v>0</v>
      </c>
      <c r="O191" t="n">
        <v>0</v>
      </c>
      <c r="P191" t="n">
        <v>0</v>
      </c>
      <c r="Q191" t="n">
        <v>0</v>
      </c>
      <c r="R191" s="2" t="inlineStr"/>
    </row>
    <row r="192" ht="15" customHeight="1">
      <c r="A192" t="inlineStr">
        <is>
          <t>A 3041-2024</t>
        </is>
      </c>
      <c r="B192" s="1" t="n">
        <v>45316.34875</v>
      </c>
      <c r="C192" s="1" t="n">
        <v>46174</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50963-2021</t>
        </is>
      </c>
      <c r="B193" s="1" t="n">
        <v>44460</v>
      </c>
      <c r="C193" s="1" t="n">
        <v>46174</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61307-2021</t>
        </is>
      </c>
      <c r="B194" s="1" t="n">
        <v>44498.63928240741</v>
      </c>
      <c r="C194" s="1" t="n">
        <v>46174</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61325-2021</t>
        </is>
      </c>
      <c r="B195" s="1" t="n">
        <v>44498.66814814815</v>
      </c>
      <c r="C195" s="1" t="n">
        <v>46174</v>
      </c>
      <c r="D195" t="inlineStr">
        <is>
          <t>ÖSTERGÖTLANDS LÄN</t>
        </is>
      </c>
      <c r="E195" t="inlineStr">
        <is>
          <t>LINKÖPING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46174</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168-2024</t>
        </is>
      </c>
      <c r="B197" s="1" t="n">
        <v>45294</v>
      </c>
      <c r="C197" s="1" t="n">
        <v>46174</v>
      </c>
      <c r="D197" t="inlineStr">
        <is>
          <t>ÖSTERGÖTLANDS LÄN</t>
        </is>
      </c>
      <c r="E197" t="inlineStr">
        <is>
          <t>LINKÖPING</t>
        </is>
      </c>
      <c r="F197" t="inlineStr">
        <is>
          <t>Allmännings- och besparingsskogar</t>
        </is>
      </c>
      <c r="G197" t="n">
        <v>8.9</v>
      </c>
      <c r="H197" t="n">
        <v>0</v>
      </c>
      <c r="I197" t="n">
        <v>0</v>
      </c>
      <c r="J197" t="n">
        <v>0</v>
      </c>
      <c r="K197" t="n">
        <v>0</v>
      </c>
      <c r="L197" t="n">
        <v>0</v>
      </c>
      <c r="M197" t="n">
        <v>0</v>
      </c>
      <c r="N197" t="n">
        <v>0</v>
      </c>
      <c r="O197" t="n">
        <v>0</v>
      </c>
      <c r="P197" t="n">
        <v>0</v>
      </c>
      <c r="Q197" t="n">
        <v>0</v>
      </c>
      <c r="R197" s="2" t="inlineStr"/>
    </row>
    <row r="198" ht="15" customHeight="1">
      <c r="A198" t="inlineStr">
        <is>
          <t>A 63665-2023</t>
        </is>
      </c>
      <c r="B198" s="1" t="n">
        <v>45275</v>
      </c>
      <c r="C198" s="1" t="n">
        <v>46174</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33891-2021</t>
        </is>
      </c>
      <c r="B199" s="1" t="n">
        <v>44378</v>
      </c>
      <c r="C199" s="1" t="n">
        <v>46174</v>
      </c>
      <c r="D199" t="inlineStr">
        <is>
          <t>ÖSTERGÖTLANDS LÄN</t>
        </is>
      </c>
      <c r="E199" t="inlineStr">
        <is>
          <t>LINKÖPING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51919-2024</t>
        </is>
      </c>
      <c r="B200" s="1" t="n">
        <v>45607.60791666667</v>
      </c>
      <c r="C200" s="1" t="n">
        <v>46174</v>
      </c>
      <c r="D200" t="inlineStr">
        <is>
          <t>ÖSTERGÖTLANDS LÄN</t>
        </is>
      </c>
      <c r="E200" t="inlineStr">
        <is>
          <t>LINKÖPING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56623-2024</t>
        </is>
      </c>
      <c r="B201" s="1" t="n">
        <v>45625</v>
      </c>
      <c r="C201" s="1" t="n">
        <v>46174</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46174</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46174</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33867-2023</t>
        </is>
      </c>
      <c r="B204" s="1" t="n">
        <v>45133.94640046296</v>
      </c>
      <c r="C204" s="1" t="n">
        <v>46174</v>
      </c>
      <c r="D204" t="inlineStr">
        <is>
          <t>ÖSTERGÖTLANDS LÄN</t>
        </is>
      </c>
      <c r="E204" t="inlineStr">
        <is>
          <t>LINKÖPING</t>
        </is>
      </c>
      <c r="G204" t="n">
        <v>2.3</v>
      </c>
      <c r="H204" t="n">
        <v>0</v>
      </c>
      <c r="I204" t="n">
        <v>0</v>
      </c>
      <c r="J204" t="n">
        <v>0</v>
      </c>
      <c r="K204" t="n">
        <v>0</v>
      </c>
      <c r="L204" t="n">
        <v>0</v>
      </c>
      <c r="M204" t="n">
        <v>0</v>
      </c>
      <c r="N204" t="n">
        <v>0</v>
      </c>
      <c r="O204" t="n">
        <v>0</v>
      </c>
      <c r="P204" t="n">
        <v>0</v>
      </c>
      <c r="Q204" t="n">
        <v>0</v>
      </c>
      <c r="R204" s="2" t="inlineStr"/>
    </row>
    <row r="205" ht="15" customHeight="1">
      <c r="A205" t="inlineStr">
        <is>
          <t>A 11330-2023</t>
        </is>
      </c>
      <c r="B205" s="1" t="n">
        <v>44993.24648148148</v>
      </c>
      <c r="C205" s="1" t="n">
        <v>46174</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63304-2021</t>
        </is>
      </c>
      <c r="B206" s="1" t="n">
        <v>44508.4396412037</v>
      </c>
      <c r="C206" s="1" t="n">
        <v>46174</v>
      </c>
      <c r="D206" t="inlineStr">
        <is>
          <t>ÖSTERGÖTLANDS LÄN</t>
        </is>
      </c>
      <c r="E206" t="inlineStr">
        <is>
          <t>LINKÖPING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14528-2025</t>
        </is>
      </c>
      <c r="B207" s="1" t="n">
        <v>45741</v>
      </c>
      <c r="C207" s="1" t="n">
        <v>46174</v>
      </c>
      <c r="D207" t="inlineStr">
        <is>
          <t>ÖSTERGÖTLANDS LÄN</t>
        </is>
      </c>
      <c r="E207" t="inlineStr">
        <is>
          <t>LINKÖPING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3008-2023</t>
        </is>
      </c>
      <c r="B208" s="1" t="n">
        <v>44945.79784722222</v>
      </c>
      <c r="C208" s="1" t="n">
        <v>46174</v>
      </c>
      <c r="D208" t="inlineStr">
        <is>
          <t>ÖSTERGÖTLANDS LÄN</t>
        </is>
      </c>
      <c r="E208" t="inlineStr">
        <is>
          <t>LINKÖPING</t>
        </is>
      </c>
      <c r="G208" t="n">
        <v>19.3</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46174</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30985-2022</t>
        </is>
      </c>
      <c r="B210" s="1" t="n">
        <v>44768</v>
      </c>
      <c r="C210" s="1" t="n">
        <v>46174</v>
      </c>
      <c r="D210" t="inlineStr">
        <is>
          <t>ÖSTERGÖTLANDS LÄN</t>
        </is>
      </c>
      <c r="E210" t="inlineStr">
        <is>
          <t>LINKÖPING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38317-2024</t>
        </is>
      </c>
      <c r="B211" s="1" t="n">
        <v>45545.65766203704</v>
      </c>
      <c r="C211" s="1" t="n">
        <v>46174</v>
      </c>
      <c r="D211" t="inlineStr">
        <is>
          <t>ÖSTERGÖTLANDS LÄN</t>
        </is>
      </c>
      <c r="E211" t="inlineStr">
        <is>
          <t>LINKÖPING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34558-2022</t>
        </is>
      </c>
      <c r="B212" s="1" t="n">
        <v>44794.57594907407</v>
      </c>
      <c r="C212" s="1" t="n">
        <v>46174</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63489-2023</t>
        </is>
      </c>
      <c r="B213" s="1" t="n">
        <v>45274.66761574074</v>
      </c>
      <c r="C213" s="1" t="n">
        <v>46174</v>
      </c>
      <c r="D213" t="inlineStr">
        <is>
          <t>ÖSTERGÖTLANDS LÄN</t>
        </is>
      </c>
      <c r="E213" t="inlineStr">
        <is>
          <t>LINKÖPING</t>
        </is>
      </c>
      <c r="G213" t="n">
        <v>2.3</v>
      </c>
      <c r="H213" t="n">
        <v>0</v>
      </c>
      <c r="I213" t="n">
        <v>0</v>
      </c>
      <c r="J213" t="n">
        <v>0</v>
      </c>
      <c r="K213" t="n">
        <v>0</v>
      </c>
      <c r="L213" t="n">
        <v>0</v>
      </c>
      <c r="M213" t="n">
        <v>0</v>
      </c>
      <c r="N213" t="n">
        <v>0</v>
      </c>
      <c r="O213" t="n">
        <v>0</v>
      </c>
      <c r="P213" t="n">
        <v>0</v>
      </c>
      <c r="Q213" t="n">
        <v>0</v>
      </c>
      <c r="R213" s="2" t="inlineStr"/>
    </row>
    <row r="214" ht="15" customHeight="1">
      <c r="A214" t="inlineStr">
        <is>
          <t>A 3530-2024</t>
        </is>
      </c>
      <c r="B214" s="1" t="n">
        <v>45320.54717592592</v>
      </c>
      <c r="C214" s="1" t="n">
        <v>46174</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62073-2023</t>
        </is>
      </c>
      <c r="B215" s="1" t="n">
        <v>45266.73844907407</v>
      </c>
      <c r="C215" s="1" t="n">
        <v>46174</v>
      </c>
      <c r="D215" t="inlineStr">
        <is>
          <t>ÖSTERGÖTLANDS LÄN</t>
        </is>
      </c>
      <c r="E215" t="inlineStr">
        <is>
          <t>LINKÖPING</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28266-2024</t>
        </is>
      </c>
      <c r="B216" s="1" t="n">
        <v>45477.43600694444</v>
      </c>
      <c r="C216" s="1" t="n">
        <v>46174</v>
      </c>
      <c r="D216" t="inlineStr">
        <is>
          <t>ÖSTERGÖTLANDS LÄN</t>
        </is>
      </c>
      <c r="E216" t="inlineStr">
        <is>
          <t>LINKÖPING</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5872-2025</t>
        </is>
      </c>
      <c r="B217" s="1" t="n">
        <v>45695.36659722222</v>
      </c>
      <c r="C217" s="1" t="n">
        <v>46174</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53814-2023</t>
        </is>
      </c>
      <c r="B218" s="1" t="n">
        <v>45231</v>
      </c>
      <c r="C218" s="1" t="n">
        <v>46174</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3432-2023</t>
        </is>
      </c>
      <c r="B219" s="1" t="n">
        <v>44949</v>
      </c>
      <c r="C219" s="1" t="n">
        <v>46174</v>
      </c>
      <c r="D219" t="inlineStr">
        <is>
          <t>ÖSTERGÖTLANDS LÄN</t>
        </is>
      </c>
      <c r="E219" t="inlineStr">
        <is>
          <t>LINKÖPING</t>
        </is>
      </c>
      <c r="G219" t="n">
        <v>1.9</v>
      </c>
      <c r="H219" t="n">
        <v>0</v>
      </c>
      <c r="I219" t="n">
        <v>0</v>
      </c>
      <c r="J219" t="n">
        <v>0</v>
      </c>
      <c r="K219" t="n">
        <v>0</v>
      </c>
      <c r="L219" t="n">
        <v>0</v>
      </c>
      <c r="M219" t="n">
        <v>0</v>
      </c>
      <c r="N219" t="n">
        <v>0</v>
      </c>
      <c r="O219" t="n">
        <v>0</v>
      </c>
      <c r="P219" t="n">
        <v>0</v>
      </c>
      <c r="Q219" t="n">
        <v>0</v>
      </c>
      <c r="R219" s="2" t="inlineStr"/>
    </row>
    <row r="220" ht="15" customHeight="1">
      <c r="A220" t="inlineStr">
        <is>
          <t>A 25418-2023</t>
        </is>
      </c>
      <c r="B220" s="1" t="n">
        <v>45089</v>
      </c>
      <c r="C220" s="1" t="n">
        <v>46174</v>
      </c>
      <c r="D220" t="inlineStr">
        <is>
          <t>ÖSTERGÖTLANDS LÄN</t>
        </is>
      </c>
      <c r="E220" t="inlineStr">
        <is>
          <t>LINKÖPING</t>
        </is>
      </c>
      <c r="F220" t="inlineStr">
        <is>
          <t>Övriga Aktiebolag</t>
        </is>
      </c>
      <c r="G220" t="n">
        <v>2.4</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46174</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54425-2022</t>
        </is>
      </c>
      <c r="B222" s="1" t="n">
        <v>44882.57453703704</v>
      </c>
      <c r="C222" s="1" t="n">
        <v>46174</v>
      </c>
      <c r="D222" t="inlineStr">
        <is>
          <t>ÖSTERGÖTLANDS LÄN</t>
        </is>
      </c>
      <c r="E222" t="inlineStr">
        <is>
          <t>LINKÖPING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54428-2022</t>
        </is>
      </c>
      <c r="B223" s="1" t="n">
        <v>44882.57643518518</v>
      </c>
      <c r="C223" s="1" t="n">
        <v>46174</v>
      </c>
      <c r="D223" t="inlineStr">
        <is>
          <t>ÖSTERGÖTLANDS LÄN</t>
        </is>
      </c>
      <c r="E223" t="inlineStr">
        <is>
          <t>LINKÖPING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20455-2024</t>
        </is>
      </c>
      <c r="B224" s="1" t="n">
        <v>45435.65314814815</v>
      </c>
      <c r="C224" s="1" t="n">
        <v>46174</v>
      </c>
      <c r="D224" t="inlineStr">
        <is>
          <t>ÖSTERGÖTLANDS LÄN</t>
        </is>
      </c>
      <c r="E224" t="inlineStr">
        <is>
          <t>LINKÖPING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224-2024</t>
        </is>
      </c>
      <c r="B225" s="1" t="n">
        <v>45294</v>
      </c>
      <c r="C225" s="1" t="n">
        <v>46174</v>
      </c>
      <c r="D225" t="inlineStr">
        <is>
          <t>ÖSTERGÖTLANDS LÄN</t>
        </is>
      </c>
      <c r="E225" t="inlineStr">
        <is>
          <t>LINKÖPING</t>
        </is>
      </c>
      <c r="G225" t="n">
        <v>2.8</v>
      </c>
      <c r="H225" t="n">
        <v>0</v>
      </c>
      <c r="I225" t="n">
        <v>0</v>
      </c>
      <c r="J225" t="n">
        <v>0</v>
      </c>
      <c r="K225" t="n">
        <v>0</v>
      </c>
      <c r="L225" t="n">
        <v>0</v>
      </c>
      <c r="M225" t="n">
        <v>0</v>
      </c>
      <c r="N225" t="n">
        <v>0</v>
      </c>
      <c r="O225" t="n">
        <v>0</v>
      </c>
      <c r="P225" t="n">
        <v>0</v>
      </c>
      <c r="Q225" t="n">
        <v>0</v>
      </c>
      <c r="R225" s="2" t="inlineStr"/>
    </row>
    <row r="226" ht="15" customHeight="1">
      <c r="A226" t="inlineStr">
        <is>
          <t>A 58947-2022</t>
        </is>
      </c>
      <c r="B226" s="1" t="n">
        <v>44903.64769675926</v>
      </c>
      <c r="C226" s="1" t="n">
        <v>46174</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61153-2021</t>
        </is>
      </c>
      <c r="B227" s="1" t="n">
        <v>44497</v>
      </c>
      <c r="C227" s="1" t="n">
        <v>46174</v>
      </c>
      <c r="D227" t="inlineStr">
        <is>
          <t>ÖSTERGÖTLANDS LÄN</t>
        </is>
      </c>
      <c r="E227" t="inlineStr">
        <is>
          <t>LINKÖPING</t>
        </is>
      </c>
      <c r="G227" t="n">
        <v>1.7</v>
      </c>
      <c r="H227" t="n">
        <v>0</v>
      </c>
      <c r="I227" t="n">
        <v>0</v>
      </c>
      <c r="J227" t="n">
        <v>0</v>
      </c>
      <c r="K227" t="n">
        <v>0</v>
      </c>
      <c r="L227" t="n">
        <v>0</v>
      </c>
      <c r="M227" t="n">
        <v>0</v>
      </c>
      <c r="N227" t="n">
        <v>0</v>
      </c>
      <c r="O227" t="n">
        <v>0</v>
      </c>
      <c r="P227" t="n">
        <v>0</v>
      </c>
      <c r="Q227" t="n">
        <v>0</v>
      </c>
      <c r="R227" s="2" t="inlineStr"/>
    </row>
    <row r="228" ht="15" customHeight="1">
      <c r="A228" t="inlineStr">
        <is>
          <t>A 54845-2023</t>
        </is>
      </c>
      <c r="B228" s="1" t="n">
        <v>45236</v>
      </c>
      <c r="C228" s="1" t="n">
        <v>46174</v>
      </c>
      <c r="D228" t="inlineStr">
        <is>
          <t>ÖSTERGÖTLANDS LÄN</t>
        </is>
      </c>
      <c r="E228" t="inlineStr">
        <is>
          <t>LINKÖPING</t>
        </is>
      </c>
      <c r="F228" t="inlineStr">
        <is>
          <t>Övriga Aktiebolag</t>
        </is>
      </c>
      <c r="G228" t="n">
        <v>5.7</v>
      </c>
      <c r="H228" t="n">
        <v>0</v>
      </c>
      <c r="I228" t="n">
        <v>0</v>
      </c>
      <c r="J228" t="n">
        <v>0</v>
      </c>
      <c r="K228" t="n">
        <v>0</v>
      </c>
      <c r="L228" t="n">
        <v>0</v>
      </c>
      <c r="M228" t="n">
        <v>0</v>
      </c>
      <c r="N228" t="n">
        <v>0</v>
      </c>
      <c r="O228" t="n">
        <v>0</v>
      </c>
      <c r="P228" t="n">
        <v>0</v>
      </c>
      <c r="Q228" t="n">
        <v>0</v>
      </c>
      <c r="R228" s="2" t="inlineStr"/>
    </row>
    <row r="229" ht="15" customHeight="1">
      <c r="A229" t="inlineStr">
        <is>
          <t>A 62488-2023</t>
        </is>
      </c>
      <c r="B229" s="1" t="n">
        <v>45268.5847337963</v>
      </c>
      <c r="C229" s="1" t="n">
        <v>46174</v>
      </c>
      <c r="D229" t="inlineStr">
        <is>
          <t>ÖSTERGÖTLANDS LÄN</t>
        </is>
      </c>
      <c r="E229" t="inlineStr">
        <is>
          <t>LINKÖPING</t>
        </is>
      </c>
      <c r="G229" t="n">
        <v>4.1</v>
      </c>
      <c r="H229" t="n">
        <v>0</v>
      </c>
      <c r="I229" t="n">
        <v>0</v>
      </c>
      <c r="J229" t="n">
        <v>0</v>
      </c>
      <c r="K229" t="n">
        <v>0</v>
      </c>
      <c r="L229" t="n">
        <v>0</v>
      </c>
      <c r="M229" t="n">
        <v>0</v>
      </c>
      <c r="N229" t="n">
        <v>0</v>
      </c>
      <c r="O229" t="n">
        <v>0</v>
      </c>
      <c r="P229" t="n">
        <v>0</v>
      </c>
      <c r="Q229" t="n">
        <v>0</v>
      </c>
      <c r="R229" s="2" t="inlineStr"/>
    </row>
    <row r="230" ht="15" customHeight="1">
      <c r="A230" t="inlineStr">
        <is>
          <t>A 24351-2024</t>
        </is>
      </c>
      <c r="B230" s="1" t="n">
        <v>45457.59011574074</v>
      </c>
      <c r="C230" s="1" t="n">
        <v>46174</v>
      </c>
      <c r="D230" t="inlineStr">
        <is>
          <t>ÖSTERGÖTLANDS LÄN</t>
        </is>
      </c>
      <c r="E230" t="inlineStr">
        <is>
          <t>LINKÖPING</t>
        </is>
      </c>
      <c r="G230" t="n">
        <v>11.9</v>
      </c>
      <c r="H230" t="n">
        <v>0</v>
      </c>
      <c r="I230" t="n">
        <v>0</v>
      </c>
      <c r="J230" t="n">
        <v>0</v>
      </c>
      <c r="K230" t="n">
        <v>0</v>
      </c>
      <c r="L230" t="n">
        <v>0</v>
      </c>
      <c r="M230" t="n">
        <v>0</v>
      </c>
      <c r="N230" t="n">
        <v>0</v>
      </c>
      <c r="O230" t="n">
        <v>0</v>
      </c>
      <c r="P230" t="n">
        <v>0</v>
      </c>
      <c r="Q230" t="n">
        <v>0</v>
      </c>
      <c r="R230" s="2" t="inlineStr"/>
    </row>
    <row r="231" ht="15" customHeight="1">
      <c r="A231" t="inlineStr">
        <is>
          <t>A 33885-2021</t>
        </is>
      </c>
      <c r="B231" s="1" t="n">
        <v>44378</v>
      </c>
      <c r="C231" s="1" t="n">
        <v>46174</v>
      </c>
      <c r="D231" t="inlineStr">
        <is>
          <t>ÖSTERGÖTLANDS LÄN</t>
        </is>
      </c>
      <c r="E231" t="inlineStr">
        <is>
          <t>LINKÖPING</t>
        </is>
      </c>
      <c r="G231" t="n">
        <v>3.5</v>
      </c>
      <c r="H231" t="n">
        <v>0</v>
      </c>
      <c r="I231" t="n">
        <v>0</v>
      </c>
      <c r="J231" t="n">
        <v>0</v>
      </c>
      <c r="K231" t="n">
        <v>0</v>
      </c>
      <c r="L231" t="n">
        <v>0</v>
      </c>
      <c r="M231" t="n">
        <v>0</v>
      </c>
      <c r="N231" t="n">
        <v>0</v>
      </c>
      <c r="O231" t="n">
        <v>0</v>
      </c>
      <c r="P231" t="n">
        <v>0</v>
      </c>
      <c r="Q231" t="n">
        <v>0</v>
      </c>
      <c r="R231" s="2" t="inlineStr"/>
    </row>
    <row r="232" ht="15" customHeight="1">
      <c r="A232" t="inlineStr">
        <is>
          <t>A 660-2023</t>
        </is>
      </c>
      <c r="B232" s="1" t="n">
        <v>44930</v>
      </c>
      <c r="C232" s="1" t="n">
        <v>46174</v>
      </c>
      <c r="D232" t="inlineStr">
        <is>
          <t>ÖSTERGÖTLANDS LÄN</t>
        </is>
      </c>
      <c r="E232" t="inlineStr">
        <is>
          <t>LINKÖPING</t>
        </is>
      </c>
      <c r="F232" t="inlineStr">
        <is>
          <t>Kyrkan</t>
        </is>
      </c>
      <c r="G232" t="n">
        <v>1.6</v>
      </c>
      <c r="H232" t="n">
        <v>0</v>
      </c>
      <c r="I232" t="n">
        <v>0</v>
      </c>
      <c r="J232" t="n">
        <v>0</v>
      </c>
      <c r="K232" t="n">
        <v>0</v>
      </c>
      <c r="L232" t="n">
        <v>0</v>
      </c>
      <c r="M232" t="n">
        <v>0</v>
      </c>
      <c r="N232" t="n">
        <v>0</v>
      </c>
      <c r="O232" t="n">
        <v>0</v>
      </c>
      <c r="P232" t="n">
        <v>0</v>
      </c>
      <c r="Q232" t="n">
        <v>0</v>
      </c>
      <c r="R232" s="2" t="inlineStr"/>
    </row>
    <row r="233" ht="15" customHeight="1">
      <c r="A233" t="inlineStr">
        <is>
          <t>A 62501-2023</t>
        </is>
      </c>
      <c r="B233" s="1" t="n">
        <v>45268</v>
      </c>
      <c r="C233" s="1" t="n">
        <v>46174</v>
      </c>
      <c r="D233" t="inlineStr">
        <is>
          <t>ÖSTERGÖTLANDS LÄN</t>
        </is>
      </c>
      <c r="E233" t="inlineStr">
        <is>
          <t>LINKÖPING</t>
        </is>
      </c>
      <c r="G233" t="n">
        <v>7.4</v>
      </c>
      <c r="H233" t="n">
        <v>0</v>
      </c>
      <c r="I233" t="n">
        <v>0</v>
      </c>
      <c r="J233" t="n">
        <v>0</v>
      </c>
      <c r="K233" t="n">
        <v>0</v>
      </c>
      <c r="L233" t="n">
        <v>0</v>
      </c>
      <c r="M233" t="n">
        <v>0</v>
      </c>
      <c r="N233" t="n">
        <v>0</v>
      </c>
      <c r="O233" t="n">
        <v>0</v>
      </c>
      <c r="P233" t="n">
        <v>0</v>
      </c>
      <c r="Q233" t="n">
        <v>0</v>
      </c>
      <c r="R233" s="2" t="inlineStr"/>
    </row>
    <row r="234" ht="15" customHeight="1">
      <c r="A234" t="inlineStr">
        <is>
          <t>A 16665-2023</t>
        </is>
      </c>
      <c r="B234" s="1" t="n">
        <v>45030.5583912037</v>
      </c>
      <c r="C234" s="1" t="n">
        <v>46174</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12413-2022</t>
        </is>
      </c>
      <c r="B235" s="1" t="n">
        <v>44638</v>
      </c>
      <c r="C235" s="1" t="n">
        <v>46174</v>
      </c>
      <c r="D235" t="inlineStr">
        <is>
          <t>ÖSTERGÖTLANDS LÄN</t>
        </is>
      </c>
      <c r="E235" t="inlineStr">
        <is>
          <t>LINKÖPING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52796-2023</t>
        </is>
      </c>
      <c r="B236" s="1" t="n">
        <v>45219</v>
      </c>
      <c r="C236" s="1" t="n">
        <v>46174</v>
      </c>
      <c r="D236" t="inlineStr">
        <is>
          <t>ÖSTERGÖTLANDS LÄN</t>
        </is>
      </c>
      <c r="E236" t="inlineStr">
        <is>
          <t>LINKÖPING</t>
        </is>
      </c>
      <c r="F236" t="inlineStr">
        <is>
          <t>Övriga statliga verk och myndigheter</t>
        </is>
      </c>
      <c r="G236" t="n">
        <v>3.9</v>
      </c>
      <c r="H236" t="n">
        <v>0</v>
      </c>
      <c r="I236" t="n">
        <v>0</v>
      </c>
      <c r="J236" t="n">
        <v>0</v>
      </c>
      <c r="K236" t="n">
        <v>0</v>
      </c>
      <c r="L236" t="n">
        <v>0</v>
      </c>
      <c r="M236" t="n">
        <v>0</v>
      </c>
      <c r="N236" t="n">
        <v>0</v>
      </c>
      <c r="O236" t="n">
        <v>0</v>
      </c>
      <c r="P236" t="n">
        <v>0</v>
      </c>
      <c r="Q236" t="n">
        <v>0</v>
      </c>
      <c r="R236" s="2" t="inlineStr"/>
    </row>
    <row r="237" ht="15" customHeight="1">
      <c r="A237" t="inlineStr">
        <is>
          <t>A 13413-2023</t>
        </is>
      </c>
      <c r="B237" s="1" t="n">
        <v>45005.58341435185</v>
      </c>
      <c r="C237" s="1" t="n">
        <v>46174</v>
      </c>
      <c r="D237" t="inlineStr">
        <is>
          <t>ÖSTERGÖTLANDS LÄN</t>
        </is>
      </c>
      <c r="E237" t="inlineStr">
        <is>
          <t>LINKÖPING</t>
        </is>
      </c>
      <c r="G237" t="n">
        <v>2.4</v>
      </c>
      <c r="H237" t="n">
        <v>0</v>
      </c>
      <c r="I237" t="n">
        <v>0</v>
      </c>
      <c r="J237" t="n">
        <v>0</v>
      </c>
      <c r="K237" t="n">
        <v>0</v>
      </c>
      <c r="L237" t="n">
        <v>0</v>
      </c>
      <c r="M237" t="n">
        <v>0</v>
      </c>
      <c r="N237" t="n">
        <v>0</v>
      </c>
      <c r="O237" t="n">
        <v>0</v>
      </c>
      <c r="P237" t="n">
        <v>0</v>
      </c>
      <c r="Q237" t="n">
        <v>0</v>
      </c>
      <c r="R237" s="2" t="inlineStr"/>
    </row>
    <row r="238" ht="15" customHeight="1">
      <c r="A238" t="inlineStr">
        <is>
          <t>A 30855-2022</t>
        </is>
      </c>
      <c r="B238" s="1" t="n">
        <v>44767</v>
      </c>
      <c r="C238" s="1" t="n">
        <v>46174</v>
      </c>
      <c r="D238" t="inlineStr">
        <is>
          <t>ÖSTERGÖTLANDS LÄN</t>
        </is>
      </c>
      <c r="E238" t="inlineStr">
        <is>
          <t>LINKÖPING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26620-2023</t>
        </is>
      </c>
      <c r="B239" s="1" t="n">
        <v>45092.70390046296</v>
      </c>
      <c r="C239" s="1" t="n">
        <v>46174</v>
      </c>
      <c r="D239" t="inlineStr">
        <is>
          <t>ÖSTERGÖTLANDS LÄN</t>
        </is>
      </c>
      <c r="E239" t="inlineStr">
        <is>
          <t>LINKÖPING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46174</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46174</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1211-2023</t>
        </is>
      </c>
      <c r="B242" s="1" t="n">
        <v>44930</v>
      </c>
      <c r="C242" s="1" t="n">
        <v>46174</v>
      </c>
      <c r="D242" t="inlineStr">
        <is>
          <t>ÖSTERGÖTLANDS LÄN</t>
        </is>
      </c>
      <c r="E242" t="inlineStr">
        <is>
          <t>LINKÖPING</t>
        </is>
      </c>
      <c r="F242" t="inlineStr">
        <is>
          <t>Övriga statliga verk och myndigheter</t>
        </is>
      </c>
      <c r="G242" t="n">
        <v>7.9</v>
      </c>
      <c r="H242" t="n">
        <v>0</v>
      </c>
      <c r="I242" t="n">
        <v>0</v>
      </c>
      <c r="J242" t="n">
        <v>0</v>
      </c>
      <c r="K242" t="n">
        <v>0</v>
      </c>
      <c r="L242" t="n">
        <v>0</v>
      </c>
      <c r="M242" t="n">
        <v>0</v>
      </c>
      <c r="N242" t="n">
        <v>0</v>
      </c>
      <c r="O242" t="n">
        <v>0</v>
      </c>
      <c r="P242" t="n">
        <v>0</v>
      </c>
      <c r="Q242" t="n">
        <v>0</v>
      </c>
      <c r="R242" s="2" t="inlineStr"/>
    </row>
    <row r="243" ht="15" customHeight="1">
      <c r="A243" t="inlineStr">
        <is>
          <t>A 34877-2023</t>
        </is>
      </c>
      <c r="B243" s="1" t="n">
        <v>45140</v>
      </c>
      <c r="C243" s="1" t="n">
        <v>46174</v>
      </c>
      <c r="D243" t="inlineStr">
        <is>
          <t>ÖSTERGÖTLANDS LÄN</t>
        </is>
      </c>
      <c r="E243" t="inlineStr">
        <is>
          <t>LINKÖPING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30856-2022</t>
        </is>
      </c>
      <c r="B244" s="1" t="n">
        <v>44767</v>
      </c>
      <c r="C244" s="1" t="n">
        <v>46174</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46174</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46490-2022</t>
        </is>
      </c>
      <c r="B246" s="1" t="n">
        <v>44848</v>
      </c>
      <c r="C246" s="1" t="n">
        <v>46174</v>
      </c>
      <c r="D246" t="inlineStr">
        <is>
          <t>ÖSTERGÖTLANDS LÄN</t>
        </is>
      </c>
      <c r="E246" t="inlineStr">
        <is>
          <t>LINKÖPING</t>
        </is>
      </c>
      <c r="G246" t="n">
        <v>3.5</v>
      </c>
      <c r="H246" t="n">
        <v>0</v>
      </c>
      <c r="I246" t="n">
        <v>0</v>
      </c>
      <c r="J246" t="n">
        <v>0</v>
      </c>
      <c r="K246" t="n">
        <v>0</v>
      </c>
      <c r="L246" t="n">
        <v>0</v>
      </c>
      <c r="M246" t="n">
        <v>0</v>
      </c>
      <c r="N246" t="n">
        <v>0</v>
      </c>
      <c r="O246" t="n">
        <v>0</v>
      </c>
      <c r="P246" t="n">
        <v>0</v>
      </c>
      <c r="Q246" t="n">
        <v>0</v>
      </c>
      <c r="R246" s="2" t="inlineStr"/>
    </row>
    <row r="247" ht="15" customHeight="1">
      <c r="A247" t="inlineStr">
        <is>
          <t>A 57745-2022</t>
        </is>
      </c>
      <c r="B247" s="1" t="n">
        <v>44897.58119212963</v>
      </c>
      <c r="C247" s="1" t="n">
        <v>46174</v>
      </c>
      <c r="D247" t="inlineStr">
        <is>
          <t>ÖSTERGÖTLANDS LÄN</t>
        </is>
      </c>
      <c r="E247" t="inlineStr">
        <is>
          <t>LINKÖPING</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34889-2023</t>
        </is>
      </c>
      <c r="B248" s="1" t="n">
        <v>45140</v>
      </c>
      <c r="C248" s="1" t="n">
        <v>46174</v>
      </c>
      <c r="D248" t="inlineStr">
        <is>
          <t>ÖSTERGÖTLANDS LÄN</t>
        </is>
      </c>
      <c r="E248" t="inlineStr">
        <is>
          <t>LINKÖPING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46174</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46174</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1993-2023</t>
        </is>
      </c>
      <c r="B251" s="1" t="n">
        <v>44939</v>
      </c>
      <c r="C251" s="1" t="n">
        <v>46174</v>
      </c>
      <c r="D251" t="inlineStr">
        <is>
          <t>ÖSTERGÖTLANDS LÄN</t>
        </is>
      </c>
      <c r="E251" t="inlineStr">
        <is>
          <t>LINKÖPING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63554-2023</t>
        </is>
      </c>
      <c r="B252" s="1" t="n">
        <v>45275</v>
      </c>
      <c r="C252" s="1" t="n">
        <v>46174</v>
      </c>
      <c r="D252" t="inlineStr">
        <is>
          <t>ÖSTERGÖTLANDS LÄN</t>
        </is>
      </c>
      <c r="E252" t="inlineStr">
        <is>
          <t>LINKÖPING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2085-2024</t>
        </is>
      </c>
      <c r="B253" s="1" t="n">
        <v>45309</v>
      </c>
      <c r="C253" s="1" t="n">
        <v>46174</v>
      </c>
      <c r="D253" t="inlineStr">
        <is>
          <t>ÖSTERGÖTLANDS LÄN</t>
        </is>
      </c>
      <c r="E253" t="inlineStr">
        <is>
          <t>LINKÖPING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30468-2023</t>
        </is>
      </c>
      <c r="B254" s="1" t="n">
        <v>45111.58732638889</v>
      </c>
      <c r="C254" s="1" t="n">
        <v>46174</v>
      </c>
      <c r="D254" t="inlineStr">
        <is>
          <t>ÖSTERGÖTLANDS LÄN</t>
        </is>
      </c>
      <c r="E254" t="inlineStr">
        <is>
          <t>LINKÖPING</t>
        </is>
      </c>
      <c r="G254" t="n">
        <v>10.1</v>
      </c>
      <c r="H254" t="n">
        <v>0</v>
      </c>
      <c r="I254" t="n">
        <v>0</v>
      </c>
      <c r="J254" t="n">
        <v>0</v>
      </c>
      <c r="K254" t="n">
        <v>0</v>
      </c>
      <c r="L254" t="n">
        <v>0</v>
      </c>
      <c r="M254" t="n">
        <v>0</v>
      </c>
      <c r="N254" t="n">
        <v>0</v>
      </c>
      <c r="O254" t="n">
        <v>0</v>
      </c>
      <c r="P254" t="n">
        <v>0</v>
      </c>
      <c r="Q254" t="n">
        <v>0</v>
      </c>
      <c r="R254" s="2" t="inlineStr"/>
    </row>
    <row r="255" ht="15" customHeight="1">
      <c r="A255" t="inlineStr">
        <is>
          <t>A 34557-2022</t>
        </is>
      </c>
      <c r="B255" s="1" t="n">
        <v>44794.57074074074</v>
      </c>
      <c r="C255" s="1" t="n">
        <v>46174</v>
      </c>
      <c r="D255" t="inlineStr">
        <is>
          <t>ÖSTERGÖTLANDS LÄN</t>
        </is>
      </c>
      <c r="E255" t="inlineStr">
        <is>
          <t>LINKÖPING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63638-2023</t>
        </is>
      </c>
      <c r="B256" s="1" t="n">
        <v>45275</v>
      </c>
      <c r="C256" s="1" t="n">
        <v>46174</v>
      </c>
      <c r="D256" t="inlineStr">
        <is>
          <t>ÖSTERGÖTLANDS LÄN</t>
        </is>
      </c>
      <c r="E256" t="inlineStr">
        <is>
          <t>LINKÖPING</t>
        </is>
      </c>
      <c r="F256" t="inlineStr">
        <is>
          <t>Övriga Aktiebolag</t>
        </is>
      </c>
      <c r="G256" t="n">
        <v>2.4</v>
      </c>
      <c r="H256" t="n">
        <v>0</v>
      </c>
      <c r="I256" t="n">
        <v>0</v>
      </c>
      <c r="J256" t="n">
        <v>0</v>
      </c>
      <c r="K256" t="n">
        <v>0</v>
      </c>
      <c r="L256" t="n">
        <v>0</v>
      </c>
      <c r="M256" t="n">
        <v>0</v>
      </c>
      <c r="N256" t="n">
        <v>0</v>
      </c>
      <c r="O256" t="n">
        <v>0</v>
      </c>
      <c r="P256" t="n">
        <v>0</v>
      </c>
      <c r="Q256" t="n">
        <v>0</v>
      </c>
      <c r="R256" s="2" t="inlineStr"/>
    </row>
    <row r="257" ht="15" customHeight="1">
      <c r="A257" t="inlineStr">
        <is>
          <t>A 63658-2023</t>
        </is>
      </c>
      <c r="B257" s="1" t="n">
        <v>45275</v>
      </c>
      <c r="C257" s="1" t="n">
        <v>46174</v>
      </c>
      <c r="D257" t="inlineStr">
        <is>
          <t>ÖSTERGÖTLANDS LÄN</t>
        </is>
      </c>
      <c r="E257" t="inlineStr">
        <is>
          <t>LINKÖPING</t>
        </is>
      </c>
      <c r="F257" t="inlineStr">
        <is>
          <t>Övriga Aktiebolag</t>
        </is>
      </c>
      <c r="G257" t="n">
        <v>1.5</v>
      </c>
      <c r="H257" t="n">
        <v>0</v>
      </c>
      <c r="I257" t="n">
        <v>0</v>
      </c>
      <c r="J257" t="n">
        <v>0</v>
      </c>
      <c r="K257" t="n">
        <v>0</v>
      </c>
      <c r="L257" t="n">
        <v>0</v>
      </c>
      <c r="M257" t="n">
        <v>0</v>
      </c>
      <c r="N257" t="n">
        <v>0</v>
      </c>
      <c r="O257" t="n">
        <v>0</v>
      </c>
      <c r="P257" t="n">
        <v>0</v>
      </c>
      <c r="Q257" t="n">
        <v>0</v>
      </c>
      <c r="R257" s="2" t="inlineStr"/>
    </row>
    <row r="258" ht="15" customHeight="1">
      <c r="A258" t="inlineStr">
        <is>
          <t>A 38715-2023</t>
        </is>
      </c>
      <c r="B258" s="1" t="n">
        <v>45160</v>
      </c>
      <c r="C258" s="1" t="n">
        <v>46174</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22771-2024</t>
        </is>
      </c>
      <c r="B259" s="1" t="n">
        <v>45448.46574074074</v>
      </c>
      <c r="C259" s="1" t="n">
        <v>46174</v>
      </c>
      <c r="D259" t="inlineStr">
        <is>
          <t>ÖSTERGÖTLANDS LÄN</t>
        </is>
      </c>
      <c r="E259" t="inlineStr">
        <is>
          <t>LINKÖPING</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52220-2023</t>
        </is>
      </c>
      <c r="B260" s="1" t="n">
        <v>45217</v>
      </c>
      <c r="C260" s="1" t="n">
        <v>46174</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52225-2023</t>
        </is>
      </c>
      <c r="B261" s="1" t="n">
        <v>45217</v>
      </c>
      <c r="C261" s="1" t="n">
        <v>46174</v>
      </c>
      <c r="D261" t="inlineStr">
        <is>
          <t>ÖSTERGÖTLANDS LÄN</t>
        </is>
      </c>
      <c r="E261" t="inlineStr">
        <is>
          <t>LINKÖPING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16820-2024</t>
        </is>
      </c>
      <c r="B262" s="1" t="n">
        <v>45411.46809027778</v>
      </c>
      <c r="C262" s="1" t="n">
        <v>46174</v>
      </c>
      <c r="D262" t="inlineStr">
        <is>
          <t>ÖSTERGÖTLANDS LÄN</t>
        </is>
      </c>
      <c r="E262" t="inlineStr">
        <is>
          <t>LINKÖPING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34864-2023</t>
        </is>
      </c>
      <c r="B263" s="1" t="n">
        <v>45141</v>
      </c>
      <c r="C263" s="1" t="n">
        <v>46174</v>
      </c>
      <c r="D263" t="inlineStr">
        <is>
          <t>ÖSTERGÖTLANDS LÄN</t>
        </is>
      </c>
      <c r="E263" t="inlineStr">
        <is>
          <t>LINKÖPING</t>
        </is>
      </c>
      <c r="G263" t="n">
        <v>3.3</v>
      </c>
      <c r="H263" t="n">
        <v>0</v>
      </c>
      <c r="I263" t="n">
        <v>0</v>
      </c>
      <c r="J263" t="n">
        <v>0</v>
      </c>
      <c r="K263" t="n">
        <v>0</v>
      </c>
      <c r="L263" t="n">
        <v>0</v>
      </c>
      <c r="M263" t="n">
        <v>0</v>
      </c>
      <c r="N263" t="n">
        <v>0</v>
      </c>
      <c r="O263" t="n">
        <v>0</v>
      </c>
      <c r="P263" t="n">
        <v>0</v>
      </c>
      <c r="Q263" t="n">
        <v>0</v>
      </c>
      <c r="R263" s="2" t="inlineStr"/>
    </row>
    <row r="264" ht="15" customHeight="1">
      <c r="A264" t="inlineStr">
        <is>
          <t>A 42832-2023</t>
        </is>
      </c>
      <c r="B264" s="1" t="n">
        <v>45182.38091435185</v>
      </c>
      <c r="C264" s="1" t="n">
        <v>46174</v>
      </c>
      <c r="D264" t="inlineStr">
        <is>
          <t>ÖSTERGÖTLANDS LÄN</t>
        </is>
      </c>
      <c r="E264" t="inlineStr">
        <is>
          <t>LINKÖPING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4456-2024</t>
        </is>
      </c>
      <c r="B265" s="1" t="n">
        <v>45327.52847222222</v>
      </c>
      <c r="C265" s="1" t="n">
        <v>46174</v>
      </c>
      <c r="D265" t="inlineStr">
        <is>
          <t>ÖSTERGÖTLANDS LÄN</t>
        </is>
      </c>
      <c r="E265" t="inlineStr">
        <is>
          <t>LINKÖPING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56560-2023</t>
        </is>
      </c>
      <c r="B266" s="1" t="n">
        <v>45238</v>
      </c>
      <c r="C266" s="1" t="n">
        <v>46174</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52412-2023</t>
        </is>
      </c>
      <c r="B267" s="1" t="n">
        <v>45225.27888888889</v>
      </c>
      <c r="C267" s="1" t="n">
        <v>46174</v>
      </c>
      <c r="D267" t="inlineStr">
        <is>
          <t>ÖSTERGÖTLANDS LÄN</t>
        </is>
      </c>
      <c r="E267" t="inlineStr">
        <is>
          <t>LINKÖPING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52413-2023</t>
        </is>
      </c>
      <c r="B268" s="1" t="n">
        <v>45225.27950231481</v>
      </c>
      <c r="C268" s="1" t="n">
        <v>46174</v>
      </c>
      <c r="D268" t="inlineStr">
        <is>
          <t>ÖSTERGÖTLANDS LÄN</t>
        </is>
      </c>
      <c r="E268" t="inlineStr">
        <is>
          <t>LINKÖPING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46687-2021</t>
        </is>
      </c>
      <c r="B269" s="1" t="n">
        <v>44445</v>
      </c>
      <c r="C269" s="1" t="n">
        <v>46174</v>
      </c>
      <c r="D269" t="inlineStr">
        <is>
          <t>ÖSTERGÖTLANDS LÄN</t>
        </is>
      </c>
      <c r="E269" t="inlineStr">
        <is>
          <t>LINKÖPING</t>
        </is>
      </c>
      <c r="F269" t="inlineStr">
        <is>
          <t>Övriga statliga verk och myndigheter</t>
        </is>
      </c>
      <c r="G269" t="n">
        <v>2.3</v>
      </c>
      <c r="H269" t="n">
        <v>0</v>
      </c>
      <c r="I269" t="n">
        <v>0</v>
      </c>
      <c r="J269" t="n">
        <v>0</v>
      </c>
      <c r="K269" t="n">
        <v>0</v>
      </c>
      <c r="L269" t="n">
        <v>0</v>
      </c>
      <c r="M269" t="n">
        <v>0</v>
      </c>
      <c r="N269" t="n">
        <v>0</v>
      </c>
      <c r="O269" t="n">
        <v>0</v>
      </c>
      <c r="P269" t="n">
        <v>0</v>
      </c>
      <c r="Q269" t="n">
        <v>0</v>
      </c>
      <c r="R269" s="2" t="inlineStr"/>
    </row>
    <row r="270" ht="15" customHeight="1">
      <c r="A270" t="inlineStr">
        <is>
          <t>A 13011-2022</t>
        </is>
      </c>
      <c r="B270" s="1" t="n">
        <v>44643</v>
      </c>
      <c r="C270" s="1" t="n">
        <v>46174</v>
      </c>
      <c r="D270" t="inlineStr">
        <is>
          <t>ÖSTERGÖTLANDS LÄN</t>
        </is>
      </c>
      <c r="E270" t="inlineStr">
        <is>
          <t>LINKÖPING</t>
        </is>
      </c>
      <c r="G270" t="n">
        <v>3.7</v>
      </c>
      <c r="H270" t="n">
        <v>0</v>
      </c>
      <c r="I270" t="n">
        <v>0</v>
      </c>
      <c r="J270" t="n">
        <v>0</v>
      </c>
      <c r="K270" t="n">
        <v>0</v>
      </c>
      <c r="L270" t="n">
        <v>0</v>
      </c>
      <c r="M270" t="n">
        <v>0</v>
      </c>
      <c r="N270" t="n">
        <v>0</v>
      </c>
      <c r="O270" t="n">
        <v>0</v>
      </c>
      <c r="P270" t="n">
        <v>0</v>
      </c>
      <c r="Q270" t="n">
        <v>0</v>
      </c>
      <c r="R270" s="2" t="inlineStr"/>
    </row>
    <row r="271" ht="15" customHeight="1">
      <c r="A271" t="inlineStr">
        <is>
          <t>A 17103-2025</t>
        </is>
      </c>
      <c r="B271" s="1" t="n">
        <v>45755.66143518518</v>
      </c>
      <c r="C271" s="1" t="n">
        <v>46174</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7354-2025</t>
        </is>
      </c>
      <c r="B272" s="1" t="n">
        <v>45704.41174768518</v>
      </c>
      <c r="C272" s="1" t="n">
        <v>46174</v>
      </c>
      <c r="D272" t="inlineStr">
        <is>
          <t>ÖSTERGÖTLANDS LÄN</t>
        </is>
      </c>
      <c r="E272" t="inlineStr">
        <is>
          <t>LINKÖPING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20298-2025</t>
        </is>
      </c>
      <c r="B273" s="1" t="n">
        <v>45774.75024305555</v>
      </c>
      <c r="C273" s="1" t="n">
        <v>46174</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15121-2022</t>
        </is>
      </c>
      <c r="B274" s="1" t="n">
        <v>44658</v>
      </c>
      <c r="C274" s="1" t="n">
        <v>46174</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50743-2023</t>
        </is>
      </c>
      <c r="B275" s="1" t="n">
        <v>45217</v>
      </c>
      <c r="C275" s="1" t="n">
        <v>46174</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13687-2025</t>
        </is>
      </c>
      <c r="B276" s="1" t="n">
        <v>45737.31425925926</v>
      </c>
      <c r="C276" s="1" t="n">
        <v>46174</v>
      </c>
      <c r="D276" t="inlineStr">
        <is>
          <t>ÖSTERGÖTLANDS LÄN</t>
        </is>
      </c>
      <c r="E276" t="inlineStr">
        <is>
          <t>LINKÖPING</t>
        </is>
      </c>
      <c r="G276" t="n">
        <v>2.7</v>
      </c>
      <c r="H276" t="n">
        <v>0</v>
      </c>
      <c r="I276" t="n">
        <v>0</v>
      </c>
      <c r="J276" t="n">
        <v>0</v>
      </c>
      <c r="K276" t="n">
        <v>0</v>
      </c>
      <c r="L276" t="n">
        <v>0</v>
      </c>
      <c r="M276" t="n">
        <v>0</v>
      </c>
      <c r="N276" t="n">
        <v>0</v>
      </c>
      <c r="O276" t="n">
        <v>0</v>
      </c>
      <c r="P276" t="n">
        <v>0</v>
      </c>
      <c r="Q276" t="n">
        <v>0</v>
      </c>
      <c r="R276" s="2" t="inlineStr"/>
    </row>
    <row r="277" ht="15" customHeight="1">
      <c r="A277" t="inlineStr">
        <is>
          <t>A 13695-2025</t>
        </is>
      </c>
      <c r="B277" s="1" t="n">
        <v>45737.32219907407</v>
      </c>
      <c r="C277" s="1" t="n">
        <v>46174</v>
      </c>
      <c r="D277" t="inlineStr">
        <is>
          <t>ÖSTERGÖTLANDS LÄN</t>
        </is>
      </c>
      <c r="E277" t="inlineStr">
        <is>
          <t>LINKÖPING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20294-2025</t>
        </is>
      </c>
      <c r="B278" s="1" t="n">
        <v>45774.74667824074</v>
      </c>
      <c r="C278" s="1" t="n">
        <v>46174</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40618-2021</t>
        </is>
      </c>
      <c r="B279" s="1" t="n">
        <v>44420.49575231481</v>
      </c>
      <c r="C279" s="1" t="n">
        <v>46174</v>
      </c>
      <c r="D279" t="inlineStr">
        <is>
          <t>ÖSTERGÖTLANDS LÄN</t>
        </is>
      </c>
      <c r="E279" t="inlineStr">
        <is>
          <t>LINKÖPING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56180-2024</t>
        </is>
      </c>
      <c r="B280" s="1" t="n">
        <v>45624.56611111111</v>
      </c>
      <c r="C280" s="1" t="n">
        <v>46174</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17128-2025</t>
        </is>
      </c>
      <c r="B281" s="1" t="n">
        <v>45755.72622685185</v>
      </c>
      <c r="C281" s="1" t="n">
        <v>46174</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30471-2023</t>
        </is>
      </c>
      <c r="B282" s="1" t="n">
        <v>45111.58931712963</v>
      </c>
      <c r="C282" s="1" t="n">
        <v>46174</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52125-2022</t>
        </is>
      </c>
      <c r="B283" s="1" t="n">
        <v>44873</v>
      </c>
      <c r="C283" s="1" t="n">
        <v>46174</v>
      </c>
      <c r="D283" t="inlineStr">
        <is>
          <t>ÖSTERGÖTLANDS LÄN</t>
        </is>
      </c>
      <c r="E283" t="inlineStr">
        <is>
          <t>LINKÖPING</t>
        </is>
      </c>
      <c r="F283" t="inlineStr">
        <is>
          <t>Övriga Aktiebolag</t>
        </is>
      </c>
      <c r="G283" t="n">
        <v>0.7</v>
      </c>
      <c r="H283" t="n">
        <v>0</v>
      </c>
      <c r="I283" t="n">
        <v>0</v>
      </c>
      <c r="J283" t="n">
        <v>0</v>
      </c>
      <c r="K283" t="n">
        <v>0</v>
      </c>
      <c r="L283" t="n">
        <v>0</v>
      </c>
      <c r="M283" t="n">
        <v>0</v>
      </c>
      <c r="N283" t="n">
        <v>0</v>
      </c>
      <c r="O283" t="n">
        <v>0</v>
      </c>
      <c r="P283" t="n">
        <v>0</v>
      </c>
      <c r="Q283" t="n">
        <v>0</v>
      </c>
      <c r="R283" s="2" t="inlineStr"/>
    </row>
    <row r="284" ht="15" customHeight="1">
      <c r="A284" t="inlineStr">
        <is>
          <t>A 227-2024</t>
        </is>
      </c>
      <c r="B284" s="1" t="n">
        <v>45294.73603009259</v>
      </c>
      <c r="C284" s="1" t="n">
        <v>46174</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27343-2023</t>
        </is>
      </c>
      <c r="B285" s="1" t="n">
        <v>45096</v>
      </c>
      <c r="C285" s="1" t="n">
        <v>46174</v>
      </c>
      <c r="D285" t="inlineStr">
        <is>
          <t>ÖSTERGÖTLANDS LÄN</t>
        </is>
      </c>
      <c r="E285" t="inlineStr">
        <is>
          <t>LINKÖPING</t>
        </is>
      </c>
      <c r="F285" t="inlineStr">
        <is>
          <t>Allmännings- och besparingsskogar</t>
        </is>
      </c>
      <c r="G285" t="n">
        <v>6.9</v>
      </c>
      <c r="H285" t="n">
        <v>0</v>
      </c>
      <c r="I285" t="n">
        <v>0</v>
      </c>
      <c r="J285" t="n">
        <v>0</v>
      </c>
      <c r="K285" t="n">
        <v>0</v>
      </c>
      <c r="L285" t="n">
        <v>0</v>
      </c>
      <c r="M285" t="n">
        <v>0</v>
      </c>
      <c r="N285" t="n">
        <v>0</v>
      </c>
      <c r="O285" t="n">
        <v>0</v>
      </c>
      <c r="P285" t="n">
        <v>0</v>
      </c>
      <c r="Q285" t="n">
        <v>0</v>
      </c>
      <c r="R285" s="2" t="inlineStr"/>
    </row>
    <row r="286" ht="15" customHeight="1">
      <c r="A286" t="inlineStr">
        <is>
          <t>A 617-2024</t>
        </is>
      </c>
      <c r="B286" s="1" t="n">
        <v>45299.66028935185</v>
      </c>
      <c r="C286" s="1" t="n">
        <v>46174</v>
      </c>
      <c r="D286" t="inlineStr">
        <is>
          <t>ÖSTERGÖTLANDS LÄN</t>
        </is>
      </c>
      <c r="E286" t="inlineStr">
        <is>
          <t>LINKÖPING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55945-2024</t>
        </is>
      </c>
      <c r="B287" s="1" t="n">
        <v>45623.61754629629</v>
      </c>
      <c r="C287" s="1" t="n">
        <v>46174</v>
      </c>
      <c r="D287" t="inlineStr">
        <is>
          <t>ÖSTERGÖTLANDS LÄN</t>
        </is>
      </c>
      <c r="E287" t="inlineStr">
        <is>
          <t>LINKÖPING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34928-2023</t>
        </is>
      </c>
      <c r="B288" s="1" t="n">
        <v>45142</v>
      </c>
      <c r="C288" s="1" t="n">
        <v>46174</v>
      </c>
      <c r="D288" t="inlineStr">
        <is>
          <t>ÖSTERGÖTLANDS LÄN</t>
        </is>
      </c>
      <c r="E288" t="inlineStr">
        <is>
          <t>LINKÖPING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44155-2024</t>
        </is>
      </c>
      <c r="B289" s="1" t="n">
        <v>45572.68226851852</v>
      </c>
      <c r="C289" s="1" t="n">
        <v>46174</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1263-2024</t>
        </is>
      </c>
      <c r="B290" s="1" t="n">
        <v>45302</v>
      </c>
      <c r="C290" s="1" t="n">
        <v>46174</v>
      </c>
      <c r="D290" t="inlineStr">
        <is>
          <t>ÖSTERGÖTLANDS LÄN</t>
        </is>
      </c>
      <c r="E290" t="inlineStr">
        <is>
          <t>LINKÖPING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52531-2023</t>
        </is>
      </c>
      <c r="B291" s="1" t="n">
        <v>45225</v>
      </c>
      <c r="C291" s="1" t="n">
        <v>46174</v>
      </c>
      <c r="D291" t="inlineStr">
        <is>
          <t>ÖSTERGÖTLANDS LÄN</t>
        </is>
      </c>
      <c r="E291" t="inlineStr">
        <is>
          <t>LINKÖPING</t>
        </is>
      </c>
      <c r="F291" t="inlineStr">
        <is>
          <t>Övriga Aktiebolag</t>
        </is>
      </c>
      <c r="G291" t="n">
        <v>1</v>
      </c>
      <c r="H291" t="n">
        <v>0</v>
      </c>
      <c r="I291" t="n">
        <v>0</v>
      </c>
      <c r="J291" t="n">
        <v>0</v>
      </c>
      <c r="K291" t="n">
        <v>0</v>
      </c>
      <c r="L291" t="n">
        <v>0</v>
      </c>
      <c r="M291" t="n">
        <v>0</v>
      </c>
      <c r="N291" t="n">
        <v>0</v>
      </c>
      <c r="O291" t="n">
        <v>0</v>
      </c>
      <c r="P291" t="n">
        <v>0</v>
      </c>
      <c r="Q291" t="n">
        <v>0</v>
      </c>
      <c r="R291" s="2" t="inlineStr"/>
    </row>
    <row r="292" ht="15" customHeight="1">
      <c r="A292" t="inlineStr">
        <is>
          <t>A 30434-2024</t>
        </is>
      </c>
      <c r="B292" s="1" t="n">
        <v>45491.69811342593</v>
      </c>
      <c r="C292" s="1" t="n">
        <v>46174</v>
      </c>
      <c r="D292" t="inlineStr">
        <is>
          <t>ÖSTERGÖTLANDS LÄN</t>
        </is>
      </c>
      <c r="E292" t="inlineStr">
        <is>
          <t>LINKÖPING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22842-2023</t>
        </is>
      </c>
      <c r="B293" s="1" t="n">
        <v>45071</v>
      </c>
      <c r="C293" s="1" t="n">
        <v>46174</v>
      </c>
      <c r="D293" t="inlineStr">
        <is>
          <t>ÖSTERGÖTLANDS LÄN</t>
        </is>
      </c>
      <c r="E293" t="inlineStr">
        <is>
          <t>LINKÖPING</t>
        </is>
      </c>
      <c r="F293" t="inlineStr">
        <is>
          <t>Kommuner</t>
        </is>
      </c>
      <c r="G293" t="n">
        <v>1.3</v>
      </c>
      <c r="H293" t="n">
        <v>0</v>
      </c>
      <c r="I293" t="n">
        <v>0</v>
      </c>
      <c r="J293" t="n">
        <v>0</v>
      </c>
      <c r="K293" t="n">
        <v>0</v>
      </c>
      <c r="L293" t="n">
        <v>0</v>
      </c>
      <c r="M293" t="n">
        <v>0</v>
      </c>
      <c r="N293" t="n">
        <v>0</v>
      </c>
      <c r="O293" t="n">
        <v>0</v>
      </c>
      <c r="P293" t="n">
        <v>0</v>
      </c>
      <c r="Q293" t="n">
        <v>0</v>
      </c>
      <c r="R293" s="2" t="inlineStr"/>
    </row>
    <row r="294" ht="15" customHeight="1">
      <c r="A294" t="inlineStr">
        <is>
          <t>A 56917-2022</t>
        </is>
      </c>
      <c r="B294" s="1" t="n">
        <v>44894</v>
      </c>
      <c r="C294" s="1" t="n">
        <v>46174</v>
      </c>
      <c r="D294" t="inlineStr">
        <is>
          <t>ÖSTERGÖTLANDS LÄN</t>
        </is>
      </c>
      <c r="E294" t="inlineStr">
        <is>
          <t>LINKÖPING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57766-2023</t>
        </is>
      </c>
      <c r="B295" s="1" t="n">
        <v>45246</v>
      </c>
      <c r="C295" s="1" t="n">
        <v>46174</v>
      </c>
      <c r="D295" t="inlineStr">
        <is>
          <t>ÖSTERGÖTLANDS LÄN</t>
        </is>
      </c>
      <c r="E295" t="inlineStr">
        <is>
          <t>LINKÖPING</t>
        </is>
      </c>
      <c r="F295" t="inlineStr">
        <is>
          <t>Allmännings- och besparingsskogar</t>
        </is>
      </c>
      <c r="G295" t="n">
        <v>12.8</v>
      </c>
      <c r="H295" t="n">
        <v>0</v>
      </c>
      <c r="I295" t="n">
        <v>0</v>
      </c>
      <c r="J295" t="n">
        <v>0</v>
      </c>
      <c r="K295" t="n">
        <v>0</v>
      </c>
      <c r="L295" t="n">
        <v>0</v>
      </c>
      <c r="M295" t="n">
        <v>0</v>
      </c>
      <c r="N295" t="n">
        <v>0</v>
      </c>
      <c r="O295" t="n">
        <v>0</v>
      </c>
      <c r="P295" t="n">
        <v>0</v>
      </c>
      <c r="Q295" t="n">
        <v>0</v>
      </c>
      <c r="R295" s="2" t="inlineStr"/>
    </row>
    <row r="296" ht="15" customHeight="1">
      <c r="A296" t="inlineStr">
        <is>
          <t>A 14520-2025</t>
        </is>
      </c>
      <c r="B296" s="1" t="n">
        <v>45741</v>
      </c>
      <c r="C296" s="1" t="n">
        <v>46174</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31548-2022</t>
        </is>
      </c>
      <c r="B297" s="1" t="n">
        <v>44775.39832175926</v>
      </c>
      <c r="C297" s="1" t="n">
        <v>46174</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62017-2024</t>
        </is>
      </c>
      <c r="B298" s="1" t="n">
        <v>45655.81140046296</v>
      </c>
      <c r="C298" s="1" t="n">
        <v>46174</v>
      </c>
      <c r="D298" t="inlineStr">
        <is>
          <t>ÖSTERGÖTLANDS LÄN</t>
        </is>
      </c>
      <c r="E298" t="inlineStr">
        <is>
          <t>LINKÖPING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19362-2023</t>
        </is>
      </c>
      <c r="B299" s="1" t="n">
        <v>45049</v>
      </c>
      <c r="C299" s="1" t="n">
        <v>46174</v>
      </c>
      <c r="D299" t="inlineStr">
        <is>
          <t>ÖSTERGÖTLANDS LÄN</t>
        </is>
      </c>
      <c r="E299" t="inlineStr">
        <is>
          <t>LINKÖPING</t>
        </is>
      </c>
      <c r="G299" t="n">
        <v>0.1</v>
      </c>
      <c r="H299" t="n">
        <v>0</v>
      </c>
      <c r="I299" t="n">
        <v>0</v>
      </c>
      <c r="J299" t="n">
        <v>0</v>
      </c>
      <c r="K299" t="n">
        <v>0</v>
      </c>
      <c r="L299" t="n">
        <v>0</v>
      </c>
      <c r="M299" t="n">
        <v>0</v>
      </c>
      <c r="N299" t="n">
        <v>0</v>
      </c>
      <c r="O299" t="n">
        <v>0</v>
      </c>
      <c r="P299" t="n">
        <v>0</v>
      </c>
      <c r="Q299" t="n">
        <v>0</v>
      </c>
      <c r="R299" s="2" t="inlineStr"/>
    </row>
    <row r="300" ht="15" customHeight="1">
      <c r="A300" t="inlineStr">
        <is>
          <t>A 17785-2023</t>
        </is>
      </c>
      <c r="B300" s="1" t="n">
        <v>45037.55094907407</v>
      </c>
      <c r="C300" s="1" t="n">
        <v>46174</v>
      </c>
      <c r="D300" t="inlineStr">
        <is>
          <t>ÖSTERGÖTLANDS LÄN</t>
        </is>
      </c>
      <c r="E300" t="inlineStr">
        <is>
          <t>LINKÖPING</t>
        </is>
      </c>
      <c r="F300" t="inlineStr">
        <is>
          <t>Allmännings- och besparingsskogar</t>
        </is>
      </c>
      <c r="G300" t="n">
        <v>3.1</v>
      </c>
      <c r="H300" t="n">
        <v>0</v>
      </c>
      <c r="I300" t="n">
        <v>0</v>
      </c>
      <c r="J300" t="n">
        <v>0</v>
      </c>
      <c r="K300" t="n">
        <v>0</v>
      </c>
      <c r="L300" t="n">
        <v>0</v>
      </c>
      <c r="M300" t="n">
        <v>0</v>
      </c>
      <c r="N300" t="n">
        <v>0</v>
      </c>
      <c r="O300" t="n">
        <v>0</v>
      </c>
      <c r="P300" t="n">
        <v>0</v>
      </c>
      <c r="Q300" t="n">
        <v>0</v>
      </c>
      <c r="R300" s="2" t="inlineStr"/>
    </row>
    <row r="301" ht="15" customHeight="1">
      <c r="A301" t="inlineStr">
        <is>
          <t>A 25568-2024</t>
        </is>
      </c>
      <c r="B301" s="1" t="n">
        <v>45463.58699074074</v>
      </c>
      <c r="C301" s="1" t="n">
        <v>46174</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19132-2023</t>
        </is>
      </c>
      <c r="B302" s="1" t="n">
        <v>45048.54754629629</v>
      </c>
      <c r="C302" s="1" t="n">
        <v>46174</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62686-2023</t>
        </is>
      </c>
      <c r="B303" s="1" t="n">
        <v>45271</v>
      </c>
      <c r="C303" s="1" t="n">
        <v>46174</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42044-2023</t>
        </is>
      </c>
      <c r="B304" s="1" t="n">
        <v>45177</v>
      </c>
      <c r="C304" s="1" t="n">
        <v>46174</v>
      </c>
      <c r="D304" t="inlineStr">
        <is>
          <t>ÖSTERGÖTLANDS LÄN</t>
        </is>
      </c>
      <c r="E304" t="inlineStr">
        <is>
          <t>LINKÖPING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22833-2023</t>
        </is>
      </c>
      <c r="B305" s="1" t="n">
        <v>45071</v>
      </c>
      <c r="C305" s="1" t="n">
        <v>46174</v>
      </c>
      <c r="D305" t="inlineStr">
        <is>
          <t>ÖSTERGÖTLANDS LÄN</t>
        </is>
      </c>
      <c r="E305" t="inlineStr">
        <is>
          <t>LINKÖPING</t>
        </is>
      </c>
      <c r="F305" t="inlineStr">
        <is>
          <t>Kommuner</t>
        </is>
      </c>
      <c r="G305" t="n">
        <v>1</v>
      </c>
      <c r="H305" t="n">
        <v>0</v>
      </c>
      <c r="I305" t="n">
        <v>0</v>
      </c>
      <c r="J305" t="n">
        <v>0</v>
      </c>
      <c r="K305" t="n">
        <v>0</v>
      </c>
      <c r="L305" t="n">
        <v>0</v>
      </c>
      <c r="M305" t="n">
        <v>0</v>
      </c>
      <c r="N305" t="n">
        <v>0</v>
      </c>
      <c r="O305" t="n">
        <v>0</v>
      </c>
      <c r="P305" t="n">
        <v>0</v>
      </c>
      <c r="Q305" t="n">
        <v>0</v>
      </c>
      <c r="R305" s="2" t="inlineStr"/>
    </row>
    <row r="306" ht="15" customHeight="1">
      <c r="A306" t="inlineStr">
        <is>
          <t>A 61281-2021</t>
        </is>
      </c>
      <c r="B306" s="1" t="n">
        <v>44498.60736111111</v>
      </c>
      <c r="C306" s="1" t="n">
        <v>46174</v>
      </c>
      <c r="D306" t="inlineStr">
        <is>
          <t>ÖSTERGÖTLANDS LÄN</t>
        </is>
      </c>
      <c r="E306" t="inlineStr">
        <is>
          <t>LINKÖPING</t>
        </is>
      </c>
      <c r="G306" t="n">
        <v>4.5</v>
      </c>
      <c r="H306" t="n">
        <v>0</v>
      </c>
      <c r="I306" t="n">
        <v>0</v>
      </c>
      <c r="J306" t="n">
        <v>0</v>
      </c>
      <c r="K306" t="n">
        <v>0</v>
      </c>
      <c r="L306" t="n">
        <v>0</v>
      </c>
      <c r="M306" t="n">
        <v>0</v>
      </c>
      <c r="N306" t="n">
        <v>0</v>
      </c>
      <c r="O306" t="n">
        <v>0</v>
      </c>
      <c r="P306" t="n">
        <v>0</v>
      </c>
      <c r="Q306" t="n">
        <v>0</v>
      </c>
      <c r="R306" s="2" t="inlineStr"/>
    </row>
    <row r="307" ht="15" customHeight="1">
      <c r="A307" t="inlineStr">
        <is>
          <t>A 63935-2021</t>
        </is>
      </c>
      <c r="B307" s="1" t="n">
        <v>44509</v>
      </c>
      <c r="C307" s="1" t="n">
        <v>46174</v>
      </c>
      <c r="D307" t="inlineStr">
        <is>
          <t>ÖSTERGÖTLANDS LÄN</t>
        </is>
      </c>
      <c r="E307" t="inlineStr">
        <is>
          <t>LINKÖPING</t>
        </is>
      </c>
      <c r="F307" t="inlineStr">
        <is>
          <t>Övriga statliga verk och myndigheter</t>
        </is>
      </c>
      <c r="G307" t="n">
        <v>2.8</v>
      </c>
      <c r="H307" t="n">
        <v>0</v>
      </c>
      <c r="I307" t="n">
        <v>0</v>
      </c>
      <c r="J307" t="n">
        <v>0</v>
      </c>
      <c r="K307" t="n">
        <v>0</v>
      </c>
      <c r="L307" t="n">
        <v>0</v>
      </c>
      <c r="M307" t="n">
        <v>0</v>
      </c>
      <c r="N307" t="n">
        <v>0</v>
      </c>
      <c r="O307" t="n">
        <v>0</v>
      </c>
      <c r="P307" t="n">
        <v>0</v>
      </c>
      <c r="Q307" t="n">
        <v>0</v>
      </c>
      <c r="R307" s="2" t="inlineStr"/>
    </row>
    <row r="308" ht="15" customHeight="1">
      <c r="A308" t="inlineStr">
        <is>
          <t>A 49656-2021</t>
        </is>
      </c>
      <c r="B308" s="1" t="n">
        <v>44454</v>
      </c>
      <c r="C308" s="1" t="n">
        <v>46174</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38971-2025</t>
        </is>
      </c>
      <c r="B309" s="1" t="n">
        <v>45887.71827546296</v>
      </c>
      <c r="C309" s="1" t="n">
        <v>46174</v>
      </c>
      <c r="D309" t="inlineStr">
        <is>
          <t>ÖSTERGÖTLANDS LÄN</t>
        </is>
      </c>
      <c r="E309" t="inlineStr">
        <is>
          <t>LINKÖPING</t>
        </is>
      </c>
      <c r="G309" t="n">
        <v>3.9</v>
      </c>
      <c r="H309" t="n">
        <v>0</v>
      </c>
      <c r="I309" t="n">
        <v>0</v>
      </c>
      <c r="J309" t="n">
        <v>0</v>
      </c>
      <c r="K309" t="n">
        <v>0</v>
      </c>
      <c r="L309" t="n">
        <v>0</v>
      </c>
      <c r="M309" t="n">
        <v>0</v>
      </c>
      <c r="N309" t="n">
        <v>0</v>
      </c>
      <c r="O309" t="n">
        <v>0</v>
      </c>
      <c r="P309" t="n">
        <v>0</v>
      </c>
      <c r="Q309" t="n">
        <v>0</v>
      </c>
      <c r="R309" s="2" t="inlineStr"/>
    </row>
    <row r="310" ht="15" customHeight="1">
      <c r="A310" t="inlineStr">
        <is>
          <t>A 55345-2021</t>
        </is>
      </c>
      <c r="B310" s="1" t="n">
        <v>44475</v>
      </c>
      <c r="C310" s="1" t="n">
        <v>46174</v>
      </c>
      <c r="D310" t="inlineStr">
        <is>
          <t>ÖSTERGÖTLANDS LÄN</t>
        </is>
      </c>
      <c r="E310" t="inlineStr">
        <is>
          <t>LINKÖPING</t>
        </is>
      </c>
      <c r="G310" t="n">
        <v>5.7</v>
      </c>
      <c r="H310" t="n">
        <v>0</v>
      </c>
      <c r="I310" t="n">
        <v>0</v>
      </c>
      <c r="J310" t="n">
        <v>0</v>
      </c>
      <c r="K310" t="n">
        <v>0</v>
      </c>
      <c r="L310" t="n">
        <v>0</v>
      </c>
      <c r="M310" t="n">
        <v>0</v>
      </c>
      <c r="N310" t="n">
        <v>0</v>
      </c>
      <c r="O310" t="n">
        <v>0</v>
      </c>
      <c r="P310" t="n">
        <v>0</v>
      </c>
      <c r="Q310" t="n">
        <v>0</v>
      </c>
      <c r="R310" s="2" t="inlineStr"/>
    </row>
    <row r="311" ht="15" customHeight="1">
      <c r="A311" t="inlineStr">
        <is>
          <t>A 2997-2025</t>
        </is>
      </c>
      <c r="B311" s="1" t="n">
        <v>45678.54631944445</v>
      </c>
      <c r="C311" s="1" t="n">
        <v>46174</v>
      </c>
      <c r="D311" t="inlineStr">
        <is>
          <t>ÖSTERGÖTLANDS LÄN</t>
        </is>
      </c>
      <c r="E311" t="inlineStr">
        <is>
          <t>LINKÖPING</t>
        </is>
      </c>
      <c r="G311" t="n">
        <v>2.7</v>
      </c>
      <c r="H311" t="n">
        <v>0</v>
      </c>
      <c r="I311" t="n">
        <v>0</v>
      </c>
      <c r="J311" t="n">
        <v>0</v>
      </c>
      <c r="K311" t="n">
        <v>0</v>
      </c>
      <c r="L311" t="n">
        <v>0</v>
      </c>
      <c r="M311" t="n">
        <v>0</v>
      </c>
      <c r="N311" t="n">
        <v>0</v>
      </c>
      <c r="O311" t="n">
        <v>0</v>
      </c>
      <c r="P311" t="n">
        <v>0</v>
      </c>
      <c r="Q311" t="n">
        <v>0</v>
      </c>
      <c r="R311" s="2" t="inlineStr"/>
    </row>
    <row r="312" ht="15" customHeight="1">
      <c r="A312" t="inlineStr">
        <is>
          <t>A 41345-2021</t>
        </is>
      </c>
      <c r="B312" s="1" t="n">
        <v>44424.61851851852</v>
      </c>
      <c r="C312" s="1" t="n">
        <v>46174</v>
      </c>
      <c r="D312" t="inlineStr">
        <is>
          <t>ÖSTERGÖTLANDS LÄN</t>
        </is>
      </c>
      <c r="E312" t="inlineStr">
        <is>
          <t>LINKÖPING</t>
        </is>
      </c>
      <c r="F312" t="inlineStr">
        <is>
          <t>Sveaskog</t>
        </is>
      </c>
      <c r="G312" t="n">
        <v>6.3</v>
      </c>
      <c r="H312" t="n">
        <v>0</v>
      </c>
      <c r="I312" t="n">
        <v>0</v>
      </c>
      <c r="J312" t="n">
        <v>0</v>
      </c>
      <c r="K312" t="n">
        <v>0</v>
      </c>
      <c r="L312" t="n">
        <v>0</v>
      </c>
      <c r="M312" t="n">
        <v>0</v>
      </c>
      <c r="N312" t="n">
        <v>0</v>
      </c>
      <c r="O312" t="n">
        <v>0</v>
      </c>
      <c r="P312" t="n">
        <v>0</v>
      </c>
      <c r="Q312" t="n">
        <v>0</v>
      </c>
      <c r="R312" s="2" t="inlineStr"/>
    </row>
    <row r="313" ht="15" customHeight="1">
      <c r="A313" t="inlineStr">
        <is>
          <t>A 38230-2023</t>
        </is>
      </c>
      <c r="B313" s="1" t="n">
        <v>45161.55373842592</v>
      </c>
      <c r="C313" s="1" t="n">
        <v>46174</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45442-2024</t>
        </is>
      </c>
      <c r="B314" s="1" t="n">
        <v>45576.64189814815</v>
      </c>
      <c r="C314" s="1" t="n">
        <v>46174</v>
      </c>
      <c r="D314" t="inlineStr">
        <is>
          <t>ÖSTERGÖTLANDS LÄN</t>
        </is>
      </c>
      <c r="E314" t="inlineStr">
        <is>
          <t>LINKÖPING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13266-2025</t>
        </is>
      </c>
      <c r="B315" s="1" t="n">
        <v>45735.53318287037</v>
      </c>
      <c r="C315" s="1" t="n">
        <v>46174</v>
      </c>
      <c r="D315" t="inlineStr">
        <is>
          <t>ÖSTERGÖTLANDS LÄN</t>
        </is>
      </c>
      <c r="E315" t="inlineStr">
        <is>
          <t>LINKÖPING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4908-2023</t>
        </is>
      </c>
      <c r="B316" s="1" t="n">
        <v>44958</v>
      </c>
      <c r="C316" s="1" t="n">
        <v>46174</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16213-2025</t>
        </is>
      </c>
      <c r="B317" s="1" t="n">
        <v>45750.62740740741</v>
      </c>
      <c r="C317" s="1" t="n">
        <v>46174</v>
      </c>
      <c r="D317" t="inlineStr">
        <is>
          <t>ÖSTERGÖTLANDS LÄN</t>
        </is>
      </c>
      <c r="E317" t="inlineStr">
        <is>
          <t>LINKÖPING</t>
        </is>
      </c>
      <c r="G317" t="n">
        <v>3.4</v>
      </c>
      <c r="H317" t="n">
        <v>0</v>
      </c>
      <c r="I317" t="n">
        <v>0</v>
      </c>
      <c r="J317" t="n">
        <v>0</v>
      </c>
      <c r="K317" t="n">
        <v>0</v>
      </c>
      <c r="L317" t="n">
        <v>0</v>
      </c>
      <c r="M317" t="n">
        <v>0</v>
      </c>
      <c r="N317" t="n">
        <v>0</v>
      </c>
      <c r="O317" t="n">
        <v>0</v>
      </c>
      <c r="P317" t="n">
        <v>0</v>
      </c>
      <c r="Q317" t="n">
        <v>0</v>
      </c>
      <c r="R317" s="2" t="inlineStr"/>
    </row>
    <row r="318" ht="15" customHeight="1">
      <c r="A318" t="inlineStr">
        <is>
          <t>A 1265-2023</t>
        </is>
      </c>
      <c r="B318" s="1" t="n">
        <v>44936</v>
      </c>
      <c r="C318" s="1" t="n">
        <v>46174</v>
      </c>
      <c r="D318" t="inlineStr">
        <is>
          <t>ÖSTERGÖTLANDS LÄN</t>
        </is>
      </c>
      <c r="E318" t="inlineStr">
        <is>
          <t>LINKÖPING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31635-2023</t>
        </is>
      </c>
      <c r="B319" s="1" t="n">
        <v>45105</v>
      </c>
      <c r="C319" s="1" t="n">
        <v>46174</v>
      </c>
      <c r="D319" t="inlineStr">
        <is>
          <t>ÖSTERGÖTLANDS LÄN</t>
        </is>
      </c>
      <c r="E319" t="inlineStr">
        <is>
          <t>LINKÖPING</t>
        </is>
      </c>
      <c r="F319" t="inlineStr">
        <is>
          <t>Övriga statliga verk och myndigheter</t>
        </is>
      </c>
      <c r="G319" t="n">
        <v>4.6</v>
      </c>
      <c r="H319" t="n">
        <v>0</v>
      </c>
      <c r="I319" t="n">
        <v>0</v>
      </c>
      <c r="J319" t="n">
        <v>0</v>
      </c>
      <c r="K319" t="n">
        <v>0</v>
      </c>
      <c r="L319" t="n">
        <v>0</v>
      </c>
      <c r="M319" t="n">
        <v>0</v>
      </c>
      <c r="N319" t="n">
        <v>0</v>
      </c>
      <c r="O319" t="n">
        <v>0</v>
      </c>
      <c r="P319" t="n">
        <v>0</v>
      </c>
      <c r="Q319" t="n">
        <v>0</v>
      </c>
      <c r="R319" s="2" t="inlineStr"/>
    </row>
    <row r="320" ht="15" customHeight="1">
      <c r="A320" t="inlineStr">
        <is>
          <t>A 20296-2025</t>
        </is>
      </c>
      <c r="B320" s="1" t="n">
        <v>45774.74922453704</v>
      </c>
      <c r="C320" s="1" t="n">
        <v>46174</v>
      </c>
      <c r="D320" t="inlineStr">
        <is>
          <t>ÖSTERGÖTLANDS LÄN</t>
        </is>
      </c>
      <c r="E320" t="inlineStr">
        <is>
          <t>LINKÖPING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12411-2022</t>
        </is>
      </c>
      <c r="B321" s="1" t="n">
        <v>44638.21601851852</v>
      </c>
      <c r="C321" s="1" t="n">
        <v>46174</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46225-2021</t>
        </is>
      </c>
      <c r="B322" s="1" t="n">
        <v>44442</v>
      </c>
      <c r="C322" s="1" t="n">
        <v>46174</v>
      </c>
      <c r="D322" t="inlineStr">
        <is>
          <t>ÖSTERGÖTLANDS LÄN</t>
        </is>
      </c>
      <c r="E322" t="inlineStr">
        <is>
          <t>LINKÖPING</t>
        </is>
      </c>
      <c r="G322" t="n">
        <v>2.9</v>
      </c>
      <c r="H322" t="n">
        <v>0</v>
      </c>
      <c r="I322" t="n">
        <v>0</v>
      </c>
      <c r="J322" t="n">
        <v>0</v>
      </c>
      <c r="K322" t="n">
        <v>0</v>
      </c>
      <c r="L322" t="n">
        <v>0</v>
      </c>
      <c r="M322" t="n">
        <v>0</v>
      </c>
      <c r="N322" t="n">
        <v>0</v>
      </c>
      <c r="O322" t="n">
        <v>0</v>
      </c>
      <c r="P322" t="n">
        <v>0</v>
      </c>
      <c r="Q322" t="n">
        <v>0</v>
      </c>
      <c r="R322" s="2" t="inlineStr"/>
    </row>
    <row r="323" ht="15" customHeight="1">
      <c r="A323" t="inlineStr">
        <is>
          <t>A 22770-2024</t>
        </is>
      </c>
      <c r="B323" s="1" t="n">
        <v>45448.4634375</v>
      </c>
      <c r="C323" s="1" t="n">
        <v>46174</v>
      </c>
      <c r="D323" t="inlineStr">
        <is>
          <t>ÖSTERGÖTLANDS LÄN</t>
        </is>
      </c>
      <c r="E323" t="inlineStr">
        <is>
          <t>LINKÖPING</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51484-2023</t>
        </is>
      </c>
      <c r="B324" s="1" t="n">
        <v>45222</v>
      </c>
      <c r="C324" s="1" t="n">
        <v>46174</v>
      </c>
      <c r="D324" t="inlineStr">
        <is>
          <t>ÖSTERGÖTLANDS LÄN</t>
        </is>
      </c>
      <c r="E324" t="inlineStr">
        <is>
          <t>LINKÖPING</t>
        </is>
      </c>
      <c r="F324" t="inlineStr">
        <is>
          <t>Övriga Aktiebolag</t>
        </is>
      </c>
      <c r="G324" t="n">
        <v>7.7</v>
      </c>
      <c r="H324" t="n">
        <v>0</v>
      </c>
      <c r="I324" t="n">
        <v>0</v>
      </c>
      <c r="J324" t="n">
        <v>0</v>
      </c>
      <c r="K324" t="n">
        <v>0</v>
      </c>
      <c r="L324" t="n">
        <v>0</v>
      </c>
      <c r="M324" t="n">
        <v>0</v>
      </c>
      <c r="N324" t="n">
        <v>0</v>
      </c>
      <c r="O324" t="n">
        <v>0</v>
      </c>
      <c r="P324" t="n">
        <v>0</v>
      </c>
      <c r="Q324" t="n">
        <v>0</v>
      </c>
      <c r="R324" s="2" t="inlineStr"/>
    </row>
    <row r="325" ht="15" customHeight="1">
      <c r="A325" t="inlineStr">
        <is>
          <t>A 17898-2022</t>
        </is>
      </c>
      <c r="B325" s="1" t="n">
        <v>44683</v>
      </c>
      <c r="C325" s="1" t="n">
        <v>46174</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63487-2023</t>
        </is>
      </c>
      <c r="B326" s="1" t="n">
        <v>45274.66712962963</v>
      </c>
      <c r="C326" s="1" t="n">
        <v>46174</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35463-2023</t>
        </is>
      </c>
      <c r="B327" s="1" t="n">
        <v>45146</v>
      </c>
      <c r="C327" s="1" t="n">
        <v>46174</v>
      </c>
      <c r="D327" t="inlineStr">
        <is>
          <t>ÖSTERGÖTLANDS LÄN</t>
        </is>
      </c>
      <c r="E327" t="inlineStr">
        <is>
          <t>LINKÖPING</t>
        </is>
      </c>
      <c r="F327" t="inlineStr">
        <is>
          <t>Övriga Aktiebolag</t>
        </is>
      </c>
      <c r="G327" t="n">
        <v>1.8</v>
      </c>
      <c r="H327" t="n">
        <v>0</v>
      </c>
      <c r="I327" t="n">
        <v>0</v>
      </c>
      <c r="J327" t="n">
        <v>0</v>
      </c>
      <c r="K327" t="n">
        <v>0</v>
      </c>
      <c r="L327" t="n">
        <v>0</v>
      </c>
      <c r="M327" t="n">
        <v>0</v>
      </c>
      <c r="N327" t="n">
        <v>0</v>
      </c>
      <c r="O327" t="n">
        <v>0</v>
      </c>
      <c r="P327" t="n">
        <v>0</v>
      </c>
      <c r="Q327" t="n">
        <v>0</v>
      </c>
      <c r="R327" s="2" t="inlineStr"/>
    </row>
    <row r="328" ht="15" customHeight="1">
      <c r="A328" t="inlineStr">
        <is>
          <t>A 23491-2024</t>
        </is>
      </c>
      <c r="B328" s="1" t="n">
        <v>45453</v>
      </c>
      <c r="C328" s="1" t="n">
        <v>46174</v>
      </c>
      <c r="D328" t="inlineStr">
        <is>
          <t>ÖSTERGÖTLANDS LÄN</t>
        </is>
      </c>
      <c r="E328" t="inlineStr">
        <is>
          <t>LINKÖPING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70-2024</t>
        </is>
      </c>
      <c r="B329" s="1" t="n">
        <v>45293</v>
      </c>
      <c r="C329" s="1" t="n">
        <v>46174</v>
      </c>
      <c r="D329" t="inlineStr">
        <is>
          <t>ÖSTERGÖTLANDS LÄN</t>
        </is>
      </c>
      <c r="E329" t="inlineStr">
        <is>
          <t>LINKÖPING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6054-2022</t>
        </is>
      </c>
      <c r="B330" s="1" t="n">
        <v>44599.53623842593</v>
      </c>
      <c r="C330" s="1" t="n">
        <v>46174</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31725-2022</t>
        </is>
      </c>
      <c r="B331" s="1" t="n">
        <v>44776.48541666667</v>
      </c>
      <c r="C331" s="1" t="n">
        <v>46174</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55632-2022</t>
        </is>
      </c>
      <c r="B332" s="1" t="n">
        <v>44888</v>
      </c>
      <c r="C332" s="1" t="n">
        <v>46174</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11595-2025</t>
        </is>
      </c>
      <c r="B333" s="1" t="n">
        <v>45727.41893518518</v>
      </c>
      <c r="C333" s="1" t="n">
        <v>46174</v>
      </c>
      <c r="D333" t="inlineStr">
        <is>
          <t>ÖSTERGÖTLANDS LÄN</t>
        </is>
      </c>
      <c r="E333" t="inlineStr">
        <is>
          <t>LINKÖPING</t>
        </is>
      </c>
      <c r="G333" t="n">
        <v>6.6</v>
      </c>
      <c r="H333" t="n">
        <v>0</v>
      </c>
      <c r="I333" t="n">
        <v>0</v>
      </c>
      <c r="J333" t="n">
        <v>0</v>
      </c>
      <c r="K333" t="n">
        <v>0</v>
      </c>
      <c r="L333" t="n">
        <v>0</v>
      </c>
      <c r="M333" t="n">
        <v>0</v>
      </c>
      <c r="N333" t="n">
        <v>0</v>
      </c>
      <c r="O333" t="n">
        <v>0</v>
      </c>
      <c r="P333" t="n">
        <v>0</v>
      </c>
      <c r="Q333" t="n">
        <v>0</v>
      </c>
      <c r="R333" s="2" t="inlineStr"/>
    </row>
    <row r="334" ht="15" customHeight="1">
      <c r="A334" t="inlineStr">
        <is>
          <t>A 63559-2023</t>
        </is>
      </c>
      <c r="B334" s="1" t="n">
        <v>45275.35924768518</v>
      </c>
      <c r="C334" s="1" t="n">
        <v>46174</v>
      </c>
      <c r="D334" t="inlineStr">
        <is>
          <t>ÖSTERGÖTLANDS LÄN</t>
        </is>
      </c>
      <c r="E334" t="inlineStr">
        <is>
          <t>LINKÖPING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58114-2021</t>
        </is>
      </c>
      <c r="B335" s="1" t="n">
        <v>44487</v>
      </c>
      <c r="C335" s="1" t="n">
        <v>46174</v>
      </c>
      <c r="D335" t="inlineStr">
        <is>
          <t>ÖSTERGÖTLANDS LÄN</t>
        </is>
      </c>
      <c r="E335" t="inlineStr">
        <is>
          <t>LINKÖPING</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3008-2023</t>
        </is>
      </c>
      <c r="B336" s="1" t="n">
        <v>44945.79784722222</v>
      </c>
      <c r="C336" s="1" t="n">
        <v>46174</v>
      </c>
      <c r="D336" t="inlineStr">
        <is>
          <t>ÖSTERGÖTLANDS LÄN</t>
        </is>
      </c>
      <c r="E336" t="inlineStr">
        <is>
          <t>LINKÖPING</t>
        </is>
      </c>
      <c r="G336" t="n">
        <v>19.3</v>
      </c>
      <c r="H336" t="n">
        <v>0</v>
      </c>
      <c r="I336" t="n">
        <v>0</v>
      </c>
      <c r="J336" t="n">
        <v>0</v>
      </c>
      <c r="K336" t="n">
        <v>0</v>
      </c>
      <c r="L336" t="n">
        <v>0</v>
      </c>
      <c r="M336" t="n">
        <v>0</v>
      </c>
      <c r="N336" t="n">
        <v>0</v>
      </c>
      <c r="O336" t="n">
        <v>0</v>
      </c>
      <c r="P336" t="n">
        <v>0</v>
      </c>
      <c r="Q336" t="n">
        <v>0</v>
      </c>
      <c r="R336" s="2" t="inlineStr"/>
    </row>
    <row r="337" ht="15" customHeight="1">
      <c r="A337" t="inlineStr">
        <is>
          <t>A 48839-2022</t>
        </is>
      </c>
      <c r="B337" s="1" t="n">
        <v>44859</v>
      </c>
      <c r="C337" s="1" t="n">
        <v>46174</v>
      </c>
      <c r="D337" t="inlineStr">
        <is>
          <t>ÖSTERGÖTLANDS LÄN</t>
        </is>
      </c>
      <c r="E337" t="inlineStr">
        <is>
          <t>LINKÖPING</t>
        </is>
      </c>
      <c r="F337" t="inlineStr">
        <is>
          <t>Övriga Aktiebolag</t>
        </is>
      </c>
      <c r="G337" t="n">
        <v>0.6</v>
      </c>
      <c r="H337" t="n">
        <v>0</v>
      </c>
      <c r="I337" t="n">
        <v>0</v>
      </c>
      <c r="J337" t="n">
        <v>0</v>
      </c>
      <c r="K337" t="n">
        <v>0</v>
      </c>
      <c r="L337" t="n">
        <v>0</v>
      </c>
      <c r="M337" t="n">
        <v>0</v>
      </c>
      <c r="N337" t="n">
        <v>0</v>
      </c>
      <c r="O337" t="n">
        <v>0</v>
      </c>
      <c r="P337" t="n">
        <v>0</v>
      </c>
      <c r="Q337" t="n">
        <v>0</v>
      </c>
      <c r="R337" s="2" t="inlineStr"/>
    </row>
    <row r="338" ht="15" customHeight="1">
      <c r="A338" t="inlineStr">
        <is>
          <t>A 55944-2024</t>
        </is>
      </c>
      <c r="B338" s="1" t="n">
        <v>45623.61640046296</v>
      </c>
      <c r="C338" s="1" t="n">
        <v>46174</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55947-2024</t>
        </is>
      </c>
      <c r="B339" s="1" t="n">
        <v>45623</v>
      </c>
      <c r="C339" s="1" t="n">
        <v>46174</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57391-2023</t>
        </is>
      </c>
      <c r="B340" s="1" t="n">
        <v>45245</v>
      </c>
      <c r="C340" s="1" t="n">
        <v>46174</v>
      </c>
      <c r="D340" t="inlineStr">
        <is>
          <t>ÖSTERGÖTLANDS LÄN</t>
        </is>
      </c>
      <c r="E340" t="inlineStr">
        <is>
          <t>LINKÖPING</t>
        </is>
      </c>
      <c r="F340" t="inlineStr">
        <is>
          <t>Övriga Aktiebolag</t>
        </is>
      </c>
      <c r="G340" t="n">
        <v>1.7</v>
      </c>
      <c r="H340" t="n">
        <v>0</v>
      </c>
      <c r="I340" t="n">
        <v>0</v>
      </c>
      <c r="J340" t="n">
        <v>0</v>
      </c>
      <c r="K340" t="n">
        <v>0</v>
      </c>
      <c r="L340" t="n">
        <v>0</v>
      </c>
      <c r="M340" t="n">
        <v>0</v>
      </c>
      <c r="N340" t="n">
        <v>0</v>
      </c>
      <c r="O340" t="n">
        <v>0</v>
      </c>
      <c r="P340" t="n">
        <v>0</v>
      </c>
      <c r="Q340" t="n">
        <v>0</v>
      </c>
      <c r="R340" s="2" t="inlineStr"/>
    </row>
    <row r="341" ht="15" customHeight="1">
      <c r="A341" t="inlineStr">
        <is>
          <t>A 3374-2023</t>
        </is>
      </c>
      <c r="B341" s="1" t="n">
        <v>44949</v>
      </c>
      <c r="C341" s="1" t="n">
        <v>46174</v>
      </c>
      <c r="D341" t="inlineStr">
        <is>
          <t>ÖSTERGÖTLANDS LÄN</t>
        </is>
      </c>
      <c r="E341" t="inlineStr">
        <is>
          <t>LINKÖPING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7992-2023</t>
        </is>
      </c>
      <c r="B342" s="1" t="n">
        <v>44970</v>
      </c>
      <c r="C342" s="1" t="n">
        <v>46174</v>
      </c>
      <c r="D342" t="inlineStr">
        <is>
          <t>ÖSTERGÖTLANDS LÄN</t>
        </is>
      </c>
      <c r="E342" t="inlineStr">
        <is>
          <t>LINKÖPING</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24151-2024</t>
        </is>
      </c>
      <c r="B343" s="1" t="n">
        <v>45456.67717592593</v>
      </c>
      <c r="C343" s="1" t="n">
        <v>46174</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39438-2025</t>
        </is>
      </c>
      <c r="B344" s="1" t="n">
        <v>45889.68641203704</v>
      </c>
      <c r="C344" s="1" t="n">
        <v>46174</v>
      </c>
      <c r="D344" t="inlineStr">
        <is>
          <t>ÖSTERGÖTLANDS LÄN</t>
        </is>
      </c>
      <c r="E344" t="inlineStr">
        <is>
          <t>LINKÖPING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27264-2025</t>
        </is>
      </c>
      <c r="B345" s="1" t="n">
        <v>45812.4794212963</v>
      </c>
      <c r="C345" s="1" t="n">
        <v>46174</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13689-2025</t>
        </is>
      </c>
      <c r="B346" s="1" t="n">
        <v>45737.31590277778</v>
      </c>
      <c r="C346" s="1" t="n">
        <v>46174</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13696-2025</t>
        </is>
      </c>
      <c r="B347" s="1" t="n">
        <v>45737.32273148148</v>
      </c>
      <c r="C347" s="1" t="n">
        <v>46174</v>
      </c>
      <c r="D347" t="inlineStr">
        <is>
          <t>ÖSTERGÖTLANDS LÄN</t>
        </is>
      </c>
      <c r="E347" t="inlineStr">
        <is>
          <t>LINKÖPING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1924-2024</t>
        </is>
      </c>
      <c r="B348" s="1" t="n">
        <v>45308</v>
      </c>
      <c r="C348" s="1" t="n">
        <v>46174</v>
      </c>
      <c r="D348" t="inlineStr">
        <is>
          <t>ÖSTERGÖTLANDS LÄN</t>
        </is>
      </c>
      <c r="E348" t="inlineStr">
        <is>
          <t>LINKÖPING</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32346-2023</t>
        </is>
      </c>
      <c r="B349" s="1" t="n">
        <v>45120</v>
      </c>
      <c r="C349" s="1" t="n">
        <v>46174</v>
      </c>
      <c r="D349" t="inlineStr">
        <is>
          <t>ÖSTERGÖTLANDS LÄN</t>
        </is>
      </c>
      <c r="E349" t="inlineStr">
        <is>
          <t>LINKÖPING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39074-2025</t>
        </is>
      </c>
      <c r="B350" s="1" t="n">
        <v>45888</v>
      </c>
      <c r="C350" s="1" t="n">
        <v>46174</v>
      </c>
      <c r="D350" t="inlineStr">
        <is>
          <t>ÖSTERGÖTLANDS LÄN</t>
        </is>
      </c>
      <c r="E350" t="inlineStr">
        <is>
          <t>LINKÖPING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72567-2021</t>
        </is>
      </c>
      <c r="B351" s="1" t="n">
        <v>44546.45023148148</v>
      </c>
      <c r="C351" s="1" t="n">
        <v>46174</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14576-2023</t>
        </is>
      </c>
      <c r="B352" s="1" t="n">
        <v>45013</v>
      </c>
      <c r="C352" s="1" t="n">
        <v>46174</v>
      </c>
      <c r="D352" t="inlineStr">
        <is>
          <t>ÖSTERGÖTLANDS LÄN</t>
        </is>
      </c>
      <c r="E352" t="inlineStr">
        <is>
          <t>LINKÖPING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8967-2025</t>
        </is>
      </c>
      <c r="B353" s="1" t="n">
        <v>45712</v>
      </c>
      <c r="C353" s="1" t="n">
        <v>46174</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50508-2024</t>
        </is>
      </c>
      <c r="B354" s="1" t="n">
        <v>45601.53907407408</v>
      </c>
      <c r="C354" s="1" t="n">
        <v>46174</v>
      </c>
      <c r="D354" t="inlineStr">
        <is>
          <t>ÖSTERGÖTLANDS LÄN</t>
        </is>
      </c>
      <c r="E354" t="inlineStr">
        <is>
          <t>LINKÖPING</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7808-2022</t>
        </is>
      </c>
      <c r="B355" s="1" t="n">
        <v>44608</v>
      </c>
      <c r="C355" s="1" t="n">
        <v>46174</v>
      </c>
      <c r="D355" t="inlineStr">
        <is>
          <t>ÖSTERGÖTLANDS LÄN</t>
        </is>
      </c>
      <c r="E355" t="inlineStr">
        <is>
          <t>LINKÖPING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27844-2024</t>
        </is>
      </c>
      <c r="B356" s="1" t="n">
        <v>45475.63047453704</v>
      </c>
      <c r="C356" s="1" t="n">
        <v>46174</v>
      </c>
      <c r="D356" t="inlineStr">
        <is>
          <t>ÖSTERGÖTLANDS LÄN</t>
        </is>
      </c>
      <c r="E356" t="inlineStr">
        <is>
          <t>LINKÖPING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40810-2022</t>
        </is>
      </c>
      <c r="B357" s="1" t="n">
        <v>44824</v>
      </c>
      <c r="C357" s="1" t="n">
        <v>46174</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74160-2021</t>
        </is>
      </c>
      <c r="B358" s="1" t="n">
        <v>44558</v>
      </c>
      <c r="C358" s="1" t="n">
        <v>46174</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51559-2024</t>
        </is>
      </c>
      <c r="B359" s="1" t="n">
        <v>45604.61431712963</v>
      </c>
      <c r="C359" s="1" t="n">
        <v>46174</v>
      </c>
      <c r="D359" t="inlineStr">
        <is>
          <t>ÖSTERGÖTLANDS LÄN</t>
        </is>
      </c>
      <c r="E359" t="inlineStr">
        <is>
          <t>LINKÖPING</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49979-2022</t>
        </is>
      </c>
      <c r="B360" s="1" t="n">
        <v>44865</v>
      </c>
      <c r="C360" s="1" t="n">
        <v>46174</v>
      </c>
      <c r="D360" t="inlineStr">
        <is>
          <t>ÖSTERGÖTLANDS LÄN</t>
        </is>
      </c>
      <c r="E360" t="inlineStr">
        <is>
          <t>LINKÖPING</t>
        </is>
      </c>
      <c r="F360" t="inlineStr">
        <is>
          <t>Övriga Aktiebolag</t>
        </is>
      </c>
      <c r="G360" t="n">
        <v>11.4</v>
      </c>
      <c r="H360" t="n">
        <v>0</v>
      </c>
      <c r="I360" t="n">
        <v>0</v>
      </c>
      <c r="J360" t="n">
        <v>0</v>
      </c>
      <c r="K360" t="n">
        <v>0</v>
      </c>
      <c r="L360" t="n">
        <v>0</v>
      </c>
      <c r="M360" t="n">
        <v>0</v>
      </c>
      <c r="N360" t="n">
        <v>0</v>
      </c>
      <c r="O360" t="n">
        <v>0</v>
      </c>
      <c r="P360" t="n">
        <v>0</v>
      </c>
      <c r="Q360" t="n">
        <v>0</v>
      </c>
      <c r="R360" s="2" t="inlineStr"/>
    </row>
    <row r="361" ht="15" customHeight="1">
      <c r="A361" t="inlineStr">
        <is>
          <t>A 40169-2025</t>
        </is>
      </c>
      <c r="B361" s="1" t="n">
        <v>45894.62824074074</v>
      </c>
      <c r="C361" s="1" t="n">
        <v>46174</v>
      </c>
      <c r="D361" t="inlineStr">
        <is>
          <t>ÖSTERGÖTLANDS LÄN</t>
        </is>
      </c>
      <c r="E361" t="inlineStr">
        <is>
          <t>LINKÖPING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39219-2021</t>
        </is>
      </c>
      <c r="B362" s="1" t="n">
        <v>44413</v>
      </c>
      <c r="C362" s="1" t="n">
        <v>46174</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39224-2021</t>
        </is>
      </c>
      <c r="B363" s="1" t="n">
        <v>44413</v>
      </c>
      <c r="C363" s="1" t="n">
        <v>46174</v>
      </c>
      <c r="D363" t="inlineStr">
        <is>
          <t>ÖSTERGÖTLANDS LÄN</t>
        </is>
      </c>
      <c r="E363" t="inlineStr">
        <is>
          <t>LINKÖPING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62495-2023</t>
        </is>
      </c>
      <c r="B364" s="1" t="n">
        <v>45268.59717592593</v>
      </c>
      <c r="C364" s="1" t="n">
        <v>46174</v>
      </c>
      <c r="D364" t="inlineStr">
        <is>
          <t>ÖSTERGÖTLANDS LÄN</t>
        </is>
      </c>
      <c r="E364" t="inlineStr">
        <is>
          <t>LINKÖPING</t>
        </is>
      </c>
      <c r="G364" t="n">
        <v>4.1</v>
      </c>
      <c r="H364" t="n">
        <v>0</v>
      </c>
      <c r="I364" t="n">
        <v>0</v>
      </c>
      <c r="J364" t="n">
        <v>0</v>
      </c>
      <c r="K364" t="n">
        <v>0</v>
      </c>
      <c r="L364" t="n">
        <v>0</v>
      </c>
      <c r="M364" t="n">
        <v>0</v>
      </c>
      <c r="N364" t="n">
        <v>0</v>
      </c>
      <c r="O364" t="n">
        <v>0</v>
      </c>
      <c r="P364" t="n">
        <v>0</v>
      </c>
      <c r="Q364" t="n">
        <v>0</v>
      </c>
      <c r="R364" s="2" t="inlineStr"/>
    </row>
    <row r="365" ht="15" customHeight="1">
      <c r="A365" t="inlineStr">
        <is>
          <t>A 29413-2023</t>
        </is>
      </c>
      <c r="B365" s="1" t="n">
        <v>45106.46465277778</v>
      </c>
      <c r="C365" s="1" t="n">
        <v>46174</v>
      </c>
      <c r="D365" t="inlineStr">
        <is>
          <t>ÖSTERGÖTLANDS LÄN</t>
        </is>
      </c>
      <c r="E365" t="inlineStr">
        <is>
          <t>LINKÖPING</t>
        </is>
      </c>
      <c r="G365" t="n">
        <v>8</v>
      </c>
      <c r="H365" t="n">
        <v>0</v>
      </c>
      <c r="I365" t="n">
        <v>0</v>
      </c>
      <c r="J365" t="n">
        <v>0</v>
      </c>
      <c r="K365" t="n">
        <v>0</v>
      </c>
      <c r="L365" t="n">
        <v>0</v>
      </c>
      <c r="M365" t="n">
        <v>0</v>
      </c>
      <c r="N365" t="n">
        <v>0</v>
      </c>
      <c r="O365" t="n">
        <v>0</v>
      </c>
      <c r="P365" t="n">
        <v>0</v>
      </c>
      <c r="Q365" t="n">
        <v>0</v>
      </c>
      <c r="R365" s="2" t="inlineStr"/>
    </row>
    <row r="366" ht="15" customHeight="1">
      <c r="A366" t="inlineStr">
        <is>
          <t>A 27766-2022</t>
        </is>
      </c>
      <c r="B366" s="1" t="n">
        <v>44743.53112268518</v>
      </c>
      <c r="C366" s="1" t="n">
        <v>46174</v>
      </c>
      <c r="D366" t="inlineStr">
        <is>
          <t>ÖSTERGÖTLANDS LÄN</t>
        </is>
      </c>
      <c r="E366" t="inlineStr">
        <is>
          <t>LINKÖPING</t>
        </is>
      </c>
      <c r="G366" t="n">
        <v>2</v>
      </c>
      <c r="H366" t="n">
        <v>0</v>
      </c>
      <c r="I366" t="n">
        <v>0</v>
      </c>
      <c r="J366" t="n">
        <v>0</v>
      </c>
      <c r="K366" t="n">
        <v>0</v>
      </c>
      <c r="L366" t="n">
        <v>0</v>
      </c>
      <c r="M366" t="n">
        <v>0</v>
      </c>
      <c r="N366" t="n">
        <v>0</v>
      </c>
      <c r="O366" t="n">
        <v>0</v>
      </c>
      <c r="P366" t="n">
        <v>0</v>
      </c>
      <c r="Q366" t="n">
        <v>0</v>
      </c>
      <c r="R366" s="2" t="inlineStr"/>
    </row>
    <row r="367" ht="15" customHeight="1">
      <c r="A367" t="inlineStr">
        <is>
          <t>A 53641-2023</t>
        </is>
      </c>
      <c r="B367" s="1" t="n">
        <v>45230</v>
      </c>
      <c r="C367" s="1" t="n">
        <v>46174</v>
      </c>
      <c r="D367" t="inlineStr">
        <is>
          <t>ÖSTERGÖTLANDS LÄN</t>
        </is>
      </c>
      <c r="E367" t="inlineStr">
        <is>
          <t>LINKÖPING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25948-2023</t>
        </is>
      </c>
      <c r="B368" s="1" t="n">
        <v>45090</v>
      </c>
      <c r="C368" s="1" t="n">
        <v>46174</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33000-2023</t>
        </is>
      </c>
      <c r="B369" s="1" t="n">
        <v>45125</v>
      </c>
      <c r="C369" s="1" t="n">
        <v>46174</v>
      </c>
      <c r="D369" t="inlineStr">
        <is>
          <t>ÖSTERGÖTLANDS LÄN</t>
        </is>
      </c>
      <c r="E369" t="inlineStr">
        <is>
          <t>LINKÖPING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1627-2023</t>
        </is>
      </c>
      <c r="B370" s="1" t="n">
        <v>44937</v>
      </c>
      <c r="C370" s="1" t="n">
        <v>46174</v>
      </c>
      <c r="D370" t="inlineStr">
        <is>
          <t>ÖSTERGÖTLANDS LÄN</t>
        </is>
      </c>
      <c r="E370" t="inlineStr">
        <is>
          <t>LINKÖPING</t>
        </is>
      </c>
      <c r="G370" t="n">
        <v>10.8</v>
      </c>
      <c r="H370" t="n">
        <v>0</v>
      </c>
      <c r="I370" t="n">
        <v>0</v>
      </c>
      <c r="J370" t="n">
        <v>0</v>
      </c>
      <c r="K370" t="n">
        <v>0</v>
      </c>
      <c r="L370" t="n">
        <v>0</v>
      </c>
      <c r="M370" t="n">
        <v>0</v>
      </c>
      <c r="N370" t="n">
        <v>0</v>
      </c>
      <c r="O370" t="n">
        <v>0</v>
      </c>
      <c r="P370" t="n">
        <v>0</v>
      </c>
      <c r="Q370" t="n">
        <v>0</v>
      </c>
      <c r="R370" s="2" t="inlineStr"/>
    </row>
    <row r="371" ht="15" customHeight="1">
      <c r="A371" t="inlineStr">
        <is>
          <t>A 30481-2023</t>
        </is>
      </c>
      <c r="B371" s="1" t="n">
        <v>45111</v>
      </c>
      <c r="C371" s="1" t="n">
        <v>46174</v>
      </c>
      <c r="D371" t="inlineStr">
        <is>
          <t>ÖSTERGÖTLANDS LÄN</t>
        </is>
      </c>
      <c r="E371" t="inlineStr">
        <is>
          <t>LINKÖPING</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52892-2024</t>
        </is>
      </c>
      <c r="B372" s="1" t="n">
        <v>45610</v>
      </c>
      <c r="C372" s="1" t="n">
        <v>46174</v>
      </c>
      <c r="D372" t="inlineStr">
        <is>
          <t>ÖSTERGÖTLANDS LÄN</t>
        </is>
      </c>
      <c r="E372" t="inlineStr">
        <is>
          <t>LINKÖPING</t>
        </is>
      </c>
      <c r="G372" t="n">
        <v>4.2</v>
      </c>
      <c r="H372" t="n">
        <v>0</v>
      </c>
      <c r="I372" t="n">
        <v>0</v>
      </c>
      <c r="J372" t="n">
        <v>0</v>
      </c>
      <c r="K372" t="n">
        <v>0</v>
      </c>
      <c r="L372" t="n">
        <v>0</v>
      </c>
      <c r="M372" t="n">
        <v>0</v>
      </c>
      <c r="N372" t="n">
        <v>0</v>
      </c>
      <c r="O372" t="n">
        <v>0</v>
      </c>
      <c r="P372" t="n">
        <v>0</v>
      </c>
      <c r="Q372" t="n">
        <v>0</v>
      </c>
      <c r="R372" s="2" t="inlineStr"/>
    </row>
    <row r="373" ht="15" customHeight="1">
      <c r="A373" t="inlineStr">
        <is>
          <t>A 21782-2024</t>
        </is>
      </c>
      <c r="B373" s="1" t="n">
        <v>45442.63368055555</v>
      </c>
      <c r="C373" s="1" t="n">
        <v>46174</v>
      </c>
      <c r="D373" t="inlineStr">
        <is>
          <t>ÖSTERGÖTLANDS LÄN</t>
        </is>
      </c>
      <c r="E373" t="inlineStr">
        <is>
          <t>LINKÖPING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11671-2023</t>
        </is>
      </c>
      <c r="B374" s="1" t="n">
        <v>44994.48125</v>
      </c>
      <c r="C374" s="1" t="n">
        <v>46174</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30521-2024</t>
        </is>
      </c>
      <c r="B375" s="1" t="n">
        <v>45492</v>
      </c>
      <c r="C375" s="1" t="n">
        <v>46174</v>
      </c>
      <c r="D375" t="inlineStr">
        <is>
          <t>ÖSTERGÖTLANDS LÄN</t>
        </is>
      </c>
      <c r="E375" t="inlineStr">
        <is>
          <t>LINKÖPING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51191-2022</t>
        </is>
      </c>
      <c r="B376" s="1" t="n">
        <v>44865</v>
      </c>
      <c r="C376" s="1" t="n">
        <v>46174</v>
      </c>
      <c r="D376" t="inlineStr">
        <is>
          <t>ÖSTERGÖTLANDS LÄN</t>
        </is>
      </c>
      <c r="E376" t="inlineStr">
        <is>
          <t>LINKÖPING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3013-2023</t>
        </is>
      </c>
      <c r="B377" s="1" t="n">
        <v>44945.8092824074</v>
      </c>
      <c r="C377" s="1" t="n">
        <v>46174</v>
      </c>
      <c r="D377" t="inlineStr">
        <is>
          <t>ÖSTERGÖTLANDS LÄN</t>
        </is>
      </c>
      <c r="E377" t="inlineStr">
        <is>
          <t>LINKÖPING</t>
        </is>
      </c>
      <c r="G377" t="n">
        <v>5.2</v>
      </c>
      <c r="H377" t="n">
        <v>0</v>
      </c>
      <c r="I377" t="n">
        <v>0</v>
      </c>
      <c r="J377" t="n">
        <v>0</v>
      </c>
      <c r="K377" t="n">
        <v>0</v>
      </c>
      <c r="L377" t="n">
        <v>0</v>
      </c>
      <c r="M377" t="n">
        <v>0</v>
      </c>
      <c r="N377" t="n">
        <v>0</v>
      </c>
      <c r="O377" t="n">
        <v>0</v>
      </c>
      <c r="P377" t="n">
        <v>0</v>
      </c>
      <c r="Q377" t="n">
        <v>0</v>
      </c>
      <c r="R377" s="2" t="inlineStr"/>
    </row>
    <row r="378" ht="15" customHeight="1">
      <c r="A378" t="inlineStr">
        <is>
          <t>A 49747-2024</t>
        </is>
      </c>
      <c r="B378" s="1" t="n">
        <v>45596</v>
      </c>
      <c r="C378" s="1" t="n">
        <v>46174</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42997-2021</t>
        </is>
      </c>
      <c r="B379" s="1" t="n">
        <v>44431.45556712963</v>
      </c>
      <c r="C379" s="1" t="n">
        <v>46174</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12289-2025</t>
        </is>
      </c>
      <c r="B380" s="1" t="n">
        <v>45729</v>
      </c>
      <c r="C380" s="1" t="n">
        <v>46174</v>
      </c>
      <c r="D380" t="inlineStr">
        <is>
          <t>ÖSTERGÖTLANDS LÄN</t>
        </is>
      </c>
      <c r="E380" t="inlineStr">
        <is>
          <t>LINKÖPING</t>
        </is>
      </c>
      <c r="F380" t="inlineStr">
        <is>
          <t>Övriga statliga verk och myndigheter</t>
        </is>
      </c>
      <c r="G380" t="n">
        <v>6.5</v>
      </c>
      <c r="H380" t="n">
        <v>0</v>
      </c>
      <c r="I380" t="n">
        <v>0</v>
      </c>
      <c r="J380" t="n">
        <v>0</v>
      </c>
      <c r="K380" t="n">
        <v>0</v>
      </c>
      <c r="L380" t="n">
        <v>0</v>
      </c>
      <c r="M380" t="n">
        <v>0</v>
      </c>
      <c r="N380" t="n">
        <v>0</v>
      </c>
      <c r="O380" t="n">
        <v>0</v>
      </c>
      <c r="P380" t="n">
        <v>0</v>
      </c>
      <c r="Q380" t="n">
        <v>0</v>
      </c>
      <c r="R380" s="2" t="inlineStr"/>
    </row>
    <row r="381" ht="15" customHeight="1">
      <c r="A381" t="inlineStr">
        <is>
          <t>A 3011-2023</t>
        </is>
      </c>
      <c r="B381" s="1" t="n">
        <v>44945</v>
      </c>
      <c r="C381" s="1" t="n">
        <v>46174</v>
      </c>
      <c r="D381" t="inlineStr">
        <is>
          <t>ÖSTERGÖTLANDS LÄN</t>
        </is>
      </c>
      <c r="E381" t="inlineStr">
        <is>
          <t>LINKÖPING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23735-2023</t>
        </is>
      </c>
      <c r="B382" s="1" t="n">
        <v>45077</v>
      </c>
      <c r="C382" s="1" t="n">
        <v>46174</v>
      </c>
      <c r="D382" t="inlineStr">
        <is>
          <t>ÖSTERGÖTLANDS LÄN</t>
        </is>
      </c>
      <c r="E382" t="inlineStr">
        <is>
          <t>LINKÖPING</t>
        </is>
      </c>
      <c r="G382" t="n">
        <v>1.7</v>
      </c>
      <c r="H382" t="n">
        <v>0</v>
      </c>
      <c r="I382" t="n">
        <v>0</v>
      </c>
      <c r="J382" t="n">
        <v>0</v>
      </c>
      <c r="K382" t="n">
        <v>0</v>
      </c>
      <c r="L382" t="n">
        <v>0</v>
      </c>
      <c r="M382" t="n">
        <v>0</v>
      </c>
      <c r="N382" t="n">
        <v>0</v>
      </c>
      <c r="O382" t="n">
        <v>0</v>
      </c>
      <c r="P382" t="n">
        <v>0</v>
      </c>
      <c r="Q382" t="n">
        <v>0</v>
      </c>
      <c r="R382" s="2" t="inlineStr"/>
    </row>
    <row r="383" ht="15" customHeight="1">
      <c r="A383" t="inlineStr">
        <is>
          <t>A 9434-2024</t>
        </is>
      </c>
      <c r="B383" s="1" t="n">
        <v>45359</v>
      </c>
      <c r="C383" s="1" t="n">
        <v>46174</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50182-2023</t>
        </is>
      </c>
      <c r="B384" s="1" t="n">
        <v>45208</v>
      </c>
      <c r="C384" s="1" t="n">
        <v>46174</v>
      </c>
      <c r="D384" t="inlineStr">
        <is>
          <t>ÖSTERGÖTLANDS LÄN</t>
        </is>
      </c>
      <c r="E384" t="inlineStr">
        <is>
          <t>LINKÖPING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45821-2024</t>
        </is>
      </c>
      <c r="B385" s="1" t="n">
        <v>45579.75803240741</v>
      </c>
      <c r="C385" s="1" t="n">
        <v>46174</v>
      </c>
      <c r="D385" t="inlineStr">
        <is>
          <t>ÖSTERGÖTLANDS LÄN</t>
        </is>
      </c>
      <c r="E385" t="inlineStr">
        <is>
          <t>LINKÖPING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35781-2023</t>
        </is>
      </c>
      <c r="B386" s="1" t="n">
        <v>45147</v>
      </c>
      <c r="C386" s="1" t="n">
        <v>46174</v>
      </c>
      <c r="D386" t="inlineStr">
        <is>
          <t>ÖSTERGÖTLANDS LÄN</t>
        </is>
      </c>
      <c r="E386" t="inlineStr">
        <is>
          <t>LINKÖPING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53647-2021</t>
        </is>
      </c>
      <c r="B387" s="1" t="n">
        <v>44469</v>
      </c>
      <c r="C387" s="1" t="n">
        <v>46174</v>
      </c>
      <c r="D387" t="inlineStr">
        <is>
          <t>ÖSTERGÖTLANDS LÄN</t>
        </is>
      </c>
      <c r="E387" t="inlineStr">
        <is>
          <t>LINKÖPING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63678-2023</t>
        </is>
      </c>
      <c r="B388" s="1" t="n">
        <v>45275.64769675926</v>
      </c>
      <c r="C388" s="1" t="n">
        <v>46174</v>
      </c>
      <c r="D388" t="inlineStr">
        <is>
          <t>ÖSTERGÖTLANDS LÄN</t>
        </is>
      </c>
      <c r="E388" t="inlineStr">
        <is>
          <t>LINKÖPING</t>
        </is>
      </c>
      <c r="F388" t="inlineStr">
        <is>
          <t>Övriga Aktiebolag</t>
        </is>
      </c>
      <c r="G388" t="n">
        <v>0.4</v>
      </c>
      <c r="H388" t="n">
        <v>0</v>
      </c>
      <c r="I388" t="n">
        <v>0</v>
      </c>
      <c r="J388" t="n">
        <v>0</v>
      </c>
      <c r="K388" t="n">
        <v>0</v>
      </c>
      <c r="L388" t="n">
        <v>0</v>
      </c>
      <c r="M388" t="n">
        <v>0</v>
      </c>
      <c r="N388" t="n">
        <v>0</v>
      </c>
      <c r="O388" t="n">
        <v>0</v>
      </c>
      <c r="P388" t="n">
        <v>0</v>
      </c>
      <c r="Q388" t="n">
        <v>0</v>
      </c>
      <c r="R388" s="2" t="inlineStr"/>
    </row>
    <row r="389" ht="15" customHeight="1">
      <c r="A389" t="inlineStr">
        <is>
          <t>A 6387-2022</t>
        </is>
      </c>
      <c r="B389" s="1" t="n">
        <v>44600</v>
      </c>
      <c r="C389" s="1" t="n">
        <v>46174</v>
      </c>
      <c r="D389" t="inlineStr">
        <is>
          <t>ÖSTERGÖTLANDS LÄN</t>
        </is>
      </c>
      <c r="E389" t="inlineStr">
        <is>
          <t>LINKÖPING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48707-2023</t>
        </is>
      </c>
      <c r="B390" s="1" t="n">
        <v>45202</v>
      </c>
      <c r="C390" s="1" t="n">
        <v>46174</v>
      </c>
      <c r="D390" t="inlineStr">
        <is>
          <t>ÖSTERGÖTLANDS LÄN</t>
        </is>
      </c>
      <c r="E390" t="inlineStr">
        <is>
          <t>LINKÖPING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41511-2025</t>
        </is>
      </c>
      <c r="B391" s="1" t="n">
        <v>45901.53839120371</v>
      </c>
      <c r="C391" s="1" t="n">
        <v>46174</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6599-2023</t>
        </is>
      </c>
      <c r="B392" s="1" t="n">
        <v>44966.52603009259</v>
      </c>
      <c r="C392" s="1" t="n">
        <v>46174</v>
      </c>
      <c r="D392" t="inlineStr">
        <is>
          <t>ÖSTERGÖTLANDS LÄN</t>
        </is>
      </c>
      <c r="E392" t="inlineStr">
        <is>
          <t>LINKÖPING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41706-2025</t>
        </is>
      </c>
      <c r="B393" s="1" t="n">
        <v>45902.42209490741</v>
      </c>
      <c r="C393" s="1" t="n">
        <v>46174</v>
      </c>
      <c r="D393" t="inlineStr">
        <is>
          <t>ÖSTERGÖTLANDS LÄN</t>
        </is>
      </c>
      <c r="E393" t="inlineStr">
        <is>
          <t>LINKÖPING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12089-2025</t>
        </is>
      </c>
      <c r="B394" s="1" t="n">
        <v>45729</v>
      </c>
      <c r="C394" s="1" t="n">
        <v>46174</v>
      </c>
      <c r="D394" t="inlineStr">
        <is>
          <t>ÖSTERGÖTLANDS LÄN</t>
        </is>
      </c>
      <c r="E394" t="inlineStr">
        <is>
          <t>LINKÖPING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3042-2024</t>
        </is>
      </c>
      <c r="B395" s="1" t="n">
        <v>45316.35028935185</v>
      </c>
      <c r="C395" s="1" t="n">
        <v>46174</v>
      </c>
      <c r="D395" t="inlineStr">
        <is>
          <t>ÖSTERGÖTLANDS LÄN</t>
        </is>
      </c>
      <c r="E395" t="inlineStr">
        <is>
          <t>LINKÖPING</t>
        </is>
      </c>
      <c r="G395" t="n">
        <v>3.1</v>
      </c>
      <c r="H395" t="n">
        <v>0</v>
      </c>
      <c r="I395" t="n">
        <v>0</v>
      </c>
      <c r="J395" t="n">
        <v>0</v>
      </c>
      <c r="K395" t="n">
        <v>0</v>
      </c>
      <c r="L395" t="n">
        <v>0</v>
      </c>
      <c r="M395" t="n">
        <v>0</v>
      </c>
      <c r="N395" t="n">
        <v>0</v>
      </c>
      <c r="O395" t="n">
        <v>0</v>
      </c>
      <c r="P395" t="n">
        <v>0</v>
      </c>
      <c r="Q395" t="n">
        <v>0</v>
      </c>
      <c r="R395" s="2" t="inlineStr"/>
    </row>
    <row r="396" ht="15" customHeight="1">
      <c r="A396" t="inlineStr">
        <is>
          <t>A 35735-2023</t>
        </is>
      </c>
      <c r="B396" s="1" t="n">
        <v>45147</v>
      </c>
      <c r="C396" s="1" t="n">
        <v>46174</v>
      </c>
      <c r="D396" t="inlineStr">
        <is>
          <t>ÖSTERGÖTLANDS LÄN</t>
        </is>
      </c>
      <c r="E396" t="inlineStr">
        <is>
          <t>LINKÖPING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15658-2023</t>
        </is>
      </c>
      <c r="B397" s="1" t="n">
        <v>45021.41194444444</v>
      </c>
      <c r="C397" s="1" t="n">
        <v>46174</v>
      </c>
      <c r="D397" t="inlineStr">
        <is>
          <t>ÖSTERGÖTLANDS LÄN</t>
        </is>
      </c>
      <c r="E397" t="inlineStr">
        <is>
          <t>LINKÖPING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45831-2024</t>
        </is>
      </c>
      <c r="B398" s="1" t="n">
        <v>45579.90508101852</v>
      </c>
      <c r="C398" s="1" t="n">
        <v>46174</v>
      </c>
      <c r="D398" t="inlineStr">
        <is>
          <t>ÖSTERGÖTLANDS LÄN</t>
        </is>
      </c>
      <c r="E398" t="inlineStr">
        <is>
          <t>LINKÖPING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17157-2024</t>
        </is>
      </c>
      <c r="B399" s="1" t="n">
        <v>45412.70567129629</v>
      </c>
      <c r="C399" s="1" t="n">
        <v>46174</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29293-2025</t>
        </is>
      </c>
      <c r="B400" s="1" t="n">
        <v>45824</v>
      </c>
      <c r="C400" s="1" t="n">
        <v>46174</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42624-2025</t>
        </is>
      </c>
      <c r="B401" s="1" t="n">
        <v>45905</v>
      </c>
      <c r="C401" s="1" t="n">
        <v>46174</v>
      </c>
      <c r="D401" t="inlineStr">
        <is>
          <t>ÖSTERGÖTLANDS LÄN</t>
        </is>
      </c>
      <c r="E401" t="inlineStr">
        <is>
          <t>LINKÖPING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42626-2025</t>
        </is>
      </c>
      <c r="B402" s="1" t="n">
        <v>45905</v>
      </c>
      <c r="C402" s="1" t="n">
        <v>46174</v>
      </c>
      <c r="D402" t="inlineStr">
        <is>
          <t>ÖSTERGÖTLANDS LÄN</t>
        </is>
      </c>
      <c r="E402" t="inlineStr">
        <is>
          <t>LINKÖPING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51583-2024</t>
        </is>
      </c>
      <c r="B403" s="1" t="n">
        <v>45604.6397337963</v>
      </c>
      <c r="C403" s="1" t="n">
        <v>46174</v>
      </c>
      <c r="D403" t="inlineStr">
        <is>
          <t>ÖSTERGÖTLANDS LÄN</t>
        </is>
      </c>
      <c r="E403" t="inlineStr">
        <is>
          <t>LINKÖPING</t>
        </is>
      </c>
      <c r="F403" t="inlineStr">
        <is>
          <t>Övriga Aktiebolag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42623-2025</t>
        </is>
      </c>
      <c r="B404" s="1" t="n">
        <v>45905</v>
      </c>
      <c r="C404" s="1" t="n">
        <v>46174</v>
      </c>
      <c r="D404" t="inlineStr">
        <is>
          <t>ÖSTERGÖTLANDS LÄN</t>
        </is>
      </c>
      <c r="E404" t="inlineStr">
        <is>
          <t>LINKÖPING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37154-2023</t>
        </is>
      </c>
      <c r="B405" s="1" t="n">
        <v>45155</v>
      </c>
      <c r="C405" s="1" t="n">
        <v>46174</v>
      </c>
      <c r="D405" t="inlineStr">
        <is>
          <t>ÖSTERGÖTLANDS LÄN</t>
        </is>
      </c>
      <c r="E405" t="inlineStr">
        <is>
          <t>LINKÖPING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64694-2023</t>
        </is>
      </c>
      <c r="B406" s="1" t="n">
        <v>45281</v>
      </c>
      <c r="C406" s="1" t="n">
        <v>46174</v>
      </c>
      <c r="D406" t="inlineStr">
        <is>
          <t>ÖSTERGÖTLANDS LÄN</t>
        </is>
      </c>
      <c r="E406" t="inlineStr">
        <is>
          <t>LINKÖPING</t>
        </is>
      </c>
      <c r="F406" t="inlineStr">
        <is>
          <t>Övriga statliga verk och myndigheter</t>
        </is>
      </c>
      <c r="G406" t="n">
        <v>4.9</v>
      </c>
      <c r="H406" t="n">
        <v>0</v>
      </c>
      <c r="I406" t="n">
        <v>0</v>
      </c>
      <c r="J406" t="n">
        <v>0</v>
      </c>
      <c r="K406" t="n">
        <v>0</v>
      </c>
      <c r="L406" t="n">
        <v>0</v>
      </c>
      <c r="M406" t="n">
        <v>0</v>
      </c>
      <c r="N406" t="n">
        <v>0</v>
      </c>
      <c r="O406" t="n">
        <v>0</v>
      </c>
      <c r="P406" t="n">
        <v>0</v>
      </c>
      <c r="Q406" t="n">
        <v>0</v>
      </c>
      <c r="R406" s="2" t="inlineStr"/>
    </row>
    <row r="407" ht="15" customHeight="1">
      <c r="A407" t="inlineStr">
        <is>
          <t>A 32602-2022</t>
        </is>
      </c>
      <c r="B407" s="1" t="n">
        <v>44783.43192129629</v>
      </c>
      <c r="C407" s="1" t="n">
        <v>46174</v>
      </c>
      <c r="D407" t="inlineStr">
        <is>
          <t>ÖSTERGÖTLANDS LÄN</t>
        </is>
      </c>
      <c r="E407" t="inlineStr">
        <is>
          <t>LINKÖPING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53812-2023</t>
        </is>
      </c>
      <c r="B408" s="1" t="n">
        <v>45231.39583333334</v>
      </c>
      <c r="C408" s="1" t="n">
        <v>46174</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53830-2023</t>
        </is>
      </c>
      <c r="B409" s="1" t="n">
        <v>45230</v>
      </c>
      <c r="C409" s="1" t="n">
        <v>46174</v>
      </c>
      <c r="D409" t="inlineStr">
        <is>
          <t>ÖSTERGÖTLANDS LÄN</t>
        </is>
      </c>
      <c r="E409" t="inlineStr">
        <is>
          <t>LINKÖPING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56841-2023</t>
        </is>
      </c>
      <c r="B410" s="1" t="n">
        <v>45244</v>
      </c>
      <c r="C410" s="1" t="n">
        <v>46174</v>
      </c>
      <c r="D410" t="inlineStr">
        <is>
          <t>ÖSTERGÖTLANDS LÄN</t>
        </is>
      </c>
      <c r="E410" t="inlineStr">
        <is>
          <t>LINKÖPING</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56741-2023</t>
        </is>
      </c>
      <c r="B411" s="1" t="n">
        <v>45244</v>
      </c>
      <c r="C411" s="1" t="n">
        <v>46174</v>
      </c>
      <c r="D411" t="inlineStr">
        <is>
          <t>ÖSTERGÖTLANDS LÄN</t>
        </is>
      </c>
      <c r="E411" t="inlineStr">
        <is>
          <t>LINKÖPING</t>
        </is>
      </c>
      <c r="F411" t="inlineStr">
        <is>
          <t>Övriga Aktiebolag</t>
        </is>
      </c>
      <c r="G411" t="n">
        <v>1.1</v>
      </c>
      <c r="H411" t="n">
        <v>0</v>
      </c>
      <c r="I411" t="n">
        <v>0</v>
      </c>
      <c r="J411" t="n">
        <v>0</v>
      </c>
      <c r="K411" t="n">
        <v>0</v>
      </c>
      <c r="L411" t="n">
        <v>0</v>
      </c>
      <c r="M411" t="n">
        <v>0</v>
      </c>
      <c r="N411" t="n">
        <v>0</v>
      </c>
      <c r="O411" t="n">
        <v>0</v>
      </c>
      <c r="P411" t="n">
        <v>0</v>
      </c>
      <c r="Q411" t="n">
        <v>0</v>
      </c>
      <c r="R411" s="2" t="inlineStr"/>
    </row>
    <row r="412" ht="15" customHeight="1">
      <c r="A412" t="inlineStr">
        <is>
          <t>A 53816-2023</t>
        </is>
      </c>
      <c r="B412" s="1" t="n">
        <v>45231.40012731482</v>
      </c>
      <c r="C412" s="1" t="n">
        <v>46174</v>
      </c>
      <c r="D412" t="inlineStr">
        <is>
          <t>ÖSTERGÖTLANDS LÄN</t>
        </is>
      </c>
      <c r="E412" t="inlineStr">
        <is>
          <t>LINKÖPING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62321-2022</t>
        </is>
      </c>
      <c r="B413" s="1" t="n">
        <v>44916</v>
      </c>
      <c r="C413" s="1" t="n">
        <v>46174</v>
      </c>
      <c r="D413" t="inlineStr">
        <is>
          <t>ÖSTERGÖTLANDS LÄN</t>
        </is>
      </c>
      <c r="E413" t="inlineStr">
        <is>
          <t>LINKÖPING</t>
        </is>
      </c>
      <c r="F413" t="inlineStr">
        <is>
          <t>Kommuner</t>
        </is>
      </c>
      <c r="G413" t="n">
        <v>5.3</v>
      </c>
      <c r="H413" t="n">
        <v>0</v>
      </c>
      <c r="I413" t="n">
        <v>0</v>
      </c>
      <c r="J413" t="n">
        <v>0</v>
      </c>
      <c r="K413" t="n">
        <v>0</v>
      </c>
      <c r="L413" t="n">
        <v>0</v>
      </c>
      <c r="M413" t="n">
        <v>0</v>
      </c>
      <c r="N413" t="n">
        <v>0</v>
      </c>
      <c r="O413" t="n">
        <v>0</v>
      </c>
      <c r="P413" t="n">
        <v>0</v>
      </c>
      <c r="Q413" t="n">
        <v>0</v>
      </c>
      <c r="R413" s="2" t="inlineStr"/>
    </row>
    <row r="414" ht="15" customHeight="1">
      <c r="A414" t="inlineStr">
        <is>
          <t>A 63935-2021</t>
        </is>
      </c>
      <c r="B414" s="1" t="n">
        <v>44509</v>
      </c>
      <c r="C414" s="1" t="n">
        <v>46174</v>
      </c>
      <c r="D414" t="inlineStr">
        <is>
          <t>ÖSTERGÖTLANDS LÄN</t>
        </is>
      </c>
      <c r="E414" t="inlineStr">
        <is>
          <t>LINKÖPING</t>
        </is>
      </c>
      <c r="F414" t="inlineStr">
        <is>
          <t>Övriga statliga verk och myndigheter</t>
        </is>
      </c>
      <c r="G414" t="n">
        <v>2.8</v>
      </c>
      <c r="H414" t="n">
        <v>0</v>
      </c>
      <c r="I414" t="n">
        <v>0</v>
      </c>
      <c r="J414" t="n">
        <v>0</v>
      </c>
      <c r="K414" t="n">
        <v>0</v>
      </c>
      <c r="L414" t="n">
        <v>0</v>
      </c>
      <c r="M414" t="n">
        <v>0</v>
      </c>
      <c r="N414" t="n">
        <v>0</v>
      </c>
      <c r="O414" t="n">
        <v>0</v>
      </c>
      <c r="P414" t="n">
        <v>0</v>
      </c>
      <c r="Q414" t="n">
        <v>0</v>
      </c>
      <c r="R414" s="2" t="inlineStr"/>
    </row>
    <row r="415" ht="15" customHeight="1">
      <c r="A415" t="inlineStr">
        <is>
          <t>A 1844-2025</t>
        </is>
      </c>
      <c r="B415" s="1" t="n">
        <v>45671.57730324074</v>
      </c>
      <c r="C415" s="1" t="n">
        <v>46174</v>
      </c>
      <c r="D415" t="inlineStr">
        <is>
          <t>ÖSTERGÖTLANDS LÄN</t>
        </is>
      </c>
      <c r="E415" t="inlineStr">
        <is>
          <t>LINKÖPING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1084-2023</t>
        </is>
      </c>
      <c r="B416" s="1" t="n">
        <v>44929</v>
      </c>
      <c r="C416" s="1" t="n">
        <v>46174</v>
      </c>
      <c r="D416" t="inlineStr">
        <is>
          <t>ÖSTERGÖTLANDS LÄN</t>
        </is>
      </c>
      <c r="E416" t="inlineStr">
        <is>
          <t>LINKÖPING</t>
        </is>
      </c>
      <c r="G416" t="n">
        <v>10.4</v>
      </c>
      <c r="H416" t="n">
        <v>0</v>
      </c>
      <c r="I416" t="n">
        <v>0</v>
      </c>
      <c r="J416" t="n">
        <v>0</v>
      </c>
      <c r="K416" t="n">
        <v>0</v>
      </c>
      <c r="L416" t="n">
        <v>0</v>
      </c>
      <c r="M416" t="n">
        <v>0</v>
      </c>
      <c r="N416" t="n">
        <v>0</v>
      </c>
      <c r="O416" t="n">
        <v>0</v>
      </c>
      <c r="P416" t="n">
        <v>0</v>
      </c>
      <c r="Q416" t="n">
        <v>0</v>
      </c>
      <c r="R416" s="2" t="inlineStr"/>
    </row>
    <row r="417" ht="15" customHeight="1">
      <c r="A417" t="inlineStr">
        <is>
          <t>A 6726-2024</t>
        </is>
      </c>
      <c r="B417" s="1" t="n">
        <v>45341</v>
      </c>
      <c r="C417" s="1" t="n">
        <v>46174</v>
      </c>
      <c r="D417" t="inlineStr">
        <is>
          <t>ÖSTERGÖTLANDS LÄN</t>
        </is>
      </c>
      <c r="E417" t="inlineStr">
        <is>
          <t>LINKÖPING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267-2023</t>
        </is>
      </c>
      <c r="B418" s="1" t="n">
        <v>44928.80907407407</v>
      </c>
      <c r="C418" s="1" t="n">
        <v>46174</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940-2023</t>
        </is>
      </c>
      <c r="B419" s="1" t="n">
        <v>44933</v>
      </c>
      <c r="C419" s="1" t="n">
        <v>46174</v>
      </c>
      <c r="D419" t="inlineStr">
        <is>
          <t>ÖSTERGÖTLANDS LÄN</t>
        </is>
      </c>
      <c r="E419" t="inlineStr">
        <is>
          <t>LINKÖPING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6369-2023</t>
        </is>
      </c>
      <c r="B420" s="1" t="n">
        <v>44965.61106481482</v>
      </c>
      <c r="C420" s="1" t="n">
        <v>46174</v>
      </c>
      <c r="D420" t="inlineStr">
        <is>
          <t>ÖSTERGÖTLANDS LÄN</t>
        </is>
      </c>
      <c r="E420" t="inlineStr">
        <is>
          <t>LINKÖPING</t>
        </is>
      </c>
      <c r="G420" t="n">
        <v>4</v>
      </c>
      <c r="H420" t="n">
        <v>0</v>
      </c>
      <c r="I420" t="n">
        <v>0</v>
      </c>
      <c r="J420" t="n">
        <v>0</v>
      </c>
      <c r="K420" t="n">
        <v>0</v>
      </c>
      <c r="L420" t="n">
        <v>0</v>
      </c>
      <c r="M420" t="n">
        <v>0</v>
      </c>
      <c r="N420" t="n">
        <v>0</v>
      </c>
      <c r="O420" t="n">
        <v>0</v>
      </c>
      <c r="P420" t="n">
        <v>0</v>
      </c>
      <c r="Q420" t="n">
        <v>0</v>
      </c>
      <c r="R420" s="2" t="inlineStr"/>
    </row>
    <row r="421" ht="15" customHeight="1">
      <c r="A421" t="inlineStr">
        <is>
          <t>A 3007-2023</t>
        </is>
      </c>
      <c r="B421" s="1" t="n">
        <v>44945</v>
      </c>
      <c r="C421" s="1" t="n">
        <v>46174</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30980-2022</t>
        </is>
      </c>
      <c r="B422" s="1" t="n">
        <v>44768</v>
      </c>
      <c r="C422" s="1" t="n">
        <v>46174</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60007-2022</t>
        </is>
      </c>
      <c r="B423" s="1" t="n">
        <v>44909.47282407407</v>
      </c>
      <c r="C423" s="1" t="n">
        <v>46174</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29309-2024</t>
        </is>
      </c>
      <c r="B424" s="1" t="n">
        <v>45483</v>
      </c>
      <c r="C424" s="1" t="n">
        <v>46174</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50799-2022</t>
        </is>
      </c>
      <c r="B425" s="1" t="n">
        <v>44862</v>
      </c>
      <c r="C425" s="1" t="n">
        <v>46174</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56064-2022</t>
        </is>
      </c>
      <c r="B426" s="1" t="n">
        <v>44889.59107638889</v>
      </c>
      <c r="C426" s="1" t="n">
        <v>46174</v>
      </c>
      <c r="D426" t="inlineStr">
        <is>
          <t>ÖSTERGÖTLANDS LÄN</t>
        </is>
      </c>
      <c r="E426" t="inlineStr">
        <is>
          <t>LINKÖPING</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47703-2023</t>
        </is>
      </c>
      <c r="B427" s="1" t="n">
        <v>45203</v>
      </c>
      <c r="C427" s="1" t="n">
        <v>46174</v>
      </c>
      <c r="D427" t="inlineStr">
        <is>
          <t>ÖSTERGÖTLANDS LÄN</t>
        </is>
      </c>
      <c r="E427" t="inlineStr">
        <is>
          <t>LINKÖPING</t>
        </is>
      </c>
      <c r="G427" t="n">
        <v>4.1</v>
      </c>
      <c r="H427" t="n">
        <v>0</v>
      </c>
      <c r="I427" t="n">
        <v>0</v>
      </c>
      <c r="J427" t="n">
        <v>0</v>
      </c>
      <c r="K427" t="n">
        <v>0</v>
      </c>
      <c r="L427" t="n">
        <v>0</v>
      </c>
      <c r="M427" t="n">
        <v>0</v>
      </c>
      <c r="N427" t="n">
        <v>0</v>
      </c>
      <c r="O427" t="n">
        <v>0</v>
      </c>
      <c r="P427" t="n">
        <v>0</v>
      </c>
      <c r="Q427" t="n">
        <v>0</v>
      </c>
      <c r="R427" s="2" t="inlineStr"/>
    </row>
    <row r="428" ht="15" customHeight="1">
      <c r="A428" t="inlineStr">
        <is>
          <t>A 44170-2025</t>
        </is>
      </c>
      <c r="B428" s="1" t="n">
        <v>45915.59864583334</v>
      </c>
      <c r="C428" s="1" t="n">
        <v>46174</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16111-2022</t>
        </is>
      </c>
      <c r="B429" s="1" t="n">
        <v>44665</v>
      </c>
      <c r="C429" s="1" t="n">
        <v>46174</v>
      </c>
      <c r="D429" t="inlineStr">
        <is>
          <t>ÖSTERGÖTLANDS LÄN</t>
        </is>
      </c>
      <c r="E429" t="inlineStr">
        <is>
          <t>LINKÖPING</t>
        </is>
      </c>
      <c r="F429" t="inlineStr">
        <is>
          <t>Övriga Aktiebolag</t>
        </is>
      </c>
      <c r="G429" t="n">
        <v>2.9</v>
      </c>
      <c r="H429" t="n">
        <v>0</v>
      </c>
      <c r="I429" t="n">
        <v>0</v>
      </c>
      <c r="J429" t="n">
        <v>0</v>
      </c>
      <c r="K429" t="n">
        <v>0</v>
      </c>
      <c r="L429" t="n">
        <v>0</v>
      </c>
      <c r="M429" t="n">
        <v>0</v>
      </c>
      <c r="N429" t="n">
        <v>0</v>
      </c>
      <c r="O429" t="n">
        <v>0</v>
      </c>
      <c r="P429" t="n">
        <v>0</v>
      </c>
      <c r="Q429" t="n">
        <v>0</v>
      </c>
      <c r="R429" s="2" t="inlineStr"/>
    </row>
    <row r="430" ht="15" customHeight="1">
      <c r="A430" t="inlineStr">
        <is>
          <t>A 48962-2022</t>
        </is>
      </c>
      <c r="B430" s="1" t="n">
        <v>44860.31635416667</v>
      </c>
      <c r="C430" s="1" t="n">
        <v>46174</v>
      </c>
      <c r="D430" t="inlineStr">
        <is>
          <t>ÖSTERGÖTLANDS LÄN</t>
        </is>
      </c>
      <c r="E430" t="inlineStr">
        <is>
          <t>LINKÖPING</t>
        </is>
      </c>
      <c r="G430" t="n">
        <v>2.9</v>
      </c>
      <c r="H430" t="n">
        <v>0</v>
      </c>
      <c r="I430" t="n">
        <v>0</v>
      </c>
      <c r="J430" t="n">
        <v>0</v>
      </c>
      <c r="K430" t="n">
        <v>0</v>
      </c>
      <c r="L430" t="n">
        <v>0</v>
      </c>
      <c r="M430" t="n">
        <v>0</v>
      </c>
      <c r="N430" t="n">
        <v>0</v>
      </c>
      <c r="O430" t="n">
        <v>0</v>
      </c>
      <c r="P430" t="n">
        <v>0</v>
      </c>
      <c r="Q430" t="n">
        <v>0</v>
      </c>
      <c r="R430" s="2" t="inlineStr"/>
    </row>
    <row r="431" ht="15" customHeight="1">
      <c r="A431" t="inlineStr">
        <is>
          <t>A 43755-2025</t>
        </is>
      </c>
      <c r="B431" s="1" t="n">
        <v>45912.47329861111</v>
      </c>
      <c r="C431" s="1" t="n">
        <v>46174</v>
      </c>
      <c r="D431" t="inlineStr">
        <is>
          <t>ÖSTERGÖTLANDS LÄN</t>
        </is>
      </c>
      <c r="E431" t="inlineStr">
        <is>
          <t>LINKÖPING</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43758-2025</t>
        </is>
      </c>
      <c r="B432" s="1" t="n">
        <v>45912.47711805555</v>
      </c>
      <c r="C432" s="1" t="n">
        <v>46174</v>
      </c>
      <c r="D432" t="inlineStr">
        <is>
          <t>ÖSTERGÖTLANDS LÄN</t>
        </is>
      </c>
      <c r="E432" t="inlineStr">
        <is>
          <t>LINKÖPING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43753-2025</t>
        </is>
      </c>
      <c r="B433" s="1" t="n">
        <v>45912.4715625</v>
      </c>
      <c r="C433" s="1" t="n">
        <v>46174</v>
      </c>
      <c r="D433" t="inlineStr">
        <is>
          <t>ÖSTERGÖTLANDS LÄN</t>
        </is>
      </c>
      <c r="E433" t="inlineStr">
        <is>
          <t>LINKÖPING</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27891-2021</t>
        </is>
      </c>
      <c r="B434" s="1" t="n">
        <v>44354.65108796296</v>
      </c>
      <c r="C434" s="1" t="n">
        <v>46174</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53411-2023</t>
        </is>
      </c>
      <c r="B435" s="1" t="n">
        <v>45229.81049768518</v>
      </c>
      <c r="C435" s="1" t="n">
        <v>46174</v>
      </c>
      <c r="D435" t="inlineStr">
        <is>
          <t>ÖSTERGÖTLANDS LÄN</t>
        </is>
      </c>
      <c r="E435" t="inlineStr">
        <is>
          <t>LINKÖPING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44759-2025</t>
        </is>
      </c>
      <c r="B436" s="1" t="n">
        <v>45917.7152662037</v>
      </c>
      <c r="C436" s="1" t="n">
        <v>46174</v>
      </c>
      <c r="D436" t="inlineStr">
        <is>
          <t>ÖSTERGÖTLANDS LÄN</t>
        </is>
      </c>
      <c r="E436" t="inlineStr">
        <is>
          <t>LINKÖPING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26788-2022</t>
        </is>
      </c>
      <c r="B437" s="1" t="n">
        <v>44740</v>
      </c>
      <c r="C437" s="1" t="n">
        <v>46174</v>
      </c>
      <c r="D437" t="inlineStr">
        <is>
          <t>ÖSTERGÖTLANDS LÄN</t>
        </is>
      </c>
      <c r="E437" t="inlineStr">
        <is>
          <t>LINKÖPING</t>
        </is>
      </c>
      <c r="G437" t="n">
        <v>3.2</v>
      </c>
      <c r="H437" t="n">
        <v>0</v>
      </c>
      <c r="I437" t="n">
        <v>0</v>
      </c>
      <c r="J437" t="n">
        <v>0</v>
      </c>
      <c r="K437" t="n">
        <v>0</v>
      </c>
      <c r="L437" t="n">
        <v>0</v>
      </c>
      <c r="M437" t="n">
        <v>0</v>
      </c>
      <c r="N437" t="n">
        <v>0</v>
      </c>
      <c r="O437" t="n">
        <v>0</v>
      </c>
      <c r="P437" t="n">
        <v>0</v>
      </c>
      <c r="Q437" t="n">
        <v>0</v>
      </c>
      <c r="R437" s="2" t="inlineStr"/>
    </row>
    <row r="438" ht="15" customHeight="1">
      <c r="A438" t="inlineStr">
        <is>
          <t>A 1268-2023</t>
        </is>
      </c>
      <c r="B438" s="1" t="n">
        <v>44936</v>
      </c>
      <c r="C438" s="1" t="n">
        <v>46174</v>
      </c>
      <c r="D438" t="inlineStr">
        <is>
          <t>ÖSTERGÖTLANDS LÄN</t>
        </is>
      </c>
      <c r="E438" t="inlineStr">
        <is>
          <t>LINKÖPING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44764-2025</t>
        </is>
      </c>
      <c r="B439" s="1" t="n">
        <v>45917.72821759259</v>
      </c>
      <c r="C439" s="1" t="n">
        <v>46174</v>
      </c>
      <c r="D439" t="inlineStr">
        <is>
          <t>ÖSTERGÖTLANDS LÄN</t>
        </is>
      </c>
      <c r="E439" t="inlineStr">
        <is>
          <t>LINKÖPING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24462-2023</t>
        </is>
      </c>
      <c r="B440" s="1" t="n">
        <v>45082</v>
      </c>
      <c r="C440" s="1" t="n">
        <v>46174</v>
      </c>
      <c r="D440" t="inlineStr">
        <is>
          <t>ÖSTERGÖTLANDS LÄN</t>
        </is>
      </c>
      <c r="E440" t="inlineStr">
        <is>
          <t>LINKÖPING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62687-2023</t>
        </is>
      </c>
      <c r="B441" s="1" t="n">
        <v>45271</v>
      </c>
      <c r="C441" s="1" t="n">
        <v>46174</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34641-2022</t>
        </is>
      </c>
      <c r="B442" s="1" t="n">
        <v>44795</v>
      </c>
      <c r="C442" s="1" t="n">
        <v>46174</v>
      </c>
      <c r="D442" t="inlineStr">
        <is>
          <t>ÖSTERGÖTLANDS LÄN</t>
        </is>
      </c>
      <c r="E442" t="inlineStr">
        <is>
          <t>LINKÖPING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62015-2024</t>
        </is>
      </c>
      <c r="B443" s="1" t="n">
        <v>45655.80457175926</v>
      </c>
      <c r="C443" s="1" t="n">
        <v>46174</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45112-2025</t>
        </is>
      </c>
      <c r="B444" s="1" t="n">
        <v>45919</v>
      </c>
      <c r="C444" s="1" t="n">
        <v>46174</v>
      </c>
      <c r="D444" t="inlineStr">
        <is>
          <t>ÖSTERGÖTLANDS LÄN</t>
        </is>
      </c>
      <c r="E444" t="inlineStr">
        <is>
          <t>LINKÖPING</t>
        </is>
      </c>
      <c r="G444" t="n">
        <v>3.5</v>
      </c>
      <c r="H444" t="n">
        <v>0</v>
      </c>
      <c r="I444" t="n">
        <v>0</v>
      </c>
      <c r="J444" t="n">
        <v>0</v>
      </c>
      <c r="K444" t="n">
        <v>0</v>
      </c>
      <c r="L444" t="n">
        <v>0</v>
      </c>
      <c r="M444" t="n">
        <v>0</v>
      </c>
      <c r="N444" t="n">
        <v>0</v>
      </c>
      <c r="O444" t="n">
        <v>0</v>
      </c>
      <c r="P444" t="n">
        <v>0</v>
      </c>
      <c r="Q444" t="n">
        <v>0</v>
      </c>
      <c r="R444" s="2" t="inlineStr"/>
    </row>
    <row r="445" ht="15" customHeight="1">
      <c r="A445" t="inlineStr">
        <is>
          <t>A 938-2023</t>
        </is>
      </c>
      <c r="B445" s="1" t="n">
        <v>44933</v>
      </c>
      <c r="C445" s="1" t="n">
        <v>46174</v>
      </c>
      <c r="D445" t="inlineStr">
        <is>
          <t>ÖSTERGÖTLANDS LÄN</t>
        </is>
      </c>
      <c r="E445" t="inlineStr">
        <is>
          <t>LINKÖPING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2389-2023</t>
        </is>
      </c>
      <c r="B446" s="1" t="n">
        <v>44942</v>
      </c>
      <c r="C446" s="1" t="n">
        <v>46174</v>
      </c>
      <c r="D446" t="inlineStr">
        <is>
          <t>ÖSTERGÖTLANDS LÄN</t>
        </is>
      </c>
      <c r="E446" t="inlineStr">
        <is>
          <t>LINKÖPING</t>
        </is>
      </c>
      <c r="G446" t="n">
        <v>3.3</v>
      </c>
      <c r="H446" t="n">
        <v>0</v>
      </c>
      <c r="I446" t="n">
        <v>0</v>
      </c>
      <c r="J446" t="n">
        <v>0</v>
      </c>
      <c r="K446" t="n">
        <v>0</v>
      </c>
      <c r="L446" t="n">
        <v>0</v>
      </c>
      <c r="M446" t="n">
        <v>0</v>
      </c>
      <c r="N446" t="n">
        <v>0</v>
      </c>
      <c r="O446" t="n">
        <v>0</v>
      </c>
      <c r="P446" t="n">
        <v>0</v>
      </c>
      <c r="Q446" t="n">
        <v>0</v>
      </c>
      <c r="R446" s="2" t="inlineStr"/>
    </row>
    <row r="447" ht="15" customHeight="1">
      <c r="A447" t="inlineStr">
        <is>
          <t>A 48-2024</t>
        </is>
      </c>
      <c r="B447" s="1" t="n">
        <v>45293</v>
      </c>
      <c r="C447" s="1" t="n">
        <v>46174</v>
      </c>
      <c r="D447" t="inlineStr">
        <is>
          <t>ÖSTERGÖTLANDS LÄN</t>
        </is>
      </c>
      <c r="E447" t="inlineStr">
        <is>
          <t>LINKÖPING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45771-2023</t>
        </is>
      </c>
      <c r="B448" s="1" t="n">
        <v>45195.4384375</v>
      </c>
      <c r="C448" s="1" t="n">
        <v>46174</v>
      </c>
      <c r="D448" t="inlineStr">
        <is>
          <t>ÖSTERGÖTLANDS LÄN</t>
        </is>
      </c>
      <c r="E448" t="inlineStr">
        <is>
          <t>LINKÖPING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30547-2023</t>
        </is>
      </c>
      <c r="B449" s="1" t="n">
        <v>45111.75905092592</v>
      </c>
      <c r="C449" s="1" t="n">
        <v>46174</v>
      </c>
      <c r="D449" t="inlineStr">
        <is>
          <t>ÖSTERGÖTLANDS LÄN</t>
        </is>
      </c>
      <c r="E449" t="inlineStr">
        <is>
          <t>LINKÖPING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40502-2024</t>
        </is>
      </c>
      <c r="B450" s="1" t="n">
        <v>45555.57263888889</v>
      </c>
      <c r="C450" s="1" t="n">
        <v>46174</v>
      </c>
      <c r="D450" t="inlineStr">
        <is>
          <t>ÖSTERGÖTLANDS LÄN</t>
        </is>
      </c>
      <c r="E450" t="inlineStr">
        <is>
          <t>LINKÖPING</t>
        </is>
      </c>
      <c r="F450" t="inlineStr">
        <is>
          <t>Allmännings- och besparingsskogar</t>
        </is>
      </c>
      <c r="G450" t="n">
        <v>17.5</v>
      </c>
      <c r="H450" t="n">
        <v>0</v>
      </c>
      <c r="I450" t="n">
        <v>0</v>
      </c>
      <c r="J450" t="n">
        <v>0</v>
      </c>
      <c r="K450" t="n">
        <v>0</v>
      </c>
      <c r="L450" t="n">
        <v>0</v>
      </c>
      <c r="M450" t="n">
        <v>0</v>
      </c>
      <c r="N450" t="n">
        <v>0</v>
      </c>
      <c r="O450" t="n">
        <v>0</v>
      </c>
      <c r="P450" t="n">
        <v>0</v>
      </c>
      <c r="Q450" t="n">
        <v>0</v>
      </c>
      <c r="R450" s="2" t="inlineStr"/>
    </row>
    <row r="451" ht="15" customHeight="1">
      <c r="A451" t="inlineStr">
        <is>
          <t>A 10741-2023</t>
        </is>
      </c>
      <c r="B451" s="1" t="n">
        <v>44988.70084490741</v>
      </c>
      <c r="C451" s="1" t="n">
        <v>46174</v>
      </c>
      <c r="D451" t="inlineStr">
        <is>
          <t>ÖSTERGÖTLANDS LÄN</t>
        </is>
      </c>
      <c r="E451" t="inlineStr">
        <is>
          <t>LINKÖPING</t>
        </is>
      </c>
      <c r="F451" t="inlineStr">
        <is>
          <t>Allmännings- och besparingsskogar</t>
        </is>
      </c>
      <c r="G451" t="n">
        <v>11.2</v>
      </c>
      <c r="H451" t="n">
        <v>0</v>
      </c>
      <c r="I451" t="n">
        <v>0</v>
      </c>
      <c r="J451" t="n">
        <v>0</v>
      </c>
      <c r="K451" t="n">
        <v>0</v>
      </c>
      <c r="L451" t="n">
        <v>0</v>
      </c>
      <c r="M451" t="n">
        <v>0</v>
      </c>
      <c r="N451" t="n">
        <v>0</v>
      </c>
      <c r="O451" t="n">
        <v>0</v>
      </c>
      <c r="P451" t="n">
        <v>0</v>
      </c>
      <c r="Q451" t="n">
        <v>0</v>
      </c>
      <c r="R451" s="2" t="inlineStr"/>
    </row>
    <row r="452" ht="15" customHeight="1">
      <c r="A452" t="inlineStr">
        <is>
          <t>A 45634-2025</t>
        </is>
      </c>
      <c r="B452" s="1" t="n">
        <v>45922.85089120371</v>
      </c>
      <c r="C452" s="1" t="n">
        <v>46174</v>
      </c>
      <c r="D452" t="inlineStr">
        <is>
          <t>ÖSTERGÖTLANDS LÄN</t>
        </is>
      </c>
      <c r="E452" t="inlineStr">
        <is>
          <t>LINKÖPING</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43473-2024</t>
        </is>
      </c>
      <c r="B453" s="1" t="n">
        <v>45568</v>
      </c>
      <c r="C453" s="1" t="n">
        <v>46174</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43475-2024</t>
        </is>
      </c>
      <c r="B454" s="1" t="n">
        <v>45568</v>
      </c>
      <c r="C454" s="1" t="n">
        <v>46174</v>
      </c>
      <c r="D454" t="inlineStr">
        <is>
          <t>ÖSTERGÖTLANDS LÄN</t>
        </is>
      </c>
      <c r="E454" t="inlineStr">
        <is>
          <t>LINKÖPING</t>
        </is>
      </c>
      <c r="G454" t="n">
        <v>3.2</v>
      </c>
      <c r="H454" t="n">
        <v>0</v>
      </c>
      <c r="I454" t="n">
        <v>0</v>
      </c>
      <c r="J454" t="n">
        <v>0</v>
      </c>
      <c r="K454" t="n">
        <v>0</v>
      </c>
      <c r="L454" t="n">
        <v>0</v>
      </c>
      <c r="M454" t="n">
        <v>0</v>
      </c>
      <c r="N454" t="n">
        <v>0</v>
      </c>
      <c r="O454" t="n">
        <v>0</v>
      </c>
      <c r="P454" t="n">
        <v>0</v>
      </c>
      <c r="Q454" t="n">
        <v>0</v>
      </c>
      <c r="R454" s="2" t="inlineStr"/>
    </row>
    <row r="455" ht="15" customHeight="1">
      <c r="A455" t="inlineStr">
        <is>
          <t>A 1207-2023</t>
        </is>
      </c>
      <c r="B455" s="1" t="n">
        <v>44930</v>
      </c>
      <c r="C455" s="1" t="n">
        <v>46174</v>
      </c>
      <c r="D455" t="inlineStr">
        <is>
          <t>ÖSTERGÖTLANDS LÄN</t>
        </is>
      </c>
      <c r="E455" t="inlineStr">
        <is>
          <t>LINKÖPING</t>
        </is>
      </c>
      <c r="F455" t="inlineStr">
        <is>
          <t>Övriga statliga verk och myndigheter</t>
        </is>
      </c>
      <c r="G455" t="n">
        <v>32.8</v>
      </c>
      <c r="H455" t="n">
        <v>0</v>
      </c>
      <c r="I455" t="n">
        <v>0</v>
      </c>
      <c r="J455" t="n">
        <v>0</v>
      </c>
      <c r="K455" t="n">
        <v>0</v>
      </c>
      <c r="L455" t="n">
        <v>0</v>
      </c>
      <c r="M455" t="n">
        <v>0</v>
      </c>
      <c r="N455" t="n">
        <v>0</v>
      </c>
      <c r="O455" t="n">
        <v>0</v>
      </c>
      <c r="P455" t="n">
        <v>0</v>
      </c>
      <c r="Q455" t="n">
        <v>0</v>
      </c>
      <c r="R455" s="2" t="inlineStr"/>
    </row>
    <row r="456" ht="15" customHeight="1">
      <c r="A456" t="inlineStr">
        <is>
          <t>A 29859-2024</t>
        </is>
      </c>
      <c r="B456" s="1" t="n">
        <v>45485.6846412037</v>
      </c>
      <c r="C456" s="1" t="n">
        <v>46174</v>
      </c>
      <c r="D456" t="inlineStr">
        <is>
          <t>ÖSTERGÖTLANDS LÄN</t>
        </is>
      </c>
      <c r="E456" t="inlineStr">
        <is>
          <t>LINKÖPING</t>
        </is>
      </c>
      <c r="G456" t="n">
        <v>0.4</v>
      </c>
      <c r="H456" t="n">
        <v>0</v>
      </c>
      <c r="I456" t="n">
        <v>0</v>
      </c>
      <c r="J456" t="n">
        <v>0</v>
      </c>
      <c r="K456" t="n">
        <v>0</v>
      </c>
      <c r="L456" t="n">
        <v>0</v>
      </c>
      <c r="M456" t="n">
        <v>0</v>
      </c>
      <c r="N456" t="n">
        <v>0</v>
      </c>
      <c r="O456" t="n">
        <v>0</v>
      </c>
      <c r="P456" t="n">
        <v>0</v>
      </c>
      <c r="Q456" t="n">
        <v>0</v>
      </c>
      <c r="R456" s="2" t="inlineStr"/>
    </row>
    <row r="457" ht="15" customHeight="1">
      <c r="A457" t="inlineStr">
        <is>
          <t>A 24464-2023</t>
        </is>
      </c>
      <c r="B457" s="1" t="n">
        <v>45082.58068287037</v>
      </c>
      <c r="C457" s="1" t="n">
        <v>46174</v>
      </c>
      <c r="D457" t="inlineStr">
        <is>
          <t>ÖSTERGÖTLANDS LÄN</t>
        </is>
      </c>
      <c r="E457" t="inlineStr">
        <is>
          <t>LINKÖPING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24467-2023</t>
        </is>
      </c>
      <c r="B458" s="1" t="n">
        <v>45082</v>
      </c>
      <c r="C458" s="1" t="n">
        <v>46174</v>
      </c>
      <c r="D458" t="inlineStr">
        <is>
          <t>ÖSTERGÖTLANDS LÄN</t>
        </is>
      </c>
      <c r="E458" t="inlineStr">
        <is>
          <t>LINKÖPING</t>
        </is>
      </c>
      <c r="G458" t="n">
        <v>2.4</v>
      </c>
      <c r="H458" t="n">
        <v>0</v>
      </c>
      <c r="I458" t="n">
        <v>0</v>
      </c>
      <c r="J458" t="n">
        <v>0</v>
      </c>
      <c r="K458" t="n">
        <v>0</v>
      </c>
      <c r="L458" t="n">
        <v>0</v>
      </c>
      <c r="M458" t="n">
        <v>0</v>
      </c>
      <c r="N458" t="n">
        <v>0</v>
      </c>
      <c r="O458" t="n">
        <v>0</v>
      </c>
      <c r="P458" t="n">
        <v>0</v>
      </c>
      <c r="Q458" t="n">
        <v>0</v>
      </c>
      <c r="R458" s="2" t="inlineStr"/>
    </row>
    <row r="459" ht="15" customHeight="1">
      <c r="A459" t="inlineStr">
        <is>
          <t>A 45819-2024</t>
        </is>
      </c>
      <c r="B459" s="1" t="n">
        <v>45579.7454050926</v>
      </c>
      <c r="C459" s="1" t="n">
        <v>46174</v>
      </c>
      <c r="D459" t="inlineStr">
        <is>
          <t>ÖSTERGÖTLANDS LÄN</t>
        </is>
      </c>
      <c r="E459" t="inlineStr">
        <is>
          <t>LINKÖPING</t>
        </is>
      </c>
      <c r="G459" t="n">
        <v>5</v>
      </c>
      <c r="H459" t="n">
        <v>0</v>
      </c>
      <c r="I459" t="n">
        <v>0</v>
      </c>
      <c r="J459" t="n">
        <v>0</v>
      </c>
      <c r="K459" t="n">
        <v>0</v>
      </c>
      <c r="L459" t="n">
        <v>0</v>
      </c>
      <c r="M459" t="n">
        <v>0</v>
      </c>
      <c r="N459" t="n">
        <v>0</v>
      </c>
      <c r="O459" t="n">
        <v>0</v>
      </c>
      <c r="P459" t="n">
        <v>0</v>
      </c>
      <c r="Q459" t="n">
        <v>0</v>
      </c>
      <c r="R459" s="2" t="inlineStr"/>
    </row>
    <row r="460" ht="15" customHeight="1">
      <c r="A460" t="inlineStr">
        <is>
          <t>A 48389-2024</t>
        </is>
      </c>
      <c r="B460" s="1" t="n">
        <v>45590.59991898148</v>
      </c>
      <c r="C460" s="1" t="n">
        <v>46174</v>
      </c>
      <c r="D460" t="inlineStr">
        <is>
          <t>ÖSTERGÖTLANDS LÄN</t>
        </is>
      </c>
      <c r="E460" t="inlineStr">
        <is>
          <t>LINKÖPING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15748-2025</t>
        </is>
      </c>
      <c r="B461" s="1" t="n">
        <v>45748.55282407408</v>
      </c>
      <c r="C461" s="1" t="n">
        <v>46174</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15754-2025</t>
        </is>
      </c>
      <c r="B462" s="1" t="n">
        <v>45748.56105324074</v>
      </c>
      <c r="C462" s="1" t="n">
        <v>46174</v>
      </c>
      <c r="D462" t="inlineStr">
        <is>
          <t>ÖSTERGÖTLANDS LÄN</t>
        </is>
      </c>
      <c r="E462" t="inlineStr">
        <is>
          <t>LINKÖPING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30518-2024</t>
        </is>
      </c>
      <c r="B463" s="1" t="n">
        <v>45492</v>
      </c>
      <c r="C463" s="1" t="n">
        <v>46174</v>
      </c>
      <c r="D463" t="inlineStr">
        <is>
          <t>ÖSTERGÖTLANDS LÄN</t>
        </is>
      </c>
      <c r="E463" t="inlineStr">
        <is>
          <t>LINKÖPING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53797-2023</t>
        </is>
      </c>
      <c r="B464" s="1" t="n">
        <v>45230</v>
      </c>
      <c r="C464" s="1" t="n">
        <v>46174</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56792-2023</t>
        </is>
      </c>
      <c r="B465" s="1" t="n">
        <v>45244</v>
      </c>
      <c r="C465" s="1" t="n">
        <v>46174</v>
      </c>
      <c r="D465" t="inlineStr">
        <is>
          <t>ÖSTERGÖTLANDS LÄN</t>
        </is>
      </c>
      <c r="E465" t="inlineStr">
        <is>
          <t>LINKÖPING</t>
        </is>
      </c>
      <c r="F465" t="inlineStr">
        <is>
          <t>Övriga Aktiebolag</t>
        </is>
      </c>
      <c r="G465" t="n">
        <v>0.9</v>
      </c>
      <c r="H465" t="n">
        <v>0</v>
      </c>
      <c r="I465" t="n">
        <v>0</v>
      </c>
      <c r="J465" t="n">
        <v>0</v>
      </c>
      <c r="K465" t="n">
        <v>0</v>
      </c>
      <c r="L465" t="n">
        <v>0</v>
      </c>
      <c r="M465" t="n">
        <v>0</v>
      </c>
      <c r="N465" t="n">
        <v>0</v>
      </c>
      <c r="O465" t="n">
        <v>0</v>
      </c>
      <c r="P465" t="n">
        <v>0</v>
      </c>
      <c r="Q465" t="n">
        <v>0</v>
      </c>
      <c r="R465" s="2" t="inlineStr"/>
    </row>
    <row r="466" ht="15" customHeight="1">
      <c r="A466" t="inlineStr">
        <is>
          <t>A 45792-2025</t>
        </is>
      </c>
      <c r="B466" s="1" t="n">
        <v>45923.56998842592</v>
      </c>
      <c r="C466" s="1" t="n">
        <v>46174</v>
      </c>
      <c r="D466" t="inlineStr">
        <is>
          <t>ÖSTERGÖTLANDS LÄN</t>
        </is>
      </c>
      <c r="E466" t="inlineStr">
        <is>
          <t>LINKÖPING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45804-2025</t>
        </is>
      </c>
      <c r="B467" s="1" t="n">
        <v>45923.5819675926</v>
      </c>
      <c r="C467" s="1" t="n">
        <v>46174</v>
      </c>
      <c r="D467" t="inlineStr">
        <is>
          <t>ÖSTERGÖTLANDS LÄN</t>
        </is>
      </c>
      <c r="E467" t="inlineStr">
        <is>
          <t>LINKÖPING</t>
        </is>
      </c>
      <c r="G467" t="n">
        <v>3.3</v>
      </c>
      <c r="H467" t="n">
        <v>0</v>
      </c>
      <c r="I467" t="n">
        <v>0</v>
      </c>
      <c r="J467" t="n">
        <v>0</v>
      </c>
      <c r="K467" t="n">
        <v>0</v>
      </c>
      <c r="L467" t="n">
        <v>0</v>
      </c>
      <c r="M467" t="n">
        <v>0</v>
      </c>
      <c r="N467" t="n">
        <v>0</v>
      </c>
      <c r="O467" t="n">
        <v>0</v>
      </c>
      <c r="P467" t="n">
        <v>0</v>
      </c>
      <c r="Q467" t="n">
        <v>0</v>
      </c>
      <c r="R467" s="2" t="inlineStr"/>
    </row>
    <row r="468" ht="15" customHeight="1">
      <c r="A468" t="inlineStr">
        <is>
          <t>A 46426-2025</t>
        </is>
      </c>
      <c r="B468" s="1" t="n">
        <v>45925.6012962963</v>
      </c>
      <c r="C468" s="1" t="n">
        <v>46174</v>
      </c>
      <c r="D468" t="inlineStr">
        <is>
          <t>ÖSTERGÖTLANDS LÄN</t>
        </is>
      </c>
      <c r="E468" t="inlineStr">
        <is>
          <t>LINKÖPING</t>
        </is>
      </c>
      <c r="G468" t="n">
        <v>4.4</v>
      </c>
      <c r="H468" t="n">
        <v>0</v>
      </c>
      <c r="I468" t="n">
        <v>0</v>
      </c>
      <c r="J468" t="n">
        <v>0</v>
      </c>
      <c r="K468" t="n">
        <v>0</v>
      </c>
      <c r="L468" t="n">
        <v>0</v>
      </c>
      <c r="M468" t="n">
        <v>0</v>
      </c>
      <c r="N468" t="n">
        <v>0</v>
      </c>
      <c r="O468" t="n">
        <v>0</v>
      </c>
      <c r="P468" t="n">
        <v>0</v>
      </c>
      <c r="Q468" t="n">
        <v>0</v>
      </c>
      <c r="R468" s="2" t="inlineStr"/>
    </row>
    <row r="469" ht="15" customHeight="1">
      <c r="A469" t="inlineStr">
        <is>
          <t>A 55345-2021</t>
        </is>
      </c>
      <c r="B469" s="1" t="n">
        <v>44475</v>
      </c>
      <c r="C469" s="1" t="n">
        <v>46174</v>
      </c>
      <c r="D469" t="inlineStr">
        <is>
          <t>ÖSTERGÖTLANDS LÄN</t>
        </is>
      </c>
      <c r="E469" t="inlineStr">
        <is>
          <t>LINKÖPING</t>
        </is>
      </c>
      <c r="G469" t="n">
        <v>5.7</v>
      </c>
      <c r="H469" t="n">
        <v>0</v>
      </c>
      <c r="I469" t="n">
        <v>0</v>
      </c>
      <c r="J469" t="n">
        <v>0</v>
      </c>
      <c r="K469" t="n">
        <v>0</v>
      </c>
      <c r="L469" t="n">
        <v>0</v>
      </c>
      <c r="M469" t="n">
        <v>0</v>
      </c>
      <c r="N469" t="n">
        <v>0</v>
      </c>
      <c r="O469" t="n">
        <v>0</v>
      </c>
      <c r="P469" t="n">
        <v>0</v>
      </c>
      <c r="Q469" t="n">
        <v>0</v>
      </c>
      <c r="R469" s="2" t="inlineStr"/>
    </row>
    <row r="470" ht="15" customHeight="1">
      <c r="A470" t="inlineStr">
        <is>
          <t>A 10198-2023</t>
        </is>
      </c>
      <c r="B470" s="1" t="n">
        <v>44986.54665509259</v>
      </c>
      <c r="C470" s="1" t="n">
        <v>46174</v>
      </c>
      <c r="D470" t="inlineStr">
        <is>
          <t>ÖSTERGÖTLANDS LÄN</t>
        </is>
      </c>
      <c r="E470" t="inlineStr">
        <is>
          <t>LINKÖPING</t>
        </is>
      </c>
      <c r="G470" t="n">
        <v>4.6</v>
      </c>
      <c r="H470" t="n">
        <v>0</v>
      </c>
      <c r="I470" t="n">
        <v>0</v>
      </c>
      <c r="J470" t="n">
        <v>0</v>
      </c>
      <c r="K470" t="n">
        <v>0</v>
      </c>
      <c r="L470" t="n">
        <v>0</v>
      </c>
      <c r="M470" t="n">
        <v>0</v>
      </c>
      <c r="N470" t="n">
        <v>0</v>
      </c>
      <c r="O470" t="n">
        <v>0</v>
      </c>
      <c r="P470" t="n">
        <v>0</v>
      </c>
      <c r="Q470" t="n">
        <v>0</v>
      </c>
      <c r="R470" s="2" t="inlineStr"/>
    </row>
    <row r="471" ht="15" customHeight="1">
      <c r="A471" t="inlineStr">
        <is>
          <t>A 39017-2021</t>
        </is>
      </c>
      <c r="B471" s="1" t="n">
        <v>44412</v>
      </c>
      <c r="C471" s="1" t="n">
        <v>46174</v>
      </c>
      <c r="D471" t="inlineStr">
        <is>
          <t>ÖSTERGÖTLANDS LÄN</t>
        </is>
      </c>
      <c r="E471" t="inlineStr">
        <is>
          <t>LINKÖPING</t>
        </is>
      </c>
      <c r="F471" t="inlineStr">
        <is>
          <t>Övriga statliga verk och myndigheter</t>
        </is>
      </c>
      <c r="G471" t="n">
        <v>0.8</v>
      </c>
      <c r="H471" t="n">
        <v>0</v>
      </c>
      <c r="I471" t="n">
        <v>0</v>
      </c>
      <c r="J471" t="n">
        <v>0</v>
      </c>
      <c r="K471" t="n">
        <v>0</v>
      </c>
      <c r="L471" t="n">
        <v>0</v>
      </c>
      <c r="M471" t="n">
        <v>0</v>
      </c>
      <c r="N471" t="n">
        <v>0</v>
      </c>
      <c r="O471" t="n">
        <v>0</v>
      </c>
      <c r="P471" t="n">
        <v>0</v>
      </c>
      <c r="Q471" t="n">
        <v>0</v>
      </c>
      <c r="R471" s="2" t="inlineStr"/>
    </row>
    <row r="472" ht="15" customHeight="1">
      <c r="A472" t="inlineStr">
        <is>
          <t>A 4298-2023</t>
        </is>
      </c>
      <c r="B472" s="1" t="n">
        <v>44953</v>
      </c>
      <c r="C472" s="1" t="n">
        <v>46174</v>
      </c>
      <c r="D472" t="inlineStr">
        <is>
          <t>ÖSTERGÖTLANDS LÄN</t>
        </is>
      </c>
      <c r="E472" t="inlineStr">
        <is>
          <t>LINKÖPING</t>
        </is>
      </c>
      <c r="G472" t="n">
        <v>2.8</v>
      </c>
      <c r="H472" t="n">
        <v>0</v>
      </c>
      <c r="I472" t="n">
        <v>0</v>
      </c>
      <c r="J472" t="n">
        <v>0</v>
      </c>
      <c r="K472" t="n">
        <v>0</v>
      </c>
      <c r="L472" t="n">
        <v>0</v>
      </c>
      <c r="M472" t="n">
        <v>0</v>
      </c>
      <c r="N472" t="n">
        <v>0</v>
      </c>
      <c r="O472" t="n">
        <v>0</v>
      </c>
      <c r="P472" t="n">
        <v>0</v>
      </c>
      <c r="Q472" t="n">
        <v>0</v>
      </c>
      <c r="R472" s="2" t="inlineStr"/>
    </row>
    <row r="473" ht="15" customHeight="1">
      <c r="A473" t="inlineStr">
        <is>
          <t>A 46428-2025</t>
        </is>
      </c>
      <c r="B473" s="1" t="n">
        <v>45925.60758101852</v>
      </c>
      <c r="C473" s="1" t="n">
        <v>46174</v>
      </c>
      <c r="D473" t="inlineStr">
        <is>
          <t>ÖSTERGÖTLANDS LÄN</t>
        </is>
      </c>
      <c r="E473" t="inlineStr">
        <is>
          <t>LINKÖPING</t>
        </is>
      </c>
      <c r="G473" t="n">
        <v>3</v>
      </c>
      <c r="H473" t="n">
        <v>0</v>
      </c>
      <c r="I473" t="n">
        <v>0</v>
      </c>
      <c r="J473" t="n">
        <v>0</v>
      </c>
      <c r="K473" t="n">
        <v>0</v>
      </c>
      <c r="L473" t="n">
        <v>0</v>
      </c>
      <c r="M473" t="n">
        <v>0</v>
      </c>
      <c r="N473" t="n">
        <v>0</v>
      </c>
      <c r="O473" t="n">
        <v>0</v>
      </c>
      <c r="P473" t="n">
        <v>0</v>
      </c>
      <c r="Q473" t="n">
        <v>0</v>
      </c>
      <c r="R473" s="2" t="inlineStr"/>
    </row>
    <row r="474" ht="15" customHeight="1">
      <c r="A474" t="inlineStr">
        <is>
          <t>A 1260-2023</t>
        </is>
      </c>
      <c r="B474" s="1" t="n">
        <v>44936</v>
      </c>
      <c r="C474" s="1" t="n">
        <v>46174</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1355-2023</t>
        </is>
      </c>
      <c r="B475" s="1" t="n">
        <v>44931</v>
      </c>
      <c r="C475" s="1" t="n">
        <v>46174</v>
      </c>
      <c r="D475" t="inlineStr">
        <is>
          <t>ÖSTERGÖTLANDS LÄN</t>
        </is>
      </c>
      <c r="E475" t="inlineStr">
        <is>
          <t>LINKÖPING</t>
        </is>
      </c>
      <c r="G475" t="n">
        <v>4</v>
      </c>
      <c r="H475" t="n">
        <v>0</v>
      </c>
      <c r="I475" t="n">
        <v>0</v>
      </c>
      <c r="J475" t="n">
        <v>0</v>
      </c>
      <c r="K475" t="n">
        <v>0</v>
      </c>
      <c r="L475" t="n">
        <v>0</v>
      </c>
      <c r="M475" t="n">
        <v>0</v>
      </c>
      <c r="N475" t="n">
        <v>0</v>
      </c>
      <c r="O475" t="n">
        <v>0</v>
      </c>
      <c r="P475" t="n">
        <v>0</v>
      </c>
      <c r="Q475" t="n">
        <v>0</v>
      </c>
      <c r="R475" s="2" t="inlineStr"/>
    </row>
    <row r="476" ht="15" customHeight="1">
      <c r="A476" t="inlineStr">
        <is>
          <t>A 46377-2025</t>
        </is>
      </c>
      <c r="B476" s="1" t="n">
        <v>45925.51773148148</v>
      </c>
      <c r="C476" s="1" t="n">
        <v>46174</v>
      </c>
      <c r="D476" t="inlineStr">
        <is>
          <t>ÖSTERGÖTLANDS LÄN</t>
        </is>
      </c>
      <c r="E476" t="inlineStr">
        <is>
          <t>LINKÖPING</t>
        </is>
      </c>
      <c r="G476" t="n">
        <v>3.1</v>
      </c>
      <c r="H476" t="n">
        <v>0</v>
      </c>
      <c r="I476" t="n">
        <v>0</v>
      </c>
      <c r="J476" t="n">
        <v>0</v>
      </c>
      <c r="K476" t="n">
        <v>0</v>
      </c>
      <c r="L476" t="n">
        <v>0</v>
      </c>
      <c r="M476" t="n">
        <v>0</v>
      </c>
      <c r="N476" t="n">
        <v>0</v>
      </c>
      <c r="O476" t="n">
        <v>0</v>
      </c>
      <c r="P476" t="n">
        <v>0</v>
      </c>
      <c r="Q476" t="n">
        <v>0</v>
      </c>
      <c r="R476" s="2" t="inlineStr"/>
    </row>
    <row r="477" ht="15" customHeight="1">
      <c r="A477" t="inlineStr">
        <is>
          <t>A 12428-2024</t>
        </is>
      </c>
      <c r="B477" s="1" t="n">
        <v>45379</v>
      </c>
      <c r="C477" s="1" t="n">
        <v>46174</v>
      </c>
      <c r="D477" t="inlineStr">
        <is>
          <t>ÖSTERGÖTLANDS LÄN</t>
        </is>
      </c>
      <c r="E477" t="inlineStr">
        <is>
          <t>LINKÖPING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26618-2023</t>
        </is>
      </c>
      <c r="B478" s="1" t="n">
        <v>45092.70306712963</v>
      </c>
      <c r="C478" s="1" t="n">
        <v>46174</v>
      </c>
      <c r="D478" t="inlineStr">
        <is>
          <t>ÖSTERGÖTLANDS LÄN</t>
        </is>
      </c>
      <c r="E478" t="inlineStr">
        <is>
          <t>LINKÖPING</t>
        </is>
      </c>
      <c r="G478" t="n">
        <v>6.9</v>
      </c>
      <c r="H478" t="n">
        <v>0</v>
      </c>
      <c r="I478" t="n">
        <v>0</v>
      </c>
      <c r="J478" t="n">
        <v>0</v>
      </c>
      <c r="K478" t="n">
        <v>0</v>
      </c>
      <c r="L478" t="n">
        <v>0</v>
      </c>
      <c r="M478" t="n">
        <v>0</v>
      </c>
      <c r="N478" t="n">
        <v>0</v>
      </c>
      <c r="O478" t="n">
        <v>0</v>
      </c>
      <c r="P478" t="n">
        <v>0</v>
      </c>
      <c r="Q478" t="n">
        <v>0</v>
      </c>
      <c r="R478" s="2" t="inlineStr"/>
    </row>
    <row r="479" ht="15" customHeight="1">
      <c r="A479" t="inlineStr">
        <is>
          <t>A 3007-2025</t>
        </is>
      </c>
      <c r="B479" s="1" t="n">
        <v>45678.56328703704</v>
      </c>
      <c r="C479" s="1" t="n">
        <v>46174</v>
      </c>
      <c r="D479" t="inlineStr">
        <is>
          <t>ÖSTERGÖTLANDS LÄN</t>
        </is>
      </c>
      <c r="E479" t="inlineStr">
        <is>
          <t>LINKÖPING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34930-2023</t>
        </is>
      </c>
      <c r="B480" s="1" t="n">
        <v>45142</v>
      </c>
      <c r="C480" s="1" t="n">
        <v>46174</v>
      </c>
      <c r="D480" t="inlineStr">
        <is>
          <t>ÖSTERGÖTLANDS LÄN</t>
        </is>
      </c>
      <c r="E480" t="inlineStr">
        <is>
          <t>LINKÖPING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10492-2022</t>
        </is>
      </c>
      <c r="B481" s="1" t="n">
        <v>44623.6377199074</v>
      </c>
      <c r="C481" s="1" t="n">
        <v>46174</v>
      </c>
      <c r="D481" t="inlineStr">
        <is>
          <t>ÖSTERGÖTLANDS LÄN</t>
        </is>
      </c>
      <c r="E481" t="inlineStr">
        <is>
          <t>LINKÖPING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670-2024</t>
        </is>
      </c>
      <c r="B482" s="1" t="n">
        <v>45300.3408912037</v>
      </c>
      <c r="C482" s="1" t="n">
        <v>46174</v>
      </c>
      <c r="D482" t="inlineStr">
        <is>
          <t>ÖSTERGÖTLANDS LÄN</t>
        </is>
      </c>
      <c r="E482" t="inlineStr">
        <is>
          <t>LINKÖPING</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63845-2021</t>
        </is>
      </c>
      <c r="B483" s="1" t="n">
        <v>44509</v>
      </c>
      <c r="C483" s="1" t="n">
        <v>46174</v>
      </c>
      <c r="D483" t="inlineStr">
        <is>
          <t>ÖSTERGÖTLANDS LÄN</t>
        </is>
      </c>
      <c r="E483" t="inlineStr">
        <is>
          <t>LINKÖPING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30465-2023</t>
        </is>
      </c>
      <c r="B484" s="1" t="n">
        <v>45111</v>
      </c>
      <c r="C484" s="1" t="n">
        <v>46174</v>
      </c>
      <c r="D484" t="inlineStr">
        <is>
          <t>ÖSTERGÖTLANDS LÄN</t>
        </is>
      </c>
      <c r="E484" t="inlineStr">
        <is>
          <t>LINKÖPING</t>
        </is>
      </c>
      <c r="F484" t="inlineStr">
        <is>
          <t>Övriga Aktiebolag</t>
        </is>
      </c>
      <c r="G484" t="n">
        <v>0.7</v>
      </c>
      <c r="H484" t="n">
        <v>0</v>
      </c>
      <c r="I484" t="n">
        <v>0</v>
      </c>
      <c r="J484" t="n">
        <v>0</v>
      </c>
      <c r="K484" t="n">
        <v>0</v>
      </c>
      <c r="L484" t="n">
        <v>0</v>
      </c>
      <c r="M484" t="n">
        <v>0</v>
      </c>
      <c r="N484" t="n">
        <v>0</v>
      </c>
      <c r="O484" t="n">
        <v>0</v>
      </c>
      <c r="P484" t="n">
        <v>0</v>
      </c>
      <c r="Q484" t="n">
        <v>0</v>
      </c>
      <c r="R484" s="2" t="inlineStr"/>
    </row>
    <row r="485" ht="15" customHeight="1">
      <c r="A485" t="inlineStr">
        <is>
          <t>A 39021-2021</t>
        </is>
      </c>
      <c r="B485" s="1" t="n">
        <v>44412</v>
      </c>
      <c r="C485" s="1" t="n">
        <v>46174</v>
      </c>
      <c r="D485" t="inlineStr">
        <is>
          <t>ÖSTERGÖTLANDS LÄN</t>
        </is>
      </c>
      <c r="E485" t="inlineStr">
        <is>
          <t>LINKÖPING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54034-2022</t>
        </is>
      </c>
      <c r="B486" s="1" t="n">
        <v>44881</v>
      </c>
      <c r="C486" s="1" t="n">
        <v>46174</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62353-2022</t>
        </is>
      </c>
      <c r="B487" s="1" t="n">
        <v>44923</v>
      </c>
      <c r="C487" s="1" t="n">
        <v>46174</v>
      </c>
      <c r="D487" t="inlineStr">
        <is>
          <t>ÖSTERGÖTLANDS LÄN</t>
        </is>
      </c>
      <c r="E487" t="inlineStr">
        <is>
          <t>LINKÖPING</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30111-2024</t>
        </is>
      </c>
      <c r="B488" s="1" t="n">
        <v>45489.46947916667</v>
      </c>
      <c r="C488" s="1" t="n">
        <v>46174</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30119-2024</t>
        </is>
      </c>
      <c r="B489" s="1" t="n">
        <v>45489</v>
      </c>
      <c r="C489" s="1" t="n">
        <v>46174</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46847-2025</t>
        </is>
      </c>
      <c r="B490" s="1" t="n">
        <v>45928.69971064815</v>
      </c>
      <c r="C490" s="1" t="n">
        <v>46174</v>
      </c>
      <c r="D490" t="inlineStr">
        <is>
          <t>ÖSTERGÖTLANDS LÄN</t>
        </is>
      </c>
      <c r="E490" t="inlineStr">
        <is>
          <t>LINKÖPING</t>
        </is>
      </c>
      <c r="G490" t="n">
        <v>4.6</v>
      </c>
      <c r="H490" t="n">
        <v>0</v>
      </c>
      <c r="I490" t="n">
        <v>0</v>
      </c>
      <c r="J490" t="n">
        <v>0</v>
      </c>
      <c r="K490" t="n">
        <v>0</v>
      </c>
      <c r="L490" t="n">
        <v>0</v>
      </c>
      <c r="M490" t="n">
        <v>0</v>
      </c>
      <c r="N490" t="n">
        <v>0</v>
      </c>
      <c r="O490" t="n">
        <v>0</v>
      </c>
      <c r="P490" t="n">
        <v>0</v>
      </c>
      <c r="Q490" t="n">
        <v>0</v>
      </c>
      <c r="R490" s="2" t="inlineStr"/>
    </row>
    <row r="491" ht="15" customHeight="1">
      <c r="A491" t="inlineStr">
        <is>
          <t>A 36336-2023</t>
        </is>
      </c>
      <c r="B491" s="1" t="n">
        <v>45152.45078703704</v>
      </c>
      <c r="C491" s="1" t="n">
        <v>46174</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29411-2023</t>
        </is>
      </c>
      <c r="B492" s="1" t="n">
        <v>45106.46225694445</v>
      </c>
      <c r="C492" s="1" t="n">
        <v>46174</v>
      </c>
      <c r="D492" t="inlineStr">
        <is>
          <t>ÖSTERGÖTLANDS LÄN</t>
        </is>
      </c>
      <c r="E492" t="inlineStr">
        <is>
          <t>LINKÖPING</t>
        </is>
      </c>
      <c r="G492" t="n">
        <v>2.5</v>
      </c>
      <c r="H492" t="n">
        <v>0</v>
      </c>
      <c r="I492" t="n">
        <v>0</v>
      </c>
      <c r="J492" t="n">
        <v>0</v>
      </c>
      <c r="K492" t="n">
        <v>0</v>
      </c>
      <c r="L492" t="n">
        <v>0</v>
      </c>
      <c r="M492" t="n">
        <v>0</v>
      </c>
      <c r="N492" t="n">
        <v>0</v>
      </c>
      <c r="O492" t="n">
        <v>0</v>
      </c>
      <c r="P492" t="n">
        <v>0</v>
      </c>
      <c r="Q492" t="n">
        <v>0</v>
      </c>
      <c r="R492" s="2" t="inlineStr"/>
    </row>
    <row r="493" ht="15" customHeight="1">
      <c r="A493" t="inlineStr">
        <is>
          <t>A 29412-2023</t>
        </is>
      </c>
      <c r="B493" s="1" t="n">
        <v>45106.46359953703</v>
      </c>
      <c r="C493" s="1" t="n">
        <v>46174</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48829-2023</t>
        </is>
      </c>
      <c r="B494" s="1" t="n">
        <v>45209.38177083333</v>
      </c>
      <c r="C494" s="1" t="n">
        <v>46174</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31792-2021</t>
        </is>
      </c>
      <c r="B495" s="1" t="n">
        <v>44369</v>
      </c>
      <c r="C495" s="1" t="n">
        <v>46174</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21165-2025</t>
        </is>
      </c>
      <c r="B496" s="1" t="n">
        <v>45779.39417824074</v>
      </c>
      <c r="C496" s="1" t="n">
        <v>46174</v>
      </c>
      <c r="D496" t="inlineStr">
        <is>
          <t>ÖSTERGÖTLANDS LÄN</t>
        </is>
      </c>
      <c r="E496" t="inlineStr">
        <is>
          <t>LINKÖPING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47233-2025</t>
        </is>
      </c>
      <c r="B497" s="1" t="n">
        <v>45930.40612268518</v>
      </c>
      <c r="C497" s="1" t="n">
        <v>46174</v>
      </c>
      <c r="D497" t="inlineStr">
        <is>
          <t>ÖSTERGÖTLANDS LÄN</t>
        </is>
      </c>
      <c r="E497" t="inlineStr">
        <is>
          <t>LINKÖPING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421-2024</t>
        </is>
      </c>
      <c r="B498" s="1" t="n">
        <v>45296.51877314815</v>
      </c>
      <c r="C498" s="1" t="n">
        <v>46174</v>
      </c>
      <c r="D498" t="inlineStr">
        <is>
          <t>ÖSTERGÖTLANDS LÄN</t>
        </is>
      </c>
      <c r="E498" t="inlineStr">
        <is>
          <t>LINKÖPING</t>
        </is>
      </c>
      <c r="G498" t="n">
        <v>3.7</v>
      </c>
      <c r="H498" t="n">
        <v>0</v>
      </c>
      <c r="I498" t="n">
        <v>0</v>
      </c>
      <c r="J498" t="n">
        <v>0</v>
      </c>
      <c r="K498" t="n">
        <v>0</v>
      </c>
      <c r="L498" t="n">
        <v>0</v>
      </c>
      <c r="M498" t="n">
        <v>0</v>
      </c>
      <c r="N498" t="n">
        <v>0</v>
      </c>
      <c r="O498" t="n">
        <v>0</v>
      </c>
      <c r="P498" t="n">
        <v>0</v>
      </c>
      <c r="Q498" t="n">
        <v>0</v>
      </c>
      <c r="R498" s="2" t="inlineStr"/>
    </row>
    <row r="499" ht="15" customHeight="1">
      <c r="A499" t="inlineStr">
        <is>
          <t>A 21155-2025</t>
        </is>
      </c>
      <c r="B499" s="1" t="n">
        <v>45779.37586805555</v>
      </c>
      <c r="C499" s="1" t="n">
        <v>46174</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22043-2023</t>
        </is>
      </c>
      <c r="B500" s="1" t="n">
        <v>45069.39050925926</v>
      </c>
      <c r="C500" s="1" t="n">
        <v>46174</v>
      </c>
      <c r="D500" t="inlineStr">
        <is>
          <t>ÖSTERGÖTLANDS LÄN</t>
        </is>
      </c>
      <c r="E500" t="inlineStr">
        <is>
          <t>LINKÖPING</t>
        </is>
      </c>
      <c r="G500" t="n">
        <v>5.9</v>
      </c>
      <c r="H500" t="n">
        <v>0</v>
      </c>
      <c r="I500" t="n">
        <v>0</v>
      </c>
      <c r="J500" t="n">
        <v>0</v>
      </c>
      <c r="K500" t="n">
        <v>0</v>
      </c>
      <c r="L500" t="n">
        <v>0</v>
      </c>
      <c r="M500" t="n">
        <v>0</v>
      </c>
      <c r="N500" t="n">
        <v>0</v>
      </c>
      <c r="O500" t="n">
        <v>0</v>
      </c>
      <c r="P500" t="n">
        <v>0</v>
      </c>
      <c r="Q500" t="n">
        <v>0</v>
      </c>
      <c r="R500" s="2" t="inlineStr"/>
    </row>
    <row r="501" ht="15" customHeight="1">
      <c r="A501" t="inlineStr">
        <is>
          <t>A 47606-2025</t>
        </is>
      </c>
      <c r="B501" s="1" t="n">
        <v>45931.46402777778</v>
      </c>
      <c r="C501" s="1" t="n">
        <v>46174</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47304-2025</t>
        </is>
      </c>
      <c r="B502" s="1" t="n">
        <v>45930.52037037037</v>
      </c>
      <c r="C502" s="1" t="n">
        <v>46174</v>
      </c>
      <c r="D502" t="inlineStr">
        <is>
          <t>ÖSTERGÖTLANDS LÄN</t>
        </is>
      </c>
      <c r="E502" t="inlineStr">
        <is>
          <t>LINKÖPING</t>
        </is>
      </c>
      <c r="G502" t="n">
        <v>2.7</v>
      </c>
      <c r="H502" t="n">
        <v>0</v>
      </c>
      <c r="I502" t="n">
        <v>0</v>
      </c>
      <c r="J502" t="n">
        <v>0</v>
      </c>
      <c r="K502" t="n">
        <v>0</v>
      </c>
      <c r="L502" t="n">
        <v>0</v>
      </c>
      <c r="M502" t="n">
        <v>0</v>
      </c>
      <c r="N502" t="n">
        <v>0</v>
      </c>
      <c r="O502" t="n">
        <v>0</v>
      </c>
      <c r="P502" t="n">
        <v>0</v>
      </c>
      <c r="Q502" t="n">
        <v>0</v>
      </c>
      <c r="R502" s="2" t="inlineStr"/>
    </row>
    <row r="503" ht="15" customHeight="1">
      <c r="A503" t="inlineStr">
        <is>
          <t>A 61532-2021</t>
        </is>
      </c>
      <c r="B503" s="1" t="n">
        <v>44501</v>
      </c>
      <c r="C503" s="1" t="n">
        <v>46174</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14028-2024</t>
        </is>
      </c>
      <c r="B504" s="1" t="n">
        <v>45392</v>
      </c>
      <c r="C504" s="1" t="n">
        <v>46174</v>
      </c>
      <c r="D504" t="inlineStr">
        <is>
          <t>ÖSTERGÖTLANDS LÄN</t>
        </is>
      </c>
      <c r="E504" t="inlineStr">
        <is>
          <t>LINKÖPING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40431-2024</t>
        </is>
      </c>
      <c r="B505" s="1" t="n">
        <v>45555.47070601852</v>
      </c>
      <c r="C505" s="1" t="n">
        <v>46174</v>
      </c>
      <c r="D505" t="inlineStr">
        <is>
          <t>ÖSTERGÖTLANDS LÄN</t>
        </is>
      </c>
      <c r="E505" t="inlineStr">
        <is>
          <t>LINKÖPING</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60860-2024</t>
        </is>
      </c>
      <c r="B506" s="1" t="n">
        <v>45644.6893287037</v>
      </c>
      <c r="C506" s="1" t="n">
        <v>46174</v>
      </c>
      <c r="D506" t="inlineStr">
        <is>
          <t>ÖSTERGÖTLANDS LÄN</t>
        </is>
      </c>
      <c r="E506" t="inlineStr">
        <is>
          <t>LINKÖPING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2697-2023</t>
        </is>
      </c>
      <c r="B507" s="1" t="n">
        <v>44944</v>
      </c>
      <c r="C507" s="1" t="n">
        <v>46174</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48186-2022</t>
        </is>
      </c>
      <c r="B508" s="1" t="n">
        <v>44858</v>
      </c>
      <c r="C508" s="1" t="n">
        <v>46174</v>
      </c>
      <c r="D508" t="inlineStr">
        <is>
          <t>ÖSTERGÖTLANDS LÄN</t>
        </is>
      </c>
      <c r="E508" t="inlineStr">
        <is>
          <t>LINKÖPING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63669-2023</t>
        </is>
      </c>
      <c r="B509" s="1" t="n">
        <v>45275</v>
      </c>
      <c r="C509" s="1" t="n">
        <v>46174</v>
      </c>
      <c r="D509" t="inlineStr">
        <is>
          <t>ÖSTERGÖTLANDS LÄN</t>
        </is>
      </c>
      <c r="E509" t="inlineStr">
        <is>
          <t>LINKÖPING</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45806-2024</t>
        </is>
      </c>
      <c r="B510" s="1" t="n">
        <v>45579.69619212963</v>
      </c>
      <c r="C510" s="1" t="n">
        <v>46174</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48343-2025</t>
        </is>
      </c>
      <c r="B511" s="1" t="n">
        <v>45932</v>
      </c>
      <c r="C511" s="1" t="n">
        <v>46174</v>
      </c>
      <c r="D511" t="inlineStr">
        <is>
          <t>ÖSTERGÖTLANDS LÄN</t>
        </is>
      </c>
      <c r="E511" t="inlineStr">
        <is>
          <t>LINKÖPING</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48266-2025</t>
        </is>
      </c>
      <c r="B512" s="1" t="n">
        <v>45932</v>
      </c>
      <c r="C512" s="1" t="n">
        <v>46174</v>
      </c>
      <c r="D512" t="inlineStr">
        <is>
          <t>ÖSTERGÖTLANDS LÄN</t>
        </is>
      </c>
      <c r="E512" t="inlineStr">
        <is>
          <t>LINKÖPING</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24586-2024</t>
        </is>
      </c>
      <c r="B513" s="1" t="n">
        <v>45460.46664351852</v>
      </c>
      <c r="C513" s="1" t="n">
        <v>46174</v>
      </c>
      <c r="D513" t="inlineStr">
        <is>
          <t>ÖSTERGÖTLANDS LÄN</t>
        </is>
      </c>
      <c r="E513" t="inlineStr">
        <is>
          <t>LINKÖPING</t>
        </is>
      </c>
      <c r="G513" t="n">
        <v>4</v>
      </c>
      <c r="H513" t="n">
        <v>0</v>
      </c>
      <c r="I513" t="n">
        <v>0</v>
      </c>
      <c r="J513" t="n">
        <v>0</v>
      </c>
      <c r="K513" t="n">
        <v>0</v>
      </c>
      <c r="L513" t="n">
        <v>0</v>
      </c>
      <c r="M513" t="n">
        <v>0</v>
      </c>
      <c r="N513" t="n">
        <v>0</v>
      </c>
      <c r="O513" t="n">
        <v>0</v>
      </c>
      <c r="P513" t="n">
        <v>0</v>
      </c>
      <c r="Q513" t="n">
        <v>0</v>
      </c>
      <c r="R513" s="2" t="inlineStr"/>
    </row>
    <row r="514" ht="15" customHeight="1">
      <c r="A514" t="inlineStr">
        <is>
          <t>A 56756-2023</t>
        </is>
      </c>
      <c r="B514" s="1" t="n">
        <v>45244</v>
      </c>
      <c r="C514" s="1" t="n">
        <v>46174</v>
      </c>
      <c r="D514" t="inlineStr">
        <is>
          <t>ÖSTERGÖTLANDS LÄN</t>
        </is>
      </c>
      <c r="E514" t="inlineStr">
        <is>
          <t>LINKÖPING</t>
        </is>
      </c>
      <c r="F514" t="inlineStr">
        <is>
          <t>Övriga Aktiebolag</t>
        </is>
      </c>
      <c r="G514" t="n">
        <v>0.8</v>
      </c>
      <c r="H514" t="n">
        <v>0</v>
      </c>
      <c r="I514" t="n">
        <v>0</v>
      </c>
      <c r="J514" t="n">
        <v>0</v>
      </c>
      <c r="K514" t="n">
        <v>0</v>
      </c>
      <c r="L514" t="n">
        <v>0</v>
      </c>
      <c r="M514" t="n">
        <v>0</v>
      </c>
      <c r="N514" t="n">
        <v>0</v>
      </c>
      <c r="O514" t="n">
        <v>0</v>
      </c>
      <c r="P514" t="n">
        <v>0</v>
      </c>
      <c r="Q514" t="n">
        <v>0</v>
      </c>
      <c r="R514" s="2" t="inlineStr"/>
    </row>
    <row r="515" ht="15" customHeight="1">
      <c r="A515" t="inlineStr">
        <is>
          <t>A 59576-2024</t>
        </is>
      </c>
      <c r="B515" s="1" t="n">
        <v>45638.66378472222</v>
      </c>
      <c r="C515" s="1" t="n">
        <v>46174</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59642-2024</t>
        </is>
      </c>
      <c r="B516" s="1" t="n">
        <v>45639.31511574074</v>
      </c>
      <c r="C516" s="1" t="n">
        <v>46174</v>
      </c>
      <c r="D516" t="inlineStr">
        <is>
          <t>ÖSTERGÖTLANDS LÄN</t>
        </is>
      </c>
      <c r="E516" t="inlineStr">
        <is>
          <t>LINKÖPING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59674-2024</t>
        </is>
      </c>
      <c r="B517" s="1" t="n">
        <v>45639</v>
      </c>
      <c r="C517" s="1" t="n">
        <v>46174</v>
      </c>
      <c r="D517" t="inlineStr">
        <is>
          <t>ÖSTERGÖTLANDS LÄN</t>
        </is>
      </c>
      <c r="E517" t="inlineStr">
        <is>
          <t>LINKÖPING</t>
        </is>
      </c>
      <c r="G517" t="n">
        <v>6.3</v>
      </c>
      <c r="H517" t="n">
        <v>0</v>
      </c>
      <c r="I517" t="n">
        <v>0</v>
      </c>
      <c r="J517" t="n">
        <v>0</v>
      </c>
      <c r="K517" t="n">
        <v>0</v>
      </c>
      <c r="L517" t="n">
        <v>0</v>
      </c>
      <c r="M517" t="n">
        <v>0</v>
      </c>
      <c r="N517" t="n">
        <v>0</v>
      </c>
      <c r="O517" t="n">
        <v>0</v>
      </c>
      <c r="P517" t="n">
        <v>0</v>
      </c>
      <c r="Q517" t="n">
        <v>0</v>
      </c>
      <c r="R517" s="2" t="inlineStr"/>
    </row>
    <row r="518" ht="15" customHeight="1">
      <c r="A518" t="inlineStr">
        <is>
          <t>A 18916-2024</t>
        </is>
      </c>
      <c r="B518" s="1" t="n">
        <v>45427.39541666667</v>
      </c>
      <c r="C518" s="1" t="n">
        <v>46174</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48254-2025</t>
        </is>
      </c>
      <c r="B519" s="1" t="n">
        <v>45932</v>
      </c>
      <c r="C519" s="1" t="n">
        <v>46174</v>
      </c>
      <c r="D519" t="inlineStr">
        <is>
          <t>ÖSTERGÖTLANDS LÄN</t>
        </is>
      </c>
      <c r="E519" t="inlineStr">
        <is>
          <t>LINKÖPING</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60985-2023</t>
        </is>
      </c>
      <c r="B520" s="1" t="n">
        <v>45261.48429398148</v>
      </c>
      <c r="C520" s="1" t="n">
        <v>46174</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11084-2022</t>
        </is>
      </c>
      <c r="B521" s="1" t="n">
        <v>44628</v>
      </c>
      <c r="C521" s="1" t="n">
        <v>46174</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24904-2024</t>
        </is>
      </c>
      <c r="B522" s="1" t="n">
        <v>45461</v>
      </c>
      <c r="C522" s="1" t="n">
        <v>46174</v>
      </c>
      <c r="D522" t="inlineStr">
        <is>
          <t>ÖSTERGÖTLANDS LÄN</t>
        </is>
      </c>
      <c r="E522" t="inlineStr">
        <is>
          <t>LINKÖPING</t>
        </is>
      </c>
      <c r="G522" t="n">
        <v>3.8</v>
      </c>
      <c r="H522" t="n">
        <v>0</v>
      </c>
      <c r="I522" t="n">
        <v>0</v>
      </c>
      <c r="J522" t="n">
        <v>0</v>
      </c>
      <c r="K522" t="n">
        <v>0</v>
      </c>
      <c r="L522" t="n">
        <v>0</v>
      </c>
      <c r="M522" t="n">
        <v>0</v>
      </c>
      <c r="N522" t="n">
        <v>0</v>
      </c>
      <c r="O522" t="n">
        <v>0</v>
      </c>
      <c r="P522" t="n">
        <v>0</v>
      </c>
      <c r="Q522" t="n">
        <v>0</v>
      </c>
      <c r="R522" s="2" t="inlineStr"/>
    </row>
    <row r="523" ht="15" customHeight="1">
      <c r="A523" t="inlineStr">
        <is>
          <t>A 55009-2023</t>
        </is>
      </c>
      <c r="B523" s="1" t="n">
        <v>45237</v>
      </c>
      <c r="C523" s="1" t="n">
        <v>46174</v>
      </c>
      <c r="D523" t="inlineStr">
        <is>
          <t>ÖSTERGÖTLANDS LÄN</t>
        </is>
      </c>
      <c r="E523" t="inlineStr">
        <is>
          <t>LINKÖPING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34872-2023</t>
        </is>
      </c>
      <c r="B524" s="1" t="n">
        <v>45140</v>
      </c>
      <c r="C524" s="1" t="n">
        <v>46174</v>
      </c>
      <c r="D524" t="inlineStr">
        <is>
          <t>ÖSTERGÖTLANDS LÄN</t>
        </is>
      </c>
      <c r="E524" t="inlineStr">
        <is>
          <t>LINKÖPING</t>
        </is>
      </c>
      <c r="G524" t="n">
        <v>4.8</v>
      </c>
      <c r="H524" t="n">
        <v>0</v>
      </c>
      <c r="I524" t="n">
        <v>0</v>
      </c>
      <c r="J524" t="n">
        <v>0</v>
      </c>
      <c r="K524" t="n">
        <v>0</v>
      </c>
      <c r="L524" t="n">
        <v>0</v>
      </c>
      <c r="M524" t="n">
        <v>0</v>
      </c>
      <c r="N524" t="n">
        <v>0</v>
      </c>
      <c r="O524" t="n">
        <v>0</v>
      </c>
      <c r="P524" t="n">
        <v>0</v>
      </c>
      <c r="Q524" t="n">
        <v>0</v>
      </c>
      <c r="R524" s="2" t="inlineStr"/>
    </row>
    <row r="525" ht="15" customHeight="1">
      <c r="A525" t="inlineStr">
        <is>
          <t>A 10203-2023</t>
        </is>
      </c>
      <c r="B525" s="1" t="n">
        <v>44986.55711805556</v>
      </c>
      <c r="C525" s="1" t="n">
        <v>46174</v>
      </c>
      <c r="D525" t="inlineStr">
        <is>
          <t>ÖSTERGÖTLANDS LÄN</t>
        </is>
      </c>
      <c r="E525" t="inlineStr">
        <is>
          <t>LINKÖPING</t>
        </is>
      </c>
      <c r="G525" t="n">
        <v>3.3</v>
      </c>
      <c r="H525" t="n">
        <v>0</v>
      </c>
      <c r="I525" t="n">
        <v>0</v>
      </c>
      <c r="J525" t="n">
        <v>0</v>
      </c>
      <c r="K525" t="n">
        <v>0</v>
      </c>
      <c r="L525" t="n">
        <v>0</v>
      </c>
      <c r="M525" t="n">
        <v>0</v>
      </c>
      <c r="N525" t="n">
        <v>0</v>
      </c>
      <c r="O525" t="n">
        <v>0</v>
      </c>
      <c r="P525" t="n">
        <v>0</v>
      </c>
      <c r="Q525" t="n">
        <v>0</v>
      </c>
      <c r="R525" s="2" t="inlineStr"/>
    </row>
    <row r="526" ht="15" customHeight="1">
      <c r="A526" t="inlineStr">
        <is>
          <t>A 36336-2022</t>
        </is>
      </c>
      <c r="B526" s="1" t="n">
        <v>44803</v>
      </c>
      <c r="C526" s="1" t="n">
        <v>46174</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49455-2025</t>
        </is>
      </c>
      <c r="B527" s="1" t="n">
        <v>45938</v>
      </c>
      <c r="C527" s="1" t="n">
        <v>46174</v>
      </c>
      <c r="D527" t="inlineStr">
        <is>
          <t>ÖSTERGÖTLANDS LÄN</t>
        </is>
      </c>
      <c r="E527" t="inlineStr">
        <is>
          <t>LINKÖPING</t>
        </is>
      </c>
      <c r="F527" t="inlineStr">
        <is>
          <t>Övriga Aktiebolag</t>
        </is>
      </c>
      <c r="G527" t="n">
        <v>5.9</v>
      </c>
      <c r="H527" t="n">
        <v>0</v>
      </c>
      <c r="I527" t="n">
        <v>0</v>
      </c>
      <c r="J527" t="n">
        <v>0</v>
      </c>
      <c r="K527" t="n">
        <v>0</v>
      </c>
      <c r="L527" t="n">
        <v>0</v>
      </c>
      <c r="M527" t="n">
        <v>0</v>
      </c>
      <c r="N527" t="n">
        <v>0</v>
      </c>
      <c r="O527" t="n">
        <v>0</v>
      </c>
      <c r="P527" t="n">
        <v>0</v>
      </c>
      <c r="Q527" t="n">
        <v>0</v>
      </c>
      <c r="R527" s="2" t="inlineStr"/>
    </row>
    <row r="528" ht="15" customHeight="1">
      <c r="A528" t="inlineStr">
        <is>
          <t>A 49605-2025</t>
        </is>
      </c>
      <c r="B528" s="1" t="n">
        <v>45938</v>
      </c>
      <c r="C528" s="1" t="n">
        <v>46174</v>
      </c>
      <c r="D528" t="inlineStr">
        <is>
          <t>ÖSTERGÖTLANDS LÄN</t>
        </is>
      </c>
      <c r="E528" t="inlineStr">
        <is>
          <t>LINKÖPING</t>
        </is>
      </c>
      <c r="F528" t="inlineStr">
        <is>
          <t>Övriga Aktiebolag</t>
        </is>
      </c>
      <c r="G528" t="n">
        <v>3.3</v>
      </c>
      <c r="H528" t="n">
        <v>0</v>
      </c>
      <c r="I528" t="n">
        <v>0</v>
      </c>
      <c r="J528" t="n">
        <v>0</v>
      </c>
      <c r="K528" t="n">
        <v>0</v>
      </c>
      <c r="L528" t="n">
        <v>0</v>
      </c>
      <c r="M528" t="n">
        <v>0</v>
      </c>
      <c r="N528" t="n">
        <v>0</v>
      </c>
      <c r="O528" t="n">
        <v>0</v>
      </c>
      <c r="P528" t="n">
        <v>0</v>
      </c>
      <c r="Q528" t="n">
        <v>0</v>
      </c>
      <c r="R528" s="2" t="inlineStr"/>
    </row>
    <row r="529" ht="15" customHeight="1">
      <c r="A529" t="inlineStr">
        <is>
          <t>A 49663-2025</t>
        </is>
      </c>
      <c r="B529" s="1" t="n">
        <v>45938</v>
      </c>
      <c r="C529" s="1" t="n">
        <v>46174</v>
      </c>
      <c r="D529" t="inlineStr">
        <is>
          <t>ÖSTERGÖTLANDS LÄN</t>
        </is>
      </c>
      <c r="E529" t="inlineStr">
        <is>
          <t>LINKÖPING</t>
        </is>
      </c>
      <c r="F529" t="inlineStr">
        <is>
          <t>Övriga Aktiebolag</t>
        </is>
      </c>
      <c r="G529" t="n">
        <v>1.2</v>
      </c>
      <c r="H529" t="n">
        <v>0</v>
      </c>
      <c r="I529" t="n">
        <v>0</v>
      </c>
      <c r="J529" t="n">
        <v>0</v>
      </c>
      <c r="K529" t="n">
        <v>0</v>
      </c>
      <c r="L529" t="n">
        <v>0</v>
      </c>
      <c r="M529" t="n">
        <v>0</v>
      </c>
      <c r="N529" t="n">
        <v>0</v>
      </c>
      <c r="O529" t="n">
        <v>0</v>
      </c>
      <c r="P529" t="n">
        <v>0</v>
      </c>
      <c r="Q529" t="n">
        <v>0</v>
      </c>
      <c r="R529" s="2" t="inlineStr"/>
    </row>
    <row r="530" ht="15" customHeight="1">
      <c r="A530" t="inlineStr">
        <is>
          <t>A 25097-2023</t>
        </is>
      </c>
      <c r="B530" s="1" t="n">
        <v>45086</v>
      </c>
      <c r="C530" s="1" t="n">
        <v>46174</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49632-2025</t>
        </is>
      </c>
      <c r="B531" s="1" t="n">
        <v>45938</v>
      </c>
      <c r="C531" s="1" t="n">
        <v>46174</v>
      </c>
      <c r="D531" t="inlineStr">
        <is>
          <t>ÖSTERGÖTLANDS LÄN</t>
        </is>
      </c>
      <c r="E531" t="inlineStr">
        <is>
          <t>LINKÖPING</t>
        </is>
      </c>
      <c r="F531" t="inlineStr">
        <is>
          <t>Övriga Aktiebolag</t>
        </is>
      </c>
      <c r="G531" t="n">
        <v>1.6</v>
      </c>
      <c r="H531" t="n">
        <v>0</v>
      </c>
      <c r="I531" t="n">
        <v>0</v>
      </c>
      <c r="J531" t="n">
        <v>0</v>
      </c>
      <c r="K531" t="n">
        <v>0</v>
      </c>
      <c r="L531" t="n">
        <v>0</v>
      </c>
      <c r="M531" t="n">
        <v>0</v>
      </c>
      <c r="N531" t="n">
        <v>0</v>
      </c>
      <c r="O531" t="n">
        <v>0</v>
      </c>
      <c r="P531" t="n">
        <v>0</v>
      </c>
      <c r="Q531" t="n">
        <v>0</v>
      </c>
      <c r="R531" s="2" t="inlineStr"/>
    </row>
    <row r="532" ht="15" customHeight="1">
      <c r="A532" t="inlineStr">
        <is>
          <t>A 49647-2025</t>
        </is>
      </c>
      <c r="B532" s="1" t="n">
        <v>45938</v>
      </c>
      <c r="C532" s="1" t="n">
        <v>46174</v>
      </c>
      <c r="D532" t="inlineStr">
        <is>
          <t>ÖSTERGÖTLANDS LÄN</t>
        </is>
      </c>
      <c r="E532" t="inlineStr">
        <is>
          <t>LINKÖPING</t>
        </is>
      </c>
      <c r="F532" t="inlineStr">
        <is>
          <t>Övriga Aktiebolag</t>
        </is>
      </c>
      <c r="G532" t="n">
        <v>0.6</v>
      </c>
      <c r="H532" t="n">
        <v>0</v>
      </c>
      <c r="I532" t="n">
        <v>0</v>
      </c>
      <c r="J532" t="n">
        <v>0</v>
      </c>
      <c r="K532" t="n">
        <v>0</v>
      </c>
      <c r="L532" t="n">
        <v>0</v>
      </c>
      <c r="M532" t="n">
        <v>0</v>
      </c>
      <c r="N532" t="n">
        <v>0</v>
      </c>
      <c r="O532" t="n">
        <v>0</v>
      </c>
      <c r="P532" t="n">
        <v>0</v>
      </c>
      <c r="Q532" t="n">
        <v>0</v>
      </c>
      <c r="R532" s="2" t="inlineStr"/>
    </row>
    <row r="533" ht="15" customHeight="1">
      <c r="A533" t="inlineStr">
        <is>
          <t>A 49652-2025</t>
        </is>
      </c>
      <c r="B533" s="1" t="n">
        <v>45938</v>
      </c>
      <c r="C533" s="1" t="n">
        <v>46174</v>
      </c>
      <c r="D533" t="inlineStr">
        <is>
          <t>ÖSTERGÖTLANDS LÄN</t>
        </is>
      </c>
      <c r="E533" t="inlineStr">
        <is>
          <t>LINKÖPING</t>
        </is>
      </c>
      <c r="F533" t="inlineStr">
        <is>
          <t>Övriga Aktiebolag</t>
        </is>
      </c>
      <c r="G533" t="n">
        <v>1.8</v>
      </c>
      <c r="H533" t="n">
        <v>0</v>
      </c>
      <c r="I533" t="n">
        <v>0</v>
      </c>
      <c r="J533" t="n">
        <v>0</v>
      </c>
      <c r="K533" t="n">
        <v>0</v>
      </c>
      <c r="L533" t="n">
        <v>0</v>
      </c>
      <c r="M533" t="n">
        <v>0</v>
      </c>
      <c r="N533" t="n">
        <v>0</v>
      </c>
      <c r="O533" t="n">
        <v>0</v>
      </c>
      <c r="P533" t="n">
        <v>0</v>
      </c>
      <c r="Q533" t="n">
        <v>0</v>
      </c>
      <c r="R533" s="2" t="inlineStr"/>
    </row>
    <row r="534" ht="15" customHeight="1">
      <c r="A534" t="inlineStr">
        <is>
          <t>A 49654-2025</t>
        </is>
      </c>
      <c r="B534" s="1" t="n">
        <v>45938</v>
      </c>
      <c r="C534" s="1" t="n">
        <v>46174</v>
      </c>
      <c r="D534" t="inlineStr">
        <is>
          <t>ÖSTERGÖTLANDS LÄN</t>
        </is>
      </c>
      <c r="E534" t="inlineStr">
        <is>
          <t>LINKÖPING</t>
        </is>
      </c>
      <c r="F534" t="inlineStr">
        <is>
          <t>Övriga Aktiebolag</t>
        </is>
      </c>
      <c r="G534" t="n">
        <v>3.1</v>
      </c>
      <c r="H534" t="n">
        <v>0</v>
      </c>
      <c r="I534" t="n">
        <v>0</v>
      </c>
      <c r="J534" t="n">
        <v>0</v>
      </c>
      <c r="K534" t="n">
        <v>0</v>
      </c>
      <c r="L534" t="n">
        <v>0</v>
      </c>
      <c r="M534" t="n">
        <v>0</v>
      </c>
      <c r="N534" t="n">
        <v>0</v>
      </c>
      <c r="O534" t="n">
        <v>0</v>
      </c>
      <c r="P534" t="n">
        <v>0</v>
      </c>
      <c r="Q534" t="n">
        <v>0</v>
      </c>
      <c r="R534" s="2" t="inlineStr"/>
    </row>
    <row r="535" ht="15" customHeight="1">
      <c r="A535" t="inlineStr">
        <is>
          <t>A 2618-2023</t>
        </is>
      </c>
      <c r="B535" s="1" t="n">
        <v>44944.35847222222</v>
      </c>
      <c r="C535" s="1" t="n">
        <v>46174</v>
      </c>
      <c r="D535" t="inlineStr">
        <is>
          <t>ÖSTERGÖTLANDS LÄN</t>
        </is>
      </c>
      <c r="E535" t="inlineStr">
        <is>
          <t>LINKÖPING</t>
        </is>
      </c>
      <c r="G535" t="n">
        <v>4.3</v>
      </c>
      <c r="H535" t="n">
        <v>0</v>
      </c>
      <c r="I535" t="n">
        <v>0</v>
      </c>
      <c r="J535" t="n">
        <v>0</v>
      </c>
      <c r="K535" t="n">
        <v>0</v>
      </c>
      <c r="L535" t="n">
        <v>0</v>
      </c>
      <c r="M535" t="n">
        <v>0</v>
      </c>
      <c r="N535" t="n">
        <v>0</v>
      </c>
      <c r="O535" t="n">
        <v>0</v>
      </c>
      <c r="P535" t="n">
        <v>0</v>
      </c>
      <c r="Q535" t="n">
        <v>0</v>
      </c>
      <c r="R535" s="2" t="inlineStr"/>
    </row>
    <row r="536" ht="15" customHeight="1">
      <c r="A536" t="inlineStr">
        <is>
          <t>A 49615-2025</t>
        </is>
      </c>
      <c r="B536" s="1" t="n">
        <v>45938</v>
      </c>
      <c r="C536" s="1" t="n">
        <v>46174</v>
      </c>
      <c r="D536" t="inlineStr">
        <is>
          <t>ÖSTERGÖTLANDS LÄN</t>
        </is>
      </c>
      <c r="E536" t="inlineStr">
        <is>
          <t>LINKÖPING</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49619-2025</t>
        </is>
      </c>
      <c r="B537" s="1" t="n">
        <v>45938</v>
      </c>
      <c r="C537" s="1" t="n">
        <v>46174</v>
      </c>
      <c r="D537" t="inlineStr">
        <is>
          <t>ÖSTERGÖTLANDS LÄN</t>
        </is>
      </c>
      <c r="E537" t="inlineStr">
        <is>
          <t>LINKÖPING</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49629-2025</t>
        </is>
      </c>
      <c r="B538" s="1" t="n">
        <v>45938</v>
      </c>
      <c r="C538" s="1" t="n">
        <v>46174</v>
      </c>
      <c r="D538" t="inlineStr">
        <is>
          <t>ÖSTERGÖTLANDS LÄN</t>
        </is>
      </c>
      <c r="E538" t="inlineStr">
        <is>
          <t>LINKÖPING</t>
        </is>
      </c>
      <c r="F538" t="inlineStr">
        <is>
          <t>Övriga Aktiebolag</t>
        </is>
      </c>
      <c r="G538" t="n">
        <v>4.5</v>
      </c>
      <c r="H538" t="n">
        <v>0</v>
      </c>
      <c r="I538" t="n">
        <v>0</v>
      </c>
      <c r="J538" t="n">
        <v>0</v>
      </c>
      <c r="K538" t="n">
        <v>0</v>
      </c>
      <c r="L538" t="n">
        <v>0</v>
      </c>
      <c r="M538" t="n">
        <v>0</v>
      </c>
      <c r="N538" t="n">
        <v>0</v>
      </c>
      <c r="O538" t="n">
        <v>0</v>
      </c>
      <c r="P538" t="n">
        <v>0</v>
      </c>
      <c r="Q538" t="n">
        <v>0</v>
      </c>
      <c r="R538" s="2" t="inlineStr"/>
    </row>
    <row r="539" ht="15" customHeight="1">
      <c r="A539" t="inlineStr">
        <is>
          <t>A 49650-2025</t>
        </is>
      </c>
      <c r="B539" s="1" t="n">
        <v>45938</v>
      </c>
      <c r="C539" s="1" t="n">
        <v>46174</v>
      </c>
      <c r="D539" t="inlineStr">
        <is>
          <t>ÖSTERGÖTLANDS LÄN</t>
        </is>
      </c>
      <c r="E539" t="inlineStr">
        <is>
          <t>LINKÖPING</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49633-2025</t>
        </is>
      </c>
      <c r="B540" s="1" t="n">
        <v>45938</v>
      </c>
      <c r="C540" s="1" t="n">
        <v>46174</v>
      </c>
      <c r="D540" t="inlineStr">
        <is>
          <t>ÖSTERGÖTLANDS LÄN</t>
        </is>
      </c>
      <c r="E540" t="inlineStr">
        <is>
          <t>LINKÖPING</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10461-2023</t>
        </is>
      </c>
      <c r="B541" s="1" t="n">
        <v>44987.5969212963</v>
      </c>
      <c r="C541" s="1" t="n">
        <v>46174</v>
      </c>
      <c r="D541" t="inlineStr">
        <is>
          <t>ÖSTERGÖTLANDS LÄN</t>
        </is>
      </c>
      <c r="E541" t="inlineStr">
        <is>
          <t>LINKÖPING</t>
        </is>
      </c>
      <c r="G541" t="n">
        <v>7.8</v>
      </c>
      <c r="H541" t="n">
        <v>0</v>
      </c>
      <c r="I541" t="n">
        <v>0</v>
      </c>
      <c r="J541" t="n">
        <v>0</v>
      </c>
      <c r="K541" t="n">
        <v>0</v>
      </c>
      <c r="L541" t="n">
        <v>0</v>
      </c>
      <c r="M541" t="n">
        <v>0</v>
      </c>
      <c r="N541" t="n">
        <v>0</v>
      </c>
      <c r="O541" t="n">
        <v>0</v>
      </c>
      <c r="P541" t="n">
        <v>0</v>
      </c>
      <c r="Q541" t="n">
        <v>0</v>
      </c>
      <c r="R541" s="2" t="inlineStr"/>
    </row>
    <row r="542" ht="15" customHeight="1">
      <c r="A542" t="inlineStr">
        <is>
          <t>A 62020-2024</t>
        </is>
      </c>
      <c r="B542" s="1" t="n">
        <v>45655.83563657408</v>
      </c>
      <c r="C542" s="1" t="n">
        <v>46174</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62021-2024</t>
        </is>
      </c>
      <c r="B543" s="1" t="n">
        <v>45655.84232638889</v>
      </c>
      <c r="C543" s="1" t="n">
        <v>46174</v>
      </c>
      <c r="D543" t="inlineStr">
        <is>
          <t>ÖSTERGÖTLANDS LÄN</t>
        </is>
      </c>
      <c r="E543" t="inlineStr">
        <is>
          <t>LINKÖPING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50386-2021</t>
        </is>
      </c>
      <c r="B544" s="1" t="n">
        <v>44459</v>
      </c>
      <c r="C544" s="1" t="n">
        <v>46174</v>
      </c>
      <c r="D544" t="inlineStr">
        <is>
          <t>ÖSTERGÖTLANDS LÄN</t>
        </is>
      </c>
      <c r="E544" t="inlineStr">
        <is>
          <t>LINKÖPING</t>
        </is>
      </c>
      <c r="G544" t="n">
        <v>2.3</v>
      </c>
      <c r="H544" t="n">
        <v>0</v>
      </c>
      <c r="I544" t="n">
        <v>0</v>
      </c>
      <c r="J544" t="n">
        <v>0</v>
      </c>
      <c r="K544" t="n">
        <v>0</v>
      </c>
      <c r="L544" t="n">
        <v>0</v>
      </c>
      <c r="M544" t="n">
        <v>0</v>
      </c>
      <c r="N544" t="n">
        <v>0</v>
      </c>
      <c r="O544" t="n">
        <v>0</v>
      </c>
      <c r="P544" t="n">
        <v>0</v>
      </c>
      <c r="Q544" t="n">
        <v>0</v>
      </c>
      <c r="R544" s="2" t="inlineStr"/>
    </row>
    <row r="545" ht="15" customHeight="1">
      <c r="A545" t="inlineStr">
        <is>
          <t>A 40983-2025</t>
        </is>
      </c>
      <c r="B545" s="1" t="n">
        <v>45898</v>
      </c>
      <c r="C545" s="1" t="n">
        <v>46174</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50056-2025</t>
        </is>
      </c>
      <c r="B546" s="1" t="n">
        <v>45941</v>
      </c>
      <c r="C546" s="1" t="n">
        <v>46174</v>
      </c>
      <c r="D546" t="inlineStr">
        <is>
          <t>ÖSTERGÖTLANDS LÄN</t>
        </is>
      </c>
      <c r="E546" t="inlineStr">
        <is>
          <t>LINKÖPING</t>
        </is>
      </c>
      <c r="G546" t="n">
        <v>0.3</v>
      </c>
      <c r="H546" t="n">
        <v>0</v>
      </c>
      <c r="I546" t="n">
        <v>0</v>
      </c>
      <c r="J546" t="n">
        <v>0</v>
      </c>
      <c r="K546" t="n">
        <v>0</v>
      </c>
      <c r="L546" t="n">
        <v>0</v>
      </c>
      <c r="M546" t="n">
        <v>0</v>
      </c>
      <c r="N546" t="n">
        <v>0</v>
      </c>
      <c r="O546" t="n">
        <v>0</v>
      </c>
      <c r="P546" t="n">
        <v>0</v>
      </c>
      <c r="Q546" t="n">
        <v>0</v>
      </c>
      <c r="R546" s="2" t="inlineStr"/>
    </row>
    <row r="547" ht="15" customHeight="1">
      <c r="A547" t="inlineStr">
        <is>
          <t>A 350-2022</t>
        </is>
      </c>
      <c r="B547" s="1" t="n">
        <v>44565</v>
      </c>
      <c r="C547" s="1" t="n">
        <v>46174</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18891-2022</t>
        </is>
      </c>
      <c r="B548" s="1" t="n">
        <v>44690</v>
      </c>
      <c r="C548" s="1" t="n">
        <v>46174</v>
      </c>
      <c r="D548" t="inlineStr">
        <is>
          <t>ÖSTERGÖTLANDS LÄN</t>
        </is>
      </c>
      <c r="E548" t="inlineStr">
        <is>
          <t>LINKÖPING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50667-2025</t>
        </is>
      </c>
      <c r="B549" s="1" t="n">
        <v>45945</v>
      </c>
      <c r="C549" s="1" t="n">
        <v>46174</v>
      </c>
      <c r="D549" t="inlineStr">
        <is>
          <t>ÖSTERGÖTLANDS LÄN</t>
        </is>
      </c>
      <c r="E549" t="inlineStr">
        <is>
          <t>LINKÖPING</t>
        </is>
      </c>
      <c r="G549" t="n">
        <v>3.3</v>
      </c>
      <c r="H549" t="n">
        <v>0</v>
      </c>
      <c r="I549" t="n">
        <v>0</v>
      </c>
      <c r="J549" t="n">
        <v>0</v>
      </c>
      <c r="K549" t="n">
        <v>0</v>
      </c>
      <c r="L549" t="n">
        <v>0</v>
      </c>
      <c r="M549" t="n">
        <v>0</v>
      </c>
      <c r="N549" t="n">
        <v>0</v>
      </c>
      <c r="O549" t="n">
        <v>0</v>
      </c>
      <c r="P549" t="n">
        <v>0</v>
      </c>
      <c r="Q549" t="n">
        <v>0</v>
      </c>
      <c r="R549" s="2" t="inlineStr"/>
    </row>
    <row r="550" ht="15" customHeight="1">
      <c r="A550" t="inlineStr">
        <is>
          <t>A 1362-2023</t>
        </is>
      </c>
      <c r="B550" s="1" t="n">
        <v>44931</v>
      </c>
      <c r="C550" s="1" t="n">
        <v>46174</v>
      </c>
      <c r="D550" t="inlineStr">
        <is>
          <t>ÖSTERGÖTLANDS LÄN</t>
        </is>
      </c>
      <c r="E550" t="inlineStr">
        <is>
          <t>LINKÖPING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30976-2022</t>
        </is>
      </c>
      <c r="B551" s="1" t="n">
        <v>44768</v>
      </c>
      <c r="C551" s="1" t="n">
        <v>46174</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55736-2022</t>
        </is>
      </c>
      <c r="B552" s="1" t="n">
        <v>44888</v>
      </c>
      <c r="C552" s="1" t="n">
        <v>46174</v>
      </c>
      <c r="D552" t="inlineStr">
        <is>
          <t>ÖSTERGÖTLANDS LÄN</t>
        </is>
      </c>
      <c r="E552" t="inlineStr">
        <is>
          <t>LINKÖPING</t>
        </is>
      </c>
      <c r="G552" t="n">
        <v>5.5</v>
      </c>
      <c r="H552" t="n">
        <v>0</v>
      </c>
      <c r="I552" t="n">
        <v>0</v>
      </c>
      <c r="J552" t="n">
        <v>0</v>
      </c>
      <c r="K552" t="n">
        <v>0</v>
      </c>
      <c r="L552" t="n">
        <v>0</v>
      </c>
      <c r="M552" t="n">
        <v>0</v>
      </c>
      <c r="N552" t="n">
        <v>0</v>
      </c>
      <c r="O552" t="n">
        <v>0</v>
      </c>
      <c r="P552" t="n">
        <v>0</v>
      </c>
      <c r="Q552" t="n">
        <v>0</v>
      </c>
      <c r="R552" s="2" t="inlineStr"/>
    </row>
    <row r="553" ht="15" customHeight="1">
      <c r="A553" t="inlineStr">
        <is>
          <t>A 49928-2024</t>
        </is>
      </c>
      <c r="B553" s="1" t="n">
        <v>45597.57811342592</v>
      </c>
      <c r="C553" s="1" t="n">
        <v>46174</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3627-2023</t>
        </is>
      </c>
      <c r="B554" s="1" t="n">
        <v>44950.64782407408</v>
      </c>
      <c r="C554" s="1" t="n">
        <v>46174</v>
      </c>
      <c r="D554" t="inlineStr">
        <is>
          <t>ÖSTERGÖTLANDS LÄN</t>
        </is>
      </c>
      <c r="E554" t="inlineStr">
        <is>
          <t>LINKÖPING</t>
        </is>
      </c>
      <c r="G554" t="n">
        <v>3.1</v>
      </c>
      <c r="H554" t="n">
        <v>0</v>
      </c>
      <c r="I554" t="n">
        <v>0</v>
      </c>
      <c r="J554" t="n">
        <v>0</v>
      </c>
      <c r="K554" t="n">
        <v>0</v>
      </c>
      <c r="L554" t="n">
        <v>0</v>
      </c>
      <c r="M554" t="n">
        <v>0</v>
      </c>
      <c r="N554" t="n">
        <v>0</v>
      </c>
      <c r="O554" t="n">
        <v>0</v>
      </c>
      <c r="P554" t="n">
        <v>0</v>
      </c>
      <c r="Q554" t="n">
        <v>0</v>
      </c>
      <c r="R554" s="2" t="inlineStr"/>
    </row>
    <row r="555" ht="15" customHeight="1">
      <c r="A555" t="inlineStr">
        <is>
          <t>A 51405-2023</t>
        </is>
      </c>
      <c r="B555" s="1" t="n">
        <v>45219</v>
      </c>
      <c r="C555" s="1" t="n">
        <v>46174</v>
      </c>
      <c r="D555" t="inlineStr">
        <is>
          <t>ÖSTERGÖTLANDS LÄN</t>
        </is>
      </c>
      <c r="E555" t="inlineStr">
        <is>
          <t>LINKÖPING</t>
        </is>
      </c>
      <c r="F555" t="inlineStr">
        <is>
          <t>Övriga Aktiebolag</t>
        </is>
      </c>
      <c r="G555" t="n">
        <v>3</v>
      </c>
      <c r="H555" t="n">
        <v>0</v>
      </c>
      <c r="I555" t="n">
        <v>0</v>
      </c>
      <c r="J555" t="n">
        <v>0</v>
      </c>
      <c r="K555" t="n">
        <v>0</v>
      </c>
      <c r="L555" t="n">
        <v>0</v>
      </c>
      <c r="M555" t="n">
        <v>0</v>
      </c>
      <c r="N555" t="n">
        <v>0</v>
      </c>
      <c r="O555" t="n">
        <v>0</v>
      </c>
      <c r="P555" t="n">
        <v>0</v>
      </c>
      <c r="Q555" t="n">
        <v>0</v>
      </c>
      <c r="R555" s="2" t="inlineStr"/>
    </row>
    <row r="556" ht="15" customHeight="1">
      <c r="A556" t="inlineStr">
        <is>
          <t>A 10194-2023</t>
        </is>
      </c>
      <c r="B556" s="1" t="n">
        <v>44986.52277777778</v>
      </c>
      <c r="C556" s="1" t="n">
        <v>46174</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11601-2023</t>
        </is>
      </c>
      <c r="B557" s="1" t="n">
        <v>44994</v>
      </c>
      <c r="C557" s="1" t="n">
        <v>46174</v>
      </c>
      <c r="D557" t="inlineStr">
        <is>
          <t>ÖSTERGÖTLANDS LÄN</t>
        </is>
      </c>
      <c r="E557" t="inlineStr">
        <is>
          <t>LINKÖPING</t>
        </is>
      </c>
      <c r="G557" t="n">
        <v>1.7</v>
      </c>
      <c r="H557" t="n">
        <v>0</v>
      </c>
      <c r="I557" t="n">
        <v>0</v>
      </c>
      <c r="J557" t="n">
        <v>0</v>
      </c>
      <c r="K557" t="n">
        <v>0</v>
      </c>
      <c r="L557" t="n">
        <v>0</v>
      </c>
      <c r="M557" t="n">
        <v>0</v>
      </c>
      <c r="N557" t="n">
        <v>0</v>
      </c>
      <c r="O557" t="n">
        <v>0</v>
      </c>
      <c r="P557" t="n">
        <v>0</v>
      </c>
      <c r="Q557" t="n">
        <v>0</v>
      </c>
      <c r="R557" s="2" t="inlineStr"/>
    </row>
    <row r="558" ht="15" customHeight="1">
      <c r="A558" t="inlineStr">
        <is>
          <t>A 40338-2024</t>
        </is>
      </c>
      <c r="B558" s="1" t="n">
        <v>45555.32940972222</v>
      </c>
      <c r="C558" s="1" t="n">
        <v>46174</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167-2024</t>
        </is>
      </c>
      <c r="B559" s="1" t="n">
        <v>45294</v>
      </c>
      <c r="C559" s="1" t="n">
        <v>46174</v>
      </c>
      <c r="D559" t="inlineStr">
        <is>
          <t>ÖSTERGÖTLANDS LÄN</t>
        </is>
      </c>
      <c r="E559" t="inlineStr">
        <is>
          <t>LINKÖPING</t>
        </is>
      </c>
      <c r="F559" t="inlineStr">
        <is>
          <t>Allmännings- och besparingsskogar</t>
        </is>
      </c>
      <c r="G559" t="n">
        <v>11.6</v>
      </c>
      <c r="H559" t="n">
        <v>0</v>
      </c>
      <c r="I559" t="n">
        <v>0</v>
      </c>
      <c r="J559" t="n">
        <v>0</v>
      </c>
      <c r="K559" t="n">
        <v>0</v>
      </c>
      <c r="L559" t="n">
        <v>0</v>
      </c>
      <c r="M559" t="n">
        <v>0</v>
      </c>
      <c r="N559" t="n">
        <v>0</v>
      </c>
      <c r="O559" t="n">
        <v>0</v>
      </c>
      <c r="P559" t="n">
        <v>0</v>
      </c>
      <c r="Q559" t="n">
        <v>0</v>
      </c>
      <c r="R559" s="2" t="inlineStr"/>
    </row>
    <row r="560" ht="15" customHeight="1">
      <c r="A560" t="inlineStr">
        <is>
          <t>A 27186-2021</t>
        </is>
      </c>
      <c r="B560" s="1" t="n">
        <v>44350.67715277777</v>
      </c>
      <c r="C560" s="1" t="n">
        <v>46174</v>
      </c>
      <c r="D560" t="inlineStr">
        <is>
          <t>ÖSTERGÖTLANDS LÄN</t>
        </is>
      </c>
      <c r="E560" t="inlineStr">
        <is>
          <t>LINKÖPING</t>
        </is>
      </c>
      <c r="F560" t="inlineStr">
        <is>
          <t>Allmännings- och besparingsskogar</t>
        </is>
      </c>
      <c r="G560" t="n">
        <v>1.4</v>
      </c>
      <c r="H560" t="n">
        <v>0</v>
      </c>
      <c r="I560" t="n">
        <v>0</v>
      </c>
      <c r="J560" t="n">
        <v>0</v>
      </c>
      <c r="K560" t="n">
        <v>0</v>
      </c>
      <c r="L560" t="n">
        <v>0</v>
      </c>
      <c r="M560" t="n">
        <v>0</v>
      </c>
      <c r="N560" t="n">
        <v>0</v>
      </c>
      <c r="O560" t="n">
        <v>0</v>
      </c>
      <c r="P560" t="n">
        <v>0</v>
      </c>
      <c r="Q560" t="n">
        <v>0</v>
      </c>
      <c r="R560" s="2" t="inlineStr"/>
    </row>
    <row r="561" ht="15" customHeight="1">
      <c r="A561" t="inlineStr">
        <is>
          <t>A 7343-2025</t>
        </is>
      </c>
      <c r="B561" s="1" t="n">
        <v>45703.67853009259</v>
      </c>
      <c r="C561" s="1" t="n">
        <v>46174</v>
      </c>
      <c r="D561" t="inlineStr">
        <is>
          <t>ÖSTERGÖTLANDS LÄN</t>
        </is>
      </c>
      <c r="E561" t="inlineStr">
        <is>
          <t>LINKÖPING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51802-2025</t>
        </is>
      </c>
      <c r="B562" s="1" t="n">
        <v>45950</v>
      </c>
      <c r="C562" s="1" t="n">
        <v>46174</v>
      </c>
      <c r="D562" t="inlineStr">
        <is>
          <t>ÖSTERGÖTLANDS LÄN</t>
        </is>
      </c>
      <c r="E562" t="inlineStr">
        <is>
          <t>LINKÖPING</t>
        </is>
      </c>
      <c r="F562" t="inlineStr">
        <is>
          <t>Övriga Aktiebolag</t>
        </is>
      </c>
      <c r="G562" t="n">
        <v>2</v>
      </c>
      <c r="H562" t="n">
        <v>0</v>
      </c>
      <c r="I562" t="n">
        <v>0</v>
      </c>
      <c r="J562" t="n">
        <v>0</v>
      </c>
      <c r="K562" t="n">
        <v>0</v>
      </c>
      <c r="L562" t="n">
        <v>0</v>
      </c>
      <c r="M562" t="n">
        <v>0</v>
      </c>
      <c r="N562" t="n">
        <v>0</v>
      </c>
      <c r="O562" t="n">
        <v>0</v>
      </c>
      <c r="P562" t="n">
        <v>0</v>
      </c>
      <c r="Q562" t="n">
        <v>0</v>
      </c>
      <c r="R562" s="2" t="inlineStr"/>
    </row>
    <row r="563" ht="15" customHeight="1">
      <c r="A563" t="inlineStr">
        <is>
          <t>A 48271-2023</t>
        </is>
      </c>
      <c r="B563" s="1" t="n">
        <v>45205</v>
      </c>
      <c r="C563" s="1" t="n">
        <v>46174</v>
      </c>
      <c r="D563" t="inlineStr">
        <is>
          <t>ÖSTERGÖTLANDS LÄN</t>
        </is>
      </c>
      <c r="E563" t="inlineStr">
        <is>
          <t>LINKÖPING</t>
        </is>
      </c>
      <c r="G563" t="n">
        <v>3</v>
      </c>
      <c r="H563" t="n">
        <v>0</v>
      </c>
      <c r="I563" t="n">
        <v>0</v>
      </c>
      <c r="J563" t="n">
        <v>0</v>
      </c>
      <c r="K563" t="n">
        <v>0</v>
      </c>
      <c r="L563" t="n">
        <v>0</v>
      </c>
      <c r="M563" t="n">
        <v>0</v>
      </c>
      <c r="N563" t="n">
        <v>0</v>
      </c>
      <c r="O563" t="n">
        <v>0</v>
      </c>
      <c r="P563" t="n">
        <v>0</v>
      </c>
      <c r="Q563" t="n">
        <v>0</v>
      </c>
      <c r="R563" s="2" t="inlineStr"/>
    </row>
    <row r="564" ht="15" customHeight="1">
      <c r="A564" t="inlineStr">
        <is>
          <t>A 7702-2023</t>
        </is>
      </c>
      <c r="B564" s="1" t="n">
        <v>44967</v>
      </c>
      <c r="C564" s="1" t="n">
        <v>46174</v>
      </c>
      <c r="D564" t="inlineStr">
        <is>
          <t>ÖSTERGÖTLANDS LÄN</t>
        </is>
      </c>
      <c r="E564" t="inlineStr">
        <is>
          <t>LINKÖPING</t>
        </is>
      </c>
      <c r="F564" t="inlineStr">
        <is>
          <t>Övriga statliga verk och myndigheter</t>
        </is>
      </c>
      <c r="G564" t="n">
        <v>8</v>
      </c>
      <c r="H564" t="n">
        <v>0</v>
      </c>
      <c r="I564" t="n">
        <v>0</v>
      </c>
      <c r="J564" t="n">
        <v>0</v>
      </c>
      <c r="K564" t="n">
        <v>0</v>
      </c>
      <c r="L564" t="n">
        <v>0</v>
      </c>
      <c r="M564" t="n">
        <v>0</v>
      </c>
      <c r="N564" t="n">
        <v>0</v>
      </c>
      <c r="O564" t="n">
        <v>0</v>
      </c>
      <c r="P564" t="n">
        <v>0</v>
      </c>
      <c r="Q564" t="n">
        <v>0</v>
      </c>
      <c r="R564" s="2" t="inlineStr"/>
    </row>
    <row r="565" ht="15" customHeight="1">
      <c r="A565" t="inlineStr">
        <is>
          <t>A 12720-2022</t>
        </is>
      </c>
      <c r="B565" s="1" t="n">
        <v>44641</v>
      </c>
      <c r="C565" s="1" t="n">
        <v>46174</v>
      </c>
      <c r="D565" t="inlineStr">
        <is>
          <t>ÖSTERGÖTLANDS LÄN</t>
        </is>
      </c>
      <c r="E565" t="inlineStr">
        <is>
          <t>LINKÖPING</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62018-2024</t>
        </is>
      </c>
      <c r="B566" s="1" t="n">
        <v>45655.81387731482</v>
      </c>
      <c r="C566" s="1" t="n">
        <v>46174</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42000-2023</t>
        </is>
      </c>
      <c r="B567" s="1" t="n">
        <v>45177</v>
      </c>
      <c r="C567" s="1" t="n">
        <v>46174</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52111-2025</t>
        </is>
      </c>
      <c r="B568" s="1" t="n">
        <v>45952.69527777778</v>
      </c>
      <c r="C568" s="1" t="n">
        <v>46174</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31534-2023</t>
        </is>
      </c>
      <c r="B569" s="1" t="n">
        <v>45116</v>
      </c>
      <c r="C569" s="1" t="n">
        <v>46174</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35427-2023</t>
        </is>
      </c>
      <c r="B570" s="1" t="n">
        <v>45146</v>
      </c>
      <c r="C570" s="1" t="n">
        <v>46174</v>
      </c>
      <c r="D570" t="inlineStr">
        <is>
          <t>ÖSTERGÖTLANDS LÄN</t>
        </is>
      </c>
      <c r="E570" t="inlineStr">
        <is>
          <t>LINKÖPING</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36725-2023</t>
        </is>
      </c>
      <c r="B571" s="1" t="n">
        <v>45153.68471064815</v>
      </c>
      <c r="C571" s="1" t="n">
        <v>46174</v>
      </c>
      <c r="D571" t="inlineStr">
        <is>
          <t>ÖSTERGÖTLANDS LÄN</t>
        </is>
      </c>
      <c r="E571" t="inlineStr">
        <is>
          <t>LINKÖPING</t>
        </is>
      </c>
      <c r="F571" t="inlineStr">
        <is>
          <t>Allmännings- och besparingsskogar</t>
        </is>
      </c>
      <c r="G571" t="n">
        <v>2.6</v>
      </c>
      <c r="H571" t="n">
        <v>0</v>
      </c>
      <c r="I571" t="n">
        <v>0</v>
      </c>
      <c r="J571" t="n">
        <v>0</v>
      </c>
      <c r="K571" t="n">
        <v>0</v>
      </c>
      <c r="L571" t="n">
        <v>0</v>
      </c>
      <c r="M571" t="n">
        <v>0</v>
      </c>
      <c r="N571" t="n">
        <v>0</v>
      </c>
      <c r="O571" t="n">
        <v>0</v>
      </c>
      <c r="P571" t="n">
        <v>0</v>
      </c>
      <c r="Q571" t="n">
        <v>0</v>
      </c>
      <c r="R571" s="2" t="inlineStr"/>
    </row>
    <row r="572" ht="15" customHeight="1">
      <c r="A572" t="inlineStr">
        <is>
          <t>A 30551-2023</t>
        </is>
      </c>
      <c r="B572" s="1" t="n">
        <v>45111</v>
      </c>
      <c r="C572" s="1" t="n">
        <v>46174</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30860-2022</t>
        </is>
      </c>
      <c r="B573" s="1" t="n">
        <v>44767</v>
      </c>
      <c r="C573" s="1" t="n">
        <v>46174</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52740-2025</t>
        </is>
      </c>
      <c r="B574" s="1" t="n">
        <v>45957.37747685185</v>
      </c>
      <c r="C574" s="1" t="n">
        <v>46174</v>
      </c>
      <c r="D574" t="inlineStr">
        <is>
          <t>ÖSTERGÖTLANDS LÄN</t>
        </is>
      </c>
      <c r="E574" t="inlineStr">
        <is>
          <t>LINKÖPING</t>
        </is>
      </c>
      <c r="G574" t="n">
        <v>3.7</v>
      </c>
      <c r="H574" t="n">
        <v>0</v>
      </c>
      <c r="I574" t="n">
        <v>0</v>
      </c>
      <c r="J574" t="n">
        <v>0</v>
      </c>
      <c r="K574" t="n">
        <v>0</v>
      </c>
      <c r="L574" t="n">
        <v>0</v>
      </c>
      <c r="M574" t="n">
        <v>0</v>
      </c>
      <c r="N574" t="n">
        <v>0</v>
      </c>
      <c r="O574" t="n">
        <v>0</v>
      </c>
      <c r="P574" t="n">
        <v>0</v>
      </c>
      <c r="Q574" t="n">
        <v>0</v>
      </c>
      <c r="R574" s="2" t="inlineStr"/>
    </row>
    <row r="575" ht="15" customHeight="1">
      <c r="A575" t="inlineStr">
        <is>
          <t>A 53639-2023</t>
        </is>
      </c>
      <c r="B575" s="1" t="n">
        <v>45230.59686342593</v>
      </c>
      <c r="C575" s="1" t="n">
        <v>46174</v>
      </c>
      <c r="D575" t="inlineStr">
        <is>
          <t>ÖSTERGÖTLANDS LÄN</t>
        </is>
      </c>
      <c r="E575" t="inlineStr">
        <is>
          <t>LINKÖPING</t>
        </is>
      </c>
      <c r="G575" t="n">
        <v>2.3</v>
      </c>
      <c r="H575" t="n">
        <v>0</v>
      </c>
      <c r="I575" t="n">
        <v>0</v>
      </c>
      <c r="J575" t="n">
        <v>0</v>
      </c>
      <c r="K575" t="n">
        <v>0</v>
      </c>
      <c r="L575" t="n">
        <v>0</v>
      </c>
      <c r="M575" t="n">
        <v>0</v>
      </c>
      <c r="N575" t="n">
        <v>0</v>
      </c>
      <c r="O575" t="n">
        <v>0</v>
      </c>
      <c r="P575" t="n">
        <v>0</v>
      </c>
      <c r="Q575" t="n">
        <v>0</v>
      </c>
      <c r="R575" s="2" t="inlineStr"/>
    </row>
    <row r="576" ht="15" customHeight="1">
      <c r="A576" t="inlineStr">
        <is>
          <t>A 60004-2022</t>
        </is>
      </c>
      <c r="B576" s="1" t="n">
        <v>44909.47206018519</v>
      </c>
      <c r="C576" s="1" t="n">
        <v>46174</v>
      </c>
      <c r="D576" t="inlineStr">
        <is>
          <t>ÖSTERGÖTLANDS LÄN</t>
        </is>
      </c>
      <c r="E576" t="inlineStr">
        <is>
          <t>LINKÖPING</t>
        </is>
      </c>
      <c r="G576" t="n">
        <v>2.2</v>
      </c>
      <c r="H576" t="n">
        <v>0</v>
      </c>
      <c r="I576" t="n">
        <v>0</v>
      </c>
      <c r="J576" t="n">
        <v>0</v>
      </c>
      <c r="K576" t="n">
        <v>0</v>
      </c>
      <c r="L576" t="n">
        <v>0</v>
      </c>
      <c r="M576" t="n">
        <v>0</v>
      </c>
      <c r="N576" t="n">
        <v>0</v>
      </c>
      <c r="O576" t="n">
        <v>0</v>
      </c>
      <c r="P576" t="n">
        <v>0</v>
      </c>
      <c r="Q576" t="n">
        <v>0</v>
      </c>
      <c r="R576" s="2" t="inlineStr"/>
    </row>
    <row r="577" ht="15" customHeight="1">
      <c r="A577" t="inlineStr">
        <is>
          <t>A 60010-2022</t>
        </is>
      </c>
      <c r="B577" s="1" t="n">
        <v>44909.4740625</v>
      </c>
      <c r="C577" s="1" t="n">
        <v>46174</v>
      </c>
      <c r="D577" t="inlineStr">
        <is>
          <t>ÖSTERGÖTLANDS LÄN</t>
        </is>
      </c>
      <c r="E577" t="inlineStr">
        <is>
          <t>LINKÖPING</t>
        </is>
      </c>
      <c r="G577" t="n">
        <v>1.2</v>
      </c>
      <c r="H577" t="n">
        <v>0</v>
      </c>
      <c r="I577" t="n">
        <v>0</v>
      </c>
      <c r="J577" t="n">
        <v>0</v>
      </c>
      <c r="K577" t="n">
        <v>0</v>
      </c>
      <c r="L577" t="n">
        <v>0</v>
      </c>
      <c r="M577" t="n">
        <v>0</v>
      </c>
      <c r="N577" t="n">
        <v>0</v>
      </c>
      <c r="O577" t="n">
        <v>0</v>
      </c>
      <c r="P577" t="n">
        <v>0</v>
      </c>
      <c r="Q577" t="n">
        <v>0</v>
      </c>
      <c r="R577" s="2" t="inlineStr"/>
    </row>
    <row r="578" ht="15" customHeight="1">
      <c r="A578" t="inlineStr">
        <is>
          <t>A 53827-2023</t>
        </is>
      </c>
      <c r="B578" s="1" t="n">
        <v>45230</v>
      </c>
      <c r="C578" s="1" t="n">
        <v>46174</v>
      </c>
      <c r="D578" t="inlineStr">
        <is>
          <t>ÖSTERGÖTLANDS LÄN</t>
        </is>
      </c>
      <c r="E578" t="inlineStr">
        <is>
          <t>LINKÖPING</t>
        </is>
      </c>
      <c r="G578" t="n">
        <v>1.6</v>
      </c>
      <c r="H578" t="n">
        <v>0</v>
      </c>
      <c r="I578" t="n">
        <v>0</v>
      </c>
      <c r="J578" t="n">
        <v>0</v>
      </c>
      <c r="K578" t="n">
        <v>0</v>
      </c>
      <c r="L578" t="n">
        <v>0</v>
      </c>
      <c r="M578" t="n">
        <v>0</v>
      </c>
      <c r="N578" t="n">
        <v>0</v>
      </c>
      <c r="O578" t="n">
        <v>0</v>
      </c>
      <c r="P578" t="n">
        <v>0</v>
      </c>
      <c r="Q578" t="n">
        <v>0</v>
      </c>
      <c r="R578" s="2" t="inlineStr"/>
    </row>
    <row r="579" ht="15" customHeight="1">
      <c r="A579" t="inlineStr">
        <is>
          <t>A 1657-2024</t>
        </is>
      </c>
      <c r="B579" s="1" t="n">
        <v>45306.82501157407</v>
      </c>
      <c r="C579" s="1" t="n">
        <v>46174</v>
      </c>
      <c r="D579" t="inlineStr">
        <is>
          <t>ÖSTERGÖTLANDS LÄN</t>
        </is>
      </c>
      <c r="E579" t="inlineStr">
        <is>
          <t>LINKÖPING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61649-2023</t>
        </is>
      </c>
      <c r="B580" s="1" t="n">
        <v>45265</v>
      </c>
      <c r="C580" s="1" t="n">
        <v>46174</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50784-2022</t>
        </is>
      </c>
      <c r="B581" s="1" t="n">
        <v>44862</v>
      </c>
      <c r="C581" s="1" t="n">
        <v>46174</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52800-2025</t>
        </is>
      </c>
      <c r="B582" s="1" t="n">
        <v>45957.44152777778</v>
      </c>
      <c r="C582" s="1" t="n">
        <v>46174</v>
      </c>
      <c r="D582" t="inlineStr">
        <is>
          <t>ÖSTERGÖTLANDS LÄN</t>
        </is>
      </c>
      <c r="E582" t="inlineStr">
        <is>
          <t>LINKÖPING</t>
        </is>
      </c>
      <c r="G582" t="n">
        <v>2.5</v>
      </c>
      <c r="H582" t="n">
        <v>0</v>
      </c>
      <c r="I582" t="n">
        <v>0</v>
      </c>
      <c r="J582" t="n">
        <v>0</v>
      </c>
      <c r="K582" t="n">
        <v>0</v>
      </c>
      <c r="L582" t="n">
        <v>0</v>
      </c>
      <c r="M582" t="n">
        <v>0</v>
      </c>
      <c r="N582" t="n">
        <v>0</v>
      </c>
      <c r="O582" t="n">
        <v>0</v>
      </c>
      <c r="P582" t="n">
        <v>0</v>
      </c>
      <c r="Q582" t="n">
        <v>0</v>
      </c>
      <c r="R582" s="2" t="inlineStr"/>
    </row>
    <row r="583" ht="15" customHeight="1">
      <c r="A583" t="inlineStr">
        <is>
          <t>A 52802-2025</t>
        </is>
      </c>
      <c r="B583" s="1" t="n">
        <v>45957.44295138889</v>
      </c>
      <c r="C583" s="1" t="n">
        <v>46174</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26803-2024</t>
        </is>
      </c>
      <c r="B584" s="1" t="n">
        <v>45470</v>
      </c>
      <c r="C584" s="1" t="n">
        <v>46174</v>
      </c>
      <c r="D584" t="inlineStr">
        <is>
          <t>ÖSTERGÖTLANDS LÄN</t>
        </is>
      </c>
      <c r="E584" t="inlineStr">
        <is>
          <t>LINKÖPING</t>
        </is>
      </c>
      <c r="F584" t="inlineStr">
        <is>
          <t>Allmännings- och besparingsskogar</t>
        </is>
      </c>
      <c r="G584" t="n">
        <v>4.5</v>
      </c>
      <c r="H584" t="n">
        <v>0</v>
      </c>
      <c r="I584" t="n">
        <v>0</v>
      </c>
      <c r="J584" t="n">
        <v>0</v>
      </c>
      <c r="K584" t="n">
        <v>0</v>
      </c>
      <c r="L584" t="n">
        <v>0</v>
      </c>
      <c r="M584" t="n">
        <v>0</v>
      </c>
      <c r="N584" t="n">
        <v>0</v>
      </c>
      <c r="O584" t="n">
        <v>0</v>
      </c>
      <c r="P584" t="n">
        <v>0</v>
      </c>
      <c r="Q584" t="n">
        <v>0</v>
      </c>
      <c r="R584" s="2" t="inlineStr"/>
    </row>
    <row r="585" ht="15" customHeight="1">
      <c r="A585" t="inlineStr">
        <is>
          <t>A 52743-2025</t>
        </is>
      </c>
      <c r="B585" s="1" t="n">
        <v>45957.38039351852</v>
      </c>
      <c r="C585" s="1" t="n">
        <v>46174</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52807-2025</t>
        </is>
      </c>
      <c r="B586" s="1" t="n">
        <v>45957.44837962963</v>
      </c>
      <c r="C586" s="1" t="n">
        <v>46174</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60472-2022</t>
        </is>
      </c>
      <c r="B587" s="1" t="n">
        <v>44911.41037037037</v>
      </c>
      <c r="C587" s="1" t="n">
        <v>46174</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223-2024</t>
        </is>
      </c>
      <c r="B588" s="1" t="n">
        <v>45294.72739583333</v>
      </c>
      <c r="C588" s="1" t="n">
        <v>46174</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43934-2023</t>
        </is>
      </c>
      <c r="B589" s="1" t="n">
        <v>45187</v>
      </c>
      <c r="C589" s="1" t="n">
        <v>46174</v>
      </c>
      <c r="D589" t="inlineStr">
        <is>
          <t>ÖSTERGÖTLANDS LÄN</t>
        </is>
      </c>
      <c r="E589" t="inlineStr">
        <is>
          <t>LINKÖPING</t>
        </is>
      </c>
      <c r="F589" t="inlineStr">
        <is>
          <t>Övriga Aktiebolag</t>
        </is>
      </c>
      <c r="G589" t="n">
        <v>3.8</v>
      </c>
      <c r="H589" t="n">
        <v>0</v>
      </c>
      <c r="I589" t="n">
        <v>0</v>
      </c>
      <c r="J589" t="n">
        <v>0</v>
      </c>
      <c r="K589" t="n">
        <v>0</v>
      </c>
      <c r="L589" t="n">
        <v>0</v>
      </c>
      <c r="M589" t="n">
        <v>0</v>
      </c>
      <c r="N589" t="n">
        <v>0</v>
      </c>
      <c r="O589" t="n">
        <v>0</v>
      </c>
      <c r="P589" t="n">
        <v>0</v>
      </c>
      <c r="Q589" t="n">
        <v>0</v>
      </c>
      <c r="R589" s="2" t="inlineStr"/>
    </row>
    <row r="590" ht="15" customHeight="1">
      <c r="A590" t="inlineStr">
        <is>
          <t>A 22774-2024</t>
        </is>
      </c>
      <c r="B590" s="1" t="n">
        <v>45448.46924768519</v>
      </c>
      <c r="C590" s="1" t="n">
        <v>46174</v>
      </c>
      <c r="D590" t="inlineStr">
        <is>
          <t>ÖSTERGÖTLANDS LÄN</t>
        </is>
      </c>
      <c r="E590" t="inlineStr">
        <is>
          <t>LINKÖPING</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22778-2024</t>
        </is>
      </c>
      <c r="B591" s="1" t="n">
        <v>45448.47233796296</v>
      </c>
      <c r="C591" s="1" t="n">
        <v>46174</v>
      </c>
      <c r="D591" t="inlineStr">
        <is>
          <t>ÖSTERGÖTLANDS LÄN</t>
        </is>
      </c>
      <c r="E591" t="inlineStr">
        <is>
          <t>LINKÖPING</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1209-2023</t>
        </is>
      </c>
      <c r="B592" s="1" t="n">
        <v>44930</v>
      </c>
      <c r="C592" s="1" t="n">
        <v>46174</v>
      </c>
      <c r="D592" t="inlineStr">
        <is>
          <t>ÖSTERGÖTLANDS LÄN</t>
        </is>
      </c>
      <c r="E592" t="inlineStr">
        <is>
          <t>LINKÖPING</t>
        </is>
      </c>
      <c r="F592" t="inlineStr">
        <is>
          <t>Övriga statliga verk och myndigheter</t>
        </is>
      </c>
      <c r="G592" t="n">
        <v>25.8</v>
      </c>
      <c r="H592" t="n">
        <v>0</v>
      </c>
      <c r="I592" t="n">
        <v>0</v>
      </c>
      <c r="J592" t="n">
        <v>0</v>
      </c>
      <c r="K592" t="n">
        <v>0</v>
      </c>
      <c r="L592" t="n">
        <v>0</v>
      </c>
      <c r="M592" t="n">
        <v>0</v>
      </c>
      <c r="N592" t="n">
        <v>0</v>
      </c>
      <c r="O592" t="n">
        <v>0</v>
      </c>
      <c r="P592" t="n">
        <v>0</v>
      </c>
      <c r="Q592" t="n">
        <v>0</v>
      </c>
      <c r="R592" s="2" t="inlineStr"/>
    </row>
    <row r="593" ht="15" customHeight="1">
      <c r="A593" t="inlineStr">
        <is>
          <t>A 19464-2024</t>
        </is>
      </c>
      <c r="B593" s="1" t="n">
        <v>45429</v>
      </c>
      <c r="C593" s="1" t="n">
        <v>46174</v>
      </c>
      <c r="D593" t="inlineStr">
        <is>
          <t>ÖSTERGÖTLANDS LÄN</t>
        </is>
      </c>
      <c r="E593" t="inlineStr">
        <is>
          <t>LINKÖPING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10407-2025</t>
        </is>
      </c>
      <c r="B594" s="1" t="n">
        <v>45720.62863425926</v>
      </c>
      <c r="C594" s="1" t="n">
        <v>46174</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11590-2023</t>
        </is>
      </c>
      <c r="B595" s="1" t="n">
        <v>44994.36689814815</v>
      </c>
      <c r="C595" s="1" t="n">
        <v>46174</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630-2024</t>
        </is>
      </c>
      <c r="B596" s="1" t="n">
        <v>45299.67736111111</v>
      </c>
      <c r="C596" s="1" t="n">
        <v>46174</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19169-2023</t>
        </is>
      </c>
      <c r="B597" s="1" t="n">
        <v>45044</v>
      </c>
      <c r="C597" s="1" t="n">
        <v>46174</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54332-2025</t>
        </is>
      </c>
      <c r="B598" s="1" t="n">
        <v>45965.34915509259</v>
      </c>
      <c r="C598" s="1" t="n">
        <v>46174</v>
      </c>
      <c r="D598" t="inlineStr">
        <is>
          <t>ÖSTERGÖTLANDS LÄN</t>
        </is>
      </c>
      <c r="E598" t="inlineStr">
        <is>
          <t>LINKÖPING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672-2024</t>
        </is>
      </c>
      <c r="B599" s="1" t="n">
        <v>45300</v>
      </c>
      <c r="C599" s="1" t="n">
        <v>46174</v>
      </c>
      <c r="D599" t="inlineStr">
        <is>
          <t>ÖSTERGÖTLANDS LÄN</t>
        </is>
      </c>
      <c r="E599" t="inlineStr">
        <is>
          <t>LINKÖPING</t>
        </is>
      </c>
      <c r="F599" t="inlineStr">
        <is>
          <t>Sveaskog</t>
        </is>
      </c>
      <c r="G599" t="n">
        <v>4.5</v>
      </c>
      <c r="H599" t="n">
        <v>0</v>
      </c>
      <c r="I599" t="n">
        <v>0</v>
      </c>
      <c r="J599" t="n">
        <v>0</v>
      </c>
      <c r="K599" t="n">
        <v>0</v>
      </c>
      <c r="L599" t="n">
        <v>0</v>
      </c>
      <c r="M599" t="n">
        <v>0</v>
      </c>
      <c r="N599" t="n">
        <v>0</v>
      </c>
      <c r="O599" t="n">
        <v>0</v>
      </c>
      <c r="P599" t="n">
        <v>0</v>
      </c>
      <c r="Q599" t="n">
        <v>0</v>
      </c>
      <c r="R599" s="2" t="inlineStr"/>
    </row>
    <row r="600" ht="15" customHeight="1">
      <c r="A600" t="inlineStr">
        <is>
          <t>A 54329-2025</t>
        </is>
      </c>
      <c r="B600" s="1" t="n">
        <v>45965.34706018519</v>
      </c>
      <c r="C600" s="1" t="n">
        <v>46174</v>
      </c>
      <c r="D600" t="inlineStr">
        <is>
          <t>ÖSTERGÖTLANDS LÄN</t>
        </is>
      </c>
      <c r="E600" t="inlineStr">
        <is>
          <t>LINKÖPING</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55493-2021</t>
        </is>
      </c>
      <c r="B601" s="1" t="n">
        <v>44475.61988425926</v>
      </c>
      <c r="C601" s="1" t="n">
        <v>46174</v>
      </c>
      <c r="D601" t="inlineStr">
        <is>
          <t>ÖSTERGÖTLANDS LÄN</t>
        </is>
      </c>
      <c r="E601" t="inlineStr">
        <is>
          <t>LINKÖPING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30433-2024</t>
        </is>
      </c>
      <c r="B602" s="1" t="n">
        <v>45491.69741898148</v>
      </c>
      <c r="C602" s="1" t="n">
        <v>46174</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14093-2024</t>
        </is>
      </c>
      <c r="B603" s="1" t="n">
        <v>45392.60278935185</v>
      </c>
      <c r="C603" s="1" t="n">
        <v>46174</v>
      </c>
      <c r="D603" t="inlineStr">
        <is>
          <t>ÖSTERGÖTLANDS LÄN</t>
        </is>
      </c>
      <c r="E603" t="inlineStr">
        <is>
          <t>LINKÖPING</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62019-2024</t>
        </is>
      </c>
      <c r="B604" s="1" t="n">
        <v>45655.82</v>
      </c>
      <c r="C604" s="1" t="n">
        <v>46174</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25119-2023</t>
        </is>
      </c>
      <c r="B605" s="1" t="n">
        <v>45086.42326388889</v>
      </c>
      <c r="C605" s="1" t="n">
        <v>46174</v>
      </c>
      <c r="D605" t="inlineStr">
        <is>
          <t>ÖSTERGÖTLANDS LÄN</t>
        </is>
      </c>
      <c r="E605" t="inlineStr">
        <is>
          <t>LINKÖPING</t>
        </is>
      </c>
      <c r="G605" t="n">
        <v>3.2</v>
      </c>
      <c r="H605" t="n">
        <v>0</v>
      </c>
      <c r="I605" t="n">
        <v>0</v>
      </c>
      <c r="J605" t="n">
        <v>0</v>
      </c>
      <c r="K605" t="n">
        <v>0</v>
      </c>
      <c r="L605" t="n">
        <v>0</v>
      </c>
      <c r="M605" t="n">
        <v>0</v>
      </c>
      <c r="N605" t="n">
        <v>0</v>
      </c>
      <c r="O605" t="n">
        <v>0</v>
      </c>
      <c r="P605" t="n">
        <v>0</v>
      </c>
      <c r="Q605" t="n">
        <v>0</v>
      </c>
      <c r="R605" s="2" t="inlineStr"/>
    </row>
    <row r="606" ht="15" customHeight="1">
      <c r="A606" t="inlineStr">
        <is>
          <t>A 63528-2023</t>
        </is>
      </c>
      <c r="B606" s="1" t="n">
        <v>45274.94810185185</v>
      </c>
      <c r="C606" s="1" t="n">
        <v>46174</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54333-2025</t>
        </is>
      </c>
      <c r="B607" s="1" t="n">
        <v>45965.35090277778</v>
      </c>
      <c r="C607" s="1" t="n">
        <v>46174</v>
      </c>
      <c r="D607" t="inlineStr">
        <is>
          <t>ÖSTERGÖTLANDS LÄN</t>
        </is>
      </c>
      <c r="E607" t="inlineStr">
        <is>
          <t>LINKÖPING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61936-2023</t>
        </is>
      </c>
      <c r="B608" s="1" t="n">
        <v>45266.54534722222</v>
      </c>
      <c r="C608" s="1" t="n">
        <v>46174</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57396-2021</t>
        </is>
      </c>
      <c r="B609" s="1" t="n">
        <v>44483.56151620371</v>
      </c>
      <c r="C609" s="1" t="n">
        <v>46174</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62492-2023</t>
        </is>
      </c>
      <c r="B610" s="1" t="n">
        <v>45268.58987268519</v>
      </c>
      <c r="C610" s="1" t="n">
        <v>46174</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22264-2025</t>
        </is>
      </c>
      <c r="B611" s="1" t="n">
        <v>45785</v>
      </c>
      <c r="C611" s="1" t="n">
        <v>46174</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51571-2024</t>
        </is>
      </c>
      <c r="B612" s="1" t="n">
        <v>45604</v>
      </c>
      <c r="C612" s="1" t="n">
        <v>46174</v>
      </c>
      <c r="D612" t="inlineStr">
        <is>
          <t>ÖSTERGÖTLANDS LÄN</t>
        </is>
      </c>
      <c r="E612" t="inlineStr">
        <is>
          <t>LINKÖPING</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17143-2025</t>
        </is>
      </c>
      <c r="B613" s="1" t="n">
        <v>45755.92731481481</v>
      </c>
      <c r="C613" s="1" t="n">
        <v>46174</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674-2024</t>
        </is>
      </c>
      <c r="B614" s="1" t="n">
        <v>45300.34408564815</v>
      </c>
      <c r="C614" s="1" t="n">
        <v>46174</v>
      </c>
      <c r="D614" t="inlineStr">
        <is>
          <t>ÖSTERGÖTLANDS LÄN</t>
        </is>
      </c>
      <c r="E614" t="inlineStr">
        <is>
          <t>LINKÖPING</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17124-2025</t>
        </is>
      </c>
      <c r="B615" s="1" t="n">
        <v>45755.69678240741</v>
      </c>
      <c r="C615" s="1" t="n">
        <v>46174</v>
      </c>
      <c r="D615" t="inlineStr">
        <is>
          <t>ÖSTERGÖTLANDS LÄN</t>
        </is>
      </c>
      <c r="E615" t="inlineStr">
        <is>
          <t>LINKÖPING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17126-2025</t>
        </is>
      </c>
      <c r="B616" s="1" t="n">
        <v>45755.70814814815</v>
      </c>
      <c r="C616" s="1" t="n">
        <v>46174</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6782-2024</t>
        </is>
      </c>
      <c r="B617" s="1" t="n">
        <v>45342</v>
      </c>
      <c r="C617" s="1" t="n">
        <v>46174</v>
      </c>
      <c r="D617" t="inlineStr">
        <is>
          <t>ÖSTERGÖTLANDS LÄN</t>
        </is>
      </c>
      <c r="E617" t="inlineStr">
        <is>
          <t>LINKÖPING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31640-2023</t>
        </is>
      </c>
      <c r="B618" s="1" t="n">
        <v>45117</v>
      </c>
      <c r="C618" s="1" t="n">
        <v>46174</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55102-2025</t>
        </is>
      </c>
      <c r="B619" s="1" t="n">
        <v>45968.35410879629</v>
      </c>
      <c r="C619" s="1" t="n">
        <v>46174</v>
      </c>
      <c r="D619" t="inlineStr">
        <is>
          <t>ÖSTERGÖTLANDS LÄN</t>
        </is>
      </c>
      <c r="E619" t="inlineStr">
        <is>
          <t>LINKÖPING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10094-2024</t>
        </is>
      </c>
      <c r="B620" s="1" t="n">
        <v>45364</v>
      </c>
      <c r="C620" s="1" t="n">
        <v>46174</v>
      </c>
      <c r="D620" t="inlineStr">
        <is>
          <t>ÖSTERGÖTLANDS LÄN</t>
        </is>
      </c>
      <c r="E620" t="inlineStr">
        <is>
          <t>LINKÖPING</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55132-2025</t>
        </is>
      </c>
      <c r="B621" s="1" t="n">
        <v>45968.41912037037</v>
      </c>
      <c r="C621" s="1" t="n">
        <v>46174</v>
      </c>
      <c r="D621" t="inlineStr">
        <is>
          <t>ÖSTERGÖTLANDS LÄN</t>
        </is>
      </c>
      <c r="E621" t="inlineStr">
        <is>
          <t>LINKÖPING</t>
        </is>
      </c>
      <c r="G621" t="n">
        <v>2.4</v>
      </c>
      <c r="H621" t="n">
        <v>0</v>
      </c>
      <c r="I621" t="n">
        <v>0</v>
      </c>
      <c r="J621" t="n">
        <v>0</v>
      </c>
      <c r="K621" t="n">
        <v>0</v>
      </c>
      <c r="L621" t="n">
        <v>0</v>
      </c>
      <c r="M621" t="n">
        <v>0</v>
      </c>
      <c r="N621" t="n">
        <v>0</v>
      </c>
      <c r="O621" t="n">
        <v>0</v>
      </c>
      <c r="P621" t="n">
        <v>0</v>
      </c>
      <c r="Q621" t="n">
        <v>0</v>
      </c>
      <c r="R621" s="2" t="inlineStr"/>
    </row>
    <row r="622" ht="15" customHeight="1">
      <c r="A622" t="inlineStr">
        <is>
          <t>A 55109-2025</t>
        </is>
      </c>
      <c r="B622" s="1" t="n">
        <v>45968.37731481482</v>
      </c>
      <c r="C622" s="1" t="n">
        <v>46174</v>
      </c>
      <c r="D622" t="inlineStr">
        <is>
          <t>ÖSTERGÖTLANDS LÄN</t>
        </is>
      </c>
      <c r="E622" t="inlineStr">
        <is>
          <t>LINKÖPING</t>
        </is>
      </c>
      <c r="G622" t="n">
        <v>3.2</v>
      </c>
      <c r="H622" t="n">
        <v>0</v>
      </c>
      <c r="I622" t="n">
        <v>0</v>
      </c>
      <c r="J622" t="n">
        <v>0</v>
      </c>
      <c r="K622" t="n">
        <v>0</v>
      </c>
      <c r="L622" t="n">
        <v>0</v>
      </c>
      <c r="M622" t="n">
        <v>0</v>
      </c>
      <c r="N622" t="n">
        <v>0</v>
      </c>
      <c r="O622" t="n">
        <v>0</v>
      </c>
      <c r="P622" t="n">
        <v>0</v>
      </c>
      <c r="Q622" t="n">
        <v>0</v>
      </c>
      <c r="R622" s="2" t="inlineStr"/>
    </row>
    <row r="623" ht="15" customHeight="1">
      <c r="A623" t="inlineStr">
        <is>
          <t>A 9473-2024</t>
        </is>
      </c>
      <c r="B623" s="1" t="n">
        <v>45359.55474537037</v>
      </c>
      <c r="C623" s="1" t="n">
        <v>46174</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63684-2023</t>
        </is>
      </c>
      <c r="B624" s="1" t="n">
        <v>45275</v>
      </c>
      <c r="C624" s="1" t="n">
        <v>46174</v>
      </c>
      <c r="D624" t="inlineStr">
        <is>
          <t>ÖSTERGÖTLANDS LÄN</t>
        </is>
      </c>
      <c r="E624" t="inlineStr">
        <is>
          <t>LINKÖPING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63688-2023</t>
        </is>
      </c>
      <c r="B625" s="1" t="n">
        <v>45275</v>
      </c>
      <c r="C625" s="1" t="n">
        <v>46174</v>
      </c>
      <c r="D625" t="inlineStr">
        <is>
          <t>ÖSTERGÖTLANDS LÄN</t>
        </is>
      </c>
      <c r="E625" t="inlineStr">
        <is>
          <t>LINKÖPING</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63691-2023</t>
        </is>
      </c>
      <c r="B626" s="1" t="n">
        <v>45275</v>
      </c>
      <c r="C626" s="1" t="n">
        <v>46174</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36657-2023</t>
        </is>
      </c>
      <c r="B627" s="1" t="n">
        <v>45153.5702662037</v>
      </c>
      <c r="C627" s="1" t="n">
        <v>46174</v>
      </c>
      <c r="D627" t="inlineStr">
        <is>
          <t>ÖSTERGÖTLANDS LÄN</t>
        </is>
      </c>
      <c r="E627" t="inlineStr">
        <is>
          <t>LINKÖPING</t>
        </is>
      </c>
      <c r="F627" t="inlineStr">
        <is>
          <t>Allmännings- och besparingsskogar</t>
        </is>
      </c>
      <c r="G627" t="n">
        <v>2</v>
      </c>
      <c r="H627" t="n">
        <v>0</v>
      </c>
      <c r="I627" t="n">
        <v>0</v>
      </c>
      <c r="J627" t="n">
        <v>0</v>
      </c>
      <c r="K627" t="n">
        <v>0</v>
      </c>
      <c r="L627" t="n">
        <v>0</v>
      </c>
      <c r="M627" t="n">
        <v>0</v>
      </c>
      <c r="N627" t="n">
        <v>0</v>
      </c>
      <c r="O627" t="n">
        <v>0</v>
      </c>
      <c r="P627" t="n">
        <v>0</v>
      </c>
      <c r="Q627" t="n">
        <v>0</v>
      </c>
      <c r="R627" s="2" t="inlineStr"/>
    </row>
    <row r="628" ht="15" customHeight="1">
      <c r="A628" t="inlineStr">
        <is>
          <t>A 55165-2025</t>
        </is>
      </c>
      <c r="B628" s="1" t="n">
        <v>45968.48194444444</v>
      </c>
      <c r="C628" s="1" t="n">
        <v>46174</v>
      </c>
      <c r="D628" t="inlineStr">
        <is>
          <t>ÖSTERGÖTLANDS LÄN</t>
        </is>
      </c>
      <c r="E628" t="inlineStr">
        <is>
          <t>LINKÖPING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6859-2024</t>
        </is>
      </c>
      <c r="B629" s="1" t="n">
        <v>45342</v>
      </c>
      <c r="C629" s="1" t="n">
        <v>46174</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44287-2024</t>
        </is>
      </c>
      <c r="B630" s="1" t="n">
        <v>45573.50582175926</v>
      </c>
      <c r="C630" s="1" t="n">
        <v>46174</v>
      </c>
      <c r="D630" t="inlineStr">
        <is>
          <t>ÖSTERGÖTLANDS LÄN</t>
        </is>
      </c>
      <c r="E630" t="inlineStr">
        <is>
          <t>LINKÖPING</t>
        </is>
      </c>
      <c r="G630" t="n">
        <v>12.7</v>
      </c>
      <c r="H630" t="n">
        <v>0</v>
      </c>
      <c r="I630" t="n">
        <v>0</v>
      </c>
      <c r="J630" t="n">
        <v>0</v>
      </c>
      <c r="K630" t="n">
        <v>0</v>
      </c>
      <c r="L630" t="n">
        <v>0</v>
      </c>
      <c r="M630" t="n">
        <v>0</v>
      </c>
      <c r="N630" t="n">
        <v>0</v>
      </c>
      <c r="O630" t="n">
        <v>0</v>
      </c>
      <c r="P630" t="n">
        <v>0</v>
      </c>
      <c r="Q630" t="n">
        <v>0</v>
      </c>
      <c r="R630" s="2" t="inlineStr"/>
    </row>
    <row r="631" ht="15" customHeight="1">
      <c r="A631" t="inlineStr">
        <is>
          <t>A 11790-2024</t>
        </is>
      </c>
      <c r="B631" s="1" t="n">
        <v>45374</v>
      </c>
      <c r="C631" s="1" t="n">
        <v>46174</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14667-2024</t>
        </is>
      </c>
      <c r="B632" s="1" t="n">
        <v>45397.42005787037</v>
      </c>
      <c r="C632" s="1" t="n">
        <v>46174</v>
      </c>
      <c r="D632" t="inlineStr">
        <is>
          <t>ÖSTERGÖTLANDS LÄN</t>
        </is>
      </c>
      <c r="E632" t="inlineStr">
        <is>
          <t>LINKÖPING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56113-2025</t>
        </is>
      </c>
      <c r="B633" s="1" t="n">
        <v>45973.73924768518</v>
      </c>
      <c r="C633" s="1" t="n">
        <v>46174</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18183-2026</t>
        </is>
      </c>
      <c r="B634" s="1" t="n">
        <v>46125</v>
      </c>
      <c r="C634" s="1" t="n">
        <v>46174</v>
      </c>
      <c r="D634" t="inlineStr">
        <is>
          <t>ÖSTERGÖTLANDS LÄN</t>
        </is>
      </c>
      <c r="E634" t="inlineStr">
        <is>
          <t>LINKÖPING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56105-2025</t>
        </is>
      </c>
      <c r="B635" s="1" t="n">
        <v>45973.72855324074</v>
      </c>
      <c r="C635" s="1" t="n">
        <v>46174</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22364-2025</t>
        </is>
      </c>
      <c r="B636" s="1" t="n">
        <v>45786.46930555555</v>
      </c>
      <c r="C636" s="1" t="n">
        <v>46174</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56403-2025</t>
        </is>
      </c>
      <c r="B637" s="1" t="n">
        <v>45974</v>
      </c>
      <c r="C637" s="1" t="n">
        <v>46174</v>
      </c>
      <c r="D637" t="inlineStr">
        <is>
          <t>ÖSTERGÖTLANDS LÄN</t>
        </is>
      </c>
      <c r="E637" t="inlineStr">
        <is>
          <t>LINKÖPING</t>
        </is>
      </c>
      <c r="G637" t="n">
        <v>3.3</v>
      </c>
      <c r="H637" t="n">
        <v>0</v>
      </c>
      <c r="I637" t="n">
        <v>0</v>
      </c>
      <c r="J637" t="n">
        <v>0</v>
      </c>
      <c r="K637" t="n">
        <v>0</v>
      </c>
      <c r="L637" t="n">
        <v>0</v>
      </c>
      <c r="M637" t="n">
        <v>0</v>
      </c>
      <c r="N637" t="n">
        <v>0</v>
      </c>
      <c r="O637" t="n">
        <v>0</v>
      </c>
      <c r="P637" t="n">
        <v>0</v>
      </c>
      <c r="Q637" t="n">
        <v>0</v>
      </c>
      <c r="R637" s="2" t="inlineStr"/>
    </row>
    <row r="638" ht="15" customHeight="1">
      <c r="A638" t="inlineStr">
        <is>
          <t>A 15714-2024</t>
        </is>
      </c>
      <c r="B638" s="1" t="n">
        <v>45404.48288194444</v>
      </c>
      <c r="C638" s="1" t="n">
        <v>46174</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37715-2022</t>
        </is>
      </c>
      <c r="B639" s="1" t="n">
        <v>44810</v>
      </c>
      <c r="C639" s="1" t="n">
        <v>46174</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56704-2025</t>
        </is>
      </c>
      <c r="B640" s="1" t="n">
        <v>45977.50608796296</v>
      </c>
      <c r="C640" s="1" t="n">
        <v>46174</v>
      </c>
      <c r="D640" t="inlineStr">
        <is>
          <t>ÖSTERGÖTLANDS LÄN</t>
        </is>
      </c>
      <c r="E640" t="inlineStr">
        <is>
          <t>LINKÖPING</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30429-2024</t>
        </is>
      </c>
      <c r="B641" s="1" t="n">
        <v>45491.68972222223</v>
      </c>
      <c r="C641" s="1" t="n">
        <v>46174</v>
      </c>
      <c r="D641" t="inlineStr">
        <is>
          <t>ÖSTERGÖTLANDS LÄN</t>
        </is>
      </c>
      <c r="E641" t="inlineStr">
        <is>
          <t>LINKÖPING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30435-2024</t>
        </is>
      </c>
      <c r="B642" s="1" t="n">
        <v>45491.69962962963</v>
      </c>
      <c r="C642" s="1" t="n">
        <v>46174</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572-2025</t>
        </is>
      </c>
      <c r="B643" s="1" t="n">
        <v>45664.56349537037</v>
      </c>
      <c r="C643" s="1" t="n">
        <v>46174</v>
      </c>
      <c r="D643" t="inlineStr">
        <is>
          <t>ÖSTERGÖTLANDS LÄN</t>
        </is>
      </c>
      <c r="E643" t="inlineStr">
        <is>
          <t>LINKÖPING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10797-2024</t>
        </is>
      </c>
      <c r="B644" s="1" t="n">
        <v>45369.6190162037</v>
      </c>
      <c r="C644" s="1" t="n">
        <v>46174</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38231-2022</t>
        </is>
      </c>
      <c r="B645" s="1" t="n">
        <v>44812</v>
      </c>
      <c r="C645" s="1" t="n">
        <v>46174</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38580-2024</t>
        </is>
      </c>
      <c r="B646" s="1" t="n">
        <v>45546.64825231482</v>
      </c>
      <c r="C646" s="1" t="n">
        <v>46174</v>
      </c>
      <c r="D646" t="inlineStr">
        <is>
          <t>ÖSTERGÖTLANDS LÄN</t>
        </is>
      </c>
      <c r="E646" t="inlineStr">
        <is>
          <t>LINKÖPING</t>
        </is>
      </c>
      <c r="G646" t="n">
        <v>4.8</v>
      </c>
      <c r="H646" t="n">
        <v>0</v>
      </c>
      <c r="I646" t="n">
        <v>0</v>
      </c>
      <c r="J646" t="n">
        <v>0</v>
      </c>
      <c r="K646" t="n">
        <v>0</v>
      </c>
      <c r="L646" t="n">
        <v>0</v>
      </c>
      <c r="M646" t="n">
        <v>0</v>
      </c>
      <c r="N646" t="n">
        <v>0</v>
      </c>
      <c r="O646" t="n">
        <v>0</v>
      </c>
      <c r="P646" t="n">
        <v>0</v>
      </c>
      <c r="Q646" t="n">
        <v>0</v>
      </c>
      <c r="R646" s="2" t="inlineStr"/>
    </row>
    <row r="647" ht="15" customHeight="1">
      <c r="A647" t="inlineStr">
        <is>
          <t>A 57752-2023</t>
        </is>
      </c>
      <c r="B647" s="1" t="n">
        <v>45246.78474537037</v>
      </c>
      <c r="C647" s="1" t="n">
        <v>46174</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24436-2026</t>
        </is>
      </c>
      <c r="B648" s="1" t="n">
        <v>46169</v>
      </c>
      <c r="C648" s="1" t="n">
        <v>46174</v>
      </c>
      <c r="D648" t="inlineStr">
        <is>
          <t>ÖSTERGÖTLANDS LÄN</t>
        </is>
      </c>
      <c r="E648" t="inlineStr">
        <is>
          <t>LINKÖPING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24618-2026</t>
        </is>
      </c>
      <c r="B649" s="1" t="n">
        <v>46169</v>
      </c>
      <c r="C649" s="1" t="n">
        <v>46174</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24792-2026</t>
        </is>
      </c>
      <c r="B650" s="1" t="n">
        <v>46170</v>
      </c>
      <c r="C650" s="1" t="n">
        <v>46174</v>
      </c>
      <c r="D650" t="inlineStr">
        <is>
          <t>ÖSTERGÖTLANDS LÄN</t>
        </is>
      </c>
      <c r="E650" t="inlineStr">
        <is>
          <t>LINKÖPING</t>
        </is>
      </c>
      <c r="F650" t="inlineStr">
        <is>
          <t>Övriga Aktiebolag</t>
        </is>
      </c>
      <c r="G650" t="n">
        <v>2</v>
      </c>
      <c r="H650" t="n">
        <v>0</v>
      </c>
      <c r="I650" t="n">
        <v>0</v>
      </c>
      <c r="J650" t="n">
        <v>0</v>
      </c>
      <c r="K650" t="n">
        <v>0</v>
      </c>
      <c r="L650" t="n">
        <v>0</v>
      </c>
      <c r="M650" t="n">
        <v>0</v>
      </c>
      <c r="N650" t="n">
        <v>0</v>
      </c>
      <c r="O650" t="n">
        <v>0</v>
      </c>
      <c r="P650" t="n">
        <v>0</v>
      </c>
      <c r="Q650" t="n">
        <v>0</v>
      </c>
      <c r="R650" s="2" t="inlineStr"/>
    </row>
    <row r="651" ht="15" customHeight="1">
      <c r="A651" t="inlineStr">
        <is>
          <t>A 29312-2024</t>
        </is>
      </c>
      <c r="B651" s="1" t="n">
        <v>45483</v>
      </c>
      <c r="C651" s="1" t="n">
        <v>46174</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24619-2026</t>
        </is>
      </c>
      <c r="B652" s="1" t="n">
        <v>46169</v>
      </c>
      <c r="C652" s="1" t="n">
        <v>46174</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23120-2025</t>
        </is>
      </c>
      <c r="B653" s="1" t="n">
        <v>45791.37481481482</v>
      </c>
      <c r="C653" s="1" t="n">
        <v>46174</v>
      </c>
      <c r="D653" t="inlineStr">
        <is>
          <t>ÖSTERGÖTLANDS LÄN</t>
        </is>
      </c>
      <c r="E653" t="inlineStr">
        <is>
          <t>LINKÖPING</t>
        </is>
      </c>
      <c r="G653" t="n">
        <v>2.9</v>
      </c>
      <c r="H653" t="n">
        <v>0</v>
      </c>
      <c r="I653" t="n">
        <v>0</v>
      </c>
      <c r="J653" t="n">
        <v>0</v>
      </c>
      <c r="K653" t="n">
        <v>0</v>
      </c>
      <c r="L653" t="n">
        <v>0</v>
      </c>
      <c r="M653" t="n">
        <v>0</v>
      </c>
      <c r="N653" t="n">
        <v>0</v>
      </c>
      <c r="O653" t="n">
        <v>0</v>
      </c>
      <c r="P653" t="n">
        <v>0</v>
      </c>
      <c r="Q653" t="n">
        <v>0</v>
      </c>
      <c r="R653" s="2" t="inlineStr"/>
    </row>
    <row r="654" ht="15" customHeight="1">
      <c r="A654" t="inlineStr">
        <is>
          <t>A 58802-2025</t>
        </is>
      </c>
      <c r="B654" s="1" t="n">
        <v>45986.8768287037</v>
      </c>
      <c r="C654" s="1" t="n">
        <v>46174</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55004-2025</t>
        </is>
      </c>
      <c r="B655" s="1" t="n">
        <v>45967</v>
      </c>
      <c r="C655" s="1" t="n">
        <v>46174</v>
      </c>
      <c r="D655" t="inlineStr">
        <is>
          <t>ÖSTERGÖTLANDS LÄN</t>
        </is>
      </c>
      <c r="E655" t="inlineStr">
        <is>
          <t>LINKÖPING</t>
        </is>
      </c>
      <c r="G655" t="n">
        <v>2.5</v>
      </c>
      <c r="H655" t="n">
        <v>0</v>
      </c>
      <c r="I655" t="n">
        <v>0</v>
      </c>
      <c r="J655" t="n">
        <v>0</v>
      </c>
      <c r="K655" t="n">
        <v>0</v>
      </c>
      <c r="L655" t="n">
        <v>0</v>
      </c>
      <c r="M655" t="n">
        <v>0</v>
      </c>
      <c r="N655" t="n">
        <v>0</v>
      </c>
      <c r="O655" t="n">
        <v>0</v>
      </c>
      <c r="P655" t="n">
        <v>0</v>
      </c>
      <c r="Q655" t="n">
        <v>0</v>
      </c>
      <c r="R655" s="2" t="inlineStr"/>
    </row>
    <row r="656" ht="15" customHeight="1">
      <c r="A656" t="inlineStr">
        <is>
          <t>A 23768-2025</t>
        </is>
      </c>
      <c r="B656" s="1" t="n">
        <v>45793.47493055555</v>
      </c>
      <c r="C656" s="1" t="n">
        <v>46174</v>
      </c>
      <c r="D656" t="inlineStr">
        <is>
          <t>ÖSTERGÖTLANDS LÄN</t>
        </is>
      </c>
      <c r="E656" t="inlineStr">
        <is>
          <t>LINKÖPING</t>
        </is>
      </c>
      <c r="G656" t="n">
        <v>3.4</v>
      </c>
      <c r="H656" t="n">
        <v>0</v>
      </c>
      <c r="I656" t="n">
        <v>0</v>
      </c>
      <c r="J656" t="n">
        <v>0</v>
      </c>
      <c r="K656" t="n">
        <v>0</v>
      </c>
      <c r="L656" t="n">
        <v>0</v>
      </c>
      <c r="M656" t="n">
        <v>0</v>
      </c>
      <c r="N656" t="n">
        <v>0</v>
      </c>
      <c r="O656" t="n">
        <v>0</v>
      </c>
      <c r="P656" t="n">
        <v>0</v>
      </c>
      <c r="Q656" t="n">
        <v>0</v>
      </c>
      <c r="R656" s="2" t="inlineStr"/>
    </row>
    <row r="657" ht="15" customHeight="1">
      <c r="A657" t="inlineStr">
        <is>
          <t>A 59205-2025</t>
        </is>
      </c>
      <c r="B657" s="1" t="n">
        <v>45988.60721064815</v>
      </c>
      <c r="C657" s="1" t="n">
        <v>46174</v>
      </c>
      <c r="D657" t="inlineStr">
        <is>
          <t>ÖSTERGÖTLANDS LÄN</t>
        </is>
      </c>
      <c r="E657" t="inlineStr">
        <is>
          <t>LINKÖPING</t>
        </is>
      </c>
      <c r="F657" t="inlineStr">
        <is>
          <t>Sveaskog</t>
        </is>
      </c>
      <c r="G657" t="n">
        <v>11.3</v>
      </c>
      <c r="H657" t="n">
        <v>0</v>
      </c>
      <c r="I657" t="n">
        <v>0</v>
      </c>
      <c r="J657" t="n">
        <v>0</v>
      </c>
      <c r="K657" t="n">
        <v>0</v>
      </c>
      <c r="L657" t="n">
        <v>0</v>
      </c>
      <c r="M657" t="n">
        <v>0</v>
      </c>
      <c r="N657" t="n">
        <v>0</v>
      </c>
      <c r="O657" t="n">
        <v>0</v>
      </c>
      <c r="P657" t="n">
        <v>0</v>
      </c>
      <c r="Q657" t="n">
        <v>0</v>
      </c>
      <c r="R657" s="2" t="inlineStr"/>
    </row>
    <row r="658" ht="15" customHeight="1">
      <c r="A658" t="inlineStr">
        <is>
          <t>A 59472-2025</t>
        </is>
      </c>
      <c r="B658" s="1" t="n">
        <v>45989.58321759259</v>
      </c>
      <c r="C658" s="1" t="n">
        <v>46174</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48699-2024</t>
        </is>
      </c>
      <c r="B659" s="1" t="n">
        <v>45593.52091435185</v>
      </c>
      <c r="C659" s="1" t="n">
        <v>46174</v>
      </c>
      <c r="D659" t="inlineStr">
        <is>
          <t>ÖSTERGÖTLANDS LÄN</t>
        </is>
      </c>
      <c r="E659" t="inlineStr">
        <is>
          <t>LINKÖPING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60087-2025</t>
        </is>
      </c>
      <c r="B660" s="1" t="n">
        <v>45993.71726851852</v>
      </c>
      <c r="C660" s="1" t="n">
        <v>46174</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60306-2025</t>
        </is>
      </c>
      <c r="B661" s="1" t="n">
        <v>45994.68326388889</v>
      </c>
      <c r="C661" s="1" t="n">
        <v>46174</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60284-2025</t>
        </is>
      </c>
      <c r="B662" s="1" t="n">
        <v>45994.64373842593</v>
      </c>
      <c r="C662" s="1" t="n">
        <v>46174</v>
      </c>
      <c r="D662" t="inlineStr">
        <is>
          <t>ÖSTERGÖTLANDS LÄN</t>
        </is>
      </c>
      <c r="E662" t="inlineStr">
        <is>
          <t>LINKÖPING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13911-2025</t>
        </is>
      </c>
      <c r="B663" s="1" t="n">
        <v>45737.64784722222</v>
      </c>
      <c r="C663" s="1" t="n">
        <v>46174</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44280-2024</t>
        </is>
      </c>
      <c r="B664" s="1" t="n">
        <v>45573.49461805556</v>
      </c>
      <c r="C664" s="1" t="n">
        <v>46174</v>
      </c>
      <c r="D664" t="inlineStr">
        <is>
          <t>ÖSTERGÖTLANDS LÄN</t>
        </is>
      </c>
      <c r="E664" t="inlineStr">
        <is>
          <t>LINKÖPING</t>
        </is>
      </c>
      <c r="G664" t="n">
        <v>5.3</v>
      </c>
      <c r="H664" t="n">
        <v>0</v>
      </c>
      <c r="I664" t="n">
        <v>0</v>
      </c>
      <c r="J664" t="n">
        <v>0</v>
      </c>
      <c r="K664" t="n">
        <v>0</v>
      </c>
      <c r="L664" t="n">
        <v>0</v>
      </c>
      <c r="M664" t="n">
        <v>0</v>
      </c>
      <c r="N664" t="n">
        <v>0</v>
      </c>
      <c r="O664" t="n">
        <v>0</v>
      </c>
      <c r="P664" t="n">
        <v>0</v>
      </c>
      <c r="Q664" t="n">
        <v>0</v>
      </c>
      <c r="R664" s="2" t="inlineStr"/>
    </row>
    <row r="665" ht="15" customHeight="1">
      <c r="A665" t="inlineStr">
        <is>
          <t>A 60703-2025</t>
        </is>
      </c>
      <c r="B665" s="1" t="n">
        <v>45996.6052662037</v>
      </c>
      <c r="C665" s="1" t="n">
        <v>46174</v>
      </c>
      <c r="D665" t="inlineStr">
        <is>
          <t>ÖSTERGÖTLANDS LÄN</t>
        </is>
      </c>
      <c r="E665" t="inlineStr">
        <is>
          <t>LINKÖPING</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60866-2025</t>
        </is>
      </c>
      <c r="B666" s="1" t="n">
        <v>45999</v>
      </c>
      <c r="C666" s="1" t="n">
        <v>46174</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61230-2025</t>
        </is>
      </c>
      <c r="B667" s="1" t="n">
        <v>46000.63111111111</v>
      </c>
      <c r="C667" s="1" t="n">
        <v>46174</v>
      </c>
      <c r="D667" t="inlineStr">
        <is>
          <t>ÖSTERGÖTLANDS LÄN</t>
        </is>
      </c>
      <c r="E667" t="inlineStr">
        <is>
          <t>LINKÖPING</t>
        </is>
      </c>
      <c r="F667" t="inlineStr">
        <is>
          <t>Kyrkan</t>
        </is>
      </c>
      <c r="G667" t="n">
        <v>2.1</v>
      </c>
      <c r="H667" t="n">
        <v>0</v>
      </c>
      <c r="I667" t="n">
        <v>0</v>
      </c>
      <c r="J667" t="n">
        <v>0</v>
      </c>
      <c r="K667" t="n">
        <v>0</v>
      </c>
      <c r="L667" t="n">
        <v>0</v>
      </c>
      <c r="M667" t="n">
        <v>0</v>
      </c>
      <c r="N667" t="n">
        <v>0</v>
      </c>
      <c r="O667" t="n">
        <v>0</v>
      </c>
      <c r="P667" t="n">
        <v>0</v>
      </c>
      <c r="Q667" t="n">
        <v>0</v>
      </c>
      <c r="R667" s="2" t="inlineStr"/>
    </row>
    <row r="668" ht="15" customHeight="1">
      <c r="A668" t="inlineStr">
        <is>
          <t>A 61447-2025</t>
        </is>
      </c>
      <c r="B668" s="1" t="n">
        <v>46001.57554398148</v>
      </c>
      <c r="C668" s="1" t="n">
        <v>46174</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61899-2025</t>
        </is>
      </c>
      <c r="B669" s="1" t="n">
        <v>46003.46635416667</v>
      </c>
      <c r="C669" s="1" t="n">
        <v>46174</v>
      </c>
      <c r="D669" t="inlineStr">
        <is>
          <t>ÖSTERGÖTLANDS LÄN</t>
        </is>
      </c>
      <c r="E669" t="inlineStr">
        <is>
          <t>LINKÖPING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61643-2025</t>
        </is>
      </c>
      <c r="B670" s="1" t="n">
        <v>46002.43575231481</v>
      </c>
      <c r="C670" s="1" t="n">
        <v>46174</v>
      </c>
      <c r="D670" t="inlineStr">
        <is>
          <t>ÖSTERGÖTLANDS LÄN</t>
        </is>
      </c>
      <c r="E670" t="inlineStr">
        <is>
          <t>LINKÖPING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61645-2025</t>
        </is>
      </c>
      <c r="B671" s="1" t="n">
        <v>46002.43697916667</v>
      </c>
      <c r="C671" s="1" t="n">
        <v>46174</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26002-2025</t>
        </is>
      </c>
      <c r="B672" s="1" t="n">
        <v>45804.66534722222</v>
      </c>
      <c r="C672" s="1" t="n">
        <v>46174</v>
      </c>
      <c r="D672" t="inlineStr">
        <is>
          <t>ÖSTERGÖTLANDS LÄN</t>
        </is>
      </c>
      <c r="E672" t="inlineStr">
        <is>
          <t>LINKÖPING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62515-2025</t>
        </is>
      </c>
      <c r="B673" s="1" t="n">
        <v>46007.60548611111</v>
      </c>
      <c r="C673" s="1" t="n">
        <v>46174</v>
      </c>
      <c r="D673" t="inlineStr">
        <is>
          <t>ÖSTERGÖTLANDS LÄN</t>
        </is>
      </c>
      <c r="E673" t="inlineStr">
        <is>
          <t>LINKÖPING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25996-2025</t>
        </is>
      </c>
      <c r="B674" s="1" t="n">
        <v>45804.65851851852</v>
      </c>
      <c r="C674" s="1" t="n">
        <v>46174</v>
      </c>
      <c r="D674" t="inlineStr">
        <is>
          <t>ÖSTERGÖTLANDS LÄN</t>
        </is>
      </c>
      <c r="E674" t="inlineStr">
        <is>
          <t>LINKÖPING</t>
        </is>
      </c>
      <c r="G674" t="n">
        <v>3.2</v>
      </c>
      <c r="H674" t="n">
        <v>0</v>
      </c>
      <c r="I674" t="n">
        <v>0</v>
      </c>
      <c r="J674" t="n">
        <v>0</v>
      </c>
      <c r="K674" t="n">
        <v>0</v>
      </c>
      <c r="L674" t="n">
        <v>0</v>
      </c>
      <c r="M674" t="n">
        <v>0</v>
      </c>
      <c r="N674" t="n">
        <v>0</v>
      </c>
      <c r="O674" t="n">
        <v>0</v>
      </c>
      <c r="P674" t="n">
        <v>0</v>
      </c>
      <c r="Q674" t="n">
        <v>0</v>
      </c>
      <c r="R674" s="2" t="inlineStr"/>
    </row>
    <row r="675" ht="15" customHeight="1">
      <c r="A675" t="inlineStr">
        <is>
          <t>A 62791-2025</t>
        </is>
      </c>
      <c r="B675" s="1" t="n">
        <v>46008.63266203704</v>
      </c>
      <c r="C675" s="1" t="n">
        <v>46174</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62686-2025</t>
        </is>
      </c>
      <c r="B676" s="1" t="n">
        <v>46008.46769675926</v>
      </c>
      <c r="C676" s="1" t="n">
        <v>46174</v>
      </c>
      <c r="D676" t="inlineStr">
        <is>
          <t>ÖSTERGÖTLANDS LÄN</t>
        </is>
      </c>
      <c r="E676" t="inlineStr">
        <is>
          <t>LINKÖPING</t>
        </is>
      </c>
      <c r="G676" t="n">
        <v>7.6</v>
      </c>
      <c r="H676" t="n">
        <v>0</v>
      </c>
      <c r="I676" t="n">
        <v>0</v>
      </c>
      <c r="J676" t="n">
        <v>0</v>
      </c>
      <c r="K676" t="n">
        <v>0</v>
      </c>
      <c r="L676" t="n">
        <v>0</v>
      </c>
      <c r="M676" t="n">
        <v>0</v>
      </c>
      <c r="N676" t="n">
        <v>0</v>
      </c>
      <c r="O676" t="n">
        <v>0</v>
      </c>
      <c r="P676" t="n">
        <v>0</v>
      </c>
      <c r="Q676" t="n">
        <v>0</v>
      </c>
      <c r="R676" s="2" t="inlineStr"/>
    </row>
    <row r="677" ht="15" customHeight="1">
      <c r="A677" t="inlineStr">
        <is>
          <t>A 63147-2025</t>
        </is>
      </c>
      <c r="B677" s="1" t="n">
        <v>46010.35003472222</v>
      </c>
      <c r="C677" s="1" t="n">
        <v>46174</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63144-2025</t>
        </is>
      </c>
      <c r="B678" s="1" t="n">
        <v>46010.34716435185</v>
      </c>
      <c r="C678" s="1" t="n">
        <v>46174</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27950-2025</t>
        </is>
      </c>
      <c r="B679" s="1" t="n">
        <v>45817.52960648148</v>
      </c>
      <c r="C679" s="1" t="n">
        <v>46174</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27797-2025</t>
        </is>
      </c>
      <c r="B680" s="1" t="n">
        <v>45816.80521990741</v>
      </c>
      <c r="C680" s="1" t="n">
        <v>46174</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27798-2025</t>
        </is>
      </c>
      <c r="B681" s="1" t="n">
        <v>45816.81532407407</v>
      </c>
      <c r="C681" s="1" t="n">
        <v>46174</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28200-2025</t>
        </is>
      </c>
      <c r="B682" s="1" t="n">
        <v>45818.4428125</v>
      </c>
      <c r="C682" s="1" t="n">
        <v>46174</v>
      </c>
      <c r="D682" t="inlineStr">
        <is>
          <t>ÖSTERGÖTLANDS LÄN</t>
        </is>
      </c>
      <c r="E682" t="inlineStr">
        <is>
          <t>LINKÖPING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1223-2026</t>
        </is>
      </c>
      <c r="B683" s="1" t="n">
        <v>46031.40233796297</v>
      </c>
      <c r="C683" s="1" t="n">
        <v>46174</v>
      </c>
      <c r="D683" t="inlineStr">
        <is>
          <t>ÖSTERGÖTLANDS LÄN</t>
        </is>
      </c>
      <c r="E683" t="inlineStr">
        <is>
          <t>LINKÖPING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858-2026</t>
        </is>
      </c>
      <c r="B684" s="1" t="n">
        <v>46030.41200231481</v>
      </c>
      <c r="C684" s="1" t="n">
        <v>46174</v>
      </c>
      <c r="D684" t="inlineStr">
        <is>
          <t>ÖSTERGÖTLANDS LÄN</t>
        </is>
      </c>
      <c r="E684" t="inlineStr">
        <is>
          <t>LINKÖPING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873-2026</t>
        </is>
      </c>
      <c r="B685" s="1" t="n">
        <v>46030.43818287037</v>
      </c>
      <c r="C685" s="1" t="n">
        <v>46174</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856-2026</t>
        </is>
      </c>
      <c r="B686" s="1" t="n">
        <v>46030.40644675926</v>
      </c>
      <c r="C686" s="1" t="n">
        <v>46174</v>
      </c>
      <c r="D686" t="inlineStr">
        <is>
          <t>ÖSTERGÖTLANDS LÄN</t>
        </is>
      </c>
      <c r="E686" t="inlineStr">
        <is>
          <t>LINKÖPING</t>
        </is>
      </c>
      <c r="G686" t="n">
        <v>6.4</v>
      </c>
      <c r="H686" t="n">
        <v>0</v>
      </c>
      <c r="I686" t="n">
        <v>0</v>
      </c>
      <c r="J686" t="n">
        <v>0</v>
      </c>
      <c r="K686" t="n">
        <v>0</v>
      </c>
      <c r="L686" t="n">
        <v>0</v>
      </c>
      <c r="M686" t="n">
        <v>0</v>
      </c>
      <c r="N686" t="n">
        <v>0</v>
      </c>
      <c r="O686" t="n">
        <v>0</v>
      </c>
      <c r="P686" t="n">
        <v>0</v>
      </c>
      <c r="Q686" t="n">
        <v>0</v>
      </c>
      <c r="R686" s="2" t="inlineStr"/>
    </row>
    <row r="687" ht="15" customHeight="1">
      <c r="A687" t="inlineStr">
        <is>
          <t>A 28204-2025</t>
        </is>
      </c>
      <c r="B687" s="1" t="n">
        <v>45818.4477662037</v>
      </c>
      <c r="C687" s="1" t="n">
        <v>46174</v>
      </c>
      <c r="D687" t="inlineStr">
        <is>
          <t>ÖSTERGÖTLANDS LÄN</t>
        </is>
      </c>
      <c r="E687" t="inlineStr">
        <is>
          <t>LINKÖPING</t>
        </is>
      </c>
      <c r="G687" t="n">
        <v>2.9</v>
      </c>
      <c r="H687" t="n">
        <v>0</v>
      </c>
      <c r="I687" t="n">
        <v>0</v>
      </c>
      <c r="J687" t="n">
        <v>0</v>
      </c>
      <c r="K687" t="n">
        <v>0</v>
      </c>
      <c r="L687" t="n">
        <v>0</v>
      </c>
      <c r="M687" t="n">
        <v>0</v>
      </c>
      <c r="N687" t="n">
        <v>0</v>
      </c>
      <c r="O687" t="n">
        <v>0</v>
      </c>
      <c r="P687" t="n">
        <v>0</v>
      </c>
      <c r="Q687" t="n">
        <v>0</v>
      </c>
      <c r="R687" s="2" t="inlineStr"/>
    </row>
    <row r="688" ht="15" customHeight="1">
      <c r="A688" t="inlineStr">
        <is>
          <t>A 28416-2025</t>
        </is>
      </c>
      <c r="B688" s="1" t="n">
        <v>45819.35346064815</v>
      </c>
      <c r="C688" s="1" t="n">
        <v>46174</v>
      </c>
      <c r="D688" t="inlineStr">
        <is>
          <t>ÖSTERGÖTLANDS LÄN</t>
        </is>
      </c>
      <c r="E688" t="inlineStr">
        <is>
          <t>LINKÖPING</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860-2026</t>
        </is>
      </c>
      <c r="B689" s="1" t="n">
        <v>46030.41974537037</v>
      </c>
      <c r="C689" s="1" t="n">
        <v>46174</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940-2026</t>
        </is>
      </c>
      <c r="B690" s="1" t="n">
        <v>46030.53052083333</v>
      </c>
      <c r="C690" s="1" t="n">
        <v>46174</v>
      </c>
      <c r="D690" t="inlineStr">
        <is>
          <t>ÖSTERGÖTLANDS LÄN</t>
        </is>
      </c>
      <c r="E690" t="inlineStr">
        <is>
          <t>LINKÖPING</t>
        </is>
      </c>
      <c r="F690" t="inlineStr">
        <is>
          <t>Allmännings- och besparingsskogar</t>
        </is>
      </c>
      <c r="G690" t="n">
        <v>2.9</v>
      </c>
      <c r="H690" t="n">
        <v>0</v>
      </c>
      <c r="I690" t="n">
        <v>0</v>
      </c>
      <c r="J690" t="n">
        <v>0</v>
      </c>
      <c r="K690" t="n">
        <v>0</v>
      </c>
      <c r="L690" t="n">
        <v>0</v>
      </c>
      <c r="M690" t="n">
        <v>0</v>
      </c>
      <c r="N690" t="n">
        <v>0</v>
      </c>
      <c r="O690" t="n">
        <v>0</v>
      </c>
      <c r="P690" t="n">
        <v>0</v>
      </c>
      <c r="Q690" t="n">
        <v>0</v>
      </c>
      <c r="R690" s="2" t="inlineStr"/>
    </row>
    <row r="691" ht="15" customHeight="1">
      <c r="A691" t="inlineStr">
        <is>
          <t>A 944-2026</t>
        </is>
      </c>
      <c r="B691" s="1" t="n">
        <v>46030.53461805556</v>
      </c>
      <c r="C691" s="1" t="n">
        <v>46174</v>
      </c>
      <c r="D691" t="inlineStr">
        <is>
          <t>ÖSTERGÖTLANDS LÄN</t>
        </is>
      </c>
      <c r="E691" t="inlineStr">
        <is>
          <t>LINKÖPING</t>
        </is>
      </c>
      <c r="F691" t="inlineStr">
        <is>
          <t>Allmännings- och besparingsskogar</t>
        </is>
      </c>
      <c r="G691" t="n">
        <v>0.9</v>
      </c>
      <c r="H691" t="n">
        <v>0</v>
      </c>
      <c r="I691" t="n">
        <v>0</v>
      </c>
      <c r="J691" t="n">
        <v>0</v>
      </c>
      <c r="K691" t="n">
        <v>0</v>
      </c>
      <c r="L691" t="n">
        <v>0</v>
      </c>
      <c r="M691" t="n">
        <v>0</v>
      </c>
      <c r="N691" t="n">
        <v>0</v>
      </c>
      <c r="O691" t="n">
        <v>0</v>
      </c>
      <c r="P691" t="n">
        <v>0</v>
      </c>
      <c r="Q691" t="n">
        <v>0</v>
      </c>
      <c r="R691" s="2" t="inlineStr"/>
    </row>
    <row r="692" ht="15" customHeight="1">
      <c r="A692" t="inlineStr">
        <is>
          <t>A 927-2026</t>
        </is>
      </c>
      <c r="B692" s="1" t="n">
        <v>46030.50560185185</v>
      </c>
      <c r="C692" s="1" t="n">
        <v>46174</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859-2026</t>
        </is>
      </c>
      <c r="B693" s="1" t="n">
        <v>46030.41450231482</v>
      </c>
      <c r="C693" s="1" t="n">
        <v>46174</v>
      </c>
      <c r="D693" t="inlineStr">
        <is>
          <t>ÖSTERGÖTLANDS LÄN</t>
        </is>
      </c>
      <c r="E693" t="inlineStr">
        <is>
          <t>LINKÖPING</t>
        </is>
      </c>
      <c r="G693" t="n">
        <v>0.2</v>
      </c>
      <c r="H693" t="n">
        <v>0</v>
      </c>
      <c r="I693" t="n">
        <v>0</v>
      </c>
      <c r="J693" t="n">
        <v>0</v>
      </c>
      <c r="K693" t="n">
        <v>0</v>
      </c>
      <c r="L693" t="n">
        <v>0</v>
      </c>
      <c r="M693" t="n">
        <v>0</v>
      </c>
      <c r="N693" t="n">
        <v>0</v>
      </c>
      <c r="O693" t="n">
        <v>0</v>
      </c>
      <c r="P693" t="n">
        <v>0</v>
      </c>
      <c r="Q693" t="n">
        <v>0</v>
      </c>
      <c r="R693" s="2" t="inlineStr"/>
    </row>
    <row r="694" ht="15" customHeight="1">
      <c r="A694" t="inlineStr">
        <is>
          <t>A 28398-2025</t>
        </is>
      </c>
      <c r="B694" s="1" t="n">
        <v>45819.34208333334</v>
      </c>
      <c r="C694" s="1" t="n">
        <v>46174</v>
      </c>
      <c r="D694" t="inlineStr">
        <is>
          <t>ÖSTERGÖTLANDS LÄN</t>
        </is>
      </c>
      <c r="E694" t="inlineStr">
        <is>
          <t>LINKÖPING</t>
        </is>
      </c>
      <c r="F694" t="inlineStr">
        <is>
          <t>Sveaskog</t>
        </is>
      </c>
      <c r="G694" t="n">
        <v>7.9</v>
      </c>
      <c r="H694" t="n">
        <v>0</v>
      </c>
      <c r="I694" t="n">
        <v>0</v>
      </c>
      <c r="J694" t="n">
        <v>0</v>
      </c>
      <c r="K694" t="n">
        <v>0</v>
      </c>
      <c r="L694" t="n">
        <v>0</v>
      </c>
      <c r="M694" t="n">
        <v>0</v>
      </c>
      <c r="N694" t="n">
        <v>0</v>
      </c>
      <c r="O694" t="n">
        <v>0</v>
      </c>
      <c r="P694" t="n">
        <v>0</v>
      </c>
      <c r="Q694" t="n">
        <v>0</v>
      </c>
      <c r="R694" s="2" t="inlineStr"/>
    </row>
    <row r="695" ht="15" customHeight="1">
      <c r="A695" t="inlineStr">
        <is>
          <t>A 28209-2025</t>
        </is>
      </c>
      <c r="B695" s="1" t="n">
        <v>45818.45112268518</v>
      </c>
      <c r="C695" s="1" t="n">
        <v>46174</v>
      </c>
      <c r="D695" t="inlineStr">
        <is>
          <t>ÖSTERGÖTLANDS LÄN</t>
        </is>
      </c>
      <c r="E695" t="inlineStr">
        <is>
          <t>LINKÖPING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2030-2026</t>
        </is>
      </c>
      <c r="B696" s="1" t="n">
        <v>46035.73590277778</v>
      </c>
      <c r="C696" s="1" t="n">
        <v>46174</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29027-2025</t>
        </is>
      </c>
      <c r="B697" s="1" t="n">
        <v>45821.4375462963</v>
      </c>
      <c r="C697" s="1" t="n">
        <v>46174</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2031-2026</t>
        </is>
      </c>
      <c r="B698" s="1" t="n">
        <v>46035.74182870371</v>
      </c>
      <c r="C698" s="1" t="n">
        <v>46174</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29411-2025</t>
        </is>
      </c>
      <c r="B699" s="1" t="n">
        <v>45824.6219212963</v>
      </c>
      <c r="C699" s="1" t="n">
        <v>46174</v>
      </c>
      <c r="D699" t="inlineStr">
        <is>
          <t>ÖSTERGÖTLANDS LÄN</t>
        </is>
      </c>
      <c r="E699" t="inlineStr">
        <is>
          <t>LINKÖPING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29599-2025</t>
        </is>
      </c>
      <c r="B700" s="1" t="n">
        <v>45825.41101851852</v>
      </c>
      <c r="C700" s="1" t="n">
        <v>46174</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3045-2026</t>
        </is>
      </c>
      <c r="B701" s="1" t="n">
        <v>46038.74047453704</v>
      </c>
      <c r="C701" s="1" t="n">
        <v>46174</v>
      </c>
      <c r="D701" t="inlineStr">
        <is>
          <t>ÖSTERGÖTLANDS LÄN</t>
        </is>
      </c>
      <c r="E701" t="inlineStr">
        <is>
          <t>LINKÖPING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3043-2026</t>
        </is>
      </c>
      <c r="B702" s="1" t="n">
        <v>46038.73675925926</v>
      </c>
      <c r="C702" s="1" t="n">
        <v>46174</v>
      </c>
      <c r="D702" t="inlineStr">
        <is>
          <t>ÖSTERGÖTLANDS LÄN</t>
        </is>
      </c>
      <c r="E702" t="inlineStr">
        <is>
          <t>LINKÖPING</t>
        </is>
      </c>
      <c r="G702" t="n">
        <v>2.5</v>
      </c>
      <c r="H702" t="n">
        <v>0</v>
      </c>
      <c r="I702" t="n">
        <v>0</v>
      </c>
      <c r="J702" t="n">
        <v>0</v>
      </c>
      <c r="K702" t="n">
        <v>0</v>
      </c>
      <c r="L702" t="n">
        <v>0</v>
      </c>
      <c r="M702" t="n">
        <v>0</v>
      </c>
      <c r="N702" t="n">
        <v>0</v>
      </c>
      <c r="O702" t="n">
        <v>0</v>
      </c>
      <c r="P702" t="n">
        <v>0</v>
      </c>
      <c r="Q702" t="n">
        <v>0</v>
      </c>
      <c r="R702" s="2" t="inlineStr"/>
    </row>
    <row r="703" ht="15" customHeight="1">
      <c r="A703" t="inlineStr">
        <is>
          <t>A 3044-2026</t>
        </is>
      </c>
      <c r="B703" s="1" t="n">
        <v>46038.73855324074</v>
      </c>
      <c r="C703" s="1" t="n">
        <v>46174</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30355-2025</t>
        </is>
      </c>
      <c r="B704" s="1" t="n">
        <v>45827</v>
      </c>
      <c r="C704" s="1" t="n">
        <v>46174</v>
      </c>
      <c r="D704" t="inlineStr">
        <is>
          <t>ÖSTERGÖTLANDS LÄN</t>
        </is>
      </c>
      <c r="E704" t="inlineStr">
        <is>
          <t>LINKÖPING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30353-2025</t>
        </is>
      </c>
      <c r="B705" s="1" t="n">
        <v>45827</v>
      </c>
      <c r="C705" s="1" t="n">
        <v>46174</v>
      </c>
      <c r="D705" t="inlineStr">
        <is>
          <t>ÖSTERGÖTLANDS LÄN</t>
        </is>
      </c>
      <c r="E705" t="inlineStr">
        <is>
          <t>LINKÖPING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3046-2026</t>
        </is>
      </c>
      <c r="B706" s="1" t="n">
        <v>46038.74182870371</v>
      </c>
      <c r="C706" s="1" t="n">
        <v>46174</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4469-2026</t>
        </is>
      </c>
      <c r="B707" s="1" t="n">
        <v>46045.65662037037</v>
      </c>
      <c r="C707" s="1" t="n">
        <v>46174</v>
      </c>
      <c r="D707" t="inlineStr">
        <is>
          <t>ÖSTERGÖTLANDS LÄN</t>
        </is>
      </c>
      <c r="E707" t="inlineStr">
        <is>
          <t>LINKÖPING</t>
        </is>
      </c>
      <c r="F707" t="inlineStr">
        <is>
          <t>Övriga Aktiebolag</t>
        </is>
      </c>
      <c r="G707" t="n">
        <v>3.8</v>
      </c>
      <c r="H707" t="n">
        <v>0</v>
      </c>
      <c r="I707" t="n">
        <v>0</v>
      </c>
      <c r="J707" t="n">
        <v>0</v>
      </c>
      <c r="K707" t="n">
        <v>0</v>
      </c>
      <c r="L707" t="n">
        <v>0</v>
      </c>
      <c r="M707" t="n">
        <v>0</v>
      </c>
      <c r="N707" t="n">
        <v>0</v>
      </c>
      <c r="O707" t="n">
        <v>0</v>
      </c>
      <c r="P707" t="n">
        <v>0</v>
      </c>
      <c r="Q707" t="n">
        <v>0</v>
      </c>
      <c r="R707" s="2" t="inlineStr"/>
    </row>
    <row r="708" ht="15" customHeight="1">
      <c r="A708" t="inlineStr">
        <is>
          <t>A 38886-2024</t>
        </is>
      </c>
      <c r="B708" s="1" t="n">
        <v>45547.66443287037</v>
      </c>
      <c r="C708" s="1" t="n">
        <v>46174</v>
      </c>
      <c r="D708" t="inlineStr">
        <is>
          <t>ÖSTERGÖTLANDS LÄN</t>
        </is>
      </c>
      <c r="E708" t="inlineStr">
        <is>
          <t>LINKÖPING</t>
        </is>
      </c>
      <c r="G708" t="n">
        <v>5.3</v>
      </c>
      <c r="H708" t="n">
        <v>0</v>
      </c>
      <c r="I708" t="n">
        <v>0</v>
      </c>
      <c r="J708" t="n">
        <v>0</v>
      </c>
      <c r="K708" t="n">
        <v>0</v>
      </c>
      <c r="L708" t="n">
        <v>0</v>
      </c>
      <c r="M708" t="n">
        <v>0</v>
      </c>
      <c r="N708" t="n">
        <v>0</v>
      </c>
      <c r="O708" t="n">
        <v>0</v>
      </c>
      <c r="P708" t="n">
        <v>0</v>
      </c>
      <c r="Q708" t="n">
        <v>0</v>
      </c>
      <c r="R708" s="2" t="inlineStr"/>
    </row>
    <row r="709" ht="15" customHeight="1">
      <c r="A709" t="inlineStr">
        <is>
          <t>A 31581-2025</t>
        </is>
      </c>
      <c r="B709" s="1" t="n">
        <v>45833.6840162037</v>
      </c>
      <c r="C709" s="1" t="n">
        <v>46174</v>
      </c>
      <c r="D709" t="inlineStr">
        <is>
          <t>ÖSTERGÖTLANDS LÄN</t>
        </is>
      </c>
      <c r="E709" t="inlineStr">
        <is>
          <t>LINKÖPING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31585-2025</t>
        </is>
      </c>
      <c r="B710" s="1" t="n">
        <v>45833.68815972222</v>
      </c>
      <c r="C710" s="1" t="n">
        <v>46174</v>
      </c>
      <c r="D710" t="inlineStr">
        <is>
          <t>ÖSTERGÖTLANDS LÄN</t>
        </is>
      </c>
      <c r="E710" t="inlineStr">
        <is>
          <t>LINKÖPING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5545-2026</t>
        </is>
      </c>
      <c r="B711" s="1" t="n">
        <v>46050.70089120371</v>
      </c>
      <c r="C711" s="1" t="n">
        <v>46174</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6384-2026</t>
        </is>
      </c>
      <c r="B712" s="1" t="n">
        <v>46055.63732638889</v>
      </c>
      <c r="C712" s="1" t="n">
        <v>46174</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6164-2026</t>
        </is>
      </c>
      <c r="B713" s="1" t="n">
        <v>46055.32596064815</v>
      </c>
      <c r="C713" s="1" t="n">
        <v>46174</v>
      </c>
      <c r="D713" t="inlineStr">
        <is>
          <t>ÖSTERGÖTLANDS LÄN</t>
        </is>
      </c>
      <c r="E713" t="inlineStr">
        <is>
          <t>LINKÖPING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32723-2025</t>
        </is>
      </c>
      <c r="B714" s="1" t="n">
        <v>45838</v>
      </c>
      <c r="C714" s="1" t="n">
        <v>46174</v>
      </c>
      <c r="D714" t="inlineStr">
        <is>
          <t>ÖSTERGÖTLANDS LÄN</t>
        </is>
      </c>
      <c r="E714" t="inlineStr">
        <is>
          <t>LINKÖPING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7133-2026</t>
        </is>
      </c>
      <c r="B715" s="1" t="n">
        <v>46057</v>
      </c>
      <c r="C715" s="1" t="n">
        <v>46174</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row r="716" ht="15" customHeight="1">
      <c r="A716" t="inlineStr">
        <is>
          <t>A 33947-2025</t>
        </is>
      </c>
      <c r="B716" s="1" t="n">
        <v>45842.65444444444</v>
      </c>
      <c r="C716" s="1" t="n">
        <v>46174</v>
      </c>
      <c r="D716" t="inlineStr">
        <is>
          <t>ÖSTERGÖTLANDS LÄN</t>
        </is>
      </c>
      <c r="E716" t="inlineStr">
        <is>
          <t>LINKÖPING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53529-2024</t>
        </is>
      </c>
      <c r="B717" s="1" t="n">
        <v>45614</v>
      </c>
      <c r="C717" s="1" t="n">
        <v>46174</v>
      </c>
      <c r="D717" t="inlineStr">
        <is>
          <t>ÖSTERGÖTLANDS LÄN</t>
        </is>
      </c>
      <c r="E717" t="inlineStr">
        <is>
          <t>LINKÖPING</t>
        </is>
      </c>
      <c r="G717" t="n">
        <v>6.7</v>
      </c>
      <c r="H717" t="n">
        <v>0</v>
      </c>
      <c r="I717" t="n">
        <v>0</v>
      </c>
      <c r="J717" t="n">
        <v>0</v>
      </c>
      <c r="K717" t="n">
        <v>0</v>
      </c>
      <c r="L717" t="n">
        <v>0</v>
      </c>
      <c r="M717" t="n">
        <v>0</v>
      </c>
      <c r="N717" t="n">
        <v>0</v>
      </c>
      <c r="O717" t="n">
        <v>0</v>
      </c>
      <c r="P717" t="n">
        <v>0</v>
      </c>
      <c r="Q717" t="n">
        <v>0</v>
      </c>
      <c r="R717" s="2" t="inlineStr"/>
    </row>
    <row r="718" ht="15" customHeight="1">
      <c r="A718" t="inlineStr">
        <is>
          <t>A 62012-2024</t>
        </is>
      </c>
      <c r="B718" s="1" t="n">
        <v>45655.79679398148</v>
      </c>
      <c r="C718" s="1" t="n">
        <v>46174</v>
      </c>
      <c r="D718" t="inlineStr">
        <is>
          <t>ÖSTERGÖTLANDS LÄN</t>
        </is>
      </c>
      <c r="E718" t="inlineStr">
        <is>
          <t>LINKÖPING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20469-2025</t>
        </is>
      </c>
      <c r="B719" s="1" t="n">
        <v>45775</v>
      </c>
      <c r="C719" s="1" t="n">
        <v>46174</v>
      </c>
      <c r="D719" t="inlineStr">
        <is>
          <t>ÖSTERGÖTLANDS LÄN</t>
        </is>
      </c>
      <c r="E719" t="inlineStr">
        <is>
          <t>LINKÖPING</t>
        </is>
      </c>
      <c r="F719" t="inlineStr">
        <is>
          <t>Kyrkan</t>
        </is>
      </c>
      <c r="G719" t="n">
        <v>6.1</v>
      </c>
      <c r="H719" t="n">
        <v>0</v>
      </c>
      <c r="I719" t="n">
        <v>0</v>
      </c>
      <c r="J719" t="n">
        <v>0</v>
      </c>
      <c r="K719" t="n">
        <v>0</v>
      </c>
      <c r="L719" t="n">
        <v>0</v>
      </c>
      <c r="M719" t="n">
        <v>0</v>
      </c>
      <c r="N719" t="n">
        <v>0</v>
      </c>
      <c r="O719" t="n">
        <v>0</v>
      </c>
      <c r="P719" t="n">
        <v>0</v>
      </c>
      <c r="Q719" t="n">
        <v>0</v>
      </c>
      <c r="R719" s="2" t="inlineStr"/>
    </row>
    <row r="720" ht="15" customHeight="1">
      <c r="A720" t="inlineStr">
        <is>
          <t>A 33800-2023</t>
        </is>
      </c>
      <c r="B720" s="1" t="n">
        <v>45121</v>
      </c>
      <c r="C720" s="1" t="n">
        <v>46174</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26007-2025</t>
        </is>
      </c>
      <c r="B721" s="1" t="n">
        <v>45804.67081018518</v>
      </c>
      <c r="C721" s="1" t="n">
        <v>46174</v>
      </c>
      <c r="D721" t="inlineStr">
        <is>
          <t>ÖSTERGÖTLANDS LÄN</t>
        </is>
      </c>
      <c r="E721" t="inlineStr">
        <is>
          <t>LINKÖPING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35174-2025</t>
        </is>
      </c>
      <c r="B722" s="1" t="n">
        <v>45852.90648148148</v>
      </c>
      <c r="C722" s="1" t="n">
        <v>46174</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47991-2023</t>
        </is>
      </c>
      <c r="B723" s="1" t="n">
        <v>45204.62655092592</v>
      </c>
      <c r="C723" s="1" t="n">
        <v>46174</v>
      </c>
      <c r="D723" t="inlineStr">
        <is>
          <t>ÖSTERGÖTLANDS LÄN</t>
        </is>
      </c>
      <c r="E723" t="inlineStr">
        <is>
          <t>LINKÖPING</t>
        </is>
      </c>
      <c r="F723" t="inlineStr">
        <is>
          <t>Allmännings- och besparingsskogar</t>
        </is>
      </c>
      <c r="G723" t="n">
        <v>7.3</v>
      </c>
      <c r="H723" t="n">
        <v>0</v>
      </c>
      <c r="I723" t="n">
        <v>0</v>
      </c>
      <c r="J723" t="n">
        <v>0</v>
      </c>
      <c r="K723" t="n">
        <v>0</v>
      </c>
      <c r="L723" t="n">
        <v>0</v>
      </c>
      <c r="M723" t="n">
        <v>0</v>
      </c>
      <c r="N723" t="n">
        <v>0</v>
      </c>
      <c r="O723" t="n">
        <v>0</v>
      </c>
      <c r="P723" t="n">
        <v>0</v>
      </c>
      <c r="Q723" t="n">
        <v>0</v>
      </c>
      <c r="R723" s="2" t="inlineStr"/>
    </row>
    <row r="724" ht="15" customHeight="1">
      <c r="A724" t="inlineStr">
        <is>
          <t>A 35179-2025</t>
        </is>
      </c>
      <c r="B724" s="1" t="n">
        <v>45852.93737268518</v>
      </c>
      <c r="C724" s="1" t="n">
        <v>46174</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35180-2025</t>
        </is>
      </c>
      <c r="B725" s="1" t="n">
        <v>45852.9413425926</v>
      </c>
      <c r="C725" s="1" t="n">
        <v>46174</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35178-2025</t>
        </is>
      </c>
      <c r="B726" s="1" t="n">
        <v>45852.91939814815</v>
      </c>
      <c r="C726" s="1" t="n">
        <v>46174</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10479-2026</t>
        </is>
      </c>
      <c r="B727" s="1" t="n">
        <v>46077.49231481482</v>
      </c>
      <c r="C727" s="1" t="n">
        <v>46174</v>
      </c>
      <c r="D727" t="inlineStr">
        <is>
          <t>ÖSTERGÖTLANDS LÄN</t>
        </is>
      </c>
      <c r="E727" t="inlineStr">
        <is>
          <t>LINKÖPING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35757-2025</t>
        </is>
      </c>
      <c r="B728" s="1" t="n">
        <v>45860.59876157407</v>
      </c>
      <c r="C728" s="1" t="n">
        <v>46174</v>
      </c>
      <c r="D728" t="inlineStr">
        <is>
          <t>ÖSTERGÖTLANDS LÄN</t>
        </is>
      </c>
      <c r="E728" t="inlineStr">
        <is>
          <t>LINKÖPING</t>
        </is>
      </c>
      <c r="G728" t="n">
        <v>5.7</v>
      </c>
      <c r="H728" t="n">
        <v>0</v>
      </c>
      <c r="I728" t="n">
        <v>0</v>
      </c>
      <c r="J728" t="n">
        <v>0</v>
      </c>
      <c r="K728" t="n">
        <v>0</v>
      </c>
      <c r="L728" t="n">
        <v>0</v>
      </c>
      <c r="M728" t="n">
        <v>0</v>
      </c>
      <c r="N728" t="n">
        <v>0</v>
      </c>
      <c r="O728" t="n">
        <v>0</v>
      </c>
      <c r="P728" t="n">
        <v>0</v>
      </c>
      <c r="Q728" t="n">
        <v>0</v>
      </c>
      <c r="R728" s="2" t="inlineStr"/>
    </row>
    <row r="729" ht="15" customHeight="1">
      <c r="A729" t="inlineStr">
        <is>
          <t>A 35745-2025</t>
        </is>
      </c>
      <c r="B729" s="1" t="n">
        <v>45860.54739583333</v>
      </c>
      <c r="C729" s="1" t="n">
        <v>46174</v>
      </c>
      <c r="D729" t="inlineStr">
        <is>
          <t>ÖSTERGÖTLANDS LÄN</t>
        </is>
      </c>
      <c r="E729" t="inlineStr">
        <is>
          <t>LINKÖPING</t>
        </is>
      </c>
      <c r="G729" t="n">
        <v>4.4</v>
      </c>
      <c r="H729" t="n">
        <v>0</v>
      </c>
      <c r="I729" t="n">
        <v>0</v>
      </c>
      <c r="J729" t="n">
        <v>0</v>
      </c>
      <c r="K729" t="n">
        <v>0</v>
      </c>
      <c r="L729" t="n">
        <v>0</v>
      </c>
      <c r="M729" t="n">
        <v>0</v>
      </c>
      <c r="N729" t="n">
        <v>0</v>
      </c>
      <c r="O729" t="n">
        <v>0</v>
      </c>
      <c r="P729" t="n">
        <v>0</v>
      </c>
      <c r="Q729" t="n">
        <v>0</v>
      </c>
      <c r="R729" s="2" t="inlineStr"/>
    </row>
    <row r="730" ht="15" customHeight="1">
      <c r="A730" t="inlineStr">
        <is>
          <t>A 35747-2025</t>
        </is>
      </c>
      <c r="B730" s="1" t="n">
        <v>45860.56385416666</v>
      </c>
      <c r="C730" s="1" t="n">
        <v>46174</v>
      </c>
      <c r="D730" t="inlineStr">
        <is>
          <t>ÖSTERGÖTLANDS LÄN</t>
        </is>
      </c>
      <c r="E730" t="inlineStr">
        <is>
          <t>LINKÖPING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10756-2026</t>
        </is>
      </c>
      <c r="B731" s="1" t="n">
        <v>46078.55412037037</v>
      </c>
      <c r="C731" s="1" t="n">
        <v>46174</v>
      </c>
      <c r="D731" t="inlineStr">
        <is>
          <t>ÖSTERGÖTLANDS LÄN</t>
        </is>
      </c>
      <c r="E731" t="inlineStr">
        <is>
          <t>LINKÖPING</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10764-2026</t>
        </is>
      </c>
      <c r="B732" s="1" t="n">
        <v>46078</v>
      </c>
      <c r="C732" s="1" t="n">
        <v>46174</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10477-2026</t>
        </is>
      </c>
      <c r="B733" s="1" t="n">
        <v>46077.4871875</v>
      </c>
      <c r="C733" s="1" t="n">
        <v>46174</v>
      </c>
      <c r="D733" t="inlineStr">
        <is>
          <t>ÖSTERGÖTLANDS LÄN</t>
        </is>
      </c>
      <c r="E733" t="inlineStr">
        <is>
          <t>LINKÖPING</t>
        </is>
      </c>
      <c r="G733" t="n">
        <v>9.6</v>
      </c>
      <c r="H733" t="n">
        <v>0</v>
      </c>
      <c r="I733" t="n">
        <v>0</v>
      </c>
      <c r="J733" t="n">
        <v>0</v>
      </c>
      <c r="K733" t="n">
        <v>0</v>
      </c>
      <c r="L733" t="n">
        <v>0</v>
      </c>
      <c r="M733" t="n">
        <v>0</v>
      </c>
      <c r="N733" t="n">
        <v>0</v>
      </c>
      <c r="O733" t="n">
        <v>0</v>
      </c>
      <c r="P733" t="n">
        <v>0</v>
      </c>
      <c r="Q733" t="n">
        <v>0</v>
      </c>
      <c r="R733" s="2" t="inlineStr"/>
    </row>
    <row r="734" ht="15" customHeight="1">
      <c r="A734" t="inlineStr">
        <is>
          <t>A 35759-2025</t>
        </is>
      </c>
      <c r="B734" s="1" t="n">
        <v>45860</v>
      </c>
      <c r="C734" s="1" t="n">
        <v>46174</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11169-2026</t>
        </is>
      </c>
      <c r="B735" s="1" t="n">
        <v>46080.37020833333</v>
      </c>
      <c r="C735" s="1" t="n">
        <v>46174</v>
      </c>
      <c r="D735" t="inlineStr">
        <is>
          <t>ÖSTERGÖTLANDS LÄN</t>
        </is>
      </c>
      <c r="E735" t="inlineStr">
        <is>
          <t>LINKÖPING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11033-2026</t>
        </is>
      </c>
      <c r="B736" s="1" t="n">
        <v>46079.57361111111</v>
      </c>
      <c r="C736" s="1" t="n">
        <v>46174</v>
      </c>
      <c r="D736" t="inlineStr">
        <is>
          <t>ÖSTERGÖTLANDS LÄN</t>
        </is>
      </c>
      <c r="E736" t="inlineStr">
        <is>
          <t>LINKÖPING</t>
        </is>
      </c>
      <c r="G736" t="n">
        <v>7.9</v>
      </c>
      <c r="H736" t="n">
        <v>0</v>
      </c>
      <c r="I736" t="n">
        <v>0</v>
      </c>
      <c r="J736" t="n">
        <v>0</v>
      </c>
      <c r="K736" t="n">
        <v>0</v>
      </c>
      <c r="L736" t="n">
        <v>0</v>
      </c>
      <c r="M736" t="n">
        <v>0</v>
      </c>
      <c r="N736" t="n">
        <v>0</v>
      </c>
      <c r="O736" t="n">
        <v>0</v>
      </c>
      <c r="P736" t="n">
        <v>0</v>
      </c>
      <c r="Q736" t="n">
        <v>0</v>
      </c>
      <c r="R736" s="2" t="inlineStr"/>
    </row>
    <row r="737" ht="15" customHeight="1">
      <c r="A737" t="inlineStr">
        <is>
          <t>A 11036-2026</t>
        </is>
      </c>
      <c r="B737" s="1" t="n">
        <v>46079.57836805555</v>
      </c>
      <c r="C737" s="1" t="n">
        <v>46174</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11057-2026</t>
        </is>
      </c>
      <c r="B738" s="1" t="n">
        <v>46079.59515046296</v>
      </c>
      <c r="C738" s="1" t="n">
        <v>46174</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11891-2026</t>
        </is>
      </c>
      <c r="B739" s="1" t="n">
        <v>46085.5197800926</v>
      </c>
      <c r="C739" s="1" t="n">
        <v>46174</v>
      </c>
      <c r="D739" t="inlineStr">
        <is>
          <t>ÖSTERGÖTLANDS LÄN</t>
        </is>
      </c>
      <c r="E739" t="inlineStr">
        <is>
          <t>LINKÖPING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11888-2026</t>
        </is>
      </c>
      <c r="B740" s="1" t="n">
        <v>46085.51813657407</v>
      </c>
      <c r="C740" s="1" t="n">
        <v>46174</v>
      </c>
      <c r="D740" t="inlineStr">
        <is>
          <t>ÖSTERGÖTLANDS LÄN</t>
        </is>
      </c>
      <c r="E740" t="inlineStr">
        <is>
          <t>LINKÖPING</t>
        </is>
      </c>
      <c r="G740" t="n">
        <v>3.6</v>
      </c>
      <c r="H740" t="n">
        <v>0</v>
      </c>
      <c r="I740" t="n">
        <v>0</v>
      </c>
      <c r="J740" t="n">
        <v>0</v>
      </c>
      <c r="K740" t="n">
        <v>0</v>
      </c>
      <c r="L740" t="n">
        <v>0</v>
      </c>
      <c r="M740" t="n">
        <v>0</v>
      </c>
      <c r="N740" t="n">
        <v>0</v>
      </c>
      <c r="O740" t="n">
        <v>0</v>
      </c>
      <c r="P740" t="n">
        <v>0</v>
      </c>
      <c r="Q740" t="n">
        <v>0</v>
      </c>
      <c r="R740" s="2" t="inlineStr"/>
    </row>
    <row r="741" ht="15" customHeight="1">
      <c r="A741" t="inlineStr">
        <is>
          <t>A 12251-2026</t>
        </is>
      </c>
      <c r="B741" s="1" t="n">
        <v>46087.45278935185</v>
      </c>
      <c r="C741" s="1" t="n">
        <v>46174</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12254-2026</t>
        </is>
      </c>
      <c r="B742" s="1" t="n">
        <v>46087.46196759259</v>
      </c>
      <c r="C742" s="1" t="n">
        <v>46174</v>
      </c>
      <c r="D742" t="inlineStr">
        <is>
          <t>ÖSTERGÖTLANDS LÄN</t>
        </is>
      </c>
      <c r="E742" t="inlineStr">
        <is>
          <t>LINKÖPING</t>
        </is>
      </c>
      <c r="G742" t="n">
        <v>10.4</v>
      </c>
      <c r="H742" t="n">
        <v>0</v>
      </c>
      <c r="I742" t="n">
        <v>0</v>
      </c>
      <c r="J742" t="n">
        <v>0</v>
      </c>
      <c r="K742" t="n">
        <v>0</v>
      </c>
      <c r="L742" t="n">
        <v>0</v>
      </c>
      <c r="M742" t="n">
        <v>0</v>
      </c>
      <c r="N742" t="n">
        <v>0</v>
      </c>
      <c r="O742" t="n">
        <v>0</v>
      </c>
      <c r="P742" t="n">
        <v>0</v>
      </c>
      <c r="Q742" t="n">
        <v>0</v>
      </c>
      <c r="R742" s="2" t="inlineStr"/>
    </row>
    <row r="743" ht="15" customHeight="1">
      <c r="A743" t="inlineStr">
        <is>
          <t>A 37057-2025</t>
        </is>
      </c>
      <c r="B743" s="1" t="n">
        <v>45875.37489583333</v>
      </c>
      <c r="C743" s="1" t="n">
        <v>46174</v>
      </c>
      <c r="D743" t="inlineStr">
        <is>
          <t>ÖSTERGÖTLANDS LÄN</t>
        </is>
      </c>
      <c r="E743" t="inlineStr">
        <is>
          <t>LINKÖPING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12482-2026</t>
        </is>
      </c>
      <c r="B744" s="1" t="n">
        <v>46090.56292824074</v>
      </c>
      <c r="C744" s="1" t="n">
        <v>46174</v>
      </c>
      <c r="D744" t="inlineStr">
        <is>
          <t>ÖSTERGÖTLANDS LÄN</t>
        </is>
      </c>
      <c r="E744" t="inlineStr">
        <is>
          <t>LINKÖPING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12486-2026</t>
        </is>
      </c>
      <c r="B745" s="1" t="n">
        <v>46090.56501157407</v>
      </c>
      <c r="C745" s="1" t="n">
        <v>46174</v>
      </c>
      <c r="D745" t="inlineStr">
        <is>
          <t>ÖSTERGÖTLANDS LÄN</t>
        </is>
      </c>
      <c r="E745" t="inlineStr">
        <is>
          <t>LINKÖPING</t>
        </is>
      </c>
      <c r="G745" t="n">
        <v>2.6</v>
      </c>
      <c r="H745" t="n">
        <v>0</v>
      </c>
      <c r="I745" t="n">
        <v>0</v>
      </c>
      <c r="J745" t="n">
        <v>0</v>
      </c>
      <c r="K745" t="n">
        <v>0</v>
      </c>
      <c r="L745" t="n">
        <v>0</v>
      </c>
      <c r="M745" t="n">
        <v>0</v>
      </c>
      <c r="N745" t="n">
        <v>0</v>
      </c>
      <c r="O745" t="n">
        <v>0</v>
      </c>
      <c r="P745" t="n">
        <v>0</v>
      </c>
      <c r="Q745" t="n">
        <v>0</v>
      </c>
      <c r="R745" s="2" t="inlineStr"/>
    </row>
    <row r="746" ht="15" customHeight="1">
      <c r="A746" t="inlineStr">
        <is>
          <t>A 19523-2026</t>
        </is>
      </c>
      <c r="B746" s="1" t="n">
        <v>46134.35099537037</v>
      </c>
      <c r="C746" s="1" t="n">
        <v>46174</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25829-2025</t>
        </is>
      </c>
      <c r="B747" s="1" t="n">
        <v>45804.44505787037</v>
      </c>
      <c r="C747" s="1" t="n">
        <v>46174</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38046-2025</t>
        </is>
      </c>
      <c r="B748" s="1" t="n">
        <v>45882.39939814815</v>
      </c>
      <c r="C748" s="1" t="n">
        <v>46174</v>
      </c>
      <c r="D748" t="inlineStr">
        <is>
          <t>ÖSTERGÖTLANDS LÄN</t>
        </is>
      </c>
      <c r="E748" t="inlineStr">
        <is>
          <t>LINKÖPING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13927-2026</t>
        </is>
      </c>
      <c r="B749" s="1" t="n">
        <v>46098</v>
      </c>
      <c r="C749" s="1" t="n">
        <v>46174</v>
      </c>
      <c r="D749" t="inlineStr">
        <is>
          <t>ÖSTERGÖTLANDS LÄN</t>
        </is>
      </c>
      <c r="E749" t="inlineStr">
        <is>
          <t>LINKÖPING</t>
        </is>
      </c>
      <c r="G749" t="n">
        <v>1.8</v>
      </c>
      <c r="H749" t="n">
        <v>0</v>
      </c>
      <c r="I749" t="n">
        <v>0</v>
      </c>
      <c r="J749" t="n">
        <v>0</v>
      </c>
      <c r="K749" t="n">
        <v>0</v>
      </c>
      <c r="L749" t="n">
        <v>0</v>
      </c>
      <c r="M749" t="n">
        <v>0</v>
      </c>
      <c r="N749" t="n">
        <v>0</v>
      </c>
      <c r="O749" t="n">
        <v>0</v>
      </c>
      <c r="P749" t="n">
        <v>0</v>
      </c>
      <c r="Q749" t="n">
        <v>0</v>
      </c>
      <c r="R749" s="2" t="inlineStr"/>
    </row>
    <row r="750" ht="15" customHeight="1">
      <c r="A750" t="inlineStr">
        <is>
          <t>A 5099-2026</t>
        </is>
      </c>
      <c r="B750" s="1" t="n">
        <v>46049.56158564815</v>
      </c>
      <c r="C750" s="1" t="n">
        <v>46174</v>
      </c>
      <c r="D750" t="inlineStr">
        <is>
          <t>ÖSTERGÖTLANDS LÄN</t>
        </is>
      </c>
      <c r="E750" t="inlineStr">
        <is>
          <t>LINKÖPING</t>
        </is>
      </c>
      <c r="G750" t="n">
        <v>5</v>
      </c>
      <c r="H750" t="n">
        <v>0</v>
      </c>
      <c r="I750" t="n">
        <v>0</v>
      </c>
      <c r="J750" t="n">
        <v>0</v>
      </c>
      <c r="K750" t="n">
        <v>0</v>
      </c>
      <c r="L750" t="n">
        <v>0</v>
      </c>
      <c r="M750" t="n">
        <v>0</v>
      </c>
      <c r="N750" t="n">
        <v>0</v>
      </c>
      <c r="O750" t="n">
        <v>0</v>
      </c>
      <c r="P750" t="n">
        <v>0</v>
      </c>
      <c r="Q750" t="n">
        <v>0</v>
      </c>
      <c r="R750" s="2" t="inlineStr"/>
    </row>
    <row r="751" ht="15" customHeight="1">
      <c r="A751" t="inlineStr">
        <is>
          <t>A 14135-2026</t>
        </is>
      </c>
      <c r="B751" s="1" t="n">
        <v>46099</v>
      </c>
      <c r="C751" s="1" t="n">
        <v>46174</v>
      </c>
      <c r="D751" t="inlineStr">
        <is>
          <t>ÖSTERGÖTLANDS LÄN</t>
        </is>
      </c>
      <c r="E751" t="inlineStr">
        <is>
          <t>LINKÖPING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13565-2026</t>
        </is>
      </c>
      <c r="B752" s="1" t="n">
        <v>46094.80006944444</v>
      </c>
      <c r="C752" s="1" t="n">
        <v>46174</v>
      </c>
      <c r="D752" t="inlineStr">
        <is>
          <t>ÖSTERGÖTLANDS LÄN</t>
        </is>
      </c>
      <c r="E752" t="inlineStr">
        <is>
          <t>LINKÖPING</t>
        </is>
      </c>
      <c r="G752" t="n">
        <v>2.2</v>
      </c>
      <c r="H752" t="n">
        <v>0</v>
      </c>
      <c r="I752" t="n">
        <v>0</v>
      </c>
      <c r="J752" t="n">
        <v>0</v>
      </c>
      <c r="K752" t="n">
        <v>0</v>
      </c>
      <c r="L752" t="n">
        <v>0</v>
      </c>
      <c r="M752" t="n">
        <v>0</v>
      </c>
      <c r="N752" t="n">
        <v>0</v>
      </c>
      <c r="O752" t="n">
        <v>0</v>
      </c>
      <c r="P752" t="n">
        <v>0</v>
      </c>
      <c r="Q752" t="n">
        <v>0</v>
      </c>
      <c r="R752" s="2" t="inlineStr"/>
    </row>
    <row r="753" ht="15" customHeight="1">
      <c r="A753" t="inlineStr">
        <is>
          <t>A 12174-2026</t>
        </is>
      </c>
      <c r="B753" s="1" t="n">
        <v>46086</v>
      </c>
      <c r="C753" s="1" t="n">
        <v>46174</v>
      </c>
      <c r="D753" t="inlineStr">
        <is>
          <t>ÖSTERGÖTLANDS LÄN</t>
        </is>
      </c>
      <c r="E753" t="inlineStr">
        <is>
          <t>LINKÖPING</t>
        </is>
      </c>
      <c r="G753" t="n">
        <v>7.2</v>
      </c>
      <c r="H753" t="n">
        <v>0</v>
      </c>
      <c r="I753" t="n">
        <v>0</v>
      </c>
      <c r="J753" t="n">
        <v>0</v>
      </c>
      <c r="K753" t="n">
        <v>0</v>
      </c>
      <c r="L753" t="n">
        <v>0</v>
      </c>
      <c r="M753" t="n">
        <v>0</v>
      </c>
      <c r="N753" t="n">
        <v>0</v>
      </c>
      <c r="O753" t="n">
        <v>0</v>
      </c>
      <c r="P753" t="n">
        <v>0</v>
      </c>
      <c r="Q753" t="n">
        <v>0</v>
      </c>
      <c r="R753" s="2" t="inlineStr"/>
    </row>
    <row r="754" ht="15" customHeight="1">
      <c r="A754" t="inlineStr">
        <is>
          <t>A 12175-2026</t>
        </is>
      </c>
      <c r="B754" s="1" t="n">
        <v>46086</v>
      </c>
      <c r="C754" s="1" t="n">
        <v>46174</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12181-2026</t>
        </is>
      </c>
      <c r="B755" s="1" t="n">
        <v>46086</v>
      </c>
      <c r="C755" s="1" t="n">
        <v>46174</v>
      </c>
      <c r="D755" t="inlineStr">
        <is>
          <t>ÖSTERGÖTLANDS LÄN</t>
        </is>
      </c>
      <c r="E755" t="inlineStr">
        <is>
          <t>LINKÖPING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14157-2026</t>
        </is>
      </c>
      <c r="B756" s="1" t="n">
        <v>46099.46829861111</v>
      </c>
      <c r="C756" s="1" t="n">
        <v>46174</v>
      </c>
      <c r="D756" t="inlineStr">
        <is>
          <t>ÖSTERGÖTLANDS LÄN</t>
        </is>
      </c>
      <c r="E756" t="inlineStr">
        <is>
          <t>LINKÖPING</t>
        </is>
      </c>
      <c r="F756" t="inlineStr">
        <is>
          <t>Allmännings- och besparingsskogar</t>
        </is>
      </c>
      <c r="G756" t="n">
        <v>1.6</v>
      </c>
      <c r="H756" t="n">
        <v>0</v>
      </c>
      <c r="I756" t="n">
        <v>0</v>
      </c>
      <c r="J756" t="n">
        <v>0</v>
      </c>
      <c r="K756" t="n">
        <v>0</v>
      </c>
      <c r="L756" t="n">
        <v>0</v>
      </c>
      <c r="M756" t="n">
        <v>0</v>
      </c>
      <c r="N756" t="n">
        <v>0</v>
      </c>
      <c r="O756" t="n">
        <v>0</v>
      </c>
      <c r="P756" t="n">
        <v>0</v>
      </c>
      <c r="Q756" t="n">
        <v>0</v>
      </c>
      <c r="R756" s="2" t="inlineStr"/>
    </row>
    <row r="757" ht="15" customHeight="1">
      <c r="A757" t="inlineStr">
        <is>
          <t>A 21246-2026</t>
        </is>
      </c>
      <c r="B757" s="1" t="n">
        <v>46147.36642361111</v>
      </c>
      <c r="C757" s="1" t="n">
        <v>46174</v>
      </c>
      <c r="D757" t="inlineStr">
        <is>
          <t>ÖSTERGÖTLANDS LÄN</t>
        </is>
      </c>
      <c r="E757" t="inlineStr">
        <is>
          <t>LINKÖPING</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21248-2026</t>
        </is>
      </c>
      <c r="B758" s="1" t="n">
        <v>46147.36969907407</v>
      </c>
      <c r="C758" s="1" t="n">
        <v>46174</v>
      </c>
      <c r="D758" t="inlineStr">
        <is>
          <t>ÖSTERGÖTLANDS LÄN</t>
        </is>
      </c>
      <c r="E758" t="inlineStr">
        <is>
          <t>LINKÖPING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21374-2026</t>
        </is>
      </c>
      <c r="B759" s="1" t="n">
        <v>46145</v>
      </c>
      <c r="C759" s="1" t="n">
        <v>46174</v>
      </c>
      <c r="D759" t="inlineStr">
        <is>
          <t>ÖSTERGÖTLANDS LÄN</t>
        </is>
      </c>
      <c r="E759" t="inlineStr">
        <is>
          <t>LINKÖPING</t>
        </is>
      </c>
      <c r="G759" t="n">
        <v>3.7</v>
      </c>
      <c r="H759" t="n">
        <v>0</v>
      </c>
      <c r="I759" t="n">
        <v>0</v>
      </c>
      <c r="J759" t="n">
        <v>0</v>
      </c>
      <c r="K759" t="n">
        <v>0</v>
      </c>
      <c r="L759" t="n">
        <v>0</v>
      </c>
      <c r="M759" t="n">
        <v>0</v>
      </c>
      <c r="N759" t="n">
        <v>0</v>
      </c>
      <c r="O759" t="n">
        <v>0</v>
      </c>
      <c r="P759" t="n">
        <v>0</v>
      </c>
      <c r="Q759" t="n">
        <v>0</v>
      </c>
      <c r="R759" s="2" t="inlineStr"/>
    </row>
    <row r="760" ht="15" customHeight="1">
      <c r="A760" t="inlineStr">
        <is>
          <t>A 15850-2026</t>
        </is>
      </c>
      <c r="B760" s="1" t="n">
        <v>46107.57224537037</v>
      </c>
      <c r="C760" s="1" t="n">
        <v>46174</v>
      </c>
      <c r="D760" t="inlineStr">
        <is>
          <t>ÖSTERGÖTLANDS LÄN</t>
        </is>
      </c>
      <c r="E760" t="inlineStr">
        <is>
          <t>LINKÖPING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22289-2026</t>
        </is>
      </c>
      <c r="B761" s="1" t="n">
        <v>46154.43842592592</v>
      </c>
      <c r="C761" s="1" t="n">
        <v>46174</v>
      </c>
      <c r="D761" t="inlineStr">
        <is>
          <t>ÖSTERGÖTLANDS LÄN</t>
        </is>
      </c>
      <c r="E761" t="inlineStr">
        <is>
          <t>LINKÖPING</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22271-2026</t>
        </is>
      </c>
      <c r="B762" s="1" t="n">
        <v>46154.41280092593</v>
      </c>
      <c r="C762" s="1" t="n">
        <v>46174</v>
      </c>
      <c r="D762" t="inlineStr">
        <is>
          <t>ÖSTERGÖTLANDS LÄN</t>
        </is>
      </c>
      <c r="E762" t="inlineStr">
        <is>
          <t>LINKÖPING</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22272-2026</t>
        </is>
      </c>
      <c r="B763" s="1" t="n">
        <v>46154.41445601852</v>
      </c>
      <c r="C763" s="1" t="n">
        <v>46174</v>
      </c>
      <c r="D763" t="inlineStr">
        <is>
          <t>ÖSTERGÖTLANDS LÄN</t>
        </is>
      </c>
      <c r="E763" t="inlineStr">
        <is>
          <t>LINKÖPING</t>
        </is>
      </c>
      <c r="F763" t="inlineStr">
        <is>
          <t>Sveaskog</t>
        </is>
      </c>
      <c r="G763" t="n">
        <v>0.4</v>
      </c>
      <c r="H763" t="n">
        <v>0</v>
      </c>
      <c r="I763" t="n">
        <v>0</v>
      </c>
      <c r="J763" t="n">
        <v>0</v>
      </c>
      <c r="K763" t="n">
        <v>0</v>
      </c>
      <c r="L763" t="n">
        <v>0</v>
      </c>
      <c r="M763" t="n">
        <v>0</v>
      </c>
      <c r="N763" t="n">
        <v>0</v>
      </c>
      <c r="O763" t="n">
        <v>0</v>
      </c>
      <c r="P763" t="n">
        <v>0</v>
      </c>
      <c r="Q763" t="n">
        <v>0</v>
      </c>
      <c r="R763" s="2" t="inlineStr"/>
    </row>
    <row r="764" ht="15" customHeight="1">
      <c r="A764" t="inlineStr">
        <is>
          <t>A 22286-2026</t>
        </is>
      </c>
      <c r="B764" s="1" t="n">
        <v>46154.43436342593</v>
      </c>
      <c r="C764" s="1" t="n">
        <v>46174</v>
      </c>
      <c r="D764" t="inlineStr">
        <is>
          <t>ÖSTERGÖTLANDS LÄN</t>
        </is>
      </c>
      <c r="E764" t="inlineStr">
        <is>
          <t>LINKÖPING</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22070-2026</t>
        </is>
      </c>
      <c r="B765" s="1" t="n">
        <v>46153.49255787037</v>
      </c>
      <c r="C765" s="1" t="n">
        <v>46174</v>
      </c>
      <c r="D765" t="inlineStr">
        <is>
          <t>ÖSTERGÖTLANDS LÄN</t>
        </is>
      </c>
      <c r="E765" t="inlineStr">
        <is>
          <t>LINKÖPING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22284-2026</t>
        </is>
      </c>
      <c r="B766" s="1" t="n">
        <v>46154.4333449074</v>
      </c>
      <c r="C766" s="1" t="n">
        <v>46174</v>
      </c>
      <c r="D766" t="inlineStr">
        <is>
          <t>ÖSTERGÖTLANDS LÄN</t>
        </is>
      </c>
      <c r="E766" t="inlineStr">
        <is>
          <t>LINKÖPING</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22282-2026</t>
        </is>
      </c>
      <c r="B767" s="1" t="n">
        <v>46154.42961805555</v>
      </c>
      <c r="C767" s="1" t="n">
        <v>46174</v>
      </c>
      <c r="D767" t="inlineStr">
        <is>
          <t>ÖSTERGÖTLANDS LÄN</t>
        </is>
      </c>
      <c r="E767" t="inlineStr">
        <is>
          <t>LINKÖPING</t>
        </is>
      </c>
      <c r="F767" t="inlineStr">
        <is>
          <t>Sveaskog</t>
        </is>
      </c>
      <c r="G767" t="n">
        <v>6.7</v>
      </c>
      <c r="H767" t="n">
        <v>0</v>
      </c>
      <c r="I767" t="n">
        <v>0</v>
      </c>
      <c r="J767" t="n">
        <v>0</v>
      </c>
      <c r="K767" t="n">
        <v>0</v>
      </c>
      <c r="L767" t="n">
        <v>0</v>
      </c>
      <c r="M767" t="n">
        <v>0</v>
      </c>
      <c r="N767" t="n">
        <v>0</v>
      </c>
      <c r="O767" t="n">
        <v>0</v>
      </c>
      <c r="P767" t="n">
        <v>0</v>
      </c>
      <c r="Q767" t="n">
        <v>0</v>
      </c>
      <c r="R767" s="2" t="inlineStr"/>
    </row>
    <row r="768" ht="15" customHeight="1">
      <c r="A768" t="inlineStr">
        <is>
          <t>A 16967-2026</t>
        </is>
      </c>
      <c r="B768" s="1" t="n">
        <v>46114.36207175926</v>
      </c>
      <c r="C768" s="1" t="n">
        <v>46174</v>
      </c>
      <c r="D768" t="inlineStr">
        <is>
          <t>ÖSTERGÖTLANDS LÄN</t>
        </is>
      </c>
      <c r="E768" t="inlineStr">
        <is>
          <t>LINKÖPING</t>
        </is>
      </c>
      <c r="F768" t="inlineStr">
        <is>
          <t>Sveaskog</t>
        </is>
      </c>
      <c r="G768" t="n">
        <v>3.4</v>
      </c>
      <c r="H768" t="n">
        <v>0</v>
      </c>
      <c r="I768" t="n">
        <v>0</v>
      </c>
      <c r="J768" t="n">
        <v>0</v>
      </c>
      <c r="K768" t="n">
        <v>0</v>
      </c>
      <c r="L768" t="n">
        <v>0</v>
      </c>
      <c r="M768" t="n">
        <v>0</v>
      </c>
      <c r="N768" t="n">
        <v>0</v>
      </c>
      <c r="O768" t="n">
        <v>0</v>
      </c>
      <c r="P768" t="n">
        <v>0</v>
      </c>
      <c r="Q768" t="n">
        <v>0</v>
      </c>
      <c r="R768" s="2" t="inlineStr"/>
    </row>
    <row r="769" ht="15" customHeight="1">
      <c r="A769" t="inlineStr">
        <is>
          <t>A 17513-2026</t>
        </is>
      </c>
      <c r="B769" s="1" t="n">
        <v>46120</v>
      </c>
      <c r="C769" s="1" t="n">
        <v>46174</v>
      </c>
      <c r="D769" t="inlineStr">
        <is>
          <t>ÖSTERGÖTLANDS LÄN</t>
        </is>
      </c>
      <c r="E769" t="inlineStr">
        <is>
          <t>LINKÖPING</t>
        </is>
      </c>
      <c r="G769" t="n">
        <v>0.9</v>
      </c>
      <c r="H769" t="n">
        <v>0</v>
      </c>
      <c r="I769" t="n">
        <v>0</v>
      </c>
      <c r="J769" t="n">
        <v>0</v>
      </c>
      <c r="K769" t="n">
        <v>0</v>
      </c>
      <c r="L769" t="n">
        <v>0</v>
      </c>
      <c r="M769" t="n">
        <v>0</v>
      </c>
      <c r="N769" t="n">
        <v>0</v>
      </c>
      <c r="O769" t="n">
        <v>0</v>
      </c>
      <c r="P769" t="n">
        <v>0</v>
      </c>
      <c r="Q769" t="n">
        <v>0</v>
      </c>
      <c r="R769" s="2" t="inlineStr"/>
    </row>
    <row r="770">
      <c r="A770" t="inlineStr">
        <is>
          <t>A 21247-2026</t>
        </is>
      </c>
      <c r="B770" s="1" t="n">
        <v>46147.36827546296</v>
      </c>
      <c r="C770" s="1" t="n">
        <v>46174</v>
      </c>
      <c r="D770" t="inlineStr">
        <is>
          <t>ÖSTERGÖTLANDS LÄN</t>
        </is>
      </c>
      <c r="E770" t="inlineStr">
        <is>
          <t>LINKÖPING</t>
        </is>
      </c>
      <c r="F770" t="inlineStr">
        <is>
          <t>Sveaskog</t>
        </is>
      </c>
      <c r="G770" t="n">
        <v>0.4</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2026-06-01T10:52:13Z</dcterms:created>
  <dcterms:modified xmlns:dcterms="http://purl.org/dc/terms/" xmlns:xsi="http://www.w3.org/2001/XMLSchema-instance" xsi:type="dcterms:W3CDTF">2026-06-01T10:52:14Z</dcterms:modified>
</cp:coreProperties>
</file>