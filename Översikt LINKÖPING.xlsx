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45915</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45915</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45915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45915</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45915</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45915</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45915</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45915</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45915</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45915</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45915</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45915</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45915</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50404-2023</t>
        </is>
      </c>
      <c r="B23" s="1" t="n">
        <v>45216</v>
      </c>
      <c r="C23" s="1" t="n">
        <v>45915</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21326-2025</t>
        </is>
      </c>
      <c r="B24" s="1" t="n">
        <v>45782.35407407407</v>
      </c>
      <c r="C24" s="1" t="n">
        <v>45915</v>
      </c>
      <c r="D24" t="inlineStr">
        <is>
          <t>ÖSTERGÖTLANDS LÄN</t>
        </is>
      </c>
      <c r="E24" t="inlineStr">
        <is>
          <t>LINKÖPING</t>
        </is>
      </c>
      <c r="G24" t="n">
        <v>4.9</v>
      </c>
      <c r="H24" t="n">
        <v>2</v>
      </c>
      <c r="I24" t="n">
        <v>0</v>
      </c>
      <c r="J24" t="n">
        <v>0</v>
      </c>
      <c r="K24" t="n">
        <v>0</v>
      </c>
      <c r="L24" t="n">
        <v>0</v>
      </c>
      <c r="M24" t="n">
        <v>0</v>
      </c>
      <c r="N24" t="n">
        <v>0</v>
      </c>
      <c r="O24" t="n">
        <v>0</v>
      </c>
      <c r="P24" t="n">
        <v>0</v>
      </c>
      <c r="Q24" t="n">
        <v>2</v>
      </c>
      <c r="R24" s="2" t="inlineStr">
        <is>
          <t>Blåsippa
Revlummer</t>
        </is>
      </c>
      <c r="S24">
        <f>HYPERLINK("https://klasma.github.io/Logging_0580/artfynd/A 21326-2025 artfynd.xlsx", "A 21326-2025")</f>
        <v/>
      </c>
      <c r="T24">
        <f>HYPERLINK("https://klasma.github.io/Logging_0580/kartor/A 21326-2025 karta.png", "A 21326-2025")</f>
        <v/>
      </c>
      <c r="V24">
        <f>HYPERLINK("https://klasma.github.io/Logging_0580/klagomål/A 21326-2025 FSC-klagomål.docx", "A 21326-2025")</f>
        <v/>
      </c>
      <c r="W24">
        <f>HYPERLINK("https://klasma.github.io/Logging_0580/klagomålsmail/A 21326-2025 FSC-klagomål mail.docx", "A 21326-2025")</f>
        <v/>
      </c>
      <c r="X24">
        <f>HYPERLINK("https://klasma.github.io/Logging_0580/tillsyn/A 21326-2025 tillsynsbegäran.docx", "A 21326-2025")</f>
        <v/>
      </c>
      <c r="Y24">
        <f>HYPERLINK("https://klasma.github.io/Logging_0580/tillsynsmail/A 21326-2025 tillsynsbegäran mail.docx", "A 21326-2025")</f>
        <v/>
      </c>
    </row>
    <row r="25" ht="15" customHeight="1">
      <c r="A25" t="inlineStr">
        <is>
          <t>A 38913-2023</t>
        </is>
      </c>
      <c r="B25" s="1" t="n">
        <v>45163</v>
      </c>
      <c r="C25" s="1" t="n">
        <v>45915</v>
      </c>
      <c r="D25" t="inlineStr">
        <is>
          <t>ÖSTERGÖTLANDS LÄN</t>
        </is>
      </c>
      <c r="E25" t="inlineStr">
        <is>
          <t>LINKÖPING</t>
        </is>
      </c>
      <c r="G25" t="n">
        <v>2.7</v>
      </c>
      <c r="H25" t="n">
        <v>1</v>
      </c>
      <c r="I25" t="n">
        <v>1</v>
      </c>
      <c r="J25" t="n">
        <v>0</v>
      </c>
      <c r="K25" t="n">
        <v>0</v>
      </c>
      <c r="L25" t="n">
        <v>0</v>
      </c>
      <c r="M25" t="n">
        <v>0</v>
      </c>
      <c r="N25" t="n">
        <v>0</v>
      </c>
      <c r="O25" t="n">
        <v>0</v>
      </c>
      <c r="P25" t="n">
        <v>0</v>
      </c>
      <c r="Q25" t="n">
        <v>2</v>
      </c>
      <c r="R25" s="2" t="inlineStr">
        <is>
          <t>Skogsbräsma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58068-2021</t>
        </is>
      </c>
      <c r="B26" s="1" t="n">
        <v>44487</v>
      </c>
      <c r="C26" s="1" t="n">
        <v>45915</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45915</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42858-2023</t>
        </is>
      </c>
      <c r="B28" s="1" t="n">
        <v>45177</v>
      </c>
      <c r="C28" s="1" t="n">
        <v>45915</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27981-2022</t>
        </is>
      </c>
      <c r="B29" s="1" t="n">
        <v>44745</v>
      </c>
      <c r="C29" s="1" t="n">
        <v>45915</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11613-2025</t>
        </is>
      </c>
      <c r="B30" s="1" t="n">
        <v>45727.44623842592</v>
      </c>
      <c r="C30" s="1" t="n">
        <v>45915</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41751-2023</t>
        </is>
      </c>
      <c r="B31" s="1" t="n">
        <v>45176</v>
      </c>
      <c r="C31" s="1" t="n">
        <v>45915</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45915</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45915</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25985-2025</t>
        </is>
      </c>
      <c r="B34" s="1" t="n">
        <v>45804.64479166667</v>
      </c>
      <c r="C34" s="1" t="n">
        <v>45915</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55344-2024</t>
        </is>
      </c>
      <c r="B35" s="1" t="n">
        <v>45621.7202662037</v>
      </c>
      <c r="C35" s="1" t="n">
        <v>45915</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45915</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45915</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38129-2021</t>
        </is>
      </c>
      <c r="B38" s="1" t="n">
        <v>44405.37199074074</v>
      </c>
      <c r="C38" s="1" t="n">
        <v>45915</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45915</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45915</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71127-2021</t>
        </is>
      </c>
      <c r="B41" s="1" t="n">
        <v>44537</v>
      </c>
      <c r="C41" s="1" t="n">
        <v>45915</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45915</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46496-2022</t>
        </is>
      </c>
      <c r="B43" s="1" t="n">
        <v>44848</v>
      </c>
      <c r="C43" s="1" t="n">
        <v>45915</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17513-2022</t>
        </is>
      </c>
      <c r="B44" s="1" t="n">
        <v>44679</v>
      </c>
      <c r="C44" s="1" t="n">
        <v>45915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45915</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45915</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45915</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22526-2025</t>
        </is>
      </c>
      <c r="B48" s="1" t="n">
        <v>45786.78096064815</v>
      </c>
      <c r="C48" s="1" t="n">
        <v>45915</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34881-2023</t>
        </is>
      </c>
      <c r="B49" s="1" t="n">
        <v>45140</v>
      </c>
      <c r="C49" s="1" t="n">
        <v>45915</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41749-2023</t>
        </is>
      </c>
      <c r="B50" s="1" t="n">
        <v>45176</v>
      </c>
      <c r="C50" s="1" t="n">
        <v>45915</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45915</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45915</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45915</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45915</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45915</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1213-2023</t>
        </is>
      </c>
      <c r="B56" s="1" t="n">
        <v>44930</v>
      </c>
      <c r="C56" s="1" t="n">
        <v>45915</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27403-2025</t>
        </is>
      </c>
      <c r="B57" s="1" t="n">
        <v>45812.72518518518</v>
      </c>
      <c r="C57" s="1" t="n">
        <v>45915</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56651-2023</t>
        </is>
      </c>
      <c r="B58" s="1" t="n">
        <v>45243</v>
      </c>
      <c r="C58" s="1" t="n">
        <v>45915</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48984-2020</t>
        </is>
      </c>
      <c r="B59" s="1" t="n">
        <v>44104</v>
      </c>
      <c r="C59" s="1" t="n">
        <v>45915</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50806-2023</t>
        </is>
      </c>
      <c r="B60" s="1" t="n">
        <v>45217</v>
      </c>
      <c r="C60" s="1" t="n">
        <v>45915</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62071-2023</t>
        </is>
      </c>
      <c r="B61" s="1" t="n">
        <v>45266.73542824074</v>
      </c>
      <c r="C61" s="1" t="n">
        <v>45915</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90-2024</t>
        </is>
      </c>
      <c r="B62" s="1" t="n">
        <v>45293</v>
      </c>
      <c r="C62" s="1" t="n">
        <v>45915</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60573-2021</t>
        </is>
      </c>
      <c r="B63" s="1" t="n">
        <v>44496</v>
      </c>
      <c r="C63" s="1" t="n">
        <v>45915</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5984-2025</t>
        </is>
      </c>
      <c r="B64" s="1" t="n">
        <v>45695.55173611111</v>
      </c>
      <c r="C64" s="1" t="n">
        <v>45915</v>
      </c>
      <c r="D64" t="inlineStr">
        <is>
          <t>ÖSTERGÖTLANDS LÄN</t>
        </is>
      </c>
      <c r="E64" t="inlineStr">
        <is>
          <t>LINKÖPING</t>
        </is>
      </c>
      <c r="F64" t="inlineStr">
        <is>
          <t>Allmännings- och besparingsskogar</t>
        </is>
      </c>
      <c r="G64" t="n">
        <v>5.5</v>
      </c>
      <c r="H64" t="n">
        <v>0</v>
      </c>
      <c r="I64" t="n">
        <v>0</v>
      </c>
      <c r="J64" t="n">
        <v>1</v>
      </c>
      <c r="K64" t="n">
        <v>0</v>
      </c>
      <c r="L64" t="n">
        <v>0</v>
      </c>
      <c r="M64" t="n">
        <v>0</v>
      </c>
      <c r="N64" t="n">
        <v>0</v>
      </c>
      <c r="O64" t="n">
        <v>1</v>
      </c>
      <c r="P64" t="n">
        <v>0</v>
      </c>
      <c r="Q64" t="n">
        <v>1</v>
      </c>
      <c r="R64" s="2" t="inlineStr">
        <is>
          <t>Vanlig backsmörblomma</t>
        </is>
      </c>
      <c r="S64">
        <f>HYPERLINK("https://klasma.github.io/Logging_0580/artfynd/A 5984-2025 artfynd.xlsx", "A 5984-2025")</f>
        <v/>
      </c>
      <c r="T64">
        <f>HYPERLINK("https://klasma.github.io/Logging_0580/kartor/A 5984-2025 karta.png", "A 5984-2025")</f>
        <v/>
      </c>
      <c r="V64">
        <f>HYPERLINK("https://klasma.github.io/Logging_0580/klagomål/A 5984-2025 FSC-klagomål.docx", "A 5984-2025")</f>
        <v/>
      </c>
      <c r="W64">
        <f>HYPERLINK("https://klasma.github.io/Logging_0580/klagomålsmail/A 5984-2025 FSC-klagomål mail.docx", "A 5984-2025")</f>
        <v/>
      </c>
      <c r="X64">
        <f>HYPERLINK("https://klasma.github.io/Logging_0580/tillsyn/A 5984-2025 tillsynsbegäran.docx", "A 5984-2025")</f>
        <v/>
      </c>
      <c r="Y64">
        <f>HYPERLINK("https://klasma.github.io/Logging_0580/tillsynsmail/A 5984-2025 tillsynsbegäran mail.docx", "A 5984-2025")</f>
        <v/>
      </c>
    </row>
    <row r="65" ht="15" customHeight="1">
      <c r="A65" t="inlineStr">
        <is>
          <t>A 17444-2025</t>
        </is>
      </c>
      <c r="B65" s="1" t="n">
        <v>45757.43452546297</v>
      </c>
      <c r="C65" s="1" t="n">
        <v>45915</v>
      </c>
      <c r="D65" t="inlineStr">
        <is>
          <t>ÖSTERGÖTLANDS LÄN</t>
        </is>
      </c>
      <c r="E65" t="inlineStr">
        <is>
          <t>LINKÖPING</t>
        </is>
      </c>
      <c r="G65" t="n">
        <v>1.3</v>
      </c>
      <c r="H65" t="n">
        <v>1</v>
      </c>
      <c r="I65" t="n">
        <v>0</v>
      </c>
      <c r="J65" t="n">
        <v>1</v>
      </c>
      <c r="K65" t="n">
        <v>0</v>
      </c>
      <c r="L65" t="n">
        <v>0</v>
      </c>
      <c r="M65" t="n">
        <v>0</v>
      </c>
      <c r="N65" t="n">
        <v>0</v>
      </c>
      <c r="O65" t="n">
        <v>1</v>
      </c>
      <c r="P65" t="n">
        <v>0</v>
      </c>
      <c r="Q65" t="n">
        <v>1</v>
      </c>
      <c r="R65" s="2" t="inlineStr">
        <is>
          <t>Dårgräsfjäril</t>
        </is>
      </c>
      <c r="S65">
        <f>HYPERLINK("https://klasma.github.io/Logging_0580/artfynd/A 17444-2025 artfynd.xlsx", "A 17444-2025")</f>
        <v/>
      </c>
      <c r="T65">
        <f>HYPERLINK("https://klasma.github.io/Logging_0580/kartor/A 17444-2025 karta.png", "A 17444-2025")</f>
        <v/>
      </c>
      <c r="V65">
        <f>HYPERLINK("https://klasma.github.io/Logging_0580/klagomål/A 17444-2025 FSC-klagomål.docx", "A 17444-2025")</f>
        <v/>
      </c>
      <c r="W65">
        <f>HYPERLINK("https://klasma.github.io/Logging_0580/klagomålsmail/A 17444-2025 FSC-klagomål mail.docx", "A 17444-2025")</f>
        <v/>
      </c>
      <c r="X65">
        <f>HYPERLINK("https://klasma.github.io/Logging_0580/tillsyn/A 17444-2025 tillsynsbegäran.docx", "A 17444-2025")</f>
        <v/>
      </c>
      <c r="Y65">
        <f>HYPERLINK("https://klasma.github.io/Logging_0580/tillsynsmail/A 17444-2025 tillsynsbegäran mail.docx", "A 17444-2025")</f>
        <v/>
      </c>
    </row>
    <row r="66" ht="15" customHeight="1">
      <c r="A66" t="inlineStr">
        <is>
          <t>A 44930-2020</t>
        </is>
      </c>
      <c r="B66" s="1" t="n">
        <v>44088</v>
      </c>
      <c r="C66" s="1" t="n">
        <v>45915</v>
      </c>
      <c r="D66" t="inlineStr">
        <is>
          <t>ÖSTERGÖTLANDS LÄN</t>
        </is>
      </c>
      <c r="E66" t="inlineStr">
        <is>
          <t>LINKÖPING</t>
        </is>
      </c>
      <c r="G66" t="n">
        <v>2.6</v>
      </c>
      <c r="H66" t="n">
        <v>1</v>
      </c>
      <c r="I66" t="n">
        <v>0</v>
      </c>
      <c r="J66" t="n">
        <v>0</v>
      </c>
      <c r="K66" t="n">
        <v>1</v>
      </c>
      <c r="L66" t="n">
        <v>0</v>
      </c>
      <c r="M66" t="n">
        <v>0</v>
      </c>
      <c r="N66" t="n">
        <v>0</v>
      </c>
      <c r="O66" t="n">
        <v>1</v>
      </c>
      <c r="P66" t="n">
        <v>1</v>
      </c>
      <c r="Q66" t="n">
        <v>1</v>
      </c>
      <c r="R66" s="2" t="inlineStr">
        <is>
          <t>Knärot</t>
        </is>
      </c>
      <c r="S66">
        <f>HYPERLINK("https://klasma.github.io/Logging_0580/artfynd/A 44930-2020 artfynd.xlsx", "A 44930-2020")</f>
        <v/>
      </c>
      <c r="T66">
        <f>HYPERLINK("https://klasma.github.io/Logging_0580/kartor/A 44930-2020 karta.png", "A 44930-2020")</f>
        <v/>
      </c>
      <c r="U66">
        <f>HYPERLINK("https://klasma.github.io/Logging_0580/knärot/A 44930-2020 karta knärot.png", "A 44930-2020")</f>
        <v/>
      </c>
      <c r="V66">
        <f>HYPERLINK("https://klasma.github.io/Logging_0580/klagomål/A 44930-2020 FSC-klagomål.docx", "A 44930-2020")</f>
        <v/>
      </c>
      <c r="W66">
        <f>HYPERLINK("https://klasma.github.io/Logging_0580/klagomålsmail/A 44930-2020 FSC-klagomål mail.docx", "A 44930-2020")</f>
        <v/>
      </c>
      <c r="X66">
        <f>HYPERLINK("https://klasma.github.io/Logging_0580/tillsyn/A 44930-2020 tillsynsbegäran.docx", "A 44930-2020")</f>
        <v/>
      </c>
      <c r="Y66">
        <f>HYPERLINK("https://klasma.github.io/Logging_0580/tillsynsmail/A 44930-2020 tillsynsbegäran mail.docx", "A 44930-2020")</f>
        <v/>
      </c>
    </row>
    <row r="67" ht="15" customHeight="1">
      <c r="A67" t="inlineStr">
        <is>
          <t>A 5911-2022</t>
        </is>
      </c>
      <c r="B67" s="1" t="n">
        <v>44597</v>
      </c>
      <c r="C67" s="1" t="n">
        <v>45915</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45915</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36723-2023</t>
        </is>
      </c>
      <c r="B69" s="1" t="n">
        <v>45153</v>
      </c>
      <c r="C69" s="1" t="n">
        <v>45915</v>
      </c>
      <c r="D69" t="inlineStr">
        <is>
          <t>ÖSTERGÖTLANDS LÄN</t>
        </is>
      </c>
      <c r="E69" t="inlineStr">
        <is>
          <t>LINKÖPING</t>
        </is>
      </c>
      <c r="F69" t="inlineStr">
        <is>
          <t>Allmännings- och besparingsskogar</t>
        </is>
      </c>
      <c r="G69" t="n">
        <v>9.9</v>
      </c>
      <c r="H69" t="n">
        <v>0</v>
      </c>
      <c r="I69" t="n">
        <v>0</v>
      </c>
      <c r="J69" t="n">
        <v>0</v>
      </c>
      <c r="K69" t="n">
        <v>1</v>
      </c>
      <c r="L69" t="n">
        <v>0</v>
      </c>
      <c r="M69" t="n">
        <v>0</v>
      </c>
      <c r="N69" t="n">
        <v>0</v>
      </c>
      <c r="O69" t="n">
        <v>1</v>
      </c>
      <c r="P69" t="n">
        <v>1</v>
      </c>
      <c r="Q69" t="n">
        <v>1</v>
      </c>
      <c r="R69" s="2" t="inlineStr">
        <is>
          <t>Bitter taggsvamp</t>
        </is>
      </c>
      <c r="S69">
        <f>HYPERLINK("https://klasma.github.io/Logging_0580/artfynd/A 36723-2023 artfynd.xlsx", "A 36723-2023")</f>
        <v/>
      </c>
      <c r="T69">
        <f>HYPERLINK("https://klasma.github.io/Logging_0580/kartor/A 36723-2023 karta.png", "A 36723-2023")</f>
        <v/>
      </c>
      <c r="V69">
        <f>HYPERLINK("https://klasma.github.io/Logging_0580/klagomål/A 36723-2023 FSC-klagomål.docx", "A 36723-2023")</f>
        <v/>
      </c>
      <c r="W69">
        <f>HYPERLINK("https://klasma.github.io/Logging_0580/klagomålsmail/A 36723-2023 FSC-klagomål mail.docx", "A 36723-2023")</f>
        <v/>
      </c>
      <c r="X69">
        <f>HYPERLINK("https://klasma.github.io/Logging_0580/tillsyn/A 36723-2023 tillsynsbegäran.docx", "A 36723-2023")</f>
        <v/>
      </c>
      <c r="Y69">
        <f>HYPERLINK("https://klasma.github.io/Logging_0580/tillsynsmail/A 36723-2023 tillsynsbegäran mail.docx", "A 36723-2023")</f>
        <v/>
      </c>
    </row>
    <row r="70" ht="15" customHeight="1">
      <c r="A70" t="inlineStr">
        <is>
          <t>A 40309-2024</t>
        </is>
      </c>
      <c r="B70" s="1" t="n">
        <v>45554.724375</v>
      </c>
      <c r="C70" s="1" t="n">
        <v>45915</v>
      </c>
      <c r="D70" t="inlineStr">
        <is>
          <t>ÖSTERGÖTLANDS LÄN</t>
        </is>
      </c>
      <c r="E70" t="inlineStr">
        <is>
          <t>LINKÖPING</t>
        </is>
      </c>
      <c r="F70" t="inlineStr">
        <is>
          <t>Allmännings- och besparingsskogar</t>
        </is>
      </c>
      <c r="G70" t="n">
        <v>6</v>
      </c>
      <c r="H70" t="n">
        <v>0</v>
      </c>
      <c r="I70" t="n">
        <v>0</v>
      </c>
      <c r="J70" t="n">
        <v>1</v>
      </c>
      <c r="K70" t="n">
        <v>0</v>
      </c>
      <c r="L70" t="n">
        <v>0</v>
      </c>
      <c r="M70" t="n">
        <v>0</v>
      </c>
      <c r="N70" t="n">
        <v>0</v>
      </c>
      <c r="O70" t="n">
        <v>1</v>
      </c>
      <c r="P70" t="n">
        <v>0</v>
      </c>
      <c r="Q70" t="n">
        <v>1</v>
      </c>
      <c r="R70" s="2" t="inlineStr">
        <is>
          <t>Garnlav</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row>
    <row r="71" ht="15" customHeight="1">
      <c r="A71" t="inlineStr">
        <is>
          <t>A 15290-2025</t>
        </is>
      </c>
      <c r="B71" s="1" t="n">
        <v>45745.45288194445</v>
      </c>
      <c r="C71" s="1" t="n">
        <v>45915</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1716-2023</t>
        </is>
      </c>
      <c r="B72" s="1" t="n">
        <v>44938</v>
      </c>
      <c r="C72" s="1" t="n">
        <v>45915</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1716-2023 artfynd.xlsx", "A 1716-2023")</f>
        <v/>
      </c>
      <c r="T72">
        <f>HYPERLINK("https://klasma.github.io/Logging_0580/kartor/A 1716-2023 karta.png", "A 1716-2023")</f>
        <v/>
      </c>
      <c r="V72">
        <f>HYPERLINK("https://klasma.github.io/Logging_0580/klagomål/A 1716-2023 FSC-klagomål.docx", "A 1716-2023")</f>
        <v/>
      </c>
      <c r="W72">
        <f>HYPERLINK("https://klasma.github.io/Logging_0580/klagomålsmail/A 1716-2023 FSC-klagomål mail.docx", "A 1716-2023")</f>
        <v/>
      </c>
      <c r="X72">
        <f>HYPERLINK("https://klasma.github.io/Logging_0580/tillsyn/A 1716-2023 tillsynsbegäran.docx", "A 1716-2023")</f>
        <v/>
      </c>
      <c r="Y72">
        <f>HYPERLINK("https://klasma.github.io/Logging_0580/tillsynsmail/A 1716-2023 tillsynsbegäran mail.docx", "A 1716-2023")</f>
        <v/>
      </c>
    </row>
    <row r="73" ht="15" customHeight="1">
      <c r="A73" t="inlineStr">
        <is>
          <t>A 931-2025</t>
        </is>
      </c>
      <c r="B73" s="1" t="n">
        <v>45665.88498842593</v>
      </c>
      <c r="C73" s="1" t="n">
        <v>45915</v>
      </c>
      <c r="D73" t="inlineStr">
        <is>
          <t>ÖSTERGÖTLANDS LÄN</t>
        </is>
      </c>
      <c r="E73" t="inlineStr">
        <is>
          <t>LINKÖPING</t>
        </is>
      </c>
      <c r="F73" t="inlineStr">
        <is>
          <t>Övriga Aktiebolag</t>
        </is>
      </c>
      <c r="G73" t="n">
        <v>0.8</v>
      </c>
      <c r="H73" t="n">
        <v>0</v>
      </c>
      <c r="I73" t="n">
        <v>0</v>
      </c>
      <c r="J73" t="n">
        <v>1</v>
      </c>
      <c r="K73" t="n">
        <v>0</v>
      </c>
      <c r="L73" t="n">
        <v>0</v>
      </c>
      <c r="M73" t="n">
        <v>0</v>
      </c>
      <c r="N73" t="n">
        <v>0</v>
      </c>
      <c r="O73" t="n">
        <v>1</v>
      </c>
      <c r="P73" t="n">
        <v>0</v>
      </c>
      <c r="Q73" t="n">
        <v>1</v>
      </c>
      <c r="R73" s="2" t="inlineStr">
        <is>
          <t>Tallticka</t>
        </is>
      </c>
      <c r="S73">
        <f>HYPERLINK("https://klasma.github.io/Logging_0580/artfynd/A 931-2025 artfynd.xlsx", "A 931-2025")</f>
        <v/>
      </c>
      <c r="T73">
        <f>HYPERLINK("https://klasma.github.io/Logging_0580/kartor/A 931-2025 karta.png", "A 931-2025")</f>
        <v/>
      </c>
      <c r="V73">
        <f>HYPERLINK("https://klasma.github.io/Logging_0580/klagomål/A 931-2025 FSC-klagomål.docx", "A 931-2025")</f>
        <v/>
      </c>
      <c r="W73">
        <f>HYPERLINK("https://klasma.github.io/Logging_0580/klagomålsmail/A 931-2025 FSC-klagomål mail.docx", "A 931-2025")</f>
        <v/>
      </c>
      <c r="X73">
        <f>HYPERLINK("https://klasma.github.io/Logging_0580/tillsyn/A 931-2025 tillsynsbegäran.docx", "A 931-2025")</f>
        <v/>
      </c>
      <c r="Y73">
        <f>HYPERLINK("https://klasma.github.io/Logging_0580/tillsynsmail/A 931-2025 tillsynsbegäran mail.docx", "A 931-2025")</f>
        <v/>
      </c>
    </row>
    <row r="74" ht="15" customHeight="1">
      <c r="A74" t="inlineStr">
        <is>
          <t>A 126-2024</t>
        </is>
      </c>
      <c r="B74" s="1" t="n">
        <v>45294</v>
      </c>
      <c r="C74" s="1" t="n">
        <v>45915</v>
      </c>
      <c r="D74" t="inlineStr">
        <is>
          <t>ÖSTERGÖTLANDS LÄN</t>
        </is>
      </c>
      <c r="E74" t="inlineStr">
        <is>
          <t>LINKÖPING</t>
        </is>
      </c>
      <c r="G74" t="n">
        <v>1</v>
      </c>
      <c r="H74" t="n">
        <v>0</v>
      </c>
      <c r="I74" t="n">
        <v>1</v>
      </c>
      <c r="J74" t="n">
        <v>0</v>
      </c>
      <c r="K74" t="n">
        <v>0</v>
      </c>
      <c r="L74" t="n">
        <v>0</v>
      </c>
      <c r="M74" t="n">
        <v>0</v>
      </c>
      <c r="N74" t="n">
        <v>0</v>
      </c>
      <c r="O74" t="n">
        <v>0</v>
      </c>
      <c r="P74" t="n">
        <v>0</v>
      </c>
      <c r="Q74" t="n">
        <v>1</v>
      </c>
      <c r="R74" s="2" t="inlineStr">
        <is>
          <t>Blåmossa</t>
        </is>
      </c>
      <c r="S74">
        <f>HYPERLINK("https://klasma.github.io/Logging_0580/artfynd/A 126-2024 artfynd.xlsx", "A 126-2024")</f>
        <v/>
      </c>
      <c r="T74">
        <f>HYPERLINK("https://klasma.github.io/Logging_0580/kartor/A 126-2024 karta.png", "A 126-2024")</f>
        <v/>
      </c>
      <c r="V74">
        <f>HYPERLINK("https://klasma.github.io/Logging_0580/klagomål/A 126-2024 FSC-klagomål.docx", "A 126-2024")</f>
        <v/>
      </c>
      <c r="W74">
        <f>HYPERLINK("https://klasma.github.io/Logging_0580/klagomålsmail/A 126-2024 FSC-klagomål mail.docx", "A 126-2024")</f>
        <v/>
      </c>
      <c r="X74">
        <f>HYPERLINK("https://klasma.github.io/Logging_0580/tillsyn/A 126-2024 tillsynsbegäran.docx", "A 126-2024")</f>
        <v/>
      </c>
      <c r="Y74">
        <f>HYPERLINK("https://klasma.github.io/Logging_0580/tillsynsmail/A 126-2024 tillsynsbegäran mail.docx", "A 126-2024")</f>
        <v/>
      </c>
    </row>
    <row r="75" ht="15" customHeight="1">
      <c r="A75" t="inlineStr">
        <is>
          <t>A 3395-2023</t>
        </is>
      </c>
      <c r="B75" s="1" t="n">
        <v>44949</v>
      </c>
      <c r="C75" s="1" t="n">
        <v>45915</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3397-2023</t>
        </is>
      </c>
      <c r="B76" s="1" t="n">
        <v>44949</v>
      </c>
      <c r="C76" s="1" t="n">
        <v>45915</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38881-2021</t>
        </is>
      </c>
      <c r="B77" s="1" t="n">
        <v>44411.46893518518</v>
      </c>
      <c r="C77" s="1" t="n">
        <v>45915</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45915</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45915</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45915</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45915</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7289-2021</t>
        </is>
      </c>
      <c r="B82" s="1" t="n">
        <v>44238</v>
      </c>
      <c r="C82" s="1" t="n">
        <v>45915</v>
      </c>
      <c r="D82" t="inlineStr">
        <is>
          <t>ÖSTERGÖTLANDS LÄN</t>
        </is>
      </c>
      <c r="E82" t="inlineStr">
        <is>
          <t>LINKÖPING</t>
        </is>
      </c>
      <c r="G82" t="n">
        <v>0.7</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45915</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45915</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45915</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45915</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45915</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45915</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45915</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45915</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45915</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47319-2020</t>
        </is>
      </c>
      <c r="B92" s="1" t="n">
        <v>44095</v>
      </c>
      <c r="C92" s="1" t="n">
        <v>45915</v>
      </c>
      <c r="D92" t="inlineStr">
        <is>
          <t>ÖSTERGÖTLANDS LÄN</t>
        </is>
      </c>
      <c r="E92" t="inlineStr">
        <is>
          <t>LINKÖPING</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45915</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45915</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45915</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45915</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45915</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45915</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45915</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45915</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45915</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45915</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45915</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45915</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45915</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53146-2021</t>
        </is>
      </c>
      <c r="B106" s="1" t="n">
        <v>44466</v>
      </c>
      <c r="C106" s="1" t="n">
        <v>45915</v>
      </c>
      <c r="D106" t="inlineStr">
        <is>
          <t>ÖSTERGÖTLANDS LÄN</t>
        </is>
      </c>
      <c r="E106" t="inlineStr">
        <is>
          <t>LINKÖPING</t>
        </is>
      </c>
      <c r="G106" t="n">
        <v>1.2</v>
      </c>
      <c r="H106" t="n">
        <v>0</v>
      </c>
      <c r="I106" t="n">
        <v>0</v>
      </c>
      <c r="J106" t="n">
        <v>0</v>
      </c>
      <c r="K106" t="n">
        <v>0</v>
      </c>
      <c r="L106" t="n">
        <v>0</v>
      </c>
      <c r="M106" t="n">
        <v>0</v>
      </c>
      <c r="N106" t="n">
        <v>0</v>
      </c>
      <c r="O106" t="n">
        <v>0</v>
      </c>
      <c r="P106" t="n">
        <v>0</v>
      </c>
      <c r="Q106" t="n">
        <v>0</v>
      </c>
      <c r="R106" s="2" t="inlineStr"/>
    </row>
    <row r="107" ht="15" customHeight="1">
      <c r="A107" t="inlineStr">
        <is>
          <t>A 3679-2021</t>
        </is>
      </c>
      <c r="B107" s="1" t="n">
        <v>44221</v>
      </c>
      <c r="C107" s="1" t="n">
        <v>45915</v>
      </c>
      <c r="D107" t="inlineStr">
        <is>
          <t>ÖSTERGÖTLANDS LÄN</t>
        </is>
      </c>
      <c r="E107" t="inlineStr">
        <is>
          <t>LINKÖPING</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45915</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45915</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45915</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45915</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45915</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45915</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45915</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45915</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45915</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45915</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37012-2021</t>
        </is>
      </c>
      <c r="B118" s="1" t="n">
        <v>44393</v>
      </c>
      <c r="C118" s="1" t="n">
        <v>45915</v>
      </c>
      <c r="D118" t="inlineStr">
        <is>
          <t>ÖSTERGÖTLANDS LÄN</t>
        </is>
      </c>
      <c r="E118" t="inlineStr">
        <is>
          <t>LINKÖPING</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49791-2021</t>
        </is>
      </c>
      <c r="B119" s="1" t="n">
        <v>44455.59368055555</v>
      </c>
      <c r="C119" s="1" t="n">
        <v>45915</v>
      </c>
      <c r="D119" t="inlineStr">
        <is>
          <t>ÖSTERGÖTLANDS LÄN</t>
        </is>
      </c>
      <c r="E119" t="inlineStr">
        <is>
          <t>LINKÖPING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45915</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45915</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45915</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45915</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45915</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45915</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45915</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45915</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45915</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45915</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45915</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45915</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45915</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45915</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45915</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45915</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45915</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45915</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45915</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45915</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45915</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45915</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46969-2020</t>
        </is>
      </c>
      <c r="B142" s="1" t="n">
        <v>44090</v>
      </c>
      <c r="C142" s="1" t="n">
        <v>45915</v>
      </c>
      <c r="D142" t="inlineStr">
        <is>
          <t>ÖSTERGÖTLANDS LÄN</t>
        </is>
      </c>
      <c r="E142" t="inlineStr">
        <is>
          <t>LINKÖPING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46975-2020</t>
        </is>
      </c>
      <c r="B143" s="1" t="n">
        <v>44090</v>
      </c>
      <c r="C143" s="1" t="n">
        <v>45915</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23175-2022</t>
        </is>
      </c>
      <c r="B144" s="1" t="n">
        <v>44719</v>
      </c>
      <c r="C144" s="1" t="n">
        <v>45915</v>
      </c>
      <c r="D144" t="inlineStr">
        <is>
          <t>ÖSTERGÖTLANDS LÄN</t>
        </is>
      </c>
      <c r="E144" t="inlineStr">
        <is>
          <t>LINKÖPING</t>
        </is>
      </c>
      <c r="F144" t="inlineStr">
        <is>
          <t>Allmännings- och besparingsskogar</t>
        </is>
      </c>
      <c r="G144" t="n">
        <v>1.4</v>
      </c>
      <c r="H144" t="n">
        <v>0</v>
      </c>
      <c r="I144" t="n">
        <v>0</v>
      </c>
      <c r="J144" t="n">
        <v>0</v>
      </c>
      <c r="K144" t="n">
        <v>0</v>
      </c>
      <c r="L144" t="n">
        <v>0</v>
      </c>
      <c r="M144" t="n">
        <v>0</v>
      </c>
      <c r="N144" t="n">
        <v>0</v>
      </c>
      <c r="O144" t="n">
        <v>0</v>
      </c>
      <c r="P144" t="n">
        <v>0</v>
      </c>
      <c r="Q144" t="n">
        <v>0</v>
      </c>
      <c r="R144" s="2" t="inlineStr"/>
    </row>
    <row r="145" ht="15" customHeight="1">
      <c r="A145" t="inlineStr">
        <is>
          <t>A 54854-2022</t>
        </is>
      </c>
      <c r="B145" s="1" t="n">
        <v>44884</v>
      </c>
      <c r="C145" s="1" t="n">
        <v>45915</v>
      </c>
      <c r="D145" t="inlineStr">
        <is>
          <t>ÖSTERGÖTLANDS LÄN</t>
        </is>
      </c>
      <c r="E145" t="inlineStr">
        <is>
          <t>LINKÖPING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54855-2022</t>
        </is>
      </c>
      <c r="B146" s="1" t="n">
        <v>44884.59502314815</v>
      </c>
      <c r="C146" s="1" t="n">
        <v>45915</v>
      </c>
      <c r="D146" t="inlineStr">
        <is>
          <t>ÖSTERGÖTLANDS LÄN</t>
        </is>
      </c>
      <c r="E146" t="inlineStr">
        <is>
          <t>LINKÖPING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45915</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11079-2022</t>
        </is>
      </c>
      <c r="B148" s="1" t="n">
        <v>44628</v>
      </c>
      <c r="C148" s="1" t="n">
        <v>45915</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45915</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20901-2021</t>
        </is>
      </c>
      <c r="B150" s="1" t="n">
        <v>44319</v>
      </c>
      <c r="C150" s="1" t="n">
        <v>45915</v>
      </c>
      <c r="D150" t="inlineStr">
        <is>
          <t>ÖSTERGÖTLANDS LÄN</t>
        </is>
      </c>
      <c r="E150" t="inlineStr">
        <is>
          <t>LINKÖPING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61302-2021</t>
        </is>
      </c>
      <c r="B151" s="1" t="n">
        <v>44498.63189814815</v>
      </c>
      <c r="C151" s="1" t="n">
        <v>45915</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33891-2021</t>
        </is>
      </c>
      <c r="B152" s="1" t="n">
        <v>44378</v>
      </c>
      <c r="C152" s="1" t="n">
        <v>45915</v>
      </c>
      <c r="D152" t="inlineStr">
        <is>
          <t>ÖSTERGÖTLANDS LÄN</t>
        </is>
      </c>
      <c r="E152" t="inlineStr">
        <is>
          <t>LINKÖPING</t>
        </is>
      </c>
      <c r="G152" t="n">
        <v>5.1</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45915</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45915</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45915</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45915</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45915</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41426-2022</t>
        </is>
      </c>
      <c r="B158" s="1" t="n">
        <v>44826</v>
      </c>
      <c r="C158" s="1" t="n">
        <v>45915</v>
      </c>
      <c r="D158" t="inlineStr">
        <is>
          <t>ÖSTERGÖTLANDS LÄN</t>
        </is>
      </c>
      <c r="E158" t="inlineStr">
        <is>
          <t>LINKÖPING</t>
        </is>
      </c>
      <c r="G158" t="n">
        <v>3</v>
      </c>
      <c r="H158" t="n">
        <v>0</v>
      </c>
      <c r="I158" t="n">
        <v>0</v>
      </c>
      <c r="J158" t="n">
        <v>0</v>
      </c>
      <c r="K158" t="n">
        <v>0</v>
      </c>
      <c r="L158" t="n">
        <v>0</v>
      </c>
      <c r="M158" t="n">
        <v>0</v>
      </c>
      <c r="N158" t="n">
        <v>0</v>
      </c>
      <c r="O158" t="n">
        <v>0</v>
      </c>
      <c r="P158" t="n">
        <v>0</v>
      </c>
      <c r="Q158" t="n">
        <v>0</v>
      </c>
      <c r="R158" s="2" t="inlineStr"/>
    </row>
    <row r="159" ht="15" customHeight="1">
      <c r="A159" t="inlineStr">
        <is>
          <t>A 65398-2021</t>
        </is>
      </c>
      <c r="B159" s="1" t="n">
        <v>44515</v>
      </c>
      <c r="C159" s="1" t="n">
        <v>45915</v>
      </c>
      <c r="D159" t="inlineStr">
        <is>
          <t>ÖSTERGÖTLANDS LÄN</t>
        </is>
      </c>
      <c r="E159" t="inlineStr">
        <is>
          <t>LINKÖPING</t>
        </is>
      </c>
      <c r="F159" t="inlineStr">
        <is>
          <t>Övriga statliga verk och myndigheter</t>
        </is>
      </c>
      <c r="G159" t="n">
        <v>2.4</v>
      </c>
      <c r="H159" t="n">
        <v>0</v>
      </c>
      <c r="I159" t="n">
        <v>0</v>
      </c>
      <c r="J159" t="n">
        <v>0</v>
      </c>
      <c r="K159" t="n">
        <v>0</v>
      </c>
      <c r="L159" t="n">
        <v>0</v>
      </c>
      <c r="M159" t="n">
        <v>0</v>
      </c>
      <c r="N159" t="n">
        <v>0</v>
      </c>
      <c r="O159" t="n">
        <v>0</v>
      </c>
      <c r="P159" t="n">
        <v>0</v>
      </c>
      <c r="Q159" t="n">
        <v>0</v>
      </c>
      <c r="R159" s="2" t="inlineStr"/>
    </row>
    <row r="160" ht="15" customHeight="1">
      <c r="A160" t="inlineStr">
        <is>
          <t>A 34162-2022</t>
        </is>
      </c>
      <c r="B160" s="1" t="n">
        <v>44791</v>
      </c>
      <c r="C160" s="1" t="n">
        <v>45915</v>
      </c>
      <c r="D160" t="inlineStr">
        <is>
          <t>ÖSTERGÖTLANDS LÄN</t>
        </is>
      </c>
      <c r="E160" t="inlineStr">
        <is>
          <t>LINKÖPING</t>
        </is>
      </c>
      <c r="G160" t="n">
        <v>3</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45915</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61298-2021</t>
        </is>
      </c>
      <c r="B162" s="1" t="n">
        <v>44498.62533564815</v>
      </c>
      <c r="C162" s="1" t="n">
        <v>45915</v>
      </c>
      <c r="D162" t="inlineStr">
        <is>
          <t>ÖSTERGÖTLANDS LÄN</t>
        </is>
      </c>
      <c r="E162" t="inlineStr">
        <is>
          <t>LINKÖPING</t>
        </is>
      </c>
      <c r="G162" t="n">
        <v>4.3</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45915</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45915</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61333-2021</t>
        </is>
      </c>
      <c r="B165" s="1" t="n">
        <v>44498.6764699074</v>
      </c>
      <c r="C165" s="1" t="n">
        <v>45915</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12412-2022</t>
        </is>
      </c>
      <c r="B166" s="1" t="n">
        <v>44638</v>
      </c>
      <c r="C166" s="1" t="n">
        <v>45915</v>
      </c>
      <c r="D166" t="inlineStr">
        <is>
          <t>ÖSTERGÖTLANDS LÄN</t>
        </is>
      </c>
      <c r="E166" t="inlineStr">
        <is>
          <t>LINKÖPING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36341-2022</t>
        </is>
      </c>
      <c r="B167" s="1" t="n">
        <v>44803</v>
      </c>
      <c r="C167" s="1" t="n">
        <v>45915</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4377-2021</t>
        </is>
      </c>
      <c r="B168" s="1" t="n">
        <v>44223</v>
      </c>
      <c r="C168" s="1" t="n">
        <v>45915</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4240-2022</t>
        </is>
      </c>
      <c r="B169" s="1" t="n">
        <v>44588</v>
      </c>
      <c r="C169" s="1" t="n">
        <v>45915</v>
      </c>
      <c r="D169" t="inlineStr">
        <is>
          <t>ÖSTERGÖTLANDS LÄN</t>
        </is>
      </c>
      <c r="E169" t="inlineStr">
        <is>
          <t>LINKÖPING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10951-2022</t>
        </is>
      </c>
      <c r="B170" s="1" t="n">
        <v>44627</v>
      </c>
      <c r="C170" s="1" t="n">
        <v>45915</v>
      </c>
      <c r="D170" t="inlineStr">
        <is>
          <t>ÖSTERGÖTLANDS LÄN</t>
        </is>
      </c>
      <c r="E170" t="inlineStr">
        <is>
          <t>LINKÖPING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45915</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45915</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45915</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46803-2020</t>
        </is>
      </c>
      <c r="B174" s="1" t="n">
        <v>44089</v>
      </c>
      <c r="C174" s="1" t="n">
        <v>45915</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46891-2021</t>
        </is>
      </c>
      <c r="B175" s="1" t="n">
        <v>44446.44587962963</v>
      </c>
      <c r="C175" s="1" t="n">
        <v>45915</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45915</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45915</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45915</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27666-2022</t>
        </is>
      </c>
      <c r="B179" s="1" t="n">
        <v>44743.39017361111</v>
      </c>
      <c r="C179" s="1" t="n">
        <v>45915</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19183-2021</t>
        </is>
      </c>
      <c r="B180" s="1" t="n">
        <v>44308.73248842593</v>
      </c>
      <c r="C180" s="1" t="n">
        <v>45915</v>
      </c>
      <c r="D180" t="inlineStr">
        <is>
          <t>ÖSTERGÖTLANDS LÄN</t>
        </is>
      </c>
      <c r="E180" t="inlineStr">
        <is>
          <t>LINKÖPING</t>
        </is>
      </c>
      <c r="F180" t="inlineStr">
        <is>
          <t>Allmännings- och besparingsskogar</t>
        </is>
      </c>
      <c r="G180" t="n">
        <v>4.6</v>
      </c>
      <c r="H180" t="n">
        <v>0</v>
      </c>
      <c r="I180" t="n">
        <v>0</v>
      </c>
      <c r="J180" t="n">
        <v>0</v>
      </c>
      <c r="K180" t="n">
        <v>0</v>
      </c>
      <c r="L180" t="n">
        <v>0</v>
      </c>
      <c r="M180" t="n">
        <v>0</v>
      </c>
      <c r="N180" t="n">
        <v>0</v>
      </c>
      <c r="O180" t="n">
        <v>0</v>
      </c>
      <c r="P180" t="n">
        <v>0</v>
      </c>
      <c r="Q180" t="n">
        <v>0</v>
      </c>
      <c r="R180" s="2" t="inlineStr"/>
    </row>
    <row r="181" ht="15" customHeight="1">
      <c r="A181" t="inlineStr">
        <is>
          <t>A 44879-2020</t>
        </is>
      </c>
      <c r="B181" s="1" t="n">
        <v>44087</v>
      </c>
      <c r="C181" s="1" t="n">
        <v>45915</v>
      </c>
      <c r="D181" t="inlineStr">
        <is>
          <t>ÖSTERGÖTLANDS LÄN</t>
        </is>
      </c>
      <c r="E181" t="inlineStr">
        <is>
          <t>LINKÖPING</t>
        </is>
      </c>
      <c r="F181" t="inlineStr">
        <is>
          <t>Övriga Aktiebolag</t>
        </is>
      </c>
      <c r="G181" t="n">
        <v>2.9</v>
      </c>
      <c r="H181" t="n">
        <v>0</v>
      </c>
      <c r="I181" t="n">
        <v>0</v>
      </c>
      <c r="J181" t="n">
        <v>0</v>
      </c>
      <c r="K181" t="n">
        <v>0</v>
      </c>
      <c r="L181" t="n">
        <v>0</v>
      </c>
      <c r="M181" t="n">
        <v>0</v>
      </c>
      <c r="N181" t="n">
        <v>0</v>
      </c>
      <c r="O181" t="n">
        <v>0</v>
      </c>
      <c r="P181" t="n">
        <v>0</v>
      </c>
      <c r="Q181" t="n">
        <v>0</v>
      </c>
      <c r="R181" s="2" t="inlineStr"/>
    </row>
    <row r="182" ht="15" customHeight="1">
      <c r="A182" t="inlineStr">
        <is>
          <t>A 50035-2020</t>
        </is>
      </c>
      <c r="B182" s="1" t="n">
        <v>44109</v>
      </c>
      <c r="C182" s="1" t="n">
        <v>45915</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45915</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59288-2020</t>
        </is>
      </c>
      <c r="B184" s="1" t="n">
        <v>44147</v>
      </c>
      <c r="C184" s="1" t="n">
        <v>45915</v>
      </c>
      <c r="D184" t="inlineStr">
        <is>
          <t>ÖSTERGÖTLANDS LÄN</t>
        </is>
      </c>
      <c r="E184" t="inlineStr">
        <is>
          <t>LINKÖPING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5605-2022</t>
        </is>
      </c>
      <c r="B185" s="1" t="n">
        <v>44595</v>
      </c>
      <c r="C185" s="1" t="n">
        <v>45915</v>
      </c>
      <c r="D185" t="inlineStr">
        <is>
          <t>ÖSTERGÖTLANDS LÄN</t>
        </is>
      </c>
      <c r="E185" t="inlineStr">
        <is>
          <t>LINKÖPING</t>
        </is>
      </c>
      <c r="F185" t="inlineStr">
        <is>
          <t>Övriga statliga verk och myndigheter</t>
        </is>
      </c>
      <c r="G185" t="n">
        <v>3</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45915</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13922-2021</t>
        </is>
      </c>
      <c r="B187" s="1" t="n">
        <v>44277.45946759259</v>
      </c>
      <c r="C187" s="1" t="n">
        <v>45915</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32255-2021</t>
        </is>
      </c>
      <c r="B188" s="1" t="n">
        <v>44371.45949074074</v>
      </c>
      <c r="C188" s="1" t="n">
        <v>45915</v>
      </c>
      <c r="D188" t="inlineStr">
        <is>
          <t>ÖSTERGÖTLANDS LÄN</t>
        </is>
      </c>
      <c r="E188" t="inlineStr">
        <is>
          <t>LINKÖPING</t>
        </is>
      </c>
      <c r="F188" t="inlineStr">
        <is>
          <t>Övriga Aktiebolag</t>
        </is>
      </c>
      <c r="G188" t="n">
        <v>1.1</v>
      </c>
      <c r="H188" t="n">
        <v>0</v>
      </c>
      <c r="I188" t="n">
        <v>0</v>
      </c>
      <c r="J188" t="n">
        <v>0</v>
      </c>
      <c r="K188" t="n">
        <v>0</v>
      </c>
      <c r="L188" t="n">
        <v>0</v>
      </c>
      <c r="M188" t="n">
        <v>0</v>
      </c>
      <c r="N188" t="n">
        <v>0</v>
      </c>
      <c r="O188" t="n">
        <v>0</v>
      </c>
      <c r="P188" t="n">
        <v>0</v>
      </c>
      <c r="Q188" t="n">
        <v>0</v>
      </c>
      <c r="R188" s="2" t="inlineStr"/>
    </row>
    <row r="189" ht="15" customHeight="1">
      <c r="A189" t="inlineStr">
        <is>
          <t>A 27769-2022</t>
        </is>
      </c>
      <c r="B189" s="1" t="n">
        <v>44743.53200231482</v>
      </c>
      <c r="C189" s="1" t="n">
        <v>45915</v>
      </c>
      <c r="D189" t="inlineStr">
        <is>
          <t>ÖSTERGÖTLANDS LÄN</t>
        </is>
      </c>
      <c r="E189" t="inlineStr">
        <is>
          <t>LINKÖPING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45915</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1787-2022</t>
        </is>
      </c>
      <c r="B191" s="1" t="n">
        <v>44574</v>
      </c>
      <c r="C191" s="1" t="n">
        <v>45915</v>
      </c>
      <c r="D191" t="inlineStr">
        <is>
          <t>ÖSTERGÖTLANDS LÄN</t>
        </is>
      </c>
      <c r="E191" t="inlineStr">
        <is>
          <t>LINKÖPING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948-2022</t>
        </is>
      </c>
      <c r="B192" s="1" t="n">
        <v>44571</v>
      </c>
      <c r="C192" s="1" t="n">
        <v>45915</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45915</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45915</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4929-2021</t>
        </is>
      </c>
      <c r="B195" s="1" t="n">
        <v>44227.57533564815</v>
      </c>
      <c r="C195" s="1" t="n">
        <v>45915</v>
      </c>
      <c r="D195" t="inlineStr">
        <is>
          <t>ÖSTERGÖTLANDS LÄN</t>
        </is>
      </c>
      <c r="E195" t="inlineStr">
        <is>
          <t>LINKÖPING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50401-2020</t>
        </is>
      </c>
      <c r="B196" s="1" t="n">
        <v>44110</v>
      </c>
      <c r="C196" s="1" t="n">
        <v>45915</v>
      </c>
      <c r="D196" t="inlineStr">
        <is>
          <t>ÖSTERGÖTLANDS LÄN</t>
        </is>
      </c>
      <c r="E196" t="inlineStr">
        <is>
          <t>LINKÖPING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37014-2021</t>
        </is>
      </c>
      <c r="B197" s="1" t="n">
        <v>44393</v>
      </c>
      <c r="C197" s="1" t="n">
        <v>45915</v>
      </c>
      <c r="D197" t="inlineStr">
        <is>
          <t>ÖSTERGÖTLANDS LÄN</t>
        </is>
      </c>
      <c r="E197" t="inlineStr">
        <is>
          <t>LINKÖPING</t>
        </is>
      </c>
      <c r="F197" t="inlineStr">
        <is>
          <t>Allmännings- och besparingsskogar</t>
        </is>
      </c>
      <c r="G197" t="n">
        <v>7.7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45915</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38134-2021</t>
        </is>
      </c>
      <c r="B199" s="1" t="n">
        <v>44405.3794212963</v>
      </c>
      <c r="C199" s="1" t="n">
        <v>45915</v>
      </c>
      <c r="D199" t="inlineStr">
        <is>
          <t>ÖSTERGÖTLANDS LÄN</t>
        </is>
      </c>
      <c r="E199" t="inlineStr">
        <is>
          <t>LINKÖPING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9434-2024</t>
        </is>
      </c>
      <c r="B200" s="1" t="n">
        <v>45359</v>
      </c>
      <c r="C200" s="1" t="n">
        <v>45915</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63678-2023</t>
        </is>
      </c>
      <c r="B201" s="1" t="n">
        <v>45275.64769675926</v>
      </c>
      <c r="C201" s="1" t="n">
        <v>45915</v>
      </c>
      <c r="D201" t="inlineStr">
        <is>
          <t>ÖSTERGÖTLANDS LÄN</t>
        </is>
      </c>
      <c r="E201" t="inlineStr">
        <is>
          <t>LINKÖPING</t>
        </is>
      </c>
      <c r="F201" t="inlineStr">
        <is>
          <t>Övriga Aktiebolag</t>
        </is>
      </c>
      <c r="G201" t="n">
        <v>0.4</v>
      </c>
      <c r="H201" t="n">
        <v>0</v>
      </c>
      <c r="I201" t="n">
        <v>0</v>
      </c>
      <c r="J201" t="n">
        <v>0</v>
      </c>
      <c r="K201" t="n">
        <v>0</v>
      </c>
      <c r="L201" t="n">
        <v>0</v>
      </c>
      <c r="M201" t="n">
        <v>0</v>
      </c>
      <c r="N201" t="n">
        <v>0</v>
      </c>
      <c r="O201" t="n">
        <v>0</v>
      </c>
      <c r="P201" t="n">
        <v>0</v>
      </c>
      <c r="Q201" t="n">
        <v>0</v>
      </c>
      <c r="R201" s="2" t="inlineStr"/>
    </row>
    <row r="202" ht="15" customHeight="1">
      <c r="A202" t="inlineStr">
        <is>
          <t>A 63688-2023</t>
        </is>
      </c>
      <c r="B202" s="1" t="n">
        <v>45275</v>
      </c>
      <c r="C202" s="1" t="n">
        <v>45915</v>
      </c>
      <c r="D202" t="inlineStr">
        <is>
          <t>ÖSTERGÖTLANDS LÄN</t>
        </is>
      </c>
      <c r="E202" t="inlineStr">
        <is>
          <t>LINKÖPING</t>
        </is>
      </c>
      <c r="F202" t="inlineStr">
        <is>
          <t>Övriga Aktiebolag</t>
        </is>
      </c>
      <c r="G202" t="n">
        <v>2.4</v>
      </c>
      <c r="H202" t="n">
        <v>0</v>
      </c>
      <c r="I202" t="n">
        <v>0</v>
      </c>
      <c r="J202" t="n">
        <v>0</v>
      </c>
      <c r="K202" t="n">
        <v>0</v>
      </c>
      <c r="L202" t="n">
        <v>0</v>
      </c>
      <c r="M202" t="n">
        <v>0</v>
      </c>
      <c r="N202" t="n">
        <v>0</v>
      </c>
      <c r="O202" t="n">
        <v>0</v>
      </c>
      <c r="P202" t="n">
        <v>0</v>
      </c>
      <c r="Q202" t="n">
        <v>0</v>
      </c>
      <c r="R202" s="2" t="inlineStr"/>
    </row>
    <row r="203" ht="15" customHeight="1">
      <c r="A203" t="inlineStr">
        <is>
          <t>A 63691-2023</t>
        </is>
      </c>
      <c r="B203" s="1" t="n">
        <v>45275</v>
      </c>
      <c r="C203" s="1" t="n">
        <v>45915</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10407-2025</t>
        </is>
      </c>
      <c r="B204" s="1" t="n">
        <v>45720.62863425926</v>
      </c>
      <c r="C204" s="1" t="n">
        <v>45915</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46980-2020</t>
        </is>
      </c>
      <c r="B205" s="1" t="n">
        <v>44090</v>
      </c>
      <c r="C205" s="1" t="n">
        <v>45915</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45915</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44849-2022</t>
        </is>
      </c>
      <c r="B207" s="1" t="n">
        <v>44841</v>
      </c>
      <c r="C207" s="1" t="n">
        <v>45915</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70835-2021</t>
        </is>
      </c>
      <c r="B208" s="1" t="n">
        <v>44537</v>
      </c>
      <c r="C208" s="1" t="n">
        <v>45915</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45915</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39021-2021</t>
        </is>
      </c>
      <c r="B210" s="1" t="n">
        <v>44412</v>
      </c>
      <c r="C210" s="1" t="n">
        <v>45915</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13689-2025</t>
        </is>
      </c>
      <c r="B211" s="1" t="n">
        <v>45737.31590277778</v>
      </c>
      <c r="C211" s="1" t="n">
        <v>45915</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13696-2025</t>
        </is>
      </c>
      <c r="B212" s="1" t="n">
        <v>45737.32273148148</v>
      </c>
      <c r="C212" s="1" t="n">
        <v>45915</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37934-2022</t>
        </is>
      </c>
      <c r="B213" s="1" t="n">
        <v>44809</v>
      </c>
      <c r="C213" s="1" t="n">
        <v>45915</v>
      </c>
      <c r="D213" t="inlineStr">
        <is>
          <t>ÖSTERGÖTLANDS LÄN</t>
        </is>
      </c>
      <c r="E213" t="inlineStr">
        <is>
          <t>LINKÖPING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12428-2024</t>
        </is>
      </c>
      <c r="B214" s="1" t="n">
        <v>45379</v>
      </c>
      <c r="C214" s="1" t="n">
        <v>45915</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45915</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46225-2021</t>
        </is>
      </c>
      <c r="B216" s="1" t="n">
        <v>44442</v>
      </c>
      <c r="C216" s="1" t="n">
        <v>45915</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54428-2022</t>
        </is>
      </c>
      <c r="B217" s="1" t="n">
        <v>44882.57643518518</v>
      </c>
      <c r="C217" s="1" t="n">
        <v>45915</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61532-2021</t>
        </is>
      </c>
      <c r="B218" s="1" t="n">
        <v>44501</v>
      </c>
      <c r="C218" s="1" t="n">
        <v>45915</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3374-2023</t>
        </is>
      </c>
      <c r="B219" s="1" t="n">
        <v>44949</v>
      </c>
      <c r="C219" s="1" t="n">
        <v>45915</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224-2024</t>
        </is>
      </c>
      <c r="B220" s="1" t="n">
        <v>45294</v>
      </c>
      <c r="C220" s="1" t="n">
        <v>45915</v>
      </c>
      <c r="D220" t="inlineStr">
        <is>
          <t>ÖSTERGÖTLANDS LÄN</t>
        </is>
      </c>
      <c r="E220" t="inlineStr">
        <is>
          <t>LINKÖPING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6726-2024</t>
        </is>
      </c>
      <c r="B221" s="1" t="n">
        <v>45341</v>
      </c>
      <c r="C221" s="1" t="n">
        <v>45915</v>
      </c>
      <c r="D221" t="inlineStr">
        <is>
          <t>ÖSTERGÖTLANDS LÄN</t>
        </is>
      </c>
      <c r="E221" t="inlineStr">
        <is>
          <t>LINKÖPING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5872-2025</t>
        </is>
      </c>
      <c r="B222" s="1" t="n">
        <v>45695.36659722222</v>
      </c>
      <c r="C222" s="1" t="n">
        <v>45915</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59674-2024</t>
        </is>
      </c>
      <c r="B223" s="1" t="n">
        <v>45639</v>
      </c>
      <c r="C223" s="1" t="n">
        <v>45915</v>
      </c>
      <c r="D223" t="inlineStr">
        <is>
          <t>ÖSTERGÖTLANDS LÄN</t>
        </is>
      </c>
      <c r="E223" t="inlineStr">
        <is>
          <t>LINKÖPING</t>
        </is>
      </c>
      <c r="G223" t="n">
        <v>6.3</v>
      </c>
      <c r="H223" t="n">
        <v>0</v>
      </c>
      <c r="I223" t="n">
        <v>0</v>
      </c>
      <c r="J223" t="n">
        <v>0</v>
      </c>
      <c r="K223" t="n">
        <v>0</v>
      </c>
      <c r="L223" t="n">
        <v>0</v>
      </c>
      <c r="M223" t="n">
        <v>0</v>
      </c>
      <c r="N223" t="n">
        <v>0</v>
      </c>
      <c r="O223" t="n">
        <v>0</v>
      </c>
      <c r="P223" t="n">
        <v>0</v>
      </c>
      <c r="Q223" t="n">
        <v>0</v>
      </c>
      <c r="R223" s="2" t="inlineStr"/>
    </row>
    <row r="224" ht="15" customHeight="1">
      <c r="A224" t="inlineStr">
        <is>
          <t>A 11790-2024</t>
        </is>
      </c>
      <c r="B224" s="1" t="n">
        <v>45374</v>
      </c>
      <c r="C224" s="1" t="n">
        <v>45915</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59576-2024</t>
        </is>
      </c>
      <c r="B225" s="1" t="n">
        <v>45638.66378472222</v>
      </c>
      <c r="C225" s="1" t="n">
        <v>45915</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72567-2021</t>
        </is>
      </c>
      <c r="B226" s="1" t="n">
        <v>44546.45023148148</v>
      </c>
      <c r="C226" s="1" t="n">
        <v>45915</v>
      </c>
      <c r="D226" t="inlineStr">
        <is>
          <t>ÖSTERGÖTLANDS LÄN</t>
        </is>
      </c>
      <c r="E226" t="inlineStr">
        <is>
          <t>LINKÖPING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51583-2024</t>
        </is>
      </c>
      <c r="B227" s="1" t="n">
        <v>45604.6397337963</v>
      </c>
      <c r="C227" s="1" t="n">
        <v>45915</v>
      </c>
      <c r="D227" t="inlineStr">
        <is>
          <t>ÖSTERGÖTLANDS LÄN</t>
        </is>
      </c>
      <c r="E227" t="inlineStr">
        <is>
          <t>LINKÖPING</t>
        </is>
      </c>
      <c r="F227" t="inlineStr">
        <is>
          <t>Övriga Aktiebolag</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53814-2023</t>
        </is>
      </c>
      <c r="B228" s="1" t="n">
        <v>45231</v>
      </c>
      <c r="C228" s="1" t="n">
        <v>45915</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62019-2024</t>
        </is>
      </c>
      <c r="B229" s="1" t="n">
        <v>45655.82</v>
      </c>
      <c r="C229" s="1" t="n">
        <v>45915</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48962-2022</t>
        </is>
      </c>
      <c r="B230" s="1" t="n">
        <v>44860.31635416667</v>
      </c>
      <c r="C230" s="1" t="n">
        <v>45915</v>
      </c>
      <c r="D230" t="inlineStr">
        <is>
          <t>ÖSTERGÖTLANDS LÄN</t>
        </is>
      </c>
      <c r="E230" t="inlineStr">
        <is>
          <t>LINKÖPING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38317-2024</t>
        </is>
      </c>
      <c r="B231" s="1" t="n">
        <v>45545.65766203704</v>
      </c>
      <c r="C231" s="1" t="n">
        <v>45915</v>
      </c>
      <c r="D231" t="inlineStr">
        <is>
          <t>ÖSTERGÖTLANDS LÄN</t>
        </is>
      </c>
      <c r="E231" t="inlineStr">
        <is>
          <t>LINKÖPING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53647-2021</t>
        </is>
      </c>
      <c r="B232" s="1" t="n">
        <v>44469</v>
      </c>
      <c r="C232" s="1" t="n">
        <v>45915</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22772-2024</t>
        </is>
      </c>
      <c r="B233" s="1" t="n">
        <v>45448.46712962963</v>
      </c>
      <c r="C233" s="1" t="n">
        <v>45915</v>
      </c>
      <c r="D233" t="inlineStr">
        <is>
          <t>ÖSTERGÖTLANDS LÄN</t>
        </is>
      </c>
      <c r="E233" t="inlineStr">
        <is>
          <t>LINKÖPING</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18916-2024</t>
        </is>
      </c>
      <c r="B234" s="1" t="n">
        <v>45427.39541666667</v>
      </c>
      <c r="C234" s="1" t="n">
        <v>45915</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50182-2023</t>
        </is>
      </c>
      <c r="B235" s="1" t="n">
        <v>45208</v>
      </c>
      <c r="C235" s="1" t="n">
        <v>45915</v>
      </c>
      <c r="D235" t="inlineStr">
        <is>
          <t>ÖSTERGÖTLANDS LÄN</t>
        </is>
      </c>
      <c r="E235" t="inlineStr">
        <is>
          <t>LINKÖPING</t>
        </is>
      </c>
      <c r="G235" t="n">
        <v>2.5</v>
      </c>
      <c r="H235" t="n">
        <v>0</v>
      </c>
      <c r="I235" t="n">
        <v>0</v>
      </c>
      <c r="J235" t="n">
        <v>0</v>
      </c>
      <c r="K235" t="n">
        <v>0</v>
      </c>
      <c r="L235" t="n">
        <v>0</v>
      </c>
      <c r="M235" t="n">
        <v>0</v>
      </c>
      <c r="N235" t="n">
        <v>0</v>
      </c>
      <c r="O235" t="n">
        <v>0</v>
      </c>
      <c r="P235" t="n">
        <v>0</v>
      </c>
      <c r="Q235" t="n">
        <v>0</v>
      </c>
      <c r="R235" s="2" t="inlineStr"/>
    </row>
    <row r="236" ht="15" customHeight="1">
      <c r="A236" t="inlineStr">
        <is>
          <t>A 24586-2024</t>
        </is>
      </c>
      <c r="B236" s="1" t="n">
        <v>45460.46664351852</v>
      </c>
      <c r="C236" s="1" t="n">
        <v>45915</v>
      </c>
      <c r="D236" t="inlineStr">
        <is>
          <t>ÖSTERGÖTLANDS LÄN</t>
        </is>
      </c>
      <c r="E236" t="inlineStr">
        <is>
          <t>LINKÖPING</t>
        </is>
      </c>
      <c r="G236" t="n">
        <v>4</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45755.69678240741</v>
      </c>
      <c r="C237" s="1" t="n">
        <v>45915</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45755.70814814815</v>
      </c>
      <c r="C238" s="1" t="n">
        <v>45915</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45755.92731481481</v>
      </c>
      <c r="C239" s="1" t="n">
        <v>45915</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1844-2025</t>
        </is>
      </c>
      <c r="B240" s="1" t="n">
        <v>45671.57730324074</v>
      </c>
      <c r="C240" s="1" t="n">
        <v>45915</v>
      </c>
      <c r="D240" t="inlineStr">
        <is>
          <t>ÖSTERGÖTLANDS LÄN</t>
        </is>
      </c>
      <c r="E240" t="inlineStr">
        <is>
          <t>LINKÖPING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60004-2022</t>
        </is>
      </c>
      <c r="B241" s="1" t="n">
        <v>44909.47206018519</v>
      </c>
      <c r="C241" s="1" t="n">
        <v>45915</v>
      </c>
      <c r="D241" t="inlineStr">
        <is>
          <t>ÖSTERGÖTLANDS LÄN</t>
        </is>
      </c>
      <c r="E241" t="inlineStr">
        <is>
          <t>LINKÖPING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51912-2020</t>
        </is>
      </c>
      <c r="B242" s="1" t="n">
        <v>44116</v>
      </c>
      <c r="C242" s="1" t="n">
        <v>45915</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52796-2023</t>
        </is>
      </c>
      <c r="B243" s="1" t="n">
        <v>45219</v>
      </c>
      <c r="C243" s="1" t="n">
        <v>45915</v>
      </c>
      <c r="D243" t="inlineStr">
        <is>
          <t>ÖSTERGÖTLANDS LÄN</t>
        </is>
      </c>
      <c r="E243" t="inlineStr">
        <is>
          <t>LINKÖPING</t>
        </is>
      </c>
      <c r="F243" t="inlineStr">
        <is>
          <t>Övriga statliga verk och myndigheter</t>
        </is>
      </c>
      <c r="G243" t="n">
        <v>3.9</v>
      </c>
      <c r="H243" t="n">
        <v>0</v>
      </c>
      <c r="I243" t="n">
        <v>0</v>
      </c>
      <c r="J243" t="n">
        <v>0</v>
      </c>
      <c r="K243" t="n">
        <v>0</v>
      </c>
      <c r="L243" t="n">
        <v>0</v>
      </c>
      <c r="M243" t="n">
        <v>0</v>
      </c>
      <c r="N243" t="n">
        <v>0</v>
      </c>
      <c r="O243" t="n">
        <v>0</v>
      </c>
      <c r="P243" t="n">
        <v>0</v>
      </c>
      <c r="Q243" t="n">
        <v>0</v>
      </c>
      <c r="R243" s="2" t="inlineStr"/>
    </row>
    <row r="244" ht="15" customHeight="1">
      <c r="A244" t="inlineStr">
        <is>
          <t>A 50743-2023</t>
        </is>
      </c>
      <c r="B244" s="1" t="n">
        <v>45217</v>
      </c>
      <c r="C244" s="1" t="n">
        <v>45915</v>
      </c>
      <c r="D244" t="inlineStr">
        <is>
          <t>ÖSTERGÖTLANDS LÄN</t>
        </is>
      </c>
      <c r="E244" t="inlineStr">
        <is>
          <t>LINKÖPING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45771-2023</t>
        </is>
      </c>
      <c r="B245" s="1" t="n">
        <v>45195.4384375</v>
      </c>
      <c r="C245" s="1" t="n">
        <v>45915</v>
      </c>
      <c r="D245" t="inlineStr">
        <is>
          <t>ÖSTERGÖTLANDS LÄN</t>
        </is>
      </c>
      <c r="E245" t="inlineStr">
        <is>
          <t>LINKÖPING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39017-2021</t>
        </is>
      </c>
      <c r="B246" s="1" t="n">
        <v>44412</v>
      </c>
      <c r="C246" s="1" t="n">
        <v>45915</v>
      </c>
      <c r="D246" t="inlineStr">
        <is>
          <t>ÖSTERGÖTLANDS LÄN</t>
        </is>
      </c>
      <c r="E246" t="inlineStr">
        <is>
          <t>LINKÖPING</t>
        </is>
      </c>
      <c r="F246" t="inlineStr">
        <is>
          <t>Övriga statliga verk och myndigheter</t>
        </is>
      </c>
      <c r="G246" t="n">
        <v>0.8</v>
      </c>
      <c r="H246" t="n">
        <v>0</v>
      </c>
      <c r="I246" t="n">
        <v>0</v>
      </c>
      <c r="J246" t="n">
        <v>0</v>
      </c>
      <c r="K246" t="n">
        <v>0</v>
      </c>
      <c r="L246" t="n">
        <v>0</v>
      </c>
      <c r="M246" t="n">
        <v>0</v>
      </c>
      <c r="N246" t="n">
        <v>0</v>
      </c>
      <c r="O246" t="n">
        <v>0</v>
      </c>
      <c r="P246" t="n">
        <v>0</v>
      </c>
      <c r="Q246" t="n">
        <v>0</v>
      </c>
      <c r="R246" s="2" t="inlineStr"/>
    </row>
    <row r="247" ht="15" customHeight="1">
      <c r="A247" t="inlineStr">
        <is>
          <t>A 63554-2023</t>
        </is>
      </c>
      <c r="B247" s="1" t="n">
        <v>45275</v>
      </c>
      <c r="C247" s="1" t="n">
        <v>45915</v>
      </c>
      <c r="D247" t="inlineStr">
        <is>
          <t>ÖSTERGÖTLANDS LÄN</t>
        </is>
      </c>
      <c r="E247" t="inlineStr">
        <is>
          <t>LINKÖPING</t>
        </is>
      </c>
      <c r="G247" t="n">
        <v>4.3</v>
      </c>
      <c r="H247" t="n">
        <v>0</v>
      </c>
      <c r="I247" t="n">
        <v>0</v>
      </c>
      <c r="J247" t="n">
        <v>0</v>
      </c>
      <c r="K247" t="n">
        <v>0</v>
      </c>
      <c r="L247" t="n">
        <v>0</v>
      </c>
      <c r="M247" t="n">
        <v>0</v>
      </c>
      <c r="N247" t="n">
        <v>0</v>
      </c>
      <c r="O247" t="n">
        <v>0</v>
      </c>
      <c r="P247" t="n">
        <v>0</v>
      </c>
      <c r="Q247" t="n">
        <v>0</v>
      </c>
      <c r="R247" s="2" t="inlineStr"/>
    </row>
    <row r="248" ht="15" customHeight="1">
      <c r="A248" t="inlineStr">
        <is>
          <t>A 30111-2024</t>
        </is>
      </c>
      <c r="B248" s="1" t="n">
        <v>45489.46947916667</v>
      </c>
      <c r="C248" s="1" t="n">
        <v>45915</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30119-2024</t>
        </is>
      </c>
      <c r="B249" s="1" t="n">
        <v>45489</v>
      </c>
      <c r="C249" s="1" t="n">
        <v>45915</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6206-2024</t>
        </is>
      </c>
      <c r="B250" s="1" t="n">
        <v>45337.5977662037</v>
      </c>
      <c r="C250" s="1" t="n">
        <v>45915</v>
      </c>
      <c r="D250" t="inlineStr">
        <is>
          <t>ÖSTERGÖTLANDS LÄN</t>
        </is>
      </c>
      <c r="E250" t="inlineStr">
        <is>
          <t>LINKÖPING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21155-2025</t>
        </is>
      </c>
      <c r="B251" s="1" t="n">
        <v>45779.37586805555</v>
      </c>
      <c r="C251" s="1" t="n">
        <v>45915</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21165-2025</t>
        </is>
      </c>
      <c r="B252" s="1" t="n">
        <v>45779.39417824074</v>
      </c>
      <c r="C252" s="1" t="n">
        <v>45915</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16820-2024</t>
        </is>
      </c>
      <c r="B253" s="1" t="n">
        <v>45411.46809027778</v>
      </c>
      <c r="C253" s="1" t="n">
        <v>45915</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15714-2024</t>
        </is>
      </c>
      <c r="B254" s="1" t="n">
        <v>45404.48288194444</v>
      </c>
      <c r="C254" s="1" t="n">
        <v>45915</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30481-2023</t>
        </is>
      </c>
      <c r="B255" s="1" t="n">
        <v>45111</v>
      </c>
      <c r="C255" s="1" t="n">
        <v>45915</v>
      </c>
      <c r="D255" t="inlineStr">
        <is>
          <t>ÖSTERGÖTLANDS LÄN</t>
        </is>
      </c>
      <c r="E255" t="inlineStr">
        <is>
          <t>LINKÖPING</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30980-2022</t>
        </is>
      </c>
      <c r="B256" s="1" t="n">
        <v>44768</v>
      </c>
      <c r="C256" s="1" t="n">
        <v>45915</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74160-2021</t>
        </is>
      </c>
      <c r="B257" s="1" t="n">
        <v>44558</v>
      </c>
      <c r="C257" s="1" t="n">
        <v>45915</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63559-2023</t>
        </is>
      </c>
      <c r="B258" s="1" t="n">
        <v>45275.35924768518</v>
      </c>
      <c r="C258" s="1" t="n">
        <v>45915</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23491-2024</t>
        </is>
      </c>
      <c r="B259" s="1" t="n">
        <v>45453</v>
      </c>
      <c r="C259" s="1" t="n">
        <v>45915</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24351-2024</t>
        </is>
      </c>
      <c r="B260" s="1" t="n">
        <v>45457.59011574074</v>
      </c>
      <c r="C260" s="1" t="n">
        <v>45915</v>
      </c>
      <c r="D260" t="inlineStr">
        <is>
          <t>ÖSTERGÖTLANDS LÄN</t>
        </is>
      </c>
      <c r="E260" t="inlineStr">
        <is>
          <t>LINKÖPING</t>
        </is>
      </c>
      <c r="G260" t="n">
        <v>11.9</v>
      </c>
      <c r="H260" t="n">
        <v>0</v>
      </c>
      <c r="I260" t="n">
        <v>0</v>
      </c>
      <c r="J260" t="n">
        <v>0</v>
      </c>
      <c r="K260" t="n">
        <v>0</v>
      </c>
      <c r="L260" t="n">
        <v>0</v>
      </c>
      <c r="M260" t="n">
        <v>0</v>
      </c>
      <c r="N260" t="n">
        <v>0</v>
      </c>
      <c r="O260" t="n">
        <v>0</v>
      </c>
      <c r="P260" t="n">
        <v>0</v>
      </c>
      <c r="Q260" t="n">
        <v>0</v>
      </c>
      <c r="R260" s="2" t="inlineStr"/>
    </row>
    <row r="261" ht="15" customHeight="1">
      <c r="A261" t="inlineStr">
        <is>
          <t>A 29309-2024</t>
        </is>
      </c>
      <c r="B261" s="1" t="n">
        <v>45483</v>
      </c>
      <c r="C261" s="1" t="n">
        <v>45915</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29411-2023</t>
        </is>
      </c>
      <c r="B262" s="1" t="n">
        <v>45106.46225694445</v>
      </c>
      <c r="C262" s="1" t="n">
        <v>45915</v>
      </c>
      <c r="D262" t="inlineStr">
        <is>
          <t>ÖSTERGÖTLANDS LÄN</t>
        </is>
      </c>
      <c r="E262" t="inlineStr">
        <is>
          <t>LINKÖPING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29412-2023</t>
        </is>
      </c>
      <c r="B263" s="1" t="n">
        <v>45106.46359953703</v>
      </c>
      <c r="C263" s="1" t="n">
        <v>45915</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29413-2023</t>
        </is>
      </c>
      <c r="B264" s="1" t="n">
        <v>45106.46465277778</v>
      </c>
      <c r="C264" s="1" t="n">
        <v>45915</v>
      </c>
      <c r="D264" t="inlineStr">
        <is>
          <t>ÖSTERGÖTLANDS LÄN</t>
        </is>
      </c>
      <c r="E264" t="inlineStr">
        <is>
          <t>LINKÖPING</t>
        </is>
      </c>
      <c r="G264" t="n">
        <v>8</v>
      </c>
      <c r="H264" t="n">
        <v>0</v>
      </c>
      <c r="I264" t="n">
        <v>0</v>
      </c>
      <c r="J264" t="n">
        <v>0</v>
      </c>
      <c r="K264" t="n">
        <v>0</v>
      </c>
      <c r="L264" t="n">
        <v>0</v>
      </c>
      <c r="M264" t="n">
        <v>0</v>
      </c>
      <c r="N264" t="n">
        <v>0</v>
      </c>
      <c r="O264" t="n">
        <v>0</v>
      </c>
      <c r="P264" t="n">
        <v>0</v>
      </c>
      <c r="Q264" t="n">
        <v>0</v>
      </c>
      <c r="R264" s="2" t="inlineStr"/>
    </row>
    <row r="265" ht="15" customHeight="1">
      <c r="A265" t="inlineStr">
        <is>
          <t>A 57752-2023</t>
        </is>
      </c>
      <c r="B265" s="1" t="n">
        <v>45246.78474537037</v>
      </c>
      <c r="C265" s="1" t="n">
        <v>45915</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62501-2023</t>
        </is>
      </c>
      <c r="B266" s="1" t="n">
        <v>45268</v>
      </c>
      <c r="C266" s="1" t="n">
        <v>45915</v>
      </c>
      <c r="D266" t="inlineStr">
        <is>
          <t>ÖSTERGÖTLANDS LÄN</t>
        </is>
      </c>
      <c r="E266" t="inlineStr">
        <is>
          <t>LINKÖPING</t>
        </is>
      </c>
      <c r="G266" t="n">
        <v>7.4</v>
      </c>
      <c r="H266" t="n">
        <v>0</v>
      </c>
      <c r="I266" t="n">
        <v>0</v>
      </c>
      <c r="J266" t="n">
        <v>0</v>
      </c>
      <c r="K266" t="n">
        <v>0</v>
      </c>
      <c r="L266" t="n">
        <v>0</v>
      </c>
      <c r="M266" t="n">
        <v>0</v>
      </c>
      <c r="N266" t="n">
        <v>0</v>
      </c>
      <c r="O266" t="n">
        <v>0</v>
      </c>
      <c r="P266" t="n">
        <v>0</v>
      </c>
      <c r="Q266" t="n">
        <v>0</v>
      </c>
      <c r="R266" s="2" t="inlineStr"/>
    </row>
    <row r="267" ht="15" customHeight="1">
      <c r="A267" t="inlineStr">
        <is>
          <t>A 58947-2022</t>
        </is>
      </c>
      <c r="B267" s="1" t="n">
        <v>44903.64769675926</v>
      </c>
      <c r="C267" s="1" t="n">
        <v>45915</v>
      </c>
      <c r="D267" t="inlineStr">
        <is>
          <t>ÖSTERGÖTLANDS LÄN</t>
        </is>
      </c>
      <c r="E267" t="inlineStr">
        <is>
          <t>LINKÖPING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49979-2022</t>
        </is>
      </c>
      <c r="B268" s="1" t="n">
        <v>44865</v>
      </c>
      <c r="C268" s="1" t="n">
        <v>45915</v>
      </c>
      <c r="D268" t="inlineStr">
        <is>
          <t>ÖSTERGÖTLANDS LÄN</t>
        </is>
      </c>
      <c r="E268" t="inlineStr">
        <is>
          <t>LINKÖPING</t>
        </is>
      </c>
      <c r="F268" t="inlineStr">
        <is>
          <t>Övriga Aktiebolag</t>
        </is>
      </c>
      <c r="G268" t="n">
        <v>11.4</v>
      </c>
      <c r="H268" t="n">
        <v>0</v>
      </c>
      <c r="I268" t="n">
        <v>0</v>
      </c>
      <c r="J268" t="n">
        <v>0</v>
      </c>
      <c r="K268" t="n">
        <v>0</v>
      </c>
      <c r="L268" t="n">
        <v>0</v>
      </c>
      <c r="M268" t="n">
        <v>0</v>
      </c>
      <c r="N268" t="n">
        <v>0</v>
      </c>
      <c r="O268" t="n">
        <v>0</v>
      </c>
      <c r="P268" t="n">
        <v>0</v>
      </c>
      <c r="Q268" t="n">
        <v>0</v>
      </c>
      <c r="R268" s="2" t="inlineStr"/>
    </row>
    <row r="269" ht="15" customHeight="1">
      <c r="A269" t="inlineStr">
        <is>
          <t>A 24151-2024</t>
        </is>
      </c>
      <c r="B269" s="1" t="n">
        <v>45456.67717592593</v>
      </c>
      <c r="C269" s="1" t="n">
        <v>45915</v>
      </c>
      <c r="D269" t="inlineStr">
        <is>
          <t>ÖSTERGÖTLANDS LÄN</t>
        </is>
      </c>
      <c r="E269" t="inlineStr">
        <is>
          <t>LINKÖPING</t>
        </is>
      </c>
      <c r="G269" t="n">
        <v>2.1</v>
      </c>
      <c r="H269" t="n">
        <v>0</v>
      </c>
      <c r="I269" t="n">
        <v>0</v>
      </c>
      <c r="J269" t="n">
        <v>0</v>
      </c>
      <c r="K269" t="n">
        <v>0</v>
      </c>
      <c r="L269" t="n">
        <v>0</v>
      </c>
      <c r="M269" t="n">
        <v>0</v>
      </c>
      <c r="N269" t="n">
        <v>0</v>
      </c>
      <c r="O269" t="n">
        <v>0</v>
      </c>
      <c r="P269" t="n">
        <v>0</v>
      </c>
      <c r="Q269" t="n">
        <v>0</v>
      </c>
      <c r="R269" s="2" t="inlineStr"/>
    </row>
    <row r="270" ht="15" customHeight="1">
      <c r="A270" t="inlineStr">
        <is>
          <t>A 53827-2023</t>
        </is>
      </c>
      <c r="B270" s="1" t="n">
        <v>45230</v>
      </c>
      <c r="C270" s="1" t="n">
        <v>45915</v>
      </c>
      <c r="D270" t="inlineStr">
        <is>
          <t>ÖSTERGÖTLANDS LÄN</t>
        </is>
      </c>
      <c r="E270" t="inlineStr">
        <is>
          <t>LINKÖPING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63845-2021</t>
        </is>
      </c>
      <c r="B271" s="1" t="n">
        <v>44509</v>
      </c>
      <c r="C271" s="1" t="n">
        <v>45915</v>
      </c>
      <c r="D271" t="inlineStr">
        <is>
          <t>ÖSTERGÖTLANDS LÄN</t>
        </is>
      </c>
      <c r="E271" t="inlineStr">
        <is>
          <t>LINKÖPING</t>
        </is>
      </c>
      <c r="G271" t="n">
        <v>5</v>
      </c>
      <c r="H271" t="n">
        <v>0</v>
      </c>
      <c r="I271" t="n">
        <v>0</v>
      </c>
      <c r="J271" t="n">
        <v>0</v>
      </c>
      <c r="K271" t="n">
        <v>0</v>
      </c>
      <c r="L271" t="n">
        <v>0</v>
      </c>
      <c r="M271" t="n">
        <v>0</v>
      </c>
      <c r="N271" t="n">
        <v>0</v>
      </c>
      <c r="O271" t="n">
        <v>0</v>
      </c>
      <c r="P271" t="n">
        <v>0</v>
      </c>
      <c r="Q271" t="n">
        <v>0</v>
      </c>
      <c r="R271" s="2" t="inlineStr"/>
    </row>
    <row r="272" ht="15" customHeight="1">
      <c r="A272" t="inlineStr">
        <is>
          <t>A 940-2023</t>
        </is>
      </c>
      <c r="B272" s="1" t="n">
        <v>44933</v>
      </c>
      <c r="C272" s="1" t="n">
        <v>45915</v>
      </c>
      <c r="D272" t="inlineStr">
        <is>
          <t>ÖSTERGÖTLANDS LÄN</t>
        </is>
      </c>
      <c r="E272" t="inlineStr">
        <is>
          <t>LINKÖPING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17785-2023</t>
        </is>
      </c>
      <c r="B273" s="1" t="n">
        <v>45037.55094907407</v>
      </c>
      <c r="C273" s="1" t="n">
        <v>45915</v>
      </c>
      <c r="D273" t="inlineStr">
        <is>
          <t>ÖSTERGÖTLANDS LÄN</t>
        </is>
      </c>
      <c r="E273" t="inlineStr">
        <is>
          <t>LINKÖPING</t>
        </is>
      </c>
      <c r="F273" t="inlineStr">
        <is>
          <t>Allmännings- och besparingsskogar</t>
        </is>
      </c>
      <c r="G273" t="n">
        <v>3.1</v>
      </c>
      <c r="H273" t="n">
        <v>0</v>
      </c>
      <c r="I273" t="n">
        <v>0</v>
      </c>
      <c r="J273" t="n">
        <v>0</v>
      </c>
      <c r="K273" t="n">
        <v>0</v>
      </c>
      <c r="L273" t="n">
        <v>0</v>
      </c>
      <c r="M273" t="n">
        <v>0</v>
      </c>
      <c r="N273" t="n">
        <v>0</v>
      </c>
      <c r="O273" t="n">
        <v>0</v>
      </c>
      <c r="P273" t="n">
        <v>0</v>
      </c>
      <c r="Q273" t="n">
        <v>0</v>
      </c>
      <c r="R273" s="2" t="inlineStr"/>
    </row>
    <row r="274" ht="15" customHeight="1">
      <c r="A274" t="inlineStr">
        <is>
          <t>A 32346-2023</t>
        </is>
      </c>
      <c r="B274" s="1" t="n">
        <v>45120</v>
      </c>
      <c r="C274" s="1" t="n">
        <v>45915</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9473-2024</t>
        </is>
      </c>
      <c r="B275" s="1" t="n">
        <v>45359.55474537037</v>
      </c>
      <c r="C275" s="1" t="n">
        <v>45915</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7992-2023</t>
        </is>
      </c>
      <c r="B276" s="1" t="n">
        <v>44970</v>
      </c>
      <c r="C276" s="1" t="n">
        <v>45915</v>
      </c>
      <c r="D276" t="inlineStr">
        <is>
          <t>ÖSTERGÖTLANDS LÄN</t>
        </is>
      </c>
      <c r="E276" t="inlineStr">
        <is>
          <t>LINKÖPING</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10797-2024</t>
        </is>
      </c>
      <c r="B277" s="1" t="n">
        <v>45369.6190162037</v>
      </c>
      <c r="C277" s="1" t="n">
        <v>45915</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1627-2023</t>
        </is>
      </c>
      <c r="B278" s="1" t="n">
        <v>44937</v>
      </c>
      <c r="C278" s="1" t="n">
        <v>45915</v>
      </c>
      <c r="D278" t="inlineStr">
        <is>
          <t>ÖSTERGÖTLANDS LÄN</t>
        </is>
      </c>
      <c r="E278" t="inlineStr">
        <is>
          <t>LINKÖPING</t>
        </is>
      </c>
      <c r="G278" t="n">
        <v>10.8</v>
      </c>
      <c r="H278" t="n">
        <v>0</v>
      </c>
      <c r="I278" t="n">
        <v>0</v>
      </c>
      <c r="J278" t="n">
        <v>0</v>
      </c>
      <c r="K278" t="n">
        <v>0</v>
      </c>
      <c r="L278" t="n">
        <v>0</v>
      </c>
      <c r="M278" t="n">
        <v>0</v>
      </c>
      <c r="N278" t="n">
        <v>0</v>
      </c>
      <c r="O278" t="n">
        <v>0</v>
      </c>
      <c r="P278" t="n">
        <v>0</v>
      </c>
      <c r="Q278" t="n">
        <v>0</v>
      </c>
      <c r="R278" s="2" t="inlineStr"/>
    </row>
    <row r="279" ht="15" customHeight="1">
      <c r="A279" t="inlineStr">
        <is>
          <t>A 45819-2024</t>
        </is>
      </c>
      <c r="B279" s="1" t="n">
        <v>45579.7454050926</v>
      </c>
      <c r="C279" s="1" t="n">
        <v>45915</v>
      </c>
      <c r="D279" t="inlineStr">
        <is>
          <t>ÖSTERGÖTLANDS LÄN</t>
        </is>
      </c>
      <c r="E279" t="inlineStr">
        <is>
          <t>LINKÖPING</t>
        </is>
      </c>
      <c r="G279" t="n">
        <v>5</v>
      </c>
      <c r="H279" t="n">
        <v>0</v>
      </c>
      <c r="I279" t="n">
        <v>0</v>
      </c>
      <c r="J279" t="n">
        <v>0</v>
      </c>
      <c r="K279" t="n">
        <v>0</v>
      </c>
      <c r="L279" t="n">
        <v>0</v>
      </c>
      <c r="M279" t="n">
        <v>0</v>
      </c>
      <c r="N279" t="n">
        <v>0</v>
      </c>
      <c r="O279" t="n">
        <v>0</v>
      </c>
      <c r="P279" t="n">
        <v>0</v>
      </c>
      <c r="Q279" t="n">
        <v>0</v>
      </c>
      <c r="R279" s="2" t="inlineStr"/>
    </row>
    <row r="280" ht="15" customHeight="1">
      <c r="A280" t="inlineStr">
        <is>
          <t>A 22264-2025</t>
        </is>
      </c>
      <c r="B280" s="1" t="n">
        <v>45785</v>
      </c>
      <c r="C280" s="1" t="n">
        <v>45915</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3041-2024</t>
        </is>
      </c>
      <c r="B281" s="1" t="n">
        <v>45316.34875</v>
      </c>
      <c r="C281" s="1" t="n">
        <v>45915</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3043-2024</t>
        </is>
      </c>
      <c r="B282" s="1" t="n">
        <v>45316</v>
      </c>
      <c r="C282" s="1" t="n">
        <v>45915</v>
      </c>
      <c r="D282" t="inlineStr">
        <is>
          <t>ÖSTERGÖTLANDS LÄN</t>
        </is>
      </c>
      <c r="E282" t="inlineStr">
        <is>
          <t>LINKÖPING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16665-2023</t>
        </is>
      </c>
      <c r="B283" s="1" t="n">
        <v>45030.5583912037</v>
      </c>
      <c r="C283" s="1" t="n">
        <v>45915</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60860-2024</t>
        </is>
      </c>
      <c r="B284" s="1" t="n">
        <v>45644.6893287037</v>
      </c>
      <c r="C284" s="1" t="n">
        <v>45915</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31640-2023</t>
        </is>
      </c>
      <c r="B285" s="1" t="n">
        <v>45117</v>
      </c>
      <c r="C285" s="1" t="n">
        <v>45915</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16213-2025</t>
        </is>
      </c>
      <c r="B286" s="1" t="n">
        <v>45750.62740740741</v>
      </c>
      <c r="C286" s="1" t="n">
        <v>45915</v>
      </c>
      <c r="D286" t="inlineStr">
        <is>
          <t>ÖSTERGÖTLANDS LÄN</t>
        </is>
      </c>
      <c r="E286" t="inlineStr">
        <is>
          <t>LINKÖPING</t>
        </is>
      </c>
      <c r="G286" t="n">
        <v>3.4</v>
      </c>
      <c r="H286" t="n">
        <v>0</v>
      </c>
      <c r="I286" t="n">
        <v>0</v>
      </c>
      <c r="J286" t="n">
        <v>0</v>
      </c>
      <c r="K286" t="n">
        <v>0</v>
      </c>
      <c r="L286" t="n">
        <v>0</v>
      </c>
      <c r="M286" t="n">
        <v>0</v>
      </c>
      <c r="N286" t="n">
        <v>0</v>
      </c>
      <c r="O286" t="n">
        <v>0</v>
      </c>
      <c r="P286" t="n">
        <v>0</v>
      </c>
      <c r="Q286" t="n">
        <v>0</v>
      </c>
      <c r="R286" s="2" t="inlineStr"/>
    </row>
    <row r="287" ht="15" customHeight="1">
      <c r="A287" t="inlineStr">
        <is>
          <t>A 3530-2024</t>
        </is>
      </c>
      <c r="B287" s="1" t="n">
        <v>45320.54717592592</v>
      </c>
      <c r="C287" s="1" t="n">
        <v>45915</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34872-2023</t>
        </is>
      </c>
      <c r="B288" s="1" t="n">
        <v>45140</v>
      </c>
      <c r="C288" s="1" t="n">
        <v>45915</v>
      </c>
      <c r="D288" t="inlineStr">
        <is>
          <t>ÖSTERGÖTLANDS LÄN</t>
        </is>
      </c>
      <c r="E288" t="inlineStr">
        <is>
          <t>LINKÖPING</t>
        </is>
      </c>
      <c r="G288" t="n">
        <v>4.8</v>
      </c>
      <c r="H288" t="n">
        <v>0</v>
      </c>
      <c r="I288" t="n">
        <v>0</v>
      </c>
      <c r="J288" t="n">
        <v>0</v>
      </c>
      <c r="K288" t="n">
        <v>0</v>
      </c>
      <c r="L288" t="n">
        <v>0</v>
      </c>
      <c r="M288" t="n">
        <v>0</v>
      </c>
      <c r="N288" t="n">
        <v>0</v>
      </c>
      <c r="O288" t="n">
        <v>0</v>
      </c>
      <c r="P288" t="n">
        <v>0</v>
      </c>
      <c r="Q288" t="n">
        <v>0</v>
      </c>
      <c r="R288" s="2" t="inlineStr"/>
    </row>
    <row r="289" ht="15" customHeight="1">
      <c r="A289" t="inlineStr">
        <is>
          <t>A 33000-2023</t>
        </is>
      </c>
      <c r="B289" s="1" t="n">
        <v>45125</v>
      </c>
      <c r="C289" s="1" t="n">
        <v>45915</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6859-2024</t>
        </is>
      </c>
      <c r="B290" s="1" t="n">
        <v>45342</v>
      </c>
      <c r="C290" s="1" t="n">
        <v>45915</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34486-2021</t>
        </is>
      </c>
      <c r="B291" s="1" t="n">
        <v>44382.29295138889</v>
      </c>
      <c r="C291" s="1" t="n">
        <v>45915</v>
      </c>
      <c r="D291" t="inlineStr">
        <is>
          <t>ÖSTERGÖTLANDS LÄN</t>
        </is>
      </c>
      <c r="E291" t="inlineStr">
        <is>
          <t>LINKÖPING</t>
        </is>
      </c>
      <c r="G291" t="n">
        <v>4.4</v>
      </c>
      <c r="H291" t="n">
        <v>0</v>
      </c>
      <c r="I291" t="n">
        <v>0</v>
      </c>
      <c r="J291" t="n">
        <v>0</v>
      </c>
      <c r="K291" t="n">
        <v>0</v>
      </c>
      <c r="L291" t="n">
        <v>0</v>
      </c>
      <c r="M291" t="n">
        <v>0</v>
      </c>
      <c r="N291" t="n">
        <v>0</v>
      </c>
      <c r="O291" t="n">
        <v>0</v>
      </c>
      <c r="P291" t="n">
        <v>0</v>
      </c>
      <c r="Q291" t="n">
        <v>0</v>
      </c>
      <c r="R291" s="2" t="inlineStr"/>
    </row>
    <row r="292" ht="15" customHeight="1">
      <c r="A292" t="inlineStr">
        <is>
          <t>A 3042-2024</t>
        </is>
      </c>
      <c r="B292" s="1" t="n">
        <v>45316.35028935185</v>
      </c>
      <c r="C292" s="1" t="n">
        <v>45915</v>
      </c>
      <c r="D292" t="inlineStr">
        <is>
          <t>ÖSTERGÖTLANDS LÄN</t>
        </is>
      </c>
      <c r="E292" t="inlineStr">
        <is>
          <t>LINKÖPING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38580-2024</t>
        </is>
      </c>
      <c r="B293" s="1" t="n">
        <v>45546.64825231482</v>
      </c>
      <c r="C293" s="1" t="n">
        <v>45915</v>
      </c>
      <c r="D293" t="inlineStr">
        <is>
          <t>ÖSTERGÖTLANDS LÄN</t>
        </is>
      </c>
      <c r="E293" t="inlineStr">
        <is>
          <t>LINKÖPING</t>
        </is>
      </c>
      <c r="G293" t="n">
        <v>4.8</v>
      </c>
      <c r="H293" t="n">
        <v>0</v>
      </c>
      <c r="I293" t="n">
        <v>0</v>
      </c>
      <c r="J293" t="n">
        <v>0</v>
      </c>
      <c r="K293" t="n">
        <v>0</v>
      </c>
      <c r="L293" t="n">
        <v>0</v>
      </c>
      <c r="M293" t="n">
        <v>0</v>
      </c>
      <c r="N293" t="n">
        <v>0</v>
      </c>
      <c r="O293" t="n">
        <v>0</v>
      </c>
      <c r="P293" t="n">
        <v>0</v>
      </c>
      <c r="Q293" t="n">
        <v>0</v>
      </c>
      <c r="R293" s="2" t="inlineStr"/>
    </row>
    <row r="294" ht="15" customHeight="1">
      <c r="A294" t="inlineStr">
        <is>
          <t>A 62686-2023</t>
        </is>
      </c>
      <c r="B294" s="1" t="n">
        <v>45271</v>
      </c>
      <c r="C294" s="1" t="n">
        <v>45915</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572-2025</t>
        </is>
      </c>
      <c r="B295" s="1" t="n">
        <v>45664.56349537037</v>
      </c>
      <c r="C295" s="1" t="n">
        <v>45915</v>
      </c>
      <c r="D295" t="inlineStr">
        <is>
          <t>ÖSTERGÖTLANDS LÄN</t>
        </is>
      </c>
      <c r="E295" t="inlineStr">
        <is>
          <t>LINKÖPING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22364-2025</t>
        </is>
      </c>
      <c r="B296" s="1" t="n">
        <v>45786.46930555555</v>
      </c>
      <c r="C296" s="1" t="n">
        <v>45915</v>
      </c>
      <c r="D296" t="inlineStr">
        <is>
          <t>ÖSTERGÖTLANDS LÄN</t>
        </is>
      </c>
      <c r="E296" t="inlineStr">
        <is>
          <t>LINKÖPING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44287-2024</t>
        </is>
      </c>
      <c r="B297" s="1" t="n">
        <v>45573.50582175926</v>
      </c>
      <c r="C297" s="1" t="n">
        <v>45915</v>
      </c>
      <c r="D297" t="inlineStr">
        <is>
          <t>ÖSTERGÖTLANDS LÄN</t>
        </is>
      </c>
      <c r="E297" t="inlineStr">
        <is>
          <t>LINKÖPING</t>
        </is>
      </c>
      <c r="G297" t="n">
        <v>12.7</v>
      </c>
      <c r="H297" t="n">
        <v>0</v>
      </c>
      <c r="I297" t="n">
        <v>0</v>
      </c>
      <c r="J297" t="n">
        <v>0</v>
      </c>
      <c r="K297" t="n">
        <v>0</v>
      </c>
      <c r="L297" t="n">
        <v>0</v>
      </c>
      <c r="M297" t="n">
        <v>0</v>
      </c>
      <c r="N297" t="n">
        <v>0</v>
      </c>
      <c r="O297" t="n">
        <v>0</v>
      </c>
      <c r="P297" t="n">
        <v>0</v>
      </c>
      <c r="Q297" t="n">
        <v>0</v>
      </c>
      <c r="R297" s="2" t="inlineStr"/>
    </row>
    <row r="298" ht="15" customHeight="1">
      <c r="A298" t="inlineStr">
        <is>
          <t>A 2997-2025</t>
        </is>
      </c>
      <c r="B298" s="1" t="n">
        <v>45678.54631944445</v>
      </c>
      <c r="C298" s="1" t="n">
        <v>45915</v>
      </c>
      <c r="D298" t="inlineStr">
        <is>
          <t>ÖSTERGÖTLANDS LÄN</t>
        </is>
      </c>
      <c r="E298" t="inlineStr">
        <is>
          <t>LINKÖPING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31534-2023</t>
        </is>
      </c>
      <c r="B299" s="1" t="n">
        <v>45116</v>
      </c>
      <c r="C299" s="1" t="n">
        <v>45915</v>
      </c>
      <c r="D299" t="inlineStr">
        <is>
          <t>ÖSTERGÖTLANDS LÄN</t>
        </is>
      </c>
      <c r="E299" t="inlineStr">
        <is>
          <t>LINKÖPING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55345-2021</t>
        </is>
      </c>
      <c r="B300" s="1" t="n">
        <v>44475</v>
      </c>
      <c r="C300" s="1" t="n">
        <v>45915</v>
      </c>
      <c r="D300" t="inlineStr">
        <is>
          <t>ÖSTERGÖTLANDS LÄN</t>
        </is>
      </c>
      <c r="E300" t="inlineStr">
        <is>
          <t>LINKÖPING</t>
        </is>
      </c>
      <c r="G300" t="n">
        <v>5.7</v>
      </c>
      <c r="H300" t="n">
        <v>0</v>
      </c>
      <c r="I300" t="n">
        <v>0</v>
      </c>
      <c r="J300" t="n">
        <v>0</v>
      </c>
      <c r="K300" t="n">
        <v>0</v>
      </c>
      <c r="L300" t="n">
        <v>0</v>
      </c>
      <c r="M300" t="n">
        <v>0</v>
      </c>
      <c r="N300" t="n">
        <v>0</v>
      </c>
      <c r="O300" t="n">
        <v>0</v>
      </c>
      <c r="P300" t="n">
        <v>0</v>
      </c>
      <c r="Q300" t="n">
        <v>0</v>
      </c>
      <c r="R300" s="2" t="inlineStr"/>
    </row>
    <row r="301" ht="15" customHeight="1">
      <c r="A301" t="inlineStr">
        <is>
          <t>A 63489-2023</t>
        </is>
      </c>
      <c r="B301" s="1" t="n">
        <v>45274.66761574074</v>
      </c>
      <c r="C301" s="1" t="n">
        <v>45915</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45915</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29312-2024</t>
        </is>
      </c>
      <c r="B303" s="1" t="n">
        <v>45483</v>
      </c>
      <c r="C303" s="1" t="n">
        <v>45915</v>
      </c>
      <c r="D303" t="inlineStr">
        <is>
          <t>ÖSTERGÖTLANDS LÄN</t>
        </is>
      </c>
      <c r="E303" t="inlineStr">
        <is>
          <t>LINKÖPING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45915</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70-2024</t>
        </is>
      </c>
      <c r="B305" s="1" t="n">
        <v>45293</v>
      </c>
      <c r="C305" s="1" t="n">
        <v>45915</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10253-2022</t>
        </is>
      </c>
      <c r="B306" s="1" t="n">
        <v>44622</v>
      </c>
      <c r="C306" s="1" t="n">
        <v>45915</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37154-2023</t>
        </is>
      </c>
      <c r="B307" s="1" t="n">
        <v>45155</v>
      </c>
      <c r="C307" s="1" t="n">
        <v>45915</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6782-2024</t>
        </is>
      </c>
      <c r="B308" s="1" t="n">
        <v>45342</v>
      </c>
      <c r="C308" s="1" t="n">
        <v>45915</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11330-2023</t>
        </is>
      </c>
      <c r="B309" s="1" t="n">
        <v>44993.24648148148</v>
      </c>
      <c r="C309" s="1" t="n">
        <v>45915</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42000-2023</t>
        </is>
      </c>
      <c r="B310" s="1" t="n">
        <v>45177</v>
      </c>
      <c r="C310" s="1" t="n">
        <v>45915</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617-2024</t>
        </is>
      </c>
      <c r="B311" s="1" t="n">
        <v>45299.66028935185</v>
      </c>
      <c r="C311" s="1" t="n">
        <v>45915</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670-2024</t>
        </is>
      </c>
      <c r="B312" s="1" t="n">
        <v>45300.3408912037</v>
      </c>
      <c r="C312" s="1" t="n">
        <v>45915</v>
      </c>
      <c r="D312" t="inlineStr">
        <is>
          <t>ÖSTERGÖTLANDS LÄN</t>
        </is>
      </c>
      <c r="E312" t="inlineStr">
        <is>
          <t>LINKÖPING</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23120-2025</t>
        </is>
      </c>
      <c r="B313" s="1" t="n">
        <v>45791.37481481482</v>
      </c>
      <c r="C313" s="1" t="n">
        <v>45915</v>
      </c>
      <c r="D313" t="inlineStr">
        <is>
          <t>ÖSTERGÖTLANDS LÄN</t>
        </is>
      </c>
      <c r="E313" t="inlineStr">
        <is>
          <t>LINKÖPING</t>
        </is>
      </c>
      <c r="G313" t="n">
        <v>2.9</v>
      </c>
      <c r="H313" t="n">
        <v>0</v>
      </c>
      <c r="I313" t="n">
        <v>0</v>
      </c>
      <c r="J313" t="n">
        <v>0</v>
      </c>
      <c r="K313" t="n">
        <v>0</v>
      </c>
      <c r="L313" t="n">
        <v>0</v>
      </c>
      <c r="M313" t="n">
        <v>0</v>
      </c>
      <c r="N313" t="n">
        <v>0</v>
      </c>
      <c r="O313" t="n">
        <v>0</v>
      </c>
      <c r="P313" t="n">
        <v>0</v>
      </c>
      <c r="Q313" t="n">
        <v>0</v>
      </c>
      <c r="R313" s="2" t="inlineStr"/>
    </row>
    <row r="314" ht="15" customHeight="1">
      <c r="A314" t="inlineStr">
        <is>
          <t>A 52125-2022</t>
        </is>
      </c>
      <c r="B314" s="1" t="n">
        <v>44873</v>
      </c>
      <c r="C314" s="1" t="n">
        <v>45915</v>
      </c>
      <c r="D314" t="inlineStr">
        <is>
          <t>ÖSTERGÖTLANDS LÄN</t>
        </is>
      </c>
      <c r="E314" t="inlineStr">
        <is>
          <t>LINKÖPING</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32602-2022</t>
        </is>
      </c>
      <c r="B315" s="1" t="n">
        <v>44783.43192129629</v>
      </c>
      <c r="C315" s="1" t="n">
        <v>45915</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1084-2023</t>
        </is>
      </c>
      <c r="B316" s="1" t="n">
        <v>44929</v>
      </c>
      <c r="C316" s="1" t="n">
        <v>45915</v>
      </c>
      <c r="D316" t="inlineStr">
        <is>
          <t>ÖSTERGÖTLANDS LÄN</t>
        </is>
      </c>
      <c r="E316" t="inlineStr">
        <is>
          <t>LINKÖPING</t>
        </is>
      </c>
      <c r="G316" t="n">
        <v>10.4</v>
      </c>
      <c r="H316" t="n">
        <v>0</v>
      </c>
      <c r="I316" t="n">
        <v>0</v>
      </c>
      <c r="J316" t="n">
        <v>0</v>
      </c>
      <c r="K316" t="n">
        <v>0</v>
      </c>
      <c r="L316" t="n">
        <v>0</v>
      </c>
      <c r="M316" t="n">
        <v>0</v>
      </c>
      <c r="N316" t="n">
        <v>0</v>
      </c>
      <c r="O316" t="n">
        <v>0</v>
      </c>
      <c r="P316" t="n">
        <v>0</v>
      </c>
      <c r="Q316" t="n">
        <v>0</v>
      </c>
      <c r="R316" s="2" t="inlineStr"/>
    </row>
    <row r="317" ht="15" customHeight="1">
      <c r="A317" t="inlineStr">
        <is>
          <t>A 48699-2024</t>
        </is>
      </c>
      <c r="B317" s="1" t="n">
        <v>45593.52091435185</v>
      </c>
      <c r="C317" s="1" t="n">
        <v>45915</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47876-2020</t>
        </is>
      </c>
      <c r="B318" s="1" t="n">
        <v>44099</v>
      </c>
      <c r="C318" s="1" t="n">
        <v>45915</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29859-2024</t>
        </is>
      </c>
      <c r="B319" s="1" t="n">
        <v>45485.6846412037</v>
      </c>
      <c r="C319" s="1" t="n">
        <v>45915</v>
      </c>
      <c r="D319" t="inlineStr">
        <is>
          <t>ÖSTERGÖTLANDS LÄN</t>
        </is>
      </c>
      <c r="E319" t="inlineStr">
        <is>
          <t>LINKÖPING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51571-2024</t>
        </is>
      </c>
      <c r="B320" s="1" t="n">
        <v>45604</v>
      </c>
      <c r="C320" s="1" t="n">
        <v>45915</v>
      </c>
      <c r="D320" t="inlineStr">
        <is>
          <t>ÖSTERGÖTLANDS LÄN</t>
        </is>
      </c>
      <c r="E320" t="inlineStr">
        <is>
          <t>LINKÖPING</t>
        </is>
      </c>
      <c r="F320" t="inlineStr">
        <is>
          <t>Övriga Aktiebolag</t>
        </is>
      </c>
      <c r="G320" t="n">
        <v>1.4</v>
      </c>
      <c r="H320" t="n">
        <v>0</v>
      </c>
      <c r="I320" t="n">
        <v>0</v>
      </c>
      <c r="J320" t="n">
        <v>0</v>
      </c>
      <c r="K320" t="n">
        <v>0</v>
      </c>
      <c r="L320" t="n">
        <v>0</v>
      </c>
      <c r="M320" t="n">
        <v>0</v>
      </c>
      <c r="N320" t="n">
        <v>0</v>
      </c>
      <c r="O320" t="n">
        <v>0</v>
      </c>
      <c r="P320" t="n">
        <v>0</v>
      </c>
      <c r="Q320" t="n">
        <v>0</v>
      </c>
      <c r="R320" s="2" t="inlineStr"/>
    </row>
    <row r="321" ht="15" customHeight="1">
      <c r="A321" t="inlineStr">
        <is>
          <t>A 223-2024</t>
        </is>
      </c>
      <c r="B321" s="1" t="n">
        <v>45294.72739583333</v>
      </c>
      <c r="C321" s="1" t="n">
        <v>45915</v>
      </c>
      <c r="D321" t="inlineStr">
        <is>
          <t>ÖSTERGÖTLANDS LÄN</t>
        </is>
      </c>
      <c r="E321" t="inlineStr">
        <is>
          <t>LINKÖPING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227-2024</t>
        </is>
      </c>
      <c r="B322" s="1" t="n">
        <v>45294.73603009259</v>
      </c>
      <c r="C322" s="1" t="n">
        <v>45915</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13911-2025</t>
        </is>
      </c>
      <c r="B323" s="1" t="n">
        <v>45737.64784722222</v>
      </c>
      <c r="C323" s="1" t="n">
        <v>45915</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23768-2025</t>
        </is>
      </c>
      <c r="B324" s="1" t="n">
        <v>45793.47493055555</v>
      </c>
      <c r="C324" s="1" t="n">
        <v>45915</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45915</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13413-2023</t>
        </is>
      </c>
      <c r="B326" s="1" t="n">
        <v>45005.58341435185</v>
      </c>
      <c r="C326" s="1" t="n">
        <v>45915</v>
      </c>
      <c r="D326" t="inlineStr">
        <is>
          <t>ÖSTERGÖTLANDS LÄN</t>
        </is>
      </c>
      <c r="E326" t="inlineStr">
        <is>
          <t>LINKÖPING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1265-2023</t>
        </is>
      </c>
      <c r="B327" s="1" t="n">
        <v>44936</v>
      </c>
      <c r="C327" s="1" t="n">
        <v>45915</v>
      </c>
      <c r="D327" t="inlineStr">
        <is>
          <t>ÖSTERGÖTLANDS LÄN</t>
        </is>
      </c>
      <c r="E327" t="inlineStr">
        <is>
          <t>LINKÖPING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1362-2023</t>
        </is>
      </c>
      <c r="B328" s="1" t="n">
        <v>44931</v>
      </c>
      <c r="C328" s="1" t="n">
        <v>45915</v>
      </c>
      <c r="D328" t="inlineStr">
        <is>
          <t>ÖSTERGÖTLANDS LÄN</t>
        </is>
      </c>
      <c r="E328" t="inlineStr">
        <is>
          <t>LINKÖPING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63528-2023</t>
        </is>
      </c>
      <c r="B329" s="1" t="n">
        <v>45274.94810185185</v>
      </c>
      <c r="C329" s="1" t="n">
        <v>45915</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63638-2023</t>
        </is>
      </c>
      <c r="B330" s="1" t="n">
        <v>45275</v>
      </c>
      <c r="C330" s="1" t="n">
        <v>45915</v>
      </c>
      <c r="D330" t="inlineStr">
        <is>
          <t>ÖSTERGÖTLANDS LÄN</t>
        </is>
      </c>
      <c r="E330" t="inlineStr">
        <is>
          <t>LINKÖPING</t>
        </is>
      </c>
      <c r="F330" t="inlineStr">
        <is>
          <t>Övriga Aktiebolag</t>
        </is>
      </c>
      <c r="G330" t="n">
        <v>2.4</v>
      </c>
      <c r="H330" t="n">
        <v>0</v>
      </c>
      <c r="I330" t="n">
        <v>0</v>
      </c>
      <c r="J330" t="n">
        <v>0</v>
      </c>
      <c r="K330" t="n">
        <v>0</v>
      </c>
      <c r="L330" t="n">
        <v>0</v>
      </c>
      <c r="M330" t="n">
        <v>0</v>
      </c>
      <c r="N330" t="n">
        <v>0</v>
      </c>
      <c r="O330" t="n">
        <v>0</v>
      </c>
      <c r="P330" t="n">
        <v>0</v>
      </c>
      <c r="Q330" t="n">
        <v>0</v>
      </c>
      <c r="R330" s="2" t="inlineStr"/>
    </row>
    <row r="331" ht="15" customHeight="1">
      <c r="A331" t="inlineStr">
        <is>
          <t>A 63658-2023</t>
        </is>
      </c>
      <c r="B331" s="1" t="n">
        <v>45275</v>
      </c>
      <c r="C331" s="1" t="n">
        <v>45915</v>
      </c>
      <c r="D331" t="inlineStr">
        <is>
          <t>ÖSTERGÖTLANDS LÄN</t>
        </is>
      </c>
      <c r="E331" t="inlineStr">
        <is>
          <t>LINKÖPING</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37683-2024</t>
        </is>
      </c>
      <c r="B332" s="1" t="n">
        <v>45541.59120370371</v>
      </c>
      <c r="C332" s="1" t="n">
        <v>45915</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7808-2022</t>
        </is>
      </c>
      <c r="B333" s="1" t="n">
        <v>44608</v>
      </c>
      <c r="C333" s="1" t="n">
        <v>45915</v>
      </c>
      <c r="D333" t="inlineStr">
        <is>
          <t>ÖSTERGÖTLANDS LÄN</t>
        </is>
      </c>
      <c r="E333" t="inlineStr">
        <is>
          <t>LINKÖPING</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54034-2022</t>
        </is>
      </c>
      <c r="B334" s="1" t="n">
        <v>44881</v>
      </c>
      <c r="C334" s="1" t="n">
        <v>45915</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55493-2021</t>
        </is>
      </c>
      <c r="B335" s="1" t="n">
        <v>44475.61988425926</v>
      </c>
      <c r="C335" s="1" t="n">
        <v>45915</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36336-2023</t>
        </is>
      </c>
      <c r="B336" s="1" t="n">
        <v>45152.45078703704</v>
      </c>
      <c r="C336" s="1" t="n">
        <v>45915</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56623-2024</t>
        </is>
      </c>
      <c r="B337" s="1" t="n">
        <v>45625</v>
      </c>
      <c r="C337" s="1" t="n">
        <v>45915</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6054-2022</t>
        </is>
      </c>
      <c r="B338" s="1" t="n">
        <v>44599.53623842593</v>
      </c>
      <c r="C338" s="1" t="n">
        <v>45915</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25119-2023</t>
        </is>
      </c>
      <c r="B339" s="1" t="n">
        <v>45086.42326388889</v>
      </c>
      <c r="C339" s="1" t="n">
        <v>45915</v>
      </c>
      <c r="D339" t="inlineStr">
        <is>
          <t>ÖSTERGÖTLANDS LÄN</t>
        </is>
      </c>
      <c r="E339" t="inlineStr">
        <is>
          <t>LINKÖPING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31732-2022</t>
        </is>
      </c>
      <c r="B340" s="1" t="n">
        <v>44776.49267361111</v>
      </c>
      <c r="C340" s="1" t="n">
        <v>45915</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55265-2020</t>
        </is>
      </c>
      <c r="B341" s="1" t="n">
        <v>44130</v>
      </c>
      <c r="C341" s="1" t="n">
        <v>45915</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4456-2024</t>
        </is>
      </c>
      <c r="B342" s="1" t="n">
        <v>45327.52847222222</v>
      </c>
      <c r="C342" s="1" t="n">
        <v>45915</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58114-2021</t>
        </is>
      </c>
      <c r="B343" s="1" t="n">
        <v>44487</v>
      </c>
      <c r="C343" s="1" t="n">
        <v>45915</v>
      </c>
      <c r="D343" t="inlineStr">
        <is>
          <t>ÖSTERGÖTLANDS LÄN</t>
        </is>
      </c>
      <c r="E343" t="inlineStr">
        <is>
          <t>LINKÖPING</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13011-2022</t>
        </is>
      </c>
      <c r="B344" s="1" t="n">
        <v>44643</v>
      </c>
      <c r="C344" s="1" t="n">
        <v>45915</v>
      </c>
      <c r="D344" t="inlineStr">
        <is>
          <t>ÖSTERGÖTLANDS LÄN</t>
        </is>
      </c>
      <c r="E344" t="inlineStr">
        <is>
          <t>LINKÖPING</t>
        </is>
      </c>
      <c r="G344" t="n">
        <v>3.7</v>
      </c>
      <c r="H344" t="n">
        <v>0</v>
      </c>
      <c r="I344" t="n">
        <v>0</v>
      </c>
      <c r="J344" t="n">
        <v>0</v>
      </c>
      <c r="K344" t="n">
        <v>0</v>
      </c>
      <c r="L344" t="n">
        <v>0</v>
      </c>
      <c r="M344" t="n">
        <v>0</v>
      </c>
      <c r="N344" t="n">
        <v>0</v>
      </c>
      <c r="O344" t="n">
        <v>0</v>
      </c>
      <c r="P344" t="n">
        <v>0</v>
      </c>
      <c r="Q344" t="n">
        <v>0</v>
      </c>
      <c r="R344" s="2" t="inlineStr"/>
    </row>
    <row r="345" ht="15" customHeight="1">
      <c r="A345" t="inlineStr">
        <is>
          <t>A 44280-2024</t>
        </is>
      </c>
      <c r="B345" s="1" t="n">
        <v>45573.49461805556</v>
      </c>
      <c r="C345" s="1" t="n">
        <v>45915</v>
      </c>
      <c r="D345" t="inlineStr">
        <is>
          <t>ÖSTERGÖTLANDS LÄN</t>
        </is>
      </c>
      <c r="E345" t="inlineStr">
        <is>
          <t>LINKÖPING</t>
        </is>
      </c>
      <c r="G345" t="n">
        <v>5.3</v>
      </c>
      <c r="H345" t="n">
        <v>0</v>
      </c>
      <c r="I345" t="n">
        <v>0</v>
      </c>
      <c r="J345" t="n">
        <v>0</v>
      </c>
      <c r="K345" t="n">
        <v>0</v>
      </c>
      <c r="L345" t="n">
        <v>0</v>
      </c>
      <c r="M345" t="n">
        <v>0</v>
      </c>
      <c r="N345" t="n">
        <v>0</v>
      </c>
      <c r="O345" t="n">
        <v>0</v>
      </c>
      <c r="P345" t="n">
        <v>0</v>
      </c>
      <c r="Q345" t="n">
        <v>0</v>
      </c>
      <c r="R345" s="2" t="inlineStr"/>
    </row>
    <row r="346" ht="15" customHeight="1">
      <c r="A346" t="inlineStr">
        <is>
          <t>A 11595-2025</t>
        </is>
      </c>
      <c r="B346" s="1" t="n">
        <v>45727.41893518518</v>
      </c>
      <c r="C346" s="1" t="n">
        <v>45915</v>
      </c>
      <c r="D346" t="inlineStr">
        <is>
          <t>ÖSTERGÖTLANDS LÄN</t>
        </is>
      </c>
      <c r="E346" t="inlineStr">
        <is>
          <t>LINKÖPING</t>
        </is>
      </c>
      <c r="G346" t="n">
        <v>6.6</v>
      </c>
      <c r="H346" t="n">
        <v>0</v>
      </c>
      <c r="I346" t="n">
        <v>0</v>
      </c>
      <c r="J346" t="n">
        <v>0</v>
      </c>
      <c r="K346" t="n">
        <v>0</v>
      </c>
      <c r="L346" t="n">
        <v>0</v>
      </c>
      <c r="M346" t="n">
        <v>0</v>
      </c>
      <c r="N346" t="n">
        <v>0</v>
      </c>
      <c r="O346" t="n">
        <v>0</v>
      </c>
      <c r="P346" t="n">
        <v>0</v>
      </c>
      <c r="Q346" t="n">
        <v>0</v>
      </c>
      <c r="R346" s="2" t="inlineStr"/>
    </row>
    <row r="347" ht="15" customHeight="1">
      <c r="A347" t="inlineStr">
        <is>
          <t>A 50508-2024</t>
        </is>
      </c>
      <c r="B347" s="1" t="n">
        <v>45601.53907407408</v>
      </c>
      <c r="C347" s="1" t="n">
        <v>45915</v>
      </c>
      <c r="D347" t="inlineStr">
        <is>
          <t>ÖSTERGÖTLANDS LÄN</t>
        </is>
      </c>
      <c r="E347" t="inlineStr">
        <is>
          <t>LINKÖPING</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52892-2024</t>
        </is>
      </c>
      <c r="B348" s="1" t="n">
        <v>45610</v>
      </c>
      <c r="C348" s="1" t="n">
        <v>45915</v>
      </c>
      <c r="D348" t="inlineStr">
        <is>
          <t>ÖSTERGÖTLANDS LÄN</t>
        </is>
      </c>
      <c r="E348" t="inlineStr">
        <is>
          <t>LINKÖPING</t>
        </is>
      </c>
      <c r="G348" t="n">
        <v>4.2</v>
      </c>
      <c r="H348" t="n">
        <v>0</v>
      </c>
      <c r="I348" t="n">
        <v>0</v>
      </c>
      <c r="J348" t="n">
        <v>0</v>
      </c>
      <c r="K348" t="n">
        <v>0</v>
      </c>
      <c r="L348" t="n">
        <v>0</v>
      </c>
      <c r="M348" t="n">
        <v>0</v>
      </c>
      <c r="N348" t="n">
        <v>0</v>
      </c>
      <c r="O348" t="n">
        <v>0</v>
      </c>
      <c r="P348" t="n">
        <v>0</v>
      </c>
      <c r="Q348" t="n">
        <v>0</v>
      </c>
      <c r="R348" s="2" t="inlineStr"/>
    </row>
    <row r="349" ht="15" customHeight="1">
      <c r="A349" t="inlineStr">
        <is>
          <t>A 36336-2022</t>
        </is>
      </c>
      <c r="B349" s="1" t="n">
        <v>44803</v>
      </c>
      <c r="C349" s="1" t="n">
        <v>45915</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25996-2025</t>
        </is>
      </c>
      <c r="B350" s="1" t="n">
        <v>45804.65851851852</v>
      </c>
      <c r="C350" s="1" t="n">
        <v>45915</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48839-2022</t>
        </is>
      </c>
      <c r="B351" s="1" t="n">
        <v>44859</v>
      </c>
      <c r="C351" s="1" t="n">
        <v>45915</v>
      </c>
      <c r="D351" t="inlineStr">
        <is>
          <t>ÖSTERGÖTLANDS LÄN</t>
        </is>
      </c>
      <c r="E351" t="inlineStr">
        <is>
          <t>LINKÖPING</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25829-2025</t>
        </is>
      </c>
      <c r="B352" s="1" t="n">
        <v>45804.44505787037</v>
      </c>
      <c r="C352" s="1" t="n">
        <v>45915</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26002-2025</t>
        </is>
      </c>
      <c r="B353" s="1" t="n">
        <v>45804.66534722222</v>
      </c>
      <c r="C353" s="1" t="n">
        <v>45915</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3008-2023</t>
        </is>
      </c>
      <c r="B354" s="1" t="n">
        <v>44945.79784722222</v>
      </c>
      <c r="C354" s="1" t="n">
        <v>45915</v>
      </c>
      <c r="D354" t="inlineStr">
        <is>
          <t>ÖSTERGÖTLANDS LÄN</t>
        </is>
      </c>
      <c r="E354" t="inlineStr">
        <is>
          <t>LINKÖPING</t>
        </is>
      </c>
      <c r="G354" t="n">
        <v>19.3</v>
      </c>
      <c r="H354" t="n">
        <v>0</v>
      </c>
      <c r="I354" t="n">
        <v>0</v>
      </c>
      <c r="J354" t="n">
        <v>0</v>
      </c>
      <c r="K354" t="n">
        <v>0</v>
      </c>
      <c r="L354" t="n">
        <v>0</v>
      </c>
      <c r="M354" t="n">
        <v>0</v>
      </c>
      <c r="N354" t="n">
        <v>0</v>
      </c>
      <c r="O354" t="n">
        <v>0</v>
      </c>
      <c r="P354" t="n">
        <v>0</v>
      </c>
      <c r="Q354" t="n">
        <v>0</v>
      </c>
      <c r="R354" s="2" t="inlineStr"/>
    </row>
    <row r="355" ht="15" customHeight="1">
      <c r="A355" t="inlineStr">
        <is>
          <t>A 6387-2022</t>
        </is>
      </c>
      <c r="B355" s="1" t="n">
        <v>44600</v>
      </c>
      <c r="C355" s="1" t="n">
        <v>45915</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34641-2022</t>
        </is>
      </c>
      <c r="B356" s="1" t="n">
        <v>44795</v>
      </c>
      <c r="C356" s="1" t="n">
        <v>45915</v>
      </c>
      <c r="D356" t="inlineStr">
        <is>
          <t>ÖSTERGÖTLANDS LÄN</t>
        </is>
      </c>
      <c r="E356" t="inlineStr">
        <is>
          <t>LINKÖPING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13687-2025</t>
        </is>
      </c>
      <c r="B357" s="1" t="n">
        <v>45737.31425925926</v>
      </c>
      <c r="C357" s="1" t="n">
        <v>45915</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13688-2025</t>
        </is>
      </c>
      <c r="B358" s="1" t="n">
        <v>45737.3153125</v>
      </c>
      <c r="C358" s="1" t="n">
        <v>45915</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13695-2025</t>
        </is>
      </c>
      <c r="B359" s="1" t="n">
        <v>45737.32219907407</v>
      </c>
      <c r="C359" s="1" t="n">
        <v>45915</v>
      </c>
      <c r="D359" t="inlineStr">
        <is>
          <t>ÖSTERGÖTLANDS LÄN</t>
        </is>
      </c>
      <c r="E359" t="inlineStr">
        <is>
          <t>LINKÖPING</t>
        </is>
      </c>
      <c r="G359" t="n">
        <v>5.3</v>
      </c>
      <c r="H359" t="n">
        <v>0</v>
      </c>
      <c r="I359" t="n">
        <v>0</v>
      </c>
      <c r="J359" t="n">
        <v>0</v>
      </c>
      <c r="K359" t="n">
        <v>0</v>
      </c>
      <c r="L359" t="n">
        <v>0</v>
      </c>
      <c r="M359" t="n">
        <v>0</v>
      </c>
      <c r="N359" t="n">
        <v>0</v>
      </c>
      <c r="O359" t="n">
        <v>0</v>
      </c>
      <c r="P359" t="n">
        <v>0</v>
      </c>
      <c r="Q359" t="n">
        <v>0</v>
      </c>
      <c r="R359" s="2" t="inlineStr"/>
    </row>
    <row r="360" ht="15" customHeight="1">
      <c r="A360" t="inlineStr">
        <is>
          <t>A 54491-2020</t>
        </is>
      </c>
      <c r="B360" s="1" t="n">
        <v>44126.64</v>
      </c>
      <c r="C360" s="1" t="n">
        <v>45915</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55736-2022</t>
        </is>
      </c>
      <c r="B361" s="1" t="n">
        <v>44888</v>
      </c>
      <c r="C361" s="1" t="n">
        <v>45915</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52413-2023</t>
        </is>
      </c>
      <c r="B362" s="1" t="n">
        <v>45225.27950231481</v>
      </c>
      <c r="C362" s="1" t="n">
        <v>45915</v>
      </c>
      <c r="D362" t="inlineStr">
        <is>
          <t>ÖSTERGÖTLANDS LÄN</t>
        </is>
      </c>
      <c r="E362" t="inlineStr">
        <is>
          <t>LINKÖPING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42054-2022</t>
        </is>
      </c>
      <c r="B363" s="1" t="n">
        <v>44830</v>
      </c>
      <c r="C363" s="1" t="n">
        <v>45915</v>
      </c>
      <c r="D363" t="inlineStr">
        <is>
          <t>ÖSTERGÖTLANDS LÄN</t>
        </is>
      </c>
      <c r="E363" t="inlineStr">
        <is>
          <t>LINKÖPING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53797-2023</t>
        </is>
      </c>
      <c r="B364" s="1" t="n">
        <v>45230</v>
      </c>
      <c r="C364" s="1" t="n">
        <v>45915</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30434-2024</t>
        </is>
      </c>
      <c r="B365" s="1" t="n">
        <v>45491.69811342593</v>
      </c>
      <c r="C365" s="1" t="n">
        <v>45915</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22833-2023</t>
        </is>
      </c>
      <c r="B366" s="1" t="n">
        <v>45071</v>
      </c>
      <c r="C366" s="1" t="n">
        <v>45915</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11084-2022</t>
        </is>
      </c>
      <c r="B367" s="1" t="n">
        <v>44628</v>
      </c>
      <c r="C367" s="1" t="n">
        <v>45915</v>
      </c>
      <c r="D367" t="inlineStr">
        <is>
          <t>ÖSTERGÖTLANDS LÄN</t>
        </is>
      </c>
      <c r="E367" t="inlineStr">
        <is>
          <t>LINKÖPING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17898-2022</t>
        </is>
      </c>
      <c r="B368" s="1" t="n">
        <v>44683</v>
      </c>
      <c r="C368" s="1" t="n">
        <v>45915</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62017-2024</t>
        </is>
      </c>
      <c r="B369" s="1" t="n">
        <v>45655.81140046296</v>
      </c>
      <c r="C369" s="1" t="n">
        <v>45915</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57745-2022</t>
        </is>
      </c>
      <c r="B370" s="1" t="n">
        <v>44897.58119212963</v>
      </c>
      <c r="C370" s="1" t="n">
        <v>45915</v>
      </c>
      <c r="D370" t="inlineStr">
        <is>
          <t>ÖSTERGÖTLANDS LÄN</t>
        </is>
      </c>
      <c r="E370" t="inlineStr">
        <is>
          <t>LINKÖPING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14520-2025</t>
        </is>
      </c>
      <c r="B371" s="1" t="n">
        <v>45741</v>
      </c>
      <c r="C371" s="1" t="n">
        <v>45915</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58714-2020</t>
        </is>
      </c>
      <c r="B372" s="1" t="n">
        <v>44146</v>
      </c>
      <c r="C372" s="1" t="n">
        <v>45915</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12411-2022</t>
        </is>
      </c>
      <c r="B373" s="1" t="n">
        <v>44638.21601851852</v>
      </c>
      <c r="C373" s="1" t="n">
        <v>45915</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10492-2022</t>
        </is>
      </c>
      <c r="B374" s="1" t="n">
        <v>44623.6377199074</v>
      </c>
      <c r="C374" s="1" t="n">
        <v>45915</v>
      </c>
      <c r="D374" t="inlineStr">
        <is>
          <t>ÖSTERGÖTLANDS LÄN</t>
        </is>
      </c>
      <c r="E374" t="inlineStr">
        <is>
          <t>LINKÖPING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56064-2022</t>
        </is>
      </c>
      <c r="B375" s="1" t="n">
        <v>44889.59107638889</v>
      </c>
      <c r="C375" s="1" t="n">
        <v>45915</v>
      </c>
      <c r="D375" t="inlineStr">
        <is>
          <t>ÖSTERGÖTLANDS LÄN</t>
        </is>
      </c>
      <c r="E375" t="inlineStr">
        <is>
          <t>LINKÖPING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40502-2024</t>
        </is>
      </c>
      <c r="B376" s="1" t="n">
        <v>45555.57263888889</v>
      </c>
      <c r="C376" s="1" t="n">
        <v>45915</v>
      </c>
      <c r="D376" t="inlineStr">
        <is>
          <t>ÖSTERGÖTLANDS LÄN</t>
        </is>
      </c>
      <c r="E376" t="inlineStr">
        <is>
          <t>LINKÖPING</t>
        </is>
      </c>
      <c r="F376" t="inlineStr">
        <is>
          <t>Allmännings- och besparingsskogar</t>
        </is>
      </c>
      <c r="G376" t="n">
        <v>17.5</v>
      </c>
      <c r="H376" t="n">
        <v>0</v>
      </c>
      <c r="I376" t="n">
        <v>0</v>
      </c>
      <c r="J376" t="n">
        <v>0</v>
      </c>
      <c r="K376" t="n">
        <v>0</v>
      </c>
      <c r="L376" t="n">
        <v>0</v>
      </c>
      <c r="M376" t="n">
        <v>0</v>
      </c>
      <c r="N376" t="n">
        <v>0</v>
      </c>
      <c r="O376" t="n">
        <v>0</v>
      </c>
      <c r="P376" t="n">
        <v>0</v>
      </c>
      <c r="Q376" t="n">
        <v>0</v>
      </c>
      <c r="R376" s="2" t="inlineStr"/>
    </row>
    <row r="377" ht="15" customHeight="1">
      <c r="A377" t="inlineStr">
        <is>
          <t>A 7343-2025</t>
        </is>
      </c>
      <c r="B377" s="1" t="n">
        <v>45703.67853009259</v>
      </c>
      <c r="C377" s="1" t="n">
        <v>45915</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27264-2025</t>
        </is>
      </c>
      <c r="B378" s="1" t="n">
        <v>45812.4794212963</v>
      </c>
      <c r="C378" s="1" t="n">
        <v>45915</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16200-2025</t>
        </is>
      </c>
      <c r="B379" s="1" t="n">
        <v>45750.61050925926</v>
      </c>
      <c r="C379" s="1" t="n">
        <v>45915</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8967-2025</t>
        </is>
      </c>
      <c r="B380" s="1" t="n">
        <v>45712</v>
      </c>
      <c r="C380" s="1" t="n">
        <v>45915</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35427-2023</t>
        </is>
      </c>
      <c r="B381" s="1" t="n">
        <v>45146</v>
      </c>
      <c r="C381" s="1" t="n">
        <v>45915</v>
      </c>
      <c r="D381" t="inlineStr">
        <is>
          <t>ÖSTERGÖTLANDS LÄN</t>
        </is>
      </c>
      <c r="E381" t="inlineStr">
        <is>
          <t>LINKÖPING</t>
        </is>
      </c>
      <c r="F381" t="inlineStr">
        <is>
          <t>Övriga Aktiebolag</t>
        </is>
      </c>
      <c r="G381" t="n">
        <v>2.5</v>
      </c>
      <c r="H381" t="n">
        <v>0</v>
      </c>
      <c r="I381" t="n">
        <v>0</v>
      </c>
      <c r="J381" t="n">
        <v>0</v>
      </c>
      <c r="K381" t="n">
        <v>0</v>
      </c>
      <c r="L381" t="n">
        <v>0</v>
      </c>
      <c r="M381" t="n">
        <v>0</v>
      </c>
      <c r="N381" t="n">
        <v>0</v>
      </c>
      <c r="O381" t="n">
        <v>0</v>
      </c>
      <c r="P381" t="n">
        <v>0</v>
      </c>
      <c r="Q381" t="n">
        <v>0</v>
      </c>
      <c r="R381" s="2" t="inlineStr"/>
    </row>
    <row r="382" ht="15" customHeight="1">
      <c r="A382" t="inlineStr">
        <is>
          <t>A 30468-2023</t>
        </is>
      </c>
      <c r="B382" s="1" t="n">
        <v>45111.58732638889</v>
      </c>
      <c r="C382" s="1" t="n">
        <v>45915</v>
      </c>
      <c r="D382" t="inlineStr">
        <is>
          <t>ÖSTERGÖTLANDS LÄN</t>
        </is>
      </c>
      <c r="E382" t="inlineStr">
        <is>
          <t>LINKÖPING</t>
        </is>
      </c>
      <c r="G382" t="n">
        <v>10.1</v>
      </c>
      <c r="H382" t="n">
        <v>0</v>
      </c>
      <c r="I382" t="n">
        <v>0</v>
      </c>
      <c r="J382" t="n">
        <v>0</v>
      </c>
      <c r="K382" t="n">
        <v>0</v>
      </c>
      <c r="L382" t="n">
        <v>0</v>
      </c>
      <c r="M382" t="n">
        <v>0</v>
      </c>
      <c r="N382" t="n">
        <v>0</v>
      </c>
      <c r="O382" t="n">
        <v>0</v>
      </c>
      <c r="P382" t="n">
        <v>0</v>
      </c>
      <c r="Q382" t="n">
        <v>0</v>
      </c>
      <c r="R382" s="2" t="inlineStr"/>
    </row>
    <row r="383" ht="15" customHeight="1">
      <c r="A383" t="inlineStr">
        <is>
          <t>A 44155-2024</t>
        </is>
      </c>
      <c r="B383" s="1" t="n">
        <v>45572.68226851852</v>
      </c>
      <c r="C383" s="1" t="n">
        <v>45915</v>
      </c>
      <c r="D383" t="inlineStr">
        <is>
          <t>ÖSTERGÖTLANDS LÄN</t>
        </is>
      </c>
      <c r="E383" t="inlineStr">
        <is>
          <t>LINKÖPING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42997-2021</t>
        </is>
      </c>
      <c r="B384" s="1" t="n">
        <v>44431.45556712963</v>
      </c>
      <c r="C384" s="1" t="n">
        <v>45915</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28200-2025</t>
        </is>
      </c>
      <c r="B385" s="1" t="n">
        <v>45818.4428125</v>
      </c>
      <c r="C385" s="1" t="n">
        <v>45915</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20296-2025</t>
        </is>
      </c>
      <c r="B386" s="1" t="n">
        <v>45774.74922453704</v>
      </c>
      <c r="C386" s="1" t="n">
        <v>45915</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27950-2025</t>
        </is>
      </c>
      <c r="B387" s="1" t="n">
        <v>45817.52960648148</v>
      </c>
      <c r="C387" s="1" t="n">
        <v>45915</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56841-2023</t>
        </is>
      </c>
      <c r="B388" s="1" t="n">
        <v>45244</v>
      </c>
      <c r="C388" s="1" t="n">
        <v>45915</v>
      </c>
      <c r="D388" t="inlineStr">
        <is>
          <t>ÖSTERGÖTLANDS LÄN</t>
        </is>
      </c>
      <c r="E388" t="inlineStr">
        <is>
          <t>LINKÖPING</t>
        </is>
      </c>
      <c r="F388" t="inlineStr">
        <is>
          <t>Övriga Aktiebolag</t>
        </is>
      </c>
      <c r="G388" t="n">
        <v>0.5</v>
      </c>
      <c r="H388" t="n">
        <v>0</v>
      </c>
      <c r="I388" t="n">
        <v>0</v>
      </c>
      <c r="J388" t="n">
        <v>0</v>
      </c>
      <c r="K388" t="n">
        <v>0</v>
      </c>
      <c r="L388" t="n">
        <v>0</v>
      </c>
      <c r="M388" t="n">
        <v>0</v>
      </c>
      <c r="N388" t="n">
        <v>0</v>
      </c>
      <c r="O388" t="n">
        <v>0</v>
      </c>
      <c r="P388" t="n">
        <v>0</v>
      </c>
      <c r="Q388" t="n">
        <v>0</v>
      </c>
      <c r="R388" s="2" t="inlineStr"/>
    </row>
    <row r="389" ht="15" customHeight="1">
      <c r="A389" t="inlineStr">
        <is>
          <t>A 27797-2025</t>
        </is>
      </c>
      <c r="B389" s="1" t="n">
        <v>45816.80521990741</v>
      </c>
      <c r="C389" s="1" t="n">
        <v>45915</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27798-2025</t>
        </is>
      </c>
      <c r="B390" s="1" t="n">
        <v>45816.81532407407</v>
      </c>
      <c r="C390" s="1" t="n">
        <v>45915</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28209-2025</t>
        </is>
      </c>
      <c r="B391" s="1" t="n">
        <v>45818.45112268518</v>
      </c>
      <c r="C391" s="1" t="n">
        <v>45915</v>
      </c>
      <c r="D391" t="inlineStr">
        <is>
          <t>ÖSTERGÖTLANDS LÄN</t>
        </is>
      </c>
      <c r="E391" t="inlineStr">
        <is>
          <t>LINKÖPING</t>
        </is>
      </c>
      <c r="G391" t="n">
        <v>4.2</v>
      </c>
      <c r="H391" t="n">
        <v>0</v>
      </c>
      <c r="I391" t="n">
        <v>0</v>
      </c>
      <c r="J391" t="n">
        <v>0</v>
      </c>
      <c r="K391" t="n">
        <v>0</v>
      </c>
      <c r="L391" t="n">
        <v>0</v>
      </c>
      <c r="M391" t="n">
        <v>0</v>
      </c>
      <c r="N391" t="n">
        <v>0</v>
      </c>
      <c r="O391" t="n">
        <v>0</v>
      </c>
      <c r="P391" t="n">
        <v>0</v>
      </c>
      <c r="Q391" t="n">
        <v>0</v>
      </c>
      <c r="R391" s="2" t="inlineStr"/>
    </row>
    <row r="392" ht="15" customHeight="1">
      <c r="A392" t="inlineStr">
        <is>
          <t>A 28204-2025</t>
        </is>
      </c>
      <c r="B392" s="1" t="n">
        <v>45818.4477662037</v>
      </c>
      <c r="C392" s="1" t="n">
        <v>45915</v>
      </c>
      <c r="D392" t="inlineStr">
        <is>
          <t>ÖSTERGÖTLANDS LÄN</t>
        </is>
      </c>
      <c r="E392" t="inlineStr">
        <is>
          <t>LINKÖPING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28398-2025</t>
        </is>
      </c>
      <c r="B393" s="1" t="n">
        <v>45819.34208333334</v>
      </c>
      <c r="C393" s="1" t="n">
        <v>45915</v>
      </c>
      <c r="D393" t="inlineStr">
        <is>
          <t>ÖSTERGÖTLANDS LÄN</t>
        </is>
      </c>
      <c r="E393" t="inlineStr">
        <is>
          <t>LINKÖPING</t>
        </is>
      </c>
      <c r="F393" t="inlineStr">
        <is>
          <t>Sveaskog</t>
        </is>
      </c>
      <c r="G393" t="n">
        <v>7.9</v>
      </c>
      <c r="H393" t="n">
        <v>0</v>
      </c>
      <c r="I393" t="n">
        <v>0</v>
      </c>
      <c r="J393" t="n">
        <v>0</v>
      </c>
      <c r="K393" t="n">
        <v>0</v>
      </c>
      <c r="L393" t="n">
        <v>0</v>
      </c>
      <c r="M393" t="n">
        <v>0</v>
      </c>
      <c r="N393" t="n">
        <v>0</v>
      </c>
      <c r="O393" t="n">
        <v>0</v>
      </c>
      <c r="P393" t="n">
        <v>0</v>
      </c>
      <c r="Q393" t="n">
        <v>0</v>
      </c>
      <c r="R393" s="2" t="inlineStr"/>
    </row>
    <row r="394" ht="15" customHeight="1">
      <c r="A394" t="inlineStr">
        <is>
          <t>A 53812-2023</t>
        </is>
      </c>
      <c r="B394" s="1" t="n">
        <v>45231.39583333334</v>
      </c>
      <c r="C394" s="1" t="n">
        <v>45915</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53830-2023</t>
        </is>
      </c>
      <c r="B395" s="1" t="n">
        <v>45230</v>
      </c>
      <c r="C395" s="1" t="n">
        <v>45915</v>
      </c>
      <c r="D395" t="inlineStr">
        <is>
          <t>ÖSTERGÖTLANDS LÄN</t>
        </is>
      </c>
      <c r="E395" t="inlineStr">
        <is>
          <t>LINKÖPING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28416-2025</t>
        </is>
      </c>
      <c r="B396" s="1" t="n">
        <v>45819.35346064815</v>
      </c>
      <c r="C396" s="1" t="n">
        <v>45915</v>
      </c>
      <c r="D396" t="inlineStr">
        <is>
          <t>ÖSTERGÖTLANDS LÄN</t>
        </is>
      </c>
      <c r="E396" t="inlineStr">
        <is>
          <t>LINKÖPING</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38715-2023</t>
        </is>
      </c>
      <c r="B397" s="1" t="n">
        <v>45160</v>
      </c>
      <c r="C397" s="1" t="n">
        <v>45915</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29027-2025</t>
        </is>
      </c>
      <c r="B398" s="1" t="n">
        <v>45821.4375462963</v>
      </c>
      <c r="C398" s="1" t="n">
        <v>45915</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29393-2025</t>
        </is>
      </c>
      <c r="B399" s="1" t="n">
        <v>45824.6057175926</v>
      </c>
      <c r="C399" s="1" t="n">
        <v>45915</v>
      </c>
      <c r="D399" t="inlineStr">
        <is>
          <t>ÖSTERGÖTLANDS LÄN</t>
        </is>
      </c>
      <c r="E399" t="inlineStr">
        <is>
          <t>LINKÖPING</t>
        </is>
      </c>
      <c r="F399" t="inlineStr">
        <is>
          <t>Sveaskog</t>
        </is>
      </c>
      <c r="G399" t="n">
        <v>24.6</v>
      </c>
      <c r="H399" t="n">
        <v>0</v>
      </c>
      <c r="I399" t="n">
        <v>0</v>
      </c>
      <c r="J399" t="n">
        <v>0</v>
      </c>
      <c r="K399" t="n">
        <v>0</v>
      </c>
      <c r="L399" t="n">
        <v>0</v>
      </c>
      <c r="M399" t="n">
        <v>0</v>
      </c>
      <c r="N399" t="n">
        <v>0</v>
      </c>
      <c r="O399" t="n">
        <v>0</v>
      </c>
      <c r="P399" t="n">
        <v>0</v>
      </c>
      <c r="Q399" t="n">
        <v>0</v>
      </c>
      <c r="R399" s="2" t="inlineStr"/>
    </row>
    <row r="400" ht="15" customHeight="1">
      <c r="A400" t="inlineStr">
        <is>
          <t>A 14028-2024</t>
        </is>
      </c>
      <c r="B400" s="1" t="n">
        <v>45392</v>
      </c>
      <c r="C400" s="1" t="n">
        <v>45915</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29411-2025</t>
        </is>
      </c>
      <c r="B401" s="1" t="n">
        <v>45824.6219212963</v>
      </c>
      <c r="C401" s="1" t="n">
        <v>45915</v>
      </c>
      <c r="D401" t="inlineStr">
        <is>
          <t>ÖSTERGÖTLANDS LÄN</t>
        </is>
      </c>
      <c r="E401" t="inlineStr">
        <is>
          <t>LINKÖPING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59948-2022</t>
        </is>
      </c>
      <c r="B402" s="1" t="n">
        <v>44909</v>
      </c>
      <c r="C402" s="1" t="n">
        <v>45915</v>
      </c>
      <c r="D402" t="inlineStr">
        <is>
          <t>ÖSTERGÖTLANDS LÄN</t>
        </is>
      </c>
      <c r="E402" t="inlineStr">
        <is>
          <t>LINKÖPING</t>
        </is>
      </c>
      <c r="G402" t="n">
        <v>6.7</v>
      </c>
      <c r="H402" t="n">
        <v>0</v>
      </c>
      <c r="I402" t="n">
        <v>0</v>
      </c>
      <c r="J402" t="n">
        <v>0</v>
      </c>
      <c r="K402" t="n">
        <v>0</v>
      </c>
      <c r="L402" t="n">
        <v>0</v>
      </c>
      <c r="M402" t="n">
        <v>0</v>
      </c>
      <c r="N402" t="n">
        <v>0</v>
      </c>
      <c r="O402" t="n">
        <v>0</v>
      </c>
      <c r="P402" t="n">
        <v>0</v>
      </c>
      <c r="Q402" t="n">
        <v>0</v>
      </c>
      <c r="R402" s="2" t="inlineStr"/>
    </row>
    <row r="403" ht="15" customHeight="1">
      <c r="A403" t="inlineStr">
        <is>
          <t>A 29599-2025</t>
        </is>
      </c>
      <c r="B403" s="1" t="n">
        <v>45825.41101851852</v>
      </c>
      <c r="C403" s="1" t="n">
        <v>45915</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27766-2022</t>
        </is>
      </c>
      <c r="B404" s="1" t="n">
        <v>44743.53112268518</v>
      </c>
      <c r="C404" s="1" t="n">
        <v>45915</v>
      </c>
      <c r="D404" t="inlineStr">
        <is>
          <t>ÖSTERGÖTLANDS LÄN</t>
        </is>
      </c>
      <c r="E404" t="inlineStr">
        <is>
          <t>LINKÖPING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14667-2024</t>
        </is>
      </c>
      <c r="B405" s="1" t="n">
        <v>45397.42005787037</v>
      </c>
      <c r="C405" s="1" t="n">
        <v>45915</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2697-2023</t>
        </is>
      </c>
      <c r="B406" s="1" t="n">
        <v>44944</v>
      </c>
      <c r="C406" s="1" t="n">
        <v>45915</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53641-2023</t>
        </is>
      </c>
      <c r="B407" s="1" t="n">
        <v>45230</v>
      </c>
      <c r="C407" s="1" t="n">
        <v>45915</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48707-2023</t>
        </is>
      </c>
      <c r="B408" s="1" t="n">
        <v>45202</v>
      </c>
      <c r="C408" s="1" t="n">
        <v>45915</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53411-2023</t>
        </is>
      </c>
      <c r="B409" s="1" t="n">
        <v>45229.81049768518</v>
      </c>
      <c r="C409" s="1" t="n">
        <v>45915</v>
      </c>
      <c r="D409" t="inlineStr">
        <is>
          <t>ÖSTERGÖTLANDS LÄN</t>
        </is>
      </c>
      <c r="E409" t="inlineStr">
        <is>
          <t>LINKÖPING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48271-2023</t>
        </is>
      </c>
      <c r="B410" s="1" t="n">
        <v>45205</v>
      </c>
      <c r="C410" s="1" t="n">
        <v>45915</v>
      </c>
      <c r="D410" t="inlineStr">
        <is>
          <t>ÖSTERGÖTLANDS LÄN</t>
        </is>
      </c>
      <c r="E410" t="inlineStr">
        <is>
          <t>LINKÖPING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30355-2025</t>
        </is>
      </c>
      <c r="B411" s="1" t="n">
        <v>45827</v>
      </c>
      <c r="C411" s="1" t="n">
        <v>45915</v>
      </c>
      <c r="D411" t="inlineStr">
        <is>
          <t>ÖSTERGÖTLANDS LÄN</t>
        </is>
      </c>
      <c r="E411" t="inlineStr">
        <is>
          <t>LINKÖPING</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30353-2025</t>
        </is>
      </c>
      <c r="B412" s="1" t="n">
        <v>45827</v>
      </c>
      <c r="C412" s="1" t="n">
        <v>45915</v>
      </c>
      <c r="D412" t="inlineStr">
        <is>
          <t>ÖSTERGÖTLANDS LÄN</t>
        </is>
      </c>
      <c r="E412" t="inlineStr">
        <is>
          <t>LINKÖPING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56741-2023</t>
        </is>
      </c>
      <c r="B413" s="1" t="n">
        <v>45244</v>
      </c>
      <c r="C413" s="1" t="n">
        <v>45915</v>
      </c>
      <c r="D413" t="inlineStr">
        <is>
          <t>ÖSTERGÖTLANDS LÄN</t>
        </is>
      </c>
      <c r="E413" t="inlineStr">
        <is>
          <t>LINKÖPING</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56792-2023</t>
        </is>
      </c>
      <c r="B414" s="1" t="n">
        <v>45244</v>
      </c>
      <c r="C414" s="1" t="n">
        <v>45915</v>
      </c>
      <c r="D414" t="inlineStr">
        <is>
          <t>ÖSTERGÖTLANDS LÄN</t>
        </is>
      </c>
      <c r="E414" t="inlineStr">
        <is>
          <t>LINKÖPING</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50471-2024</t>
        </is>
      </c>
      <c r="B415" s="1" t="n">
        <v>45601.47166666666</v>
      </c>
      <c r="C415" s="1" t="n">
        <v>45915</v>
      </c>
      <c r="D415" t="inlineStr">
        <is>
          <t>ÖSTERGÖTLANDS LÄN</t>
        </is>
      </c>
      <c r="E415" t="inlineStr">
        <is>
          <t>LINKÖPING</t>
        </is>
      </c>
      <c r="F415" t="inlineStr">
        <is>
          <t>Övriga Aktiebolag</t>
        </is>
      </c>
      <c r="G415" t="n">
        <v>2</v>
      </c>
      <c r="H415" t="n">
        <v>0</v>
      </c>
      <c r="I415" t="n">
        <v>0</v>
      </c>
      <c r="J415" t="n">
        <v>0</v>
      </c>
      <c r="K415" t="n">
        <v>0</v>
      </c>
      <c r="L415" t="n">
        <v>0</v>
      </c>
      <c r="M415" t="n">
        <v>0</v>
      </c>
      <c r="N415" t="n">
        <v>0</v>
      </c>
      <c r="O415" t="n">
        <v>0</v>
      </c>
      <c r="P415" t="n">
        <v>0</v>
      </c>
      <c r="Q415" t="n">
        <v>0</v>
      </c>
      <c r="R415" s="2" t="inlineStr"/>
    </row>
    <row r="416" ht="15" customHeight="1">
      <c r="A416" t="inlineStr">
        <is>
          <t>A 3007-2023</t>
        </is>
      </c>
      <c r="B416" s="1" t="n">
        <v>44945</v>
      </c>
      <c r="C416" s="1" t="n">
        <v>45915</v>
      </c>
      <c r="D416" t="inlineStr">
        <is>
          <t>ÖSTERGÖTLANDS LÄN</t>
        </is>
      </c>
      <c r="E416" t="inlineStr">
        <is>
          <t>LINKÖPING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40338-2024</t>
        </is>
      </c>
      <c r="B417" s="1" t="n">
        <v>45555.32940972222</v>
      </c>
      <c r="C417" s="1" t="n">
        <v>45915</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3013-2023</t>
        </is>
      </c>
      <c r="B418" s="1" t="n">
        <v>44945.8092824074</v>
      </c>
      <c r="C418" s="1" t="n">
        <v>45915</v>
      </c>
      <c r="D418" t="inlineStr">
        <is>
          <t>ÖSTERGÖTLANDS LÄN</t>
        </is>
      </c>
      <c r="E418" t="inlineStr">
        <is>
          <t>LINKÖPING</t>
        </is>
      </c>
      <c r="G418" t="n">
        <v>5.2</v>
      </c>
      <c r="H418" t="n">
        <v>0</v>
      </c>
      <c r="I418" t="n">
        <v>0</v>
      </c>
      <c r="J418" t="n">
        <v>0</v>
      </c>
      <c r="K418" t="n">
        <v>0</v>
      </c>
      <c r="L418" t="n">
        <v>0</v>
      </c>
      <c r="M418" t="n">
        <v>0</v>
      </c>
      <c r="N418" t="n">
        <v>0</v>
      </c>
      <c r="O418" t="n">
        <v>0</v>
      </c>
      <c r="P418" t="n">
        <v>0</v>
      </c>
      <c r="Q418" t="n">
        <v>0</v>
      </c>
      <c r="R418" s="2" t="inlineStr"/>
    </row>
    <row r="419" ht="15" customHeight="1">
      <c r="A419" t="inlineStr">
        <is>
          <t>A 55945-2024</t>
        </is>
      </c>
      <c r="B419" s="1" t="n">
        <v>45623.61754629629</v>
      </c>
      <c r="C419" s="1" t="n">
        <v>45915</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13266-2025</t>
        </is>
      </c>
      <c r="B420" s="1" t="n">
        <v>45735.53318287037</v>
      </c>
      <c r="C420" s="1" t="n">
        <v>45915</v>
      </c>
      <c r="D420" t="inlineStr">
        <is>
          <t>ÖSTERGÖTLANDS LÄN</t>
        </is>
      </c>
      <c r="E420" t="inlineStr">
        <is>
          <t>LINKÖPING</t>
        </is>
      </c>
      <c r="G420" t="n">
        <v>3.1</v>
      </c>
      <c r="H420" t="n">
        <v>0</v>
      </c>
      <c r="I420" t="n">
        <v>0</v>
      </c>
      <c r="J420" t="n">
        <v>0</v>
      </c>
      <c r="K420" t="n">
        <v>0</v>
      </c>
      <c r="L420" t="n">
        <v>0</v>
      </c>
      <c r="M420" t="n">
        <v>0</v>
      </c>
      <c r="N420" t="n">
        <v>0</v>
      </c>
      <c r="O420" t="n">
        <v>0</v>
      </c>
      <c r="P420" t="n">
        <v>0</v>
      </c>
      <c r="Q420" t="n">
        <v>0</v>
      </c>
      <c r="R420" s="2" t="inlineStr"/>
    </row>
    <row r="421" ht="15" customHeight="1">
      <c r="A421" t="inlineStr">
        <is>
          <t>A 1993-2023</t>
        </is>
      </c>
      <c r="B421" s="1" t="n">
        <v>44939</v>
      </c>
      <c r="C421" s="1" t="n">
        <v>45915</v>
      </c>
      <c r="D421" t="inlineStr">
        <is>
          <t>ÖSTERGÖTLANDS LÄN</t>
        </is>
      </c>
      <c r="E421" t="inlineStr">
        <is>
          <t>LINKÖPING</t>
        </is>
      </c>
      <c r="G421" t="n">
        <v>3.7</v>
      </c>
      <c r="H421" t="n">
        <v>0</v>
      </c>
      <c r="I421" t="n">
        <v>0</v>
      </c>
      <c r="J421" t="n">
        <v>0</v>
      </c>
      <c r="K421" t="n">
        <v>0</v>
      </c>
      <c r="L421" t="n">
        <v>0</v>
      </c>
      <c r="M421" t="n">
        <v>0</v>
      </c>
      <c r="N421" t="n">
        <v>0</v>
      </c>
      <c r="O421" t="n">
        <v>0</v>
      </c>
      <c r="P421" t="n">
        <v>0</v>
      </c>
      <c r="Q421" t="n">
        <v>0</v>
      </c>
      <c r="R421" s="2" t="inlineStr"/>
    </row>
    <row r="422" ht="15" customHeight="1">
      <c r="A422" t="inlineStr">
        <is>
          <t>A 2618-2023</t>
        </is>
      </c>
      <c r="B422" s="1" t="n">
        <v>44944.35847222222</v>
      </c>
      <c r="C422" s="1" t="n">
        <v>45915</v>
      </c>
      <c r="D422" t="inlineStr">
        <is>
          <t>ÖSTERGÖTLANDS LÄN</t>
        </is>
      </c>
      <c r="E422" t="inlineStr">
        <is>
          <t>LINKÖPING</t>
        </is>
      </c>
      <c r="G422" t="n">
        <v>4.3</v>
      </c>
      <c r="H422" t="n">
        <v>0</v>
      </c>
      <c r="I422" t="n">
        <v>0</v>
      </c>
      <c r="J422" t="n">
        <v>0</v>
      </c>
      <c r="K422" t="n">
        <v>0</v>
      </c>
      <c r="L422" t="n">
        <v>0</v>
      </c>
      <c r="M422" t="n">
        <v>0</v>
      </c>
      <c r="N422" t="n">
        <v>0</v>
      </c>
      <c r="O422" t="n">
        <v>0</v>
      </c>
      <c r="P422" t="n">
        <v>0</v>
      </c>
      <c r="Q422" t="n">
        <v>0</v>
      </c>
      <c r="R422" s="2" t="inlineStr"/>
    </row>
    <row r="423" ht="15" customHeight="1">
      <c r="A423" t="inlineStr">
        <is>
          <t>A 10203-2023</t>
        </is>
      </c>
      <c r="B423" s="1" t="n">
        <v>44986.55711805556</v>
      </c>
      <c r="C423" s="1" t="n">
        <v>45915</v>
      </c>
      <c r="D423" t="inlineStr">
        <is>
          <t>ÖSTERGÖTLANDS LÄN</t>
        </is>
      </c>
      <c r="E423" t="inlineStr">
        <is>
          <t>LINKÖPING</t>
        </is>
      </c>
      <c r="G423" t="n">
        <v>3.3</v>
      </c>
      <c r="H423" t="n">
        <v>0</v>
      </c>
      <c r="I423" t="n">
        <v>0</v>
      </c>
      <c r="J423" t="n">
        <v>0</v>
      </c>
      <c r="K423" t="n">
        <v>0</v>
      </c>
      <c r="L423" t="n">
        <v>0</v>
      </c>
      <c r="M423" t="n">
        <v>0</v>
      </c>
      <c r="N423" t="n">
        <v>0</v>
      </c>
      <c r="O423" t="n">
        <v>0</v>
      </c>
      <c r="P423" t="n">
        <v>0</v>
      </c>
      <c r="Q423" t="n">
        <v>0</v>
      </c>
      <c r="R423" s="2" t="inlineStr"/>
    </row>
    <row r="424" ht="15" customHeight="1">
      <c r="A424" t="inlineStr">
        <is>
          <t>A 34889-2023</t>
        </is>
      </c>
      <c r="B424" s="1" t="n">
        <v>45140</v>
      </c>
      <c r="C424" s="1" t="n">
        <v>45915</v>
      </c>
      <c r="D424" t="inlineStr">
        <is>
          <t>ÖSTERGÖTLANDS LÄN</t>
        </is>
      </c>
      <c r="E424" t="inlineStr">
        <is>
          <t>LINKÖPING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34928-2023</t>
        </is>
      </c>
      <c r="B425" s="1" t="n">
        <v>45142</v>
      </c>
      <c r="C425" s="1" t="n">
        <v>45915</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1268-2023</t>
        </is>
      </c>
      <c r="B426" s="1" t="n">
        <v>44936</v>
      </c>
      <c r="C426" s="1" t="n">
        <v>45915</v>
      </c>
      <c r="D426" t="inlineStr">
        <is>
          <t>ÖSTERGÖTLANDS LÄN</t>
        </is>
      </c>
      <c r="E426" t="inlineStr">
        <is>
          <t>LINKÖPING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60001-2022</t>
        </is>
      </c>
      <c r="B427" s="1" t="n">
        <v>44909.47087962963</v>
      </c>
      <c r="C427" s="1" t="n">
        <v>45915</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5314-2021</t>
        </is>
      </c>
      <c r="B428" s="1" t="n">
        <v>44229</v>
      </c>
      <c r="C428" s="1" t="n">
        <v>45915</v>
      </c>
      <c r="D428" t="inlineStr">
        <is>
          <t>ÖSTERGÖTLANDS LÄN</t>
        </is>
      </c>
      <c r="E428" t="inlineStr">
        <is>
          <t>LINKÖPING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37057-2025</t>
        </is>
      </c>
      <c r="B429" s="1" t="n">
        <v>45875.37489583333</v>
      </c>
      <c r="C429" s="1" t="n">
        <v>45915</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39457-2023</t>
        </is>
      </c>
      <c r="B430" s="1" t="n">
        <v>45166</v>
      </c>
      <c r="C430" s="1" t="n">
        <v>45915</v>
      </c>
      <c r="D430" t="inlineStr">
        <is>
          <t>ÖSTERGÖTLANDS LÄN</t>
        </is>
      </c>
      <c r="E430" t="inlineStr">
        <is>
          <t>LINKÖPING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1657-2024</t>
        </is>
      </c>
      <c r="B431" s="1" t="n">
        <v>45306.82501157407</v>
      </c>
      <c r="C431" s="1" t="n">
        <v>45915</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31581-2025</t>
        </is>
      </c>
      <c r="B432" s="1" t="n">
        <v>45833.6840162037</v>
      </c>
      <c r="C432" s="1" t="n">
        <v>45915</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31585-2025</t>
        </is>
      </c>
      <c r="B433" s="1" t="n">
        <v>45833.68815972222</v>
      </c>
      <c r="C433" s="1" t="n">
        <v>45915</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49747-2024</t>
        </is>
      </c>
      <c r="B434" s="1" t="n">
        <v>45596</v>
      </c>
      <c r="C434" s="1" t="n">
        <v>45915</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30976-2022</t>
        </is>
      </c>
      <c r="B435" s="1" t="n">
        <v>44768</v>
      </c>
      <c r="C435" s="1" t="n">
        <v>45915</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31725-2022</t>
        </is>
      </c>
      <c r="B436" s="1" t="n">
        <v>44776.48541666667</v>
      </c>
      <c r="C436" s="1" t="n">
        <v>45915</v>
      </c>
      <c r="D436" t="inlineStr">
        <is>
          <t>ÖSTERGÖTLANDS LÄN</t>
        </is>
      </c>
      <c r="E436" t="inlineStr">
        <is>
          <t>LINKÖPING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32723-2025</t>
        </is>
      </c>
      <c r="B437" s="1" t="n">
        <v>45838</v>
      </c>
      <c r="C437" s="1" t="n">
        <v>45915</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2389-2023</t>
        </is>
      </c>
      <c r="B438" s="1" t="n">
        <v>44942</v>
      </c>
      <c r="C438" s="1" t="n">
        <v>45915</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30860-2022</t>
        </is>
      </c>
      <c r="B439" s="1" t="n">
        <v>44767</v>
      </c>
      <c r="C439" s="1" t="n">
        <v>45915</v>
      </c>
      <c r="D439" t="inlineStr">
        <is>
          <t>ÖSTERGÖTLANDS LÄN</t>
        </is>
      </c>
      <c r="E439" t="inlineStr">
        <is>
          <t>LINKÖPING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3627-2023</t>
        </is>
      </c>
      <c r="B440" s="1" t="n">
        <v>44950.64782407408</v>
      </c>
      <c r="C440" s="1" t="n">
        <v>45915</v>
      </c>
      <c r="D440" t="inlineStr">
        <is>
          <t>ÖSTERGÖTLANDS LÄN</t>
        </is>
      </c>
      <c r="E440" t="inlineStr">
        <is>
          <t>LINKÖPING</t>
        </is>
      </c>
      <c r="G440" t="n">
        <v>3.1</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45915</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48186-2022</t>
        </is>
      </c>
      <c r="B442" s="1" t="n">
        <v>44858</v>
      </c>
      <c r="C442" s="1" t="n">
        <v>45915</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18891-2022</t>
        </is>
      </c>
      <c r="B443" s="1" t="n">
        <v>44690</v>
      </c>
      <c r="C443" s="1" t="n">
        <v>45915</v>
      </c>
      <c r="D443" t="inlineStr">
        <is>
          <t>ÖSTERGÖTLANDS LÄN</t>
        </is>
      </c>
      <c r="E443" t="inlineStr">
        <is>
          <t>LINKÖPING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28266-2024</t>
        </is>
      </c>
      <c r="B444" s="1" t="n">
        <v>45477.43600694444</v>
      </c>
      <c r="C444" s="1" t="n">
        <v>45915</v>
      </c>
      <c r="D444" t="inlineStr">
        <is>
          <t>ÖSTERGÖTLANDS LÄN</t>
        </is>
      </c>
      <c r="E444" t="inlineStr">
        <is>
          <t>LINKÖPING</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26620-2023</t>
        </is>
      </c>
      <c r="B445" s="1" t="n">
        <v>45092.70390046296</v>
      </c>
      <c r="C445" s="1" t="n">
        <v>45915</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31548-2022</t>
        </is>
      </c>
      <c r="B446" s="1" t="n">
        <v>44775.39832175926</v>
      </c>
      <c r="C446" s="1" t="n">
        <v>45915</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45506-2020</t>
        </is>
      </c>
      <c r="B447" s="1" t="n">
        <v>44089</v>
      </c>
      <c r="C447" s="1" t="n">
        <v>45915</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1211-2023</t>
        </is>
      </c>
      <c r="B448" s="1" t="n">
        <v>44930</v>
      </c>
      <c r="C448" s="1" t="n">
        <v>45915</v>
      </c>
      <c r="D448" t="inlineStr">
        <is>
          <t>ÖSTERGÖTLANDS LÄN</t>
        </is>
      </c>
      <c r="E448" t="inlineStr">
        <is>
          <t>LINKÖPING</t>
        </is>
      </c>
      <c r="F448" t="inlineStr">
        <is>
          <t>Övriga statliga verk och myndigheter</t>
        </is>
      </c>
      <c r="G448" t="n">
        <v>7.9</v>
      </c>
      <c r="H448" t="n">
        <v>0</v>
      </c>
      <c r="I448" t="n">
        <v>0</v>
      </c>
      <c r="J448" t="n">
        <v>0</v>
      </c>
      <c r="K448" t="n">
        <v>0</v>
      </c>
      <c r="L448" t="n">
        <v>0</v>
      </c>
      <c r="M448" t="n">
        <v>0</v>
      </c>
      <c r="N448" t="n">
        <v>0</v>
      </c>
      <c r="O448" t="n">
        <v>0</v>
      </c>
      <c r="P448" t="n">
        <v>0</v>
      </c>
      <c r="Q448" t="n">
        <v>0</v>
      </c>
      <c r="R448" s="2" t="inlineStr"/>
    </row>
    <row r="449" ht="15" customHeight="1">
      <c r="A449" t="inlineStr">
        <is>
          <t>A 51191-2022</t>
        </is>
      </c>
      <c r="B449" s="1" t="n">
        <v>44865</v>
      </c>
      <c r="C449" s="1" t="n">
        <v>45915</v>
      </c>
      <c r="D449" t="inlineStr">
        <is>
          <t>ÖSTERGÖTLANDS LÄN</t>
        </is>
      </c>
      <c r="E449" t="inlineStr">
        <is>
          <t>LINKÖPING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56180-2024</t>
        </is>
      </c>
      <c r="B450" s="1" t="n">
        <v>45624.56611111111</v>
      </c>
      <c r="C450" s="1" t="n">
        <v>45915</v>
      </c>
      <c r="D450" t="inlineStr">
        <is>
          <t>ÖSTERGÖTLANDS LÄN</t>
        </is>
      </c>
      <c r="E450" t="inlineStr">
        <is>
          <t>LINKÖPING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938-2023</t>
        </is>
      </c>
      <c r="B451" s="1" t="n">
        <v>44933</v>
      </c>
      <c r="C451" s="1" t="n">
        <v>45915</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25418-2023</t>
        </is>
      </c>
      <c r="B452" s="1" t="n">
        <v>45089</v>
      </c>
      <c r="C452" s="1" t="n">
        <v>45915</v>
      </c>
      <c r="D452" t="inlineStr">
        <is>
          <t>ÖSTERGÖTLANDS LÄN</t>
        </is>
      </c>
      <c r="E452" t="inlineStr">
        <is>
          <t>LINKÖPING</t>
        </is>
      </c>
      <c r="F452" t="inlineStr">
        <is>
          <t>Övriga Aktiebolag</t>
        </is>
      </c>
      <c r="G452" t="n">
        <v>2.4</v>
      </c>
      <c r="H452" t="n">
        <v>0</v>
      </c>
      <c r="I452" t="n">
        <v>0</v>
      </c>
      <c r="J452" t="n">
        <v>0</v>
      </c>
      <c r="K452" t="n">
        <v>0</v>
      </c>
      <c r="L452" t="n">
        <v>0</v>
      </c>
      <c r="M452" t="n">
        <v>0</v>
      </c>
      <c r="N452" t="n">
        <v>0</v>
      </c>
      <c r="O452" t="n">
        <v>0</v>
      </c>
      <c r="P452" t="n">
        <v>0</v>
      </c>
      <c r="Q452" t="n">
        <v>0</v>
      </c>
      <c r="R452" s="2" t="inlineStr"/>
    </row>
    <row r="453" ht="15" customHeight="1">
      <c r="A453" t="inlineStr">
        <is>
          <t>A 60007-2022</t>
        </is>
      </c>
      <c r="B453" s="1" t="n">
        <v>44909.47282407407</v>
      </c>
      <c r="C453" s="1" t="n">
        <v>45915</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55632-2022</t>
        </is>
      </c>
      <c r="B454" s="1" t="n">
        <v>44888</v>
      </c>
      <c r="C454" s="1" t="n">
        <v>45915</v>
      </c>
      <c r="D454" t="inlineStr">
        <is>
          <t>ÖSTERGÖTLANDS LÄN</t>
        </is>
      </c>
      <c r="E454" t="inlineStr">
        <is>
          <t>LINKÖPING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11601-2023</t>
        </is>
      </c>
      <c r="B455" s="1" t="n">
        <v>44994</v>
      </c>
      <c r="C455" s="1" t="n">
        <v>45915</v>
      </c>
      <c r="D455" t="inlineStr">
        <is>
          <t>ÖSTERGÖTLANDS LÄN</t>
        </is>
      </c>
      <c r="E455" t="inlineStr">
        <is>
          <t>LINKÖPING</t>
        </is>
      </c>
      <c r="G455" t="n">
        <v>1.7</v>
      </c>
      <c r="H455" t="n">
        <v>0</v>
      </c>
      <c r="I455" t="n">
        <v>0</v>
      </c>
      <c r="J455" t="n">
        <v>0</v>
      </c>
      <c r="K455" t="n">
        <v>0</v>
      </c>
      <c r="L455" t="n">
        <v>0</v>
      </c>
      <c r="M455" t="n">
        <v>0</v>
      </c>
      <c r="N455" t="n">
        <v>0</v>
      </c>
      <c r="O455" t="n">
        <v>0</v>
      </c>
      <c r="P455" t="n">
        <v>0</v>
      </c>
      <c r="Q455" t="n">
        <v>0</v>
      </c>
      <c r="R455" s="2" t="inlineStr"/>
    </row>
    <row r="456" ht="15" customHeight="1">
      <c r="A456" t="inlineStr">
        <is>
          <t>A 61227-2024</t>
        </is>
      </c>
      <c r="B456" s="1" t="n">
        <v>45645.66853009259</v>
      </c>
      <c r="C456" s="1" t="n">
        <v>45915</v>
      </c>
      <c r="D456" t="inlineStr">
        <is>
          <t>ÖSTERGÖTLANDS LÄN</t>
        </is>
      </c>
      <c r="E456" t="inlineStr">
        <is>
          <t>LINKÖPING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63669-2023</t>
        </is>
      </c>
      <c r="B457" s="1" t="n">
        <v>45275</v>
      </c>
      <c r="C457" s="1" t="n">
        <v>45915</v>
      </c>
      <c r="D457" t="inlineStr">
        <is>
          <t>ÖSTERGÖTLANDS LÄN</t>
        </is>
      </c>
      <c r="E457" t="inlineStr">
        <is>
          <t>LINKÖPING</t>
        </is>
      </c>
      <c r="F457" t="inlineStr">
        <is>
          <t>Övriga Aktiebolag</t>
        </is>
      </c>
      <c r="G457" t="n">
        <v>3</v>
      </c>
      <c r="H457" t="n">
        <v>0</v>
      </c>
      <c r="I457" t="n">
        <v>0</v>
      </c>
      <c r="J457" t="n">
        <v>0</v>
      </c>
      <c r="K457" t="n">
        <v>0</v>
      </c>
      <c r="L457" t="n">
        <v>0</v>
      </c>
      <c r="M457" t="n">
        <v>0</v>
      </c>
      <c r="N457" t="n">
        <v>0</v>
      </c>
      <c r="O457" t="n">
        <v>0</v>
      </c>
      <c r="P457" t="n">
        <v>0</v>
      </c>
      <c r="Q457" t="n">
        <v>0</v>
      </c>
      <c r="R457" s="2" t="inlineStr"/>
    </row>
    <row r="458" ht="15" customHeight="1">
      <c r="A458" t="inlineStr">
        <is>
          <t>A 1260-2023</t>
        </is>
      </c>
      <c r="B458" s="1" t="n">
        <v>44936</v>
      </c>
      <c r="C458" s="1" t="n">
        <v>45915</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7702-2023</t>
        </is>
      </c>
      <c r="B459" s="1" t="n">
        <v>44967</v>
      </c>
      <c r="C459" s="1" t="n">
        <v>45915</v>
      </c>
      <c r="D459" t="inlineStr">
        <is>
          <t>ÖSTERGÖTLANDS LÄN</t>
        </is>
      </c>
      <c r="E459" t="inlineStr">
        <is>
          <t>LINKÖPING</t>
        </is>
      </c>
      <c r="F459" t="inlineStr">
        <is>
          <t>Övriga statliga verk och myndigheter</t>
        </is>
      </c>
      <c r="G459" t="n">
        <v>8</v>
      </c>
      <c r="H459" t="n">
        <v>0</v>
      </c>
      <c r="I459" t="n">
        <v>0</v>
      </c>
      <c r="J459" t="n">
        <v>0</v>
      </c>
      <c r="K459" t="n">
        <v>0</v>
      </c>
      <c r="L459" t="n">
        <v>0</v>
      </c>
      <c r="M459" t="n">
        <v>0</v>
      </c>
      <c r="N459" t="n">
        <v>0</v>
      </c>
      <c r="O459" t="n">
        <v>0</v>
      </c>
      <c r="P459" t="n">
        <v>0</v>
      </c>
      <c r="Q459" t="n">
        <v>0</v>
      </c>
      <c r="R459" s="2" t="inlineStr"/>
    </row>
    <row r="460" ht="15" customHeight="1">
      <c r="A460" t="inlineStr">
        <is>
          <t>A 12289-2025</t>
        </is>
      </c>
      <c r="B460" s="1" t="n">
        <v>45729</v>
      </c>
      <c r="C460" s="1" t="n">
        <v>45915</v>
      </c>
      <c r="D460" t="inlineStr">
        <is>
          <t>ÖSTERGÖTLANDS LÄN</t>
        </is>
      </c>
      <c r="E460" t="inlineStr">
        <is>
          <t>LINKÖPING</t>
        </is>
      </c>
      <c r="F460" t="inlineStr">
        <is>
          <t>Övriga statliga verk och myndigheter</t>
        </is>
      </c>
      <c r="G460" t="n">
        <v>6.5</v>
      </c>
      <c r="H460" t="n">
        <v>0</v>
      </c>
      <c r="I460" t="n">
        <v>0</v>
      </c>
      <c r="J460" t="n">
        <v>0</v>
      </c>
      <c r="K460" t="n">
        <v>0</v>
      </c>
      <c r="L460" t="n">
        <v>0</v>
      </c>
      <c r="M460" t="n">
        <v>0</v>
      </c>
      <c r="N460" t="n">
        <v>0</v>
      </c>
      <c r="O460" t="n">
        <v>0</v>
      </c>
      <c r="P460" t="n">
        <v>0</v>
      </c>
      <c r="Q460" t="n">
        <v>0</v>
      </c>
      <c r="R460" s="2" t="inlineStr"/>
    </row>
    <row r="461" ht="15" customHeight="1">
      <c r="A461" t="inlineStr">
        <is>
          <t>A 36657-2023</t>
        </is>
      </c>
      <c r="B461" s="1" t="n">
        <v>45153.5702662037</v>
      </c>
      <c r="C461" s="1" t="n">
        <v>45915</v>
      </c>
      <c r="D461" t="inlineStr">
        <is>
          <t>ÖSTERGÖTLANDS LÄN</t>
        </is>
      </c>
      <c r="E461" t="inlineStr">
        <is>
          <t>LINKÖPING</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19169-2023</t>
        </is>
      </c>
      <c r="B462" s="1" t="n">
        <v>45044</v>
      </c>
      <c r="C462" s="1" t="n">
        <v>45915</v>
      </c>
      <c r="D462" t="inlineStr">
        <is>
          <t>ÖSTERGÖTLANDS LÄN</t>
        </is>
      </c>
      <c r="E462" t="inlineStr">
        <is>
          <t>LINKÖPING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1209-2023</t>
        </is>
      </c>
      <c r="B463" s="1" t="n">
        <v>44930</v>
      </c>
      <c r="C463" s="1" t="n">
        <v>45915</v>
      </c>
      <c r="D463" t="inlineStr">
        <is>
          <t>ÖSTERGÖTLANDS LÄN</t>
        </is>
      </c>
      <c r="E463" t="inlineStr">
        <is>
          <t>LINKÖPING</t>
        </is>
      </c>
      <c r="F463" t="inlineStr">
        <is>
          <t>Övriga statliga verk och myndigheter</t>
        </is>
      </c>
      <c r="G463" t="n">
        <v>25.8</v>
      </c>
      <c r="H463" t="n">
        <v>0</v>
      </c>
      <c r="I463" t="n">
        <v>0</v>
      </c>
      <c r="J463" t="n">
        <v>0</v>
      </c>
      <c r="K463" t="n">
        <v>0</v>
      </c>
      <c r="L463" t="n">
        <v>0</v>
      </c>
      <c r="M463" t="n">
        <v>0</v>
      </c>
      <c r="N463" t="n">
        <v>0</v>
      </c>
      <c r="O463" t="n">
        <v>0</v>
      </c>
      <c r="P463" t="n">
        <v>0</v>
      </c>
      <c r="Q463" t="n">
        <v>0</v>
      </c>
      <c r="R463" s="2" t="inlineStr"/>
    </row>
    <row r="464" ht="15" customHeight="1">
      <c r="A464" t="inlineStr">
        <is>
          <t>A 38046-2025</t>
        </is>
      </c>
      <c r="B464" s="1" t="n">
        <v>45882.39939814815</v>
      </c>
      <c r="C464" s="1" t="n">
        <v>45915</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674-2024</t>
        </is>
      </c>
      <c r="B465" s="1" t="n">
        <v>45300.34408564815</v>
      </c>
      <c r="C465" s="1" t="n">
        <v>45915</v>
      </c>
      <c r="D465" t="inlineStr">
        <is>
          <t>ÖSTERGÖTLANDS LÄN</t>
        </is>
      </c>
      <c r="E465" t="inlineStr">
        <is>
          <t>LINKÖPING</t>
        </is>
      </c>
      <c r="F465" t="inlineStr">
        <is>
          <t>Sveaskog</t>
        </is>
      </c>
      <c r="G465" t="n">
        <v>2.9</v>
      </c>
      <c r="H465" t="n">
        <v>0</v>
      </c>
      <c r="I465" t="n">
        <v>0</v>
      </c>
      <c r="J465" t="n">
        <v>0</v>
      </c>
      <c r="K465" t="n">
        <v>0</v>
      </c>
      <c r="L465" t="n">
        <v>0</v>
      </c>
      <c r="M465" t="n">
        <v>0</v>
      </c>
      <c r="N465" t="n">
        <v>0</v>
      </c>
      <c r="O465" t="n">
        <v>0</v>
      </c>
      <c r="P465" t="n">
        <v>0</v>
      </c>
      <c r="Q465" t="n">
        <v>0</v>
      </c>
      <c r="R465" s="2" t="inlineStr"/>
    </row>
    <row r="466" ht="15" customHeight="1">
      <c r="A466" t="inlineStr">
        <is>
          <t>A 63684-2023</t>
        </is>
      </c>
      <c r="B466" s="1" t="n">
        <v>45275</v>
      </c>
      <c r="C466" s="1" t="n">
        <v>45915</v>
      </c>
      <c r="D466" t="inlineStr">
        <is>
          <t>ÖSTERGÖTLANDS LÄN</t>
        </is>
      </c>
      <c r="E466" t="inlineStr">
        <is>
          <t>LINKÖPING</t>
        </is>
      </c>
      <c r="G466" t="n">
        <v>0.4</v>
      </c>
      <c r="H466" t="n">
        <v>0</v>
      </c>
      <c r="I466" t="n">
        <v>0</v>
      </c>
      <c r="J466" t="n">
        <v>0</v>
      </c>
      <c r="K466" t="n">
        <v>0</v>
      </c>
      <c r="L466" t="n">
        <v>0</v>
      </c>
      <c r="M466" t="n">
        <v>0</v>
      </c>
      <c r="N466" t="n">
        <v>0</v>
      </c>
      <c r="O466" t="n">
        <v>0</v>
      </c>
      <c r="P466" t="n">
        <v>0</v>
      </c>
      <c r="Q466" t="n">
        <v>0</v>
      </c>
      <c r="R466" s="2" t="inlineStr"/>
    </row>
    <row r="467" ht="15" customHeight="1">
      <c r="A467" t="inlineStr">
        <is>
          <t>A 167-2024</t>
        </is>
      </c>
      <c r="B467" s="1" t="n">
        <v>45294</v>
      </c>
      <c r="C467" s="1" t="n">
        <v>45915</v>
      </c>
      <c r="D467" t="inlineStr">
        <is>
          <t>ÖSTERGÖTLANDS LÄN</t>
        </is>
      </c>
      <c r="E467" t="inlineStr">
        <is>
          <t>LINKÖPING</t>
        </is>
      </c>
      <c r="F467" t="inlineStr">
        <is>
          <t>Allmännings- och besparingsskogar</t>
        </is>
      </c>
      <c r="G467" t="n">
        <v>11.6</v>
      </c>
      <c r="H467" t="n">
        <v>0</v>
      </c>
      <c r="I467" t="n">
        <v>0</v>
      </c>
      <c r="J467" t="n">
        <v>0</v>
      </c>
      <c r="K467" t="n">
        <v>0</v>
      </c>
      <c r="L467" t="n">
        <v>0</v>
      </c>
      <c r="M467" t="n">
        <v>0</v>
      </c>
      <c r="N467" t="n">
        <v>0</v>
      </c>
      <c r="O467" t="n">
        <v>0</v>
      </c>
      <c r="P467" t="n">
        <v>0</v>
      </c>
      <c r="Q467" t="n">
        <v>0</v>
      </c>
      <c r="R467" s="2" t="inlineStr"/>
    </row>
    <row r="468" ht="15" customHeight="1">
      <c r="A468" t="inlineStr">
        <is>
          <t>A 36725-2023</t>
        </is>
      </c>
      <c r="B468" s="1" t="n">
        <v>45153.68471064815</v>
      </c>
      <c r="C468" s="1" t="n">
        <v>45915</v>
      </c>
      <c r="D468" t="inlineStr">
        <is>
          <t>ÖSTERGÖTLANDS LÄN</t>
        </is>
      </c>
      <c r="E468" t="inlineStr">
        <is>
          <t>LINKÖPING</t>
        </is>
      </c>
      <c r="F468" t="inlineStr">
        <is>
          <t>Allmännings- och besparingsskogar</t>
        </is>
      </c>
      <c r="G468" t="n">
        <v>2.6</v>
      </c>
      <c r="H468" t="n">
        <v>0</v>
      </c>
      <c r="I468" t="n">
        <v>0</v>
      </c>
      <c r="J468" t="n">
        <v>0</v>
      </c>
      <c r="K468" t="n">
        <v>0</v>
      </c>
      <c r="L468" t="n">
        <v>0</v>
      </c>
      <c r="M468" t="n">
        <v>0</v>
      </c>
      <c r="N468" t="n">
        <v>0</v>
      </c>
      <c r="O468" t="n">
        <v>0</v>
      </c>
      <c r="P468" t="n">
        <v>0</v>
      </c>
      <c r="Q468" t="n">
        <v>0</v>
      </c>
      <c r="R468" s="2" t="inlineStr"/>
    </row>
    <row r="469" ht="15" customHeight="1">
      <c r="A469" t="inlineStr">
        <is>
          <t>A 2085-2024</t>
        </is>
      </c>
      <c r="B469" s="1" t="n">
        <v>45309</v>
      </c>
      <c r="C469" s="1" t="n">
        <v>45915</v>
      </c>
      <c r="D469" t="inlineStr">
        <is>
          <t>ÖSTERGÖTLANDS LÄN</t>
        </is>
      </c>
      <c r="E469" t="inlineStr">
        <is>
          <t>LINKÖPING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27343-2023</t>
        </is>
      </c>
      <c r="B470" s="1" t="n">
        <v>45096</v>
      </c>
      <c r="C470" s="1" t="n">
        <v>45915</v>
      </c>
      <c r="D470" t="inlineStr">
        <is>
          <t>ÖSTERGÖTLANDS LÄN</t>
        </is>
      </c>
      <c r="E470" t="inlineStr">
        <is>
          <t>LINKÖPING</t>
        </is>
      </c>
      <c r="F470" t="inlineStr">
        <is>
          <t>Allmännings- och besparingsskogar</t>
        </is>
      </c>
      <c r="G470" t="n">
        <v>6.9</v>
      </c>
      <c r="H470" t="n">
        <v>0</v>
      </c>
      <c r="I470" t="n">
        <v>0</v>
      </c>
      <c r="J470" t="n">
        <v>0</v>
      </c>
      <c r="K470" t="n">
        <v>0</v>
      </c>
      <c r="L470" t="n">
        <v>0</v>
      </c>
      <c r="M470" t="n">
        <v>0</v>
      </c>
      <c r="N470" t="n">
        <v>0</v>
      </c>
      <c r="O470" t="n">
        <v>0</v>
      </c>
      <c r="P470" t="n">
        <v>0</v>
      </c>
      <c r="Q470" t="n">
        <v>0</v>
      </c>
      <c r="R470" s="2" t="inlineStr"/>
    </row>
    <row r="471" ht="15" customHeight="1">
      <c r="A471" t="inlineStr">
        <is>
          <t>A 22774-2024</t>
        </is>
      </c>
      <c r="B471" s="1" t="n">
        <v>45448.46924768519</v>
      </c>
      <c r="C471" s="1" t="n">
        <v>45915</v>
      </c>
      <c r="D471" t="inlineStr">
        <is>
          <t>ÖSTERGÖTLANDS LÄN</t>
        </is>
      </c>
      <c r="E471" t="inlineStr">
        <is>
          <t>LINKÖPING</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22778-2024</t>
        </is>
      </c>
      <c r="B472" s="1" t="n">
        <v>45448.47233796296</v>
      </c>
      <c r="C472" s="1" t="n">
        <v>45915</v>
      </c>
      <c r="D472" t="inlineStr">
        <is>
          <t>ÖSTERGÖTLANDS LÄN</t>
        </is>
      </c>
      <c r="E472" t="inlineStr">
        <is>
          <t>LINKÖPING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34864-2023</t>
        </is>
      </c>
      <c r="B473" s="1" t="n">
        <v>45141</v>
      </c>
      <c r="C473" s="1" t="n">
        <v>45915</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52531-2023</t>
        </is>
      </c>
      <c r="B474" s="1" t="n">
        <v>45225</v>
      </c>
      <c r="C474" s="1" t="n">
        <v>45915</v>
      </c>
      <c r="D474" t="inlineStr">
        <is>
          <t>ÖSTERGÖTLANDS LÄN</t>
        </is>
      </c>
      <c r="E474" t="inlineStr">
        <is>
          <t>LINKÖPING</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34930-2023</t>
        </is>
      </c>
      <c r="B475" s="1" t="n">
        <v>45142</v>
      </c>
      <c r="C475" s="1" t="n">
        <v>45915</v>
      </c>
      <c r="D475" t="inlineStr">
        <is>
          <t>ÖSTERGÖTLANDS LÄN</t>
        </is>
      </c>
      <c r="E475" t="inlineStr">
        <is>
          <t>LINKÖPING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30985-2022</t>
        </is>
      </c>
      <c r="B476" s="1" t="n">
        <v>44768</v>
      </c>
      <c r="C476" s="1" t="n">
        <v>45915</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25292-2021</t>
        </is>
      </c>
      <c r="B477" s="1" t="n">
        <v>44342</v>
      </c>
      <c r="C477" s="1" t="n">
        <v>45915</v>
      </c>
      <c r="D477" t="inlineStr">
        <is>
          <t>ÖSTERGÖTLANDS LÄN</t>
        </is>
      </c>
      <c r="E477" t="inlineStr">
        <is>
          <t>LINKÖPING</t>
        </is>
      </c>
      <c r="F477" t="inlineStr">
        <is>
          <t>Övriga Aktiebolag</t>
        </is>
      </c>
      <c r="G477" t="n">
        <v>12.8</v>
      </c>
      <c r="H477" t="n">
        <v>0</v>
      </c>
      <c r="I477" t="n">
        <v>0</v>
      </c>
      <c r="J477" t="n">
        <v>0</v>
      </c>
      <c r="K477" t="n">
        <v>0</v>
      </c>
      <c r="L477" t="n">
        <v>0</v>
      </c>
      <c r="M477" t="n">
        <v>0</v>
      </c>
      <c r="N477" t="n">
        <v>0</v>
      </c>
      <c r="O477" t="n">
        <v>0</v>
      </c>
      <c r="P477" t="n">
        <v>0</v>
      </c>
      <c r="Q477" t="n">
        <v>0</v>
      </c>
      <c r="R477" s="2" t="inlineStr"/>
    </row>
    <row r="478" ht="15" customHeight="1">
      <c r="A478" t="inlineStr">
        <is>
          <t>A 48-2024</t>
        </is>
      </c>
      <c r="B478" s="1" t="n">
        <v>45293</v>
      </c>
      <c r="C478" s="1" t="n">
        <v>45915</v>
      </c>
      <c r="D478" t="inlineStr">
        <is>
          <t>ÖSTERGÖTLANDS LÄN</t>
        </is>
      </c>
      <c r="E478" t="inlineStr">
        <is>
          <t>LINKÖPING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59642-2024</t>
        </is>
      </c>
      <c r="B479" s="1" t="n">
        <v>45639.31511574074</v>
      </c>
      <c r="C479" s="1" t="n">
        <v>45915</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15748-2025</t>
        </is>
      </c>
      <c r="B480" s="1" t="n">
        <v>45748.55282407408</v>
      </c>
      <c r="C480" s="1" t="n">
        <v>45915</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31792-2021</t>
        </is>
      </c>
      <c r="B481" s="1" t="n">
        <v>44369</v>
      </c>
      <c r="C481" s="1" t="n">
        <v>45915</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25097-2023</t>
        </is>
      </c>
      <c r="B482" s="1" t="n">
        <v>45086</v>
      </c>
      <c r="C482" s="1" t="n">
        <v>45915</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56560-2023</t>
        </is>
      </c>
      <c r="B483" s="1" t="n">
        <v>45238</v>
      </c>
      <c r="C483" s="1" t="n">
        <v>45915</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35735-2023</t>
        </is>
      </c>
      <c r="B484" s="1" t="n">
        <v>45147</v>
      </c>
      <c r="C484" s="1" t="n">
        <v>45915</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16462-2021</t>
        </is>
      </c>
      <c r="B485" s="1" t="n">
        <v>44293</v>
      </c>
      <c r="C485" s="1" t="n">
        <v>45915</v>
      </c>
      <c r="D485" t="inlineStr">
        <is>
          <t>ÖSTERGÖTLANDS LÄN</t>
        </is>
      </c>
      <c r="E485" t="inlineStr">
        <is>
          <t>LINKÖPING</t>
        </is>
      </c>
      <c r="F485" t="inlineStr">
        <is>
          <t>Allmännings- och besparingsskogar</t>
        </is>
      </c>
      <c r="G485" t="n">
        <v>24.7</v>
      </c>
      <c r="H485" t="n">
        <v>0</v>
      </c>
      <c r="I485" t="n">
        <v>0</v>
      </c>
      <c r="J485" t="n">
        <v>0</v>
      </c>
      <c r="K485" t="n">
        <v>0</v>
      </c>
      <c r="L485" t="n">
        <v>0</v>
      </c>
      <c r="M485" t="n">
        <v>0</v>
      </c>
      <c r="N485" t="n">
        <v>0</v>
      </c>
      <c r="O485" t="n">
        <v>0</v>
      </c>
      <c r="P485" t="n">
        <v>0</v>
      </c>
      <c r="Q485" t="n">
        <v>0</v>
      </c>
      <c r="R485" s="2" t="inlineStr"/>
    </row>
    <row r="486" ht="15" customHeight="1">
      <c r="A486" t="inlineStr">
        <is>
          <t>A 25776-2021</t>
        </is>
      </c>
      <c r="B486" s="1" t="n">
        <v>44343</v>
      </c>
      <c r="C486" s="1" t="n">
        <v>45915</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30856-2022</t>
        </is>
      </c>
      <c r="B487" s="1" t="n">
        <v>44767</v>
      </c>
      <c r="C487" s="1" t="n">
        <v>45915</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19187-2021</t>
        </is>
      </c>
      <c r="B488" s="1" t="n">
        <v>44308</v>
      </c>
      <c r="C488" s="1" t="n">
        <v>45915</v>
      </c>
      <c r="D488" t="inlineStr">
        <is>
          <t>ÖSTERGÖTLANDS LÄN</t>
        </is>
      </c>
      <c r="E488" t="inlineStr">
        <is>
          <t>LINKÖPING</t>
        </is>
      </c>
      <c r="F488" t="inlineStr">
        <is>
          <t>Allmännings- och besparingsskogar</t>
        </is>
      </c>
      <c r="G488" t="n">
        <v>20</v>
      </c>
      <c r="H488" t="n">
        <v>0</v>
      </c>
      <c r="I488" t="n">
        <v>0</v>
      </c>
      <c r="J488" t="n">
        <v>0</v>
      </c>
      <c r="K488" t="n">
        <v>0</v>
      </c>
      <c r="L488" t="n">
        <v>0</v>
      </c>
      <c r="M488" t="n">
        <v>0</v>
      </c>
      <c r="N488" t="n">
        <v>0</v>
      </c>
      <c r="O488" t="n">
        <v>0</v>
      </c>
      <c r="P488" t="n">
        <v>0</v>
      </c>
      <c r="Q488" t="n">
        <v>0</v>
      </c>
      <c r="R488" s="2" t="inlineStr"/>
    </row>
    <row r="489" ht="15" customHeight="1">
      <c r="A489" t="inlineStr">
        <is>
          <t>A 19132-2023</t>
        </is>
      </c>
      <c r="B489" s="1" t="n">
        <v>45048.54754629629</v>
      </c>
      <c r="C489" s="1" t="n">
        <v>45915</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39219-2021</t>
        </is>
      </c>
      <c r="B490" s="1" t="n">
        <v>44413</v>
      </c>
      <c r="C490" s="1" t="n">
        <v>45915</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39224-2021</t>
        </is>
      </c>
      <c r="B491" s="1" t="n">
        <v>44413</v>
      </c>
      <c r="C491" s="1" t="n">
        <v>45915</v>
      </c>
      <c r="D491" t="inlineStr">
        <is>
          <t>ÖSTERGÖTLANDS LÄN</t>
        </is>
      </c>
      <c r="E491" t="inlineStr">
        <is>
          <t>LINKÖPING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52412-2023</t>
        </is>
      </c>
      <c r="B492" s="1" t="n">
        <v>45225.27888888889</v>
      </c>
      <c r="C492" s="1" t="n">
        <v>45915</v>
      </c>
      <c r="D492" t="inlineStr">
        <is>
          <t>ÖSTERGÖTLANDS LÄN</t>
        </is>
      </c>
      <c r="E492" t="inlineStr">
        <is>
          <t>LINKÖPING</t>
        </is>
      </c>
      <c r="G492" t="n">
        <v>1.8</v>
      </c>
      <c r="H492" t="n">
        <v>0</v>
      </c>
      <c r="I492" t="n">
        <v>0</v>
      </c>
      <c r="J492" t="n">
        <v>0</v>
      </c>
      <c r="K492" t="n">
        <v>0</v>
      </c>
      <c r="L492" t="n">
        <v>0</v>
      </c>
      <c r="M492" t="n">
        <v>0</v>
      </c>
      <c r="N492" t="n">
        <v>0</v>
      </c>
      <c r="O492" t="n">
        <v>0</v>
      </c>
      <c r="P492" t="n">
        <v>0</v>
      </c>
      <c r="Q492" t="n">
        <v>0</v>
      </c>
      <c r="R492" s="2" t="inlineStr"/>
    </row>
    <row r="493" ht="15" customHeight="1">
      <c r="A493" t="inlineStr">
        <is>
          <t>A 62492-2023</t>
        </is>
      </c>
      <c r="B493" s="1" t="n">
        <v>45268.58987268519</v>
      </c>
      <c r="C493" s="1" t="n">
        <v>45915</v>
      </c>
      <c r="D493" t="inlineStr">
        <is>
          <t>ÖSTERGÖTLANDS LÄN</t>
        </is>
      </c>
      <c r="E493" t="inlineStr">
        <is>
          <t>LINKÖPING</t>
        </is>
      </c>
      <c r="G493" t="n">
        <v>1.8</v>
      </c>
      <c r="H493" t="n">
        <v>0</v>
      </c>
      <c r="I493" t="n">
        <v>0</v>
      </c>
      <c r="J493" t="n">
        <v>0</v>
      </c>
      <c r="K493" t="n">
        <v>0</v>
      </c>
      <c r="L493" t="n">
        <v>0</v>
      </c>
      <c r="M493" t="n">
        <v>0</v>
      </c>
      <c r="N493" t="n">
        <v>0</v>
      </c>
      <c r="O493" t="n">
        <v>0</v>
      </c>
      <c r="P493" t="n">
        <v>0</v>
      </c>
      <c r="Q493" t="n">
        <v>0</v>
      </c>
      <c r="R493" s="2" t="inlineStr"/>
    </row>
    <row r="494" ht="15" customHeight="1">
      <c r="A494" t="inlineStr">
        <is>
          <t>A 33947-2025</t>
        </is>
      </c>
      <c r="B494" s="1" t="n">
        <v>45842.65444444444</v>
      </c>
      <c r="C494" s="1" t="n">
        <v>45915</v>
      </c>
      <c r="D494" t="inlineStr">
        <is>
          <t>ÖSTERGÖTLANDS LÄN</t>
        </is>
      </c>
      <c r="E494" t="inlineStr">
        <is>
          <t>LINKÖPING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43934-2023</t>
        </is>
      </c>
      <c r="B495" s="1" t="n">
        <v>45187</v>
      </c>
      <c r="C495" s="1" t="n">
        <v>45915</v>
      </c>
      <c r="D495" t="inlineStr">
        <is>
          <t>ÖSTERGÖTLANDS LÄN</t>
        </is>
      </c>
      <c r="E495" t="inlineStr">
        <is>
          <t>LINKÖPING</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7354-2025</t>
        </is>
      </c>
      <c r="B496" s="1" t="n">
        <v>45704.41174768518</v>
      </c>
      <c r="C496" s="1" t="n">
        <v>45915</v>
      </c>
      <c r="D496" t="inlineStr">
        <is>
          <t>ÖSTERGÖTLANDS LÄN</t>
        </is>
      </c>
      <c r="E496" t="inlineStr">
        <is>
          <t>LINKÖPING</t>
        </is>
      </c>
      <c r="G496" t="n">
        <v>4.8</v>
      </c>
      <c r="H496" t="n">
        <v>0</v>
      </c>
      <c r="I496" t="n">
        <v>0</v>
      </c>
      <c r="J496" t="n">
        <v>0</v>
      </c>
      <c r="K496" t="n">
        <v>0</v>
      </c>
      <c r="L496" t="n">
        <v>0</v>
      </c>
      <c r="M496" t="n">
        <v>0</v>
      </c>
      <c r="N496" t="n">
        <v>0</v>
      </c>
      <c r="O496" t="n">
        <v>0</v>
      </c>
      <c r="P496" t="n">
        <v>0</v>
      </c>
      <c r="Q496" t="n">
        <v>0</v>
      </c>
      <c r="R496" s="2" t="inlineStr"/>
    </row>
    <row r="497" ht="15" customHeight="1">
      <c r="A497" t="inlineStr">
        <is>
          <t>A 63935-2021</t>
        </is>
      </c>
      <c r="B497" s="1" t="n">
        <v>44509</v>
      </c>
      <c r="C497" s="1" t="n">
        <v>45915</v>
      </c>
      <c r="D497" t="inlineStr">
        <is>
          <t>ÖSTERGÖTLANDS LÄN</t>
        </is>
      </c>
      <c r="E497" t="inlineStr">
        <is>
          <t>LINKÖPING</t>
        </is>
      </c>
      <c r="F497" t="inlineStr">
        <is>
          <t>Övriga statliga verk och myndigheter</t>
        </is>
      </c>
      <c r="G497" t="n">
        <v>2.8</v>
      </c>
      <c r="H497" t="n">
        <v>0</v>
      </c>
      <c r="I497" t="n">
        <v>0</v>
      </c>
      <c r="J497" t="n">
        <v>0</v>
      </c>
      <c r="K497" t="n">
        <v>0</v>
      </c>
      <c r="L497" t="n">
        <v>0</v>
      </c>
      <c r="M497" t="n">
        <v>0</v>
      </c>
      <c r="N497" t="n">
        <v>0</v>
      </c>
      <c r="O497" t="n">
        <v>0</v>
      </c>
      <c r="P497" t="n">
        <v>0</v>
      </c>
      <c r="Q497" t="n">
        <v>0</v>
      </c>
      <c r="R497" s="2" t="inlineStr"/>
    </row>
    <row r="498" ht="15" customHeight="1">
      <c r="A498" t="inlineStr">
        <is>
          <t>A 38230-2023</t>
        </is>
      </c>
      <c r="B498" s="1" t="n">
        <v>45161.55373842592</v>
      </c>
      <c r="C498" s="1" t="n">
        <v>45915</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56756-2023</t>
        </is>
      </c>
      <c r="B499" s="1" t="n">
        <v>45244</v>
      </c>
      <c r="C499" s="1" t="n">
        <v>45915</v>
      </c>
      <c r="D499" t="inlineStr">
        <is>
          <t>ÖSTERGÖTLANDS LÄN</t>
        </is>
      </c>
      <c r="E499" t="inlineStr">
        <is>
          <t>LINKÖPING</t>
        </is>
      </c>
      <c r="F499" t="inlineStr">
        <is>
          <t>Övriga Aktiebolag</t>
        </is>
      </c>
      <c r="G499" t="n">
        <v>0.8</v>
      </c>
      <c r="H499" t="n">
        <v>0</v>
      </c>
      <c r="I499" t="n">
        <v>0</v>
      </c>
      <c r="J499" t="n">
        <v>0</v>
      </c>
      <c r="K499" t="n">
        <v>0</v>
      </c>
      <c r="L499" t="n">
        <v>0</v>
      </c>
      <c r="M499" t="n">
        <v>0</v>
      </c>
      <c r="N499" t="n">
        <v>0</v>
      </c>
      <c r="O499" t="n">
        <v>0</v>
      </c>
      <c r="P499" t="n">
        <v>0</v>
      </c>
      <c r="Q499" t="n">
        <v>0</v>
      </c>
      <c r="R499" s="2" t="inlineStr"/>
    </row>
    <row r="500" ht="15" customHeight="1">
      <c r="A500" t="inlineStr">
        <is>
          <t>A 40810-2022</t>
        </is>
      </c>
      <c r="B500" s="1" t="n">
        <v>44824</v>
      </c>
      <c r="C500" s="1" t="n">
        <v>45915</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20298-2025</t>
        </is>
      </c>
      <c r="B501" s="1" t="n">
        <v>45774.75024305555</v>
      </c>
      <c r="C501" s="1" t="n">
        <v>45915</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14576-2023</t>
        </is>
      </c>
      <c r="B502" s="1" t="n">
        <v>45013</v>
      </c>
      <c r="C502" s="1" t="n">
        <v>45915</v>
      </c>
      <c r="D502" t="inlineStr">
        <is>
          <t>ÖSTERGÖTLANDS LÄN</t>
        </is>
      </c>
      <c r="E502" t="inlineStr">
        <is>
          <t>LINKÖPING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12089-2025</t>
        </is>
      </c>
      <c r="B503" s="1" t="n">
        <v>45729</v>
      </c>
      <c r="C503" s="1" t="n">
        <v>45915</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15307-2025</t>
        </is>
      </c>
      <c r="B504" s="1" t="n">
        <v>45746.70038194444</v>
      </c>
      <c r="C504" s="1" t="n">
        <v>45915</v>
      </c>
      <c r="D504" t="inlineStr">
        <is>
          <t>ÖSTERGÖTLANDS LÄN</t>
        </is>
      </c>
      <c r="E504" t="inlineStr">
        <is>
          <t>LINKÖPING</t>
        </is>
      </c>
      <c r="G504" t="n">
        <v>3.3</v>
      </c>
      <c r="H504" t="n">
        <v>0</v>
      </c>
      <c r="I504" t="n">
        <v>0</v>
      </c>
      <c r="J504" t="n">
        <v>0</v>
      </c>
      <c r="K504" t="n">
        <v>0</v>
      </c>
      <c r="L504" t="n">
        <v>0</v>
      </c>
      <c r="M504" t="n">
        <v>0</v>
      </c>
      <c r="N504" t="n">
        <v>0</v>
      </c>
      <c r="O504" t="n">
        <v>0</v>
      </c>
      <c r="P504" t="n">
        <v>0</v>
      </c>
      <c r="Q504" t="n">
        <v>0</v>
      </c>
      <c r="R504" s="2" t="inlineStr"/>
    </row>
    <row r="505" ht="15" customHeight="1">
      <c r="A505" t="inlineStr">
        <is>
          <t>A 59954-2020</t>
        </is>
      </c>
      <c r="B505" s="1" t="n">
        <v>44151</v>
      </c>
      <c r="C505" s="1" t="n">
        <v>45915</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59969-2020</t>
        </is>
      </c>
      <c r="B506" s="1" t="n">
        <v>44151</v>
      </c>
      <c r="C506" s="1" t="n">
        <v>45915</v>
      </c>
      <c r="D506" t="inlineStr">
        <is>
          <t>ÖSTERGÖTLANDS LÄN</t>
        </is>
      </c>
      <c r="E506" t="inlineStr">
        <is>
          <t>LINKÖPING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62321-2022</t>
        </is>
      </c>
      <c r="B507" s="1" t="n">
        <v>44916</v>
      </c>
      <c r="C507" s="1" t="n">
        <v>45915</v>
      </c>
      <c r="D507" t="inlineStr">
        <is>
          <t>ÖSTERGÖTLANDS LÄN</t>
        </is>
      </c>
      <c r="E507" t="inlineStr">
        <is>
          <t>LINKÖPING</t>
        </is>
      </c>
      <c r="F507" t="inlineStr">
        <is>
          <t>Kommuner</t>
        </is>
      </c>
      <c r="G507" t="n">
        <v>5.3</v>
      </c>
      <c r="H507" t="n">
        <v>0</v>
      </c>
      <c r="I507" t="n">
        <v>0</v>
      </c>
      <c r="J507" t="n">
        <v>0</v>
      </c>
      <c r="K507" t="n">
        <v>0</v>
      </c>
      <c r="L507" t="n">
        <v>0</v>
      </c>
      <c r="M507" t="n">
        <v>0</v>
      </c>
      <c r="N507" t="n">
        <v>0</v>
      </c>
      <c r="O507" t="n">
        <v>0</v>
      </c>
      <c r="P507" t="n">
        <v>0</v>
      </c>
      <c r="Q507" t="n">
        <v>0</v>
      </c>
      <c r="R507" s="2" t="inlineStr"/>
    </row>
    <row r="508" ht="15" customHeight="1">
      <c r="A508" t="inlineStr">
        <is>
          <t>A 38886-2024</t>
        </is>
      </c>
      <c r="B508" s="1" t="n">
        <v>45547.66443287037</v>
      </c>
      <c r="C508" s="1" t="n">
        <v>45915</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11590-2023</t>
        </is>
      </c>
      <c r="B509" s="1" t="n">
        <v>44994.36689814815</v>
      </c>
      <c r="C509" s="1" t="n">
        <v>45915</v>
      </c>
      <c r="D509" t="inlineStr">
        <is>
          <t>ÖSTERGÖTLANDS LÄN</t>
        </is>
      </c>
      <c r="E509" t="inlineStr">
        <is>
          <t>LINKÖPING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43475-2024</t>
        </is>
      </c>
      <c r="B510" s="1" t="n">
        <v>45568</v>
      </c>
      <c r="C510" s="1" t="n">
        <v>45915</v>
      </c>
      <c r="D510" t="inlineStr">
        <is>
          <t>ÖSTERGÖTLANDS LÄN</t>
        </is>
      </c>
      <c r="E510" t="inlineStr">
        <is>
          <t>LINKÖPING</t>
        </is>
      </c>
      <c r="G510" t="n">
        <v>3.2</v>
      </c>
      <c r="H510" t="n">
        <v>0</v>
      </c>
      <c r="I510" t="n">
        <v>0</v>
      </c>
      <c r="J510" t="n">
        <v>0</v>
      </c>
      <c r="K510" t="n">
        <v>0</v>
      </c>
      <c r="L510" t="n">
        <v>0</v>
      </c>
      <c r="M510" t="n">
        <v>0</v>
      </c>
      <c r="N510" t="n">
        <v>0</v>
      </c>
      <c r="O510" t="n">
        <v>0</v>
      </c>
      <c r="P510" t="n">
        <v>0</v>
      </c>
      <c r="Q510" t="n">
        <v>0</v>
      </c>
      <c r="R510" s="2" t="inlineStr"/>
    </row>
    <row r="511" ht="15" customHeight="1">
      <c r="A511" t="inlineStr">
        <is>
          <t>A 17103-2025</t>
        </is>
      </c>
      <c r="B511" s="1" t="n">
        <v>45755.66143518518</v>
      </c>
      <c r="C511" s="1" t="n">
        <v>45915</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30551-2023</t>
        </is>
      </c>
      <c r="B512" s="1" t="n">
        <v>45111</v>
      </c>
      <c r="C512" s="1" t="n">
        <v>45915</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50784-2022</t>
        </is>
      </c>
      <c r="B513" s="1" t="n">
        <v>44862</v>
      </c>
      <c r="C513" s="1" t="n">
        <v>45915</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22043-2023</t>
        </is>
      </c>
      <c r="B514" s="1" t="n">
        <v>45069.39050925926</v>
      </c>
      <c r="C514" s="1" t="n">
        <v>45915</v>
      </c>
      <c r="D514" t="inlineStr">
        <is>
          <t>ÖSTERGÖTLANDS LÄN</t>
        </is>
      </c>
      <c r="E514" t="inlineStr">
        <is>
          <t>LINKÖPING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45915</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30465-2023</t>
        </is>
      </c>
      <c r="B516" s="1" t="n">
        <v>45111</v>
      </c>
      <c r="C516" s="1" t="n">
        <v>45915</v>
      </c>
      <c r="D516" t="inlineStr">
        <is>
          <t>ÖSTERGÖTLANDS LÄN</t>
        </is>
      </c>
      <c r="E516" t="inlineStr">
        <is>
          <t>LINKÖPING</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30521-2024</t>
        </is>
      </c>
      <c r="B517" s="1" t="n">
        <v>45492</v>
      </c>
      <c r="C517" s="1" t="n">
        <v>45915</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40618-2021</t>
        </is>
      </c>
      <c r="B518" s="1" t="n">
        <v>44420.49575231481</v>
      </c>
      <c r="C518" s="1" t="n">
        <v>45915</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62374-2020</t>
        </is>
      </c>
      <c r="B519" s="1" t="n">
        <v>44159</v>
      </c>
      <c r="C519" s="1" t="n">
        <v>45915</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23735-2023</t>
        </is>
      </c>
      <c r="B520" s="1" t="n">
        <v>45077</v>
      </c>
      <c r="C520" s="1" t="n">
        <v>45915</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350-2022</t>
        </is>
      </c>
      <c r="B521" s="1" t="n">
        <v>44565</v>
      </c>
      <c r="C521" s="1" t="n">
        <v>45915</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10461-2023</t>
        </is>
      </c>
      <c r="B522" s="1" t="n">
        <v>44987.5969212963</v>
      </c>
      <c r="C522" s="1" t="n">
        <v>45915</v>
      </c>
      <c r="D522" t="inlineStr">
        <is>
          <t>ÖSTERGÖTLANDS LÄN</t>
        </is>
      </c>
      <c r="E522" t="inlineStr">
        <is>
          <t>LINKÖPING</t>
        </is>
      </c>
      <c r="G522" t="n">
        <v>7.8</v>
      </c>
      <c r="H522" t="n">
        <v>0</v>
      </c>
      <c r="I522" t="n">
        <v>0</v>
      </c>
      <c r="J522" t="n">
        <v>0</v>
      </c>
      <c r="K522" t="n">
        <v>0</v>
      </c>
      <c r="L522" t="n">
        <v>0</v>
      </c>
      <c r="M522" t="n">
        <v>0</v>
      </c>
      <c r="N522" t="n">
        <v>0</v>
      </c>
      <c r="O522" t="n">
        <v>0</v>
      </c>
      <c r="P522" t="n">
        <v>0</v>
      </c>
      <c r="Q522" t="n">
        <v>0</v>
      </c>
      <c r="R522" s="2" t="inlineStr"/>
    </row>
    <row r="523" ht="15" customHeight="1">
      <c r="A523" t="inlineStr">
        <is>
          <t>A 4256-2022</t>
        </is>
      </c>
      <c r="B523" s="1" t="n">
        <v>44588</v>
      </c>
      <c r="C523" s="1" t="n">
        <v>45915</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25948-2023</t>
        </is>
      </c>
      <c r="B524" s="1" t="n">
        <v>45090</v>
      </c>
      <c r="C524" s="1" t="n">
        <v>45915</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41345-2021</t>
        </is>
      </c>
      <c r="B525" s="1" t="n">
        <v>44424.61851851852</v>
      </c>
      <c r="C525" s="1" t="n">
        <v>45915</v>
      </c>
      <c r="D525" t="inlineStr">
        <is>
          <t>ÖSTERGÖTLANDS LÄN</t>
        </is>
      </c>
      <c r="E525" t="inlineStr">
        <is>
          <t>LINKÖPING</t>
        </is>
      </c>
      <c r="F525" t="inlineStr">
        <is>
          <t>Sveaskog</t>
        </is>
      </c>
      <c r="G525" t="n">
        <v>6.3</v>
      </c>
      <c r="H525" t="n">
        <v>0</v>
      </c>
      <c r="I525" t="n">
        <v>0</v>
      </c>
      <c r="J525" t="n">
        <v>0</v>
      </c>
      <c r="K525" t="n">
        <v>0</v>
      </c>
      <c r="L525" t="n">
        <v>0</v>
      </c>
      <c r="M525" t="n">
        <v>0</v>
      </c>
      <c r="N525" t="n">
        <v>0</v>
      </c>
      <c r="O525" t="n">
        <v>0</v>
      </c>
      <c r="P525" t="n">
        <v>0</v>
      </c>
      <c r="Q525" t="n">
        <v>0</v>
      </c>
      <c r="R525" s="2" t="inlineStr"/>
    </row>
    <row r="526" ht="15" customHeight="1">
      <c r="A526" t="inlineStr">
        <is>
          <t>A 33867-2023</t>
        </is>
      </c>
      <c r="B526" s="1" t="n">
        <v>45133.94640046296</v>
      </c>
      <c r="C526" s="1" t="n">
        <v>45915</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67129-2020</t>
        </is>
      </c>
      <c r="B527" s="1" t="n">
        <v>44180</v>
      </c>
      <c r="C527" s="1" t="n">
        <v>45915</v>
      </c>
      <c r="D527" t="inlineStr">
        <is>
          <t>ÖSTERGÖTLANDS LÄN</t>
        </is>
      </c>
      <c r="E527" t="inlineStr">
        <is>
          <t>LINKÖPING</t>
        </is>
      </c>
      <c r="F527" t="inlineStr">
        <is>
          <t>Övriga statliga verk och myndigheter</t>
        </is>
      </c>
      <c r="G527" t="n">
        <v>2.7</v>
      </c>
      <c r="H527" t="n">
        <v>0</v>
      </c>
      <c r="I527" t="n">
        <v>0</v>
      </c>
      <c r="J527" t="n">
        <v>0</v>
      </c>
      <c r="K527" t="n">
        <v>0</v>
      </c>
      <c r="L527" t="n">
        <v>0</v>
      </c>
      <c r="M527" t="n">
        <v>0</v>
      </c>
      <c r="N527" t="n">
        <v>0</v>
      </c>
      <c r="O527" t="n">
        <v>0</v>
      </c>
      <c r="P527" t="n">
        <v>0</v>
      </c>
      <c r="Q527" t="n">
        <v>0</v>
      </c>
      <c r="R527" s="2" t="inlineStr"/>
    </row>
    <row r="528" ht="15" customHeight="1">
      <c r="A528" t="inlineStr">
        <is>
          <t>A 62012-2024</t>
        </is>
      </c>
      <c r="B528" s="1" t="n">
        <v>45655.79679398148</v>
      </c>
      <c r="C528" s="1" t="n">
        <v>45915</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53616-2020</t>
        </is>
      </c>
      <c r="B529" s="1" t="n">
        <v>44123</v>
      </c>
      <c r="C529" s="1" t="n">
        <v>45915</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24462-2023</t>
        </is>
      </c>
      <c r="B530" s="1" t="n">
        <v>45082</v>
      </c>
      <c r="C530" s="1" t="n">
        <v>45915</v>
      </c>
      <c r="D530" t="inlineStr">
        <is>
          <t>ÖSTERGÖTLANDS LÄN</t>
        </is>
      </c>
      <c r="E530" t="inlineStr">
        <is>
          <t>LINKÖPING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48829-2023</t>
        </is>
      </c>
      <c r="B531" s="1" t="n">
        <v>45209.38177083333</v>
      </c>
      <c r="C531" s="1" t="n">
        <v>45915</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38231-2022</t>
        </is>
      </c>
      <c r="B532" s="1" t="n">
        <v>44812</v>
      </c>
      <c r="C532" s="1" t="n">
        <v>45915</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50799-2022</t>
        </is>
      </c>
      <c r="B533" s="1" t="n">
        <v>44862</v>
      </c>
      <c r="C533" s="1" t="n">
        <v>45915</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40431-2024</t>
        </is>
      </c>
      <c r="B534" s="1" t="n">
        <v>45555.47070601852</v>
      </c>
      <c r="C534" s="1" t="n">
        <v>45915</v>
      </c>
      <c r="D534" t="inlineStr">
        <is>
          <t>ÖSTERGÖTLANDS LÄN</t>
        </is>
      </c>
      <c r="E534" t="inlineStr">
        <is>
          <t>LINKÖPING</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61307-2021</t>
        </is>
      </c>
      <c r="B535" s="1" t="n">
        <v>44498.63928240741</v>
      </c>
      <c r="C535" s="1" t="n">
        <v>45915</v>
      </c>
      <c r="D535" t="inlineStr">
        <is>
          <t>ÖSTERGÖTLANDS LÄN</t>
        </is>
      </c>
      <c r="E535" t="inlineStr">
        <is>
          <t>LINKÖPING</t>
        </is>
      </c>
      <c r="G535" t="n">
        <v>1.8</v>
      </c>
      <c r="H535" t="n">
        <v>0</v>
      </c>
      <c r="I535" t="n">
        <v>0</v>
      </c>
      <c r="J535" t="n">
        <v>0</v>
      </c>
      <c r="K535" t="n">
        <v>0</v>
      </c>
      <c r="L535" t="n">
        <v>0</v>
      </c>
      <c r="M535" t="n">
        <v>0</v>
      </c>
      <c r="N535" t="n">
        <v>0</v>
      </c>
      <c r="O535" t="n">
        <v>0</v>
      </c>
      <c r="P535" t="n">
        <v>0</v>
      </c>
      <c r="Q535" t="n">
        <v>0</v>
      </c>
      <c r="R535" s="2" t="inlineStr"/>
    </row>
    <row r="536" ht="15" customHeight="1">
      <c r="A536" t="inlineStr">
        <is>
          <t>A 61325-2021</t>
        </is>
      </c>
      <c r="B536" s="1" t="n">
        <v>44498.66814814815</v>
      </c>
      <c r="C536" s="1" t="n">
        <v>45915</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60010-2022</t>
        </is>
      </c>
      <c r="B537" s="1" t="n">
        <v>44909.4740625</v>
      </c>
      <c r="C537" s="1" t="n">
        <v>45915</v>
      </c>
      <c r="D537" t="inlineStr">
        <is>
          <t>ÖSTERGÖTLANDS LÄN</t>
        </is>
      </c>
      <c r="E537" t="inlineStr">
        <is>
          <t>LINKÖPING</t>
        </is>
      </c>
      <c r="G537" t="n">
        <v>1.2</v>
      </c>
      <c r="H537" t="n">
        <v>0</v>
      </c>
      <c r="I537" t="n">
        <v>0</v>
      </c>
      <c r="J537" t="n">
        <v>0</v>
      </c>
      <c r="K537" t="n">
        <v>0</v>
      </c>
      <c r="L537" t="n">
        <v>0</v>
      </c>
      <c r="M537" t="n">
        <v>0</v>
      </c>
      <c r="N537" t="n">
        <v>0</v>
      </c>
      <c r="O537" t="n">
        <v>0</v>
      </c>
      <c r="P537" t="n">
        <v>0</v>
      </c>
      <c r="Q537" t="n">
        <v>0</v>
      </c>
      <c r="R537" s="2" t="inlineStr"/>
    </row>
    <row r="538" ht="15" customHeight="1">
      <c r="A538" t="inlineStr">
        <is>
          <t>A 267-2023</t>
        </is>
      </c>
      <c r="B538" s="1" t="n">
        <v>44928.80907407407</v>
      </c>
      <c r="C538" s="1" t="n">
        <v>45915</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26618-2023</t>
        </is>
      </c>
      <c r="B539" s="1" t="n">
        <v>45092.70306712963</v>
      </c>
      <c r="C539" s="1" t="n">
        <v>45915</v>
      </c>
      <c r="D539" t="inlineStr">
        <is>
          <t>ÖSTERGÖTLANDS LÄN</t>
        </is>
      </c>
      <c r="E539" t="inlineStr">
        <is>
          <t>LINKÖPING</t>
        </is>
      </c>
      <c r="G539" t="n">
        <v>6.9</v>
      </c>
      <c r="H539" t="n">
        <v>0</v>
      </c>
      <c r="I539" t="n">
        <v>0</v>
      </c>
      <c r="J539" t="n">
        <v>0</v>
      </c>
      <c r="K539" t="n">
        <v>0</v>
      </c>
      <c r="L539" t="n">
        <v>0</v>
      </c>
      <c r="M539" t="n">
        <v>0</v>
      </c>
      <c r="N539" t="n">
        <v>0</v>
      </c>
      <c r="O539" t="n">
        <v>0</v>
      </c>
      <c r="P539" t="n">
        <v>0</v>
      </c>
      <c r="Q539" t="n">
        <v>0</v>
      </c>
      <c r="R539" s="2" t="inlineStr"/>
    </row>
    <row r="540" ht="15" customHeight="1">
      <c r="A540" t="inlineStr">
        <is>
          <t>A 63665-2023</t>
        </is>
      </c>
      <c r="B540" s="1" t="n">
        <v>45275</v>
      </c>
      <c r="C540" s="1" t="n">
        <v>45915</v>
      </c>
      <c r="D540" t="inlineStr">
        <is>
          <t>ÖSTERGÖTLANDS LÄN</t>
        </is>
      </c>
      <c r="E540" t="inlineStr">
        <is>
          <t>LINKÖPING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39074-2025</t>
        </is>
      </c>
      <c r="B541" s="1" t="n">
        <v>45888</v>
      </c>
      <c r="C541" s="1" t="n">
        <v>45915</v>
      </c>
      <c r="D541" t="inlineStr">
        <is>
          <t>ÖSTERGÖTLANDS LÄN</t>
        </is>
      </c>
      <c r="E541" t="inlineStr">
        <is>
          <t>LINKÖPING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55305-2020</t>
        </is>
      </c>
      <c r="B542" s="1" t="n">
        <v>44130</v>
      </c>
      <c r="C542" s="1" t="n">
        <v>45915</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67123-2020</t>
        </is>
      </c>
      <c r="B543" s="1" t="n">
        <v>44180</v>
      </c>
      <c r="C543" s="1" t="n">
        <v>45915</v>
      </c>
      <c r="D543" t="inlineStr">
        <is>
          <t>ÖSTERGÖTLANDS LÄN</t>
        </is>
      </c>
      <c r="E543" t="inlineStr">
        <is>
          <t>LINKÖPING</t>
        </is>
      </c>
      <c r="F543" t="inlineStr">
        <is>
          <t>Övriga statliga verk och myndigheter</t>
        </is>
      </c>
      <c r="G543" t="n">
        <v>1.3</v>
      </c>
      <c r="H543" t="n">
        <v>0</v>
      </c>
      <c r="I543" t="n">
        <v>0</v>
      </c>
      <c r="J543" t="n">
        <v>0</v>
      </c>
      <c r="K543" t="n">
        <v>0</v>
      </c>
      <c r="L543" t="n">
        <v>0</v>
      </c>
      <c r="M543" t="n">
        <v>0</v>
      </c>
      <c r="N543" t="n">
        <v>0</v>
      </c>
      <c r="O543" t="n">
        <v>0</v>
      </c>
      <c r="P543" t="n">
        <v>0</v>
      </c>
      <c r="Q543" t="n">
        <v>0</v>
      </c>
      <c r="R543" s="2" t="inlineStr"/>
    </row>
    <row r="544" ht="15" customHeight="1">
      <c r="A544" t="inlineStr">
        <is>
          <t>A 30518-2024</t>
        </is>
      </c>
      <c r="B544" s="1" t="n">
        <v>45492</v>
      </c>
      <c r="C544" s="1" t="n">
        <v>45915</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53529-2024</t>
        </is>
      </c>
      <c r="B545" s="1" t="n">
        <v>45614</v>
      </c>
      <c r="C545" s="1" t="n">
        <v>45915</v>
      </c>
      <c r="D545" t="inlineStr">
        <is>
          <t>ÖSTERGÖTLANDS LÄN</t>
        </is>
      </c>
      <c r="E545" t="inlineStr">
        <is>
          <t>LINKÖPING</t>
        </is>
      </c>
      <c r="G545" t="n">
        <v>6.7</v>
      </c>
      <c r="H545" t="n">
        <v>0</v>
      </c>
      <c r="I545" t="n">
        <v>0</v>
      </c>
      <c r="J545" t="n">
        <v>0</v>
      </c>
      <c r="K545" t="n">
        <v>0</v>
      </c>
      <c r="L545" t="n">
        <v>0</v>
      </c>
      <c r="M545" t="n">
        <v>0</v>
      </c>
      <c r="N545" t="n">
        <v>0</v>
      </c>
      <c r="O545" t="n">
        <v>0</v>
      </c>
      <c r="P545" t="n">
        <v>0</v>
      </c>
      <c r="Q545" t="n">
        <v>0</v>
      </c>
      <c r="R545" s="2" t="inlineStr"/>
    </row>
    <row r="546" ht="15" customHeight="1">
      <c r="A546" t="inlineStr">
        <is>
          <t>A 30429-2024</t>
        </is>
      </c>
      <c r="B546" s="1" t="n">
        <v>45491.68972222223</v>
      </c>
      <c r="C546" s="1" t="n">
        <v>45915</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4908-2023</t>
        </is>
      </c>
      <c r="B547" s="1" t="n">
        <v>44958</v>
      </c>
      <c r="C547" s="1" t="n">
        <v>45915</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38971-2025</t>
        </is>
      </c>
      <c r="B548" s="1" t="n">
        <v>45887.71827546296</v>
      </c>
      <c r="C548" s="1" t="n">
        <v>45915</v>
      </c>
      <c r="D548" t="inlineStr">
        <is>
          <t>ÖSTERGÖTLANDS LÄN</t>
        </is>
      </c>
      <c r="E548" t="inlineStr">
        <is>
          <t>LINKÖPING</t>
        </is>
      </c>
      <c r="G548" t="n">
        <v>3.9</v>
      </c>
      <c r="H548" t="n">
        <v>0</v>
      </c>
      <c r="I548" t="n">
        <v>0</v>
      </c>
      <c r="J548" t="n">
        <v>0</v>
      </c>
      <c r="K548" t="n">
        <v>0</v>
      </c>
      <c r="L548" t="n">
        <v>0</v>
      </c>
      <c r="M548" t="n">
        <v>0</v>
      </c>
      <c r="N548" t="n">
        <v>0</v>
      </c>
      <c r="O548" t="n">
        <v>0</v>
      </c>
      <c r="P548" t="n">
        <v>0</v>
      </c>
      <c r="Q548" t="n">
        <v>0</v>
      </c>
      <c r="R548" s="2" t="inlineStr"/>
    </row>
    <row r="549" ht="15" customHeight="1">
      <c r="A549" t="inlineStr">
        <is>
          <t>A 37715-2022</t>
        </is>
      </c>
      <c r="B549" s="1" t="n">
        <v>44810</v>
      </c>
      <c r="C549" s="1" t="n">
        <v>45915</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30435-2024</t>
        </is>
      </c>
      <c r="B550" s="1" t="n">
        <v>45491.69962962963</v>
      </c>
      <c r="C550" s="1" t="n">
        <v>45915</v>
      </c>
      <c r="D550" t="inlineStr">
        <is>
          <t>ÖSTERGÖTLANDS LÄN</t>
        </is>
      </c>
      <c r="E550" t="inlineStr">
        <is>
          <t>LINKÖPING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53816-2023</t>
        </is>
      </c>
      <c r="B551" s="1" t="n">
        <v>45231.40012731482</v>
      </c>
      <c r="C551" s="1" t="n">
        <v>45915</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36557-2023</t>
        </is>
      </c>
      <c r="B552" s="1" t="n">
        <v>45153</v>
      </c>
      <c r="C552" s="1" t="n">
        <v>45915</v>
      </c>
      <c r="D552" t="inlineStr">
        <is>
          <t>ÖSTERGÖTLANDS LÄN</t>
        </is>
      </c>
      <c r="E552" t="inlineStr">
        <is>
          <t>LINKÖPING</t>
        </is>
      </c>
      <c r="F552" t="inlineStr">
        <is>
          <t>Övriga Aktiebolag</t>
        </is>
      </c>
      <c r="G552" t="n">
        <v>3.1</v>
      </c>
      <c r="H552" t="n">
        <v>0</v>
      </c>
      <c r="I552" t="n">
        <v>0</v>
      </c>
      <c r="J552" t="n">
        <v>0</v>
      </c>
      <c r="K552" t="n">
        <v>0</v>
      </c>
      <c r="L552" t="n">
        <v>0</v>
      </c>
      <c r="M552" t="n">
        <v>0</v>
      </c>
      <c r="N552" t="n">
        <v>0</v>
      </c>
      <c r="O552" t="n">
        <v>0</v>
      </c>
      <c r="P552" t="n">
        <v>0</v>
      </c>
      <c r="Q552" t="n">
        <v>0</v>
      </c>
      <c r="R552" s="2" t="inlineStr"/>
    </row>
    <row r="553" ht="15" customHeight="1">
      <c r="A553" t="inlineStr">
        <is>
          <t>A 6599-2023</t>
        </is>
      </c>
      <c r="B553" s="1" t="n">
        <v>44966.52603009259</v>
      </c>
      <c r="C553" s="1" t="n">
        <v>45915</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43473-2024</t>
        </is>
      </c>
      <c r="B554" s="1" t="n">
        <v>45568</v>
      </c>
      <c r="C554" s="1" t="n">
        <v>45915</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20469-2025</t>
        </is>
      </c>
      <c r="B555" s="1" t="n">
        <v>45775</v>
      </c>
      <c r="C555" s="1" t="n">
        <v>45915</v>
      </c>
      <c r="D555" t="inlineStr">
        <is>
          <t>ÖSTERGÖTLANDS LÄN</t>
        </is>
      </c>
      <c r="E555" t="inlineStr">
        <is>
          <t>LINKÖPING</t>
        </is>
      </c>
      <c r="F555" t="inlineStr">
        <is>
          <t>Kyrkan</t>
        </is>
      </c>
      <c r="G555" t="n">
        <v>6.1</v>
      </c>
      <c r="H555" t="n">
        <v>0</v>
      </c>
      <c r="I555" t="n">
        <v>0</v>
      </c>
      <c r="J555" t="n">
        <v>0</v>
      </c>
      <c r="K555" t="n">
        <v>0</v>
      </c>
      <c r="L555" t="n">
        <v>0</v>
      </c>
      <c r="M555" t="n">
        <v>0</v>
      </c>
      <c r="N555" t="n">
        <v>0</v>
      </c>
      <c r="O555" t="n">
        <v>0</v>
      </c>
      <c r="P555" t="n">
        <v>0</v>
      </c>
      <c r="Q555" t="n">
        <v>0</v>
      </c>
      <c r="R555" s="2" t="inlineStr"/>
    </row>
    <row r="556" ht="15" customHeight="1">
      <c r="A556" t="inlineStr">
        <is>
          <t>A 3742-2021</t>
        </is>
      </c>
      <c r="B556" s="1" t="n">
        <v>44221</v>
      </c>
      <c r="C556" s="1" t="n">
        <v>45915</v>
      </c>
      <c r="D556" t="inlineStr">
        <is>
          <t>ÖSTERGÖTLANDS LÄN</t>
        </is>
      </c>
      <c r="E556" t="inlineStr">
        <is>
          <t>LINKÖPING</t>
        </is>
      </c>
      <c r="G556" t="n">
        <v>5.5</v>
      </c>
      <c r="H556" t="n">
        <v>0</v>
      </c>
      <c r="I556" t="n">
        <v>0</v>
      </c>
      <c r="J556" t="n">
        <v>0</v>
      </c>
      <c r="K556" t="n">
        <v>0</v>
      </c>
      <c r="L556" t="n">
        <v>0</v>
      </c>
      <c r="M556" t="n">
        <v>0</v>
      </c>
      <c r="N556" t="n">
        <v>0</v>
      </c>
      <c r="O556" t="n">
        <v>0</v>
      </c>
      <c r="P556" t="n">
        <v>0</v>
      </c>
      <c r="Q556" t="n">
        <v>0</v>
      </c>
      <c r="R556" s="2" t="inlineStr"/>
    </row>
    <row r="557" ht="15" customHeight="1">
      <c r="A557" t="inlineStr">
        <is>
          <t>A 3011-2023</t>
        </is>
      </c>
      <c r="B557" s="1" t="n">
        <v>44945</v>
      </c>
      <c r="C557" s="1" t="n">
        <v>45915</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39438-2025</t>
        </is>
      </c>
      <c r="B558" s="1" t="n">
        <v>45889.68641203704</v>
      </c>
      <c r="C558" s="1" t="n">
        <v>45915</v>
      </c>
      <c r="D558" t="inlineStr">
        <is>
          <t>ÖSTERGÖTLANDS LÄN</t>
        </is>
      </c>
      <c r="E558" t="inlineStr">
        <is>
          <t>LINKÖPING</t>
        </is>
      </c>
      <c r="G558" t="n">
        <v>2.4</v>
      </c>
      <c r="H558" t="n">
        <v>0</v>
      </c>
      <c r="I558" t="n">
        <v>0</v>
      </c>
      <c r="J558" t="n">
        <v>0</v>
      </c>
      <c r="K558" t="n">
        <v>0</v>
      </c>
      <c r="L558" t="n">
        <v>0</v>
      </c>
      <c r="M558" t="n">
        <v>0</v>
      </c>
      <c r="N558" t="n">
        <v>0</v>
      </c>
      <c r="O558" t="n">
        <v>0</v>
      </c>
      <c r="P558" t="n">
        <v>0</v>
      </c>
      <c r="Q558" t="n">
        <v>0</v>
      </c>
      <c r="R558" s="2" t="inlineStr"/>
    </row>
    <row r="559" ht="15" customHeight="1">
      <c r="A559" t="inlineStr">
        <is>
          <t>A 45442-2024</t>
        </is>
      </c>
      <c r="B559" s="1" t="n">
        <v>45576.64189814815</v>
      </c>
      <c r="C559" s="1" t="n">
        <v>45915</v>
      </c>
      <c r="D559" t="inlineStr">
        <is>
          <t>ÖSTERGÖTLANDS LÄN</t>
        </is>
      </c>
      <c r="E559" t="inlineStr">
        <is>
          <t>LINKÖPING</t>
        </is>
      </c>
      <c r="G559" t="n">
        <v>1.8</v>
      </c>
      <c r="H559" t="n">
        <v>0</v>
      </c>
      <c r="I559" t="n">
        <v>0</v>
      </c>
      <c r="J559" t="n">
        <v>0</v>
      </c>
      <c r="K559" t="n">
        <v>0</v>
      </c>
      <c r="L559" t="n">
        <v>0</v>
      </c>
      <c r="M559" t="n">
        <v>0</v>
      </c>
      <c r="N559" t="n">
        <v>0</v>
      </c>
      <c r="O559" t="n">
        <v>0</v>
      </c>
      <c r="P559" t="n">
        <v>0</v>
      </c>
      <c r="Q559" t="n">
        <v>0</v>
      </c>
      <c r="R559" s="2" t="inlineStr"/>
    </row>
    <row r="560" ht="15" customHeight="1">
      <c r="A560" t="inlineStr">
        <is>
          <t>A 3432-2023</t>
        </is>
      </c>
      <c r="B560" s="1" t="n">
        <v>44949</v>
      </c>
      <c r="C560" s="1" t="n">
        <v>45915</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1440-2021</t>
        </is>
      </c>
      <c r="B561" s="1" t="n">
        <v>44208</v>
      </c>
      <c r="C561" s="1" t="n">
        <v>45915</v>
      </c>
      <c r="D561" t="inlineStr">
        <is>
          <t>ÖSTERGÖTLANDS LÄN</t>
        </is>
      </c>
      <c r="E561" t="inlineStr">
        <is>
          <t>LINKÖPING</t>
        </is>
      </c>
      <c r="G561" t="n">
        <v>8.4</v>
      </c>
      <c r="H561" t="n">
        <v>0</v>
      </c>
      <c r="I561" t="n">
        <v>0</v>
      </c>
      <c r="J561" t="n">
        <v>0</v>
      </c>
      <c r="K561" t="n">
        <v>0</v>
      </c>
      <c r="L561" t="n">
        <v>0</v>
      </c>
      <c r="M561" t="n">
        <v>0</v>
      </c>
      <c r="N561" t="n">
        <v>0</v>
      </c>
      <c r="O561" t="n">
        <v>0</v>
      </c>
      <c r="P561" t="n">
        <v>0</v>
      </c>
      <c r="Q561" t="n">
        <v>0</v>
      </c>
      <c r="R561" s="2" t="inlineStr"/>
    </row>
    <row r="562" ht="15" customHeight="1">
      <c r="A562" t="inlineStr">
        <is>
          <t>A 60472-2022</t>
        </is>
      </c>
      <c r="B562" s="1" t="n">
        <v>44911.41037037037</v>
      </c>
      <c r="C562" s="1" t="n">
        <v>45915</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12720-2022</t>
        </is>
      </c>
      <c r="B563" s="1" t="n">
        <v>44641</v>
      </c>
      <c r="C563" s="1" t="n">
        <v>45915</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33800-2023</t>
        </is>
      </c>
      <c r="B564" s="1" t="n">
        <v>45121</v>
      </c>
      <c r="C564" s="1" t="n">
        <v>45915</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47991-2023</t>
        </is>
      </c>
      <c r="B565" s="1" t="n">
        <v>45204.62655092592</v>
      </c>
      <c r="C565" s="1" t="n">
        <v>45915</v>
      </c>
      <c r="D565" t="inlineStr">
        <is>
          <t>ÖSTERGÖTLANDS LÄN</t>
        </is>
      </c>
      <c r="E565" t="inlineStr">
        <is>
          <t>LINKÖPING</t>
        </is>
      </c>
      <c r="F565" t="inlineStr">
        <is>
          <t>Allmännings- och besparingsskogar</t>
        </is>
      </c>
      <c r="G565" t="n">
        <v>7.3</v>
      </c>
      <c r="H565" t="n">
        <v>0</v>
      </c>
      <c r="I565" t="n">
        <v>0</v>
      </c>
      <c r="J565" t="n">
        <v>0</v>
      </c>
      <c r="K565" t="n">
        <v>0</v>
      </c>
      <c r="L565" t="n">
        <v>0</v>
      </c>
      <c r="M565" t="n">
        <v>0</v>
      </c>
      <c r="N565" t="n">
        <v>0</v>
      </c>
      <c r="O565" t="n">
        <v>0</v>
      </c>
      <c r="P565" t="n">
        <v>0</v>
      </c>
      <c r="Q565" t="n">
        <v>0</v>
      </c>
      <c r="R565" s="2" t="inlineStr"/>
    </row>
    <row r="566" ht="15" customHeight="1">
      <c r="A566" t="inlineStr">
        <is>
          <t>A 40169-2025</t>
        </is>
      </c>
      <c r="B566" s="1" t="n">
        <v>45894.62824074074</v>
      </c>
      <c r="C566" s="1" t="n">
        <v>45915</v>
      </c>
      <c r="D566" t="inlineStr">
        <is>
          <t>ÖSTERGÖTLANDS LÄN</t>
        </is>
      </c>
      <c r="E566" t="inlineStr">
        <is>
          <t>LINKÖPING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47364-2020</t>
        </is>
      </c>
      <c r="B567" s="1" t="n">
        <v>44097</v>
      </c>
      <c r="C567" s="1" t="n">
        <v>45915</v>
      </c>
      <c r="D567" t="inlineStr">
        <is>
          <t>ÖSTERGÖTLANDS LÄN</t>
        </is>
      </c>
      <c r="E567" t="inlineStr">
        <is>
          <t>LINKÖPING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35178-2025</t>
        </is>
      </c>
      <c r="B568" s="1" t="n">
        <v>45852.91939814815</v>
      </c>
      <c r="C568" s="1" t="n">
        <v>45915</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35174-2025</t>
        </is>
      </c>
      <c r="B569" s="1" t="n">
        <v>45852.90648148148</v>
      </c>
      <c r="C569" s="1" t="n">
        <v>45915</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45915</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57396-2021</t>
        </is>
      </c>
      <c r="B571" s="1" t="n">
        <v>44483.56151620371</v>
      </c>
      <c r="C571" s="1" t="n">
        <v>45915</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26007-2025</t>
        </is>
      </c>
      <c r="B572" s="1" t="n">
        <v>45804.67081018518</v>
      </c>
      <c r="C572" s="1" t="n">
        <v>45915</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22842-2023</t>
        </is>
      </c>
      <c r="B573" s="1" t="n">
        <v>45071</v>
      </c>
      <c r="C573" s="1" t="n">
        <v>45915</v>
      </c>
      <c r="D573" t="inlineStr">
        <is>
          <t>ÖSTERGÖTLANDS LÄN</t>
        </is>
      </c>
      <c r="E573" t="inlineStr">
        <is>
          <t>LINKÖPING</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50386-2021</t>
        </is>
      </c>
      <c r="B574" s="1" t="n">
        <v>44459</v>
      </c>
      <c r="C574" s="1" t="n">
        <v>45915</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35781-2023</t>
        </is>
      </c>
      <c r="B575" s="1" t="n">
        <v>45147</v>
      </c>
      <c r="C575" s="1" t="n">
        <v>45915</v>
      </c>
      <c r="D575" t="inlineStr">
        <is>
          <t>ÖSTERGÖTLANDS LÄN</t>
        </is>
      </c>
      <c r="E575" t="inlineStr">
        <is>
          <t>LINKÖPING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22770-2024</t>
        </is>
      </c>
      <c r="B576" s="1" t="n">
        <v>45448.4634375</v>
      </c>
      <c r="C576" s="1" t="n">
        <v>45915</v>
      </c>
      <c r="D576" t="inlineStr">
        <is>
          <t>ÖSTERGÖTLANDS LÄN</t>
        </is>
      </c>
      <c r="E576" t="inlineStr">
        <is>
          <t>LINKÖPING</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35179-2025</t>
        </is>
      </c>
      <c r="B577" s="1" t="n">
        <v>45852.93737268518</v>
      </c>
      <c r="C577" s="1" t="n">
        <v>45915</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35180-2025</t>
        </is>
      </c>
      <c r="B578" s="1" t="n">
        <v>45852.9413425926</v>
      </c>
      <c r="C578" s="1" t="n">
        <v>45915</v>
      </c>
      <c r="D578" t="inlineStr">
        <is>
          <t>ÖSTERGÖTLANDS LÄN</t>
        </is>
      </c>
      <c r="E578" t="inlineStr">
        <is>
          <t>LINKÖPING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11671-2023</t>
        </is>
      </c>
      <c r="B579" s="1" t="n">
        <v>44994.48125</v>
      </c>
      <c r="C579" s="1" t="n">
        <v>45915</v>
      </c>
      <c r="D579" t="inlineStr">
        <is>
          <t>ÖSTERGÖTLANDS LÄN</t>
        </is>
      </c>
      <c r="E579" t="inlineStr">
        <is>
          <t>LINKÖPING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54425-2022</t>
        </is>
      </c>
      <c r="B580" s="1" t="n">
        <v>44882.57453703704</v>
      </c>
      <c r="C580" s="1" t="n">
        <v>45915</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4927-2021</t>
        </is>
      </c>
      <c r="B581" s="1" t="n">
        <v>44227.57215277778</v>
      </c>
      <c r="C581" s="1" t="n">
        <v>45915</v>
      </c>
      <c r="D581" t="inlineStr">
        <is>
          <t>ÖSTERGÖTLANDS LÄN</t>
        </is>
      </c>
      <c r="E581" t="inlineStr">
        <is>
          <t>LINKÖPING</t>
        </is>
      </c>
      <c r="G581" t="n">
        <v>0.3</v>
      </c>
      <c r="H581" t="n">
        <v>0</v>
      </c>
      <c r="I581" t="n">
        <v>0</v>
      </c>
      <c r="J581" t="n">
        <v>0</v>
      </c>
      <c r="K581" t="n">
        <v>0</v>
      </c>
      <c r="L581" t="n">
        <v>0</v>
      </c>
      <c r="M581" t="n">
        <v>0</v>
      </c>
      <c r="N581" t="n">
        <v>0</v>
      </c>
      <c r="O581" t="n">
        <v>0</v>
      </c>
      <c r="P581" t="n">
        <v>0</v>
      </c>
      <c r="Q581" t="n">
        <v>0</v>
      </c>
      <c r="R581" s="2" t="inlineStr"/>
    </row>
    <row r="582" ht="15" customHeight="1">
      <c r="A582" t="inlineStr">
        <is>
          <t>A 29293-2025</t>
        </is>
      </c>
      <c r="B582" s="1" t="n">
        <v>45824</v>
      </c>
      <c r="C582" s="1" t="n">
        <v>45915</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30547-2023</t>
        </is>
      </c>
      <c r="B583" s="1" t="n">
        <v>45111.75905092592</v>
      </c>
      <c r="C583" s="1" t="n">
        <v>45915</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24904-2024</t>
        </is>
      </c>
      <c r="B584" s="1" t="n">
        <v>45461</v>
      </c>
      <c r="C584" s="1" t="n">
        <v>45915</v>
      </c>
      <c r="D584" t="inlineStr">
        <is>
          <t>ÖSTERGÖTLANDS LÄN</t>
        </is>
      </c>
      <c r="E584" t="inlineStr">
        <is>
          <t>LINKÖPING</t>
        </is>
      </c>
      <c r="G584" t="n">
        <v>3.8</v>
      </c>
      <c r="H584" t="n">
        <v>0</v>
      </c>
      <c r="I584" t="n">
        <v>0</v>
      </c>
      <c r="J584" t="n">
        <v>0</v>
      </c>
      <c r="K584" t="n">
        <v>0</v>
      </c>
      <c r="L584" t="n">
        <v>0</v>
      </c>
      <c r="M584" t="n">
        <v>0</v>
      </c>
      <c r="N584" t="n">
        <v>0</v>
      </c>
      <c r="O584" t="n">
        <v>0</v>
      </c>
      <c r="P584" t="n">
        <v>0</v>
      </c>
      <c r="Q584" t="n">
        <v>0</v>
      </c>
      <c r="R584" s="2" t="inlineStr"/>
    </row>
    <row r="585" ht="15" customHeight="1">
      <c r="A585" t="inlineStr">
        <is>
          <t>A 26788-2022</t>
        </is>
      </c>
      <c r="B585" s="1" t="n">
        <v>44740</v>
      </c>
      <c r="C585" s="1" t="n">
        <v>45915</v>
      </c>
      <c r="D585" t="inlineStr">
        <is>
          <t>ÖSTERGÖTLANDS LÄN</t>
        </is>
      </c>
      <c r="E585" t="inlineStr">
        <is>
          <t>LINKÖPING</t>
        </is>
      </c>
      <c r="G585" t="n">
        <v>3.2</v>
      </c>
      <c r="H585" t="n">
        <v>0</v>
      </c>
      <c r="I585" t="n">
        <v>0</v>
      </c>
      <c r="J585" t="n">
        <v>0</v>
      </c>
      <c r="K585" t="n">
        <v>0</v>
      </c>
      <c r="L585" t="n">
        <v>0</v>
      </c>
      <c r="M585" t="n">
        <v>0</v>
      </c>
      <c r="N585" t="n">
        <v>0</v>
      </c>
      <c r="O585" t="n">
        <v>0</v>
      </c>
      <c r="P585" t="n">
        <v>0</v>
      </c>
      <c r="Q585" t="n">
        <v>0</v>
      </c>
      <c r="R585" s="2" t="inlineStr"/>
    </row>
    <row r="586" ht="15" customHeight="1">
      <c r="A586" t="inlineStr">
        <is>
          <t>A 15121-2022</t>
        </is>
      </c>
      <c r="B586" s="1" t="n">
        <v>44658</v>
      </c>
      <c r="C586" s="1" t="n">
        <v>45915</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35747-2025</t>
        </is>
      </c>
      <c r="B587" s="1" t="n">
        <v>45860.56385416666</v>
      </c>
      <c r="C587" s="1" t="n">
        <v>45915</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51919-2024</t>
        </is>
      </c>
      <c r="B588" s="1" t="n">
        <v>45607.60791666667</v>
      </c>
      <c r="C588" s="1" t="n">
        <v>45915</v>
      </c>
      <c r="D588" t="inlineStr">
        <is>
          <t>ÖSTERGÖTLANDS LÄN</t>
        </is>
      </c>
      <c r="E588" t="inlineStr">
        <is>
          <t>LINKÖPING</t>
        </is>
      </c>
      <c r="G588" t="n">
        <v>2.5</v>
      </c>
      <c r="H588" t="n">
        <v>0</v>
      </c>
      <c r="I588" t="n">
        <v>0</v>
      </c>
      <c r="J588" t="n">
        <v>0</v>
      </c>
      <c r="K588" t="n">
        <v>0</v>
      </c>
      <c r="L588" t="n">
        <v>0</v>
      </c>
      <c r="M588" t="n">
        <v>0</v>
      </c>
      <c r="N588" t="n">
        <v>0</v>
      </c>
      <c r="O588" t="n">
        <v>0</v>
      </c>
      <c r="P588" t="n">
        <v>0</v>
      </c>
      <c r="Q588" t="n">
        <v>0</v>
      </c>
      <c r="R588" s="2" t="inlineStr"/>
    </row>
    <row r="589" ht="15" customHeight="1">
      <c r="A589" t="inlineStr">
        <is>
          <t>A 41511-2025</t>
        </is>
      </c>
      <c r="B589" s="1" t="n">
        <v>45901.53839120371</v>
      </c>
      <c r="C589" s="1" t="n">
        <v>45915</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55009-2023</t>
        </is>
      </c>
      <c r="B590" s="1" t="n">
        <v>45237</v>
      </c>
      <c r="C590" s="1" t="n">
        <v>45915</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20291-2025</t>
        </is>
      </c>
      <c r="B591" s="1" t="n">
        <v>45774.74288194445</v>
      </c>
      <c r="C591" s="1" t="n">
        <v>45915</v>
      </c>
      <c r="D591" t="inlineStr">
        <is>
          <t>ÖSTERGÖTLANDS LÄN</t>
        </is>
      </c>
      <c r="E591" t="inlineStr">
        <is>
          <t>LINKÖPING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20293-2025</t>
        </is>
      </c>
      <c r="B592" s="1" t="n">
        <v>45774.74611111111</v>
      </c>
      <c r="C592" s="1" t="n">
        <v>45915</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35745-2025</t>
        </is>
      </c>
      <c r="B593" s="1" t="n">
        <v>45860.54739583333</v>
      </c>
      <c r="C593" s="1" t="n">
        <v>45915</v>
      </c>
      <c r="D593" t="inlineStr">
        <is>
          <t>ÖSTERGÖTLANDS LÄN</t>
        </is>
      </c>
      <c r="E593" t="inlineStr">
        <is>
          <t>LINKÖPING</t>
        </is>
      </c>
      <c r="G593" t="n">
        <v>4.4</v>
      </c>
      <c r="H593" t="n">
        <v>0</v>
      </c>
      <c r="I593" t="n">
        <v>0</v>
      </c>
      <c r="J593" t="n">
        <v>0</v>
      </c>
      <c r="K593" t="n">
        <v>0</v>
      </c>
      <c r="L593" t="n">
        <v>0</v>
      </c>
      <c r="M593" t="n">
        <v>0</v>
      </c>
      <c r="N593" t="n">
        <v>0</v>
      </c>
      <c r="O593" t="n">
        <v>0</v>
      </c>
      <c r="P593" t="n">
        <v>0</v>
      </c>
      <c r="Q593" t="n">
        <v>0</v>
      </c>
      <c r="R593" s="2" t="inlineStr"/>
    </row>
    <row r="594" ht="15" customHeight="1">
      <c r="A594" t="inlineStr">
        <is>
          <t>A 35757-2025</t>
        </is>
      </c>
      <c r="B594" s="1" t="n">
        <v>45860.59876157407</v>
      </c>
      <c r="C594" s="1" t="n">
        <v>45915</v>
      </c>
      <c r="D594" t="inlineStr">
        <is>
          <t>ÖSTERGÖTLANDS LÄN</t>
        </is>
      </c>
      <c r="E594" t="inlineStr">
        <is>
          <t>LINKÖPING</t>
        </is>
      </c>
      <c r="G594" t="n">
        <v>5.7</v>
      </c>
      <c r="H594" t="n">
        <v>0</v>
      </c>
      <c r="I594" t="n">
        <v>0</v>
      </c>
      <c r="J594" t="n">
        <v>0</v>
      </c>
      <c r="K594" t="n">
        <v>0</v>
      </c>
      <c r="L594" t="n">
        <v>0</v>
      </c>
      <c r="M594" t="n">
        <v>0</v>
      </c>
      <c r="N594" t="n">
        <v>0</v>
      </c>
      <c r="O594" t="n">
        <v>0</v>
      </c>
      <c r="P594" t="n">
        <v>0</v>
      </c>
      <c r="Q594" t="n">
        <v>0</v>
      </c>
      <c r="R594" s="2" t="inlineStr"/>
    </row>
    <row r="595" ht="15" customHeight="1">
      <c r="A595" t="inlineStr">
        <is>
          <t>A 660-2023</t>
        </is>
      </c>
      <c r="B595" s="1" t="n">
        <v>44930</v>
      </c>
      <c r="C595" s="1" t="n">
        <v>45915</v>
      </c>
      <c r="D595" t="inlineStr">
        <is>
          <t>ÖSTERGÖTLANDS LÄN</t>
        </is>
      </c>
      <c r="E595" t="inlineStr">
        <is>
          <t>LINKÖPING</t>
        </is>
      </c>
      <c r="F595" t="inlineStr">
        <is>
          <t>Kyrkan</t>
        </is>
      </c>
      <c r="G595" t="n">
        <v>1.6</v>
      </c>
      <c r="H595" t="n">
        <v>0</v>
      </c>
      <c r="I595" t="n">
        <v>0</v>
      </c>
      <c r="J595" t="n">
        <v>0</v>
      </c>
      <c r="K595" t="n">
        <v>0</v>
      </c>
      <c r="L595" t="n">
        <v>0</v>
      </c>
      <c r="M595" t="n">
        <v>0</v>
      </c>
      <c r="N595" t="n">
        <v>0</v>
      </c>
      <c r="O595" t="n">
        <v>0</v>
      </c>
      <c r="P595" t="n">
        <v>0</v>
      </c>
      <c r="Q595" t="n">
        <v>0</v>
      </c>
      <c r="R595" s="2" t="inlineStr"/>
    </row>
    <row r="596" ht="15" customHeight="1">
      <c r="A596" t="inlineStr">
        <is>
          <t>A 41706-2025</t>
        </is>
      </c>
      <c r="B596" s="1" t="n">
        <v>45902.42209490741</v>
      </c>
      <c r="C596" s="1" t="n">
        <v>45915</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35759-2025</t>
        </is>
      </c>
      <c r="B597" s="1" t="n">
        <v>45860</v>
      </c>
      <c r="C597" s="1" t="n">
        <v>45915</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64694-2023</t>
        </is>
      </c>
      <c r="B598" s="1" t="n">
        <v>45281</v>
      </c>
      <c r="C598" s="1" t="n">
        <v>45915</v>
      </c>
      <c r="D598" t="inlineStr">
        <is>
          <t>ÖSTERGÖTLANDS LÄN</t>
        </is>
      </c>
      <c r="E598" t="inlineStr">
        <is>
          <t>LINKÖPING</t>
        </is>
      </c>
      <c r="F598" t="inlineStr">
        <is>
          <t>Övriga statliga verk och myndigheter</t>
        </is>
      </c>
      <c r="G598" t="n">
        <v>4.9</v>
      </c>
      <c r="H598" t="n">
        <v>0</v>
      </c>
      <c r="I598" t="n">
        <v>0</v>
      </c>
      <c r="J598" t="n">
        <v>0</v>
      </c>
      <c r="K598" t="n">
        <v>0</v>
      </c>
      <c r="L598" t="n">
        <v>0</v>
      </c>
      <c r="M598" t="n">
        <v>0</v>
      </c>
      <c r="N598" t="n">
        <v>0</v>
      </c>
      <c r="O598" t="n">
        <v>0</v>
      </c>
      <c r="P598" t="n">
        <v>0</v>
      </c>
      <c r="Q598" t="n">
        <v>0</v>
      </c>
      <c r="R598" s="2" t="inlineStr"/>
    </row>
    <row r="599" ht="15" customHeight="1">
      <c r="A599" t="inlineStr">
        <is>
          <t>A 63487-2023</t>
        </is>
      </c>
      <c r="B599" s="1" t="n">
        <v>45274.66712962963</v>
      </c>
      <c r="C599" s="1" t="n">
        <v>45915</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42623-2025</t>
        </is>
      </c>
      <c r="B600" s="1" t="n">
        <v>45905</v>
      </c>
      <c r="C600" s="1" t="n">
        <v>45915</v>
      </c>
      <c r="D600" t="inlineStr">
        <is>
          <t>ÖSTERGÖTLANDS LÄN</t>
        </is>
      </c>
      <c r="E600" t="inlineStr">
        <is>
          <t>LINKÖPING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42626-2025</t>
        </is>
      </c>
      <c r="B601" s="1" t="n">
        <v>45905</v>
      </c>
      <c r="C601" s="1" t="n">
        <v>45915</v>
      </c>
      <c r="D601" t="inlineStr">
        <is>
          <t>ÖSTERGÖTLANDS LÄN</t>
        </is>
      </c>
      <c r="E601" t="inlineStr">
        <is>
          <t>LINKÖPING</t>
        </is>
      </c>
      <c r="G601" t="n">
        <v>3.6</v>
      </c>
      <c r="H601" t="n">
        <v>0</v>
      </c>
      <c r="I601" t="n">
        <v>0</v>
      </c>
      <c r="J601" t="n">
        <v>0</v>
      </c>
      <c r="K601" t="n">
        <v>0</v>
      </c>
      <c r="L601" t="n">
        <v>0</v>
      </c>
      <c r="M601" t="n">
        <v>0</v>
      </c>
      <c r="N601" t="n">
        <v>0</v>
      </c>
      <c r="O601" t="n">
        <v>0</v>
      </c>
      <c r="P601" t="n">
        <v>0</v>
      </c>
      <c r="Q601" t="n">
        <v>0</v>
      </c>
      <c r="R601" s="2" t="inlineStr"/>
    </row>
    <row r="602" ht="15" customHeight="1">
      <c r="A602" t="inlineStr">
        <is>
          <t>A 20455-2024</t>
        </is>
      </c>
      <c r="B602" s="1" t="n">
        <v>45435.65314814815</v>
      </c>
      <c r="C602" s="1" t="n">
        <v>45915</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30471-2023</t>
        </is>
      </c>
      <c r="B603" s="1" t="n">
        <v>45111.58931712963</v>
      </c>
      <c r="C603" s="1" t="n">
        <v>45915</v>
      </c>
      <c r="D603" t="inlineStr">
        <is>
          <t>ÖSTERGÖTLANDS LÄN</t>
        </is>
      </c>
      <c r="E603" t="inlineStr">
        <is>
          <t>LINKÖPING</t>
        </is>
      </c>
      <c r="G603" t="n">
        <v>2.9</v>
      </c>
      <c r="H603" t="n">
        <v>0</v>
      </c>
      <c r="I603" t="n">
        <v>0</v>
      </c>
      <c r="J603" t="n">
        <v>0</v>
      </c>
      <c r="K603" t="n">
        <v>0</v>
      </c>
      <c r="L603" t="n">
        <v>0</v>
      </c>
      <c r="M603" t="n">
        <v>0</v>
      </c>
      <c r="N603" t="n">
        <v>0</v>
      </c>
      <c r="O603" t="n">
        <v>0</v>
      </c>
      <c r="P603" t="n">
        <v>0</v>
      </c>
      <c r="Q603" t="n">
        <v>0</v>
      </c>
      <c r="R603" s="2" t="inlineStr"/>
    </row>
    <row r="604" ht="15" customHeight="1">
      <c r="A604" t="inlineStr">
        <is>
          <t>A 42624-2025</t>
        </is>
      </c>
      <c r="B604" s="1" t="n">
        <v>45905</v>
      </c>
      <c r="C604" s="1" t="n">
        <v>45915</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14093-2024</t>
        </is>
      </c>
      <c r="B605" s="1" t="n">
        <v>45392.60278935185</v>
      </c>
      <c r="C605" s="1" t="n">
        <v>45915</v>
      </c>
      <c r="D605" t="inlineStr">
        <is>
          <t>ÖSTERGÖTLANDS LÄN</t>
        </is>
      </c>
      <c r="E605" t="inlineStr">
        <is>
          <t>LINKÖPING</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49088-2020</t>
        </is>
      </c>
      <c r="B606" s="1" t="n">
        <v>44104</v>
      </c>
      <c r="C606" s="1" t="n">
        <v>45915</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63304-2021</t>
        </is>
      </c>
      <c r="B607" s="1" t="n">
        <v>44508.4396412037</v>
      </c>
      <c r="C607" s="1" t="n">
        <v>45915</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19362-2023</t>
        </is>
      </c>
      <c r="B608" s="1" t="n">
        <v>45049</v>
      </c>
      <c r="C608" s="1" t="n">
        <v>45915</v>
      </c>
      <c r="D608" t="inlineStr">
        <is>
          <t>ÖSTERGÖTLANDS LÄN</t>
        </is>
      </c>
      <c r="E608" t="inlineStr">
        <is>
          <t>LINKÖPING</t>
        </is>
      </c>
      <c r="G608" t="n">
        <v>0.1</v>
      </c>
      <c r="H608" t="n">
        <v>0</v>
      </c>
      <c r="I608" t="n">
        <v>0</v>
      </c>
      <c r="J608" t="n">
        <v>0</v>
      </c>
      <c r="K608" t="n">
        <v>0</v>
      </c>
      <c r="L608" t="n">
        <v>0</v>
      </c>
      <c r="M608" t="n">
        <v>0</v>
      </c>
      <c r="N608" t="n">
        <v>0</v>
      </c>
      <c r="O608" t="n">
        <v>0</v>
      </c>
      <c r="P608" t="n">
        <v>0</v>
      </c>
      <c r="Q608" t="n">
        <v>0</v>
      </c>
      <c r="R608" s="2" t="inlineStr"/>
    </row>
    <row r="609" ht="15" customHeight="1">
      <c r="A609" t="inlineStr">
        <is>
          <t>A 35463-2023</t>
        </is>
      </c>
      <c r="B609" s="1" t="n">
        <v>45146</v>
      </c>
      <c r="C609" s="1" t="n">
        <v>45915</v>
      </c>
      <c r="D609" t="inlineStr">
        <is>
          <t>ÖSTERGÖTLANDS LÄN</t>
        </is>
      </c>
      <c r="E609" t="inlineStr">
        <is>
          <t>LINKÖPING</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16111-2022</t>
        </is>
      </c>
      <c r="B610" s="1" t="n">
        <v>44665</v>
      </c>
      <c r="C610" s="1" t="n">
        <v>45915</v>
      </c>
      <c r="D610" t="inlineStr">
        <is>
          <t>ÖSTERGÖTLANDS LÄN</t>
        </is>
      </c>
      <c r="E610" t="inlineStr">
        <is>
          <t>LINKÖPING</t>
        </is>
      </c>
      <c r="F610" t="inlineStr">
        <is>
          <t>Övriga Aktiebolag</t>
        </is>
      </c>
      <c r="G610" t="n">
        <v>2.9</v>
      </c>
      <c r="H610" t="n">
        <v>0</v>
      </c>
      <c r="I610" t="n">
        <v>0</v>
      </c>
      <c r="J610" t="n">
        <v>0</v>
      </c>
      <c r="K610" t="n">
        <v>0</v>
      </c>
      <c r="L610" t="n">
        <v>0</v>
      </c>
      <c r="M610" t="n">
        <v>0</v>
      </c>
      <c r="N610" t="n">
        <v>0</v>
      </c>
      <c r="O610" t="n">
        <v>0</v>
      </c>
      <c r="P610" t="n">
        <v>0</v>
      </c>
      <c r="Q610" t="n">
        <v>0</v>
      </c>
      <c r="R610" s="2" t="inlineStr"/>
    </row>
    <row r="611" ht="15" customHeight="1">
      <c r="A611" t="inlineStr">
        <is>
          <t>A 31635-2023</t>
        </is>
      </c>
      <c r="B611" s="1" t="n">
        <v>45105</v>
      </c>
      <c r="C611" s="1" t="n">
        <v>45915</v>
      </c>
      <c r="D611" t="inlineStr">
        <is>
          <t>ÖSTERGÖTLANDS LÄN</t>
        </is>
      </c>
      <c r="E611" t="inlineStr">
        <is>
          <t>LINKÖPING</t>
        </is>
      </c>
      <c r="F611" t="inlineStr">
        <is>
          <t>Övriga statliga verk och myndigheter</t>
        </is>
      </c>
      <c r="G611" t="n">
        <v>4.6</v>
      </c>
      <c r="H611" t="n">
        <v>0</v>
      </c>
      <c r="I611" t="n">
        <v>0</v>
      </c>
      <c r="J611" t="n">
        <v>0</v>
      </c>
      <c r="K611" t="n">
        <v>0</v>
      </c>
      <c r="L611" t="n">
        <v>0</v>
      </c>
      <c r="M611" t="n">
        <v>0</v>
      </c>
      <c r="N611" t="n">
        <v>0</v>
      </c>
      <c r="O611" t="n">
        <v>0</v>
      </c>
      <c r="P611" t="n">
        <v>0</v>
      </c>
      <c r="Q611" t="n">
        <v>0</v>
      </c>
      <c r="R611" s="2" t="inlineStr"/>
    </row>
    <row r="612" ht="15" customHeight="1">
      <c r="A612" t="inlineStr">
        <is>
          <t>A 49928-2024</t>
        </is>
      </c>
      <c r="B612" s="1" t="n">
        <v>45597.57811342592</v>
      </c>
      <c r="C612" s="1" t="n">
        <v>45915</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43755-2025</t>
        </is>
      </c>
      <c r="B613" s="1" t="n">
        <v>45912.47329861111</v>
      </c>
      <c r="C613" s="1" t="n">
        <v>45915</v>
      </c>
      <c r="D613" t="inlineStr">
        <is>
          <t>ÖSTERGÖTLANDS LÄN</t>
        </is>
      </c>
      <c r="E613" t="inlineStr">
        <is>
          <t>LINKÖPING</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54845-2023</t>
        </is>
      </c>
      <c r="B614" s="1" t="n">
        <v>45236</v>
      </c>
      <c r="C614" s="1" t="n">
        <v>45915</v>
      </c>
      <c r="D614" t="inlineStr">
        <is>
          <t>ÖSTERGÖTLANDS LÄN</t>
        </is>
      </c>
      <c r="E614" t="inlineStr">
        <is>
          <t>LINKÖPING</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46687-2021</t>
        </is>
      </c>
      <c r="B615" s="1" t="n">
        <v>44445</v>
      </c>
      <c r="C615" s="1" t="n">
        <v>45915</v>
      </c>
      <c r="D615" t="inlineStr">
        <is>
          <t>ÖSTERGÖTLANDS LÄN</t>
        </is>
      </c>
      <c r="E615" t="inlineStr">
        <is>
          <t>LINKÖPING</t>
        </is>
      </c>
      <c r="F615" t="inlineStr">
        <is>
          <t>Övriga statliga verk och myndigheter</t>
        </is>
      </c>
      <c r="G615" t="n">
        <v>2.3</v>
      </c>
      <c r="H615" t="n">
        <v>0</v>
      </c>
      <c r="I615" t="n">
        <v>0</v>
      </c>
      <c r="J615" t="n">
        <v>0</v>
      </c>
      <c r="K615" t="n">
        <v>0</v>
      </c>
      <c r="L615" t="n">
        <v>0</v>
      </c>
      <c r="M615" t="n">
        <v>0</v>
      </c>
      <c r="N615" t="n">
        <v>0</v>
      </c>
      <c r="O615" t="n">
        <v>0</v>
      </c>
      <c r="P615" t="n">
        <v>0</v>
      </c>
      <c r="Q615" t="n">
        <v>0</v>
      </c>
      <c r="R615" s="2" t="inlineStr"/>
    </row>
    <row r="616" ht="15" customHeight="1">
      <c r="A616" t="inlineStr">
        <is>
          <t>A 30855-2022</t>
        </is>
      </c>
      <c r="B616" s="1" t="n">
        <v>44767</v>
      </c>
      <c r="C616" s="1" t="n">
        <v>45915</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1355-2023</t>
        </is>
      </c>
      <c r="B617" s="1" t="n">
        <v>44931</v>
      </c>
      <c r="C617" s="1" t="n">
        <v>45915</v>
      </c>
      <c r="D617" t="inlineStr">
        <is>
          <t>ÖSTERGÖTLANDS LÄN</t>
        </is>
      </c>
      <c r="E617" t="inlineStr">
        <is>
          <t>LINKÖPING</t>
        </is>
      </c>
      <c r="G617" t="n">
        <v>4</v>
      </c>
      <c r="H617" t="n">
        <v>0</v>
      </c>
      <c r="I617" t="n">
        <v>0</v>
      </c>
      <c r="J617" t="n">
        <v>0</v>
      </c>
      <c r="K617" t="n">
        <v>0</v>
      </c>
      <c r="L617" t="n">
        <v>0</v>
      </c>
      <c r="M617" t="n">
        <v>0</v>
      </c>
      <c r="N617" t="n">
        <v>0</v>
      </c>
      <c r="O617" t="n">
        <v>0</v>
      </c>
      <c r="P617" t="n">
        <v>0</v>
      </c>
      <c r="Q617" t="n">
        <v>0</v>
      </c>
      <c r="R617" s="2" t="inlineStr"/>
    </row>
    <row r="618" ht="15" customHeight="1">
      <c r="A618" t="inlineStr">
        <is>
          <t>A 43758-2025</t>
        </is>
      </c>
      <c r="B618" s="1" t="n">
        <v>45912.47711805555</v>
      </c>
      <c r="C618" s="1" t="n">
        <v>45915</v>
      </c>
      <c r="D618" t="inlineStr">
        <is>
          <t>ÖSTERGÖTLANDS LÄN</t>
        </is>
      </c>
      <c r="E618" t="inlineStr">
        <is>
          <t>LINKÖPING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43753-2025</t>
        </is>
      </c>
      <c r="B619" s="1" t="n">
        <v>45912.4715625</v>
      </c>
      <c r="C619" s="1" t="n">
        <v>45915</v>
      </c>
      <c r="D619" t="inlineStr">
        <is>
          <t>ÖSTERGÖTLANDS LÄN</t>
        </is>
      </c>
      <c r="E619" t="inlineStr">
        <is>
          <t>LINKÖPING</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27844-2024</t>
        </is>
      </c>
      <c r="B620" s="1" t="n">
        <v>45475.63047453704</v>
      </c>
      <c r="C620" s="1" t="n">
        <v>45915</v>
      </c>
      <c r="D620" t="inlineStr">
        <is>
          <t>ÖSTERGÖTLANDS LÄN</t>
        </is>
      </c>
      <c r="E620" t="inlineStr">
        <is>
          <t>LINKÖPING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10741-2023</t>
        </is>
      </c>
      <c r="B621" s="1" t="n">
        <v>44988.70084490741</v>
      </c>
      <c r="C621" s="1" t="n">
        <v>45915</v>
      </c>
      <c r="D621" t="inlineStr">
        <is>
          <t>ÖSTERGÖTLANDS LÄN</t>
        </is>
      </c>
      <c r="E621" t="inlineStr">
        <is>
          <t>LINKÖPING</t>
        </is>
      </c>
      <c r="F621" t="inlineStr">
        <is>
          <t>Allmännings- och besparingsskogar</t>
        </is>
      </c>
      <c r="G621" t="n">
        <v>11.2</v>
      </c>
      <c r="H621" t="n">
        <v>0</v>
      </c>
      <c r="I621" t="n">
        <v>0</v>
      </c>
      <c r="J621" t="n">
        <v>0</v>
      </c>
      <c r="K621" t="n">
        <v>0</v>
      </c>
      <c r="L621" t="n">
        <v>0</v>
      </c>
      <c r="M621" t="n">
        <v>0</v>
      </c>
      <c r="N621" t="n">
        <v>0</v>
      </c>
      <c r="O621" t="n">
        <v>0</v>
      </c>
      <c r="P621" t="n">
        <v>0</v>
      </c>
      <c r="Q621" t="n">
        <v>0</v>
      </c>
      <c r="R621" s="2" t="inlineStr"/>
    </row>
    <row r="622" ht="15" customHeight="1">
      <c r="A622" t="inlineStr">
        <is>
          <t>A 50963-2021</t>
        </is>
      </c>
      <c r="B622" s="1" t="n">
        <v>44460</v>
      </c>
      <c r="C622" s="1" t="n">
        <v>45915</v>
      </c>
      <c r="D622" t="inlineStr">
        <is>
          <t>ÖSTERGÖTLANDS LÄN</t>
        </is>
      </c>
      <c r="E622" t="inlineStr">
        <is>
          <t>LINKÖPING</t>
        </is>
      </c>
      <c r="G622" t="n">
        <v>4.4</v>
      </c>
      <c r="H622" t="n">
        <v>0</v>
      </c>
      <c r="I622" t="n">
        <v>0</v>
      </c>
      <c r="J622" t="n">
        <v>0</v>
      </c>
      <c r="K622" t="n">
        <v>0</v>
      </c>
      <c r="L622" t="n">
        <v>0</v>
      </c>
      <c r="M622" t="n">
        <v>0</v>
      </c>
      <c r="N622" t="n">
        <v>0</v>
      </c>
      <c r="O622" t="n">
        <v>0</v>
      </c>
      <c r="P622" t="n">
        <v>0</v>
      </c>
      <c r="Q622" t="n">
        <v>0</v>
      </c>
      <c r="R622" s="2" t="inlineStr"/>
    </row>
    <row r="623" ht="15" customHeight="1">
      <c r="A623" t="inlineStr">
        <is>
          <t>A 45821-2024</t>
        </is>
      </c>
      <c r="B623" s="1" t="n">
        <v>45579.75803240741</v>
      </c>
      <c r="C623" s="1" t="n">
        <v>45915</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61936-2023</t>
        </is>
      </c>
      <c r="B624" s="1" t="n">
        <v>45266.54534722222</v>
      </c>
      <c r="C624" s="1" t="n">
        <v>45915</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1263-2024</t>
        </is>
      </c>
      <c r="B625" s="1" t="n">
        <v>45302</v>
      </c>
      <c r="C625" s="1" t="n">
        <v>45915</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24464-2023</t>
        </is>
      </c>
      <c r="B626" s="1" t="n">
        <v>45082.58068287037</v>
      </c>
      <c r="C626" s="1" t="n">
        <v>45915</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48389-2024</t>
        </is>
      </c>
      <c r="B627" s="1" t="n">
        <v>45590.59991898148</v>
      </c>
      <c r="C627" s="1" t="n">
        <v>45915</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61281-2021</t>
        </is>
      </c>
      <c r="B628" s="1" t="n">
        <v>44498.60736111111</v>
      </c>
      <c r="C628" s="1" t="n">
        <v>45915</v>
      </c>
      <c r="D628" t="inlineStr">
        <is>
          <t>ÖSTERGÖTLANDS LÄN</t>
        </is>
      </c>
      <c r="E628" t="inlineStr">
        <is>
          <t>LINKÖPING</t>
        </is>
      </c>
      <c r="G628" t="n">
        <v>4.5</v>
      </c>
      <c r="H628" t="n">
        <v>0</v>
      </c>
      <c r="I628" t="n">
        <v>0</v>
      </c>
      <c r="J628" t="n">
        <v>0</v>
      </c>
      <c r="K628" t="n">
        <v>0</v>
      </c>
      <c r="L628" t="n">
        <v>0</v>
      </c>
      <c r="M628" t="n">
        <v>0</v>
      </c>
      <c r="N628" t="n">
        <v>0</v>
      </c>
      <c r="O628" t="n">
        <v>0</v>
      </c>
      <c r="P628" t="n">
        <v>0</v>
      </c>
      <c r="Q628" t="n">
        <v>0</v>
      </c>
      <c r="R628" s="2" t="inlineStr"/>
    </row>
    <row r="629" ht="15" customHeight="1">
      <c r="A629" t="inlineStr">
        <is>
          <t>A 6369-2023</t>
        </is>
      </c>
      <c r="B629" s="1" t="n">
        <v>44965.61106481482</v>
      </c>
      <c r="C629" s="1" t="n">
        <v>45915</v>
      </c>
      <c r="D629" t="inlineStr">
        <is>
          <t>ÖSTERGÖTLANDS LÄN</t>
        </is>
      </c>
      <c r="E629" t="inlineStr">
        <is>
          <t>LINKÖPING</t>
        </is>
      </c>
      <c r="G629" t="n">
        <v>4</v>
      </c>
      <c r="H629" t="n">
        <v>0</v>
      </c>
      <c r="I629" t="n">
        <v>0</v>
      </c>
      <c r="J629" t="n">
        <v>0</v>
      </c>
      <c r="K629" t="n">
        <v>0</v>
      </c>
      <c r="L629" t="n">
        <v>0</v>
      </c>
      <c r="M629" t="n">
        <v>0</v>
      </c>
      <c r="N629" t="n">
        <v>0</v>
      </c>
      <c r="O629" t="n">
        <v>0</v>
      </c>
      <c r="P629" t="n">
        <v>0</v>
      </c>
      <c r="Q629" t="n">
        <v>0</v>
      </c>
      <c r="R629" s="2" t="inlineStr"/>
    </row>
    <row r="630" ht="15" customHeight="1">
      <c r="A630" t="inlineStr">
        <is>
          <t>A 10094-2024</t>
        </is>
      </c>
      <c r="B630" s="1" t="n">
        <v>45364</v>
      </c>
      <c r="C630" s="1" t="n">
        <v>45915</v>
      </c>
      <c r="D630" t="inlineStr">
        <is>
          <t>ÖSTERGÖTLANDS LÄN</t>
        </is>
      </c>
      <c r="E630" t="inlineStr">
        <is>
          <t>LINKÖPING</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1207-2023</t>
        </is>
      </c>
      <c r="B631" s="1" t="n">
        <v>44930</v>
      </c>
      <c r="C631" s="1" t="n">
        <v>45915</v>
      </c>
      <c r="D631" t="inlineStr">
        <is>
          <t>ÖSTERGÖTLANDS LÄN</t>
        </is>
      </c>
      <c r="E631" t="inlineStr">
        <is>
          <t>LINKÖPING</t>
        </is>
      </c>
      <c r="F631" t="inlineStr">
        <is>
          <t>Övriga statliga verk och myndigheter</t>
        </is>
      </c>
      <c r="G631" t="n">
        <v>32.8</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45915</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62020-2024</t>
        </is>
      </c>
      <c r="B633" s="1" t="n">
        <v>45655.83563657408</v>
      </c>
      <c r="C633" s="1" t="n">
        <v>45915</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62021-2024</t>
        </is>
      </c>
      <c r="B634" s="1" t="n">
        <v>45655.84232638889</v>
      </c>
      <c r="C634" s="1" t="n">
        <v>45915</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27891-2021</t>
        </is>
      </c>
      <c r="B635" s="1" t="n">
        <v>44354.65108796296</v>
      </c>
      <c r="C635" s="1" t="n">
        <v>45915</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57391-2023</t>
        </is>
      </c>
      <c r="B636" s="1" t="n">
        <v>45245</v>
      </c>
      <c r="C636" s="1" t="n">
        <v>45915</v>
      </c>
      <c r="D636" t="inlineStr">
        <is>
          <t>ÖSTERGÖTLANDS LÄN</t>
        </is>
      </c>
      <c r="E636" t="inlineStr">
        <is>
          <t>LINKÖPING</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20294-2025</t>
        </is>
      </c>
      <c r="B637" s="1" t="n">
        <v>45774.74667824074</v>
      </c>
      <c r="C637" s="1" t="n">
        <v>45915</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60013-2022</t>
        </is>
      </c>
      <c r="B638" s="1" t="n">
        <v>44909.47482638889</v>
      </c>
      <c r="C638" s="1" t="n">
        <v>45915</v>
      </c>
      <c r="D638" t="inlineStr">
        <is>
          <t>ÖSTERGÖTLANDS LÄN</t>
        </is>
      </c>
      <c r="E638" t="inlineStr">
        <is>
          <t>LINKÖPING</t>
        </is>
      </c>
      <c r="G638" t="n">
        <v>0.9</v>
      </c>
      <c r="H638" t="n">
        <v>0</v>
      </c>
      <c r="I638" t="n">
        <v>0</v>
      </c>
      <c r="J638" t="n">
        <v>0</v>
      </c>
      <c r="K638" t="n">
        <v>0</v>
      </c>
      <c r="L638" t="n">
        <v>0</v>
      </c>
      <c r="M638" t="n">
        <v>0</v>
      </c>
      <c r="N638" t="n">
        <v>0</v>
      </c>
      <c r="O638" t="n">
        <v>0</v>
      </c>
      <c r="P638" t="n">
        <v>0</v>
      </c>
      <c r="Q638" t="n">
        <v>0</v>
      </c>
      <c r="R638" s="2" t="inlineStr"/>
    </row>
    <row r="639" ht="15" customHeight="1">
      <c r="A639" t="inlineStr">
        <is>
          <t>A 3007-2025</t>
        </is>
      </c>
      <c r="B639" s="1" t="n">
        <v>45678.56328703704</v>
      </c>
      <c r="C639" s="1" t="n">
        <v>45915</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34877-2023</t>
        </is>
      </c>
      <c r="B640" s="1" t="n">
        <v>45140</v>
      </c>
      <c r="C640" s="1" t="n">
        <v>45915</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1924-2024</t>
        </is>
      </c>
      <c r="B641" s="1" t="n">
        <v>45308</v>
      </c>
      <c r="C641" s="1" t="n">
        <v>45915</v>
      </c>
      <c r="D641" t="inlineStr">
        <is>
          <t>ÖSTERGÖTLANDS LÄN</t>
        </is>
      </c>
      <c r="E641" t="inlineStr">
        <is>
          <t>LINKÖPING</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34558-2022</t>
        </is>
      </c>
      <c r="B642" s="1" t="n">
        <v>44794.57594907407</v>
      </c>
      <c r="C642" s="1" t="n">
        <v>45915</v>
      </c>
      <c r="D642" t="inlineStr">
        <is>
          <t>ÖSTERGÖTLANDS LÄN</t>
        </is>
      </c>
      <c r="E642" t="inlineStr">
        <is>
          <t>LINKÖPING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168-2024</t>
        </is>
      </c>
      <c r="B643" s="1" t="n">
        <v>45294</v>
      </c>
      <c r="C643" s="1" t="n">
        <v>45915</v>
      </c>
      <c r="D643" t="inlineStr">
        <is>
          <t>ÖSTERGÖTLANDS LÄN</t>
        </is>
      </c>
      <c r="E643" t="inlineStr">
        <is>
          <t>LINKÖPING</t>
        </is>
      </c>
      <c r="F643" t="inlineStr">
        <is>
          <t>Allmännings- och besparingsskogar</t>
        </is>
      </c>
      <c r="G643" t="n">
        <v>8.9</v>
      </c>
      <c r="H643" t="n">
        <v>0</v>
      </c>
      <c r="I643" t="n">
        <v>0</v>
      </c>
      <c r="J643" t="n">
        <v>0</v>
      </c>
      <c r="K643" t="n">
        <v>0</v>
      </c>
      <c r="L643" t="n">
        <v>0</v>
      </c>
      <c r="M643" t="n">
        <v>0</v>
      </c>
      <c r="N643" t="n">
        <v>0</v>
      </c>
      <c r="O643" t="n">
        <v>0</v>
      </c>
      <c r="P643" t="n">
        <v>0</v>
      </c>
      <c r="Q643" t="n">
        <v>0</v>
      </c>
      <c r="R643" s="2" t="inlineStr"/>
    </row>
    <row r="644" ht="15" customHeight="1">
      <c r="A644" t="inlineStr">
        <is>
          <t>A 15658-2023</t>
        </is>
      </c>
      <c r="B644" s="1" t="n">
        <v>45021.41194444444</v>
      </c>
      <c r="C644" s="1" t="n">
        <v>45915</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30433-2024</t>
        </is>
      </c>
      <c r="B645" s="1" t="n">
        <v>45491.69741898148</v>
      </c>
      <c r="C645" s="1" t="n">
        <v>45915</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52220-2023</t>
        </is>
      </c>
      <c r="B646" s="1" t="n">
        <v>45217</v>
      </c>
      <c r="C646" s="1" t="n">
        <v>45915</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52225-2023</t>
        </is>
      </c>
      <c r="B647" s="1" t="n">
        <v>45217</v>
      </c>
      <c r="C647" s="1" t="n">
        <v>45915</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19464-2024</t>
        </is>
      </c>
      <c r="B648" s="1" t="n">
        <v>45429</v>
      </c>
      <c r="C648" s="1" t="n">
        <v>45915</v>
      </c>
      <c r="D648" t="inlineStr">
        <is>
          <t>ÖSTERGÖTLANDS LÄN</t>
        </is>
      </c>
      <c r="E648" t="inlineStr">
        <is>
          <t>LINKÖPING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42044-2023</t>
        </is>
      </c>
      <c r="B649" s="1" t="n">
        <v>45177</v>
      </c>
      <c r="C649" s="1" t="n">
        <v>45915</v>
      </c>
      <c r="D649" t="inlineStr">
        <is>
          <t>ÖSTERGÖTLANDS LÄN</t>
        </is>
      </c>
      <c r="E649" t="inlineStr">
        <is>
          <t>LINKÖPING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630-2024</t>
        </is>
      </c>
      <c r="B650" s="1" t="n">
        <v>45299.67736111111</v>
      </c>
      <c r="C650" s="1" t="n">
        <v>45915</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21782-2024</t>
        </is>
      </c>
      <c r="B651" s="1" t="n">
        <v>45442.63368055555</v>
      </c>
      <c r="C651" s="1" t="n">
        <v>45915</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57766-2023</t>
        </is>
      </c>
      <c r="B652" s="1" t="n">
        <v>45246</v>
      </c>
      <c r="C652" s="1" t="n">
        <v>45915</v>
      </c>
      <c r="D652" t="inlineStr">
        <is>
          <t>ÖSTERGÖTLANDS LÄN</t>
        </is>
      </c>
      <c r="E652" t="inlineStr">
        <is>
          <t>LINKÖPING</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27186-2021</t>
        </is>
      </c>
      <c r="B653" s="1" t="n">
        <v>44350.67715277777</v>
      </c>
      <c r="C653" s="1" t="n">
        <v>45915</v>
      </c>
      <c r="D653" t="inlineStr">
        <is>
          <t>ÖSTERGÖTLANDS LÄN</t>
        </is>
      </c>
      <c r="E653" t="inlineStr">
        <is>
          <t>LINKÖPING</t>
        </is>
      </c>
      <c r="F653" t="inlineStr">
        <is>
          <t>Allmännings- och besparingsskogar</t>
        </is>
      </c>
      <c r="G653" t="n">
        <v>1.4</v>
      </c>
      <c r="H653" t="n">
        <v>0</v>
      </c>
      <c r="I653" t="n">
        <v>0</v>
      </c>
      <c r="J653" t="n">
        <v>0</v>
      </c>
      <c r="K653" t="n">
        <v>0</v>
      </c>
      <c r="L653" t="n">
        <v>0</v>
      </c>
      <c r="M653" t="n">
        <v>0</v>
      </c>
      <c r="N653" t="n">
        <v>0</v>
      </c>
      <c r="O653" t="n">
        <v>0</v>
      </c>
      <c r="P653" t="n">
        <v>0</v>
      </c>
      <c r="Q653" t="n">
        <v>0</v>
      </c>
      <c r="R653" s="2" t="inlineStr"/>
    </row>
    <row r="654" ht="15" customHeight="1">
      <c r="A654" t="inlineStr">
        <is>
          <t>A 10194-2023</t>
        </is>
      </c>
      <c r="B654" s="1" t="n">
        <v>44986.52277777778</v>
      </c>
      <c r="C654" s="1" t="n">
        <v>45915</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55944-2024</t>
        </is>
      </c>
      <c r="B655" s="1" t="n">
        <v>45623.61640046296</v>
      </c>
      <c r="C655" s="1" t="n">
        <v>45915</v>
      </c>
      <c r="D655" t="inlineStr">
        <is>
          <t>ÖSTERGÖTLANDS LÄN</t>
        </is>
      </c>
      <c r="E655" t="inlineStr">
        <is>
          <t>LINKÖPING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55947-2024</t>
        </is>
      </c>
      <c r="B656" s="1" t="n">
        <v>45623</v>
      </c>
      <c r="C656" s="1" t="n">
        <v>45915</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47703-2023</t>
        </is>
      </c>
      <c r="B657" s="1" t="n">
        <v>45203</v>
      </c>
      <c r="C657" s="1" t="n">
        <v>45915</v>
      </c>
      <c r="D657" t="inlineStr">
        <is>
          <t>ÖSTERGÖTLANDS LÄN</t>
        </is>
      </c>
      <c r="E657" t="inlineStr">
        <is>
          <t>LINKÖPING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51559-2024</t>
        </is>
      </c>
      <c r="B658" s="1" t="n">
        <v>45604.61431712963</v>
      </c>
      <c r="C658" s="1" t="n">
        <v>45915</v>
      </c>
      <c r="D658" t="inlineStr">
        <is>
          <t>ÖSTERGÖTLANDS LÄN</t>
        </is>
      </c>
      <c r="E658" t="inlineStr">
        <is>
          <t>LINKÖPING</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62353-2022</t>
        </is>
      </c>
      <c r="B659" s="1" t="n">
        <v>44923</v>
      </c>
      <c r="C659" s="1" t="n">
        <v>45915</v>
      </c>
      <c r="D659" t="inlineStr">
        <is>
          <t>ÖSTERGÖTLANDS LÄN</t>
        </is>
      </c>
      <c r="E659" t="inlineStr">
        <is>
          <t>LINKÖPING</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45915</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4298-2023</t>
        </is>
      </c>
      <c r="B661" s="1" t="n">
        <v>44953</v>
      </c>
      <c r="C661" s="1" t="n">
        <v>45915</v>
      </c>
      <c r="D661" t="inlineStr">
        <is>
          <t>ÖSTERGÖTLANDS LÄN</t>
        </is>
      </c>
      <c r="E661" t="inlineStr">
        <is>
          <t>LINKÖPING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18145-2021</t>
        </is>
      </c>
      <c r="B662" s="1" t="n">
        <v>44302</v>
      </c>
      <c r="C662" s="1" t="n">
        <v>45915</v>
      </c>
      <c r="D662" t="inlineStr">
        <is>
          <t>ÖSTERGÖTLANDS LÄN</t>
        </is>
      </c>
      <c r="E662" t="inlineStr">
        <is>
          <t>LINKÖPING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25568-2024</t>
        </is>
      </c>
      <c r="B663" s="1" t="n">
        <v>45463.58699074074</v>
      </c>
      <c r="C663" s="1" t="n">
        <v>45915</v>
      </c>
      <c r="D663" t="inlineStr">
        <is>
          <t>ÖSTERGÖTLANDS LÄN</t>
        </is>
      </c>
      <c r="E663" t="inlineStr">
        <is>
          <t>LINKÖPING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38136-2023</t>
        </is>
      </c>
      <c r="B664" s="1" t="n">
        <v>45161.37310185185</v>
      </c>
      <c r="C664" s="1" t="n">
        <v>45915</v>
      </c>
      <c r="D664" t="inlineStr">
        <is>
          <t>ÖSTERGÖTLANDS LÄN</t>
        </is>
      </c>
      <c r="E664" t="inlineStr">
        <is>
          <t>LINKÖPING</t>
        </is>
      </c>
      <c r="G664" t="n">
        <v>5.6</v>
      </c>
      <c r="H664" t="n">
        <v>0</v>
      </c>
      <c r="I664" t="n">
        <v>0</v>
      </c>
      <c r="J664" t="n">
        <v>0</v>
      </c>
      <c r="K664" t="n">
        <v>0</v>
      </c>
      <c r="L664" t="n">
        <v>0</v>
      </c>
      <c r="M664" t="n">
        <v>0</v>
      </c>
      <c r="N664" t="n">
        <v>0</v>
      </c>
      <c r="O664" t="n">
        <v>0</v>
      </c>
      <c r="P664" t="n">
        <v>0</v>
      </c>
      <c r="Q664" t="n">
        <v>0</v>
      </c>
      <c r="R664" s="2" t="inlineStr"/>
    </row>
    <row r="665" ht="15" customHeight="1">
      <c r="A665" t="inlineStr">
        <is>
          <t>A 12317-2025</t>
        </is>
      </c>
      <c r="B665" s="1" t="n">
        <v>45729.8487037037</v>
      </c>
      <c r="C665" s="1" t="n">
        <v>45915</v>
      </c>
      <c r="D665" t="inlineStr">
        <is>
          <t>ÖSTERGÖTLANDS LÄN</t>
        </is>
      </c>
      <c r="E665" t="inlineStr">
        <is>
          <t>LINKÖPING</t>
        </is>
      </c>
      <c r="G665" t="n">
        <v>8</v>
      </c>
      <c r="H665" t="n">
        <v>0</v>
      </c>
      <c r="I665" t="n">
        <v>0</v>
      </c>
      <c r="J665" t="n">
        <v>0</v>
      </c>
      <c r="K665" t="n">
        <v>0</v>
      </c>
      <c r="L665" t="n">
        <v>0</v>
      </c>
      <c r="M665" t="n">
        <v>0</v>
      </c>
      <c r="N665" t="n">
        <v>0</v>
      </c>
      <c r="O665" t="n">
        <v>0</v>
      </c>
      <c r="P665" t="n">
        <v>0</v>
      </c>
      <c r="Q665" t="n">
        <v>0</v>
      </c>
      <c r="R665" s="2" t="inlineStr"/>
    </row>
    <row r="666" ht="15" customHeight="1">
      <c r="A666" t="inlineStr">
        <is>
          <t>A 14528-2025</t>
        </is>
      </c>
      <c r="B666" s="1" t="n">
        <v>45741</v>
      </c>
      <c r="C666" s="1" t="n">
        <v>45915</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61649-2023</t>
        </is>
      </c>
      <c r="B667" s="1" t="n">
        <v>45265</v>
      </c>
      <c r="C667" s="1" t="n">
        <v>45915</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60985-2023</t>
        </is>
      </c>
      <c r="B668" s="1" t="n">
        <v>45261.48429398148</v>
      </c>
      <c r="C668" s="1" t="n">
        <v>45915</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421-2024</t>
        </is>
      </c>
      <c r="B669" s="1" t="n">
        <v>45296.51877314815</v>
      </c>
      <c r="C669" s="1" t="n">
        <v>45915</v>
      </c>
      <c r="D669" t="inlineStr">
        <is>
          <t>ÖSTERGÖTLANDS LÄN</t>
        </is>
      </c>
      <c r="E669" t="inlineStr">
        <is>
          <t>LINKÖPING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13691-2025</t>
        </is>
      </c>
      <c r="B670" s="1" t="n">
        <v>45737.31671296297</v>
      </c>
      <c r="C670" s="1" t="n">
        <v>45915</v>
      </c>
      <c r="D670" t="inlineStr">
        <is>
          <t>ÖSTERGÖTLANDS LÄN</t>
        </is>
      </c>
      <c r="E670" t="inlineStr">
        <is>
          <t>LINKÖPING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51405-2023</t>
        </is>
      </c>
      <c r="B671" s="1" t="n">
        <v>45219</v>
      </c>
      <c r="C671" s="1" t="n">
        <v>45915</v>
      </c>
      <c r="D671" t="inlineStr">
        <is>
          <t>ÖSTERGÖTLANDS LÄN</t>
        </is>
      </c>
      <c r="E671" t="inlineStr">
        <is>
          <t>LINKÖPING</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53639-2023</t>
        </is>
      </c>
      <c r="B672" s="1" t="n">
        <v>45230.59686342593</v>
      </c>
      <c r="C672" s="1" t="n">
        <v>45915</v>
      </c>
      <c r="D672" t="inlineStr">
        <is>
          <t>ÖSTERGÖTLANDS LÄN</t>
        </is>
      </c>
      <c r="E672" t="inlineStr">
        <is>
          <t>LINKÖPING</t>
        </is>
      </c>
      <c r="G672" t="n">
        <v>2.3</v>
      </c>
      <c r="H672" t="n">
        <v>0</v>
      </c>
      <c r="I672" t="n">
        <v>0</v>
      </c>
      <c r="J672" t="n">
        <v>0</v>
      </c>
      <c r="K672" t="n">
        <v>0</v>
      </c>
      <c r="L672" t="n">
        <v>0</v>
      </c>
      <c r="M672" t="n">
        <v>0</v>
      </c>
      <c r="N672" t="n">
        <v>0</v>
      </c>
      <c r="O672" t="n">
        <v>0</v>
      </c>
      <c r="P672" t="n">
        <v>0</v>
      </c>
      <c r="Q672" t="n">
        <v>0</v>
      </c>
      <c r="R672" s="2" t="inlineStr"/>
    </row>
    <row r="673" ht="15" customHeight="1">
      <c r="A673" t="inlineStr">
        <is>
          <t>A 24467-2023</t>
        </is>
      </c>
      <c r="B673" s="1" t="n">
        <v>45082</v>
      </c>
      <c r="C673" s="1" t="n">
        <v>45915</v>
      </c>
      <c r="D673" t="inlineStr">
        <is>
          <t>ÖSTERGÖTLANDS LÄN</t>
        </is>
      </c>
      <c r="E673" t="inlineStr">
        <is>
          <t>LINKÖPING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62488-2023</t>
        </is>
      </c>
      <c r="B674" s="1" t="n">
        <v>45268.5847337963</v>
      </c>
      <c r="C674" s="1" t="n">
        <v>45915</v>
      </c>
      <c r="D674" t="inlineStr">
        <is>
          <t>ÖSTERGÖTLANDS LÄN</t>
        </is>
      </c>
      <c r="E674" t="inlineStr">
        <is>
          <t>LINKÖPING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62495-2023</t>
        </is>
      </c>
      <c r="B675" s="1" t="n">
        <v>45268.59717592593</v>
      </c>
      <c r="C675" s="1" t="n">
        <v>45915</v>
      </c>
      <c r="D675" t="inlineStr">
        <is>
          <t>ÖSTERGÖTLANDS LÄN</t>
        </is>
      </c>
      <c r="E675" t="inlineStr">
        <is>
          <t>LINKÖPING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10198-2023</t>
        </is>
      </c>
      <c r="B676" s="1" t="n">
        <v>44986.54665509259</v>
      </c>
      <c r="C676" s="1" t="n">
        <v>45915</v>
      </c>
      <c r="D676" t="inlineStr">
        <is>
          <t>ÖSTERGÖTLANDS LÄN</t>
        </is>
      </c>
      <c r="E676" t="inlineStr">
        <is>
          <t>LINKÖPING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22771-2024</t>
        </is>
      </c>
      <c r="B677" s="1" t="n">
        <v>45448.46574074074</v>
      </c>
      <c r="C677" s="1" t="n">
        <v>45915</v>
      </c>
      <c r="D677" t="inlineStr">
        <is>
          <t>ÖSTERGÖTLANDS LÄN</t>
        </is>
      </c>
      <c r="E677" t="inlineStr">
        <is>
          <t>LINKÖPING</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17128-2025</t>
        </is>
      </c>
      <c r="B678" s="1" t="n">
        <v>45755.72622685185</v>
      </c>
      <c r="C678" s="1" t="n">
        <v>45915</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62018-2024</t>
        </is>
      </c>
      <c r="B679" s="1" t="n">
        <v>45655.81387731482</v>
      </c>
      <c r="C679" s="1" t="n">
        <v>45915</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62073-2023</t>
        </is>
      </c>
      <c r="B680" s="1" t="n">
        <v>45266.73844907407</v>
      </c>
      <c r="C680" s="1" t="n">
        <v>45915</v>
      </c>
      <c r="D680" t="inlineStr">
        <is>
          <t>ÖSTERGÖTLANDS LÄN</t>
        </is>
      </c>
      <c r="E680" t="inlineStr">
        <is>
          <t>LINKÖPING</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672-2024</t>
        </is>
      </c>
      <c r="B681" s="1" t="n">
        <v>45300</v>
      </c>
      <c r="C681" s="1" t="n">
        <v>45915</v>
      </c>
      <c r="D681" t="inlineStr">
        <is>
          <t>ÖSTERGÖTLANDS LÄN</t>
        </is>
      </c>
      <c r="E681" t="inlineStr">
        <is>
          <t>LINKÖPING</t>
        </is>
      </c>
      <c r="F681" t="inlineStr">
        <is>
          <t>Sveaskog</t>
        </is>
      </c>
      <c r="G681" t="n">
        <v>4.5</v>
      </c>
      <c r="H681" t="n">
        <v>0</v>
      </c>
      <c r="I681" t="n">
        <v>0</v>
      </c>
      <c r="J681" t="n">
        <v>0</v>
      </c>
      <c r="K681" t="n">
        <v>0</v>
      </c>
      <c r="L681" t="n">
        <v>0</v>
      </c>
      <c r="M681" t="n">
        <v>0</v>
      </c>
      <c r="N681" t="n">
        <v>0</v>
      </c>
      <c r="O681" t="n">
        <v>0</v>
      </c>
      <c r="P681" t="n">
        <v>0</v>
      </c>
      <c r="Q681" t="n">
        <v>0</v>
      </c>
      <c r="R681" s="2" t="inlineStr"/>
    </row>
    <row r="682">
      <c r="A682" t="inlineStr">
        <is>
          <t>A 42832-2023</t>
        </is>
      </c>
      <c r="B682" s="1" t="n">
        <v>45182.38091435185</v>
      </c>
      <c r="C682" s="1" t="n">
        <v>45915</v>
      </c>
      <c r="D682" t="inlineStr">
        <is>
          <t>ÖSTERGÖTLANDS LÄN</t>
        </is>
      </c>
      <c r="E682" t="inlineStr">
        <is>
          <t>LINKÖPING</t>
        </is>
      </c>
      <c r="G682" t="n">
        <v>2.5</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2025-09-15T08:52:19Z</dcterms:created>
  <dcterms:modified xmlns:dcterms="http://purl.org/dc/terms/" xmlns:xsi="http://www.w3.org/2001/XMLSchema-instance" xsi:type="dcterms:W3CDTF">2025-09-15T08:52:20Z</dcterms:modified>
</cp:coreProperties>
</file>