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46189</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46189</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46189</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46189</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46189</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46189</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17502-2022</t>
        </is>
      </c>
      <c r="B10" s="1" t="n">
        <v>44679</v>
      </c>
      <c r="C10" s="1" t="n">
        <v>46189</v>
      </c>
      <c r="D10" t="inlineStr">
        <is>
          <t>ÖSTERGÖTLANDS LÄN</t>
        </is>
      </c>
      <c r="E10" t="inlineStr">
        <is>
          <t>LINKÖPING</t>
        </is>
      </c>
      <c r="F10" t="inlineStr">
        <is>
          <t>Kommuner</t>
        </is>
      </c>
      <c r="G10" t="n">
        <v>4.5</v>
      </c>
      <c r="H10" t="n">
        <v>1</v>
      </c>
      <c r="I10" t="n">
        <v>2</v>
      </c>
      <c r="J10" t="n">
        <v>0</v>
      </c>
      <c r="K10" t="n">
        <v>1</v>
      </c>
      <c r="L10" t="n">
        <v>0</v>
      </c>
      <c r="M10" t="n">
        <v>0</v>
      </c>
      <c r="N10" t="n">
        <v>0</v>
      </c>
      <c r="O10" t="n">
        <v>1</v>
      </c>
      <c r="P10" t="n">
        <v>1</v>
      </c>
      <c r="Q10" t="n">
        <v>4</v>
      </c>
      <c r="R10" s="2" t="inlineStr">
        <is>
          <t>Långfotad murkla
Fjällig taggsvamp s.str.
Strimspindling
Blåsippa</t>
        </is>
      </c>
      <c r="S10">
        <f>HYPERLINK("https://klasma.github.io/Logging_0580/artfynd/A 17502-2022 artfynd.xlsx", "A 17502-2022")</f>
        <v/>
      </c>
      <c r="T10">
        <f>HYPERLINK("https://klasma.github.io/Logging_0580/kartor/A 17502-2022 karta.png", "A 17502-2022")</f>
        <v/>
      </c>
      <c r="V10">
        <f>HYPERLINK("https://klasma.github.io/Logging_0580/klagomål/A 17502-2022 FSC-klagomål.docx", "A 17502-2022")</f>
        <v/>
      </c>
      <c r="W10">
        <f>HYPERLINK("https://klasma.github.io/Logging_0580/klagomålsmail/A 17502-2022 FSC-klagomål mail.docx", "A 17502-2022")</f>
        <v/>
      </c>
      <c r="X10">
        <f>HYPERLINK("https://klasma.github.io/Logging_0580/tillsyn/A 17502-2022 tillsynsbegäran.docx", "A 17502-2022")</f>
        <v/>
      </c>
      <c r="Y10">
        <f>HYPERLINK("https://klasma.github.io/Logging_0580/tillsynsmail/A 17502-2022 tillsynsbegäran mail.docx", "A 17502-2022")</f>
        <v/>
      </c>
    </row>
    <row r="11" ht="15" customHeight="1">
      <c r="A11" t="inlineStr">
        <is>
          <t>A 9192-2025</t>
        </is>
      </c>
      <c r="B11" s="1" t="n">
        <v>45714.45943287037</v>
      </c>
      <c r="C11" s="1" t="n">
        <v>46189</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40469-2024</t>
        </is>
      </c>
      <c r="B12" s="1" t="n">
        <v>45555.53145833333</v>
      </c>
      <c r="C12" s="1" t="n">
        <v>46189</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48329-2025</t>
        </is>
      </c>
      <c r="B13" s="1" t="n">
        <v>45932</v>
      </c>
      <c r="C13" s="1" t="n">
        <v>46189</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4256-2022</t>
        </is>
      </c>
      <c r="B14" s="1" t="n">
        <v>44588</v>
      </c>
      <c r="C14" s="1" t="n">
        <v>46189</v>
      </c>
      <c r="D14" t="inlineStr">
        <is>
          <t>ÖSTERGÖTLANDS LÄN</t>
        </is>
      </c>
      <c r="E14" t="inlineStr">
        <is>
          <t>LINKÖPING</t>
        </is>
      </c>
      <c r="G14" t="n">
        <v>1.4</v>
      </c>
      <c r="H14" t="n">
        <v>2</v>
      </c>
      <c r="I14" t="n">
        <v>0</v>
      </c>
      <c r="J14" t="n">
        <v>2</v>
      </c>
      <c r="K14" t="n">
        <v>1</v>
      </c>
      <c r="L14" t="n">
        <v>0</v>
      </c>
      <c r="M14" t="n">
        <v>0</v>
      </c>
      <c r="N14" t="n">
        <v>0</v>
      </c>
      <c r="O14" t="n">
        <v>3</v>
      </c>
      <c r="P14" t="n">
        <v>1</v>
      </c>
      <c r="Q14" t="n">
        <v>3</v>
      </c>
      <c r="R14" s="2" t="inlineStr">
        <is>
          <t>Stare
Asksolvecklare
Gulsparv</t>
        </is>
      </c>
      <c r="S14">
        <f>HYPERLINK("https://klasma.github.io/Logging_0580/artfynd/A 4256-2022 artfynd.xlsx", "A 4256-2022")</f>
        <v/>
      </c>
      <c r="T14">
        <f>HYPERLINK("https://klasma.github.io/Logging_0580/kartor/A 4256-2022 karta.png", "A 4256-2022")</f>
        <v/>
      </c>
      <c r="V14">
        <f>HYPERLINK("https://klasma.github.io/Logging_0580/klagomål/A 4256-2022 FSC-klagomål.docx", "A 4256-2022")</f>
        <v/>
      </c>
      <c r="W14">
        <f>HYPERLINK("https://klasma.github.io/Logging_0580/klagomålsmail/A 4256-2022 FSC-klagomål mail.docx", "A 4256-2022")</f>
        <v/>
      </c>
      <c r="X14">
        <f>HYPERLINK("https://klasma.github.io/Logging_0580/tillsyn/A 4256-2022 tillsynsbegäran.docx", "A 4256-2022")</f>
        <v/>
      </c>
      <c r="Y14">
        <f>HYPERLINK("https://klasma.github.io/Logging_0580/tillsynsmail/A 4256-2022 tillsynsbegäran mail.docx", "A 4256-2022")</f>
        <v/>
      </c>
      <c r="Z14">
        <f>HYPERLINK("https://klasma.github.io/Logging_0580/fåglar/A 4256-2022 prioriterade fågelarter.docx", "A 4256-2022")</f>
        <v/>
      </c>
    </row>
    <row r="15" ht="15" customHeight="1">
      <c r="A15" t="inlineStr">
        <is>
          <t>A 49999-2025</t>
        </is>
      </c>
      <c r="B15" s="1" t="n">
        <v>45943.30185185185</v>
      </c>
      <c r="C15" s="1" t="n">
        <v>46189</v>
      </c>
      <c r="D15" t="inlineStr">
        <is>
          <t>ÖSTERGÖTLANDS LÄN</t>
        </is>
      </c>
      <c r="E15" t="inlineStr">
        <is>
          <t>LINKÖPING</t>
        </is>
      </c>
      <c r="G15" t="n">
        <v>2.3</v>
      </c>
      <c r="H15" t="n">
        <v>1</v>
      </c>
      <c r="I15" t="n">
        <v>1</v>
      </c>
      <c r="J15" t="n">
        <v>0</v>
      </c>
      <c r="K15" t="n">
        <v>0</v>
      </c>
      <c r="L15" t="n">
        <v>1</v>
      </c>
      <c r="M15" t="n">
        <v>0</v>
      </c>
      <c r="N15" t="n">
        <v>0</v>
      </c>
      <c r="O15" t="n">
        <v>1</v>
      </c>
      <c r="P15" t="n">
        <v>1</v>
      </c>
      <c r="Q15" t="n">
        <v>3</v>
      </c>
      <c r="R15" s="2" t="inlineStr">
        <is>
          <t>Ask
Vårärt
Gullviva</t>
        </is>
      </c>
      <c r="S15">
        <f>HYPERLINK("https://klasma.github.io/Logging_0580/artfynd/A 49999-2025 artfynd.xlsx", "A 49999-2025")</f>
        <v/>
      </c>
      <c r="T15">
        <f>HYPERLINK("https://klasma.github.io/Logging_0580/kartor/A 49999-2025 karta.png", "A 49999-2025")</f>
        <v/>
      </c>
      <c r="V15">
        <f>HYPERLINK("https://klasma.github.io/Logging_0580/klagomål/A 49999-2025 FSC-klagomål.docx", "A 49999-2025")</f>
        <v/>
      </c>
      <c r="W15">
        <f>HYPERLINK("https://klasma.github.io/Logging_0580/klagomålsmail/A 49999-2025 FSC-klagomål mail.docx", "A 49999-2025")</f>
        <v/>
      </c>
      <c r="X15">
        <f>HYPERLINK("https://klasma.github.io/Logging_0580/tillsyn/A 49999-2025 tillsynsbegäran.docx", "A 49999-2025")</f>
        <v/>
      </c>
      <c r="Y15">
        <f>HYPERLINK("https://klasma.github.io/Logging_0580/tillsynsmail/A 49999-2025 tillsynsbegäran mail.docx", "A 49999-2025")</f>
        <v/>
      </c>
    </row>
    <row r="16" ht="15" customHeight="1">
      <c r="A16" t="inlineStr">
        <is>
          <t>A 38913-2023</t>
        </is>
      </c>
      <c r="B16" s="1" t="n">
        <v>45163</v>
      </c>
      <c r="C16" s="1" t="n">
        <v>46189</v>
      </c>
      <c r="D16" t="inlineStr">
        <is>
          <t>ÖSTERGÖTLANDS LÄN</t>
        </is>
      </c>
      <c r="E16" t="inlineStr">
        <is>
          <t>LINKÖPING</t>
        </is>
      </c>
      <c r="G16" t="n">
        <v>2.7</v>
      </c>
      <c r="H16" t="n">
        <v>2</v>
      </c>
      <c r="I16" t="n">
        <v>1</v>
      </c>
      <c r="J16" t="n">
        <v>0</v>
      </c>
      <c r="K16" t="n">
        <v>0</v>
      </c>
      <c r="L16" t="n">
        <v>0</v>
      </c>
      <c r="M16" t="n">
        <v>0</v>
      </c>
      <c r="N16" t="n">
        <v>0</v>
      </c>
      <c r="O16" t="n">
        <v>0</v>
      </c>
      <c r="P16" t="n">
        <v>0</v>
      </c>
      <c r="Q16" t="n">
        <v>3</v>
      </c>
      <c r="R16" s="2" t="inlineStr">
        <is>
          <t>Skogsbräsma
Dubbelnycklar
Revlummer</t>
        </is>
      </c>
      <c r="S16">
        <f>HYPERLINK("https://klasma.github.io/Logging_0580/artfynd/A 38913-2023 artfynd.xlsx", "A 38913-2023")</f>
        <v/>
      </c>
      <c r="T16">
        <f>HYPERLINK("https://klasma.github.io/Logging_0580/kartor/A 38913-2023 karta.png", "A 38913-2023")</f>
        <v/>
      </c>
      <c r="V16">
        <f>HYPERLINK("https://klasma.github.io/Logging_0580/klagomål/A 38913-2023 FSC-klagomål.docx", "A 38913-2023")</f>
        <v/>
      </c>
      <c r="W16">
        <f>HYPERLINK("https://klasma.github.io/Logging_0580/klagomålsmail/A 38913-2023 FSC-klagomål mail.docx", "A 38913-2023")</f>
        <v/>
      </c>
      <c r="X16">
        <f>HYPERLINK("https://klasma.github.io/Logging_0580/tillsyn/A 38913-2023 tillsynsbegäran.docx", "A 38913-2023")</f>
        <v/>
      </c>
      <c r="Y16">
        <f>HYPERLINK("https://klasma.github.io/Logging_0580/tillsynsmail/A 38913-2023 tillsynsbegäran mail.docx", "A 38913-2023")</f>
        <v/>
      </c>
    </row>
    <row r="17" ht="15" customHeight="1">
      <c r="A17" t="inlineStr">
        <is>
          <t>A 17275-2025</t>
        </is>
      </c>
      <c r="B17" s="1" t="n">
        <v>45756.55734953703</v>
      </c>
      <c r="C17" s="1" t="n">
        <v>46189</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6353-2026</t>
        </is>
      </c>
      <c r="B18" s="1" t="n">
        <v>46055.61385416667</v>
      </c>
      <c r="C18" s="1" t="n">
        <v>46189</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11048-2026</t>
        </is>
      </c>
      <c r="B19" s="1" t="n">
        <v>46079.58841435185</v>
      </c>
      <c r="C19" s="1" t="n">
        <v>46189</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12494-2026</t>
        </is>
      </c>
      <c r="B20" s="1" t="n">
        <v>46090.56896990741</v>
      </c>
      <c r="C20" s="1" t="n">
        <v>46189</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55341-2024</t>
        </is>
      </c>
      <c r="B21" s="1" t="n">
        <v>45621.71255787037</v>
      </c>
      <c r="C21" s="1" t="n">
        <v>46189</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46189</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46189</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46189</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46189</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49188-2024</t>
        </is>
      </c>
      <c r="B26" s="1" t="n">
        <v>45595</v>
      </c>
      <c r="C26" s="1" t="n">
        <v>46189</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58068-2021</t>
        </is>
      </c>
      <c r="B27" s="1" t="n">
        <v>44487</v>
      </c>
      <c r="C27" s="1" t="n">
        <v>46189</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46189</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58068-2021</t>
        </is>
      </c>
      <c r="B29" s="1" t="n">
        <v>44487</v>
      </c>
      <c r="C29" s="1" t="n">
        <v>46189</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50048-2025</t>
        </is>
      </c>
      <c r="B30" s="1" t="n">
        <v>45941</v>
      </c>
      <c r="C30" s="1" t="n">
        <v>46189</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42858-2023</t>
        </is>
      </c>
      <c r="B31" s="1" t="n">
        <v>45177</v>
      </c>
      <c r="C31" s="1" t="n">
        <v>46189</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41751-2023</t>
        </is>
      </c>
      <c r="B32" s="1" t="n">
        <v>45176</v>
      </c>
      <c r="C32" s="1" t="n">
        <v>46189</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8818-2025</t>
        </is>
      </c>
      <c r="B33" s="1" t="n">
        <v>45712</v>
      </c>
      <c r="C33" s="1" t="n">
        <v>46189</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3912-2026</t>
        </is>
      </c>
      <c r="B34" s="1" t="n">
        <v>46043.71958333333</v>
      </c>
      <c r="C34" s="1" t="n">
        <v>46189</v>
      </c>
      <c r="D34" t="inlineStr">
        <is>
          <t>ÖSTERGÖTLANDS LÄN</t>
        </is>
      </c>
      <c r="E34" t="inlineStr">
        <is>
          <t>LINKÖPING</t>
        </is>
      </c>
      <c r="F34" t="inlineStr">
        <is>
          <t>Kyrkan</t>
        </is>
      </c>
      <c r="G34" t="n">
        <v>6.8</v>
      </c>
      <c r="H34" t="n">
        <v>1</v>
      </c>
      <c r="I34" t="n">
        <v>1</v>
      </c>
      <c r="J34" t="n">
        <v>0</v>
      </c>
      <c r="K34" t="n">
        <v>1</v>
      </c>
      <c r="L34" t="n">
        <v>0</v>
      </c>
      <c r="M34" t="n">
        <v>0</v>
      </c>
      <c r="N34" t="n">
        <v>0</v>
      </c>
      <c r="O34" t="n">
        <v>1</v>
      </c>
      <c r="P34" t="n">
        <v>1</v>
      </c>
      <c r="Q34" t="n">
        <v>2</v>
      </c>
      <c r="R34" s="2" t="inlineStr">
        <is>
          <t>Knärot
Grönpyrola</t>
        </is>
      </c>
      <c r="S34">
        <f>HYPERLINK("https://klasma.github.io/Logging_0580/artfynd/A 3912-2026 artfynd.xlsx", "A 3912-2026")</f>
        <v/>
      </c>
      <c r="T34">
        <f>HYPERLINK("https://klasma.github.io/Logging_0580/kartor/A 3912-2026 karta.png", "A 3912-2026")</f>
        <v/>
      </c>
      <c r="U34">
        <f>HYPERLINK("https://klasma.github.io/Logging_0580/knärot/A 3912-2026 karta knärot.png", "A 3912-2026")</f>
        <v/>
      </c>
      <c r="V34">
        <f>HYPERLINK("https://klasma.github.io/Logging_0580/klagomål/A 3912-2026 FSC-klagomål.docx", "A 3912-2026")</f>
        <v/>
      </c>
      <c r="W34">
        <f>HYPERLINK("https://klasma.github.io/Logging_0580/klagomålsmail/A 3912-2026 FSC-klagomål mail.docx", "A 3912-2026")</f>
        <v/>
      </c>
      <c r="X34">
        <f>HYPERLINK("https://klasma.github.io/Logging_0580/tillsyn/A 3912-2026 tillsynsbegäran.docx", "A 3912-2026")</f>
        <v/>
      </c>
      <c r="Y34">
        <f>HYPERLINK("https://klasma.github.io/Logging_0580/tillsynsmail/A 3912-2026 tillsynsbegäran mail.docx", "A 3912-2026")</f>
        <v/>
      </c>
    </row>
    <row r="35" ht="15" customHeight="1">
      <c r="A35" t="inlineStr">
        <is>
          <t>A 12247-2026</t>
        </is>
      </c>
      <c r="B35" s="1" t="n">
        <v>46087.44436342592</v>
      </c>
      <c r="C35" s="1" t="n">
        <v>46189</v>
      </c>
      <c r="D35" t="inlineStr">
        <is>
          <t>ÖSTERGÖTLANDS LÄN</t>
        </is>
      </c>
      <c r="E35" t="inlineStr">
        <is>
          <t>LINKÖPING</t>
        </is>
      </c>
      <c r="G35" t="n">
        <v>0.9</v>
      </c>
      <c r="H35" t="n">
        <v>1</v>
      </c>
      <c r="I35" t="n">
        <v>0</v>
      </c>
      <c r="J35" t="n">
        <v>2</v>
      </c>
      <c r="K35" t="n">
        <v>0</v>
      </c>
      <c r="L35" t="n">
        <v>0</v>
      </c>
      <c r="M35" t="n">
        <v>0</v>
      </c>
      <c r="N35" t="n">
        <v>0</v>
      </c>
      <c r="O35" t="n">
        <v>2</v>
      </c>
      <c r="P35" t="n">
        <v>0</v>
      </c>
      <c r="Q35" t="n">
        <v>2</v>
      </c>
      <c r="R35" s="2" t="inlineStr">
        <is>
          <t>Spillkråka
Vedtrappmossa</t>
        </is>
      </c>
      <c r="S35">
        <f>HYPERLINK("https://klasma.github.io/Logging_0580/artfynd/A 12247-2026 artfynd.xlsx", "A 12247-2026")</f>
        <v/>
      </c>
      <c r="T35">
        <f>HYPERLINK("https://klasma.github.io/Logging_0580/kartor/A 12247-2026 karta.png", "A 12247-2026")</f>
        <v/>
      </c>
      <c r="V35">
        <f>HYPERLINK("https://klasma.github.io/Logging_0580/klagomål/A 12247-2026 FSC-klagomål.docx", "A 12247-2026")</f>
        <v/>
      </c>
      <c r="W35">
        <f>HYPERLINK("https://klasma.github.io/Logging_0580/klagomålsmail/A 12247-2026 FSC-klagomål mail.docx", "A 12247-2026")</f>
        <v/>
      </c>
      <c r="X35">
        <f>HYPERLINK("https://klasma.github.io/Logging_0580/tillsyn/A 12247-2026 tillsynsbegäran.docx", "A 12247-2026")</f>
        <v/>
      </c>
      <c r="Y35">
        <f>HYPERLINK("https://klasma.github.io/Logging_0580/tillsynsmail/A 12247-2026 tillsynsbegäran mail.docx", "A 12247-2026")</f>
        <v/>
      </c>
      <c r="Z35">
        <f>HYPERLINK("https://klasma.github.io/Logging_0580/fåglar/A 12247-2026 prioriterade fågelarter.docx", "A 12247-2026")</f>
        <v/>
      </c>
    </row>
    <row r="36" ht="15" customHeight="1">
      <c r="A36" t="inlineStr">
        <is>
          <t>A 55344-2024</t>
        </is>
      </c>
      <c r="B36" s="1" t="n">
        <v>45621.7202662037</v>
      </c>
      <c r="C36" s="1" t="n">
        <v>46189</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21228-2026</t>
        </is>
      </c>
      <c r="B37" s="1" t="n">
        <v>46146.7919212963</v>
      </c>
      <c r="C37" s="1" t="n">
        <v>46189</v>
      </c>
      <c r="D37" t="inlineStr">
        <is>
          <t>ÖSTERGÖTLANDS LÄN</t>
        </is>
      </c>
      <c r="E37" t="inlineStr">
        <is>
          <t>LINKÖPING</t>
        </is>
      </c>
      <c r="G37" t="n">
        <v>2.5</v>
      </c>
      <c r="H37" t="n">
        <v>2</v>
      </c>
      <c r="I37" t="n">
        <v>0</v>
      </c>
      <c r="J37" t="n">
        <v>0</v>
      </c>
      <c r="K37" t="n">
        <v>0</v>
      </c>
      <c r="L37" t="n">
        <v>0</v>
      </c>
      <c r="M37" t="n">
        <v>0</v>
      </c>
      <c r="N37" t="n">
        <v>0</v>
      </c>
      <c r="O37" t="n">
        <v>0</v>
      </c>
      <c r="P37" t="n">
        <v>0</v>
      </c>
      <c r="Q37" t="n">
        <v>2</v>
      </c>
      <c r="R37" s="2" t="inlineStr">
        <is>
          <t>Kungsfågel
Vanlig groda</t>
        </is>
      </c>
      <c r="S37">
        <f>HYPERLINK("https://klasma.github.io/Logging_0580/artfynd/A 21228-2026 artfynd.xlsx", "A 21228-2026")</f>
        <v/>
      </c>
      <c r="T37">
        <f>HYPERLINK("https://klasma.github.io/Logging_0580/kartor/A 21228-2026 karta.png", "A 21228-2026")</f>
        <v/>
      </c>
      <c r="V37">
        <f>HYPERLINK("https://klasma.github.io/Logging_0580/klagomål/A 21228-2026 FSC-klagomål.docx", "A 21228-2026")</f>
        <v/>
      </c>
      <c r="W37">
        <f>HYPERLINK("https://klasma.github.io/Logging_0580/klagomålsmail/A 21228-2026 FSC-klagomål mail.docx", "A 21228-2026")</f>
        <v/>
      </c>
      <c r="X37">
        <f>HYPERLINK("https://klasma.github.io/Logging_0580/tillsyn/A 21228-2026 tillsynsbegäran.docx", "A 21228-2026")</f>
        <v/>
      </c>
      <c r="Y37">
        <f>HYPERLINK("https://klasma.github.io/Logging_0580/tillsynsmail/A 21228-2026 tillsynsbegäran mail.docx", "A 21228-2026")</f>
        <v/>
      </c>
      <c r="Z37">
        <f>HYPERLINK("https://klasma.github.io/Logging_0580/fåglar/A 21228-2026 prioriterade fågelarter.docx", "A 21228-2026")</f>
        <v/>
      </c>
    </row>
    <row r="38" ht="15" customHeight="1">
      <c r="A38" t="inlineStr">
        <is>
          <t>A 15856-2026</t>
        </is>
      </c>
      <c r="B38" s="1" t="n">
        <v>46107.57620370371</v>
      </c>
      <c r="C38" s="1" t="n">
        <v>46189</v>
      </c>
      <c r="D38" t="inlineStr">
        <is>
          <t>ÖSTERGÖTLANDS LÄN</t>
        </is>
      </c>
      <c r="E38" t="inlineStr">
        <is>
          <t>LINKÖPING</t>
        </is>
      </c>
      <c r="F38" t="inlineStr">
        <is>
          <t>Sveaskog</t>
        </is>
      </c>
      <c r="G38" t="n">
        <v>16.2</v>
      </c>
      <c r="H38" t="n">
        <v>0</v>
      </c>
      <c r="I38" t="n">
        <v>1</v>
      </c>
      <c r="J38" t="n">
        <v>1</v>
      </c>
      <c r="K38" t="n">
        <v>0</v>
      </c>
      <c r="L38" t="n">
        <v>0</v>
      </c>
      <c r="M38" t="n">
        <v>0</v>
      </c>
      <c r="N38" t="n">
        <v>0</v>
      </c>
      <c r="O38" t="n">
        <v>1</v>
      </c>
      <c r="P38" t="n">
        <v>0</v>
      </c>
      <c r="Q38" t="n">
        <v>2</v>
      </c>
      <c r="R38" s="2" t="inlineStr">
        <is>
          <t>Svinrot
Granbräken</t>
        </is>
      </c>
      <c r="S38">
        <f>HYPERLINK("https://klasma.github.io/Logging_0580/artfynd/A 15856-2026 artfynd.xlsx", "A 15856-2026")</f>
        <v/>
      </c>
      <c r="T38">
        <f>HYPERLINK("https://klasma.github.io/Logging_0580/kartor/A 15856-2026 karta.png", "A 15856-2026")</f>
        <v/>
      </c>
      <c r="V38">
        <f>HYPERLINK("https://klasma.github.io/Logging_0580/klagomål/A 15856-2026 FSC-klagomål.docx", "A 15856-2026")</f>
        <v/>
      </c>
      <c r="W38">
        <f>HYPERLINK("https://klasma.github.io/Logging_0580/klagomålsmail/A 15856-2026 FSC-klagomål mail.docx", "A 15856-2026")</f>
        <v/>
      </c>
      <c r="X38">
        <f>HYPERLINK("https://klasma.github.io/Logging_0580/tillsyn/A 15856-2026 tillsynsbegäran.docx", "A 15856-2026")</f>
        <v/>
      </c>
      <c r="Y38">
        <f>HYPERLINK("https://klasma.github.io/Logging_0580/tillsynsmail/A 15856-2026 tillsynsbegäran mail.docx", "A 15856-2026")</f>
        <v/>
      </c>
    </row>
    <row r="39" ht="15" customHeight="1">
      <c r="A39" t="inlineStr">
        <is>
          <t>A 15844-2026</t>
        </is>
      </c>
      <c r="B39" s="1" t="n">
        <v>46107.56542824074</v>
      </c>
      <c r="C39" s="1" t="n">
        <v>46189</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22074-2026</t>
        </is>
      </c>
      <c r="B40" s="1" t="n">
        <v>46153.50032407408</v>
      </c>
      <c r="C40" s="1" t="n">
        <v>46189</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22040-2023</t>
        </is>
      </c>
      <c r="B41" s="1" t="n">
        <v>45068</v>
      </c>
      <c r="C41" s="1" t="n">
        <v>46189</v>
      </c>
      <c r="D41" t="inlineStr">
        <is>
          <t>ÖSTERGÖTLANDS LÄN</t>
        </is>
      </c>
      <c r="E41" t="inlineStr">
        <is>
          <t>LINKÖPING</t>
        </is>
      </c>
      <c r="F41" t="inlineStr">
        <is>
          <t>Kommuner</t>
        </is>
      </c>
      <c r="G41" t="n">
        <v>1</v>
      </c>
      <c r="H41" t="n">
        <v>1</v>
      </c>
      <c r="I41" t="n">
        <v>1</v>
      </c>
      <c r="J41" t="n">
        <v>0</v>
      </c>
      <c r="K41" t="n">
        <v>1</v>
      </c>
      <c r="L41" t="n">
        <v>0</v>
      </c>
      <c r="M41" t="n">
        <v>0</v>
      </c>
      <c r="N41" t="n">
        <v>0</v>
      </c>
      <c r="O41" t="n">
        <v>1</v>
      </c>
      <c r="P41" t="n">
        <v>1</v>
      </c>
      <c r="Q41" t="n">
        <v>2</v>
      </c>
      <c r="R41" s="2" t="inlineStr">
        <is>
          <t>Bombmurkla
Skarp dropptaggsvamp</t>
        </is>
      </c>
      <c r="S41">
        <f>HYPERLINK("https://klasma.github.io/Logging_0580/artfynd/A 22040-2023 artfynd.xlsx", "A 22040-2023")</f>
        <v/>
      </c>
      <c r="T41">
        <f>HYPERLINK("https://klasma.github.io/Logging_0580/kartor/A 22040-2023 karta.png", "A 22040-2023")</f>
        <v/>
      </c>
      <c r="V41">
        <f>HYPERLINK("https://klasma.github.io/Logging_0580/klagomål/A 22040-2023 FSC-klagomål.docx", "A 22040-2023")</f>
        <v/>
      </c>
      <c r="W41">
        <f>HYPERLINK("https://klasma.github.io/Logging_0580/klagomålsmail/A 22040-2023 FSC-klagomål mail.docx", "A 22040-2023")</f>
        <v/>
      </c>
      <c r="X41">
        <f>HYPERLINK("https://klasma.github.io/Logging_0580/tillsyn/A 22040-2023 tillsynsbegäran.docx", "A 22040-2023")</f>
        <v/>
      </c>
      <c r="Y41">
        <f>HYPERLINK("https://klasma.github.io/Logging_0580/tillsynsmail/A 22040-2023 tillsynsbegäran mail.docx", "A 22040-2023")</f>
        <v/>
      </c>
    </row>
    <row r="42" ht="15" customHeight="1">
      <c r="A42" t="inlineStr">
        <is>
          <t>A 50404-2023</t>
        </is>
      </c>
      <c r="B42" s="1" t="n">
        <v>45216</v>
      </c>
      <c r="C42" s="1" t="n">
        <v>46189</v>
      </c>
      <c r="D42" t="inlineStr">
        <is>
          <t>ÖSTERGÖTLANDS LÄN</t>
        </is>
      </c>
      <c r="E42" t="inlineStr">
        <is>
          <t>LINKÖPING</t>
        </is>
      </c>
      <c r="G42" t="n">
        <v>1.2</v>
      </c>
      <c r="H42" t="n">
        <v>1</v>
      </c>
      <c r="I42" t="n">
        <v>1</v>
      </c>
      <c r="J42" t="n">
        <v>0</v>
      </c>
      <c r="K42" t="n">
        <v>0</v>
      </c>
      <c r="L42" t="n">
        <v>0</v>
      </c>
      <c r="M42" t="n">
        <v>0</v>
      </c>
      <c r="N42" t="n">
        <v>0</v>
      </c>
      <c r="O42" t="n">
        <v>0</v>
      </c>
      <c r="P42" t="n">
        <v>0</v>
      </c>
      <c r="Q42" t="n">
        <v>2</v>
      </c>
      <c r="R42" s="2" t="inlineStr">
        <is>
          <t>Hasselticka
Gullviva</t>
        </is>
      </c>
      <c r="S42">
        <f>HYPERLINK("https://klasma.github.io/Logging_0580/artfynd/A 50404-2023 artfynd.xlsx", "A 50404-2023")</f>
        <v/>
      </c>
      <c r="T42">
        <f>HYPERLINK("https://klasma.github.io/Logging_0580/kartor/A 50404-2023 karta.png", "A 50404-2023")</f>
        <v/>
      </c>
      <c r="V42">
        <f>HYPERLINK("https://klasma.github.io/Logging_0580/klagomål/A 50404-2023 FSC-klagomål.docx", "A 50404-2023")</f>
        <v/>
      </c>
      <c r="W42">
        <f>HYPERLINK("https://klasma.github.io/Logging_0580/klagomålsmail/A 50404-2023 FSC-klagomål mail.docx", "A 50404-2023")</f>
        <v/>
      </c>
      <c r="X42">
        <f>HYPERLINK("https://klasma.github.io/Logging_0580/tillsyn/A 50404-2023 tillsynsbegäran.docx", "A 50404-2023")</f>
        <v/>
      </c>
      <c r="Y42">
        <f>HYPERLINK("https://klasma.github.io/Logging_0580/tillsynsmail/A 50404-2023 tillsynsbegäran mail.docx", "A 50404-2023")</f>
        <v/>
      </c>
    </row>
    <row r="43" ht="15" customHeight="1">
      <c r="A43" t="inlineStr">
        <is>
          <t>A 20292-2025</t>
        </is>
      </c>
      <c r="B43" s="1" t="n">
        <v>45774.7449537037</v>
      </c>
      <c r="C43" s="1" t="n">
        <v>46189</v>
      </c>
      <c r="D43" t="inlineStr">
        <is>
          <t>ÖSTERGÖTLANDS LÄN</t>
        </is>
      </c>
      <c r="E43" t="inlineStr">
        <is>
          <t>LINKÖPING</t>
        </is>
      </c>
      <c r="G43" t="n">
        <v>8.4</v>
      </c>
      <c r="H43" t="n">
        <v>1</v>
      </c>
      <c r="I43" t="n">
        <v>1</v>
      </c>
      <c r="J43" t="n">
        <v>0</v>
      </c>
      <c r="K43" t="n">
        <v>0</v>
      </c>
      <c r="L43" t="n">
        <v>0</v>
      </c>
      <c r="M43" t="n">
        <v>0</v>
      </c>
      <c r="N43" t="n">
        <v>0</v>
      </c>
      <c r="O43" t="n">
        <v>0</v>
      </c>
      <c r="P43" t="n">
        <v>0</v>
      </c>
      <c r="Q43" t="n">
        <v>2</v>
      </c>
      <c r="R43" s="2" t="inlineStr">
        <is>
          <t>Blåmossa
Blåsippa</t>
        </is>
      </c>
      <c r="S43">
        <f>HYPERLINK("https://klasma.github.io/Logging_0580/artfynd/A 20292-2025 artfynd.xlsx", "A 20292-2025")</f>
        <v/>
      </c>
      <c r="T43">
        <f>HYPERLINK("https://klasma.github.io/Logging_0580/kartor/A 20292-2025 karta.png", "A 20292-2025")</f>
        <v/>
      </c>
      <c r="V43">
        <f>HYPERLINK("https://klasma.github.io/Logging_0580/klagomål/A 20292-2025 FSC-klagomål.docx", "A 20292-2025")</f>
        <v/>
      </c>
      <c r="W43">
        <f>HYPERLINK("https://klasma.github.io/Logging_0580/klagomålsmail/A 20292-2025 FSC-klagomål mail.docx", "A 20292-2025")</f>
        <v/>
      </c>
      <c r="X43">
        <f>HYPERLINK("https://klasma.github.io/Logging_0580/tillsyn/A 20292-2025 tillsynsbegäran.docx", "A 20292-2025")</f>
        <v/>
      </c>
      <c r="Y43">
        <f>HYPERLINK("https://klasma.github.io/Logging_0580/tillsynsmail/A 20292-2025 tillsynsbegäran mail.docx", "A 20292-2025")</f>
        <v/>
      </c>
    </row>
    <row r="44" ht="15" customHeight="1">
      <c r="A44" t="inlineStr">
        <is>
          <t>A 27795-2025</t>
        </is>
      </c>
      <c r="B44" s="1" t="n">
        <v>45816.7908912037</v>
      </c>
      <c r="C44" s="1" t="n">
        <v>46189</v>
      </c>
      <c r="D44" t="inlineStr">
        <is>
          <t>ÖSTERGÖTLANDS LÄN</t>
        </is>
      </c>
      <c r="E44" t="inlineStr">
        <is>
          <t>LINKÖPING</t>
        </is>
      </c>
      <c r="G44" t="n">
        <v>5</v>
      </c>
      <c r="H44" t="n">
        <v>0</v>
      </c>
      <c r="I44" t="n">
        <v>0</v>
      </c>
      <c r="J44" t="n">
        <v>2</v>
      </c>
      <c r="K44" t="n">
        <v>0</v>
      </c>
      <c r="L44" t="n">
        <v>0</v>
      </c>
      <c r="M44" t="n">
        <v>0</v>
      </c>
      <c r="N44" t="n">
        <v>0</v>
      </c>
      <c r="O44" t="n">
        <v>2</v>
      </c>
      <c r="P44" t="n">
        <v>0</v>
      </c>
      <c r="Q44" t="n">
        <v>2</v>
      </c>
      <c r="R44" s="2" t="inlineStr">
        <is>
          <t>Svinrot
Ängsskära</t>
        </is>
      </c>
      <c r="S44">
        <f>HYPERLINK("https://klasma.github.io/Logging_0580/artfynd/A 27795-2025 artfynd.xlsx", "A 27795-2025")</f>
        <v/>
      </c>
      <c r="T44">
        <f>HYPERLINK("https://klasma.github.io/Logging_0580/kartor/A 27795-2025 karta.png", "A 27795-2025")</f>
        <v/>
      </c>
      <c r="V44">
        <f>HYPERLINK("https://klasma.github.io/Logging_0580/klagomål/A 27795-2025 FSC-klagomål.docx", "A 27795-2025")</f>
        <v/>
      </c>
      <c r="W44">
        <f>HYPERLINK("https://klasma.github.io/Logging_0580/klagomålsmail/A 27795-2025 FSC-klagomål mail.docx", "A 27795-2025")</f>
        <v/>
      </c>
      <c r="X44">
        <f>HYPERLINK("https://klasma.github.io/Logging_0580/tillsyn/A 27795-2025 tillsynsbegäran.docx", "A 27795-2025")</f>
        <v/>
      </c>
      <c r="Y44">
        <f>HYPERLINK("https://klasma.github.io/Logging_0580/tillsynsmail/A 27795-2025 tillsynsbegäran mail.docx", "A 27795-2025")</f>
        <v/>
      </c>
    </row>
    <row r="45" ht="15" customHeight="1">
      <c r="A45" t="inlineStr">
        <is>
          <t>A 25985-2025</t>
        </is>
      </c>
      <c r="B45" s="1" t="n">
        <v>45804.64479166667</v>
      </c>
      <c r="C45" s="1" t="n">
        <v>46189</v>
      </c>
      <c r="D45" t="inlineStr">
        <is>
          <t>ÖSTERGÖTLANDS LÄN</t>
        </is>
      </c>
      <c r="E45" t="inlineStr">
        <is>
          <t>LINKÖPING</t>
        </is>
      </c>
      <c r="G45" t="n">
        <v>4.5</v>
      </c>
      <c r="H45" t="n">
        <v>2</v>
      </c>
      <c r="I45" t="n">
        <v>0</v>
      </c>
      <c r="J45" t="n">
        <v>1</v>
      </c>
      <c r="K45" t="n">
        <v>0</v>
      </c>
      <c r="L45" t="n">
        <v>0</v>
      </c>
      <c r="M45" t="n">
        <v>0</v>
      </c>
      <c r="N45" t="n">
        <v>0</v>
      </c>
      <c r="O45" t="n">
        <v>1</v>
      </c>
      <c r="P45" t="n">
        <v>0</v>
      </c>
      <c r="Q45" t="n">
        <v>2</v>
      </c>
      <c r="R45" s="2" t="inlineStr">
        <is>
          <t>Spillkråka
Revlummer</t>
        </is>
      </c>
      <c r="S45">
        <f>HYPERLINK("https://klasma.github.io/Logging_0580/artfynd/A 25985-2025 artfynd.xlsx", "A 25985-2025")</f>
        <v/>
      </c>
      <c r="T45">
        <f>HYPERLINK("https://klasma.github.io/Logging_0580/kartor/A 25985-2025 karta.png", "A 25985-2025")</f>
        <v/>
      </c>
      <c r="V45">
        <f>HYPERLINK("https://klasma.github.io/Logging_0580/klagomål/A 25985-2025 FSC-klagomål.docx", "A 25985-2025")</f>
        <v/>
      </c>
      <c r="W45">
        <f>HYPERLINK("https://klasma.github.io/Logging_0580/klagomålsmail/A 25985-2025 FSC-klagomål mail.docx", "A 25985-2025")</f>
        <v/>
      </c>
      <c r="X45">
        <f>HYPERLINK("https://klasma.github.io/Logging_0580/tillsyn/A 25985-2025 tillsynsbegäran.docx", "A 25985-2025")</f>
        <v/>
      </c>
      <c r="Y45">
        <f>HYPERLINK("https://klasma.github.io/Logging_0580/tillsynsmail/A 25985-2025 tillsynsbegäran mail.docx", "A 25985-2025")</f>
        <v/>
      </c>
      <c r="Z45">
        <f>HYPERLINK("https://klasma.github.io/Logging_0580/fåglar/A 25985-2025 prioriterade fågelarter.docx", "A 25985-2025")</f>
        <v/>
      </c>
    </row>
    <row r="46" ht="15" customHeight="1">
      <c r="A46" t="inlineStr">
        <is>
          <t>A 38129-2021</t>
        </is>
      </c>
      <c r="B46" s="1" t="n">
        <v>44405.37199074074</v>
      </c>
      <c r="C46" s="1" t="n">
        <v>46189</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46189</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46189</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46496-2022</t>
        </is>
      </c>
      <c r="B49" s="1" t="n">
        <v>44848</v>
      </c>
      <c r="C49" s="1" t="n">
        <v>46189</v>
      </c>
      <c r="D49" t="inlineStr">
        <is>
          <t>ÖSTERGÖTLANDS LÄN</t>
        </is>
      </c>
      <c r="E49" t="inlineStr">
        <is>
          <t>LINKÖPING</t>
        </is>
      </c>
      <c r="G49" t="n">
        <v>1.1</v>
      </c>
      <c r="H49" t="n">
        <v>0</v>
      </c>
      <c r="I49" t="n">
        <v>0</v>
      </c>
      <c r="J49" t="n">
        <v>1</v>
      </c>
      <c r="K49" t="n">
        <v>0</v>
      </c>
      <c r="L49" t="n">
        <v>0</v>
      </c>
      <c r="M49" t="n">
        <v>0</v>
      </c>
      <c r="N49" t="n">
        <v>0</v>
      </c>
      <c r="O49" t="n">
        <v>1</v>
      </c>
      <c r="P49" t="n">
        <v>0</v>
      </c>
      <c r="Q49" t="n">
        <v>1</v>
      </c>
      <c r="R49" s="2" t="inlineStr">
        <is>
          <t>Bredbrämad bastardsvärmare</t>
        </is>
      </c>
      <c r="S49">
        <f>HYPERLINK("https://klasma.github.io/Logging_0580/artfynd/A 46496-2022 artfynd.xlsx", "A 46496-2022")</f>
        <v/>
      </c>
      <c r="T49">
        <f>HYPERLINK("https://klasma.github.io/Logging_0580/kartor/A 46496-2022 karta.png", "A 46496-2022")</f>
        <v/>
      </c>
      <c r="V49">
        <f>HYPERLINK("https://klasma.github.io/Logging_0580/klagomål/A 46496-2022 FSC-klagomål.docx", "A 46496-2022")</f>
        <v/>
      </c>
      <c r="W49">
        <f>HYPERLINK("https://klasma.github.io/Logging_0580/klagomålsmail/A 46496-2022 FSC-klagomål mail.docx", "A 46496-2022")</f>
        <v/>
      </c>
      <c r="X49">
        <f>HYPERLINK("https://klasma.github.io/Logging_0580/tillsyn/A 46496-2022 tillsynsbegäran.docx", "A 46496-2022")</f>
        <v/>
      </c>
      <c r="Y49">
        <f>HYPERLINK("https://klasma.github.io/Logging_0580/tillsynsmail/A 46496-2022 tillsynsbegäran mail.docx", "A 46496-2022")</f>
        <v/>
      </c>
    </row>
    <row r="50" ht="15" customHeight="1">
      <c r="A50" t="inlineStr">
        <is>
          <t>A 56250-2021</t>
        </is>
      </c>
      <c r="B50" s="1" t="n">
        <v>44479</v>
      </c>
      <c r="C50" s="1" t="n">
        <v>46189</v>
      </c>
      <c r="D50" t="inlineStr">
        <is>
          <t>ÖSTERGÖTLANDS LÄN</t>
        </is>
      </c>
      <c r="E50" t="inlineStr">
        <is>
          <t>LINKÖPING</t>
        </is>
      </c>
      <c r="F50" t="inlineStr">
        <is>
          <t>Övriga Aktiebolag</t>
        </is>
      </c>
      <c r="G50" t="n">
        <v>3.2</v>
      </c>
      <c r="H50" t="n">
        <v>0</v>
      </c>
      <c r="I50" t="n">
        <v>1</v>
      </c>
      <c r="J50" t="n">
        <v>0</v>
      </c>
      <c r="K50" t="n">
        <v>0</v>
      </c>
      <c r="L50" t="n">
        <v>0</v>
      </c>
      <c r="M50" t="n">
        <v>0</v>
      </c>
      <c r="N50" t="n">
        <v>0</v>
      </c>
      <c r="O50" t="n">
        <v>0</v>
      </c>
      <c r="P50" t="n">
        <v>0</v>
      </c>
      <c r="Q50" t="n">
        <v>1</v>
      </c>
      <c r="R50" s="2" t="inlineStr">
        <is>
          <t>Strutbräken</t>
        </is>
      </c>
      <c r="S50">
        <f>HYPERLINK("https://klasma.github.io/Logging_0580/artfynd/A 56250-2021 artfynd.xlsx", "A 56250-2021")</f>
        <v/>
      </c>
      <c r="T50">
        <f>HYPERLINK("https://klasma.github.io/Logging_0580/kartor/A 56250-2021 karta.png", "A 56250-2021")</f>
        <v/>
      </c>
      <c r="V50">
        <f>HYPERLINK("https://klasma.github.io/Logging_0580/klagomål/A 56250-2021 FSC-klagomål.docx", "A 56250-2021")</f>
        <v/>
      </c>
      <c r="W50">
        <f>HYPERLINK("https://klasma.github.io/Logging_0580/klagomålsmail/A 56250-2021 FSC-klagomål mail.docx", "A 56250-2021")</f>
        <v/>
      </c>
      <c r="X50">
        <f>HYPERLINK("https://klasma.github.io/Logging_0580/tillsyn/A 56250-2021 tillsynsbegäran.docx", "A 56250-2021")</f>
        <v/>
      </c>
      <c r="Y50">
        <f>HYPERLINK("https://klasma.github.io/Logging_0580/tillsynsmail/A 56250-2021 tillsynsbegäran mail.docx", "A 56250-2021")</f>
        <v/>
      </c>
    </row>
    <row r="51" ht="15" customHeight="1">
      <c r="A51" t="inlineStr">
        <is>
          <t>A 71127-2021</t>
        </is>
      </c>
      <c r="B51" s="1" t="n">
        <v>44537</v>
      </c>
      <c r="C51" s="1" t="n">
        <v>46189</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40315-2024</t>
        </is>
      </c>
      <c r="B52" s="1" t="n">
        <v>45554.7571875</v>
      </c>
      <c r="C52" s="1" t="n">
        <v>46189</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1213-2023</t>
        </is>
      </c>
      <c r="B53" s="1" t="n">
        <v>44930</v>
      </c>
      <c r="C53" s="1" t="n">
        <v>46189</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50806-2023</t>
        </is>
      </c>
      <c r="B54" s="1" t="n">
        <v>45217</v>
      </c>
      <c r="C54" s="1" t="n">
        <v>46189</v>
      </c>
      <c r="D54" t="inlineStr">
        <is>
          <t>ÖSTERGÖTLANDS LÄN</t>
        </is>
      </c>
      <c r="E54" t="inlineStr">
        <is>
          <t>LINKÖPING</t>
        </is>
      </c>
      <c r="F54" t="inlineStr">
        <is>
          <t>Övriga Aktiebolag</t>
        </is>
      </c>
      <c r="G54" t="n">
        <v>0.7</v>
      </c>
      <c r="H54" t="n">
        <v>1</v>
      </c>
      <c r="I54" t="n">
        <v>0</v>
      </c>
      <c r="J54" t="n">
        <v>0</v>
      </c>
      <c r="K54" t="n">
        <v>0</v>
      </c>
      <c r="L54" t="n">
        <v>0</v>
      </c>
      <c r="M54" t="n">
        <v>0</v>
      </c>
      <c r="N54" t="n">
        <v>0</v>
      </c>
      <c r="O54" t="n">
        <v>0</v>
      </c>
      <c r="P54" t="n">
        <v>0</v>
      </c>
      <c r="Q54" t="n">
        <v>1</v>
      </c>
      <c r="R54" s="2" t="inlineStr">
        <is>
          <t>Gullviva</t>
        </is>
      </c>
      <c r="S54">
        <f>HYPERLINK("https://klasma.github.io/Logging_0580/artfynd/A 50806-2023 artfynd.xlsx", "A 50806-2023")</f>
        <v/>
      </c>
      <c r="T54">
        <f>HYPERLINK("https://klasma.github.io/Logging_0580/kartor/A 50806-2023 karta.png", "A 50806-2023")</f>
        <v/>
      </c>
      <c r="V54">
        <f>HYPERLINK("https://klasma.github.io/Logging_0580/klagomål/A 50806-2023 FSC-klagomål.docx", "A 50806-2023")</f>
        <v/>
      </c>
      <c r="W54">
        <f>HYPERLINK("https://klasma.github.io/Logging_0580/klagomålsmail/A 50806-2023 FSC-klagomål mail.docx", "A 50806-2023")</f>
        <v/>
      </c>
      <c r="X54">
        <f>HYPERLINK("https://klasma.github.io/Logging_0580/tillsyn/A 50806-2023 tillsynsbegäran.docx", "A 50806-2023")</f>
        <v/>
      </c>
      <c r="Y54">
        <f>HYPERLINK("https://klasma.github.io/Logging_0580/tillsynsmail/A 50806-2023 tillsynsbegäran mail.docx", "A 50806-2023")</f>
        <v/>
      </c>
    </row>
    <row r="55" ht="15" customHeight="1">
      <c r="A55" t="inlineStr">
        <is>
          <t>A 60573-2021</t>
        </is>
      </c>
      <c r="B55" s="1" t="n">
        <v>44496</v>
      </c>
      <c r="C55" s="1" t="n">
        <v>46189</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5911-2022</t>
        </is>
      </c>
      <c r="B56" s="1" t="n">
        <v>44597</v>
      </c>
      <c r="C56" s="1" t="n">
        <v>46189</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56128-2022</t>
        </is>
      </c>
      <c r="B57" s="1" t="n">
        <v>44889</v>
      </c>
      <c r="C57" s="1" t="n">
        <v>46189</v>
      </c>
      <c r="D57" t="inlineStr">
        <is>
          <t>ÖSTERGÖTLANDS LÄN</t>
        </is>
      </c>
      <c r="E57" t="inlineStr">
        <is>
          <t>LINKÖPING</t>
        </is>
      </c>
      <c r="G57" t="n">
        <v>2</v>
      </c>
      <c r="H57" t="n">
        <v>0</v>
      </c>
      <c r="I57" t="n">
        <v>1</v>
      </c>
      <c r="J57" t="n">
        <v>0</v>
      </c>
      <c r="K57" t="n">
        <v>0</v>
      </c>
      <c r="L57" t="n">
        <v>0</v>
      </c>
      <c r="M57" t="n">
        <v>0</v>
      </c>
      <c r="N57" t="n">
        <v>0</v>
      </c>
      <c r="O57" t="n">
        <v>0</v>
      </c>
      <c r="P57" t="n">
        <v>0</v>
      </c>
      <c r="Q57" t="n">
        <v>1</v>
      </c>
      <c r="R57" s="2" t="inlineStr">
        <is>
          <t>Tibast</t>
        </is>
      </c>
      <c r="S57">
        <f>HYPERLINK("https://klasma.github.io/Logging_0580/artfynd/A 56128-2022 artfynd.xlsx", "A 56128-2022")</f>
        <v/>
      </c>
      <c r="T57">
        <f>HYPERLINK("https://klasma.github.io/Logging_0580/kartor/A 56128-2022 karta.png", "A 56128-2022")</f>
        <v/>
      </c>
      <c r="V57">
        <f>HYPERLINK("https://klasma.github.io/Logging_0580/klagomål/A 56128-2022 FSC-klagomål.docx", "A 56128-2022")</f>
        <v/>
      </c>
      <c r="W57">
        <f>HYPERLINK("https://klasma.github.io/Logging_0580/klagomålsmail/A 56128-2022 FSC-klagomål mail.docx", "A 56128-2022")</f>
        <v/>
      </c>
      <c r="X57">
        <f>HYPERLINK("https://klasma.github.io/Logging_0580/tillsyn/A 56128-2022 tillsynsbegäran.docx", "A 56128-2022")</f>
        <v/>
      </c>
      <c r="Y57">
        <f>HYPERLINK("https://klasma.github.io/Logging_0580/tillsynsmail/A 56128-2022 tillsynsbegäran mail.docx", "A 56128-2022")</f>
        <v/>
      </c>
    </row>
    <row r="58" ht="15" customHeight="1">
      <c r="A58" t="inlineStr">
        <is>
          <t>A 43989-2025</t>
        </is>
      </c>
      <c r="B58" s="1" t="n">
        <v>45915.44128472222</v>
      </c>
      <c r="C58" s="1" t="n">
        <v>46189</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54835-2023</t>
        </is>
      </c>
      <c r="B59" s="1" t="n">
        <v>45236</v>
      </c>
      <c r="C59" s="1" t="n">
        <v>46189</v>
      </c>
      <c r="D59" t="inlineStr">
        <is>
          <t>ÖSTERGÖTLANDS LÄN</t>
        </is>
      </c>
      <c r="E59" t="inlineStr">
        <is>
          <t>LINKÖPING</t>
        </is>
      </c>
      <c r="G59" t="n">
        <v>2</v>
      </c>
      <c r="H59" t="n">
        <v>1</v>
      </c>
      <c r="I59" t="n">
        <v>0</v>
      </c>
      <c r="J59" t="n">
        <v>0</v>
      </c>
      <c r="K59" t="n">
        <v>0</v>
      </c>
      <c r="L59" t="n">
        <v>0</v>
      </c>
      <c r="M59" t="n">
        <v>0</v>
      </c>
      <c r="N59" t="n">
        <v>0</v>
      </c>
      <c r="O59" t="n">
        <v>0</v>
      </c>
      <c r="P59" t="n">
        <v>0</v>
      </c>
      <c r="Q59" t="n">
        <v>1</v>
      </c>
      <c r="R59" s="2" t="inlineStr">
        <is>
          <t>Sparvuggla</t>
        </is>
      </c>
      <c r="S59">
        <f>HYPERLINK("https://klasma.github.io/Logging_0580/artfynd/A 54835-2023 artfynd.xlsx", "A 54835-2023")</f>
        <v/>
      </c>
      <c r="T59">
        <f>HYPERLINK("https://klasma.github.io/Logging_0580/kartor/A 54835-2023 karta.png", "A 54835-2023")</f>
        <v/>
      </c>
      <c r="V59">
        <f>HYPERLINK("https://klasma.github.io/Logging_0580/klagomål/A 54835-2023 FSC-klagomål.docx", "A 54835-2023")</f>
        <v/>
      </c>
      <c r="W59">
        <f>HYPERLINK("https://klasma.github.io/Logging_0580/klagomålsmail/A 54835-2023 FSC-klagomål mail.docx", "A 54835-2023")</f>
        <v/>
      </c>
      <c r="X59">
        <f>HYPERLINK("https://klasma.github.io/Logging_0580/tillsyn/A 54835-2023 tillsynsbegäran.docx", "A 54835-2023")</f>
        <v/>
      </c>
      <c r="Y59">
        <f>HYPERLINK("https://klasma.github.io/Logging_0580/tillsynsmail/A 54835-2023 tillsynsbegäran mail.docx", "A 54835-2023")</f>
        <v/>
      </c>
      <c r="Z59">
        <f>HYPERLINK("https://klasma.github.io/Logging_0580/fåglar/A 54835-2023 prioriterade fågelarter.docx", "A 54835-2023")</f>
        <v/>
      </c>
    </row>
    <row r="60" ht="15" customHeight="1">
      <c r="A60" t="inlineStr">
        <is>
          <t>A 50034-2025</t>
        </is>
      </c>
      <c r="B60" s="1" t="n">
        <v>45941</v>
      </c>
      <c r="C60" s="1" t="n">
        <v>46189</v>
      </c>
      <c r="D60" t="inlineStr">
        <is>
          <t>ÖSTERGÖTLANDS LÄN</t>
        </is>
      </c>
      <c r="E60" t="inlineStr">
        <is>
          <t>LINKÖPING</t>
        </is>
      </c>
      <c r="G60" t="n">
        <v>6.2</v>
      </c>
      <c r="H60" t="n">
        <v>0</v>
      </c>
      <c r="I60" t="n">
        <v>0</v>
      </c>
      <c r="J60" t="n">
        <v>0</v>
      </c>
      <c r="K60" t="n">
        <v>0</v>
      </c>
      <c r="L60" t="n">
        <v>0</v>
      </c>
      <c r="M60" t="n">
        <v>1</v>
      </c>
      <c r="N60" t="n">
        <v>0</v>
      </c>
      <c r="O60" t="n">
        <v>1</v>
      </c>
      <c r="P60" t="n">
        <v>1</v>
      </c>
      <c r="Q60" t="n">
        <v>1</v>
      </c>
      <c r="R60" s="2" t="inlineStr">
        <is>
          <t>Skogsalm</t>
        </is>
      </c>
      <c r="S60">
        <f>HYPERLINK("https://klasma.github.io/Logging_0580/artfynd/A 50034-2025 artfynd.xlsx", "A 50034-2025")</f>
        <v/>
      </c>
      <c r="T60">
        <f>HYPERLINK("https://klasma.github.io/Logging_0580/kartor/A 50034-2025 karta.png", "A 50034-2025")</f>
        <v/>
      </c>
      <c r="V60">
        <f>HYPERLINK("https://klasma.github.io/Logging_0580/klagomål/A 50034-2025 FSC-klagomål.docx", "A 50034-2025")</f>
        <v/>
      </c>
      <c r="W60">
        <f>HYPERLINK("https://klasma.github.io/Logging_0580/klagomålsmail/A 50034-2025 FSC-klagomål mail.docx", "A 50034-2025")</f>
        <v/>
      </c>
      <c r="X60">
        <f>HYPERLINK("https://klasma.github.io/Logging_0580/tillsyn/A 50034-2025 tillsynsbegäran.docx", "A 50034-2025")</f>
        <v/>
      </c>
      <c r="Y60">
        <f>HYPERLINK("https://klasma.github.io/Logging_0580/tillsynsmail/A 50034-2025 tillsynsbegäran mail.docx", "A 50034-2025")</f>
        <v/>
      </c>
    </row>
    <row r="61" ht="15" customHeight="1">
      <c r="A61" t="inlineStr">
        <is>
          <t>A 34881-2023</t>
        </is>
      </c>
      <c r="B61" s="1" t="n">
        <v>45140</v>
      </c>
      <c r="C61" s="1" t="n">
        <v>46189</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Tallticka</t>
        </is>
      </c>
      <c r="S61">
        <f>HYPERLINK("https://klasma.github.io/Logging_0580/artfynd/A 34881-2023 artfynd.xlsx", "A 34881-2023")</f>
        <v/>
      </c>
      <c r="T61">
        <f>HYPERLINK("https://klasma.github.io/Logging_0580/kartor/A 34881-2023 karta.png", "A 34881-2023")</f>
        <v/>
      </c>
      <c r="U61">
        <f>HYPERLINK("https://klasma.github.io/Logging_0580/knärot/A 34881-2023 karta knärot.png", "A 34881-2023")</f>
        <v/>
      </c>
      <c r="V61">
        <f>HYPERLINK("https://klasma.github.io/Logging_0580/klagomål/A 34881-2023 FSC-klagomål.docx", "A 34881-2023")</f>
        <v/>
      </c>
      <c r="W61">
        <f>HYPERLINK("https://klasma.github.io/Logging_0580/klagomålsmail/A 34881-2023 FSC-klagomål mail.docx", "A 34881-2023")</f>
        <v/>
      </c>
      <c r="X61">
        <f>HYPERLINK("https://klasma.github.io/Logging_0580/tillsyn/A 34881-2023 tillsynsbegäran.docx", "A 34881-2023")</f>
        <v/>
      </c>
      <c r="Y61">
        <f>HYPERLINK("https://klasma.github.io/Logging_0580/tillsynsmail/A 34881-2023 tillsynsbegäran mail.docx", "A 34881-2023")</f>
        <v/>
      </c>
    </row>
    <row r="62" ht="15" customHeight="1">
      <c r="A62" t="inlineStr">
        <is>
          <t>A 45317-2023</t>
        </is>
      </c>
      <c r="B62" s="1" t="n">
        <v>45191.74868055555</v>
      </c>
      <c r="C62" s="1" t="n">
        <v>46189</v>
      </c>
      <c r="D62" t="inlineStr">
        <is>
          <t>ÖSTERGÖTLANDS LÄN</t>
        </is>
      </c>
      <c r="E62" t="inlineStr">
        <is>
          <t>LINKÖPING</t>
        </is>
      </c>
      <c r="F62" t="inlineStr">
        <is>
          <t>Allmännings- och besparingsskogar</t>
        </is>
      </c>
      <c r="G62" t="n">
        <v>29.3</v>
      </c>
      <c r="H62" t="n">
        <v>0</v>
      </c>
      <c r="I62" t="n">
        <v>0</v>
      </c>
      <c r="J62" t="n">
        <v>1</v>
      </c>
      <c r="K62" t="n">
        <v>0</v>
      </c>
      <c r="L62" t="n">
        <v>0</v>
      </c>
      <c r="M62" t="n">
        <v>0</v>
      </c>
      <c r="N62" t="n">
        <v>0</v>
      </c>
      <c r="O62" t="n">
        <v>1</v>
      </c>
      <c r="P62" t="n">
        <v>0</v>
      </c>
      <c r="Q62" t="n">
        <v>1</v>
      </c>
      <c r="R62" s="2" t="inlineStr">
        <is>
          <t>Svinrot</t>
        </is>
      </c>
      <c r="S62">
        <f>HYPERLINK("https://klasma.github.io/Logging_0580/artfynd/A 45317-2023 artfynd.xlsx", "A 45317-2023")</f>
        <v/>
      </c>
      <c r="T62">
        <f>HYPERLINK("https://klasma.github.io/Logging_0580/kartor/A 45317-2023 karta.png", "A 45317-2023")</f>
        <v/>
      </c>
      <c r="V62">
        <f>HYPERLINK("https://klasma.github.io/Logging_0580/klagomål/A 45317-2023 FSC-klagomål.docx", "A 45317-2023")</f>
        <v/>
      </c>
      <c r="W62">
        <f>HYPERLINK("https://klasma.github.io/Logging_0580/klagomålsmail/A 45317-2023 FSC-klagomål mail.docx", "A 45317-2023")</f>
        <v/>
      </c>
      <c r="X62">
        <f>HYPERLINK("https://klasma.github.io/Logging_0580/tillsyn/A 45317-2023 tillsynsbegäran.docx", "A 45317-2023")</f>
        <v/>
      </c>
      <c r="Y62">
        <f>HYPERLINK("https://klasma.github.io/Logging_0580/tillsynsmail/A 45317-2023 tillsynsbegäran mail.docx", "A 45317-2023")</f>
        <v/>
      </c>
    </row>
    <row r="63" ht="15" customHeight="1">
      <c r="A63" t="inlineStr">
        <is>
          <t>A 20295-2025</t>
        </is>
      </c>
      <c r="B63" s="1" t="n">
        <v>45774.74846064814</v>
      </c>
      <c r="C63" s="1" t="n">
        <v>46189</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37683-2024</t>
        </is>
      </c>
      <c r="B64" s="1" t="n">
        <v>45541.59120370371</v>
      </c>
      <c r="C64" s="1" t="n">
        <v>46189</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35948-2023</t>
        </is>
      </c>
      <c r="B65" s="1" t="n">
        <v>45148</v>
      </c>
      <c r="C65" s="1" t="n">
        <v>46189</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42054-2022</t>
        </is>
      </c>
      <c r="B66" s="1" t="n">
        <v>44830</v>
      </c>
      <c r="C66" s="1" t="n">
        <v>46189</v>
      </c>
      <c r="D66" t="inlineStr">
        <is>
          <t>ÖSTERGÖTLANDS LÄN</t>
        </is>
      </c>
      <c r="E66" t="inlineStr">
        <is>
          <t>LINKÖPING</t>
        </is>
      </c>
      <c r="G66" t="n">
        <v>1.7</v>
      </c>
      <c r="H66" t="n">
        <v>0</v>
      </c>
      <c r="I66" t="n">
        <v>0</v>
      </c>
      <c r="J66" t="n">
        <v>1</v>
      </c>
      <c r="K66" t="n">
        <v>0</v>
      </c>
      <c r="L66" t="n">
        <v>0</v>
      </c>
      <c r="M66" t="n">
        <v>0</v>
      </c>
      <c r="N66" t="n">
        <v>0</v>
      </c>
      <c r="O66" t="n">
        <v>1</v>
      </c>
      <c r="P66" t="n">
        <v>0</v>
      </c>
      <c r="Q66" t="n">
        <v>1</v>
      </c>
      <c r="R66" s="2" t="inlineStr">
        <is>
          <t>Tallticka</t>
        </is>
      </c>
      <c r="S66">
        <f>HYPERLINK("https://klasma.github.io/Logging_0580/artfynd/A 42054-2022 artfynd.xlsx", "A 42054-2022")</f>
        <v/>
      </c>
      <c r="T66">
        <f>HYPERLINK("https://klasma.github.io/Logging_0580/kartor/A 42054-2022 karta.png", "A 42054-2022")</f>
        <v/>
      </c>
      <c r="V66">
        <f>HYPERLINK("https://klasma.github.io/Logging_0580/klagomål/A 42054-2022 FSC-klagomål.docx", "A 42054-2022")</f>
        <v/>
      </c>
      <c r="W66">
        <f>HYPERLINK("https://klasma.github.io/Logging_0580/klagomålsmail/A 42054-2022 FSC-klagomål mail.docx", "A 42054-2022")</f>
        <v/>
      </c>
      <c r="X66">
        <f>HYPERLINK("https://klasma.github.io/Logging_0580/tillsyn/A 42054-2022 tillsynsbegäran.docx", "A 42054-2022")</f>
        <v/>
      </c>
      <c r="Y66">
        <f>HYPERLINK("https://klasma.github.io/Logging_0580/tillsynsmail/A 42054-2022 tillsynsbegäran mail.docx", "A 42054-2022")</f>
        <v/>
      </c>
    </row>
    <row r="67" ht="15" customHeight="1">
      <c r="A67" t="inlineStr">
        <is>
          <t>A 59474-2025</t>
        </is>
      </c>
      <c r="B67" s="1" t="n">
        <v>45989.58512731481</v>
      </c>
      <c r="C67" s="1" t="n">
        <v>46189</v>
      </c>
      <c r="D67" t="inlineStr">
        <is>
          <t>ÖSTERGÖTLANDS LÄN</t>
        </is>
      </c>
      <c r="E67" t="inlineStr">
        <is>
          <t>LINKÖPING</t>
        </is>
      </c>
      <c r="G67" t="n">
        <v>8</v>
      </c>
      <c r="H67" t="n">
        <v>0</v>
      </c>
      <c r="I67" t="n">
        <v>1</v>
      </c>
      <c r="J67" t="n">
        <v>0</v>
      </c>
      <c r="K67" t="n">
        <v>0</v>
      </c>
      <c r="L67" t="n">
        <v>0</v>
      </c>
      <c r="M67" t="n">
        <v>0</v>
      </c>
      <c r="N67" t="n">
        <v>0</v>
      </c>
      <c r="O67" t="n">
        <v>0</v>
      </c>
      <c r="P67" t="n">
        <v>0</v>
      </c>
      <c r="Q67" t="n">
        <v>1</v>
      </c>
      <c r="R67" s="2" t="inlineStr">
        <is>
          <t>Fällmossa</t>
        </is>
      </c>
      <c r="S67">
        <f>HYPERLINK("https://klasma.github.io/Logging_0580/artfynd/A 59474-2025 artfynd.xlsx", "A 59474-2025")</f>
        <v/>
      </c>
      <c r="T67">
        <f>HYPERLINK("https://klasma.github.io/Logging_0580/kartor/A 59474-2025 karta.png", "A 59474-2025")</f>
        <v/>
      </c>
      <c r="V67">
        <f>HYPERLINK("https://klasma.github.io/Logging_0580/klagomål/A 59474-2025 FSC-klagomål.docx", "A 59474-2025")</f>
        <v/>
      </c>
      <c r="W67">
        <f>HYPERLINK("https://klasma.github.io/Logging_0580/klagomålsmail/A 59474-2025 FSC-klagomål mail.docx", "A 59474-2025")</f>
        <v/>
      </c>
      <c r="X67">
        <f>HYPERLINK("https://klasma.github.io/Logging_0580/tillsyn/A 59474-2025 tillsynsbegäran.docx", "A 59474-2025")</f>
        <v/>
      </c>
      <c r="Y67">
        <f>HYPERLINK("https://klasma.github.io/Logging_0580/tillsynsmail/A 59474-2025 tillsynsbegäran mail.docx", "A 59474-2025")</f>
        <v/>
      </c>
    </row>
    <row r="68" ht="15" customHeight="1">
      <c r="A68" t="inlineStr">
        <is>
          <t>A 56651-2023</t>
        </is>
      </c>
      <c r="B68" s="1" t="n">
        <v>45243</v>
      </c>
      <c r="C68" s="1" t="n">
        <v>46189</v>
      </c>
      <c r="D68" t="inlineStr">
        <is>
          <t>ÖSTERGÖTLANDS LÄN</t>
        </is>
      </c>
      <c r="E68" t="inlineStr">
        <is>
          <t>LINKÖPING</t>
        </is>
      </c>
      <c r="F68" t="inlineStr">
        <is>
          <t>Övriga Aktiebolag</t>
        </is>
      </c>
      <c r="G68" t="n">
        <v>2.3</v>
      </c>
      <c r="H68" t="n">
        <v>0</v>
      </c>
      <c r="I68" t="n">
        <v>0</v>
      </c>
      <c r="J68" t="n">
        <v>1</v>
      </c>
      <c r="K68" t="n">
        <v>0</v>
      </c>
      <c r="L68" t="n">
        <v>0</v>
      </c>
      <c r="M68" t="n">
        <v>0</v>
      </c>
      <c r="N68" t="n">
        <v>0</v>
      </c>
      <c r="O68" t="n">
        <v>1</v>
      </c>
      <c r="P68" t="n">
        <v>0</v>
      </c>
      <c r="Q68" t="n">
        <v>1</v>
      </c>
      <c r="R68" s="2" t="inlineStr">
        <is>
          <t>Gul dropplav</t>
        </is>
      </c>
      <c r="S68">
        <f>HYPERLINK("https://klasma.github.io/Logging_0580/artfynd/A 56651-2023 artfynd.xlsx", "A 56651-2023")</f>
        <v/>
      </c>
      <c r="T68">
        <f>HYPERLINK("https://klasma.github.io/Logging_0580/kartor/A 56651-2023 karta.png", "A 56651-2023")</f>
        <v/>
      </c>
      <c r="V68">
        <f>HYPERLINK("https://klasma.github.io/Logging_0580/klagomål/A 56651-2023 FSC-klagomål.docx", "A 56651-2023")</f>
        <v/>
      </c>
      <c r="W68">
        <f>HYPERLINK("https://klasma.github.io/Logging_0580/klagomålsmail/A 56651-2023 FSC-klagomål mail.docx", "A 56651-2023")</f>
        <v/>
      </c>
      <c r="X68">
        <f>HYPERLINK("https://klasma.github.io/Logging_0580/tillsyn/A 56651-2023 tillsynsbegäran.docx", "A 56651-2023")</f>
        <v/>
      </c>
      <c r="Y68">
        <f>HYPERLINK("https://klasma.github.io/Logging_0580/tillsynsmail/A 56651-2023 tillsynsbegäran mail.docx", "A 56651-2023")</f>
        <v/>
      </c>
    </row>
    <row r="69" ht="15" customHeight="1">
      <c r="A69" t="inlineStr">
        <is>
          <t>A 59948-2022</t>
        </is>
      </c>
      <c r="B69" s="1" t="n">
        <v>44909</v>
      </c>
      <c r="C69" s="1" t="n">
        <v>46189</v>
      </c>
      <c r="D69" t="inlineStr">
        <is>
          <t>ÖSTERGÖTLANDS LÄN</t>
        </is>
      </c>
      <c r="E69" t="inlineStr">
        <is>
          <t>LINKÖPING</t>
        </is>
      </c>
      <c r="G69" t="n">
        <v>6.7</v>
      </c>
      <c r="H69" t="n">
        <v>0</v>
      </c>
      <c r="I69" t="n">
        <v>0</v>
      </c>
      <c r="J69" t="n">
        <v>0</v>
      </c>
      <c r="K69" t="n">
        <v>0</v>
      </c>
      <c r="L69" t="n">
        <v>0</v>
      </c>
      <c r="M69" t="n">
        <v>1</v>
      </c>
      <c r="N69" t="n">
        <v>0</v>
      </c>
      <c r="O69" t="n">
        <v>1</v>
      </c>
      <c r="P69" t="n">
        <v>1</v>
      </c>
      <c r="Q69" t="n">
        <v>1</v>
      </c>
      <c r="R69" s="2" t="inlineStr">
        <is>
          <t>Skogsalm</t>
        </is>
      </c>
      <c r="S69">
        <f>HYPERLINK("https://klasma.github.io/Logging_0580/artfynd/A 59948-2022 artfynd.xlsx", "A 59948-2022")</f>
        <v/>
      </c>
      <c r="T69">
        <f>HYPERLINK("https://klasma.github.io/Logging_0580/kartor/A 59948-2022 karta.png", "A 59948-2022")</f>
        <v/>
      </c>
      <c r="V69">
        <f>HYPERLINK("https://klasma.github.io/Logging_0580/klagomål/A 59948-2022 FSC-klagomål.docx", "A 59948-2022")</f>
        <v/>
      </c>
      <c r="W69">
        <f>HYPERLINK("https://klasma.github.io/Logging_0580/klagomålsmail/A 59948-2022 FSC-klagomål mail.docx", "A 59948-2022")</f>
        <v/>
      </c>
      <c r="X69">
        <f>HYPERLINK("https://klasma.github.io/Logging_0580/tillsyn/A 59948-2022 tillsynsbegäran.docx", "A 59948-2022")</f>
        <v/>
      </c>
      <c r="Y69">
        <f>HYPERLINK("https://klasma.github.io/Logging_0580/tillsynsmail/A 59948-2022 tillsynsbegäran mail.docx", "A 59948-2022")</f>
        <v/>
      </c>
    </row>
    <row r="70" ht="15" customHeight="1">
      <c r="A70" t="inlineStr">
        <is>
          <t>A 62071-2023</t>
        </is>
      </c>
      <c r="B70" s="1" t="n">
        <v>45266.73542824074</v>
      </c>
      <c r="C70" s="1" t="n">
        <v>46189</v>
      </c>
      <c r="D70" t="inlineStr">
        <is>
          <t>ÖSTERGÖTLANDS LÄN</t>
        </is>
      </c>
      <c r="E70" t="inlineStr">
        <is>
          <t>LINKÖPING</t>
        </is>
      </c>
      <c r="G70" t="n">
        <v>6.5</v>
      </c>
      <c r="H70" t="n">
        <v>0</v>
      </c>
      <c r="I70" t="n">
        <v>0</v>
      </c>
      <c r="J70" t="n">
        <v>1</v>
      </c>
      <c r="K70" t="n">
        <v>0</v>
      </c>
      <c r="L70" t="n">
        <v>0</v>
      </c>
      <c r="M70" t="n">
        <v>0</v>
      </c>
      <c r="N70" t="n">
        <v>0</v>
      </c>
      <c r="O70" t="n">
        <v>1</v>
      </c>
      <c r="P70" t="n">
        <v>0</v>
      </c>
      <c r="Q70" t="n">
        <v>1</v>
      </c>
      <c r="R70" s="2" t="inlineStr">
        <is>
          <t>Svinrot</t>
        </is>
      </c>
      <c r="S70">
        <f>HYPERLINK("https://klasma.github.io/Logging_0580/artfynd/A 62071-2023 artfynd.xlsx", "A 62071-2023")</f>
        <v/>
      </c>
      <c r="T70">
        <f>HYPERLINK("https://klasma.github.io/Logging_0580/kartor/A 62071-2023 karta.png", "A 62071-2023")</f>
        <v/>
      </c>
      <c r="V70">
        <f>HYPERLINK("https://klasma.github.io/Logging_0580/klagomål/A 62071-2023 FSC-klagomål.docx", "A 62071-2023")</f>
        <v/>
      </c>
      <c r="W70">
        <f>HYPERLINK("https://klasma.github.io/Logging_0580/klagomålsmail/A 62071-2023 FSC-klagomål mail.docx", "A 62071-2023")</f>
        <v/>
      </c>
      <c r="X70">
        <f>HYPERLINK("https://klasma.github.io/Logging_0580/tillsyn/A 62071-2023 tillsynsbegäran.docx", "A 62071-2023")</f>
        <v/>
      </c>
      <c r="Y70">
        <f>HYPERLINK("https://klasma.github.io/Logging_0580/tillsynsmail/A 62071-2023 tillsynsbegäran mail.docx", "A 62071-2023")</f>
        <v/>
      </c>
    </row>
    <row r="71" ht="15" customHeight="1">
      <c r="A71" t="inlineStr">
        <is>
          <t>A 90-2024</t>
        </is>
      </c>
      <c r="B71" s="1" t="n">
        <v>45293</v>
      </c>
      <c r="C71" s="1" t="n">
        <v>46189</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17444-2025</t>
        </is>
      </c>
      <c r="B72" s="1" t="n">
        <v>45757.43452546297</v>
      </c>
      <c r="C72" s="1" t="n">
        <v>46189</v>
      </c>
      <c r="D72" t="inlineStr">
        <is>
          <t>ÖSTERGÖTLANDS LÄN</t>
        </is>
      </c>
      <c r="E72" t="inlineStr">
        <is>
          <t>LINKÖPING</t>
        </is>
      </c>
      <c r="G72" t="n">
        <v>1.3</v>
      </c>
      <c r="H72" t="n">
        <v>1</v>
      </c>
      <c r="I72" t="n">
        <v>0</v>
      </c>
      <c r="J72" t="n">
        <v>1</v>
      </c>
      <c r="K72" t="n">
        <v>0</v>
      </c>
      <c r="L72" t="n">
        <v>0</v>
      </c>
      <c r="M72" t="n">
        <v>0</v>
      </c>
      <c r="N72" t="n">
        <v>0</v>
      </c>
      <c r="O72" t="n">
        <v>1</v>
      </c>
      <c r="P72" t="n">
        <v>0</v>
      </c>
      <c r="Q72" t="n">
        <v>1</v>
      </c>
      <c r="R72" s="2" t="inlineStr">
        <is>
          <t>Dårgräsfjäril</t>
        </is>
      </c>
      <c r="S72">
        <f>HYPERLINK("https://klasma.github.io/Logging_0580/artfynd/A 17444-2025 artfynd.xlsx", "A 17444-2025")</f>
        <v/>
      </c>
      <c r="T72">
        <f>HYPERLINK("https://klasma.github.io/Logging_0580/kartor/A 17444-2025 karta.png", "A 17444-2025")</f>
        <v/>
      </c>
      <c r="V72">
        <f>HYPERLINK("https://klasma.github.io/Logging_0580/klagomål/A 17444-2025 FSC-klagomål.docx", "A 17444-2025")</f>
        <v/>
      </c>
      <c r="W72">
        <f>HYPERLINK("https://klasma.github.io/Logging_0580/klagomålsmail/A 17444-2025 FSC-klagomål mail.docx", "A 17444-2025")</f>
        <v/>
      </c>
      <c r="X72">
        <f>HYPERLINK("https://klasma.github.io/Logging_0580/tillsyn/A 17444-2025 tillsynsbegäran.docx", "A 17444-2025")</f>
        <v/>
      </c>
      <c r="Y72">
        <f>HYPERLINK("https://klasma.github.io/Logging_0580/tillsynsmail/A 17444-2025 tillsynsbegäran mail.docx", "A 17444-2025")</f>
        <v/>
      </c>
    </row>
    <row r="73" ht="15" customHeight="1">
      <c r="A73" t="inlineStr">
        <is>
          <t>A 40309-2024</t>
        </is>
      </c>
      <c r="B73" s="1" t="n">
        <v>45554.724375</v>
      </c>
      <c r="C73" s="1" t="n">
        <v>46189</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1716-2023</t>
        </is>
      </c>
      <c r="B74" s="1" t="n">
        <v>44938</v>
      </c>
      <c r="C74" s="1" t="n">
        <v>46189</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1716-2023 artfynd.xlsx", "A 1716-2023")</f>
        <v/>
      </c>
      <c r="T74">
        <f>HYPERLINK("https://klasma.github.io/Logging_0580/kartor/A 1716-2023 karta.png", "A 1716-2023")</f>
        <v/>
      </c>
      <c r="V74">
        <f>HYPERLINK("https://klasma.github.io/Logging_0580/klagomål/A 1716-2023 FSC-klagomål.docx", "A 1716-2023")</f>
        <v/>
      </c>
      <c r="W74">
        <f>HYPERLINK("https://klasma.github.io/Logging_0580/klagomålsmail/A 1716-2023 FSC-klagomål mail.docx", "A 1716-2023")</f>
        <v/>
      </c>
      <c r="X74">
        <f>HYPERLINK("https://klasma.github.io/Logging_0580/tillsyn/A 1716-2023 tillsynsbegäran.docx", "A 1716-2023")</f>
        <v/>
      </c>
      <c r="Y74">
        <f>HYPERLINK("https://klasma.github.io/Logging_0580/tillsynsmail/A 1716-2023 tillsynsbegäran mail.docx", "A 1716-2023")</f>
        <v/>
      </c>
    </row>
    <row r="75" ht="15" customHeight="1">
      <c r="A75" t="inlineStr">
        <is>
          <t>A 21227-2026</t>
        </is>
      </c>
      <c r="B75" s="1" t="n">
        <v>46146.78898148148</v>
      </c>
      <c r="C75" s="1" t="n">
        <v>46189</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Rödvingetrast</t>
        </is>
      </c>
      <c r="S75">
        <f>HYPERLINK("https://klasma.github.io/Logging_0580/artfynd/A 21227-2026 artfynd.xlsx", "A 21227-2026")</f>
        <v/>
      </c>
      <c r="T75">
        <f>HYPERLINK("https://klasma.github.io/Logging_0580/kartor/A 21227-2026 karta.png", "A 21227-2026")</f>
        <v/>
      </c>
      <c r="V75">
        <f>HYPERLINK("https://klasma.github.io/Logging_0580/klagomål/A 21227-2026 FSC-klagomål.docx", "A 21227-2026")</f>
        <v/>
      </c>
      <c r="W75">
        <f>HYPERLINK("https://klasma.github.io/Logging_0580/klagomålsmail/A 21227-2026 FSC-klagomål mail.docx", "A 21227-2026")</f>
        <v/>
      </c>
      <c r="X75">
        <f>HYPERLINK("https://klasma.github.io/Logging_0580/tillsyn/A 21227-2026 tillsynsbegäran.docx", "A 21227-2026")</f>
        <v/>
      </c>
      <c r="Y75">
        <f>HYPERLINK("https://klasma.github.io/Logging_0580/tillsynsmail/A 21227-2026 tillsynsbegäran mail.docx", "A 21227-2026")</f>
        <v/>
      </c>
      <c r="Z75">
        <f>HYPERLINK("https://klasma.github.io/Logging_0580/fåglar/A 21227-2026 prioriterade fågelarter.docx", "A 21227-2026")</f>
        <v/>
      </c>
    </row>
    <row r="76" ht="15" customHeight="1">
      <c r="A76" t="inlineStr">
        <is>
          <t>A 931-2025</t>
        </is>
      </c>
      <c r="B76" s="1" t="n">
        <v>45665.88498842593</v>
      </c>
      <c r="C76" s="1" t="n">
        <v>46189</v>
      </c>
      <c r="D76" t="inlineStr">
        <is>
          <t>ÖSTERGÖTLANDS LÄN</t>
        </is>
      </c>
      <c r="E76" t="inlineStr">
        <is>
          <t>LINKÖPING</t>
        </is>
      </c>
      <c r="F76" t="inlineStr">
        <is>
          <t>Övriga Aktiebolag</t>
        </is>
      </c>
      <c r="G76" t="n">
        <v>0.8</v>
      </c>
      <c r="H76" t="n">
        <v>0</v>
      </c>
      <c r="I76" t="n">
        <v>0</v>
      </c>
      <c r="J76" t="n">
        <v>1</v>
      </c>
      <c r="K76" t="n">
        <v>0</v>
      </c>
      <c r="L76" t="n">
        <v>0</v>
      </c>
      <c r="M76" t="n">
        <v>0</v>
      </c>
      <c r="N76" t="n">
        <v>0</v>
      </c>
      <c r="O76" t="n">
        <v>1</v>
      </c>
      <c r="P76" t="n">
        <v>0</v>
      </c>
      <c r="Q76" t="n">
        <v>1</v>
      </c>
      <c r="R76" s="2" t="inlineStr">
        <is>
          <t>Tallticka</t>
        </is>
      </c>
      <c r="S76">
        <f>HYPERLINK("https://klasma.github.io/Logging_0580/artfynd/A 931-2025 artfynd.xlsx", "A 931-2025")</f>
        <v/>
      </c>
      <c r="T76">
        <f>HYPERLINK("https://klasma.github.io/Logging_0580/kartor/A 931-2025 karta.png", "A 931-2025")</f>
        <v/>
      </c>
      <c r="V76">
        <f>HYPERLINK("https://klasma.github.io/Logging_0580/klagomål/A 931-2025 FSC-klagomål.docx", "A 931-2025")</f>
        <v/>
      </c>
      <c r="W76">
        <f>HYPERLINK("https://klasma.github.io/Logging_0580/klagomålsmail/A 931-2025 FSC-klagomål mail.docx", "A 931-2025")</f>
        <v/>
      </c>
      <c r="X76">
        <f>HYPERLINK("https://klasma.github.io/Logging_0580/tillsyn/A 931-2025 tillsynsbegäran.docx", "A 931-2025")</f>
        <v/>
      </c>
      <c r="Y76">
        <f>HYPERLINK("https://klasma.github.io/Logging_0580/tillsynsmail/A 931-2025 tillsynsbegäran mail.docx", "A 931-2025")</f>
        <v/>
      </c>
    </row>
    <row r="77" ht="15" customHeight="1">
      <c r="A77" t="inlineStr">
        <is>
          <t>A 126-2024</t>
        </is>
      </c>
      <c r="B77" s="1" t="n">
        <v>45294</v>
      </c>
      <c r="C77" s="1" t="n">
        <v>46189</v>
      </c>
      <c r="D77" t="inlineStr">
        <is>
          <t>ÖSTERGÖTLANDS LÄN</t>
        </is>
      </c>
      <c r="E77" t="inlineStr">
        <is>
          <t>LINKÖPING</t>
        </is>
      </c>
      <c r="G77" t="n">
        <v>1</v>
      </c>
      <c r="H77" t="n">
        <v>0</v>
      </c>
      <c r="I77" t="n">
        <v>1</v>
      </c>
      <c r="J77" t="n">
        <v>0</v>
      </c>
      <c r="K77" t="n">
        <v>0</v>
      </c>
      <c r="L77" t="n">
        <v>0</v>
      </c>
      <c r="M77" t="n">
        <v>0</v>
      </c>
      <c r="N77" t="n">
        <v>0</v>
      </c>
      <c r="O77" t="n">
        <v>0</v>
      </c>
      <c r="P77" t="n">
        <v>0</v>
      </c>
      <c r="Q77" t="n">
        <v>1</v>
      </c>
      <c r="R77" s="2" t="inlineStr">
        <is>
          <t>Blåmossa</t>
        </is>
      </c>
      <c r="S77">
        <f>HYPERLINK("https://klasma.github.io/Logging_0580/artfynd/A 126-2024 artfynd.xlsx", "A 126-2024")</f>
        <v/>
      </c>
      <c r="T77">
        <f>HYPERLINK("https://klasma.github.io/Logging_0580/kartor/A 126-2024 karta.png", "A 126-2024")</f>
        <v/>
      </c>
      <c r="V77">
        <f>HYPERLINK("https://klasma.github.io/Logging_0580/klagomål/A 126-2024 FSC-klagomål.docx", "A 126-2024")</f>
        <v/>
      </c>
      <c r="W77">
        <f>HYPERLINK("https://klasma.github.io/Logging_0580/klagomålsmail/A 126-2024 FSC-klagomål mail.docx", "A 126-2024")</f>
        <v/>
      </c>
      <c r="X77">
        <f>HYPERLINK("https://klasma.github.io/Logging_0580/tillsyn/A 126-2024 tillsynsbegäran.docx", "A 126-2024")</f>
        <v/>
      </c>
      <c r="Y77">
        <f>HYPERLINK("https://klasma.github.io/Logging_0580/tillsynsmail/A 126-2024 tillsynsbegäran mail.docx", "A 126-2024")</f>
        <v/>
      </c>
    </row>
    <row r="78" ht="15" customHeight="1">
      <c r="A78" t="inlineStr">
        <is>
          <t>A 3395-2023</t>
        </is>
      </c>
      <c r="B78" s="1" t="n">
        <v>44949</v>
      </c>
      <c r="C78" s="1" t="n">
        <v>46189</v>
      </c>
      <c r="D78" t="inlineStr">
        <is>
          <t>ÖSTERGÖTLANDS LÄN</t>
        </is>
      </c>
      <c r="E78" t="inlineStr">
        <is>
          <t>LINKÖPING</t>
        </is>
      </c>
      <c r="G78" t="n">
        <v>2</v>
      </c>
      <c r="H78" t="n">
        <v>0</v>
      </c>
      <c r="I78" t="n">
        <v>0</v>
      </c>
      <c r="J78" t="n">
        <v>1</v>
      </c>
      <c r="K78" t="n">
        <v>0</v>
      </c>
      <c r="L78" t="n">
        <v>0</v>
      </c>
      <c r="M78" t="n">
        <v>0</v>
      </c>
      <c r="N78" t="n">
        <v>0</v>
      </c>
      <c r="O78" t="n">
        <v>1</v>
      </c>
      <c r="P78" t="n">
        <v>0</v>
      </c>
      <c r="Q78" t="n">
        <v>1</v>
      </c>
      <c r="R78" s="2" t="inlineStr">
        <is>
          <t>Sommarfibbla</t>
        </is>
      </c>
      <c r="S78">
        <f>HYPERLINK("https://klasma.github.io/Logging_0580/artfynd/A 3395-2023 artfynd.xlsx", "A 3395-2023")</f>
        <v/>
      </c>
      <c r="T78">
        <f>HYPERLINK("https://klasma.github.io/Logging_0580/kartor/A 3395-2023 karta.png", "A 3395-2023")</f>
        <v/>
      </c>
      <c r="V78">
        <f>HYPERLINK("https://klasma.github.io/Logging_0580/klagomål/A 3395-2023 FSC-klagomål.docx", "A 3395-2023")</f>
        <v/>
      </c>
      <c r="W78">
        <f>HYPERLINK("https://klasma.github.io/Logging_0580/klagomålsmail/A 3395-2023 FSC-klagomål mail.docx", "A 3395-2023")</f>
        <v/>
      </c>
      <c r="X78">
        <f>HYPERLINK("https://klasma.github.io/Logging_0580/tillsyn/A 3395-2023 tillsynsbegäran.docx", "A 3395-2023")</f>
        <v/>
      </c>
      <c r="Y78">
        <f>HYPERLINK("https://klasma.github.io/Logging_0580/tillsynsmail/A 3395-2023 tillsynsbegäran mail.docx", "A 3395-2023")</f>
        <v/>
      </c>
    </row>
    <row r="79" ht="15" customHeight="1">
      <c r="A79" t="inlineStr">
        <is>
          <t>A 3397-2023</t>
        </is>
      </c>
      <c r="B79" s="1" t="n">
        <v>44949</v>
      </c>
      <c r="C79" s="1" t="n">
        <v>46189</v>
      </c>
      <c r="D79" t="inlineStr">
        <is>
          <t>ÖSTERGÖTLANDS LÄN</t>
        </is>
      </c>
      <c r="E79" t="inlineStr">
        <is>
          <t>LINKÖPING</t>
        </is>
      </c>
      <c r="G79" t="n">
        <v>4.1</v>
      </c>
      <c r="H79" t="n">
        <v>0</v>
      </c>
      <c r="I79" t="n">
        <v>0</v>
      </c>
      <c r="J79" t="n">
        <v>1</v>
      </c>
      <c r="K79" t="n">
        <v>0</v>
      </c>
      <c r="L79" t="n">
        <v>0</v>
      </c>
      <c r="M79" t="n">
        <v>0</v>
      </c>
      <c r="N79" t="n">
        <v>0</v>
      </c>
      <c r="O79" t="n">
        <v>1</v>
      </c>
      <c r="P79" t="n">
        <v>0</v>
      </c>
      <c r="Q79" t="n">
        <v>1</v>
      </c>
      <c r="R79" s="2" t="inlineStr">
        <is>
          <t>Svinrot</t>
        </is>
      </c>
      <c r="S79">
        <f>HYPERLINK("https://klasma.github.io/Logging_0580/artfynd/A 3397-2023 artfynd.xlsx", "A 3397-2023")</f>
        <v/>
      </c>
      <c r="T79">
        <f>HYPERLINK("https://klasma.github.io/Logging_0580/kartor/A 3397-2023 karta.png", "A 3397-2023")</f>
        <v/>
      </c>
      <c r="V79">
        <f>HYPERLINK("https://klasma.github.io/Logging_0580/klagomål/A 3397-2023 FSC-klagomål.docx", "A 3397-2023")</f>
        <v/>
      </c>
      <c r="W79">
        <f>HYPERLINK("https://klasma.github.io/Logging_0580/klagomålsmail/A 3397-2023 FSC-klagomål mail.docx", "A 3397-2023")</f>
        <v/>
      </c>
      <c r="X79">
        <f>HYPERLINK("https://klasma.github.io/Logging_0580/tillsyn/A 3397-2023 tillsynsbegäran.docx", "A 3397-2023")</f>
        <v/>
      </c>
      <c r="Y79">
        <f>HYPERLINK("https://klasma.github.io/Logging_0580/tillsynsmail/A 3397-2023 tillsynsbegäran mail.docx", "A 3397-2023")</f>
        <v/>
      </c>
    </row>
    <row r="80" ht="15" customHeight="1">
      <c r="A80" t="inlineStr">
        <is>
          <t>A 41749-2023</t>
        </is>
      </c>
      <c r="B80" s="1" t="n">
        <v>45176</v>
      </c>
      <c r="C80" s="1" t="n">
        <v>46189</v>
      </c>
      <c r="D80" t="inlineStr">
        <is>
          <t>ÖSTERGÖTLANDS LÄN</t>
        </is>
      </c>
      <c r="E80" t="inlineStr">
        <is>
          <t>LINKÖPING</t>
        </is>
      </c>
      <c r="G80" t="n">
        <v>3.6</v>
      </c>
      <c r="H80" t="n">
        <v>0</v>
      </c>
      <c r="I80" t="n">
        <v>0</v>
      </c>
      <c r="J80" t="n">
        <v>1</v>
      </c>
      <c r="K80" t="n">
        <v>0</v>
      </c>
      <c r="L80" t="n">
        <v>0</v>
      </c>
      <c r="M80" t="n">
        <v>0</v>
      </c>
      <c r="N80" t="n">
        <v>0</v>
      </c>
      <c r="O80" t="n">
        <v>1</v>
      </c>
      <c r="P80" t="n">
        <v>0</v>
      </c>
      <c r="Q80" t="n">
        <v>1</v>
      </c>
      <c r="R80" s="2" t="inlineStr">
        <is>
          <t>Svinrot</t>
        </is>
      </c>
      <c r="S80">
        <f>HYPERLINK("https://klasma.github.io/Logging_0580/artfynd/A 41749-2023 artfynd.xlsx", "A 41749-2023")</f>
        <v/>
      </c>
      <c r="T80">
        <f>HYPERLINK("https://klasma.github.io/Logging_0580/kartor/A 41749-2023 karta.png", "A 41749-2023")</f>
        <v/>
      </c>
      <c r="V80">
        <f>HYPERLINK("https://klasma.github.io/Logging_0580/klagomål/A 41749-2023 FSC-klagomål.docx", "A 41749-2023")</f>
        <v/>
      </c>
      <c r="W80">
        <f>HYPERLINK("https://klasma.github.io/Logging_0580/klagomålsmail/A 41749-2023 FSC-klagomål mail.docx", "A 41749-2023")</f>
        <v/>
      </c>
      <c r="X80">
        <f>HYPERLINK("https://klasma.github.io/Logging_0580/tillsyn/A 41749-2023 tillsynsbegäran.docx", "A 41749-2023")</f>
        <v/>
      </c>
      <c r="Y80">
        <f>HYPERLINK("https://klasma.github.io/Logging_0580/tillsynsmail/A 41749-2023 tillsynsbegäran mail.docx", "A 41749-2023")</f>
        <v/>
      </c>
    </row>
    <row r="81" ht="15" customHeight="1">
      <c r="A81" t="inlineStr">
        <is>
          <t>A 60311-2025</t>
        </is>
      </c>
      <c r="B81" s="1" t="n">
        <v>45994</v>
      </c>
      <c r="C81" s="1" t="n">
        <v>46189</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25262-2026</t>
        </is>
      </c>
      <c r="B82" s="1" t="n">
        <v>46175</v>
      </c>
      <c r="C82" s="1" t="n">
        <v>46189</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Gullklöver</t>
        </is>
      </c>
      <c r="S82">
        <f>HYPERLINK("https://klasma.github.io/Logging_0580/artfynd/A 25262-2026 artfynd.xlsx", "A 25262-2026")</f>
        <v/>
      </c>
      <c r="T82">
        <f>HYPERLINK("https://klasma.github.io/Logging_0580/kartor/A 25262-2026 karta.png", "A 25262-2026")</f>
        <v/>
      </c>
      <c r="V82">
        <f>HYPERLINK("https://klasma.github.io/Logging_0580/klagomål/A 25262-2026 FSC-klagomål.docx", "A 25262-2026")</f>
        <v/>
      </c>
      <c r="W82">
        <f>HYPERLINK("https://klasma.github.io/Logging_0580/klagomålsmail/A 25262-2026 FSC-klagomål mail.docx", "A 25262-2026")</f>
        <v/>
      </c>
      <c r="X82">
        <f>HYPERLINK("https://klasma.github.io/Logging_0580/tillsyn/A 25262-2026 tillsynsbegäran.docx", "A 25262-2026")</f>
        <v/>
      </c>
      <c r="Y82">
        <f>HYPERLINK("https://klasma.github.io/Logging_0580/tillsynsmail/A 25262-2026 tillsynsbegäran mail.docx", "A 25262-2026")</f>
        <v/>
      </c>
    </row>
    <row r="83" ht="15" customHeight="1">
      <c r="A83" t="inlineStr">
        <is>
          <t>A 15290-2025</t>
        </is>
      </c>
      <c r="B83" s="1" t="n">
        <v>45745.45288194445</v>
      </c>
      <c r="C83" s="1" t="n">
        <v>46189</v>
      </c>
      <c r="D83" t="inlineStr">
        <is>
          <t>ÖSTERGÖTLANDS LÄN</t>
        </is>
      </c>
      <c r="E83" t="inlineStr">
        <is>
          <t>LINKÖPING</t>
        </is>
      </c>
      <c r="G83" t="n">
        <v>18.4</v>
      </c>
      <c r="H83" t="n">
        <v>1</v>
      </c>
      <c r="I83" t="n">
        <v>0</v>
      </c>
      <c r="J83" t="n">
        <v>1</v>
      </c>
      <c r="K83" t="n">
        <v>0</v>
      </c>
      <c r="L83" t="n">
        <v>0</v>
      </c>
      <c r="M83" t="n">
        <v>0</v>
      </c>
      <c r="N83" t="n">
        <v>0</v>
      </c>
      <c r="O83" t="n">
        <v>1</v>
      </c>
      <c r="P83" t="n">
        <v>0</v>
      </c>
      <c r="Q83" t="n">
        <v>1</v>
      </c>
      <c r="R83" s="2" t="inlineStr">
        <is>
          <t>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48298-2025</t>
        </is>
      </c>
      <c r="B84" s="1" t="n">
        <v>45932</v>
      </c>
      <c r="C84" s="1" t="n">
        <v>46189</v>
      </c>
      <c r="D84" t="inlineStr">
        <is>
          <t>ÖSTERGÖTLANDS LÄN</t>
        </is>
      </c>
      <c r="E84" t="inlineStr">
        <is>
          <t>LINKÖPING</t>
        </is>
      </c>
      <c r="F84" t="inlineStr">
        <is>
          <t>Övriga Aktiebolag</t>
        </is>
      </c>
      <c r="G84" t="n">
        <v>1.7</v>
      </c>
      <c r="H84" t="n">
        <v>0</v>
      </c>
      <c r="I84" t="n">
        <v>1</v>
      </c>
      <c r="J84" t="n">
        <v>0</v>
      </c>
      <c r="K84" t="n">
        <v>0</v>
      </c>
      <c r="L84" t="n">
        <v>0</v>
      </c>
      <c r="M84" t="n">
        <v>0</v>
      </c>
      <c r="N84" t="n">
        <v>0</v>
      </c>
      <c r="O84" t="n">
        <v>0</v>
      </c>
      <c r="P84" t="n">
        <v>0</v>
      </c>
      <c r="Q84" t="n">
        <v>1</v>
      </c>
      <c r="R84" s="2" t="inlineStr">
        <is>
          <t>Västlig hakmossa</t>
        </is>
      </c>
      <c r="S84">
        <f>HYPERLINK("https://klasma.github.io/Logging_0580/artfynd/A 48298-2025 artfynd.xlsx", "A 48298-2025")</f>
        <v/>
      </c>
      <c r="T84">
        <f>HYPERLINK("https://klasma.github.io/Logging_0580/kartor/A 48298-2025 karta.png", "A 48298-2025")</f>
        <v/>
      </c>
      <c r="V84">
        <f>HYPERLINK("https://klasma.github.io/Logging_0580/klagomål/A 48298-2025 FSC-klagomål.docx", "A 48298-2025")</f>
        <v/>
      </c>
      <c r="W84">
        <f>HYPERLINK("https://klasma.github.io/Logging_0580/klagomålsmail/A 48298-2025 FSC-klagomål mail.docx", "A 48298-2025")</f>
        <v/>
      </c>
      <c r="X84">
        <f>HYPERLINK("https://klasma.github.io/Logging_0580/tillsyn/A 48298-2025 tillsynsbegäran.docx", "A 48298-2025")</f>
        <v/>
      </c>
      <c r="Y84">
        <f>HYPERLINK("https://klasma.github.io/Logging_0580/tillsynsmail/A 48298-2025 tillsynsbegäran mail.docx", "A 48298-2025")</f>
        <v/>
      </c>
    </row>
    <row r="85" ht="15" customHeight="1">
      <c r="A85" t="inlineStr">
        <is>
          <t>A 27403-2025</t>
        </is>
      </c>
      <c r="B85" s="1" t="n">
        <v>45812.72518518518</v>
      </c>
      <c r="C85" s="1" t="n">
        <v>46189</v>
      </c>
      <c r="D85" t="inlineStr">
        <is>
          <t>ÖSTERGÖTLANDS LÄN</t>
        </is>
      </c>
      <c r="E85" t="inlineStr">
        <is>
          <t>LINKÖPING</t>
        </is>
      </c>
      <c r="G85" t="n">
        <v>1.4</v>
      </c>
      <c r="H85" t="n">
        <v>0</v>
      </c>
      <c r="I85" t="n">
        <v>0</v>
      </c>
      <c r="J85" t="n">
        <v>1</v>
      </c>
      <c r="K85" t="n">
        <v>0</v>
      </c>
      <c r="L85" t="n">
        <v>0</v>
      </c>
      <c r="M85" t="n">
        <v>0</v>
      </c>
      <c r="N85" t="n">
        <v>0</v>
      </c>
      <c r="O85" t="n">
        <v>1</v>
      </c>
      <c r="P85" t="n">
        <v>0</v>
      </c>
      <c r="Q85" t="n">
        <v>1</v>
      </c>
      <c r="R85" s="2" t="inlineStr">
        <is>
          <t>Tallticka</t>
        </is>
      </c>
      <c r="S85">
        <f>HYPERLINK("https://klasma.github.io/Logging_0580/artfynd/A 27403-2025 artfynd.xlsx", "A 27403-2025")</f>
        <v/>
      </c>
      <c r="T85">
        <f>HYPERLINK("https://klasma.github.io/Logging_0580/kartor/A 27403-2025 karta.png", "A 27403-2025")</f>
        <v/>
      </c>
      <c r="V85">
        <f>HYPERLINK("https://klasma.github.io/Logging_0580/klagomål/A 27403-2025 FSC-klagomål.docx", "A 27403-2025")</f>
        <v/>
      </c>
      <c r="W85">
        <f>HYPERLINK("https://klasma.github.io/Logging_0580/klagomålsmail/A 27403-2025 FSC-klagomål mail.docx", "A 27403-2025")</f>
        <v/>
      </c>
      <c r="X85">
        <f>HYPERLINK("https://klasma.github.io/Logging_0580/tillsyn/A 27403-2025 tillsynsbegäran.docx", "A 27403-2025")</f>
        <v/>
      </c>
      <c r="Y85">
        <f>HYPERLINK("https://klasma.github.io/Logging_0580/tillsynsmail/A 27403-2025 tillsynsbegäran mail.docx", "A 27403-2025")</f>
        <v/>
      </c>
    </row>
    <row r="86" ht="15" customHeight="1">
      <c r="A86" t="inlineStr">
        <is>
          <t>A 25901-2026</t>
        </is>
      </c>
      <c r="B86" s="1" t="n">
        <v>46178.65866898148</v>
      </c>
      <c r="C86" s="1" t="n">
        <v>46189</v>
      </c>
      <c r="D86" t="inlineStr">
        <is>
          <t>ÖSTERGÖTLANDS LÄN</t>
        </is>
      </c>
      <c r="E86" t="inlineStr">
        <is>
          <t>LINKÖPING</t>
        </is>
      </c>
      <c r="G86" t="n">
        <v>4.9</v>
      </c>
      <c r="H86" t="n">
        <v>1</v>
      </c>
      <c r="I86" t="n">
        <v>1</v>
      </c>
      <c r="J86" t="n">
        <v>0</v>
      </c>
      <c r="K86" t="n">
        <v>0</v>
      </c>
      <c r="L86" t="n">
        <v>0</v>
      </c>
      <c r="M86" t="n">
        <v>0</v>
      </c>
      <c r="N86" t="n">
        <v>0</v>
      </c>
      <c r="O86" t="n">
        <v>0</v>
      </c>
      <c r="P86" t="n">
        <v>0</v>
      </c>
      <c r="Q86" t="n">
        <v>1</v>
      </c>
      <c r="R86" s="2" t="inlineStr">
        <is>
          <t>Skogsknipprot</t>
        </is>
      </c>
      <c r="S86">
        <f>HYPERLINK("https://klasma.github.io/Logging_0580/artfynd/A 25901-2026 artfynd.xlsx", "A 25901-2026")</f>
        <v/>
      </c>
      <c r="T86">
        <f>HYPERLINK("https://klasma.github.io/Logging_0580/kartor/A 25901-2026 karta.png", "A 25901-2026")</f>
        <v/>
      </c>
      <c r="V86">
        <f>HYPERLINK("https://klasma.github.io/Logging_0580/klagomål/A 25901-2026 FSC-klagomål.docx", "A 25901-2026")</f>
        <v/>
      </c>
      <c r="W86">
        <f>HYPERLINK("https://klasma.github.io/Logging_0580/klagomålsmail/A 25901-2026 FSC-klagomål mail.docx", "A 25901-2026")</f>
        <v/>
      </c>
      <c r="X86">
        <f>HYPERLINK("https://klasma.github.io/Logging_0580/tillsyn/A 25901-2026 tillsynsbegäran.docx", "A 25901-2026")</f>
        <v/>
      </c>
      <c r="Y86">
        <f>HYPERLINK("https://klasma.github.io/Logging_0580/tillsynsmail/A 25901-2026 tillsynsbegäran mail.docx", "A 25901-2026")</f>
        <v/>
      </c>
    </row>
    <row r="87" ht="15" customHeight="1">
      <c r="A87" t="inlineStr">
        <is>
          <t>A 36723-2023</t>
        </is>
      </c>
      <c r="B87" s="1" t="n">
        <v>45153</v>
      </c>
      <c r="C87" s="1" t="n">
        <v>46189</v>
      </c>
      <c r="D87" t="inlineStr">
        <is>
          <t>ÖSTERGÖTLANDS LÄN</t>
        </is>
      </c>
      <c r="E87" t="inlineStr">
        <is>
          <t>LINKÖPING</t>
        </is>
      </c>
      <c r="F87" t="inlineStr">
        <is>
          <t>Allmännings- och besparingsskogar</t>
        </is>
      </c>
      <c r="G87" t="n">
        <v>9.9</v>
      </c>
      <c r="H87" t="n">
        <v>0</v>
      </c>
      <c r="I87" t="n">
        <v>0</v>
      </c>
      <c r="J87" t="n">
        <v>0</v>
      </c>
      <c r="K87" t="n">
        <v>1</v>
      </c>
      <c r="L87" t="n">
        <v>0</v>
      </c>
      <c r="M87" t="n">
        <v>0</v>
      </c>
      <c r="N87" t="n">
        <v>0</v>
      </c>
      <c r="O87" t="n">
        <v>1</v>
      </c>
      <c r="P87" t="n">
        <v>1</v>
      </c>
      <c r="Q87" t="n">
        <v>1</v>
      </c>
      <c r="R87" s="2" t="inlineStr">
        <is>
          <t>Bitter taggsvamp</t>
        </is>
      </c>
      <c r="S87">
        <f>HYPERLINK("https://klasma.github.io/Logging_0580/artfynd/A 36723-2023 artfynd.xlsx", "A 36723-2023")</f>
        <v/>
      </c>
      <c r="T87">
        <f>HYPERLINK("https://klasma.github.io/Logging_0580/kartor/A 36723-2023 karta.png", "A 36723-2023")</f>
        <v/>
      </c>
      <c r="V87">
        <f>HYPERLINK("https://klasma.github.io/Logging_0580/klagomål/A 36723-2023 FSC-klagomål.docx", "A 36723-2023")</f>
        <v/>
      </c>
      <c r="W87">
        <f>HYPERLINK("https://klasma.github.io/Logging_0580/klagomålsmail/A 36723-2023 FSC-klagomål mail.docx", "A 36723-2023")</f>
        <v/>
      </c>
      <c r="X87">
        <f>HYPERLINK("https://klasma.github.io/Logging_0580/tillsyn/A 36723-2023 tillsynsbegäran.docx", "A 36723-2023")</f>
        <v/>
      </c>
      <c r="Y87">
        <f>HYPERLINK("https://klasma.github.io/Logging_0580/tillsynsmail/A 36723-2023 tillsynsbegäran mail.docx", "A 36723-2023")</f>
        <v/>
      </c>
    </row>
    <row r="88" ht="15" customHeight="1">
      <c r="A88" t="inlineStr">
        <is>
          <t>A 38881-2021</t>
        </is>
      </c>
      <c r="B88" s="1" t="n">
        <v>44411.46893518518</v>
      </c>
      <c r="C88" s="1" t="n">
        <v>46189</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46189</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46189</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46189</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46189</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46189</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46189</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46189</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46189</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46189</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46189</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46189</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46189</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46189</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60639-2021</t>
        </is>
      </c>
      <c r="B102" s="1" t="n">
        <v>44496</v>
      </c>
      <c r="C102" s="1" t="n">
        <v>46189</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46189</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46189</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46189</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46189</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44054-2021</t>
        </is>
      </c>
      <c r="B107" s="1" t="n">
        <v>44434</v>
      </c>
      <c r="C107" s="1" t="n">
        <v>46189</v>
      </c>
      <c r="D107" t="inlineStr">
        <is>
          <t>ÖSTERGÖTLANDS LÄN</t>
        </is>
      </c>
      <c r="E107" t="inlineStr">
        <is>
          <t>LINKÖPING</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46189</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46189</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46189</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17497-2022</t>
        </is>
      </c>
      <c r="B111" s="1" t="n">
        <v>44679</v>
      </c>
      <c r="C111" s="1" t="n">
        <v>46189</v>
      </c>
      <c r="D111" t="inlineStr">
        <is>
          <t>ÖSTERGÖTLANDS LÄN</t>
        </is>
      </c>
      <c r="E111" t="inlineStr">
        <is>
          <t>LINKÖPING</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17500-2022</t>
        </is>
      </c>
      <c r="B112" s="1" t="n">
        <v>44679</v>
      </c>
      <c r="C112" s="1" t="n">
        <v>46189</v>
      </c>
      <c r="D112" t="inlineStr">
        <is>
          <t>ÖSTERGÖTLANDS LÄN</t>
        </is>
      </c>
      <c r="E112" t="inlineStr">
        <is>
          <t>LINKÖPING</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32000-2022</t>
        </is>
      </c>
      <c r="B113" s="1" t="n">
        <v>44777</v>
      </c>
      <c r="C113" s="1" t="n">
        <v>46189</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46189</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49791-2021</t>
        </is>
      </c>
      <c r="B115" s="1" t="n">
        <v>44455.59368055555</v>
      </c>
      <c r="C115" s="1" t="n">
        <v>46189</v>
      </c>
      <c r="D115" t="inlineStr">
        <is>
          <t>ÖSTERGÖTLANDS LÄN</t>
        </is>
      </c>
      <c r="E115" t="inlineStr">
        <is>
          <t>LINKÖPING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37012-2021</t>
        </is>
      </c>
      <c r="B116" s="1" t="n">
        <v>44393</v>
      </c>
      <c r="C116" s="1" t="n">
        <v>46189</v>
      </c>
      <c r="D116" t="inlineStr">
        <is>
          <t>ÖSTERGÖTLANDS LÄN</t>
        </is>
      </c>
      <c r="E116" t="inlineStr">
        <is>
          <t>LINKÖPING</t>
        </is>
      </c>
      <c r="F116" t="inlineStr">
        <is>
          <t>Allmännings- och besparingsskogar</t>
        </is>
      </c>
      <c r="G116" t="n">
        <v>1.1</v>
      </c>
      <c r="H116" t="n">
        <v>0</v>
      </c>
      <c r="I116" t="n">
        <v>0</v>
      </c>
      <c r="J116" t="n">
        <v>0</v>
      </c>
      <c r="K116" t="n">
        <v>0</v>
      </c>
      <c r="L116" t="n">
        <v>0</v>
      </c>
      <c r="M116" t="n">
        <v>0</v>
      </c>
      <c r="N116" t="n">
        <v>0</v>
      </c>
      <c r="O116" t="n">
        <v>0</v>
      </c>
      <c r="P116" t="n">
        <v>0</v>
      </c>
      <c r="Q116" t="n">
        <v>0</v>
      </c>
      <c r="R116" s="2" t="inlineStr"/>
    </row>
    <row r="117" ht="15" customHeight="1">
      <c r="A117" t="inlineStr">
        <is>
          <t>A 29470-2022</t>
        </is>
      </c>
      <c r="B117" s="1" t="n">
        <v>44753</v>
      </c>
      <c r="C117" s="1" t="n">
        <v>46189</v>
      </c>
      <c r="D117" t="inlineStr">
        <is>
          <t>ÖSTERGÖTLANDS LÄN</t>
        </is>
      </c>
      <c r="E117" t="inlineStr">
        <is>
          <t>LINKÖPING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46730-2021</t>
        </is>
      </c>
      <c r="B118" s="1" t="n">
        <v>44445</v>
      </c>
      <c r="C118" s="1" t="n">
        <v>46189</v>
      </c>
      <c r="D118" t="inlineStr">
        <is>
          <t>ÖSTERGÖTLANDS LÄN</t>
        </is>
      </c>
      <c r="E118" t="inlineStr">
        <is>
          <t>LINKÖPING</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34487-2021</t>
        </is>
      </c>
      <c r="B119" s="1" t="n">
        <v>44382.29873842592</v>
      </c>
      <c r="C119" s="1" t="n">
        <v>46189</v>
      </c>
      <c r="D119" t="inlineStr">
        <is>
          <t>ÖSTERGÖTLANDS LÄN</t>
        </is>
      </c>
      <c r="E119" t="inlineStr">
        <is>
          <t>LINKÖPING</t>
        </is>
      </c>
      <c r="G119" t="n">
        <v>7.5</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46189</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46189</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58258-2021</t>
        </is>
      </c>
      <c r="B122" s="1" t="n">
        <v>44487</v>
      </c>
      <c r="C122" s="1" t="n">
        <v>46189</v>
      </c>
      <c r="D122" t="inlineStr">
        <is>
          <t>ÖSTERGÖTLANDS LÄN</t>
        </is>
      </c>
      <c r="E122" t="inlineStr">
        <is>
          <t>LINKÖPING</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58287-2021</t>
        </is>
      </c>
      <c r="B123" s="1" t="n">
        <v>44487</v>
      </c>
      <c r="C123" s="1" t="n">
        <v>46189</v>
      </c>
      <c r="D123" t="inlineStr">
        <is>
          <t>ÖSTERGÖTLANDS LÄN</t>
        </is>
      </c>
      <c r="E123" t="inlineStr">
        <is>
          <t>LINKÖPING</t>
        </is>
      </c>
      <c r="F123" t="inlineStr">
        <is>
          <t>Övriga Aktiebolag</t>
        </is>
      </c>
      <c r="G123" t="n">
        <v>1.5</v>
      </c>
      <c r="H123" t="n">
        <v>0</v>
      </c>
      <c r="I123" t="n">
        <v>0</v>
      </c>
      <c r="J123" t="n">
        <v>0</v>
      </c>
      <c r="K123" t="n">
        <v>0</v>
      </c>
      <c r="L123" t="n">
        <v>0</v>
      </c>
      <c r="M123" t="n">
        <v>0</v>
      </c>
      <c r="N123" t="n">
        <v>0</v>
      </c>
      <c r="O123" t="n">
        <v>0</v>
      </c>
      <c r="P123" t="n">
        <v>0</v>
      </c>
      <c r="Q123" t="n">
        <v>0</v>
      </c>
      <c r="R123" s="2" t="inlineStr"/>
    </row>
    <row r="124" ht="15" customHeight="1">
      <c r="A124" t="inlineStr">
        <is>
          <t>A 53660-2021</t>
        </is>
      </c>
      <c r="B124" s="1" t="n">
        <v>44469</v>
      </c>
      <c r="C124" s="1" t="n">
        <v>46189</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52966-2021</t>
        </is>
      </c>
      <c r="B125" s="1" t="n">
        <v>44467</v>
      </c>
      <c r="C125" s="1" t="n">
        <v>46189</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38130-2021</t>
        </is>
      </c>
      <c r="B126" s="1" t="n">
        <v>44405</v>
      </c>
      <c r="C126" s="1" t="n">
        <v>46189</v>
      </c>
      <c r="D126" t="inlineStr">
        <is>
          <t>ÖSTERGÖTLANDS LÄN</t>
        </is>
      </c>
      <c r="E126" t="inlineStr">
        <is>
          <t>LINKÖPING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40527-2022</t>
        </is>
      </c>
      <c r="B127" s="1" t="n">
        <v>44823</v>
      </c>
      <c r="C127" s="1" t="n">
        <v>46189</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46189</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46189</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46189</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46189</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46189</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46189</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46189</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19318-2022</t>
        </is>
      </c>
      <c r="B135" s="1" t="n">
        <v>44692.5827662037</v>
      </c>
      <c r="C135" s="1" t="n">
        <v>46189</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36341-2022</t>
        </is>
      </c>
      <c r="B136" s="1" t="n">
        <v>44803</v>
      </c>
      <c r="C136" s="1" t="n">
        <v>46189</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54467-2022</t>
        </is>
      </c>
      <c r="B137" s="1" t="n">
        <v>44882</v>
      </c>
      <c r="C137" s="1" t="n">
        <v>46189</v>
      </c>
      <c r="D137" t="inlineStr">
        <is>
          <t>ÖSTERGÖTLANDS LÄN</t>
        </is>
      </c>
      <c r="E137" t="inlineStr">
        <is>
          <t>LINKÖPING</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4240-2022</t>
        </is>
      </c>
      <c r="B138" s="1" t="n">
        <v>44588</v>
      </c>
      <c r="C138" s="1" t="n">
        <v>46189</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46189</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27666-2022</t>
        </is>
      </c>
      <c r="B140" s="1" t="n">
        <v>44743.39017361111</v>
      </c>
      <c r="C140" s="1" t="n">
        <v>46189</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46189</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46189</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46189</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46189</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44849-2022</t>
        </is>
      </c>
      <c r="B145" s="1" t="n">
        <v>44841</v>
      </c>
      <c r="C145" s="1" t="n">
        <v>46189</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70835-2021</t>
        </is>
      </c>
      <c r="B146" s="1" t="n">
        <v>44537</v>
      </c>
      <c r="C146" s="1" t="n">
        <v>46189</v>
      </c>
      <c r="D146" t="inlineStr">
        <is>
          <t>ÖSTERGÖTLANDS LÄN</t>
        </is>
      </c>
      <c r="E146" t="inlineStr">
        <is>
          <t>LINKÖPING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46189</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46189</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46189</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46189</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67912-2021</t>
        </is>
      </c>
      <c r="B151" s="1" t="n">
        <v>44525</v>
      </c>
      <c r="C151" s="1" t="n">
        <v>46189</v>
      </c>
      <c r="D151" t="inlineStr">
        <is>
          <t>ÖSTERGÖTLANDS LÄN</t>
        </is>
      </c>
      <c r="E151" t="inlineStr">
        <is>
          <t>LINKÖPING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67940-2021</t>
        </is>
      </c>
      <c r="B152" s="1" t="n">
        <v>44525.62849537037</v>
      </c>
      <c r="C152" s="1" t="n">
        <v>46189</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46189</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46189</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46189</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5605-2022</t>
        </is>
      </c>
      <c r="B156" s="1" t="n">
        <v>44595</v>
      </c>
      <c r="C156" s="1" t="n">
        <v>46189</v>
      </c>
      <c r="D156" t="inlineStr">
        <is>
          <t>ÖSTERGÖTLANDS LÄN</t>
        </is>
      </c>
      <c r="E156" t="inlineStr">
        <is>
          <t>LINKÖPING</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23416-2022</t>
        </is>
      </c>
      <c r="B157" s="1" t="n">
        <v>44720.78243055556</v>
      </c>
      <c r="C157" s="1" t="n">
        <v>46189</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56688-2021</t>
        </is>
      </c>
      <c r="B158" s="1" t="n">
        <v>44481</v>
      </c>
      <c r="C158" s="1" t="n">
        <v>46189</v>
      </c>
      <c r="D158" t="inlineStr">
        <is>
          <t>ÖSTERGÖTLANDS LÄN</t>
        </is>
      </c>
      <c r="E158" t="inlineStr">
        <is>
          <t>LINKÖPING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27769-2022</t>
        </is>
      </c>
      <c r="B159" s="1" t="n">
        <v>44743.53200231482</v>
      </c>
      <c r="C159" s="1" t="n">
        <v>46189</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33891-2021</t>
        </is>
      </c>
      <c r="B160" s="1" t="n">
        <v>44378</v>
      </c>
      <c r="C160" s="1" t="n">
        <v>46189</v>
      </c>
      <c r="D160" t="inlineStr">
        <is>
          <t>ÖSTERGÖTLANDS LÄN</t>
        </is>
      </c>
      <c r="E160" t="inlineStr">
        <is>
          <t>LINKÖPING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61153-2021</t>
        </is>
      </c>
      <c r="B161" s="1" t="n">
        <v>44497</v>
      </c>
      <c r="C161" s="1" t="n">
        <v>46189</v>
      </c>
      <c r="D161" t="inlineStr">
        <is>
          <t>ÖSTERGÖTLANDS LÄN</t>
        </is>
      </c>
      <c r="E161" t="inlineStr">
        <is>
          <t>LINKÖPING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33885-2021</t>
        </is>
      </c>
      <c r="B162" s="1" t="n">
        <v>44378</v>
      </c>
      <c r="C162" s="1" t="n">
        <v>46189</v>
      </c>
      <c r="D162" t="inlineStr">
        <is>
          <t>ÖSTERGÖTLANDS LÄN</t>
        </is>
      </c>
      <c r="E162" t="inlineStr">
        <is>
          <t>LINKÖPING</t>
        </is>
      </c>
      <c r="G162" t="n">
        <v>3.5</v>
      </c>
      <c r="H162" t="n">
        <v>0</v>
      </c>
      <c r="I162" t="n">
        <v>0</v>
      </c>
      <c r="J162" t="n">
        <v>0</v>
      </c>
      <c r="K162" t="n">
        <v>0</v>
      </c>
      <c r="L162" t="n">
        <v>0</v>
      </c>
      <c r="M162" t="n">
        <v>0</v>
      </c>
      <c r="N162" t="n">
        <v>0</v>
      </c>
      <c r="O162" t="n">
        <v>0</v>
      </c>
      <c r="P162" t="n">
        <v>0</v>
      </c>
      <c r="Q162" t="n">
        <v>0</v>
      </c>
      <c r="R162" s="2" t="inlineStr"/>
    </row>
    <row r="163" ht="15" customHeight="1">
      <c r="A163" t="inlineStr">
        <is>
          <t>A 46490-2022</t>
        </is>
      </c>
      <c r="B163" s="1" t="n">
        <v>44848</v>
      </c>
      <c r="C163" s="1" t="n">
        <v>46189</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34486-2021</t>
        </is>
      </c>
      <c r="B164" s="1" t="n">
        <v>44382.29295138889</v>
      </c>
      <c r="C164" s="1" t="n">
        <v>46189</v>
      </c>
      <c r="D164" t="inlineStr">
        <is>
          <t>ÖSTERGÖTLANDS LÄN</t>
        </is>
      </c>
      <c r="E164" t="inlineStr">
        <is>
          <t>LINKÖPING</t>
        </is>
      </c>
      <c r="G164" t="n">
        <v>4.4</v>
      </c>
      <c r="H164" t="n">
        <v>0</v>
      </c>
      <c r="I164" t="n">
        <v>0</v>
      </c>
      <c r="J164" t="n">
        <v>0</v>
      </c>
      <c r="K164" t="n">
        <v>0</v>
      </c>
      <c r="L164" t="n">
        <v>0</v>
      </c>
      <c r="M164" t="n">
        <v>0</v>
      </c>
      <c r="N164" t="n">
        <v>0</v>
      </c>
      <c r="O164" t="n">
        <v>0</v>
      </c>
      <c r="P164" t="n">
        <v>0</v>
      </c>
      <c r="Q164" t="n">
        <v>0</v>
      </c>
      <c r="R164" s="2" t="inlineStr"/>
    </row>
    <row r="165" ht="15" customHeight="1">
      <c r="A165" t="inlineStr">
        <is>
          <t>A 31732-2022</t>
        </is>
      </c>
      <c r="B165" s="1" t="n">
        <v>44776.49267361111</v>
      </c>
      <c r="C165" s="1" t="n">
        <v>46189</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46189</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41426-2022</t>
        </is>
      </c>
      <c r="B167" s="1" t="n">
        <v>44826</v>
      </c>
      <c r="C167" s="1" t="n">
        <v>46189</v>
      </c>
      <c r="D167" t="inlineStr">
        <is>
          <t>ÖSTERGÖTLANDS LÄN</t>
        </is>
      </c>
      <c r="E167" t="inlineStr">
        <is>
          <t>LINKÖPING</t>
        </is>
      </c>
      <c r="G167" t="n">
        <v>3</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46189</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12412-2022</t>
        </is>
      </c>
      <c r="B169" s="1" t="n">
        <v>44638</v>
      </c>
      <c r="C169" s="1" t="n">
        <v>46189</v>
      </c>
      <c r="D169" t="inlineStr">
        <is>
          <t>ÖSTERGÖTLANDS LÄN</t>
        </is>
      </c>
      <c r="E169" t="inlineStr">
        <is>
          <t>LINKÖPING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61333-2021</t>
        </is>
      </c>
      <c r="B170" s="1" t="n">
        <v>44498.6764699074</v>
      </c>
      <c r="C170" s="1" t="n">
        <v>46189</v>
      </c>
      <c r="D170" t="inlineStr">
        <is>
          <t>ÖSTERGÖTLANDS LÄN</t>
        </is>
      </c>
      <c r="E170" t="inlineStr">
        <is>
          <t>LINKÖPING</t>
        </is>
      </c>
      <c r="G170" t="n">
        <v>7.5</v>
      </c>
      <c r="H170" t="n">
        <v>0</v>
      </c>
      <c r="I170" t="n">
        <v>0</v>
      </c>
      <c r="J170" t="n">
        <v>0</v>
      </c>
      <c r="K170" t="n">
        <v>0</v>
      </c>
      <c r="L170" t="n">
        <v>0</v>
      </c>
      <c r="M170" t="n">
        <v>0</v>
      </c>
      <c r="N170" t="n">
        <v>0</v>
      </c>
      <c r="O170" t="n">
        <v>0</v>
      </c>
      <c r="P170" t="n">
        <v>0</v>
      </c>
      <c r="Q170" t="n">
        <v>0</v>
      </c>
      <c r="R170" s="2" t="inlineStr"/>
    </row>
    <row r="171" ht="15" customHeight="1">
      <c r="A171" t="inlineStr">
        <is>
          <t>A 32255-2021</t>
        </is>
      </c>
      <c r="B171" s="1" t="n">
        <v>44371.45949074074</v>
      </c>
      <c r="C171" s="1" t="n">
        <v>46189</v>
      </c>
      <c r="D171" t="inlineStr">
        <is>
          <t>ÖSTERGÖTLANDS LÄN</t>
        </is>
      </c>
      <c r="E171" t="inlineStr">
        <is>
          <t>LINKÖPING</t>
        </is>
      </c>
      <c r="F171" t="inlineStr">
        <is>
          <t>Övriga Aktiebolag</t>
        </is>
      </c>
      <c r="G171" t="n">
        <v>1.1</v>
      </c>
      <c r="H171" t="n">
        <v>0</v>
      </c>
      <c r="I171" t="n">
        <v>0</v>
      </c>
      <c r="J171" t="n">
        <v>0</v>
      </c>
      <c r="K171" t="n">
        <v>0</v>
      </c>
      <c r="L171" t="n">
        <v>0</v>
      </c>
      <c r="M171" t="n">
        <v>0</v>
      </c>
      <c r="N171" t="n">
        <v>0</v>
      </c>
      <c r="O171" t="n">
        <v>0</v>
      </c>
      <c r="P171" t="n">
        <v>0</v>
      </c>
      <c r="Q171" t="n">
        <v>0</v>
      </c>
      <c r="R171" s="2" t="inlineStr"/>
    </row>
    <row r="172" ht="15" customHeight="1">
      <c r="A172" t="inlineStr">
        <is>
          <t>A 38235-2022</t>
        </is>
      </c>
      <c r="B172" s="1" t="n">
        <v>44812</v>
      </c>
      <c r="C172" s="1" t="n">
        <v>46189</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34880-2022</t>
        </is>
      </c>
      <c r="B173" s="1" t="n">
        <v>44796</v>
      </c>
      <c r="C173" s="1" t="n">
        <v>46189</v>
      </c>
      <c r="D173" t="inlineStr">
        <is>
          <t>ÖSTERGÖTLANDS LÄN</t>
        </is>
      </c>
      <c r="E173" t="inlineStr">
        <is>
          <t>LINKÖPING</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48042-2022</t>
        </is>
      </c>
      <c r="B174" s="1" t="n">
        <v>44855</v>
      </c>
      <c r="C174" s="1" t="n">
        <v>46189</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12035-2025</t>
        </is>
      </c>
      <c r="B175" s="1" t="n">
        <v>45728.64946759259</v>
      </c>
      <c r="C175" s="1" t="n">
        <v>46189</v>
      </c>
      <c r="D175" t="inlineStr">
        <is>
          <t>ÖSTERGÖTLANDS LÄN</t>
        </is>
      </c>
      <c r="E175" t="inlineStr">
        <is>
          <t>LINKÖPING</t>
        </is>
      </c>
      <c r="G175" t="n">
        <v>3.7</v>
      </c>
      <c r="H175" t="n">
        <v>0</v>
      </c>
      <c r="I175" t="n">
        <v>0</v>
      </c>
      <c r="J175" t="n">
        <v>0</v>
      </c>
      <c r="K175" t="n">
        <v>0</v>
      </c>
      <c r="L175" t="n">
        <v>0</v>
      </c>
      <c r="M175" t="n">
        <v>0</v>
      </c>
      <c r="N175" t="n">
        <v>0</v>
      </c>
      <c r="O175" t="n">
        <v>0</v>
      </c>
      <c r="P175" t="n">
        <v>0</v>
      </c>
      <c r="Q175" t="n">
        <v>0</v>
      </c>
      <c r="R175" s="2" t="inlineStr"/>
    </row>
    <row r="176" ht="15" customHeight="1">
      <c r="A176" t="inlineStr">
        <is>
          <t>A 39021-2021</t>
        </is>
      </c>
      <c r="B176" s="1" t="n">
        <v>44412</v>
      </c>
      <c r="C176" s="1" t="n">
        <v>46189</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10407-2025</t>
        </is>
      </c>
      <c r="B177" s="1" t="n">
        <v>45720.62863425926</v>
      </c>
      <c r="C177" s="1" t="n">
        <v>46189</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51484-2023</t>
        </is>
      </c>
      <c r="B178" s="1" t="n">
        <v>45222</v>
      </c>
      <c r="C178" s="1" t="n">
        <v>46189</v>
      </c>
      <c r="D178" t="inlineStr">
        <is>
          <t>ÖSTERGÖTLANDS LÄN</t>
        </is>
      </c>
      <c r="E178" t="inlineStr">
        <is>
          <t>LINKÖPING</t>
        </is>
      </c>
      <c r="F178" t="inlineStr">
        <is>
          <t>Övriga Aktiebolag</t>
        </is>
      </c>
      <c r="G178" t="n">
        <v>7.7</v>
      </c>
      <c r="H178" t="n">
        <v>0</v>
      </c>
      <c r="I178" t="n">
        <v>0</v>
      </c>
      <c r="J178" t="n">
        <v>0</v>
      </c>
      <c r="K178" t="n">
        <v>0</v>
      </c>
      <c r="L178" t="n">
        <v>0</v>
      </c>
      <c r="M178" t="n">
        <v>0</v>
      </c>
      <c r="N178" t="n">
        <v>0</v>
      </c>
      <c r="O178" t="n">
        <v>0</v>
      </c>
      <c r="P178" t="n">
        <v>0</v>
      </c>
      <c r="Q178" t="n">
        <v>0</v>
      </c>
      <c r="R178" s="2" t="inlineStr"/>
    </row>
    <row r="179" ht="15" customHeight="1">
      <c r="A179" t="inlineStr">
        <is>
          <t>A 63678-2023</t>
        </is>
      </c>
      <c r="B179" s="1" t="n">
        <v>45275.64769675926</v>
      </c>
      <c r="C179" s="1" t="n">
        <v>46189</v>
      </c>
      <c r="D179" t="inlineStr">
        <is>
          <t>ÖSTERGÖTLANDS LÄN</t>
        </is>
      </c>
      <c r="E179" t="inlineStr">
        <is>
          <t>LINKÖPING</t>
        </is>
      </c>
      <c r="F179" t="inlineStr">
        <is>
          <t>Övriga Aktiebolag</t>
        </is>
      </c>
      <c r="G179" t="n">
        <v>0.4</v>
      </c>
      <c r="H179" t="n">
        <v>0</v>
      </c>
      <c r="I179" t="n">
        <v>0</v>
      </c>
      <c r="J179" t="n">
        <v>0</v>
      </c>
      <c r="K179" t="n">
        <v>0</v>
      </c>
      <c r="L179" t="n">
        <v>0</v>
      </c>
      <c r="M179" t="n">
        <v>0</v>
      </c>
      <c r="N179" t="n">
        <v>0</v>
      </c>
      <c r="O179" t="n">
        <v>0</v>
      </c>
      <c r="P179" t="n">
        <v>0</v>
      </c>
      <c r="Q179" t="n">
        <v>0</v>
      </c>
      <c r="R179" s="2" t="inlineStr"/>
    </row>
    <row r="180" ht="15" customHeight="1">
      <c r="A180" t="inlineStr">
        <is>
          <t>A 63688-2023</t>
        </is>
      </c>
      <c r="B180" s="1" t="n">
        <v>45275</v>
      </c>
      <c r="C180" s="1" t="n">
        <v>46189</v>
      </c>
      <c r="D180" t="inlineStr">
        <is>
          <t>ÖSTERGÖTLANDS LÄN</t>
        </is>
      </c>
      <c r="E180" t="inlineStr">
        <is>
          <t>LINKÖPING</t>
        </is>
      </c>
      <c r="F180" t="inlineStr">
        <is>
          <t>Övriga Aktiebolag</t>
        </is>
      </c>
      <c r="G180" t="n">
        <v>2.4</v>
      </c>
      <c r="H180" t="n">
        <v>0</v>
      </c>
      <c r="I180" t="n">
        <v>0</v>
      </c>
      <c r="J180" t="n">
        <v>0</v>
      </c>
      <c r="K180" t="n">
        <v>0</v>
      </c>
      <c r="L180" t="n">
        <v>0</v>
      </c>
      <c r="M180" t="n">
        <v>0</v>
      </c>
      <c r="N180" t="n">
        <v>0</v>
      </c>
      <c r="O180" t="n">
        <v>0</v>
      </c>
      <c r="P180" t="n">
        <v>0</v>
      </c>
      <c r="Q180" t="n">
        <v>0</v>
      </c>
      <c r="R180" s="2" t="inlineStr"/>
    </row>
    <row r="181" ht="15" customHeight="1">
      <c r="A181" t="inlineStr">
        <is>
          <t>A 63691-2023</t>
        </is>
      </c>
      <c r="B181" s="1" t="n">
        <v>45275</v>
      </c>
      <c r="C181" s="1" t="n">
        <v>46189</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34557-2022</t>
        </is>
      </c>
      <c r="B182" s="1" t="n">
        <v>44794.57074074074</v>
      </c>
      <c r="C182" s="1" t="n">
        <v>46189</v>
      </c>
      <c r="D182" t="inlineStr">
        <is>
          <t>ÖSTERGÖTLANDS LÄN</t>
        </is>
      </c>
      <c r="E182" t="inlineStr">
        <is>
          <t>LINKÖPING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12428-2024</t>
        </is>
      </c>
      <c r="B183" s="1" t="n">
        <v>45379</v>
      </c>
      <c r="C183" s="1" t="n">
        <v>46189</v>
      </c>
      <c r="D183" t="inlineStr">
        <is>
          <t>ÖSTERGÖTLANDS LÄN</t>
        </is>
      </c>
      <c r="E183" t="inlineStr">
        <is>
          <t>LINKÖPING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13689-2025</t>
        </is>
      </c>
      <c r="B184" s="1" t="n">
        <v>45737.31590277778</v>
      </c>
      <c r="C184" s="1" t="n">
        <v>46189</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13696-2025</t>
        </is>
      </c>
      <c r="B185" s="1" t="n">
        <v>45737.32273148148</v>
      </c>
      <c r="C185" s="1" t="n">
        <v>46189</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9434-2024</t>
        </is>
      </c>
      <c r="B186" s="1" t="n">
        <v>45359</v>
      </c>
      <c r="C186" s="1" t="n">
        <v>46189</v>
      </c>
      <c r="D186" t="inlineStr">
        <is>
          <t>ÖSTERGÖTLANDS LÄN</t>
        </is>
      </c>
      <c r="E186" t="inlineStr">
        <is>
          <t>LINKÖPING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46225-2021</t>
        </is>
      </c>
      <c r="B187" s="1" t="n">
        <v>44442</v>
      </c>
      <c r="C187" s="1" t="n">
        <v>46189</v>
      </c>
      <c r="D187" t="inlineStr">
        <is>
          <t>ÖSTERGÖTLANDS LÄN</t>
        </is>
      </c>
      <c r="E187" t="inlineStr">
        <is>
          <t>LINKÖPING</t>
        </is>
      </c>
      <c r="G187" t="n">
        <v>2.9</v>
      </c>
      <c r="H187" t="n">
        <v>0</v>
      </c>
      <c r="I187" t="n">
        <v>0</v>
      </c>
      <c r="J187" t="n">
        <v>0</v>
      </c>
      <c r="K187" t="n">
        <v>0</v>
      </c>
      <c r="L187" t="n">
        <v>0</v>
      </c>
      <c r="M187" t="n">
        <v>0</v>
      </c>
      <c r="N187" t="n">
        <v>0</v>
      </c>
      <c r="O187" t="n">
        <v>0</v>
      </c>
      <c r="P187" t="n">
        <v>0</v>
      </c>
      <c r="Q187" t="n">
        <v>0</v>
      </c>
      <c r="R187" s="2" t="inlineStr"/>
    </row>
    <row r="188" ht="15" customHeight="1">
      <c r="A188" t="inlineStr">
        <is>
          <t>A 54428-2022</t>
        </is>
      </c>
      <c r="B188" s="1" t="n">
        <v>44882.57643518518</v>
      </c>
      <c r="C188" s="1" t="n">
        <v>46189</v>
      </c>
      <c r="D188" t="inlineStr">
        <is>
          <t>ÖSTERGÖTLANDS LÄN</t>
        </is>
      </c>
      <c r="E188" t="inlineStr">
        <is>
          <t>LINKÖPING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48962-2022</t>
        </is>
      </c>
      <c r="B189" s="1" t="n">
        <v>44860.31635416667</v>
      </c>
      <c r="C189" s="1" t="n">
        <v>46189</v>
      </c>
      <c r="D189" t="inlineStr">
        <is>
          <t>ÖSTERGÖTLANDS LÄN</t>
        </is>
      </c>
      <c r="E189" t="inlineStr">
        <is>
          <t>LINKÖPING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53647-2021</t>
        </is>
      </c>
      <c r="B190" s="1" t="n">
        <v>44469</v>
      </c>
      <c r="C190" s="1" t="n">
        <v>46189</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11790-2024</t>
        </is>
      </c>
      <c r="B191" s="1" t="n">
        <v>45374</v>
      </c>
      <c r="C191" s="1" t="n">
        <v>46189</v>
      </c>
      <c r="D191" t="inlineStr">
        <is>
          <t>ÖSTERGÖTLANDS LÄN</t>
        </is>
      </c>
      <c r="E191" t="inlineStr">
        <is>
          <t>LINKÖPING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18916-2024</t>
        </is>
      </c>
      <c r="B192" s="1" t="n">
        <v>45427.39541666667</v>
      </c>
      <c r="C192" s="1" t="n">
        <v>46189</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24586-2024</t>
        </is>
      </c>
      <c r="B193" s="1" t="n">
        <v>45460.46664351852</v>
      </c>
      <c r="C193" s="1" t="n">
        <v>46189</v>
      </c>
      <c r="D193" t="inlineStr">
        <is>
          <t>ÖSTERGÖTLANDS LÄN</t>
        </is>
      </c>
      <c r="E193" t="inlineStr">
        <is>
          <t>LINKÖPING</t>
        </is>
      </c>
      <c r="G193" t="n">
        <v>4</v>
      </c>
      <c r="H193" t="n">
        <v>0</v>
      </c>
      <c r="I193" t="n">
        <v>0</v>
      </c>
      <c r="J193" t="n">
        <v>0</v>
      </c>
      <c r="K193" t="n">
        <v>0</v>
      </c>
      <c r="L193" t="n">
        <v>0</v>
      </c>
      <c r="M193" t="n">
        <v>0</v>
      </c>
      <c r="N193" t="n">
        <v>0</v>
      </c>
      <c r="O193" t="n">
        <v>0</v>
      </c>
      <c r="P193" t="n">
        <v>0</v>
      </c>
      <c r="Q193" t="n">
        <v>0</v>
      </c>
      <c r="R193" s="2" t="inlineStr"/>
    </row>
    <row r="194" ht="15" customHeight="1">
      <c r="A194" t="inlineStr">
        <is>
          <t>A 17124-2025</t>
        </is>
      </c>
      <c r="B194" s="1" t="n">
        <v>45755.69678240741</v>
      </c>
      <c r="C194" s="1" t="n">
        <v>46189</v>
      </c>
      <c r="D194" t="inlineStr">
        <is>
          <t>ÖSTERGÖTLANDS LÄN</t>
        </is>
      </c>
      <c r="E194" t="inlineStr">
        <is>
          <t>LINKÖPING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17126-2025</t>
        </is>
      </c>
      <c r="B195" s="1" t="n">
        <v>45755.70814814815</v>
      </c>
      <c r="C195" s="1" t="n">
        <v>46189</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17143-2025</t>
        </is>
      </c>
      <c r="B196" s="1" t="n">
        <v>45755.92731481481</v>
      </c>
      <c r="C196" s="1" t="n">
        <v>46189</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16820-2024</t>
        </is>
      </c>
      <c r="B197" s="1" t="n">
        <v>45411.46809027778</v>
      </c>
      <c r="C197" s="1" t="n">
        <v>46189</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39017-2021</t>
        </is>
      </c>
      <c r="B198" s="1" t="n">
        <v>44412</v>
      </c>
      <c r="C198" s="1" t="n">
        <v>46189</v>
      </c>
      <c r="D198" t="inlineStr">
        <is>
          <t>ÖSTERGÖTLANDS LÄN</t>
        </is>
      </c>
      <c r="E198" t="inlineStr">
        <is>
          <t>LINKÖPING</t>
        </is>
      </c>
      <c r="F198" t="inlineStr">
        <is>
          <t>Övriga statliga verk och myndigheter</t>
        </is>
      </c>
      <c r="G198" t="n">
        <v>0.8</v>
      </c>
      <c r="H198" t="n">
        <v>0</v>
      </c>
      <c r="I198" t="n">
        <v>0</v>
      </c>
      <c r="J198" t="n">
        <v>0</v>
      </c>
      <c r="K198" t="n">
        <v>0</v>
      </c>
      <c r="L198" t="n">
        <v>0</v>
      </c>
      <c r="M198" t="n">
        <v>0</v>
      </c>
      <c r="N198" t="n">
        <v>0</v>
      </c>
      <c r="O198" t="n">
        <v>0</v>
      </c>
      <c r="P198" t="n">
        <v>0</v>
      </c>
      <c r="Q198" t="n">
        <v>0</v>
      </c>
      <c r="R198" s="2" t="inlineStr"/>
    </row>
    <row r="199" ht="15" customHeight="1">
      <c r="A199" t="inlineStr">
        <is>
          <t>A 30980-2022</t>
        </is>
      </c>
      <c r="B199" s="1" t="n">
        <v>44768</v>
      </c>
      <c r="C199" s="1" t="n">
        <v>46189</v>
      </c>
      <c r="D199" t="inlineStr">
        <is>
          <t>ÖSTERGÖTLANDS LÄN</t>
        </is>
      </c>
      <c r="E199" t="inlineStr">
        <is>
          <t>LINKÖPING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17157-2024</t>
        </is>
      </c>
      <c r="B200" s="1" t="n">
        <v>45412.70567129629</v>
      </c>
      <c r="C200" s="1" t="n">
        <v>46189</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24351-2024</t>
        </is>
      </c>
      <c r="B201" s="1" t="n">
        <v>45457.59011574074</v>
      </c>
      <c r="C201" s="1" t="n">
        <v>46189</v>
      </c>
      <c r="D201" t="inlineStr">
        <is>
          <t>ÖSTERGÖTLANDS LÄN</t>
        </is>
      </c>
      <c r="E201" t="inlineStr">
        <is>
          <t>LINKÖPING</t>
        </is>
      </c>
      <c r="G201" t="n">
        <v>11.9</v>
      </c>
      <c r="H201" t="n">
        <v>0</v>
      </c>
      <c r="I201" t="n">
        <v>0</v>
      </c>
      <c r="J201" t="n">
        <v>0</v>
      </c>
      <c r="K201" t="n">
        <v>0</v>
      </c>
      <c r="L201" t="n">
        <v>0</v>
      </c>
      <c r="M201" t="n">
        <v>0</v>
      </c>
      <c r="N201" t="n">
        <v>0</v>
      </c>
      <c r="O201" t="n">
        <v>0</v>
      </c>
      <c r="P201" t="n">
        <v>0</v>
      </c>
      <c r="Q201" t="n">
        <v>0</v>
      </c>
      <c r="R201" s="2" t="inlineStr"/>
    </row>
    <row r="202" ht="15" customHeight="1">
      <c r="A202" t="inlineStr">
        <is>
          <t>A 49979-2022</t>
        </is>
      </c>
      <c r="B202" s="1" t="n">
        <v>44865</v>
      </c>
      <c r="C202" s="1" t="n">
        <v>46189</v>
      </c>
      <c r="D202" t="inlineStr">
        <is>
          <t>ÖSTERGÖTLANDS LÄN</t>
        </is>
      </c>
      <c r="E202" t="inlineStr">
        <is>
          <t>LINKÖPING</t>
        </is>
      </c>
      <c r="F202" t="inlineStr">
        <is>
          <t>Övriga Aktiebolag</t>
        </is>
      </c>
      <c r="G202" t="n">
        <v>11.4</v>
      </c>
      <c r="H202" t="n">
        <v>0</v>
      </c>
      <c r="I202" t="n">
        <v>0</v>
      </c>
      <c r="J202" t="n">
        <v>0</v>
      </c>
      <c r="K202" t="n">
        <v>0</v>
      </c>
      <c r="L202" t="n">
        <v>0</v>
      </c>
      <c r="M202" t="n">
        <v>0</v>
      </c>
      <c r="N202" t="n">
        <v>0</v>
      </c>
      <c r="O202" t="n">
        <v>0</v>
      </c>
      <c r="P202" t="n">
        <v>0</v>
      </c>
      <c r="Q202" t="n">
        <v>0</v>
      </c>
      <c r="R202" s="2" t="inlineStr"/>
    </row>
    <row r="203" ht="15" customHeight="1">
      <c r="A203" t="inlineStr">
        <is>
          <t>A 53827-2023</t>
        </is>
      </c>
      <c r="B203" s="1" t="n">
        <v>45230</v>
      </c>
      <c r="C203" s="1" t="n">
        <v>46189</v>
      </c>
      <c r="D203" t="inlineStr">
        <is>
          <t>ÖSTERGÖTLANDS LÄN</t>
        </is>
      </c>
      <c r="E203" t="inlineStr">
        <is>
          <t>LINKÖPING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62501-2023</t>
        </is>
      </c>
      <c r="B204" s="1" t="n">
        <v>45268</v>
      </c>
      <c r="C204" s="1" t="n">
        <v>46189</v>
      </c>
      <c r="D204" t="inlineStr">
        <is>
          <t>ÖSTERGÖTLANDS LÄN</t>
        </is>
      </c>
      <c r="E204" t="inlineStr">
        <is>
          <t>LINKÖPING</t>
        </is>
      </c>
      <c r="G204" t="n">
        <v>7.4</v>
      </c>
      <c r="H204" t="n">
        <v>0</v>
      </c>
      <c r="I204" t="n">
        <v>0</v>
      </c>
      <c r="J204" t="n">
        <v>0</v>
      </c>
      <c r="K204" t="n">
        <v>0</v>
      </c>
      <c r="L204" t="n">
        <v>0</v>
      </c>
      <c r="M204" t="n">
        <v>0</v>
      </c>
      <c r="N204" t="n">
        <v>0</v>
      </c>
      <c r="O204" t="n">
        <v>0</v>
      </c>
      <c r="P204" t="n">
        <v>0</v>
      </c>
      <c r="Q204" t="n">
        <v>0</v>
      </c>
      <c r="R204" s="2" t="inlineStr"/>
    </row>
    <row r="205" ht="15" customHeight="1">
      <c r="A205" t="inlineStr">
        <is>
          <t>A 58947-2022</t>
        </is>
      </c>
      <c r="B205" s="1" t="n">
        <v>44903.64769675926</v>
      </c>
      <c r="C205" s="1" t="n">
        <v>46189</v>
      </c>
      <c r="D205" t="inlineStr">
        <is>
          <t>ÖSTERGÖTLANDS LÄN</t>
        </is>
      </c>
      <c r="E205" t="inlineStr">
        <is>
          <t>LINKÖPING</t>
        </is>
      </c>
      <c r="G205" t="n">
        <v>4</v>
      </c>
      <c r="H205" t="n">
        <v>0</v>
      </c>
      <c r="I205" t="n">
        <v>0</v>
      </c>
      <c r="J205" t="n">
        <v>0</v>
      </c>
      <c r="K205" t="n">
        <v>0</v>
      </c>
      <c r="L205" t="n">
        <v>0</v>
      </c>
      <c r="M205" t="n">
        <v>0</v>
      </c>
      <c r="N205" t="n">
        <v>0</v>
      </c>
      <c r="O205" t="n">
        <v>0</v>
      </c>
      <c r="P205" t="n">
        <v>0</v>
      </c>
      <c r="Q205" t="n">
        <v>0</v>
      </c>
      <c r="R205" s="2" t="inlineStr"/>
    </row>
    <row r="206" ht="15" customHeight="1">
      <c r="A206" t="inlineStr">
        <is>
          <t>A 940-2023</t>
        </is>
      </c>
      <c r="B206" s="1" t="n">
        <v>44933</v>
      </c>
      <c r="C206" s="1" t="n">
        <v>46189</v>
      </c>
      <c r="D206" t="inlineStr">
        <is>
          <t>ÖSTERGÖTLANDS LÄN</t>
        </is>
      </c>
      <c r="E206" t="inlineStr">
        <is>
          <t>LINKÖPING</t>
        </is>
      </c>
      <c r="G206" t="n">
        <v>1.5</v>
      </c>
      <c r="H206" t="n">
        <v>0</v>
      </c>
      <c r="I206" t="n">
        <v>0</v>
      </c>
      <c r="J206" t="n">
        <v>0</v>
      </c>
      <c r="K206" t="n">
        <v>0</v>
      </c>
      <c r="L206" t="n">
        <v>0</v>
      </c>
      <c r="M206" t="n">
        <v>0</v>
      </c>
      <c r="N206" t="n">
        <v>0</v>
      </c>
      <c r="O206" t="n">
        <v>0</v>
      </c>
      <c r="P206" t="n">
        <v>0</v>
      </c>
      <c r="Q206" t="n">
        <v>0</v>
      </c>
      <c r="R206" s="2" t="inlineStr"/>
    </row>
    <row r="207" ht="15" customHeight="1">
      <c r="A207" t="inlineStr">
        <is>
          <t>A 45819-2024</t>
        </is>
      </c>
      <c r="B207" s="1" t="n">
        <v>45579.7454050926</v>
      </c>
      <c r="C207" s="1" t="n">
        <v>46189</v>
      </c>
      <c r="D207" t="inlineStr">
        <is>
          <t>ÖSTERGÖTLANDS LÄN</t>
        </is>
      </c>
      <c r="E207" t="inlineStr">
        <is>
          <t>LINKÖPING</t>
        </is>
      </c>
      <c r="G207" t="n">
        <v>5</v>
      </c>
      <c r="H207" t="n">
        <v>0</v>
      </c>
      <c r="I207" t="n">
        <v>0</v>
      </c>
      <c r="J207" t="n">
        <v>0</v>
      </c>
      <c r="K207" t="n">
        <v>0</v>
      </c>
      <c r="L207" t="n">
        <v>0</v>
      </c>
      <c r="M207" t="n">
        <v>0</v>
      </c>
      <c r="N207" t="n">
        <v>0</v>
      </c>
      <c r="O207" t="n">
        <v>0</v>
      </c>
      <c r="P207" t="n">
        <v>0</v>
      </c>
      <c r="Q207" t="n">
        <v>0</v>
      </c>
      <c r="R207" s="2" t="inlineStr"/>
    </row>
    <row r="208" ht="15" customHeight="1">
      <c r="A208" t="inlineStr">
        <is>
          <t>A 3530-2024</t>
        </is>
      </c>
      <c r="B208" s="1" t="n">
        <v>45320.54717592592</v>
      </c>
      <c r="C208" s="1" t="n">
        <v>46189</v>
      </c>
      <c r="D208" t="inlineStr">
        <is>
          <t>ÖSTERGÖTLANDS LÄN</t>
        </is>
      </c>
      <c r="E208" t="inlineStr">
        <is>
          <t>LINKÖPING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7992-2023</t>
        </is>
      </c>
      <c r="B209" s="1" t="n">
        <v>44970</v>
      </c>
      <c r="C209" s="1" t="n">
        <v>46189</v>
      </c>
      <c r="D209" t="inlineStr">
        <is>
          <t>ÖSTERGÖTLANDS LÄN</t>
        </is>
      </c>
      <c r="E209" t="inlineStr">
        <is>
          <t>LINKÖPING</t>
        </is>
      </c>
      <c r="F209" t="inlineStr">
        <is>
          <t>Kommuner</t>
        </is>
      </c>
      <c r="G209" t="n">
        <v>1</v>
      </c>
      <c r="H209" t="n">
        <v>0</v>
      </c>
      <c r="I209" t="n">
        <v>0</v>
      </c>
      <c r="J209" t="n">
        <v>0</v>
      </c>
      <c r="K209" t="n">
        <v>0</v>
      </c>
      <c r="L209" t="n">
        <v>0</v>
      </c>
      <c r="M209" t="n">
        <v>0</v>
      </c>
      <c r="N209" t="n">
        <v>0</v>
      </c>
      <c r="O209" t="n">
        <v>0</v>
      </c>
      <c r="P209" t="n">
        <v>0</v>
      </c>
      <c r="Q209" t="n">
        <v>0</v>
      </c>
      <c r="R209" s="2" t="inlineStr"/>
    </row>
    <row r="210" ht="15" customHeight="1">
      <c r="A210" t="inlineStr">
        <is>
          <t>A 62686-2023</t>
        </is>
      </c>
      <c r="B210" s="1" t="n">
        <v>45271</v>
      </c>
      <c r="C210" s="1" t="n">
        <v>46189</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55345-2021</t>
        </is>
      </c>
      <c r="B211" s="1" t="n">
        <v>44475</v>
      </c>
      <c r="C211" s="1" t="n">
        <v>46189</v>
      </c>
      <c r="D211" t="inlineStr">
        <is>
          <t>ÖSTERGÖTLANDS LÄN</t>
        </is>
      </c>
      <c r="E211" t="inlineStr">
        <is>
          <t>LINKÖPING</t>
        </is>
      </c>
      <c r="G211" t="n">
        <v>5.7</v>
      </c>
      <c r="H211" t="n">
        <v>0</v>
      </c>
      <c r="I211" t="n">
        <v>0</v>
      </c>
      <c r="J211" t="n">
        <v>0</v>
      </c>
      <c r="K211" t="n">
        <v>0</v>
      </c>
      <c r="L211" t="n">
        <v>0</v>
      </c>
      <c r="M211" t="n">
        <v>0</v>
      </c>
      <c r="N211" t="n">
        <v>0</v>
      </c>
      <c r="O211" t="n">
        <v>0</v>
      </c>
      <c r="P211" t="n">
        <v>0</v>
      </c>
      <c r="Q211" t="n">
        <v>0</v>
      </c>
      <c r="R211" s="2" t="inlineStr"/>
    </row>
    <row r="212" ht="15" customHeight="1">
      <c r="A212" t="inlineStr">
        <is>
          <t>A 63489-2023</t>
        </is>
      </c>
      <c r="B212" s="1" t="n">
        <v>45274.66761574074</v>
      </c>
      <c r="C212" s="1" t="n">
        <v>46189</v>
      </c>
      <c r="D212" t="inlineStr">
        <is>
          <t>ÖSTERGÖTLANDS LÄN</t>
        </is>
      </c>
      <c r="E212" t="inlineStr">
        <is>
          <t>LINKÖPING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6782-2024</t>
        </is>
      </c>
      <c r="B213" s="1" t="n">
        <v>45342</v>
      </c>
      <c r="C213" s="1" t="n">
        <v>46189</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617-2024</t>
        </is>
      </c>
      <c r="B214" s="1" t="n">
        <v>45299.66028935185</v>
      </c>
      <c r="C214" s="1" t="n">
        <v>46189</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670-2024</t>
        </is>
      </c>
      <c r="B215" s="1" t="n">
        <v>45300.3408912037</v>
      </c>
      <c r="C215" s="1" t="n">
        <v>46189</v>
      </c>
      <c r="D215" t="inlineStr">
        <is>
          <t>ÖSTERGÖTLANDS LÄN</t>
        </is>
      </c>
      <c r="E215" t="inlineStr">
        <is>
          <t>LINKÖPING</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70-2024</t>
        </is>
      </c>
      <c r="B216" s="1" t="n">
        <v>45293</v>
      </c>
      <c r="C216" s="1" t="n">
        <v>46189</v>
      </c>
      <c r="D216" t="inlineStr">
        <is>
          <t>ÖSTERGÖTLANDS LÄN</t>
        </is>
      </c>
      <c r="E216" t="inlineStr">
        <is>
          <t>LINKÖPING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52125-2022</t>
        </is>
      </c>
      <c r="B217" s="1" t="n">
        <v>44873</v>
      </c>
      <c r="C217" s="1" t="n">
        <v>46189</v>
      </c>
      <c r="D217" t="inlineStr">
        <is>
          <t>ÖSTERGÖTLANDS LÄN</t>
        </is>
      </c>
      <c r="E217" t="inlineStr">
        <is>
          <t>LINKÖPING</t>
        </is>
      </c>
      <c r="F217" t="inlineStr">
        <is>
          <t>Övriga Aktiebolag</t>
        </is>
      </c>
      <c r="G217" t="n">
        <v>0.7</v>
      </c>
      <c r="H217" t="n">
        <v>0</v>
      </c>
      <c r="I217" t="n">
        <v>0</v>
      </c>
      <c r="J217" t="n">
        <v>0</v>
      </c>
      <c r="K217" t="n">
        <v>0</v>
      </c>
      <c r="L217" t="n">
        <v>0</v>
      </c>
      <c r="M217" t="n">
        <v>0</v>
      </c>
      <c r="N217" t="n">
        <v>0</v>
      </c>
      <c r="O217" t="n">
        <v>0</v>
      </c>
      <c r="P217" t="n">
        <v>0</v>
      </c>
      <c r="Q217" t="n">
        <v>0</v>
      </c>
      <c r="R217" s="2" t="inlineStr"/>
    </row>
    <row r="218" ht="15" customHeight="1">
      <c r="A218" t="inlineStr">
        <is>
          <t>A 1084-2023</t>
        </is>
      </c>
      <c r="B218" s="1" t="n">
        <v>44929</v>
      </c>
      <c r="C218" s="1" t="n">
        <v>46189</v>
      </c>
      <c r="D218" t="inlineStr">
        <is>
          <t>ÖSTERGÖTLANDS LÄN</t>
        </is>
      </c>
      <c r="E218" t="inlineStr">
        <is>
          <t>LINKÖPING</t>
        </is>
      </c>
      <c r="G218" t="n">
        <v>10.4</v>
      </c>
      <c r="H218" t="n">
        <v>0</v>
      </c>
      <c r="I218" t="n">
        <v>0</v>
      </c>
      <c r="J218" t="n">
        <v>0</v>
      </c>
      <c r="K218" t="n">
        <v>0</v>
      </c>
      <c r="L218" t="n">
        <v>0</v>
      </c>
      <c r="M218" t="n">
        <v>0</v>
      </c>
      <c r="N218" t="n">
        <v>0</v>
      </c>
      <c r="O218" t="n">
        <v>0</v>
      </c>
      <c r="P218" t="n">
        <v>0</v>
      </c>
      <c r="Q218" t="n">
        <v>0</v>
      </c>
      <c r="R218" s="2" t="inlineStr"/>
    </row>
    <row r="219" ht="15" customHeight="1">
      <c r="A219" t="inlineStr">
        <is>
          <t>A 56917-2022</t>
        </is>
      </c>
      <c r="B219" s="1" t="n">
        <v>44894</v>
      </c>
      <c r="C219" s="1" t="n">
        <v>46189</v>
      </c>
      <c r="D219" t="inlineStr">
        <is>
          <t>ÖSTERGÖTLANDS LÄN</t>
        </is>
      </c>
      <c r="E219" t="inlineStr">
        <is>
          <t>LINKÖPING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29859-2024</t>
        </is>
      </c>
      <c r="B220" s="1" t="n">
        <v>45485.6846412037</v>
      </c>
      <c r="C220" s="1" t="n">
        <v>46189</v>
      </c>
      <c r="D220" t="inlineStr">
        <is>
          <t>ÖSTERGÖTLANDS LÄN</t>
        </is>
      </c>
      <c r="E220" t="inlineStr">
        <is>
          <t>LINKÖPING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51571-2024</t>
        </is>
      </c>
      <c r="B221" s="1" t="n">
        <v>45604</v>
      </c>
      <c r="C221" s="1" t="n">
        <v>46189</v>
      </c>
      <c r="D221" t="inlineStr">
        <is>
          <t>ÖSTERGÖTLANDS LÄN</t>
        </is>
      </c>
      <c r="E221" t="inlineStr">
        <is>
          <t>LINKÖPING</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223-2024</t>
        </is>
      </c>
      <c r="B222" s="1" t="n">
        <v>45294.72739583333</v>
      </c>
      <c r="C222" s="1" t="n">
        <v>46189</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227-2024</t>
        </is>
      </c>
      <c r="B223" s="1" t="n">
        <v>45294.73603009259</v>
      </c>
      <c r="C223" s="1" t="n">
        <v>46189</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1265-2023</t>
        </is>
      </c>
      <c r="B224" s="1" t="n">
        <v>44936</v>
      </c>
      <c r="C224" s="1" t="n">
        <v>46189</v>
      </c>
      <c r="D224" t="inlineStr">
        <is>
          <t>ÖSTERGÖTLANDS LÄN</t>
        </is>
      </c>
      <c r="E224" t="inlineStr">
        <is>
          <t>LINKÖPING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6054-2022</t>
        </is>
      </c>
      <c r="B225" s="1" t="n">
        <v>44599.53623842593</v>
      </c>
      <c r="C225" s="1" t="n">
        <v>46189</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54034-2022</t>
        </is>
      </c>
      <c r="B226" s="1" t="n">
        <v>44881</v>
      </c>
      <c r="C226" s="1" t="n">
        <v>46189</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55493-2021</t>
        </is>
      </c>
      <c r="B227" s="1" t="n">
        <v>44475.61988425926</v>
      </c>
      <c r="C227" s="1" t="n">
        <v>46189</v>
      </c>
      <c r="D227" t="inlineStr">
        <is>
          <t>ÖSTERGÖTLANDS LÄN</t>
        </is>
      </c>
      <c r="E227" t="inlineStr">
        <is>
          <t>LINKÖPING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25119-2023</t>
        </is>
      </c>
      <c r="B228" s="1" t="n">
        <v>45086.42326388889</v>
      </c>
      <c r="C228" s="1" t="n">
        <v>46189</v>
      </c>
      <c r="D228" t="inlineStr">
        <is>
          <t>ÖSTERGÖTLANDS LÄN</t>
        </is>
      </c>
      <c r="E228" t="inlineStr">
        <is>
          <t>LINKÖPING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58114-2021</t>
        </is>
      </c>
      <c r="B229" s="1" t="n">
        <v>44487</v>
      </c>
      <c r="C229" s="1" t="n">
        <v>46189</v>
      </c>
      <c r="D229" t="inlineStr">
        <is>
          <t>ÖSTERGÖTLANDS LÄN</t>
        </is>
      </c>
      <c r="E229" t="inlineStr">
        <is>
          <t>LINKÖPING</t>
        </is>
      </c>
      <c r="F229" t="inlineStr">
        <is>
          <t>Övriga Aktiebolag</t>
        </is>
      </c>
      <c r="G229" t="n">
        <v>0.8</v>
      </c>
      <c r="H229" t="n">
        <v>0</v>
      </c>
      <c r="I229" t="n">
        <v>0</v>
      </c>
      <c r="J229" t="n">
        <v>0</v>
      </c>
      <c r="K229" t="n">
        <v>0</v>
      </c>
      <c r="L229" t="n">
        <v>0</v>
      </c>
      <c r="M229" t="n">
        <v>0</v>
      </c>
      <c r="N229" t="n">
        <v>0</v>
      </c>
      <c r="O229" t="n">
        <v>0</v>
      </c>
      <c r="P229" t="n">
        <v>0</v>
      </c>
      <c r="Q229" t="n">
        <v>0</v>
      </c>
      <c r="R229" s="2" t="inlineStr"/>
    </row>
    <row r="230" ht="15" customHeight="1">
      <c r="A230" t="inlineStr">
        <is>
          <t>A 52892-2024</t>
        </is>
      </c>
      <c r="B230" s="1" t="n">
        <v>45610</v>
      </c>
      <c r="C230" s="1" t="n">
        <v>46189</v>
      </c>
      <c r="D230" t="inlineStr">
        <is>
          <t>ÖSTERGÖTLANDS LÄN</t>
        </is>
      </c>
      <c r="E230" t="inlineStr">
        <is>
          <t>LINKÖPING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3008-2023</t>
        </is>
      </c>
      <c r="B231" s="1" t="n">
        <v>44945.79784722222</v>
      </c>
      <c r="C231" s="1" t="n">
        <v>46189</v>
      </c>
      <c r="D231" t="inlineStr">
        <is>
          <t>ÖSTERGÖTLANDS LÄN</t>
        </is>
      </c>
      <c r="E231" t="inlineStr">
        <is>
          <t>LINKÖPING</t>
        </is>
      </c>
      <c r="G231" t="n">
        <v>19.3</v>
      </c>
      <c r="H231" t="n">
        <v>0</v>
      </c>
      <c r="I231" t="n">
        <v>0</v>
      </c>
      <c r="J231" t="n">
        <v>0</v>
      </c>
      <c r="K231" t="n">
        <v>0</v>
      </c>
      <c r="L231" t="n">
        <v>0</v>
      </c>
      <c r="M231" t="n">
        <v>0</v>
      </c>
      <c r="N231" t="n">
        <v>0</v>
      </c>
      <c r="O231" t="n">
        <v>0</v>
      </c>
      <c r="P231" t="n">
        <v>0</v>
      </c>
      <c r="Q231" t="n">
        <v>0</v>
      </c>
      <c r="R231" s="2" t="inlineStr"/>
    </row>
    <row r="232" ht="15" customHeight="1">
      <c r="A232" t="inlineStr">
        <is>
          <t>A 55736-2022</t>
        </is>
      </c>
      <c r="B232" s="1" t="n">
        <v>44888</v>
      </c>
      <c r="C232" s="1" t="n">
        <v>46189</v>
      </c>
      <c r="D232" t="inlineStr">
        <is>
          <t>ÖSTERGÖTLANDS LÄN</t>
        </is>
      </c>
      <c r="E232" t="inlineStr">
        <is>
          <t>LINKÖPING</t>
        </is>
      </c>
      <c r="G232" t="n">
        <v>5.5</v>
      </c>
      <c r="H232" t="n">
        <v>0</v>
      </c>
      <c r="I232" t="n">
        <v>0</v>
      </c>
      <c r="J232" t="n">
        <v>0</v>
      </c>
      <c r="K232" t="n">
        <v>0</v>
      </c>
      <c r="L232" t="n">
        <v>0</v>
      </c>
      <c r="M232" t="n">
        <v>0</v>
      </c>
      <c r="N232" t="n">
        <v>0</v>
      </c>
      <c r="O232" t="n">
        <v>0</v>
      </c>
      <c r="P232" t="n">
        <v>0</v>
      </c>
      <c r="Q232" t="n">
        <v>0</v>
      </c>
      <c r="R232" s="2" t="inlineStr"/>
    </row>
    <row r="233" ht="15" customHeight="1">
      <c r="A233" t="inlineStr">
        <is>
          <t>A 30434-2024</t>
        </is>
      </c>
      <c r="B233" s="1" t="n">
        <v>45491.69811342593</v>
      </c>
      <c r="C233" s="1" t="n">
        <v>46189</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11084-2022</t>
        </is>
      </c>
      <c r="B234" s="1" t="n">
        <v>44628</v>
      </c>
      <c r="C234" s="1" t="n">
        <v>46189</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44155-2024</t>
        </is>
      </c>
      <c r="B235" s="1" t="n">
        <v>45572.68226851852</v>
      </c>
      <c r="C235" s="1" t="n">
        <v>46189</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57745-2022</t>
        </is>
      </c>
      <c r="B236" s="1" t="n">
        <v>44897.58119212963</v>
      </c>
      <c r="C236" s="1" t="n">
        <v>46189</v>
      </c>
      <c r="D236" t="inlineStr">
        <is>
          <t>ÖSTERGÖTLANDS LÄN</t>
        </is>
      </c>
      <c r="E236" t="inlineStr">
        <is>
          <t>LINKÖPING</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14520-2025</t>
        </is>
      </c>
      <c r="B237" s="1" t="n">
        <v>45741</v>
      </c>
      <c r="C237" s="1" t="n">
        <v>46189</v>
      </c>
      <c r="D237" t="inlineStr">
        <is>
          <t>ÖSTERGÖTLANDS LÄN</t>
        </is>
      </c>
      <c r="E237" t="inlineStr">
        <is>
          <t>LINKÖPING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42997-2021</t>
        </is>
      </c>
      <c r="B238" s="1" t="n">
        <v>44431.45556712963</v>
      </c>
      <c r="C238" s="1" t="n">
        <v>46189</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56064-2022</t>
        </is>
      </c>
      <c r="B239" s="1" t="n">
        <v>44889.59107638889</v>
      </c>
      <c r="C239" s="1" t="n">
        <v>46189</v>
      </c>
      <c r="D239" t="inlineStr">
        <is>
          <t>ÖSTERGÖTLANDS LÄN</t>
        </is>
      </c>
      <c r="E239" t="inlineStr">
        <is>
          <t>LINKÖPING</t>
        </is>
      </c>
      <c r="F239" t="inlineStr">
        <is>
          <t>Sveaskog</t>
        </is>
      </c>
      <c r="G239" t="n">
        <v>2</v>
      </c>
      <c r="H239" t="n">
        <v>0</v>
      </c>
      <c r="I239" t="n">
        <v>0</v>
      </c>
      <c r="J239" t="n">
        <v>0</v>
      </c>
      <c r="K239" t="n">
        <v>0</v>
      </c>
      <c r="L239" t="n">
        <v>0</v>
      </c>
      <c r="M239" t="n">
        <v>0</v>
      </c>
      <c r="N239" t="n">
        <v>0</v>
      </c>
      <c r="O239" t="n">
        <v>0</v>
      </c>
      <c r="P239" t="n">
        <v>0</v>
      </c>
      <c r="Q239" t="n">
        <v>0</v>
      </c>
      <c r="R239" s="2" t="inlineStr"/>
    </row>
    <row r="240" ht="15" customHeight="1">
      <c r="A240" t="inlineStr">
        <is>
          <t>A 40502-2024</t>
        </is>
      </c>
      <c r="B240" s="1" t="n">
        <v>45555.57263888889</v>
      </c>
      <c r="C240" s="1" t="n">
        <v>46189</v>
      </c>
      <c r="D240" t="inlineStr">
        <is>
          <t>ÖSTERGÖTLANDS LÄN</t>
        </is>
      </c>
      <c r="E240" t="inlineStr">
        <is>
          <t>LINKÖPING</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14028-2024</t>
        </is>
      </c>
      <c r="B241" s="1" t="n">
        <v>45392</v>
      </c>
      <c r="C241" s="1" t="n">
        <v>46189</v>
      </c>
      <c r="D241" t="inlineStr">
        <is>
          <t>ÖSTERGÖTLANDS LÄN</t>
        </is>
      </c>
      <c r="E241" t="inlineStr">
        <is>
          <t>LINKÖPING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48707-2023</t>
        </is>
      </c>
      <c r="B242" s="1" t="n">
        <v>45202</v>
      </c>
      <c r="C242" s="1" t="n">
        <v>46189</v>
      </c>
      <c r="D242" t="inlineStr">
        <is>
          <t>ÖSTERGÖTLANDS LÄN</t>
        </is>
      </c>
      <c r="E242" t="inlineStr">
        <is>
          <t>LINKÖPING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53411-2023</t>
        </is>
      </c>
      <c r="B243" s="1" t="n">
        <v>45229.81049768518</v>
      </c>
      <c r="C243" s="1" t="n">
        <v>46189</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3007-2023</t>
        </is>
      </c>
      <c r="B244" s="1" t="n">
        <v>44945</v>
      </c>
      <c r="C244" s="1" t="n">
        <v>46189</v>
      </c>
      <c r="D244" t="inlineStr">
        <is>
          <t>ÖSTERGÖTLANDS LÄN</t>
        </is>
      </c>
      <c r="E244" t="inlineStr">
        <is>
          <t>LINKÖPING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40338-2024</t>
        </is>
      </c>
      <c r="B245" s="1" t="n">
        <v>45555.32940972222</v>
      </c>
      <c r="C245" s="1" t="n">
        <v>46189</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3013-2023</t>
        </is>
      </c>
      <c r="B246" s="1" t="n">
        <v>44945.8092824074</v>
      </c>
      <c r="C246" s="1" t="n">
        <v>46189</v>
      </c>
      <c r="D246" t="inlineStr">
        <is>
          <t>ÖSTERGÖTLANDS LÄN</t>
        </is>
      </c>
      <c r="E246" t="inlineStr">
        <is>
          <t>LINKÖPING</t>
        </is>
      </c>
      <c r="G246" t="n">
        <v>5.2</v>
      </c>
      <c r="H246" t="n">
        <v>0</v>
      </c>
      <c r="I246" t="n">
        <v>0</v>
      </c>
      <c r="J246" t="n">
        <v>0</v>
      </c>
      <c r="K246" t="n">
        <v>0</v>
      </c>
      <c r="L246" t="n">
        <v>0</v>
      </c>
      <c r="M246" t="n">
        <v>0</v>
      </c>
      <c r="N246" t="n">
        <v>0</v>
      </c>
      <c r="O246" t="n">
        <v>0</v>
      </c>
      <c r="P246" t="n">
        <v>0</v>
      </c>
      <c r="Q246" t="n">
        <v>0</v>
      </c>
      <c r="R246" s="2" t="inlineStr"/>
    </row>
    <row r="247" ht="15" customHeight="1">
      <c r="A247" t="inlineStr">
        <is>
          <t>A 55945-2024</t>
        </is>
      </c>
      <c r="B247" s="1" t="n">
        <v>45623.61754629629</v>
      </c>
      <c r="C247" s="1" t="n">
        <v>46189</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56741-2023</t>
        </is>
      </c>
      <c r="B248" s="1" t="n">
        <v>45244</v>
      </c>
      <c r="C248" s="1" t="n">
        <v>46189</v>
      </c>
      <c r="D248" t="inlineStr">
        <is>
          <t>ÖSTERGÖTLANDS LÄN</t>
        </is>
      </c>
      <c r="E248" t="inlineStr">
        <is>
          <t>LINKÖPING</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14667-2024</t>
        </is>
      </c>
      <c r="B249" s="1" t="n">
        <v>45397.42005787037</v>
      </c>
      <c r="C249" s="1" t="n">
        <v>46189</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56792-2023</t>
        </is>
      </c>
      <c r="B250" s="1" t="n">
        <v>45244</v>
      </c>
      <c r="C250" s="1" t="n">
        <v>46189</v>
      </c>
      <c r="D250" t="inlineStr">
        <is>
          <t>ÖSTERGÖTLANDS LÄN</t>
        </is>
      </c>
      <c r="E250" t="inlineStr">
        <is>
          <t>LINKÖPING</t>
        </is>
      </c>
      <c r="F250" t="inlineStr">
        <is>
          <t>Övriga Aktiebolag</t>
        </is>
      </c>
      <c r="G250" t="n">
        <v>0.9</v>
      </c>
      <c r="H250" t="n">
        <v>0</v>
      </c>
      <c r="I250" t="n">
        <v>0</v>
      </c>
      <c r="J250" t="n">
        <v>0</v>
      </c>
      <c r="K250" t="n">
        <v>0</v>
      </c>
      <c r="L250" t="n">
        <v>0</v>
      </c>
      <c r="M250" t="n">
        <v>0</v>
      </c>
      <c r="N250" t="n">
        <v>0</v>
      </c>
      <c r="O250" t="n">
        <v>0</v>
      </c>
      <c r="P250" t="n">
        <v>0</v>
      </c>
      <c r="Q250" t="n">
        <v>0</v>
      </c>
      <c r="R250" s="2" t="inlineStr"/>
    </row>
    <row r="251" ht="15" customHeight="1">
      <c r="A251" t="inlineStr">
        <is>
          <t>A 2697-2023</t>
        </is>
      </c>
      <c r="B251" s="1" t="n">
        <v>44944</v>
      </c>
      <c r="C251" s="1" t="n">
        <v>46189</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1993-2023</t>
        </is>
      </c>
      <c r="B252" s="1" t="n">
        <v>44939</v>
      </c>
      <c r="C252" s="1" t="n">
        <v>46189</v>
      </c>
      <c r="D252" t="inlineStr">
        <is>
          <t>ÖSTERGÖTLANDS LÄN</t>
        </is>
      </c>
      <c r="E252" t="inlineStr">
        <is>
          <t>LINKÖPING</t>
        </is>
      </c>
      <c r="G252" t="n">
        <v>3.7</v>
      </c>
      <c r="H252" t="n">
        <v>0</v>
      </c>
      <c r="I252" t="n">
        <v>0</v>
      </c>
      <c r="J252" t="n">
        <v>0</v>
      </c>
      <c r="K252" t="n">
        <v>0</v>
      </c>
      <c r="L252" t="n">
        <v>0</v>
      </c>
      <c r="M252" t="n">
        <v>0</v>
      </c>
      <c r="N252" t="n">
        <v>0</v>
      </c>
      <c r="O252" t="n">
        <v>0</v>
      </c>
      <c r="P252" t="n">
        <v>0</v>
      </c>
      <c r="Q252" t="n">
        <v>0</v>
      </c>
      <c r="R252" s="2" t="inlineStr"/>
    </row>
    <row r="253" ht="15" customHeight="1">
      <c r="A253" t="inlineStr">
        <is>
          <t>A 2618-2023</t>
        </is>
      </c>
      <c r="B253" s="1" t="n">
        <v>44944.35847222222</v>
      </c>
      <c r="C253" s="1" t="n">
        <v>46189</v>
      </c>
      <c r="D253" t="inlineStr">
        <is>
          <t>ÖSTERGÖTLANDS LÄN</t>
        </is>
      </c>
      <c r="E253" t="inlineStr">
        <is>
          <t>LINKÖPING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10203-2023</t>
        </is>
      </c>
      <c r="B254" s="1" t="n">
        <v>44986.55711805556</v>
      </c>
      <c r="C254" s="1" t="n">
        <v>46189</v>
      </c>
      <c r="D254" t="inlineStr">
        <is>
          <t>ÖSTERGÖTLANDS LÄN</t>
        </is>
      </c>
      <c r="E254" t="inlineStr">
        <is>
          <t>LINKÖPING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53641-2023</t>
        </is>
      </c>
      <c r="B255" s="1" t="n">
        <v>45230</v>
      </c>
      <c r="C255" s="1" t="n">
        <v>46189</v>
      </c>
      <c r="D255" t="inlineStr">
        <is>
          <t>ÖSTERGÖTLANDS LÄN</t>
        </is>
      </c>
      <c r="E255" t="inlineStr">
        <is>
          <t>LINKÖPING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34928-2023</t>
        </is>
      </c>
      <c r="B256" s="1" t="n">
        <v>45142</v>
      </c>
      <c r="C256" s="1" t="n">
        <v>46189</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1268-2023</t>
        </is>
      </c>
      <c r="B257" s="1" t="n">
        <v>44936</v>
      </c>
      <c r="C257" s="1" t="n">
        <v>46189</v>
      </c>
      <c r="D257" t="inlineStr">
        <is>
          <t>ÖSTERGÖTLANDS LÄN</t>
        </is>
      </c>
      <c r="E257" t="inlineStr">
        <is>
          <t>LINKÖPING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49747-2024</t>
        </is>
      </c>
      <c r="B258" s="1" t="n">
        <v>45596</v>
      </c>
      <c r="C258" s="1" t="n">
        <v>46189</v>
      </c>
      <c r="D258" t="inlineStr">
        <is>
          <t>ÖSTERGÖTLANDS LÄN</t>
        </is>
      </c>
      <c r="E258" t="inlineStr">
        <is>
          <t>LINKÖPING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31725-2022</t>
        </is>
      </c>
      <c r="B259" s="1" t="n">
        <v>44776.48541666667</v>
      </c>
      <c r="C259" s="1" t="n">
        <v>46189</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3627-2023</t>
        </is>
      </c>
      <c r="B260" s="1" t="n">
        <v>44950.64782407408</v>
      </c>
      <c r="C260" s="1" t="n">
        <v>46189</v>
      </c>
      <c r="D260" t="inlineStr">
        <is>
          <t>ÖSTERGÖTLANDS LÄN</t>
        </is>
      </c>
      <c r="E260" t="inlineStr">
        <is>
          <t>LINKÖPING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2389-2023</t>
        </is>
      </c>
      <c r="B261" s="1" t="n">
        <v>44942</v>
      </c>
      <c r="C261" s="1" t="n">
        <v>46189</v>
      </c>
      <c r="D261" t="inlineStr">
        <is>
          <t>ÖSTERGÖTLANDS LÄN</t>
        </is>
      </c>
      <c r="E261" t="inlineStr">
        <is>
          <t>LINKÖPING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18891-2022</t>
        </is>
      </c>
      <c r="B262" s="1" t="n">
        <v>44690</v>
      </c>
      <c r="C262" s="1" t="n">
        <v>46189</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26620-2023</t>
        </is>
      </c>
      <c r="B263" s="1" t="n">
        <v>45092.70390046296</v>
      </c>
      <c r="C263" s="1" t="n">
        <v>46189</v>
      </c>
      <c r="D263" t="inlineStr">
        <is>
          <t>ÖSTERGÖTLANDS LÄN</t>
        </is>
      </c>
      <c r="E263" t="inlineStr">
        <is>
          <t>LINKÖPING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56180-2024</t>
        </is>
      </c>
      <c r="B264" s="1" t="n">
        <v>45624.56611111111</v>
      </c>
      <c r="C264" s="1" t="n">
        <v>46189</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938-2023</t>
        </is>
      </c>
      <c r="B265" s="1" t="n">
        <v>44933</v>
      </c>
      <c r="C265" s="1" t="n">
        <v>46189</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25418-2023</t>
        </is>
      </c>
      <c r="B266" s="1" t="n">
        <v>45089</v>
      </c>
      <c r="C266" s="1" t="n">
        <v>46189</v>
      </c>
      <c r="D266" t="inlineStr">
        <is>
          <t>ÖSTERGÖTLANDS LÄN</t>
        </is>
      </c>
      <c r="E266" t="inlineStr">
        <is>
          <t>LINKÖPING</t>
        </is>
      </c>
      <c r="F266" t="inlineStr">
        <is>
          <t>Övriga Aktiebolag</t>
        </is>
      </c>
      <c r="G266" t="n">
        <v>2.4</v>
      </c>
      <c r="H266" t="n">
        <v>0</v>
      </c>
      <c r="I266" t="n">
        <v>0</v>
      </c>
      <c r="J266" t="n">
        <v>0</v>
      </c>
      <c r="K266" t="n">
        <v>0</v>
      </c>
      <c r="L266" t="n">
        <v>0</v>
      </c>
      <c r="M266" t="n">
        <v>0</v>
      </c>
      <c r="N266" t="n">
        <v>0</v>
      </c>
      <c r="O266" t="n">
        <v>0</v>
      </c>
      <c r="P266" t="n">
        <v>0</v>
      </c>
      <c r="Q266" t="n">
        <v>0</v>
      </c>
      <c r="R266" s="2" t="inlineStr"/>
    </row>
    <row r="267" ht="15" customHeight="1">
      <c r="A267" t="inlineStr">
        <is>
          <t>A 60007-2022</t>
        </is>
      </c>
      <c r="B267" s="1" t="n">
        <v>44909.47282407407</v>
      </c>
      <c r="C267" s="1" t="n">
        <v>46189</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11601-2023</t>
        </is>
      </c>
      <c r="B268" s="1" t="n">
        <v>44994</v>
      </c>
      <c r="C268" s="1" t="n">
        <v>46189</v>
      </c>
      <c r="D268" t="inlineStr">
        <is>
          <t>ÖSTERGÖTLANDS LÄN</t>
        </is>
      </c>
      <c r="E268" t="inlineStr">
        <is>
          <t>LINKÖPING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36725-2023</t>
        </is>
      </c>
      <c r="B269" s="1" t="n">
        <v>45153.68471064815</v>
      </c>
      <c r="C269" s="1" t="n">
        <v>46189</v>
      </c>
      <c r="D269" t="inlineStr">
        <is>
          <t>ÖSTERGÖTLANDS LÄN</t>
        </is>
      </c>
      <c r="E269" t="inlineStr">
        <is>
          <t>LINKÖPING</t>
        </is>
      </c>
      <c r="F269" t="inlineStr">
        <is>
          <t>Allmännings- och besparingsskogar</t>
        </is>
      </c>
      <c r="G269" t="n">
        <v>2.6</v>
      </c>
      <c r="H269" t="n">
        <v>0</v>
      </c>
      <c r="I269" t="n">
        <v>0</v>
      </c>
      <c r="J269" t="n">
        <v>0</v>
      </c>
      <c r="K269" t="n">
        <v>0</v>
      </c>
      <c r="L269" t="n">
        <v>0</v>
      </c>
      <c r="M269" t="n">
        <v>0</v>
      </c>
      <c r="N269" t="n">
        <v>0</v>
      </c>
      <c r="O269" t="n">
        <v>0</v>
      </c>
      <c r="P269" t="n">
        <v>0</v>
      </c>
      <c r="Q269" t="n">
        <v>0</v>
      </c>
      <c r="R269" s="2" t="inlineStr"/>
    </row>
    <row r="270" ht="15" customHeight="1">
      <c r="A270" t="inlineStr">
        <is>
          <t>A 1260-2023</t>
        </is>
      </c>
      <c r="B270" s="1" t="n">
        <v>44936</v>
      </c>
      <c r="C270" s="1" t="n">
        <v>46189</v>
      </c>
      <c r="D270" t="inlineStr">
        <is>
          <t>ÖSTERGÖTLANDS LÄN</t>
        </is>
      </c>
      <c r="E270" t="inlineStr">
        <is>
          <t>LINKÖPING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7702-2023</t>
        </is>
      </c>
      <c r="B271" s="1" t="n">
        <v>44967</v>
      </c>
      <c r="C271" s="1" t="n">
        <v>46189</v>
      </c>
      <c r="D271" t="inlineStr">
        <is>
          <t>ÖSTERGÖTLANDS LÄN</t>
        </is>
      </c>
      <c r="E271" t="inlineStr">
        <is>
          <t>LINKÖPING</t>
        </is>
      </c>
      <c r="F271" t="inlineStr">
        <is>
          <t>Övriga statliga verk och myndigheter</t>
        </is>
      </c>
      <c r="G271" t="n">
        <v>8</v>
      </c>
      <c r="H271" t="n">
        <v>0</v>
      </c>
      <c r="I271" t="n">
        <v>0</v>
      </c>
      <c r="J271" t="n">
        <v>0</v>
      </c>
      <c r="K271" t="n">
        <v>0</v>
      </c>
      <c r="L271" t="n">
        <v>0</v>
      </c>
      <c r="M271" t="n">
        <v>0</v>
      </c>
      <c r="N271" t="n">
        <v>0</v>
      </c>
      <c r="O271" t="n">
        <v>0</v>
      </c>
      <c r="P271" t="n">
        <v>0</v>
      </c>
      <c r="Q271" t="n">
        <v>0</v>
      </c>
      <c r="R271" s="2" t="inlineStr"/>
    </row>
    <row r="272" ht="15" customHeight="1">
      <c r="A272" t="inlineStr">
        <is>
          <t>A 27343-2023</t>
        </is>
      </c>
      <c r="B272" s="1" t="n">
        <v>45096</v>
      </c>
      <c r="C272" s="1" t="n">
        <v>46189</v>
      </c>
      <c r="D272" t="inlineStr">
        <is>
          <t>ÖSTERGÖTLANDS LÄN</t>
        </is>
      </c>
      <c r="E272" t="inlineStr">
        <is>
          <t>LINKÖPING</t>
        </is>
      </c>
      <c r="F272" t="inlineStr">
        <is>
          <t>Allmännings- och besparingsskogar</t>
        </is>
      </c>
      <c r="G272" t="n">
        <v>6.9</v>
      </c>
      <c r="H272" t="n">
        <v>0</v>
      </c>
      <c r="I272" t="n">
        <v>0</v>
      </c>
      <c r="J272" t="n">
        <v>0</v>
      </c>
      <c r="K272" t="n">
        <v>0</v>
      </c>
      <c r="L272" t="n">
        <v>0</v>
      </c>
      <c r="M272" t="n">
        <v>0</v>
      </c>
      <c r="N272" t="n">
        <v>0</v>
      </c>
      <c r="O272" t="n">
        <v>0</v>
      </c>
      <c r="P272" t="n">
        <v>0</v>
      </c>
      <c r="Q272" t="n">
        <v>0</v>
      </c>
      <c r="R272" s="2" t="inlineStr"/>
    </row>
    <row r="273" ht="15" customHeight="1">
      <c r="A273" t="inlineStr">
        <is>
          <t>A 674-2024</t>
        </is>
      </c>
      <c r="B273" s="1" t="n">
        <v>45300.34408564815</v>
      </c>
      <c r="C273" s="1" t="n">
        <v>46189</v>
      </c>
      <c r="D273" t="inlineStr">
        <is>
          <t>ÖSTERGÖTLANDS LÄN</t>
        </is>
      </c>
      <c r="E273" t="inlineStr">
        <is>
          <t>LINKÖPING</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63684-2023</t>
        </is>
      </c>
      <c r="B274" s="1" t="n">
        <v>45275</v>
      </c>
      <c r="C274" s="1" t="n">
        <v>46189</v>
      </c>
      <c r="D274" t="inlineStr">
        <is>
          <t>ÖSTERGÖTLANDS LÄN</t>
        </is>
      </c>
      <c r="E274" t="inlineStr">
        <is>
          <t>LINKÖPING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167-2024</t>
        </is>
      </c>
      <c r="B275" s="1" t="n">
        <v>45294</v>
      </c>
      <c r="C275" s="1" t="n">
        <v>46189</v>
      </c>
      <c r="D275" t="inlineStr">
        <is>
          <t>ÖSTERGÖTLANDS LÄN</t>
        </is>
      </c>
      <c r="E275" t="inlineStr">
        <is>
          <t>LINKÖPING</t>
        </is>
      </c>
      <c r="F275" t="inlineStr">
        <is>
          <t>Allmännings- och besparingsskogar</t>
        </is>
      </c>
      <c r="G275" t="n">
        <v>11.6</v>
      </c>
      <c r="H275" t="n">
        <v>0</v>
      </c>
      <c r="I275" t="n">
        <v>0</v>
      </c>
      <c r="J275" t="n">
        <v>0</v>
      </c>
      <c r="K275" t="n">
        <v>0</v>
      </c>
      <c r="L275" t="n">
        <v>0</v>
      </c>
      <c r="M275" t="n">
        <v>0</v>
      </c>
      <c r="N275" t="n">
        <v>0</v>
      </c>
      <c r="O275" t="n">
        <v>0</v>
      </c>
      <c r="P275" t="n">
        <v>0</v>
      </c>
      <c r="Q275" t="n">
        <v>0</v>
      </c>
      <c r="R275" s="2" t="inlineStr"/>
    </row>
    <row r="276" ht="15" customHeight="1">
      <c r="A276" t="inlineStr">
        <is>
          <t>A 34864-2023</t>
        </is>
      </c>
      <c r="B276" s="1" t="n">
        <v>45141</v>
      </c>
      <c r="C276" s="1" t="n">
        <v>46189</v>
      </c>
      <c r="D276" t="inlineStr">
        <is>
          <t>ÖSTERGÖTLANDS LÄN</t>
        </is>
      </c>
      <c r="E276" t="inlineStr">
        <is>
          <t>LINKÖPING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30985-2022</t>
        </is>
      </c>
      <c r="B277" s="1" t="n">
        <v>44768</v>
      </c>
      <c r="C277" s="1" t="n">
        <v>46189</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52531-2023</t>
        </is>
      </c>
      <c r="B278" s="1" t="n">
        <v>45225</v>
      </c>
      <c r="C278" s="1" t="n">
        <v>46189</v>
      </c>
      <c r="D278" t="inlineStr">
        <is>
          <t>ÖSTERGÖTLANDS LÄN</t>
        </is>
      </c>
      <c r="E278" t="inlineStr">
        <is>
          <t>LINKÖPING</t>
        </is>
      </c>
      <c r="F278" t="inlineStr">
        <is>
          <t>Övriga Aktiebolag</t>
        </is>
      </c>
      <c r="G278" t="n">
        <v>1</v>
      </c>
      <c r="H278" t="n">
        <v>0</v>
      </c>
      <c r="I278" t="n">
        <v>0</v>
      </c>
      <c r="J278" t="n">
        <v>0</v>
      </c>
      <c r="K278" t="n">
        <v>0</v>
      </c>
      <c r="L278" t="n">
        <v>0</v>
      </c>
      <c r="M278" t="n">
        <v>0</v>
      </c>
      <c r="N278" t="n">
        <v>0</v>
      </c>
      <c r="O278" t="n">
        <v>0</v>
      </c>
      <c r="P278" t="n">
        <v>0</v>
      </c>
      <c r="Q278" t="n">
        <v>0</v>
      </c>
      <c r="R278" s="2" t="inlineStr"/>
    </row>
    <row r="279" ht="15" customHeight="1">
      <c r="A279" t="inlineStr">
        <is>
          <t>A 34930-2023</t>
        </is>
      </c>
      <c r="B279" s="1" t="n">
        <v>45142</v>
      </c>
      <c r="C279" s="1" t="n">
        <v>46189</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59642-2024</t>
        </is>
      </c>
      <c r="B280" s="1" t="n">
        <v>45639.31511574074</v>
      </c>
      <c r="C280" s="1" t="n">
        <v>46189</v>
      </c>
      <c r="D280" t="inlineStr">
        <is>
          <t>ÖSTERGÖTLANDS LÄN</t>
        </is>
      </c>
      <c r="E280" t="inlineStr">
        <is>
          <t>LINKÖPING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31792-2021</t>
        </is>
      </c>
      <c r="B281" s="1" t="n">
        <v>44369</v>
      </c>
      <c r="C281" s="1" t="n">
        <v>46189</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25097-2023</t>
        </is>
      </c>
      <c r="B282" s="1" t="n">
        <v>45086</v>
      </c>
      <c r="C282" s="1" t="n">
        <v>46189</v>
      </c>
      <c r="D282" t="inlineStr">
        <is>
          <t>ÖSTERGÖTLANDS LÄN</t>
        </is>
      </c>
      <c r="E282" t="inlineStr">
        <is>
          <t>LINKÖPING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30856-2022</t>
        </is>
      </c>
      <c r="B283" s="1" t="n">
        <v>44767</v>
      </c>
      <c r="C283" s="1" t="n">
        <v>46189</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35735-2023</t>
        </is>
      </c>
      <c r="B284" s="1" t="n">
        <v>45147</v>
      </c>
      <c r="C284" s="1" t="n">
        <v>46189</v>
      </c>
      <c r="D284" t="inlineStr">
        <is>
          <t>ÖSTERGÖTLANDS LÄN</t>
        </is>
      </c>
      <c r="E284" t="inlineStr">
        <is>
          <t>LINKÖPING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39219-2021</t>
        </is>
      </c>
      <c r="B285" s="1" t="n">
        <v>44413</v>
      </c>
      <c r="C285" s="1" t="n">
        <v>46189</v>
      </c>
      <c r="D285" t="inlineStr">
        <is>
          <t>ÖSTERGÖTLANDS LÄN</t>
        </is>
      </c>
      <c r="E285" t="inlineStr">
        <is>
          <t>LINKÖPING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39224-2021</t>
        </is>
      </c>
      <c r="B286" s="1" t="n">
        <v>44413</v>
      </c>
      <c r="C286" s="1" t="n">
        <v>46189</v>
      </c>
      <c r="D286" t="inlineStr">
        <is>
          <t>ÖSTERGÖTLANDS LÄN</t>
        </is>
      </c>
      <c r="E286" t="inlineStr">
        <is>
          <t>LINKÖPING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43934-2023</t>
        </is>
      </c>
      <c r="B287" s="1" t="n">
        <v>45187</v>
      </c>
      <c r="C287" s="1" t="n">
        <v>46189</v>
      </c>
      <c r="D287" t="inlineStr">
        <is>
          <t>ÖSTERGÖTLANDS LÄN</t>
        </is>
      </c>
      <c r="E287" t="inlineStr">
        <is>
          <t>LINKÖPING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63935-2021</t>
        </is>
      </c>
      <c r="B288" s="1" t="n">
        <v>44509</v>
      </c>
      <c r="C288" s="1" t="n">
        <v>46189</v>
      </c>
      <c r="D288" t="inlineStr">
        <is>
          <t>ÖSTERGÖTLANDS LÄN</t>
        </is>
      </c>
      <c r="E288" t="inlineStr">
        <is>
          <t>LINKÖPING</t>
        </is>
      </c>
      <c r="F288" t="inlineStr">
        <is>
          <t>Övriga statliga verk och myndigheter</t>
        </is>
      </c>
      <c r="G288" t="n">
        <v>2.8</v>
      </c>
      <c r="H288" t="n">
        <v>0</v>
      </c>
      <c r="I288" t="n">
        <v>0</v>
      </c>
      <c r="J288" t="n">
        <v>0</v>
      </c>
      <c r="K288" t="n">
        <v>0</v>
      </c>
      <c r="L288" t="n">
        <v>0</v>
      </c>
      <c r="M288" t="n">
        <v>0</v>
      </c>
      <c r="N288" t="n">
        <v>0</v>
      </c>
      <c r="O288" t="n">
        <v>0</v>
      </c>
      <c r="P288" t="n">
        <v>0</v>
      </c>
      <c r="Q288" t="n">
        <v>0</v>
      </c>
      <c r="R288" s="2" t="inlineStr"/>
    </row>
    <row r="289" ht="15" customHeight="1">
      <c r="A289" t="inlineStr">
        <is>
          <t>A 40810-2022</t>
        </is>
      </c>
      <c r="B289" s="1" t="n">
        <v>44824</v>
      </c>
      <c r="C289" s="1" t="n">
        <v>46189</v>
      </c>
      <c r="D289" t="inlineStr">
        <is>
          <t>ÖSTERGÖTLANDS LÄN</t>
        </is>
      </c>
      <c r="E289" t="inlineStr">
        <is>
          <t>LINKÖPING</t>
        </is>
      </c>
      <c r="G289" t="n">
        <v>2.8</v>
      </c>
      <c r="H289" t="n">
        <v>0</v>
      </c>
      <c r="I289" t="n">
        <v>0</v>
      </c>
      <c r="J289" t="n">
        <v>0</v>
      </c>
      <c r="K289" t="n">
        <v>0</v>
      </c>
      <c r="L289" t="n">
        <v>0</v>
      </c>
      <c r="M289" t="n">
        <v>0</v>
      </c>
      <c r="N289" t="n">
        <v>0</v>
      </c>
      <c r="O289" t="n">
        <v>0</v>
      </c>
      <c r="P289" t="n">
        <v>0</v>
      </c>
      <c r="Q289" t="n">
        <v>0</v>
      </c>
      <c r="R289" s="2" t="inlineStr"/>
    </row>
    <row r="290" ht="15" customHeight="1">
      <c r="A290" t="inlineStr">
        <is>
          <t>A 14576-2023</t>
        </is>
      </c>
      <c r="B290" s="1" t="n">
        <v>45013</v>
      </c>
      <c r="C290" s="1" t="n">
        <v>46189</v>
      </c>
      <c r="D290" t="inlineStr">
        <is>
          <t>ÖSTERGÖTLANDS LÄN</t>
        </is>
      </c>
      <c r="E290" t="inlineStr">
        <is>
          <t>LINKÖPING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12089-2025</t>
        </is>
      </c>
      <c r="B291" s="1" t="n">
        <v>45729</v>
      </c>
      <c r="C291" s="1" t="n">
        <v>46189</v>
      </c>
      <c r="D291" t="inlineStr">
        <is>
          <t>ÖSTERGÖTLANDS LÄN</t>
        </is>
      </c>
      <c r="E291" t="inlineStr">
        <is>
          <t>LINKÖPING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62321-2022</t>
        </is>
      </c>
      <c r="B292" s="1" t="n">
        <v>44916</v>
      </c>
      <c r="C292" s="1" t="n">
        <v>46189</v>
      </c>
      <c r="D292" t="inlineStr">
        <is>
          <t>ÖSTERGÖTLANDS LÄN</t>
        </is>
      </c>
      <c r="E292" t="inlineStr">
        <is>
          <t>LINKÖPING</t>
        </is>
      </c>
      <c r="F292" t="inlineStr">
        <is>
          <t>Kommuner</t>
        </is>
      </c>
      <c r="G292" t="n">
        <v>5.3</v>
      </c>
      <c r="H292" t="n">
        <v>0</v>
      </c>
      <c r="I292" t="n">
        <v>0</v>
      </c>
      <c r="J292" t="n">
        <v>0</v>
      </c>
      <c r="K292" t="n">
        <v>0</v>
      </c>
      <c r="L292" t="n">
        <v>0</v>
      </c>
      <c r="M292" t="n">
        <v>0</v>
      </c>
      <c r="N292" t="n">
        <v>0</v>
      </c>
      <c r="O292" t="n">
        <v>0</v>
      </c>
      <c r="P292" t="n">
        <v>0</v>
      </c>
      <c r="Q292" t="n">
        <v>0</v>
      </c>
      <c r="R292" s="2" t="inlineStr"/>
    </row>
    <row r="293" ht="15" customHeight="1">
      <c r="A293" t="inlineStr">
        <is>
          <t>A 43475-2024</t>
        </is>
      </c>
      <c r="B293" s="1" t="n">
        <v>45568</v>
      </c>
      <c r="C293" s="1" t="n">
        <v>46189</v>
      </c>
      <c r="D293" t="inlineStr">
        <is>
          <t>ÖSTERGÖTLANDS LÄN</t>
        </is>
      </c>
      <c r="E293" t="inlineStr">
        <is>
          <t>LINKÖPING</t>
        </is>
      </c>
      <c r="G293" t="n">
        <v>3.2</v>
      </c>
      <c r="H293" t="n">
        <v>0</v>
      </c>
      <c r="I293" t="n">
        <v>0</v>
      </c>
      <c r="J293" t="n">
        <v>0</v>
      </c>
      <c r="K293" t="n">
        <v>0</v>
      </c>
      <c r="L293" t="n">
        <v>0</v>
      </c>
      <c r="M293" t="n">
        <v>0</v>
      </c>
      <c r="N293" t="n">
        <v>0</v>
      </c>
      <c r="O293" t="n">
        <v>0</v>
      </c>
      <c r="P293" t="n">
        <v>0</v>
      </c>
      <c r="Q293" t="n">
        <v>0</v>
      </c>
      <c r="R293" s="2" t="inlineStr"/>
    </row>
    <row r="294" ht="15" customHeight="1">
      <c r="A294" t="inlineStr">
        <is>
          <t>A 17103-2025</t>
        </is>
      </c>
      <c r="B294" s="1" t="n">
        <v>45755.66143518518</v>
      </c>
      <c r="C294" s="1" t="n">
        <v>46189</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30551-2023</t>
        </is>
      </c>
      <c r="B295" s="1" t="n">
        <v>45111</v>
      </c>
      <c r="C295" s="1" t="n">
        <v>46189</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50784-2022</t>
        </is>
      </c>
      <c r="B296" s="1" t="n">
        <v>44862</v>
      </c>
      <c r="C296" s="1" t="n">
        <v>46189</v>
      </c>
      <c r="D296" t="inlineStr">
        <is>
          <t>ÖSTERGÖTLANDS LÄN</t>
        </is>
      </c>
      <c r="E296" t="inlineStr">
        <is>
          <t>LINKÖPING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22043-2023</t>
        </is>
      </c>
      <c r="B297" s="1" t="n">
        <v>45069.39050925926</v>
      </c>
      <c r="C297" s="1" t="n">
        <v>46189</v>
      </c>
      <c r="D297" t="inlineStr">
        <is>
          <t>ÖSTERGÖTLANDS LÄN</t>
        </is>
      </c>
      <c r="E297" t="inlineStr">
        <is>
          <t>LINKÖPING</t>
        </is>
      </c>
      <c r="G297" t="n">
        <v>5.9</v>
      </c>
      <c r="H297" t="n">
        <v>0</v>
      </c>
      <c r="I297" t="n">
        <v>0</v>
      </c>
      <c r="J297" t="n">
        <v>0</v>
      </c>
      <c r="K297" t="n">
        <v>0</v>
      </c>
      <c r="L297" t="n">
        <v>0</v>
      </c>
      <c r="M297" t="n">
        <v>0</v>
      </c>
      <c r="N297" t="n">
        <v>0</v>
      </c>
      <c r="O297" t="n">
        <v>0</v>
      </c>
      <c r="P297" t="n">
        <v>0</v>
      </c>
      <c r="Q297" t="n">
        <v>0</v>
      </c>
      <c r="R297" s="2" t="inlineStr"/>
    </row>
    <row r="298" ht="15" customHeight="1">
      <c r="A298" t="inlineStr">
        <is>
          <t>A 49656-2021</t>
        </is>
      </c>
      <c r="B298" s="1" t="n">
        <v>44454</v>
      </c>
      <c r="C298" s="1" t="n">
        <v>46189</v>
      </c>
      <c r="D298" t="inlineStr">
        <is>
          <t>ÖSTERGÖTLANDS LÄN</t>
        </is>
      </c>
      <c r="E298" t="inlineStr">
        <is>
          <t>LINKÖPING</t>
        </is>
      </c>
      <c r="G298" t="n">
        <v>2.3</v>
      </c>
      <c r="H298" t="n">
        <v>0</v>
      </c>
      <c r="I298" t="n">
        <v>0</v>
      </c>
      <c r="J298" t="n">
        <v>0</v>
      </c>
      <c r="K298" t="n">
        <v>0</v>
      </c>
      <c r="L298" t="n">
        <v>0</v>
      </c>
      <c r="M298" t="n">
        <v>0</v>
      </c>
      <c r="N298" t="n">
        <v>0</v>
      </c>
      <c r="O298" t="n">
        <v>0</v>
      </c>
      <c r="P298" t="n">
        <v>0</v>
      </c>
      <c r="Q298" t="n">
        <v>0</v>
      </c>
      <c r="R298" s="2" t="inlineStr"/>
    </row>
    <row r="299" ht="15" customHeight="1">
      <c r="A299" t="inlineStr">
        <is>
          <t>A 30465-2023</t>
        </is>
      </c>
      <c r="B299" s="1" t="n">
        <v>45111</v>
      </c>
      <c r="C299" s="1" t="n">
        <v>46189</v>
      </c>
      <c r="D299" t="inlineStr">
        <is>
          <t>ÖSTERGÖTLANDS LÄN</t>
        </is>
      </c>
      <c r="E299" t="inlineStr">
        <is>
          <t>LINKÖPING</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40618-2021</t>
        </is>
      </c>
      <c r="B300" s="1" t="n">
        <v>44420.49575231481</v>
      </c>
      <c r="C300" s="1" t="n">
        <v>46189</v>
      </c>
      <c r="D300" t="inlineStr">
        <is>
          <t>ÖSTERGÖTLANDS LÄN</t>
        </is>
      </c>
      <c r="E300" t="inlineStr">
        <is>
          <t>LINKÖPING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23735-2023</t>
        </is>
      </c>
      <c r="B301" s="1" t="n">
        <v>45077</v>
      </c>
      <c r="C301" s="1" t="n">
        <v>46189</v>
      </c>
      <c r="D301" t="inlineStr">
        <is>
          <t>ÖSTERGÖTLANDS LÄN</t>
        </is>
      </c>
      <c r="E301" t="inlineStr">
        <is>
          <t>LINKÖPING</t>
        </is>
      </c>
      <c r="G301" t="n">
        <v>1.7</v>
      </c>
      <c r="H301" t="n">
        <v>0</v>
      </c>
      <c r="I301" t="n">
        <v>0</v>
      </c>
      <c r="J301" t="n">
        <v>0</v>
      </c>
      <c r="K301" t="n">
        <v>0</v>
      </c>
      <c r="L301" t="n">
        <v>0</v>
      </c>
      <c r="M301" t="n">
        <v>0</v>
      </c>
      <c r="N301" t="n">
        <v>0</v>
      </c>
      <c r="O301" t="n">
        <v>0</v>
      </c>
      <c r="P301" t="n">
        <v>0</v>
      </c>
      <c r="Q301" t="n">
        <v>0</v>
      </c>
      <c r="R301" s="2" t="inlineStr"/>
    </row>
    <row r="302" ht="15" customHeight="1">
      <c r="A302" t="inlineStr">
        <is>
          <t>A 350-2022</t>
        </is>
      </c>
      <c r="B302" s="1" t="n">
        <v>44565</v>
      </c>
      <c r="C302" s="1" t="n">
        <v>46189</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25948-2023</t>
        </is>
      </c>
      <c r="B303" s="1" t="n">
        <v>45090</v>
      </c>
      <c r="C303" s="1" t="n">
        <v>46189</v>
      </c>
      <c r="D303" t="inlineStr">
        <is>
          <t>ÖSTERGÖTLANDS LÄN</t>
        </is>
      </c>
      <c r="E303" t="inlineStr">
        <is>
          <t>LINKÖPING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33867-2023</t>
        </is>
      </c>
      <c r="B304" s="1" t="n">
        <v>45133.94640046296</v>
      </c>
      <c r="C304" s="1" t="n">
        <v>46189</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3008-2023</t>
        </is>
      </c>
      <c r="B305" s="1" t="n">
        <v>44945.79784722222</v>
      </c>
      <c r="C305" s="1" t="n">
        <v>46189</v>
      </c>
      <c r="D305" t="inlineStr">
        <is>
          <t>ÖSTERGÖTLANDS LÄN</t>
        </is>
      </c>
      <c r="E305" t="inlineStr">
        <is>
          <t>LINKÖPING</t>
        </is>
      </c>
      <c r="G305" t="n">
        <v>19.3</v>
      </c>
      <c r="H305" t="n">
        <v>0</v>
      </c>
      <c r="I305" t="n">
        <v>0</v>
      </c>
      <c r="J305" t="n">
        <v>0</v>
      </c>
      <c r="K305" t="n">
        <v>0</v>
      </c>
      <c r="L305" t="n">
        <v>0</v>
      </c>
      <c r="M305" t="n">
        <v>0</v>
      </c>
      <c r="N305" t="n">
        <v>0</v>
      </c>
      <c r="O305" t="n">
        <v>0</v>
      </c>
      <c r="P305" t="n">
        <v>0</v>
      </c>
      <c r="Q305" t="n">
        <v>0</v>
      </c>
      <c r="R305" s="2" t="inlineStr"/>
    </row>
    <row r="306" ht="15" customHeight="1">
      <c r="A306" t="inlineStr">
        <is>
          <t>A 24462-2023</t>
        </is>
      </c>
      <c r="B306" s="1" t="n">
        <v>45082</v>
      </c>
      <c r="C306" s="1" t="n">
        <v>46189</v>
      </c>
      <c r="D306" t="inlineStr">
        <is>
          <t>ÖSTERGÖTLANDS LÄN</t>
        </is>
      </c>
      <c r="E306" t="inlineStr">
        <is>
          <t>LINKÖPING</t>
        </is>
      </c>
      <c r="G306" t="n">
        <v>3.5</v>
      </c>
      <c r="H306" t="n">
        <v>0</v>
      </c>
      <c r="I306" t="n">
        <v>0</v>
      </c>
      <c r="J306" t="n">
        <v>0</v>
      </c>
      <c r="K306" t="n">
        <v>0</v>
      </c>
      <c r="L306" t="n">
        <v>0</v>
      </c>
      <c r="M306" t="n">
        <v>0</v>
      </c>
      <c r="N306" t="n">
        <v>0</v>
      </c>
      <c r="O306" t="n">
        <v>0</v>
      </c>
      <c r="P306" t="n">
        <v>0</v>
      </c>
      <c r="Q306" t="n">
        <v>0</v>
      </c>
      <c r="R306" s="2" t="inlineStr"/>
    </row>
    <row r="307" ht="15" customHeight="1">
      <c r="A307" t="inlineStr">
        <is>
          <t>A 41511-2025</t>
        </is>
      </c>
      <c r="B307" s="1" t="n">
        <v>45901.53839120371</v>
      </c>
      <c r="C307" s="1" t="n">
        <v>46189</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48829-2023</t>
        </is>
      </c>
      <c r="B308" s="1" t="n">
        <v>45209.38177083333</v>
      </c>
      <c r="C308" s="1" t="n">
        <v>46189</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29293-2025</t>
        </is>
      </c>
      <c r="B309" s="1" t="n">
        <v>45824</v>
      </c>
      <c r="C309" s="1" t="n">
        <v>46189</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55345-2021</t>
        </is>
      </c>
      <c r="B310" s="1" t="n">
        <v>44475</v>
      </c>
      <c r="C310" s="1" t="n">
        <v>46189</v>
      </c>
      <c r="D310" t="inlineStr">
        <is>
          <t>ÖSTERGÖTLANDS LÄN</t>
        </is>
      </c>
      <c r="E310" t="inlineStr">
        <is>
          <t>LINKÖPING</t>
        </is>
      </c>
      <c r="G310" t="n">
        <v>5.7</v>
      </c>
      <c r="H310" t="n">
        <v>0</v>
      </c>
      <c r="I310" t="n">
        <v>0</v>
      </c>
      <c r="J310" t="n">
        <v>0</v>
      </c>
      <c r="K310" t="n">
        <v>0</v>
      </c>
      <c r="L310" t="n">
        <v>0</v>
      </c>
      <c r="M310" t="n">
        <v>0</v>
      </c>
      <c r="N310" t="n">
        <v>0</v>
      </c>
      <c r="O310" t="n">
        <v>0</v>
      </c>
      <c r="P310" t="n">
        <v>0</v>
      </c>
      <c r="Q310" t="n">
        <v>0</v>
      </c>
      <c r="R310" s="2" t="inlineStr"/>
    </row>
    <row r="311" ht="15" customHeight="1">
      <c r="A311" t="inlineStr">
        <is>
          <t>A 38231-2022</t>
        </is>
      </c>
      <c r="B311" s="1" t="n">
        <v>44812</v>
      </c>
      <c r="C311" s="1" t="n">
        <v>46189</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50799-2022</t>
        </is>
      </c>
      <c r="B312" s="1" t="n">
        <v>44862</v>
      </c>
      <c r="C312" s="1" t="n">
        <v>46189</v>
      </c>
      <c r="D312" t="inlineStr">
        <is>
          <t>ÖSTERGÖTLANDS LÄN</t>
        </is>
      </c>
      <c r="E312" t="inlineStr">
        <is>
          <t>LINKÖPING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40431-2024</t>
        </is>
      </c>
      <c r="B313" s="1" t="n">
        <v>45555.47070601852</v>
      </c>
      <c r="C313" s="1" t="n">
        <v>46189</v>
      </c>
      <c r="D313" t="inlineStr">
        <is>
          <t>ÖSTERGÖTLANDS LÄN</t>
        </is>
      </c>
      <c r="E313" t="inlineStr">
        <is>
          <t>LINKÖPING</t>
        </is>
      </c>
      <c r="F313" t="inlineStr">
        <is>
          <t>Allmännings- och besparingsskogar</t>
        </is>
      </c>
      <c r="G313" t="n">
        <v>2.9</v>
      </c>
      <c r="H313" t="n">
        <v>0</v>
      </c>
      <c r="I313" t="n">
        <v>0</v>
      </c>
      <c r="J313" t="n">
        <v>0</v>
      </c>
      <c r="K313" t="n">
        <v>0</v>
      </c>
      <c r="L313" t="n">
        <v>0</v>
      </c>
      <c r="M313" t="n">
        <v>0</v>
      </c>
      <c r="N313" t="n">
        <v>0</v>
      </c>
      <c r="O313" t="n">
        <v>0</v>
      </c>
      <c r="P313" t="n">
        <v>0</v>
      </c>
      <c r="Q313" t="n">
        <v>0</v>
      </c>
      <c r="R313" s="2" t="inlineStr"/>
    </row>
    <row r="314" ht="15" customHeight="1">
      <c r="A314" t="inlineStr">
        <is>
          <t>A 267-2023</t>
        </is>
      </c>
      <c r="B314" s="1" t="n">
        <v>44928.80907407407</v>
      </c>
      <c r="C314" s="1" t="n">
        <v>46189</v>
      </c>
      <c r="D314" t="inlineStr">
        <is>
          <t>ÖSTERGÖTLANDS LÄN</t>
        </is>
      </c>
      <c r="E314" t="inlineStr">
        <is>
          <t>LINKÖPING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26618-2023</t>
        </is>
      </c>
      <c r="B315" s="1" t="n">
        <v>45092.70306712963</v>
      </c>
      <c r="C315" s="1" t="n">
        <v>46189</v>
      </c>
      <c r="D315" t="inlineStr">
        <is>
          <t>ÖSTERGÖTLANDS LÄN</t>
        </is>
      </c>
      <c r="E315" t="inlineStr">
        <is>
          <t>LINKÖPING</t>
        </is>
      </c>
      <c r="G315" t="n">
        <v>6.9</v>
      </c>
      <c r="H315" t="n">
        <v>0</v>
      </c>
      <c r="I315" t="n">
        <v>0</v>
      </c>
      <c r="J315" t="n">
        <v>0</v>
      </c>
      <c r="K315" t="n">
        <v>0</v>
      </c>
      <c r="L315" t="n">
        <v>0</v>
      </c>
      <c r="M315" t="n">
        <v>0</v>
      </c>
      <c r="N315" t="n">
        <v>0</v>
      </c>
      <c r="O315" t="n">
        <v>0</v>
      </c>
      <c r="P315" t="n">
        <v>0</v>
      </c>
      <c r="Q315" t="n">
        <v>0</v>
      </c>
      <c r="R315" s="2" t="inlineStr"/>
    </row>
    <row r="316" ht="15" customHeight="1">
      <c r="A316" t="inlineStr">
        <is>
          <t>A 63665-2023</t>
        </is>
      </c>
      <c r="B316" s="1" t="n">
        <v>45275</v>
      </c>
      <c r="C316" s="1" t="n">
        <v>46189</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61281-2021</t>
        </is>
      </c>
      <c r="B317" s="1" t="n">
        <v>44498.60736111111</v>
      </c>
      <c r="C317" s="1" t="n">
        <v>46189</v>
      </c>
      <c r="D317" t="inlineStr">
        <is>
          <t>ÖSTERGÖTLANDS LÄN</t>
        </is>
      </c>
      <c r="E317" t="inlineStr">
        <is>
          <t>LINKÖPING</t>
        </is>
      </c>
      <c r="G317" t="n">
        <v>4.5</v>
      </c>
      <c r="H317" t="n">
        <v>0</v>
      </c>
      <c r="I317" t="n">
        <v>0</v>
      </c>
      <c r="J317" t="n">
        <v>0</v>
      </c>
      <c r="K317" t="n">
        <v>0</v>
      </c>
      <c r="L317" t="n">
        <v>0</v>
      </c>
      <c r="M317" t="n">
        <v>0</v>
      </c>
      <c r="N317" t="n">
        <v>0</v>
      </c>
      <c r="O317" t="n">
        <v>0</v>
      </c>
      <c r="P317" t="n">
        <v>0</v>
      </c>
      <c r="Q317" t="n">
        <v>0</v>
      </c>
      <c r="R317" s="2" t="inlineStr"/>
    </row>
    <row r="318" ht="15" customHeight="1">
      <c r="A318" t="inlineStr">
        <is>
          <t>A 63935-2021</t>
        </is>
      </c>
      <c r="B318" s="1" t="n">
        <v>44509</v>
      </c>
      <c r="C318" s="1" t="n">
        <v>46189</v>
      </c>
      <c r="D318" t="inlineStr">
        <is>
          <t>ÖSTERGÖTLANDS LÄN</t>
        </is>
      </c>
      <c r="E318" t="inlineStr">
        <is>
          <t>LINKÖPING</t>
        </is>
      </c>
      <c r="F318" t="inlineStr">
        <is>
          <t>Övriga statliga verk och myndigheter</t>
        </is>
      </c>
      <c r="G318" t="n">
        <v>2.8</v>
      </c>
      <c r="H318" t="n">
        <v>0</v>
      </c>
      <c r="I318" t="n">
        <v>0</v>
      </c>
      <c r="J318" t="n">
        <v>0</v>
      </c>
      <c r="K318" t="n">
        <v>0</v>
      </c>
      <c r="L318" t="n">
        <v>0</v>
      </c>
      <c r="M318" t="n">
        <v>0</v>
      </c>
      <c r="N318" t="n">
        <v>0</v>
      </c>
      <c r="O318" t="n">
        <v>0</v>
      </c>
      <c r="P318" t="n">
        <v>0</v>
      </c>
      <c r="Q318" t="n">
        <v>0</v>
      </c>
      <c r="R318" s="2" t="inlineStr"/>
    </row>
    <row r="319" ht="15" customHeight="1">
      <c r="A319" t="inlineStr">
        <is>
          <t>A 30429-2024</t>
        </is>
      </c>
      <c r="B319" s="1" t="n">
        <v>45491.68972222223</v>
      </c>
      <c r="C319" s="1" t="n">
        <v>46189</v>
      </c>
      <c r="D319" t="inlineStr">
        <is>
          <t>ÖSTERGÖTLANDS LÄN</t>
        </is>
      </c>
      <c r="E319" t="inlineStr">
        <is>
          <t>LINKÖPING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30435-2024</t>
        </is>
      </c>
      <c r="B320" s="1" t="n">
        <v>45491.69962962963</v>
      </c>
      <c r="C320" s="1" t="n">
        <v>46189</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53816-2023</t>
        </is>
      </c>
      <c r="B321" s="1" t="n">
        <v>45231.40012731482</v>
      </c>
      <c r="C321" s="1" t="n">
        <v>46189</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36557-2023</t>
        </is>
      </c>
      <c r="B322" s="1" t="n">
        <v>45153</v>
      </c>
      <c r="C322" s="1" t="n">
        <v>46189</v>
      </c>
      <c r="D322" t="inlineStr">
        <is>
          <t>ÖSTERGÖTLANDS LÄN</t>
        </is>
      </c>
      <c r="E322" t="inlineStr">
        <is>
          <t>LINKÖPING</t>
        </is>
      </c>
      <c r="F322" t="inlineStr">
        <is>
          <t>Övriga Aktiebolag</t>
        </is>
      </c>
      <c r="G322" t="n">
        <v>3.1</v>
      </c>
      <c r="H322" t="n">
        <v>0</v>
      </c>
      <c r="I322" t="n">
        <v>0</v>
      </c>
      <c r="J322" t="n">
        <v>0</v>
      </c>
      <c r="K322" t="n">
        <v>0</v>
      </c>
      <c r="L322" t="n">
        <v>0</v>
      </c>
      <c r="M322" t="n">
        <v>0</v>
      </c>
      <c r="N322" t="n">
        <v>0</v>
      </c>
      <c r="O322" t="n">
        <v>0</v>
      </c>
      <c r="P322" t="n">
        <v>0</v>
      </c>
      <c r="Q322" t="n">
        <v>0</v>
      </c>
      <c r="R322" s="2" t="inlineStr"/>
    </row>
    <row r="323" ht="15" customHeight="1">
      <c r="A323" t="inlineStr">
        <is>
          <t>A 6599-2023</t>
        </is>
      </c>
      <c r="B323" s="1" t="n">
        <v>44966.52603009259</v>
      </c>
      <c r="C323" s="1" t="n">
        <v>46189</v>
      </c>
      <c r="D323" t="inlineStr">
        <is>
          <t>ÖSTERGÖTLANDS LÄN</t>
        </is>
      </c>
      <c r="E323" t="inlineStr">
        <is>
          <t>LINKÖPING</t>
        </is>
      </c>
      <c r="G323" t="n">
        <v>1.9</v>
      </c>
      <c r="H323" t="n">
        <v>0</v>
      </c>
      <c r="I323" t="n">
        <v>0</v>
      </c>
      <c r="J323" t="n">
        <v>0</v>
      </c>
      <c r="K323" t="n">
        <v>0</v>
      </c>
      <c r="L323" t="n">
        <v>0</v>
      </c>
      <c r="M323" t="n">
        <v>0</v>
      </c>
      <c r="N323" t="n">
        <v>0</v>
      </c>
      <c r="O323" t="n">
        <v>0</v>
      </c>
      <c r="P323" t="n">
        <v>0</v>
      </c>
      <c r="Q323" t="n">
        <v>0</v>
      </c>
      <c r="R323" s="2" t="inlineStr"/>
    </row>
    <row r="324" ht="15" customHeight="1">
      <c r="A324" t="inlineStr">
        <is>
          <t>A 43473-2024</t>
        </is>
      </c>
      <c r="B324" s="1" t="n">
        <v>45568</v>
      </c>
      <c r="C324" s="1" t="n">
        <v>46189</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43755-2025</t>
        </is>
      </c>
      <c r="B325" s="1" t="n">
        <v>45912.47329861111</v>
      </c>
      <c r="C325" s="1" t="n">
        <v>46189</v>
      </c>
      <c r="D325" t="inlineStr">
        <is>
          <t>ÖSTERGÖTLANDS LÄN</t>
        </is>
      </c>
      <c r="E325" t="inlineStr">
        <is>
          <t>LINKÖPING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43753-2025</t>
        </is>
      </c>
      <c r="B326" s="1" t="n">
        <v>45912.4715625</v>
      </c>
      <c r="C326" s="1" t="n">
        <v>46189</v>
      </c>
      <c r="D326" t="inlineStr">
        <is>
          <t>ÖSTERGÖTLANDS LÄN</t>
        </is>
      </c>
      <c r="E326" t="inlineStr">
        <is>
          <t>LINKÖPING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43758-2025</t>
        </is>
      </c>
      <c r="B327" s="1" t="n">
        <v>45912.47711805555</v>
      </c>
      <c r="C327" s="1" t="n">
        <v>46189</v>
      </c>
      <c r="D327" t="inlineStr">
        <is>
          <t>ÖSTERGÖTLANDS LÄN</t>
        </is>
      </c>
      <c r="E327" t="inlineStr">
        <is>
          <t>LINKÖPING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44170-2025</t>
        </is>
      </c>
      <c r="B328" s="1" t="n">
        <v>45915.59864583334</v>
      </c>
      <c r="C328" s="1" t="n">
        <v>46189</v>
      </c>
      <c r="D328" t="inlineStr">
        <is>
          <t>ÖSTERGÖTLANDS LÄN</t>
        </is>
      </c>
      <c r="E328" t="inlineStr">
        <is>
          <t>LINKÖPING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61532-2021</t>
        </is>
      </c>
      <c r="B329" s="1" t="n">
        <v>44501</v>
      </c>
      <c r="C329" s="1" t="n">
        <v>46189</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3374-2023</t>
        </is>
      </c>
      <c r="B330" s="1" t="n">
        <v>44949</v>
      </c>
      <c r="C330" s="1" t="n">
        <v>46189</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224-2024</t>
        </is>
      </c>
      <c r="B331" s="1" t="n">
        <v>45294</v>
      </c>
      <c r="C331" s="1" t="n">
        <v>46189</v>
      </c>
      <c r="D331" t="inlineStr">
        <is>
          <t>ÖSTERGÖTLANDS LÄN</t>
        </is>
      </c>
      <c r="E331" t="inlineStr">
        <is>
          <t>LINKÖPING</t>
        </is>
      </c>
      <c r="G331" t="n">
        <v>2.8</v>
      </c>
      <c r="H331" t="n">
        <v>0</v>
      </c>
      <c r="I331" t="n">
        <v>0</v>
      </c>
      <c r="J331" t="n">
        <v>0</v>
      </c>
      <c r="K331" t="n">
        <v>0</v>
      </c>
      <c r="L331" t="n">
        <v>0</v>
      </c>
      <c r="M331" t="n">
        <v>0</v>
      </c>
      <c r="N331" t="n">
        <v>0</v>
      </c>
      <c r="O331" t="n">
        <v>0</v>
      </c>
      <c r="P331" t="n">
        <v>0</v>
      </c>
      <c r="Q331" t="n">
        <v>0</v>
      </c>
      <c r="R331" s="2" t="inlineStr"/>
    </row>
    <row r="332" ht="15" customHeight="1">
      <c r="A332" t="inlineStr">
        <is>
          <t>A 6726-2024</t>
        </is>
      </c>
      <c r="B332" s="1" t="n">
        <v>45341</v>
      </c>
      <c r="C332" s="1" t="n">
        <v>46189</v>
      </c>
      <c r="D332" t="inlineStr">
        <is>
          <t>ÖSTERGÖTLANDS LÄN</t>
        </is>
      </c>
      <c r="E332" t="inlineStr">
        <is>
          <t>LINKÖPING</t>
        </is>
      </c>
      <c r="G332" t="n">
        <v>2.7</v>
      </c>
      <c r="H332" t="n">
        <v>0</v>
      </c>
      <c r="I332" t="n">
        <v>0</v>
      </c>
      <c r="J332" t="n">
        <v>0</v>
      </c>
      <c r="K332" t="n">
        <v>0</v>
      </c>
      <c r="L332" t="n">
        <v>0</v>
      </c>
      <c r="M332" t="n">
        <v>0</v>
      </c>
      <c r="N332" t="n">
        <v>0</v>
      </c>
      <c r="O332" t="n">
        <v>0</v>
      </c>
      <c r="P332" t="n">
        <v>0</v>
      </c>
      <c r="Q332" t="n">
        <v>0</v>
      </c>
      <c r="R332" s="2" t="inlineStr"/>
    </row>
    <row r="333" ht="15" customHeight="1">
      <c r="A333" t="inlineStr">
        <is>
          <t>A 45112-2025</t>
        </is>
      </c>
      <c r="B333" s="1" t="n">
        <v>45919</v>
      </c>
      <c r="C333" s="1" t="n">
        <v>46189</v>
      </c>
      <c r="D333" t="inlineStr">
        <is>
          <t>ÖSTERGÖTLANDS LÄN</t>
        </is>
      </c>
      <c r="E333" t="inlineStr">
        <is>
          <t>LINKÖPING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45634-2025</t>
        </is>
      </c>
      <c r="B334" s="1" t="n">
        <v>45922.85089120371</v>
      </c>
      <c r="C334" s="1" t="n">
        <v>46189</v>
      </c>
      <c r="D334" t="inlineStr">
        <is>
          <t>ÖSTERGÖTLANDS LÄN</t>
        </is>
      </c>
      <c r="E334" t="inlineStr">
        <is>
          <t>LINKÖPING</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53814-2023</t>
        </is>
      </c>
      <c r="B335" s="1" t="n">
        <v>45231</v>
      </c>
      <c r="C335" s="1" t="n">
        <v>46189</v>
      </c>
      <c r="D335" t="inlineStr">
        <is>
          <t>ÖSTERGÖTLANDS LÄN</t>
        </is>
      </c>
      <c r="E335" t="inlineStr">
        <is>
          <t>LINKÖPING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46377-2025</t>
        </is>
      </c>
      <c r="B336" s="1" t="n">
        <v>45925.51773148148</v>
      </c>
      <c r="C336" s="1" t="n">
        <v>46189</v>
      </c>
      <c r="D336" t="inlineStr">
        <is>
          <t>ÖSTERGÖTLANDS LÄN</t>
        </is>
      </c>
      <c r="E336" t="inlineStr">
        <is>
          <t>LINKÖPING</t>
        </is>
      </c>
      <c r="G336" t="n">
        <v>3.1</v>
      </c>
      <c r="H336" t="n">
        <v>0</v>
      </c>
      <c r="I336" t="n">
        <v>0</v>
      </c>
      <c r="J336" t="n">
        <v>0</v>
      </c>
      <c r="K336" t="n">
        <v>0</v>
      </c>
      <c r="L336" t="n">
        <v>0</v>
      </c>
      <c r="M336" t="n">
        <v>0</v>
      </c>
      <c r="N336" t="n">
        <v>0</v>
      </c>
      <c r="O336" t="n">
        <v>0</v>
      </c>
      <c r="P336" t="n">
        <v>0</v>
      </c>
      <c r="Q336" t="n">
        <v>0</v>
      </c>
      <c r="R336" s="2" t="inlineStr"/>
    </row>
    <row r="337" ht="15" customHeight="1">
      <c r="A337" t="inlineStr">
        <is>
          <t>A 60004-2022</t>
        </is>
      </c>
      <c r="B337" s="1" t="n">
        <v>44909.47206018519</v>
      </c>
      <c r="C337" s="1" t="n">
        <v>46189</v>
      </c>
      <c r="D337" t="inlineStr">
        <is>
          <t>ÖSTERGÖTLANDS LÄN</t>
        </is>
      </c>
      <c r="E337" t="inlineStr">
        <is>
          <t>LINKÖPING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50743-2023</t>
        </is>
      </c>
      <c r="B338" s="1" t="n">
        <v>45217</v>
      </c>
      <c r="C338" s="1" t="n">
        <v>46189</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45771-2023</t>
        </is>
      </c>
      <c r="B339" s="1" t="n">
        <v>45195.4384375</v>
      </c>
      <c r="C339" s="1" t="n">
        <v>46189</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47233-2025</t>
        </is>
      </c>
      <c r="B340" s="1" t="n">
        <v>45930.40612268518</v>
      </c>
      <c r="C340" s="1" t="n">
        <v>46189</v>
      </c>
      <c r="D340" t="inlineStr">
        <is>
          <t>ÖSTERGÖTLANDS LÄN</t>
        </is>
      </c>
      <c r="E340" t="inlineStr">
        <is>
          <t>LINKÖPING</t>
        </is>
      </c>
      <c r="G340" t="n">
        <v>4.3</v>
      </c>
      <c r="H340" t="n">
        <v>0</v>
      </c>
      <c r="I340" t="n">
        <v>0</v>
      </c>
      <c r="J340" t="n">
        <v>0</v>
      </c>
      <c r="K340" t="n">
        <v>0</v>
      </c>
      <c r="L340" t="n">
        <v>0</v>
      </c>
      <c r="M340" t="n">
        <v>0</v>
      </c>
      <c r="N340" t="n">
        <v>0</v>
      </c>
      <c r="O340" t="n">
        <v>0</v>
      </c>
      <c r="P340" t="n">
        <v>0</v>
      </c>
      <c r="Q340" t="n">
        <v>0</v>
      </c>
      <c r="R340" s="2" t="inlineStr"/>
    </row>
    <row r="341" ht="15" customHeight="1">
      <c r="A341" t="inlineStr">
        <is>
          <t>A 63554-2023</t>
        </is>
      </c>
      <c r="B341" s="1" t="n">
        <v>45275</v>
      </c>
      <c r="C341" s="1" t="n">
        <v>46189</v>
      </c>
      <c r="D341" t="inlineStr">
        <is>
          <t>ÖSTERGÖTLANDS LÄN</t>
        </is>
      </c>
      <c r="E341" t="inlineStr">
        <is>
          <t>LINKÖPING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46847-2025</t>
        </is>
      </c>
      <c r="B342" s="1" t="n">
        <v>45928.69971064815</v>
      </c>
      <c r="C342" s="1" t="n">
        <v>46189</v>
      </c>
      <c r="D342" t="inlineStr">
        <is>
          <t>ÖSTERGÖTLANDS LÄN</t>
        </is>
      </c>
      <c r="E342" t="inlineStr">
        <is>
          <t>LINKÖPING</t>
        </is>
      </c>
      <c r="G342" t="n">
        <v>4.6</v>
      </c>
      <c r="H342" t="n">
        <v>0</v>
      </c>
      <c r="I342" t="n">
        <v>0</v>
      </c>
      <c r="J342" t="n">
        <v>0</v>
      </c>
      <c r="K342" t="n">
        <v>0</v>
      </c>
      <c r="L342" t="n">
        <v>0</v>
      </c>
      <c r="M342" t="n">
        <v>0</v>
      </c>
      <c r="N342" t="n">
        <v>0</v>
      </c>
      <c r="O342" t="n">
        <v>0</v>
      </c>
      <c r="P342" t="n">
        <v>0</v>
      </c>
      <c r="Q342" t="n">
        <v>0</v>
      </c>
      <c r="R342" s="2" t="inlineStr"/>
    </row>
    <row r="343" ht="15" customHeight="1">
      <c r="A343" t="inlineStr">
        <is>
          <t>A 30111-2024</t>
        </is>
      </c>
      <c r="B343" s="1" t="n">
        <v>45489.46947916667</v>
      </c>
      <c r="C343" s="1" t="n">
        <v>46189</v>
      </c>
      <c r="D343" t="inlineStr">
        <is>
          <t>ÖSTERGÖTLANDS LÄN</t>
        </is>
      </c>
      <c r="E343" t="inlineStr">
        <is>
          <t>LINKÖPING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30119-2024</t>
        </is>
      </c>
      <c r="B344" s="1" t="n">
        <v>45489</v>
      </c>
      <c r="C344" s="1" t="n">
        <v>46189</v>
      </c>
      <c r="D344" t="inlineStr">
        <is>
          <t>ÖSTERGÖTLANDS LÄN</t>
        </is>
      </c>
      <c r="E344" t="inlineStr">
        <is>
          <t>LINKÖPING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6206-2024</t>
        </is>
      </c>
      <c r="B345" s="1" t="n">
        <v>45337.5977662037</v>
      </c>
      <c r="C345" s="1" t="n">
        <v>46189</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48266-2025</t>
        </is>
      </c>
      <c r="B346" s="1" t="n">
        <v>45932</v>
      </c>
      <c r="C346" s="1" t="n">
        <v>46189</v>
      </c>
      <c r="D346" t="inlineStr">
        <is>
          <t>ÖSTERGÖTLANDS LÄN</t>
        </is>
      </c>
      <c r="E346" t="inlineStr">
        <is>
          <t>LINKÖPING</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15714-2024</t>
        </is>
      </c>
      <c r="B347" s="1" t="n">
        <v>45404.48288194444</v>
      </c>
      <c r="C347" s="1" t="n">
        <v>46189</v>
      </c>
      <c r="D347" t="inlineStr">
        <is>
          <t>ÖSTERGÖTLANDS LÄN</t>
        </is>
      </c>
      <c r="E347" t="inlineStr">
        <is>
          <t>LINKÖPING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30481-2023</t>
        </is>
      </c>
      <c r="B348" s="1" t="n">
        <v>45111</v>
      </c>
      <c r="C348" s="1" t="n">
        <v>46189</v>
      </c>
      <c r="D348" t="inlineStr">
        <is>
          <t>ÖSTERGÖTLANDS LÄN</t>
        </is>
      </c>
      <c r="E348" t="inlineStr">
        <is>
          <t>LINKÖPING</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74160-2021</t>
        </is>
      </c>
      <c r="B349" s="1" t="n">
        <v>44558</v>
      </c>
      <c r="C349" s="1" t="n">
        <v>46189</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63559-2023</t>
        </is>
      </c>
      <c r="B350" s="1" t="n">
        <v>45275.35924768518</v>
      </c>
      <c r="C350" s="1" t="n">
        <v>46189</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23491-2024</t>
        </is>
      </c>
      <c r="B351" s="1" t="n">
        <v>45453</v>
      </c>
      <c r="C351" s="1" t="n">
        <v>46189</v>
      </c>
      <c r="D351" t="inlineStr">
        <is>
          <t>ÖSTERGÖTLANDS LÄN</t>
        </is>
      </c>
      <c r="E351" t="inlineStr">
        <is>
          <t>LINKÖPING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29309-2024</t>
        </is>
      </c>
      <c r="B352" s="1" t="n">
        <v>45483</v>
      </c>
      <c r="C352" s="1" t="n">
        <v>46189</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29411-2023</t>
        </is>
      </c>
      <c r="B353" s="1" t="n">
        <v>45106.46225694445</v>
      </c>
      <c r="C353" s="1" t="n">
        <v>46189</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29412-2023</t>
        </is>
      </c>
      <c r="B354" s="1" t="n">
        <v>45106.46359953703</v>
      </c>
      <c r="C354" s="1" t="n">
        <v>46189</v>
      </c>
      <c r="D354" t="inlineStr">
        <is>
          <t>ÖSTERGÖTLANDS LÄN</t>
        </is>
      </c>
      <c r="E354" t="inlineStr">
        <is>
          <t>LINKÖPING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29413-2023</t>
        </is>
      </c>
      <c r="B355" s="1" t="n">
        <v>45106.46465277778</v>
      </c>
      <c r="C355" s="1" t="n">
        <v>46189</v>
      </c>
      <c r="D355" t="inlineStr">
        <is>
          <t>ÖSTERGÖTLANDS LÄN</t>
        </is>
      </c>
      <c r="E355" t="inlineStr">
        <is>
          <t>LINKÖPING</t>
        </is>
      </c>
      <c r="G355" t="n">
        <v>8</v>
      </c>
      <c r="H355" t="n">
        <v>0</v>
      </c>
      <c r="I355" t="n">
        <v>0</v>
      </c>
      <c r="J355" t="n">
        <v>0</v>
      </c>
      <c r="K355" t="n">
        <v>0</v>
      </c>
      <c r="L355" t="n">
        <v>0</v>
      </c>
      <c r="M355" t="n">
        <v>0</v>
      </c>
      <c r="N355" t="n">
        <v>0</v>
      </c>
      <c r="O355" t="n">
        <v>0</v>
      </c>
      <c r="P355" t="n">
        <v>0</v>
      </c>
      <c r="Q355" t="n">
        <v>0</v>
      </c>
      <c r="R355" s="2" t="inlineStr"/>
    </row>
    <row r="356" ht="15" customHeight="1">
      <c r="A356" t="inlineStr">
        <is>
          <t>A 49647-2025</t>
        </is>
      </c>
      <c r="B356" s="1" t="n">
        <v>45938</v>
      </c>
      <c r="C356" s="1" t="n">
        <v>46189</v>
      </c>
      <c r="D356" t="inlineStr">
        <is>
          <t>ÖSTERGÖTLANDS LÄN</t>
        </is>
      </c>
      <c r="E356" t="inlineStr">
        <is>
          <t>LINKÖPING</t>
        </is>
      </c>
      <c r="F356" t="inlineStr">
        <is>
          <t>Övriga Aktiebolag</t>
        </is>
      </c>
      <c r="G356" t="n">
        <v>0.6</v>
      </c>
      <c r="H356" t="n">
        <v>0</v>
      </c>
      <c r="I356" t="n">
        <v>0</v>
      </c>
      <c r="J356" t="n">
        <v>0</v>
      </c>
      <c r="K356" t="n">
        <v>0</v>
      </c>
      <c r="L356" t="n">
        <v>0</v>
      </c>
      <c r="M356" t="n">
        <v>0</v>
      </c>
      <c r="N356" t="n">
        <v>0</v>
      </c>
      <c r="O356" t="n">
        <v>0</v>
      </c>
      <c r="P356" t="n">
        <v>0</v>
      </c>
      <c r="Q356" t="n">
        <v>0</v>
      </c>
      <c r="R356" s="2" t="inlineStr"/>
    </row>
    <row r="357" ht="15" customHeight="1">
      <c r="A357" t="inlineStr">
        <is>
          <t>A 49633-2025</t>
        </is>
      </c>
      <c r="B357" s="1" t="n">
        <v>45938</v>
      </c>
      <c r="C357" s="1" t="n">
        <v>46189</v>
      </c>
      <c r="D357" t="inlineStr">
        <is>
          <t>ÖSTERGÖTLANDS LÄN</t>
        </is>
      </c>
      <c r="E357" t="inlineStr">
        <is>
          <t>LINKÖPING</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24151-2024</t>
        </is>
      </c>
      <c r="B358" s="1" t="n">
        <v>45456.67717592593</v>
      </c>
      <c r="C358" s="1" t="n">
        <v>46189</v>
      </c>
      <c r="D358" t="inlineStr">
        <is>
          <t>ÖSTERGÖTLANDS LÄN</t>
        </is>
      </c>
      <c r="E358" t="inlineStr">
        <is>
          <t>LINKÖPING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63845-2021</t>
        </is>
      </c>
      <c r="B359" s="1" t="n">
        <v>44509</v>
      </c>
      <c r="C359" s="1" t="n">
        <v>46189</v>
      </c>
      <c r="D359" t="inlineStr">
        <is>
          <t>ÖSTERGÖTLANDS LÄN</t>
        </is>
      </c>
      <c r="E359" t="inlineStr">
        <is>
          <t>LINKÖPING</t>
        </is>
      </c>
      <c r="G359" t="n">
        <v>5</v>
      </c>
      <c r="H359" t="n">
        <v>0</v>
      </c>
      <c r="I359" t="n">
        <v>0</v>
      </c>
      <c r="J359" t="n">
        <v>0</v>
      </c>
      <c r="K359" t="n">
        <v>0</v>
      </c>
      <c r="L359" t="n">
        <v>0</v>
      </c>
      <c r="M359" t="n">
        <v>0</v>
      </c>
      <c r="N359" t="n">
        <v>0</v>
      </c>
      <c r="O359" t="n">
        <v>0</v>
      </c>
      <c r="P359" t="n">
        <v>0</v>
      </c>
      <c r="Q359" t="n">
        <v>0</v>
      </c>
      <c r="R359" s="2" t="inlineStr"/>
    </row>
    <row r="360" ht="15" customHeight="1">
      <c r="A360" t="inlineStr">
        <is>
          <t>A 49654-2025</t>
        </is>
      </c>
      <c r="B360" s="1" t="n">
        <v>45938</v>
      </c>
      <c r="C360" s="1" t="n">
        <v>46189</v>
      </c>
      <c r="D360" t="inlineStr">
        <is>
          <t>ÖSTERGÖTLANDS LÄN</t>
        </is>
      </c>
      <c r="E360" t="inlineStr">
        <is>
          <t>LINKÖPING</t>
        </is>
      </c>
      <c r="F360" t="inlineStr">
        <is>
          <t>Övriga Aktiebolag</t>
        </is>
      </c>
      <c r="G360" t="n">
        <v>3.1</v>
      </c>
      <c r="H360" t="n">
        <v>0</v>
      </c>
      <c r="I360" t="n">
        <v>0</v>
      </c>
      <c r="J360" t="n">
        <v>0</v>
      </c>
      <c r="K360" t="n">
        <v>0</v>
      </c>
      <c r="L360" t="n">
        <v>0</v>
      </c>
      <c r="M360" t="n">
        <v>0</v>
      </c>
      <c r="N360" t="n">
        <v>0</v>
      </c>
      <c r="O360" t="n">
        <v>0</v>
      </c>
      <c r="P360" t="n">
        <v>0</v>
      </c>
      <c r="Q360" t="n">
        <v>0</v>
      </c>
      <c r="R360" s="2" t="inlineStr"/>
    </row>
    <row r="361" ht="15" customHeight="1">
      <c r="A361" t="inlineStr">
        <is>
          <t>A 17785-2023</t>
        </is>
      </c>
      <c r="B361" s="1" t="n">
        <v>45037.55094907407</v>
      </c>
      <c r="C361" s="1" t="n">
        <v>46189</v>
      </c>
      <c r="D361" t="inlineStr">
        <is>
          <t>ÖSTERGÖTLANDS LÄN</t>
        </is>
      </c>
      <c r="E361" t="inlineStr">
        <is>
          <t>LINKÖPING</t>
        </is>
      </c>
      <c r="F361" t="inlineStr">
        <is>
          <t>Allmännings- och besparingsskogar</t>
        </is>
      </c>
      <c r="G361" t="n">
        <v>3.1</v>
      </c>
      <c r="H361" t="n">
        <v>0</v>
      </c>
      <c r="I361" t="n">
        <v>0</v>
      </c>
      <c r="J361" t="n">
        <v>0</v>
      </c>
      <c r="K361" t="n">
        <v>0</v>
      </c>
      <c r="L361" t="n">
        <v>0</v>
      </c>
      <c r="M361" t="n">
        <v>0</v>
      </c>
      <c r="N361" t="n">
        <v>0</v>
      </c>
      <c r="O361" t="n">
        <v>0</v>
      </c>
      <c r="P361" t="n">
        <v>0</v>
      </c>
      <c r="Q361" t="n">
        <v>0</v>
      </c>
      <c r="R361" s="2" t="inlineStr"/>
    </row>
    <row r="362" ht="15" customHeight="1">
      <c r="A362" t="inlineStr">
        <is>
          <t>A 32346-2023</t>
        </is>
      </c>
      <c r="B362" s="1" t="n">
        <v>45120</v>
      </c>
      <c r="C362" s="1" t="n">
        <v>46189</v>
      </c>
      <c r="D362" t="inlineStr">
        <is>
          <t>ÖSTERGÖTLANDS LÄN</t>
        </is>
      </c>
      <c r="E362" t="inlineStr">
        <is>
          <t>LINKÖPING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49615-2025</t>
        </is>
      </c>
      <c r="B363" s="1" t="n">
        <v>45938</v>
      </c>
      <c r="C363" s="1" t="n">
        <v>46189</v>
      </c>
      <c r="D363" t="inlineStr">
        <is>
          <t>ÖSTERGÖTLANDS LÄN</t>
        </is>
      </c>
      <c r="E363" t="inlineStr">
        <is>
          <t>LINKÖPING</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1627-2023</t>
        </is>
      </c>
      <c r="B364" s="1" t="n">
        <v>44937</v>
      </c>
      <c r="C364" s="1" t="n">
        <v>46189</v>
      </c>
      <c r="D364" t="inlineStr">
        <is>
          <t>ÖSTERGÖTLANDS LÄN</t>
        </is>
      </c>
      <c r="E364" t="inlineStr">
        <is>
          <t>LINKÖPING</t>
        </is>
      </c>
      <c r="G364" t="n">
        <v>10.8</v>
      </c>
      <c r="H364" t="n">
        <v>0</v>
      </c>
      <c r="I364" t="n">
        <v>0</v>
      </c>
      <c r="J364" t="n">
        <v>0</v>
      </c>
      <c r="K364" t="n">
        <v>0</v>
      </c>
      <c r="L364" t="n">
        <v>0</v>
      </c>
      <c r="M364" t="n">
        <v>0</v>
      </c>
      <c r="N364" t="n">
        <v>0</v>
      </c>
      <c r="O364" t="n">
        <v>0</v>
      </c>
      <c r="P364" t="n">
        <v>0</v>
      </c>
      <c r="Q364" t="n">
        <v>0</v>
      </c>
      <c r="R364" s="2" t="inlineStr"/>
    </row>
    <row r="365" ht="15" customHeight="1">
      <c r="A365" t="inlineStr">
        <is>
          <t>A 16665-2023</t>
        </is>
      </c>
      <c r="B365" s="1" t="n">
        <v>45030.5583912037</v>
      </c>
      <c r="C365" s="1" t="n">
        <v>46189</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60860-2024</t>
        </is>
      </c>
      <c r="B366" s="1" t="n">
        <v>45644.6893287037</v>
      </c>
      <c r="C366" s="1" t="n">
        <v>46189</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31640-2023</t>
        </is>
      </c>
      <c r="B367" s="1" t="n">
        <v>45117</v>
      </c>
      <c r="C367" s="1" t="n">
        <v>46189</v>
      </c>
      <c r="D367" t="inlineStr">
        <is>
          <t>ÖSTERGÖTLANDS LÄN</t>
        </is>
      </c>
      <c r="E367" t="inlineStr">
        <is>
          <t>LINKÖPING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50056-2025</t>
        </is>
      </c>
      <c r="B368" s="1" t="n">
        <v>45941</v>
      </c>
      <c r="C368" s="1" t="n">
        <v>46189</v>
      </c>
      <c r="D368" t="inlineStr">
        <is>
          <t>ÖSTERGÖTLANDS LÄN</t>
        </is>
      </c>
      <c r="E368" t="inlineStr">
        <is>
          <t>LINKÖPING</t>
        </is>
      </c>
      <c r="G368" t="n">
        <v>0.3</v>
      </c>
      <c r="H368" t="n">
        <v>0</v>
      </c>
      <c r="I368" t="n">
        <v>0</v>
      </c>
      <c r="J368" t="n">
        <v>0</v>
      </c>
      <c r="K368" t="n">
        <v>0</v>
      </c>
      <c r="L368" t="n">
        <v>0</v>
      </c>
      <c r="M368" t="n">
        <v>0</v>
      </c>
      <c r="N368" t="n">
        <v>0</v>
      </c>
      <c r="O368" t="n">
        <v>0</v>
      </c>
      <c r="P368" t="n">
        <v>0</v>
      </c>
      <c r="Q368" t="n">
        <v>0</v>
      </c>
      <c r="R368" s="2" t="inlineStr"/>
    </row>
    <row r="369" ht="15" customHeight="1">
      <c r="A369" t="inlineStr">
        <is>
          <t>A 16213-2025</t>
        </is>
      </c>
      <c r="B369" s="1" t="n">
        <v>45750.62740740741</v>
      </c>
      <c r="C369" s="1" t="n">
        <v>46189</v>
      </c>
      <c r="D369" t="inlineStr">
        <is>
          <t>ÖSTERGÖTLANDS LÄN</t>
        </is>
      </c>
      <c r="E369" t="inlineStr">
        <is>
          <t>LINKÖPING</t>
        </is>
      </c>
      <c r="G369" t="n">
        <v>3.4</v>
      </c>
      <c r="H369" t="n">
        <v>0</v>
      </c>
      <c r="I369" t="n">
        <v>0</v>
      </c>
      <c r="J369" t="n">
        <v>0</v>
      </c>
      <c r="K369" t="n">
        <v>0</v>
      </c>
      <c r="L369" t="n">
        <v>0</v>
      </c>
      <c r="M369" t="n">
        <v>0</v>
      </c>
      <c r="N369" t="n">
        <v>0</v>
      </c>
      <c r="O369" t="n">
        <v>0</v>
      </c>
      <c r="P369" t="n">
        <v>0</v>
      </c>
      <c r="Q369" t="n">
        <v>0</v>
      </c>
      <c r="R369" s="2" t="inlineStr"/>
    </row>
    <row r="370" ht="15" customHeight="1">
      <c r="A370" t="inlineStr">
        <is>
          <t>A 34872-2023</t>
        </is>
      </c>
      <c r="B370" s="1" t="n">
        <v>45140</v>
      </c>
      <c r="C370" s="1" t="n">
        <v>46189</v>
      </c>
      <c r="D370" t="inlineStr">
        <is>
          <t>ÖSTERGÖTLANDS LÄN</t>
        </is>
      </c>
      <c r="E370" t="inlineStr">
        <is>
          <t>LINKÖPING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33000-2023</t>
        </is>
      </c>
      <c r="B371" s="1" t="n">
        <v>45125</v>
      </c>
      <c r="C371" s="1" t="n">
        <v>46189</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50667-2025</t>
        </is>
      </c>
      <c r="B372" s="1" t="n">
        <v>45945</v>
      </c>
      <c r="C372" s="1" t="n">
        <v>46189</v>
      </c>
      <c r="D372" t="inlineStr">
        <is>
          <t>ÖSTERGÖTLANDS LÄN</t>
        </is>
      </c>
      <c r="E372" t="inlineStr">
        <is>
          <t>LINKÖPING</t>
        </is>
      </c>
      <c r="G372" t="n">
        <v>3.3</v>
      </c>
      <c r="H372" t="n">
        <v>0</v>
      </c>
      <c r="I372" t="n">
        <v>0</v>
      </c>
      <c r="J372" t="n">
        <v>0</v>
      </c>
      <c r="K372" t="n">
        <v>0</v>
      </c>
      <c r="L372" t="n">
        <v>0</v>
      </c>
      <c r="M372" t="n">
        <v>0</v>
      </c>
      <c r="N372" t="n">
        <v>0</v>
      </c>
      <c r="O372" t="n">
        <v>0</v>
      </c>
      <c r="P372" t="n">
        <v>0</v>
      </c>
      <c r="Q372" t="n">
        <v>0</v>
      </c>
      <c r="R372" s="2" t="inlineStr"/>
    </row>
    <row r="373" ht="15" customHeight="1">
      <c r="A373" t="inlineStr">
        <is>
          <t>A 2997-2025</t>
        </is>
      </c>
      <c r="B373" s="1" t="n">
        <v>45678.54631944445</v>
      </c>
      <c r="C373" s="1" t="n">
        <v>46189</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31534-2023</t>
        </is>
      </c>
      <c r="B374" s="1" t="n">
        <v>45116</v>
      </c>
      <c r="C374" s="1" t="n">
        <v>46189</v>
      </c>
      <c r="D374" t="inlineStr">
        <is>
          <t>ÖSTERGÖTLANDS LÄN</t>
        </is>
      </c>
      <c r="E374" t="inlineStr">
        <is>
          <t>LINKÖPING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26803-2024</t>
        </is>
      </c>
      <c r="B375" s="1" t="n">
        <v>45470</v>
      </c>
      <c r="C375" s="1" t="n">
        <v>46189</v>
      </c>
      <c r="D375" t="inlineStr">
        <is>
          <t>ÖSTERGÖTLANDS LÄN</t>
        </is>
      </c>
      <c r="E375" t="inlineStr">
        <is>
          <t>LINKÖPING</t>
        </is>
      </c>
      <c r="F375" t="inlineStr">
        <is>
          <t>Allmännings- och besparingsskogar</t>
        </is>
      </c>
      <c r="G375" t="n">
        <v>4.5</v>
      </c>
      <c r="H375" t="n">
        <v>0</v>
      </c>
      <c r="I375" t="n">
        <v>0</v>
      </c>
      <c r="J375" t="n">
        <v>0</v>
      </c>
      <c r="K375" t="n">
        <v>0</v>
      </c>
      <c r="L375" t="n">
        <v>0</v>
      </c>
      <c r="M375" t="n">
        <v>0</v>
      </c>
      <c r="N375" t="n">
        <v>0</v>
      </c>
      <c r="O375" t="n">
        <v>0</v>
      </c>
      <c r="P375" t="n">
        <v>0</v>
      </c>
      <c r="Q375" t="n">
        <v>0</v>
      </c>
      <c r="R375" s="2" t="inlineStr"/>
    </row>
    <row r="376" ht="15" customHeight="1">
      <c r="A376" t="inlineStr">
        <is>
          <t>A 45806-2024</t>
        </is>
      </c>
      <c r="B376" s="1" t="n">
        <v>45579.69619212963</v>
      </c>
      <c r="C376" s="1" t="n">
        <v>46189</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52111-2025</t>
        </is>
      </c>
      <c r="B377" s="1" t="n">
        <v>45952.69527777778</v>
      </c>
      <c r="C377" s="1" t="n">
        <v>46189</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37154-2023</t>
        </is>
      </c>
      <c r="B378" s="1" t="n">
        <v>45155</v>
      </c>
      <c r="C378" s="1" t="n">
        <v>46189</v>
      </c>
      <c r="D378" t="inlineStr">
        <is>
          <t>ÖSTERGÖTLANDS LÄN</t>
        </is>
      </c>
      <c r="E378" t="inlineStr">
        <is>
          <t>LINKÖPING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11330-2023</t>
        </is>
      </c>
      <c r="B379" s="1" t="n">
        <v>44993.24648148148</v>
      </c>
      <c r="C379" s="1" t="n">
        <v>46189</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42000-2023</t>
        </is>
      </c>
      <c r="B380" s="1" t="n">
        <v>45177</v>
      </c>
      <c r="C380" s="1" t="n">
        <v>46189</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52802-2025</t>
        </is>
      </c>
      <c r="B381" s="1" t="n">
        <v>45957.44295138889</v>
      </c>
      <c r="C381" s="1" t="n">
        <v>46189</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32602-2022</t>
        </is>
      </c>
      <c r="B382" s="1" t="n">
        <v>44783.43192129629</v>
      </c>
      <c r="C382" s="1" t="n">
        <v>46189</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13413-2023</t>
        </is>
      </c>
      <c r="B383" s="1" t="n">
        <v>45005.58341435185</v>
      </c>
      <c r="C383" s="1" t="n">
        <v>46189</v>
      </c>
      <c r="D383" t="inlineStr">
        <is>
          <t>ÖSTERGÖTLANDS LÄN</t>
        </is>
      </c>
      <c r="E383" t="inlineStr">
        <is>
          <t>LINKÖPING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63528-2023</t>
        </is>
      </c>
      <c r="B384" s="1" t="n">
        <v>45274.94810185185</v>
      </c>
      <c r="C384" s="1" t="n">
        <v>46189</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63638-2023</t>
        </is>
      </c>
      <c r="B385" s="1" t="n">
        <v>45275</v>
      </c>
      <c r="C385" s="1" t="n">
        <v>46189</v>
      </c>
      <c r="D385" t="inlineStr">
        <is>
          <t>ÖSTERGÖTLANDS LÄN</t>
        </is>
      </c>
      <c r="E385" t="inlineStr">
        <is>
          <t>LINKÖPING</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63658-2023</t>
        </is>
      </c>
      <c r="B386" s="1" t="n">
        <v>45275</v>
      </c>
      <c r="C386" s="1" t="n">
        <v>46189</v>
      </c>
      <c r="D386" t="inlineStr">
        <is>
          <t>ÖSTERGÖTLANDS LÄN</t>
        </is>
      </c>
      <c r="E386" t="inlineStr">
        <is>
          <t>LINKÖPING</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7808-2022</t>
        </is>
      </c>
      <c r="B387" s="1" t="n">
        <v>44608</v>
      </c>
      <c r="C387" s="1" t="n">
        <v>46189</v>
      </c>
      <c r="D387" t="inlineStr">
        <is>
          <t>ÖSTERGÖTLANDS LÄN</t>
        </is>
      </c>
      <c r="E387" t="inlineStr">
        <is>
          <t>LINKÖPING</t>
        </is>
      </c>
      <c r="F387" t="inlineStr">
        <is>
          <t>Sveaskog</t>
        </is>
      </c>
      <c r="G387" t="n">
        <v>1.7</v>
      </c>
      <c r="H387" t="n">
        <v>0</v>
      </c>
      <c r="I387" t="n">
        <v>0</v>
      </c>
      <c r="J387" t="n">
        <v>0</v>
      </c>
      <c r="K387" t="n">
        <v>0</v>
      </c>
      <c r="L387" t="n">
        <v>0</v>
      </c>
      <c r="M387" t="n">
        <v>0</v>
      </c>
      <c r="N387" t="n">
        <v>0</v>
      </c>
      <c r="O387" t="n">
        <v>0</v>
      </c>
      <c r="P387" t="n">
        <v>0</v>
      </c>
      <c r="Q387" t="n">
        <v>0</v>
      </c>
      <c r="R387" s="2" t="inlineStr"/>
    </row>
    <row r="388" ht="15" customHeight="1">
      <c r="A388" t="inlineStr">
        <is>
          <t>A 52740-2025</t>
        </is>
      </c>
      <c r="B388" s="1" t="n">
        <v>45957.37747685185</v>
      </c>
      <c r="C388" s="1" t="n">
        <v>46189</v>
      </c>
      <c r="D388" t="inlineStr">
        <is>
          <t>ÖSTERGÖTLANDS LÄN</t>
        </is>
      </c>
      <c r="E388" t="inlineStr">
        <is>
          <t>LINKÖPING</t>
        </is>
      </c>
      <c r="G388" t="n">
        <v>3.7</v>
      </c>
      <c r="H388" t="n">
        <v>0</v>
      </c>
      <c r="I388" t="n">
        <v>0</v>
      </c>
      <c r="J388" t="n">
        <v>0</v>
      </c>
      <c r="K388" t="n">
        <v>0</v>
      </c>
      <c r="L388" t="n">
        <v>0</v>
      </c>
      <c r="M388" t="n">
        <v>0</v>
      </c>
      <c r="N388" t="n">
        <v>0</v>
      </c>
      <c r="O388" t="n">
        <v>0</v>
      </c>
      <c r="P388" t="n">
        <v>0</v>
      </c>
      <c r="Q388" t="n">
        <v>0</v>
      </c>
      <c r="R388" s="2" t="inlineStr"/>
    </row>
    <row r="389" ht="15" customHeight="1">
      <c r="A389" t="inlineStr">
        <is>
          <t>A 52743-2025</t>
        </is>
      </c>
      <c r="B389" s="1" t="n">
        <v>45957.38039351852</v>
      </c>
      <c r="C389" s="1" t="n">
        <v>46189</v>
      </c>
      <c r="D389" t="inlineStr">
        <is>
          <t>ÖSTERGÖTLANDS LÄN</t>
        </is>
      </c>
      <c r="E389" t="inlineStr">
        <is>
          <t>LINKÖPING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36336-2023</t>
        </is>
      </c>
      <c r="B390" s="1" t="n">
        <v>45152.45078703704</v>
      </c>
      <c r="C390" s="1" t="n">
        <v>46189</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56623-2024</t>
        </is>
      </c>
      <c r="B391" s="1" t="n">
        <v>45625</v>
      </c>
      <c r="C391" s="1" t="n">
        <v>46189</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13011-2022</t>
        </is>
      </c>
      <c r="B392" s="1" t="n">
        <v>44643</v>
      </c>
      <c r="C392" s="1" t="n">
        <v>46189</v>
      </c>
      <c r="D392" t="inlineStr">
        <is>
          <t>ÖSTERGÖTLANDS LÄN</t>
        </is>
      </c>
      <c r="E392" t="inlineStr">
        <is>
          <t>LINKÖPING</t>
        </is>
      </c>
      <c r="G392" t="n">
        <v>3.7</v>
      </c>
      <c r="H392" t="n">
        <v>0</v>
      </c>
      <c r="I392" t="n">
        <v>0</v>
      </c>
      <c r="J392" t="n">
        <v>0</v>
      </c>
      <c r="K392" t="n">
        <v>0</v>
      </c>
      <c r="L392" t="n">
        <v>0</v>
      </c>
      <c r="M392" t="n">
        <v>0</v>
      </c>
      <c r="N392" t="n">
        <v>0</v>
      </c>
      <c r="O392" t="n">
        <v>0</v>
      </c>
      <c r="P392" t="n">
        <v>0</v>
      </c>
      <c r="Q392" t="n">
        <v>0</v>
      </c>
      <c r="R392" s="2" t="inlineStr"/>
    </row>
    <row r="393" ht="15" customHeight="1">
      <c r="A393" t="inlineStr">
        <is>
          <t>A 36336-2022</t>
        </is>
      </c>
      <c r="B393" s="1" t="n">
        <v>44803</v>
      </c>
      <c r="C393" s="1" t="n">
        <v>46189</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48839-2022</t>
        </is>
      </c>
      <c r="B394" s="1" t="n">
        <v>44859</v>
      </c>
      <c r="C394" s="1" t="n">
        <v>46189</v>
      </c>
      <c r="D394" t="inlineStr">
        <is>
          <t>ÖSTERGÖTLANDS LÄN</t>
        </is>
      </c>
      <c r="E394" t="inlineStr">
        <is>
          <t>LINKÖPING</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55109-2025</t>
        </is>
      </c>
      <c r="B395" s="1" t="n">
        <v>45968.37731481482</v>
      </c>
      <c r="C395" s="1" t="n">
        <v>46189</v>
      </c>
      <c r="D395" t="inlineStr">
        <is>
          <t>ÖSTERGÖTLANDS LÄN</t>
        </is>
      </c>
      <c r="E395" t="inlineStr">
        <is>
          <t>LINKÖPING</t>
        </is>
      </c>
      <c r="G395" t="n">
        <v>3.2</v>
      </c>
      <c r="H395" t="n">
        <v>0</v>
      </c>
      <c r="I395" t="n">
        <v>0</v>
      </c>
      <c r="J395" t="n">
        <v>0</v>
      </c>
      <c r="K395" t="n">
        <v>0</v>
      </c>
      <c r="L395" t="n">
        <v>0</v>
      </c>
      <c r="M395" t="n">
        <v>0</v>
      </c>
      <c r="N395" t="n">
        <v>0</v>
      </c>
      <c r="O395" t="n">
        <v>0</v>
      </c>
      <c r="P395" t="n">
        <v>0</v>
      </c>
      <c r="Q395" t="n">
        <v>0</v>
      </c>
      <c r="R395" s="2" t="inlineStr"/>
    </row>
    <row r="396" ht="15" customHeight="1">
      <c r="A396" t="inlineStr">
        <is>
          <t>A 55165-2025</t>
        </is>
      </c>
      <c r="B396" s="1" t="n">
        <v>45968.48194444444</v>
      </c>
      <c r="C396" s="1" t="n">
        <v>46189</v>
      </c>
      <c r="D396" t="inlineStr">
        <is>
          <t>ÖSTERGÖTLANDS LÄN</t>
        </is>
      </c>
      <c r="E396" t="inlineStr">
        <is>
          <t>LINKÖPING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55102-2025</t>
        </is>
      </c>
      <c r="B397" s="1" t="n">
        <v>45968.35410879629</v>
      </c>
      <c r="C397" s="1" t="n">
        <v>46189</v>
      </c>
      <c r="D397" t="inlineStr">
        <is>
          <t>ÖSTERGÖTLANDS LÄN</t>
        </is>
      </c>
      <c r="E397" t="inlineStr">
        <is>
          <t>LINKÖPING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55132-2025</t>
        </is>
      </c>
      <c r="B398" s="1" t="n">
        <v>45968.41912037037</v>
      </c>
      <c r="C398" s="1" t="n">
        <v>46189</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6387-2022</t>
        </is>
      </c>
      <c r="B399" s="1" t="n">
        <v>44600</v>
      </c>
      <c r="C399" s="1" t="n">
        <v>46189</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34641-2022</t>
        </is>
      </c>
      <c r="B400" s="1" t="n">
        <v>44795</v>
      </c>
      <c r="C400" s="1" t="n">
        <v>46189</v>
      </c>
      <c r="D400" t="inlineStr">
        <is>
          <t>ÖSTERGÖTLANDS LÄN</t>
        </is>
      </c>
      <c r="E400" t="inlineStr">
        <is>
          <t>LINKÖPING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13687-2025</t>
        </is>
      </c>
      <c r="B401" s="1" t="n">
        <v>45737.31425925926</v>
      </c>
      <c r="C401" s="1" t="n">
        <v>46189</v>
      </c>
      <c r="D401" t="inlineStr">
        <is>
          <t>ÖSTERGÖTLANDS LÄN</t>
        </is>
      </c>
      <c r="E401" t="inlineStr">
        <is>
          <t>LINKÖPING</t>
        </is>
      </c>
      <c r="G401" t="n">
        <v>2.7</v>
      </c>
      <c r="H401" t="n">
        <v>0</v>
      </c>
      <c r="I401" t="n">
        <v>0</v>
      </c>
      <c r="J401" t="n">
        <v>0</v>
      </c>
      <c r="K401" t="n">
        <v>0</v>
      </c>
      <c r="L401" t="n">
        <v>0</v>
      </c>
      <c r="M401" t="n">
        <v>0</v>
      </c>
      <c r="N401" t="n">
        <v>0</v>
      </c>
      <c r="O401" t="n">
        <v>0</v>
      </c>
      <c r="P401" t="n">
        <v>0</v>
      </c>
      <c r="Q401" t="n">
        <v>0</v>
      </c>
      <c r="R401" s="2" t="inlineStr"/>
    </row>
    <row r="402" ht="15" customHeight="1">
      <c r="A402" t="inlineStr">
        <is>
          <t>A 13695-2025</t>
        </is>
      </c>
      <c r="B402" s="1" t="n">
        <v>45737.32219907407</v>
      </c>
      <c r="C402" s="1" t="n">
        <v>46189</v>
      </c>
      <c r="D402" t="inlineStr">
        <is>
          <t>ÖSTERGÖTLANDS LÄN</t>
        </is>
      </c>
      <c r="E402" t="inlineStr">
        <is>
          <t>LINKÖPING</t>
        </is>
      </c>
      <c r="G402" t="n">
        <v>5.3</v>
      </c>
      <c r="H402" t="n">
        <v>0</v>
      </c>
      <c r="I402" t="n">
        <v>0</v>
      </c>
      <c r="J402" t="n">
        <v>0</v>
      </c>
      <c r="K402" t="n">
        <v>0</v>
      </c>
      <c r="L402" t="n">
        <v>0</v>
      </c>
      <c r="M402" t="n">
        <v>0</v>
      </c>
      <c r="N402" t="n">
        <v>0</v>
      </c>
      <c r="O402" t="n">
        <v>0</v>
      </c>
      <c r="P402" t="n">
        <v>0</v>
      </c>
      <c r="Q402" t="n">
        <v>0</v>
      </c>
      <c r="R402" s="2" t="inlineStr"/>
    </row>
    <row r="403" ht="15" customHeight="1">
      <c r="A403" t="inlineStr">
        <is>
          <t>A 56105-2025</t>
        </is>
      </c>
      <c r="B403" s="1" t="n">
        <v>45973.72855324074</v>
      </c>
      <c r="C403" s="1" t="n">
        <v>46189</v>
      </c>
      <c r="D403" t="inlineStr">
        <is>
          <t>ÖSTERGÖTLANDS LÄN</t>
        </is>
      </c>
      <c r="E403" t="inlineStr">
        <is>
          <t>LINKÖPING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52413-2023</t>
        </is>
      </c>
      <c r="B404" s="1" t="n">
        <v>45225.27950231481</v>
      </c>
      <c r="C404" s="1" t="n">
        <v>46189</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53797-2023</t>
        </is>
      </c>
      <c r="B405" s="1" t="n">
        <v>45230</v>
      </c>
      <c r="C405" s="1" t="n">
        <v>46189</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56113-2025</t>
        </is>
      </c>
      <c r="B406" s="1" t="n">
        <v>45973.73924768518</v>
      </c>
      <c r="C406" s="1" t="n">
        <v>46189</v>
      </c>
      <c r="D406" t="inlineStr">
        <is>
          <t>ÖSTERGÖTLANDS LÄN</t>
        </is>
      </c>
      <c r="E406" t="inlineStr">
        <is>
          <t>LINKÖPING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56704-2025</t>
        </is>
      </c>
      <c r="B407" s="1" t="n">
        <v>45977.50608796296</v>
      </c>
      <c r="C407" s="1" t="n">
        <v>46189</v>
      </c>
      <c r="D407" t="inlineStr">
        <is>
          <t>ÖSTERGÖTLANDS LÄN</t>
        </is>
      </c>
      <c r="E407" t="inlineStr">
        <is>
          <t>LINKÖPING</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22833-2023</t>
        </is>
      </c>
      <c r="B408" s="1" t="n">
        <v>45071</v>
      </c>
      <c r="C408" s="1" t="n">
        <v>46189</v>
      </c>
      <c r="D408" t="inlineStr">
        <is>
          <t>ÖSTERGÖTLANDS LÄN</t>
        </is>
      </c>
      <c r="E408" t="inlineStr">
        <is>
          <t>LINKÖPING</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17898-2022</t>
        </is>
      </c>
      <c r="B409" s="1" t="n">
        <v>44683</v>
      </c>
      <c r="C409" s="1" t="n">
        <v>46189</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62017-2024</t>
        </is>
      </c>
      <c r="B410" s="1" t="n">
        <v>45655.81140046296</v>
      </c>
      <c r="C410" s="1" t="n">
        <v>46189</v>
      </c>
      <c r="D410" t="inlineStr">
        <is>
          <t>ÖSTERGÖTLANDS LÄN</t>
        </is>
      </c>
      <c r="E410" t="inlineStr">
        <is>
          <t>LINKÖPING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12411-2022</t>
        </is>
      </c>
      <c r="B411" s="1" t="n">
        <v>44638.21601851852</v>
      </c>
      <c r="C411" s="1" t="n">
        <v>46189</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10492-2022</t>
        </is>
      </c>
      <c r="B412" s="1" t="n">
        <v>44623.6377199074</v>
      </c>
      <c r="C412" s="1" t="n">
        <v>46189</v>
      </c>
      <c r="D412" t="inlineStr">
        <is>
          <t>ÖSTERGÖTLANDS LÄN</t>
        </is>
      </c>
      <c r="E412" t="inlineStr">
        <is>
          <t>LINKÖPING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7343-2025</t>
        </is>
      </c>
      <c r="B413" s="1" t="n">
        <v>45703.67853009259</v>
      </c>
      <c r="C413" s="1" t="n">
        <v>46189</v>
      </c>
      <c r="D413" t="inlineStr">
        <is>
          <t>ÖSTERGÖTLANDS LÄN</t>
        </is>
      </c>
      <c r="E413" t="inlineStr">
        <is>
          <t>LINKÖPING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35427-2023</t>
        </is>
      </c>
      <c r="B414" s="1" t="n">
        <v>45146</v>
      </c>
      <c r="C414" s="1" t="n">
        <v>46189</v>
      </c>
      <c r="D414" t="inlineStr">
        <is>
          <t>ÖSTERGÖTLANDS LÄN</t>
        </is>
      </c>
      <c r="E414" t="inlineStr">
        <is>
          <t>LINKÖPING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30468-2023</t>
        </is>
      </c>
      <c r="B415" s="1" t="n">
        <v>45111.58732638889</v>
      </c>
      <c r="C415" s="1" t="n">
        <v>46189</v>
      </c>
      <c r="D415" t="inlineStr">
        <is>
          <t>ÖSTERGÖTLANDS LÄN</t>
        </is>
      </c>
      <c r="E415" t="inlineStr">
        <is>
          <t>LINKÖPING</t>
        </is>
      </c>
      <c r="G415" t="n">
        <v>10.1</v>
      </c>
      <c r="H415" t="n">
        <v>0</v>
      </c>
      <c r="I415" t="n">
        <v>0</v>
      </c>
      <c r="J415" t="n">
        <v>0</v>
      </c>
      <c r="K415" t="n">
        <v>0</v>
      </c>
      <c r="L415" t="n">
        <v>0</v>
      </c>
      <c r="M415" t="n">
        <v>0</v>
      </c>
      <c r="N415" t="n">
        <v>0</v>
      </c>
      <c r="O415" t="n">
        <v>0</v>
      </c>
      <c r="P415" t="n">
        <v>0</v>
      </c>
      <c r="Q415" t="n">
        <v>0</v>
      </c>
      <c r="R415" s="2" t="inlineStr"/>
    </row>
    <row r="416" ht="15" customHeight="1">
      <c r="A416" t="inlineStr">
        <is>
          <t>A 20296-2025</t>
        </is>
      </c>
      <c r="B416" s="1" t="n">
        <v>45774.74922453704</v>
      </c>
      <c r="C416" s="1" t="n">
        <v>46189</v>
      </c>
      <c r="D416" t="inlineStr">
        <is>
          <t>ÖSTERGÖTLANDS LÄN</t>
        </is>
      </c>
      <c r="E416" t="inlineStr">
        <is>
          <t>LINKÖPING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56841-2023</t>
        </is>
      </c>
      <c r="B417" s="1" t="n">
        <v>45244</v>
      </c>
      <c r="C417" s="1" t="n">
        <v>46189</v>
      </c>
      <c r="D417" t="inlineStr">
        <is>
          <t>ÖSTERGÖTLANDS LÄN</t>
        </is>
      </c>
      <c r="E417" t="inlineStr">
        <is>
          <t>LINKÖPING</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59205-2025</t>
        </is>
      </c>
      <c r="B418" s="1" t="n">
        <v>45988.60721064815</v>
      </c>
      <c r="C418" s="1" t="n">
        <v>46189</v>
      </c>
      <c r="D418" t="inlineStr">
        <is>
          <t>ÖSTERGÖTLANDS LÄN</t>
        </is>
      </c>
      <c r="E418" t="inlineStr">
        <is>
          <t>LINKÖPING</t>
        </is>
      </c>
      <c r="F418" t="inlineStr">
        <is>
          <t>Sveaskog</t>
        </is>
      </c>
      <c r="G418" t="n">
        <v>11.3</v>
      </c>
      <c r="H418" t="n">
        <v>0</v>
      </c>
      <c r="I418" t="n">
        <v>0</v>
      </c>
      <c r="J418" t="n">
        <v>0</v>
      </c>
      <c r="K418" t="n">
        <v>0</v>
      </c>
      <c r="L418" t="n">
        <v>0</v>
      </c>
      <c r="M418" t="n">
        <v>0</v>
      </c>
      <c r="N418" t="n">
        <v>0</v>
      </c>
      <c r="O418" t="n">
        <v>0</v>
      </c>
      <c r="P418" t="n">
        <v>0</v>
      </c>
      <c r="Q418" t="n">
        <v>0</v>
      </c>
      <c r="R418" s="2" t="inlineStr"/>
    </row>
    <row r="419" ht="15" customHeight="1">
      <c r="A419" t="inlineStr">
        <is>
          <t>A 59472-2025</t>
        </is>
      </c>
      <c r="B419" s="1" t="n">
        <v>45989.58321759259</v>
      </c>
      <c r="C419" s="1" t="n">
        <v>46189</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53812-2023</t>
        </is>
      </c>
      <c r="B420" s="1" t="n">
        <v>45231.39583333334</v>
      </c>
      <c r="C420" s="1" t="n">
        <v>46189</v>
      </c>
      <c r="D420" t="inlineStr">
        <is>
          <t>ÖSTERGÖTLANDS LÄN</t>
        </is>
      </c>
      <c r="E420" t="inlineStr">
        <is>
          <t>LINKÖPING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53830-2023</t>
        </is>
      </c>
      <c r="B421" s="1" t="n">
        <v>45230</v>
      </c>
      <c r="C421" s="1" t="n">
        <v>46189</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38715-2023</t>
        </is>
      </c>
      <c r="B422" s="1" t="n">
        <v>45160</v>
      </c>
      <c r="C422" s="1" t="n">
        <v>46189</v>
      </c>
      <c r="D422" t="inlineStr">
        <is>
          <t>ÖSTERGÖTLANDS LÄN</t>
        </is>
      </c>
      <c r="E422" t="inlineStr">
        <is>
          <t>LINKÖPING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60087-2025</t>
        </is>
      </c>
      <c r="B423" s="1" t="n">
        <v>45993.71726851852</v>
      </c>
      <c r="C423" s="1" t="n">
        <v>46189</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60703-2025</t>
        </is>
      </c>
      <c r="B424" s="1" t="n">
        <v>45996.6052662037</v>
      </c>
      <c r="C424" s="1" t="n">
        <v>46189</v>
      </c>
      <c r="D424" t="inlineStr">
        <is>
          <t>ÖSTERGÖTLANDS LÄN</t>
        </is>
      </c>
      <c r="E424" t="inlineStr">
        <is>
          <t>LINKÖPING</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27766-2022</t>
        </is>
      </c>
      <c r="B425" s="1" t="n">
        <v>44743.53112268518</v>
      </c>
      <c r="C425" s="1" t="n">
        <v>46189</v>
      </c>
      <c r="D425" t="inlineStr">
        <is>
          <t>ÖSTERGÖTLANDS LÄN</t>
        </is>
      </c>
      <c r="E425" t="inlineStr">
        <is>
          <t>LINKÖPING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61230-2025</t>
        </is>
      </c>
      <c r="B426" s="1" t="n">
        <v>46000.63111111111</v>
      </c>
      <c r="C426" s="1" t="n">
        <v>46189</v>
      </c>
      <c r="D426" t="inlineStr">
        <is>
          <t>ÖSTERGÖTLANDS LÄN</t>
        </is>
      </c>
      <c r="E426" t="inlineStr">
        <is>
          <t>LINKÖPING</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48271-2023</t>
        </is>
      </c>
      <c r="B427" s="1" t="n">
        <v>45205</v>
      </c>
      <c r="C427" s="1" t="n">
        <v>46189</v>
      </c>
      <c r="D427" t="inlineStr">
        <is>
          <t>ÖSTERGÖTLANDS LÄN</t>
        </is>
      </c>
      <c r="E427" t="inlineStr">
        <is>
          <t>LINKÖPING</t>
        </is>
      </c>
      <c r="G427" t="n">
        <v>3</v>
      </c>
      <c r="H427" t="n">
        <v>0</v>
      </c>
      <c r="I427" t="n">
        <v>0</v>
      </c>
      <c r="J427" t="n">
        <v>0</v>
      </c>
      <c r="K427" t="n">
        <v>0</v>
      </c>
      <c r="L427" t="n">
        <v>0</v>
      </c>
      <c r="M427" t="n">
        <v>0</v>
      </c>
      <c r="N427" t="n">
        <v>0</v>
      </c>
      <c r="O427" t="n">
        <v>0</v>
      </c>
      <c r="P427" t="n">
        <v>0</v>
      </c>
      <c r="Q427" t="n">
        <v>0</v>
      </c>
      <c r="R427" s="2" t="inlineStr"/>
    </row>
    <row r="428" ht="15" customHeight="1">
      <c r="A428" t="inlineStr">
        <is>
          <t>A 61645-2025</t>
        </is>
      </c>
      <c r="B428" s="1" t="n">
        <v>46002.43697916667</v>
      </c>
      <c r="C428" s="1" t="n">
        <v>46189</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60001-2022</t>
        </is>
      </c>
      <c r="B429" s="1" t="n">
        <v>44909.47087962963</v>
      </c>
      <c r="C429" s="1" t="n">
        <v>46189</v>
      </c>
      <c r="D429" t="inlineStr">
        <is>
          <t>ÖSTERGÖTLANDS LÄN</t>
        </is>
      </c>
      <c r="E429" t="inlineStr">
        <is>
          <t>LINKÖPING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1657-2024</t>
        </is>
      </c>
      <c r="B430" s="1" t="n">
        <v>45306.82501157407</v>
      </c>
      <c r="C430" s="1" t="n">
        <v>46189</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63144-2025</t>
        </is>
      </c>
      <c r="B431" s="1" t="n">
        <v>46010.34716435185</v>
      </c>
      <c r="C431" s="1" t="n">
        <v>46189</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30976-2022</t>
        </is>
      </c>
      <c r="B432" s="1" t="n">
        <v>44768</v>
      </c>
      <c r="C432" s="1" t="n">
        <v>46189</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30860-2022</t>
        </is>
      </c>
      <c r="B433" s="1" t="n">
        <v>44767</v>
      </c>
      <c r="C433" s="1" t="n">
        <v>46189</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48186-2022</t>
        </is>
      </c>
      <c r="B434" s="1" t="n">
        <v>44858</v>
      </c>
      <c r="C434" s="1" t="n">
        <v>46189</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28266-2024</t>
        </is>
      </c>
      <c r="B435" s="1" t="n">
        <v>45477.43600694444</v>
      </c>
      <c r="C435" s="1" t="n">
        <v>46189</v>
      </c>
      <c r="D435" t="inlineStr">
        <is>
          <t>ÖSTERGÖTLANDS LÄN</t>
        </is>
      </c>
      <c r="E435" t="inlineStr">
        <is>
          <t>LINKÖPING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31548-2022</t>
        </is>
      </c>
      <c r="B436" s="1" t="n">
        <v>44775.39832175926</v>
      </c>
      <c r="C436" s="1" t="n">
        <v>46189</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1211-2023</t>
        </is>
      </c>
      <c r="B437" s="1" t="n">
        <v>44930</v>
      </c>
      <c r="C437" s="1" t="n">
        <v>46189</v>
      </c>
      <c r="D437" t="inlineStr">
        <is>
          <t>ÖSTERGÖTLANDS LÄN</t>
        </is>
      </c>
      <c r="E437" t="inlineStr">
        <is>
          <t>LINKÖPING</t>
        </is>
      </c>
      <c r="F437" t="inlineStr">
        <is>
          <t>Övriga statliga verk och myndigheter</t>
        </is>
      </c>
      <c r="G437" t="n">
        <v>7.9</v>
      </c>
      <c r="H437" t="n">
        <v>0</v>
      </c>
      <c r="I437" t="n">
        <v>0</v>
      </c>
      <c r="J437" t="n">
        <v>0</v>
      </c>
      <c r="K437" t="n">
        <v>0</v>
      </c>
      <c r="L437" t="n">
        <v>0</v>
      </c>
      <c r="M437" t="n">
        <v>0</v>
      </c>
      <c r="N437" t="n">
        <v>0</v>
      </c>
      <c r="O437" t="n">
        <v>0</v>
      </c>
      <c r="P437" t="n">
        <v>0</v>
      </c>
      <c r="Q437" t="n">
        <v>0</v>
      </c>
      <c r="R437" s="2" t="inlineStr"/>
    </row>
    <row r="438" ht="15" customHeight="1">
      <c r="A438" t="inlineStr">
        <is>
          <t>A 51191-2022</t>
        </is>
      </c>
      <c r="B438" s="1" t="n">
        <v>44865</v>
      </c>
      <c r="C438" s="1" t="n">
        <v>46189</v>
      </c>
      <c r="D438" t="inlineStr">
        <is>
          <t>ÖSTERGÖTLANDS LÄN</t>
        </is>
      </c>
      <c r="E438" t="inlineStr">
        <is>
          <t>LINKÖPING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55632-2022</t>
        </is>
      </c>
      <c r="B439" s="1" t="n">
        <v>44888</v>
      </c>
      <c r="C439" s="1" t="n">
        <v>46189</v>
      </c>
      <c r="D439" t="inlineStr">
        <is>
          <t>ÖSTERGÖTLANDS LÄN</t>
        </is>
      </c>
      <c r="E439" t="inlineStr">
        <is>
          <t>LINKÖPING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63669-2023</t>
        </is>
      </c>
      <c r="B440" s="1" t="n">
        <v>45275</v>
      </c>
      <c r="C440" s="1" t="n">
        <v>46189</v>
      </c>
      <c r="D440" t="inlineStr">
        <is>
          <t>ÖSTERGÖTLANDS LÄN</t>
        </is>
      </c>
      <c r="E440" t="inlineStr">
        <is>
          <t>LINKÖPING</t>
        </is>
      </c>
      <c r="F440" t="inlineStr">
        <is>
          <t>Övriga Aktiebolag</t>
        </is>
      </c>
      <c r="G440" t="n">
        <v>3</v>
      </c>
      <c r="H440" t="n">
        <v>0</v>
      </c>
      <c r="I440" t="n">
        <v>0</v>
      </c>
      <c r="J440" t="n">
        <v>0</v>
      </c>
      <c r="K440" t="n">
        <v>0</v>
      </c>
      <c r="L440" t="n">
        <v>0</v>
      </c>
      <c r="M440" t="n">
        <v>0</v>
      </c>
      <c r="N440" t="n">
        <v>0</v>
      </c>
      <c r="O440" t="n">
        <v>0</v>
      </c>
      <c r="P440" t="n">
        <v>0</v>
      </c>
      <c r="Q440" t="n">
        <v>0</v>
      </c>
      <c r="R440" s="2" t="inlineStr"/>
    </row>
    <row r="441" ht="15" customHeight="1">
      <c r="A441" t="inlineStr">
        <is>
          <t>A 12289-2025</t>
        </is>
      </c>
      <c r="B441" s="1" t="n">
        <v>45729</v>
      </c>
      <c r="C441" s="1" t="n">
        <v>46189</v>
      </c>
      <c r="D441" t="inlineStr">
        <is>
          <t>ÖSTERGÖTLANDS LÄN</t>
        </is>
      </c>
      <c r="E441" t="inlineStr">
        <is>
          <t>LINKÖPING</t>
        </is>
      </c>
      <c r="F441" t="inlineStr">
        <is>
          <t>Övriga statliga verk och myndigheter</t>
        </is>
      </c>
      <c r="G441" t="n">
        <v>6.5</v>
      </c>
      <c r="H441" t="n">
        <v>0</v>
      </c>
      <c r="I441" t="n">
        <v>0</v>
      </c>
      <c r="J441" t="n">
        <v>0</v>
      </c>
      <c r="K441" t="n">
        <v>0</v>
      </c>
      <c r="L441" t="n">
        <v>0</v>
      </c>
      <c r="M441" t="n">
        <v>0</v>
      </c>
      <c r="N441" t="n">
        <v>0</v>
      </c>
      <c r="O441" t="n">
        <v>0</v>
      </c>
      <c r="P441" t="n">
        <v>0</v>
      </c>
      <c r="Q441" t="n">
        <v>0</v>
      </c>
      <c r="R441" s="2" t="inlineStr"/>
    </row>
    <row r="442" ht="15" customHeight="1">
      <c r="A442" t="inlineStr">
        <is>
          <t>A 36657-2023</t>
        </is>
      </c>
      <c r="B442" s="1" t="n">
        <v>45153.5702662037</v>
      </c>
      <c r="C442" s="1" t="n">
        <v>46189</v>
      </c>
      <c r="D442" t="inlineStr">
        <is>
          <t>ÖSTERGÖTLANDS LÄN</t>
        </is>
      </c>
      <c r="E442" t="inlineStr">
        <is>
          <t>LINKÖPING</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19169-2023</t>
        </is>
      </c>
      <c r="B443" s="1" t="n">
        <v>45044</v>
      </c>
      <c r="C443" s="1" t="n">
        <v>46189</v>
      </c>
      <c r="D443" t="inlineStr">
        <is>
          <t>ÖSTERGÖTLANDS LÄN</t>
        </is>
      </c>
      <c r="E443" t="inlineStr">
        <is>
          <t>LINKÖPING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1209-2023</t>
        </is>
      </c>
      <c r="B444" s="1" t="n">
        <v>44930</v>
      </c>
      <c r="C444" s="1" t="n">
        <v>46189</v>
      </c>
      <c r="D444" t="inlineStr">
        <is>
          <t>ÖSTERGÖTLANDS LÄN</t>
        </is>
      </c>
      <c r="E444" t="inlineStr">
        <is>
          <t>LINKÖPING</t>
        </is>
      </c>
      <c r="F444" t="inlineStr">
        <is>
          <t>Övriga statliga verk och myndigheter</t>
        </is>
      </c>
      <c r="G444" t="n">
        <v>25.8</v>
      </c>
      <c r="H444" t="n">
        <v>0</v>
      </c>
      <c r="I444" t="n">
        <v>0</v>
      </c>
      <c r="J444" t="n">
        <v>0</v>
      </c>
      <c r="K444" t="n">
        <v>0</v>
      </c>
      <c r="L444" t="n">
        <v>0</v>
      </c>
      <c r="M444" t="n">
        <v>0</v>
      </c>
      <c r="N444" t="n">
        <v>0</v>
      </c>
      <c r="O444" t="n">
        <v>0</v>
      </c>
      <c r="P444" t="n">
        <v>0</v>
      </c>
      <c r="Q444" t="n">
        <v>0</v>
      </c>
      <c r="R444" s="2" t="inlineStr"/>
    </row>
    <row r="445" ht="15" customHeight="1">
      <c r="A445" t="inlineStr">
        <is>
          <t>A 2085-2024</t>
        </is>
      </c>
      <c r="B445" s="1" t="n">
        <v>45309</v>
      </c>
      <c r="C445" s="1" t="n">
        <v>46189</v>
      </c>
      <c r="D445" t="inlineStr">
        <is>
          <t>ÖSTERGÖTLANDS LÄN</t>
        </is>
      </c>
      <c r="E445" t="inlineStr">
        <is>
          <t>LINKÖPING</t>
        </is>
      </c>
      <c r="G445" t="n">
        <v>4.5</v>
      </c>
      <c r="H445" t="n">
        <v>0</v>
      </c>
      <c r="I445" t="n">
        <v>0</v>
      </c>
      <c r="J445" t="n">
        <v>0</v>
      </c>
      <c r="K445" t="n">
        <v>0</v>
      </c>
      <c r="L445" t="n">
        <v>0</v>
      </c>
      <c r="M445" t="n">
        <v>0</v>
      </c>
      <c r="N445" t="n">
        <v>0</v>
      </c>
      <c r="O445" t="n">
        <v>0</v>
      </c>
      <c r="P445" t="n">
        <v>0</v>
      </c>
      <c r="Q445" t="n">
        <v>0</v>
      </c>
      <c r="R445" s="2" t="inlineStr"/>
    </row>
    <row r="446" ht="15" customHeight="1">
      <c r="A446" t="inlineStr">
        <is>
          <t>A 927-2026</t>
        </is>
      </c>
      <c r="B446" s="1" t="n">
        <v>46030.50560185185</v>
      </c>
      <c r="C446" s="1" t="n">
        <v>46189</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856-2026</t>
        </is>
      </c>
      <c r="B447" s="1" t="n">
        <v>46030.40644675926</v>
      </c>
      <c r="C447" s="1" t="n">
        <v>46189</v>
      </c>
      <c r="D447" t="inlineStr">
        <is>
          <t>ÖSTERGÖTLANDS LÄN</t>
        </is>
      </c>
      <c r="E447" t="inlineStr">
        <is>
          <t>LINKÖPING</t>
        </is>
      </c>
      <c r="G447" t="n">
        <v>6.4</v>
      </c>
      <c r="H447" t="n">
        <v>0</v>
      </c>
      <c r="I447" t="n">
        <v>0</v>
      </c>
      <c r="J447" t="n">
        <v>0</v>
      </c>
      <c r="K447" t="n">
        <v>0</v>
      </c>
      <c r="L447" t="n">
        <v>0</v>
      </c>
      <c r="M447" t="n">
        <v>0</v>
      </c>
      <c r="N447" t="n">
        <v>0</v>
      </c>
      <c r="O447" t="n">
        <v>0</v>
      </c>
      <c r="P447" t="n">
        <v>0</v>
      </c>
      <c r="Q447" t="n">
        <v>0</v>
      </c>
      <c r="R447" s="2" t="inlineStr"/>
    </row>
    <row r="448" ht="15" customHeight="1">
      <c r="A448" t="inlineStr">
        <is>
          <t>A 860-2026</t>
        </is>
      </c>
      <c r="B448" s="1" t="n">
        <v>46030.41974537037</v>
      </c>
      <c r="C448" s="1" t="n">
        <v>46189</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873-2026</t>
        </is>
      </c>
      <c r="B449" s="1" t="n">
        <v>46030.43818287037</v>
      </c>
      <c r="C449" s="1" t="n">
        <v>46189</v>
      </c>
      <c r="D449" t="inlineStr">
        <is>
          <t>ÖSTERGÖTLANDS LÄN</t>
        </is>
      </c>
      <c r="E449" t="inlineStr">
        <is>
          <t>LINKÖPING</t>
        </is>
      </c>
      <c r="G449" t="n">
        <v>4.1</v>
      </c>
      <c r="H449" t="n">
        <v>0</v>
      </c>
      <c r="I449" t="n">
        <v>0</v>
      </c>
      <c r="J449" t="n">
        <v>0</v>
      </c>
      <c r="K449" t="n">
        <v>0</v>
      </c>
      <c r="L449" t="n">
        <v>0</v>
      </c>
      <c r="M449" t="n">
        <v>0</v>
      </c>
      <c r="N449" t="n">
        <v>0</v>
      </c>
      <c r="O449" t="n">
        <v>0</v>
      </c>
      <c r="P449" t="n">
        <v>0</v>
      </c>
      <c r="Q449" t="n">
        <v>0</v>
      </c>
      <c r="R449" s="2" t="inlineStr"/>
    </row>
    <row r="450" ht="15" customHeight="1">
      <c r="A450" t="inlineStr">
        <is>
          <t>A 858-2026</t>
        </is>
      </c>
      <c r="B450" s="1" t="n">
        <v>46030.41200231481</v>
      </c>
      <c r="C450" s="1" t="n">
        <v>46189</v>
      </c>
      <c r="D450" t="inlineStr">
        <is>
          <t>ÖSTERGÖTLANDS LÄN</t>
        </is>
      </c>
      <c r="E450" t="inlineStr">
        <is>
          <t>LINKÖPING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940-2026</t>
        </is>
      </c>
      <c r="B451" s="1" t="n">
        <v>46030.53052083333</v>
      </c>
      <c r="C451" s="1" t="n">
        <v>46189</v>
      </c>
      <c r="D451" t="inlineStr">
        <is>
          <t>ÖSTERGÖTLANDS LÄN</t>
        </is>
      </c>
      <c r="E451" t="inlineStr">
        <is>
          <t>LINKÖPING</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944-2026</t>
        </is>
      </c>
      <c r="B452" s="1" t="n">
        <v>46030.53461805556</v>
      </c>
      <c r="C452" s="1" t="n">
        <v>46189</v>
      </c>
      <c r="D452" t="inlineStr">
        <is>
          <t>ÖSTERGÖTLANDS LÄN</t>
        </is>
      </c>
      <c r="E452" t="inlineStr">
        <is>
          <t>LINKÖPING</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859-2026</t>
        </is>
      </c>
      <c r="B453" s="1" t="n">
        <v>46030.41450231482</v>
      </c>
      <c r="C453" s="1" t="n">
        <v>46189</v>
      </c>
      <c r="D453" t="inlineStr">
        <is>
          <t>ÖSTERGÖTLANDS LÄN</t>
        </is>
      </c>
      <c r="E453" t="inlineStr">
        <is>
          <t>LINKÖPING</t>
        </is>
      </c>
      <c r="G453" t="n">
        <v>0.2</v>
      </c>
      <c r="H453" t="n">
        <v>0</v>
      </c>
      <c r="I453" t="n">
        <v>0</v>
      </c>
      <c r="J453" t="n">
        <v>0</v>
      </c>
      <c r="K453" t="n">
        <v>0</v>
      </c>
      <c r="L453" t="n">
        <v>0</v>
      </c>
      <c r="M453" t="n">
        <v>0</v>
      </c>
      <c r="N453" t="n">
        <v>0</v>
      </c>
      <c r="O453" t="n">
        <v>0</v>
      </c>
      <c r="P453" t="n">
        <v>0</v>
      </c>
      <c r="Q453" t="n">
        <v>0</v>
      </c>
      <c r="R453" s="2" t="inlineStr"/>
    </row>
    <row r="454" ht="15" customHeight="1">
      <c r="A454" t="inlineStr">
        <is>
          <t>A 48-2024</t>
        </is>
      </c>
      <c r="B454" s="1" t="n">
        <v>45293</v>
      </c>
      <c r="C454" s="1" t="n">
        <v>46189</v>
      </c>
      <c r="D454" t="inlineStr">
        <is>
          <t>ÖSTERGÖTLANDS LÄN</t>
        </is>
      </c>
      <c r="E454" t="inlineStr">
        <is>
          <t>LINKÖPING</t>
        </is>
      </c>
      <c r="G454" t="n">
        <v>4.6</v>
      </c>
      <c r="H454" t="n">
        <v>0</v>
      </c>
      <c r="I454" t="n">
        <v>0</v>
      </c>
      <c r="J454" t="n">
        <v>0</v>
      </c>
      <c r="K454" t="n">
        <v>0</v>
      </c>
      <c r="L454" t="n">
        <v>0</v>
      </c>
      <c r="M454" t="n">
        <v>0</v>
      </c>
      <c r="N454" t="n">
        <v>0</v>
      </c>
      <c r="O454" t="n">
        <v>0</v>
      </c>
      <c r="P454" t="n">
        <v>0</v>
      </c>
      <c r="Q454" t="n">
        <v>0</v>
      </c>
      <c r="R454" s="2" t="inlineStr"/>
    </row>
    <row r="455" ht="15" customHeight="1">
      <c r="A455" t="inlineStr">
        <is>
          <t>A 56560-2023</t>
        </is>
      </c>
      <c r="B455" s="1" t="n">
        <v>45238</v>
      </c>
      <c r="C455" s="1" t="n">
        <v>46189</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19132-2023</t>
        </is>
      </c>
      <c r="B456" s="1" t="n">
        <v>45048.54754629629</v>
      </c>
      <c r="C456" s="1" t="n">
        <v>46189</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2030-2026</t>
        </is>
      </c>
      <c r="B457" s="1" t="n">
        <v>46035.73590277778</v>
      </c>
      <c r="C457" s="1" t="n">
        <v>46189</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2031-2026</t>
        </is>
      </c>
      <c r="B458" s="1" t="n">
        <v>46035.74182870371</v>
      </c>
      <c r="C458" s="1" t="n">
        <v>46189</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52412-2023</t>
        </is>
      </c>
      <c r="B459" s="1" t="n">
        <v>45225.27888888889</v>
      </c>
      <c r="C459" s="1" t="n">
        <v>46189</v>
      </c>
      <c r="D459" t="inlineStr">
        <is>
          <t>ÖSTERGÖTLANDS LÄN</t>
        </is>
      </c>
      <c r="E459" t="inlineStr">
        <is>
          <t>LINKÖPING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62492-2023</t>
        </is>
      </c>
      <c r="B460" s="1" t="n">
        <v>45268.58987268519</v>
      </c>
      <c r="C460" s="1" t="n">
        <v>46189</v>
      </c>
      <c r="D460" t="inlineStr">
        <is>
          <t>ÖSTERGÖTLANDS LÄN</t>
        </is>
      </c>
      <c r="E460" t="inlineStr">
        <is>
          <t>LINKÖPING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38230-2023</t>
        </is>
      </c>
      <c r="B461" s="1" t="n">
        <v>45161.55373842592</v>
      </c>
      <c r="C461" s="1" t="n">
        <v>46189</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3044-2026</t>
        </is>
      </c>
      <c r="B462" s="1" t="n">
        <v>46038.73855324074</v>
      </c>
      <c r="C462" s="1" t="n">
        <v>46189</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56756-2023</t>
        </is>
      </c>
      <c r="B463" s="1" t="n">
        <v>45244</v>
      </c>
      <c r="C463" s="1" t="n">
        <v>46189</v>
      </c>
      <c r="D463" t="inlineStr">
        <is>
          <t>ÖSTERGÖTLANDS LÄN</t>
        </is>
      </c>
      <c r="E463" t="inlineStr">
        <is>
          <t>LINKÖPING</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3043-2026</t>
        </is>
      </c>
      <c r="B464" s="1" t="n">
        <v>46038.73675925926</v>
      </c>
      <c r="C464" s="1" t="n">
        <v>46189</v>
      </c>
      <c r="D464" t="inlineStr">
        <is>
          <t>ÖSTERGÖTLANDS LÄN</t>
        </is>
      </c>
      <c r="E464" t="inlineStr">
        <is>
          <t>LINKÖPING</t>
        </is>
      </c>
      <c r="G464" t="n">
        <v>2.5</v>
      </c>
      <c r="H464" t="n">
        <v>0</v>
      </c>
      <c r="I464" t="n">
        <v>0</v>
      </c>
      <c r="J464" t="n">
        <v>0</v>
      </c>
      <c r="K464" t="n">
        <v>0</v>
      </c>
      <c r="L464" t="n">
        <v>0</v>
      </c>
      <c r="M464" t="n">
        <v>0</v>
      </c>
      <c r="N464" t="n">
        <v>0</v>
      </c>
      <c r="O464" t="n">
        <v>0</v>
      </c>
      <c r="P464" t="n">
        <v>0</v>
      </c>
      <c r="Q464" t="n">
        <v>0</v>
      </c>
      <c r="R464" s="2" t="inlineStr"/>
    </row>
    <row r="465" ht="15" customHeight="1">
      <c r="A465" t="inlineStr">
        <is>
          <t>A 11590-2023</t>
        </is>
      </c>
      <c r="B465" s="1" t="n">
        <v>44994.36689814815</v>
      </c>
      <c r="C465" s="1" t="n">
        <v>46189</v>
      </c>
      <c r="D465" t="inlineStr">
        <is>
          <t>ÖSTERGÖTLANDS LÄN</t>
        </is>
      </c>
      <c r="E465" t="inlineStr">
        <is>
          <t>LINKÖPING</t>
        </is>
      </c>
      <c r="G465" t="n">
        <v>3.1</v>
      </c>
      <c r="H465" t="n">
        <v>0</v>
      </c>
      <c r="I465" t="n">
        <v>0</v>
      </c>
      <c r="J465" t="n">
        <v>0</v>
      </c>
      <c r="K465" t="n">
        <v>0</v>
      </c>
      <c r="L465" t="n">
        <v>0</v>
      </c>
      <c r="M465" t="n">
        <v>0</v>
      </c>
      <c r="N465" t="n">
        <v>0</v>
      </c>
      <c r="O465" t="n">
        <v>0</v>
      </c>
      <c r="P465" t="n">
        <v>0</v>
      </c>
      <c r="Q465" t="n">
        <v>0</v>
      </c>
      <c r="R465" s="2" t="inlineStr"/>
    </row>
    <row r="466" ht="15" customHeight="1">
      <c r="A466" t="inlineStr">
        <is>
          <t>A 10461-2023</t>
        </is>
      </c>
      <c r="B466" s="1" t="n">
        <v>44987.5969212963</v>
      </c>
      <c r="C466" s="1" t="n">
        <v>46189</v>
      </c>
      <c r="D466" t="inlineStr">
        <is>
          <t>ÖSTERGÖTLANDS LÄN</t>
        </is>
      </c>
      <c r="E466" t="inlineStr">
        <is>
          <t>LINKÖPING</t>
        </is>
      </c>
      <c r="G466" t="n">
        <v>7.8</v>
      </c>
      <c r="H466" t="n">
        <v>0</v>
      </c>
      <c r="I466" t="n">
        <v>0</v>
      </c>
      <c r="J466" t="n">
        <v>0</v>
      </c>
      <c r="K466" t="n">
        <v>0</v>
      </c>
      <c r="L466" t="n">
        <v>0</v>
      </c>
      <c r="M466" t="n">
        <v>0</v>
      </c>
      <c r="N466" t="n">
        <v>0</v>
      </c>
      <c r="O466" t="n">
        <v>0</v>
      </c>
      <c r="P466" t="n">
        <v>0</v>
      </c>
      <c r="Q466" t="n">
        <v>0</v>
      </c>
      <c r="R466" s="2" t="inlineStr"/>
    </row>
    <row r="467" ht="15" customHeight="1">
      <c r="A467" t="inlineStr">
        <is>
          <t>A 41345-2021</t>
        </is>
      </c>
      <c r="B467" s="1" t="n">
        <v>44424.61851851852</v>
      </c>
      <c r="C467" s="1" t="n">
        <v>46189</v>
      </c>
      <c r="D467" t="inlineStr">
        <is>
          <t>ÖSTERGÖTLANDS LÄN</t>
        </is>
      </c>
      <c r="E467" t="inlineStr">
        <is>
          <t>LINKÖPING</t>
        </is>
      </c>
      <c r="F467" t="inlineStr">
        <is>
          <t>Sveaskog</t>
        </is>
      </c>
      <c r="G467" t="n">
        <v>6.3</v>
      </c>
      <c r="H467" t="n">
        <v>0</v>
      </c>
      <c r="I467" t="n">
        <v>0</v>
      </c>
      <c r="J467" t="n">
        <v>0</v>
      </c>
      <c r="K467" t="n">
        <v>0</v>
      </c>
      <c r="L467" t="n">
        <v>0</v>
      </c>
      <c r="M467" t="n">
        <v>0</v>
      </c>
      <c r="N467" t="n">
        <v>0</v>
      </c>
      <c r="O467" t="n">
        <v>0</v>
      </c>
      <c r="P467" t="n">
        <v>0</v>
      </c>
      <c r="Q467" t="n">
        <v>0</v>
      </c>
      <c r="R467" s="2" t="inlineStr"/>
    </row>
    <row r="468" ht="15" customHeight="1">
      <c r="A468" t="inlineStr">
        <is>
          <t>A 38886-2024</t>
        </is>
      </c>
      <c r="B468" s="1" t="n">
        <v>45547.66443287037</v>
      </c>
      <c r="C468" s="1" t="n">
        <v>46189</v>
      </c>
      <c r="D468" t="inlineStr">
        <is>
          <t>ÖSTERGÖTLANDS LÄN</t>
        </is>
      </c>
      <c r="E468" t="inlineStr">
        <is>
          <t>LINKÖPING</t>
        </is>
      </c>
      <c r="G468" t="n">
        <v>5.3</v>
      </c>
      <c r="H468" t="n">
        <v>0</v>
      </c>
      <c r="I468" t="n">
        <v>0</v>
      </c>
      <c r="J468" t="n">
        <v>0</v>
      </c>
      <c r="K468" t="n">
        <v>0</v>
      </c>
      <c r="L468" t="n">
        <v>0</v>
      </c>
      <c r="M468" t="n">
        <v>0</v>
      </c>
      <c r="N468" t="n">
        <v>0</v>
      </c>
      <c r="O468" t="n">
        <v>0</v>
      </c>
      <c r="P468" t="n">
        <v>0</v>
      </c>
      <c r="Q468" t="n">
        <v>0</v>
      </c>
      <c r="R468" s="2" t="inlineStr"/>
    </row>
    <row r="469" ht="15" customHeight="1">
      <c r="A469" t="inlineStr">
        <is>
          <t>A 61307-2021</t>
        </is>
      </c>
      <c r="B469" s="1" t="n">
        <v>44498.63928240741</v>
      </c>
      <c r="C469" s="1" t="n">
        <v>46189</v>
      </c>
      <c r="D469" t="inlineStr">
        <is>
          <t>ÖSTERGÖTLANDS LÄN</t>
        </is>
      </c>
      <c r="E469" t="inlineStr">
        <is>
          <t>LINKÖPING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61325-2021</t>
        </is>
      </c>
      <c r="B470" s="1" t="n">
        <v>44498.66814814815</v>
      </c>
      <c r="C470" s="1" t="n">
        <v>46189</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60010-2022</t>
        </is>
      </c>
      <c r="B471" s="1" t="n">
        <v>44909.4740625</v>
      </c>
      <c r="C471" s="1" t="n">
        <v>46189</v>
      </c>
      <c r="D471" t="inlineStr">
        <is>
          <t>ÖSTERGÖTLANDS LÄN</t>
        </is>
      </c>
      <c r="E471" t="inlineStr">
        <is>
          <t>LINKÖPING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5545-2026</t>
        </is>
      </c>
      <c r="B472" s="1" t="n">
        <v>46050.70089120371</v>
      </c>
      <c r="C472" s="1" t="n">
        <v>46189</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30518-2024</t>
        </is>
      </c>
      <c r="B473" s="1" t="n">
        <v>45492</v>
      </c>
      <c r="C473" s="1" t="n">
        <v>46189</v>
      </c>
      <c r="D473" t="inlineStr">
        <is>
          <t>ÖSTERGÖTLANDS LÄN</t>
        </is>
      </c>
      <c r="E473" t="inlineStr">
        <is>
          <t>LINKÖPING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4908-2023</t>
        </is>
      </c>
      <c r="B474" s="1" t="n">
        <v>44958</v>
      </c>
      <c r="C474" s="1" t="n">
        <v>46189</v>
      </c>
      <c r="D474" t="inlineStr">
        <is>
          <t>ÖSTERGÖTLANDS LÄN</t>
        </is>
      </c>
      <c r="E474" t="inlineStr">
        <is>
          <t>LINKÖPING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37715-2022</t>
        </is>
      </c>
      <c r="B475" s="1" t="n">
        <v>44810</v>
      </c>
      <c r="C475" s="1" t="n">
        <v>46189</v>
      </c>
      <c r="D475" t="inlineStr">
        <is>
          <t>ÖSTERGÖTLANDS LÄN</t>
        </is>
      </c>
      <c r="E475" t="inlineStr">
        <is>
          <t>LINKÖPING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6384-2026</t>
        </is>
      </c>
      <c r="B476" s="1" t="n">
        <v>46055.63732638889</v>
      </c>
      <c r="C476" s="1" t="n">
        <v>46189</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6164-2026</t>
        </is>
      </c>
      <c r="B477" s="1" t="n">
        <v>46055.32596064815</v>
      </c>
      <c r="C477" s="1" t="n">
        <v>46189</v>
      </c>
      <c r="D477" t="inlineStr">
        <is>
          <t>ÖSTERGÖTLANDS LÄN</t>
        </is>
      </c>
      <c r="E477" t="inlineStr">
        <is>
          <t>LINKÖPING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3011-2023</t>
        </is>
      </c>
      <c r="B478" s="1" t="n">
        <v>44945</v>
      </c>
      <c r="C478" s="1" t="n">
        <v>46189</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3432-2023</t>
        </is>
      </c>
      <c r="B479" s="1" t="n">
        <v>44949</v>
      </c>
      <c r="C479" s="1" t="n">
        <v>46189</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60472-2022</t>
        </is>
      </c>
      <c r="B480" s="1" t="n">
        <v>44911.41037037037</v>
      </c>
      <c r="C480" s="1" t="n">
        <v>46189</v>
      </c>
      <c r="D480" t="inlineStr">
        <is>
          <t>ÖSTERGÖTLANDS LÄN</t>
        </is>
      </c>
      <c r="E480" t="inlineStr">
        <is>
          <t>LINKÖPING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12720-2022</t>
        </is>
      </c>
      <c r="B481" s="1" t="n">
        <v>44641</v>
      </c>
      <c r="C481" s="1" t="n">
        <v>46189</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45831-2024</t>
        </is>
      </c>
      <c r="B482" s="1" t="n">
        <v>45579.90508101852</v>
      </c>
      <c r="C482" s="1" t="n">
        <v>46189</v>
      </c>
      <c r="D482" t="inlineStr">
        <is>
          <t>ÖSTERGÖTLANDS LÄN</t>
        </is>
      </c>
      <c r="E482" t="inlineStr">
        <is>
          <t>LINKÖPING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57396-2021</t>
        </is>
      </c>
      <c r="B483" s="1" t="n">
        <v>44483.56151620371</v>
      </c>
      <c r="C483" s="1" t="n">
        <v>46189</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22842-2023</t>
        </is>
      </c>
      <c r="B484" s="1" t="n">
        <v>45071</v>
      </c>
      <c r="C484" s="1" t="n">
        <v>46189</v>
      </c>
      <c r="D484" t="inlineStr">
        <is>
          <t>ÖSTERGÖTLANDS LÄN</t>
        </is>
      </c>
      <c r="E484" t="inlineStr">
        <is>
          <t>LINKÖPING</t>
        </is>
      </c>
      <c r="F484" t="inlineStr">
        <is>
          <t>Kommuner</t>
        </is>
      </c>
      <c r="G484" t="n">
        <v>1.3</v>
      </c>
      <c r="H484" t="n">
        <v>0</v>
      </c>
      <c r="I484" t="n">
        <v>0</v>
      </c>
      <c r="J484" t="n">
        <v>0</v>
      </c>
      <c r="K484" t="n">
        <v>0</v>
      </c>
      <c r="L484" t="n">
        <v>0</v>
      </c>
      <c r="M484" t="n">
        <v>0</v>
      </c>
      <c r="N484" t="n">
        <v>0</v>
      </c>
      <c r="O484" t="n">
        <v>0</v>
      </c>
      <c r="P484" t="n">
        <v>0</v>
      </c>
      <c r="Q484" t="n">
        <v>0</v>
      </c>
      <c r="R484" s="2" t="inlineStr"/>
    </row>
    <row r="485" ht="15" customHeight="1">
      <c r="A485" t="inlineStr">
        <is>
          <t>A 50386-2021</t>
        </is>
      </c>
      <c r="B485" s="1" t="n">
        <v>44459</v>
      </c>
      <c r="C485" s="1" t="n">
        <v>46189</v>
      </c>
      <c r="D485" t="inlineStr">
        <is>
          <t>ÖSTERGÖTLANDS LÄN</t>
        </is>
      </c>
      <c r="E485" t="inlineStr">
        <is>
          <t>LINKÖPING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35781-2023</t>
        </is>
      </c>
      <c r="B486" s="1" t="n">
        <v>45147</v>
      </c>
      <c r="C486" s="1" t="n">
        <v>46189</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11671-2023</t>
        </is>
      </c>
      <c r="B487" s="1" t="n">
        <v>44994.48125</v>
      </c>
      <c r="C487" s="1" t="n">
        <v>46189</v>
      </c>
      <c r="D487" t="inlineStr">
        <is>
          <t>ÖSTERGÖTLANDS LÄN</t>
        </is>
      </c>
      <c r="E487" t="inlineStr">
        <is>
          <t>LINKÖPING</t>
        </is>
      </c>
      <c r="G487" t="n">
        <v>2.6</v>
      </c>
      <c r="H487" t="n">
        <v>0</v>
      </c>
      <c r="I487" t="n">
        <v>0</v>
      </c>
      <c r="J487" t="n">
        <v>0</v>
      </c>
      <c r="K487" t="n">
        <v>0</v>
      </c>
      <c r="L487" t="n">
        <v>0</v>
      </c>
      <c r="M487" t="n">
        <v>0</v>
      </c>
      <c r="N487" t="n">
        <v>0</v>
      </c>
      <c r="O487" t="n">
        <v>0</v>
      </c>
      <c r="P487" t="n">
        <v>0</v>
      </c>
      <c r="Q487" t="n">
        <v>0</v>
      </c>
      <c r="R487" s="2" t="inlineStr"/>
    </row>
    <row r="488" ht="15" customHeight="1">
      <c r="A488" t="inlineStr">
        <is>
          <t>A 54425-2022</t>
        </is>
      </c>
      <c r="B488" s="1" t="n">
        <v>44882.57453703704</v>
      </c>
      <c r="C488" s="1" t="n">
        <v>46189</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30547-2023</t>
        </is>
      </c>
      <c r="B489" s="1" t="n">
        <v>45111.75905092592</v>
      </c>
      <c r="C489" s="1" t="n">
        <v>46189</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24904-2024</t>
        </is>
      </c>
      <c r="B490" s="1" t="n">
        <v>45461</v>
      </c>
      <c r="C490" s="1" t="n">
        <v>46189</v>
      </c>
      <c r="D490" t="inlineStr">
        <is>
          <t>ÖSTERGÖTLANDS LÄN</t>
        </is>
      </c>
      <c r="E490" t="inlineStr">
        <is>
          <t>LINKÖPING</t>
        </is>
      </c>
      <c r="G490" t="n">
        <v>3.8</v>
      </c>
      <c r="H490" t="n">
        <v>0</v>
      </c>
      <c r="I490" t="n">
        <v>0</v>
      </c>
      <c r="J490" t="n">
        <v>0</v>
      </c>
      <c r="K490" t="n">
        <v>0</v>
      </c>
      <c r="L490" t="n">
        <v>0</v>
      </c>
      <c r="M490" t="n">
        <v>0</v>
      </c>
      <c r="N490" t="n">
        <v>0</v>
      </c>
      <c r="O490" t="n">
        <v>0</v>
      </c>
      <c r="P490" t="n">
        <v>0</v>
      </c>
      <c r="Q490" t="n">
        <v>0</v>
      </c>
      <c r="R490" s="2" t="inlineStr"/>
    </row>
    <row r="491" ht="15" customHeight="1">
      <c r="A491" t="inlineStr">
        <is>
          <t>A 26788-2022</t>
        </is>
      </c>
      <c r="B491" s="1" t="n">
        <v>44740</v>
      </c>
      <c r="C491" s="1" t="n">
        <v>46189</v>
      </c>
      <c r="D491" t="inlineStr">
        <is>
          <t>ÖSTERGÖTLANDS LÄN</t>
        </is>
      </c>
      <c r="E491" t="inlineStr">
        <is>
          <t>LINKÖPING</t>
        </is>
      </c>
      <c r="G491" t="n">
        <v>3.2</v>
      </c>
      <c r="H491" t="n">
        <v>0</v>
      </c>
      <c r="I491" t="n">
        <v>0</v>
      </c>
      <c r="J491" t="n">
        <v>0</v>
      </c>
      <c r="K491" t="n">
        <v>0</v>
      </c>
      <c r="L491" t="n">
        <v>0</v>
      </c>
      <c r="M491" t="n">
        <v>0</v>
      </c>
      <c r="N491" t="n">
        <v>0</v>
      </c>
      <c r="O491" t="n">
        <v>0</v>
      </c>
      <c r="P491" t="n">
        <v>0</v>
      </c>
      <c r="Q491" t="n">
        <v>0</v>
      </c>
      <c r="R491" s="2" t="inlineStr"/>
    </row>
    <row r="492" ht="15" customHeight="1">
      <c r="A492" t="inlineStr">
        <is>
          <t>A 15121-2022</t>
        </is>
      </c>
      <c r="B492" s="1" t="n">
        <v>44658</v>
      </c>
      <c r="C492" s="1" t="n">
        <v>46189</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55009-2023</t>
        </is>
      </c>
      <c r="B493" s="1" t="n">
        <v>45237</v>
      </c>
      <c r="C493" s="1" t="n">
        <v>46189</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20293-2025</t>
        </is>
      </c>
      <c r="B494" s="1" t="n">
        <v>45774.74611111111</v>
      </c>
      <c r="C494" s="1" t="n">
        <v>46189</v>
      </c>
      <c r="D494" t="inlineStr">
        <is>
          <t>ÖSTERGÖTLANDS LÄN</t>
        </is>
      </c>
      <c r="E494" t="inlineStr">
        <is>
          <t>LINKÖPING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660-2023</t>
        </is>
      </c>
      <c r="B495" s="1" t="n">
        <v>44930</v>
      </c>
      <c r="C495" s="1" t="n">
        <v>46189</v>
      </c>
      <c r="D495" t="inlineStr">
        <is>
          <t>ÖSTERGÖTLANDS LÄN</t>
        </is>
      </c>
      <c r="E495" t="inlineStr">
        <is>
          <t>LINKÖPING</t>
        </is>
      </c>
      <c r="F495" t="inlineStr">
        <is>
          <t>Kyrkan</t>
        </is>
      </c>
      <c r="G495" t="n">
        <v>1.6</v>
      </c>
      <c r="H495" t="n">
        <v>0</v>
      </c>
      <c r="I495" t="n">
        <v>0</v>
      </c>
      <c r="J495" t="n">
        <v>0</v>
      </c>
      <c r="K495" t="n">
        <v>0</v>
      </c>
      <c r="L495" t="n">
        <v>0</v>
      </c>
      <c r="M495" t="n">
        <v>0</v>
      </c>
      <c r="N495" t="n">
        <v>0</v>
      </c>
      <c r="O495" t="n">
        <v>0</v>
      </c>
      <c r="P495" t="n">
        <v>0</v>
      </c>
      <c r="Q495" t="n">
        <v>0</v>
      </c>
      <c r="R495" s="2" t="inlineStr"/>
    </row>
    <row r="496" ht="15" customHeight="1">
      <c r="A496" t="inlineStr">
        <is>
          <t>A 64694-2023</t>
        </is>
      </c>
      <c r="B496" s="1" t="n">
        <v>45281</v>
      </c>
      <c r="C496" s="1" t="n">
        <v>46189</v>
      </c>
      <c r="D496" t="inlineStr">
        <is>
          <t>ÖSTERGÖTLANDS LÄN</t>
        </is>
      </c>
      <c r="E496" t="inlineStr">
        <is>
          <t>LINKÖPING</t>
        </is>
      </c>
      <c r="F496" t="inlineStr">
        <is>
          <t>Övriga statliga verk och myndigheter</t>
        </is>
      </c>
      <c r="G496" t="n">
        <v>4.9</v>
      </c>
      <c r="H496" t="n">
        <v>0</v>
      </c>
      <c r="I496" t="n">
        <v>0</v>
      </c>
      <c r="J496" t="n">
        <v>0</v>
      </c>
      <c r="K496" t="n">
        <v>0</v>
      </c>
      <c r="L496" t="n">
        <v>0</v>
      </c>
      <c r="M496" t="n">
        <v>0</v>
      </c>
      <c r="N496" t="n">
        <v>0</v>
      </c>
      <c r="O496" t="n">
        <v>0</v>
      </c>
      <c r="P496" t="n">
        <v>0</v>
      </c>
      <c r="Q496" t="n">
        <v>0</v>
      </c>
      <c r="R496" s="2" t="inlineStr"/>
    </row>
    <row r="497" ht="15" customHeight="1">
      <c r="A497" t="inlineStr">
        <is>
          <t>A 10479-2026</t>
        </is>
      </c>
      <c r="B497" s="1" t="n">
        <v>46077.49231481482</v>
      </c>
      <c r="C497" s="1" t="n">
        <v>46189</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10477-2026</t>
        </is>
      </c>
      <c r="B498" s="1" t="n">
        <v>46077.4871875</v>
      </c>
      <c r="C498" s="1" t="n">
        <v>46189</v>
      </c>
      <c r="D498" t="inlineStr">
        <is>
          <t>ÖSTERGÖTLANDS LÄN</t>
        </is>
      </c>
      <c r="E498" t="inlineStr">
        <is>
          <t>LINKÖPING</t>
        </is>
      </c>
      <c r="G498" t="n">
        <v>9.6</v>
      </c>
      <c r="H498" t="n">
        <v>0</v>
      </c>
      <c r="I498" t="n">
        <v>0</v>
      </c>
      <c r="J498" t="n">
        <v>0</v>
      </c>
      <c r="K498" t="n">
        <v>0</v>
      </c>
      <c r="L498" t="n">
        <v>0</v>
      </c>
      <c r="M498" t="n">
        <v>0</v>
      </c>
      <c r="N498" t="n">
        <v>0</v>
      </c>
      <c r="O498" t="n">
        <v>0</v>
      </c>
      <c r="P498" t="n">
        <v>0</v>
      </c>
      <c r="Q498" t="n">
        <v>0</v>
      </c>
      <c r="R498" s="2" t="inlineStr"/>
    </row>
    <row r="499" ht="15" customHeight="1">
      <c r="A499" t="inlineStr">
        <is>
          <t>A 63487-2023</t>
        </is>
      </c>
      <c r="B499" s="1" t="n">
        <v>45274.66712962963</v>
      </c>
      <c r="C499" s="1" t="n">
        <v>46189</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11036-2026</t>
        </is>
      </c>
      <c r="B500" s="1" t="n">
        <v>46079.57836805555</v>
      </c>
      <c r="C500" s="1" t="n">
        <v>46189</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20455-2024</t>
        </is>
      </c>
      <c r="B501" s="1" t="n">
        <v>45435.65314814815</v>
      </c>
      <c r="C501" s="1" t="n">
        <v>46189</v>
      </c>
      <c r="D501" t="inlineStr">
        <is>
          <t>ÖSTERGÖTLANDS LÄN</t>
        </is>
      </c>
      <c r="E501" t="inlineStr">
        <is>
          <t>LINKÖPING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30471-2023</t>
        </is>
      </c>
      <c r="B502" s="1" t="n">
        <v>45111.58931712963</v>
      </c>
      <c r="C502" s="1" t="n">
        <v>46189</v>
      </c>
      <c r="D502" t="inlineStr">
        <is>
          <t>ÖSTERGÖTLANDS LÄN</t>
        </is>
      </c>
      <c r="E502" t="inlineStr">
        <is>
          <t>LINKÖPING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11033-2026</t>
        </is>
      </c>
      <c r="B503" s="1" t="n">
        <v>46079.57361111111</v>
      </c>
      <c r="C503" s="1" t="n">
        <v>46189</v>
      </c>
      <c r="D503" t="inlineStr">
        <is>
          <t>ÖSTERGÖTLANDS LÄN</t>
        </is>
      </c>
      <c r="E503" t="inlineStr">
        <is>
          <t>LINKÖPING</t>
        </is>
      </c>
      <c r="G503" t="n">
        <v>7.9</v>
      </c>
      <c r="H503" t="n">
        <v>0</v>
      </c>
      <c r="I503" t="n">
        <v>0</v>
      </c>
      <c r="J503" t="n">
        <v>0</v>
      </c>
      <c r="K503" t="n">
        <v>0</v>
      </c>
      <c r="L503" t="n">
        <v>0</v>
      </c>
      <c r="M503" t="n">
        <v>0</v>
      </c>
      <c r="N503" t="n">
        <v>0</v>
      </c>
      <c r="O503" t="n">
        <v>0</v>
      </c>
      <c r="P503" t="n">
        <v>0</v>
      </c>
      <c r="Q503" t="n">
        <v>0</v>
      </c>
      <c r="R503" s="2" t="inlineStr"/>
    </row>
    <row r="504" ht="15" customHeight="1">
      <c r="A504" t="inlineStr">
        <is>
          <t>A 14093-2024</t>
        </is>
      </c>
      <c r="B504" s="1" t="n">
        <v>45392.60278935185</v>
      </c>
      <c r="C504" s="1" t="n">
        <v>46189</v>
      </c>
      <c r="D504" t="inlineStr">
        <is>
          <t>ÖSTERGÖTLANDS LÄN</t>
        </is>
      </c>
      <c r="E504" t="inlineStr">
        <is>
          <t>LINKÖPING</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63304-2021</t>
        </is>
      </c>
      <c r="B505" s="1" t="n">
        <v>44508.4396412037</v>
      </c>
      <c r="C505" s="1" t="n">
        <v>46189</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19362-2023</t>
        </is>
      </c>
      <c r="B506" s="1" t="n">
        <v>45049</v>
      </c>
      <c r="C506" s="1" t="n">
        <v>46189</v>
      </c>
      <c r="D506" t="inlineStr">
        <is>
          <t>ÖSTERGÖTLANDS LÄN</t>
        </is>
      </c>
      <c r="E506" t="inlineStr">
        <is>
          <t>LINKÖPING</t>
        </is>
      </c>
      <c r="G506" t="n">
        <v>0.1</v>
      </c>
      <c r="H506" t="n">
        <v>0</v>
      </c>
      <c r="I506" t="n">
        <v>0</v>
      </c>
      <c r="J506" t="n">
        <v>0</v>
      </c>
      <c r="K506" t="n">
        <v>0</v>
      </c>
      <c r="L506" t="n">
        <v>0</v>
      </c>
      <c r="M506" t="n">
        <v>0</v>
      </c>
      <c r="N506" t="n">
        <v>0</v>
      </c>
      <c r="O506" t="n">
        <v>0</v>
      </c>
      <c r="P506" t="n">
        <v>0</v>
      </c>
      <c r="Q506" t="n">
        <v>0</v>
      </c>
      <c r="R506" s="2" t="inlineStr"/>
    </row>
    <row r="507" ht="15" customHeight="1">
      <c r="A507" t="inlineStr">
        <is>
          <t>A 35463-2023</t>
        </is>
      </c>
      <c r="B507" s="1" t="n">
        <v>45146</v>
      </c>
      <c r="C507" s="1" t="n">
        <v>46189</v>
      </c>
      <c r="D507" t="inlineStr">
        <is>
          <t>ÖSTERGÖTLANDS LÄN</t>
        </is>
      </c>
      <c r="E507" t="inlineStr">
        <is>
          <t>LINKÖPING</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16111-2022</t>
        </is>
      </c>
      <c r="B508" s="1" t="n">
        <v>44665</v>
      </c>
      <c r="C508" s="1" t="n">
        <v>46189</v>
      </c>
      <c r="D508" t="inlineStr">
        <is>
          <t>ÖSTERGÖTLANDS LÄN</t>
        </is>
      </c>
      <c r="E508" t="inlineStr">
        <is>
          <t>LINKÖPING</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11888-2026</t>
        </is>
      </c>
      <c r="B509" s="1" t="n">
        <v>46085.51813657407</v>
      </c>
      <c r="C509" s="1" t="n">
        <v>46189</v>
      </c>
      <c r="D509" t="inlineStr">
        <is>
          <t>ÖSTERGÖTLANDS LÄN</t>
        </is>
      </c>
      <c r="E509" t="inlineStr">
        <is>
          <t>LINKÖPING</t>
        </is>
      </c>
      <c r="G509" t="n">
        <v>3.6</v>
      </c>
      <c r="H509" t="n">
        <v>0</v>
      </c>
      <c r="I509" t="n">
        <v>0</v>
      </c>
      <c r="J509" t="n">
        <v>0</v>
      </c>
      <c r="K509" t="n">
        <v>0</v>
      </c>
      <c r="L509" t="n">
        <v>0</v>
      </c>
      <c r="M509" t="n">
        <v>0</v>
      </c>
      <c r="N509" t="n">
        <v>0</v>
      </c>
      <c r="O509" t="n">
        <v>0</v>
      </c>
      <c r="P509" t="n">
        <v>0</v>
      </c>
      <c r="Q509" t="n">
        <v>0</v>
      </c>
      <c r="R509" s="2" t="inlineStr"/>
    </row>
    <row r="510" ht="15" customHeight="1">
      <c r="A510" t="inlineStr">
        <is>
          <t>A 11891-2026</t>
        </is>
      </c>
      <c r="B510" s="1" t="n">
        <v>46085.5197800926</v>
      </c>
      <c r="C510" s="1" t="n">
        <v>46189</v>
      </c>
      <c r="D510" t="inlineStr">
        <is>
          <t>ÖSTERGÖTLANDS LÄN</t>
        </is>
      </c>
      <c r="E510" t="inlineStr">
        <is>
          <t>LINKÖPING</t>
        </is>
      </c>
      <c r="G510" t="n">
        <v>2.8</v>
      </c>
      <c r="H510" t="n">
        <v>0</v>
      </c>
      <c r="I510" t="n">
        <v>0</v>
      </c>
      <c r="J510" t="n">
        <v>0</v>
      </c>
      <c r="K510" t="n">
        <v>0</v>
      </c>
      <c r="L510" t="n">
        <v>0</v>
      </c>
      <c r="M510" t="n">
        <v>0</v>
      </c>
      <c r="N510" t="n">
        <v>0</v>
      </c>
      <c r="O510" t="n">
        <v>0</v>
      </c>
      <c r="P510" t="n">
        <v>0</v>
      </c>
      <c r="Q510" t="n">
        <v>0</v>
      </c>
      <c r="R510" s="2" t="inlineStr"/>
    </row>
    <row r="511" ht="15" customHeight="1">
      <c r="A511" t="inlineStr">
        <is>
          <t>A 31635-2023</t>
        </is>
      </c>
      <c r="B511" s="1" t="n">
        <v>45105</v>
      </c>
      <c r="C511" s="1" t="n">
        <v>46189</v>
      </c>
      <c r="D511" t="inlineStr">
        <is>
          <t>ÖSTERGÖTLANDS LÄN</t>
        </is>
      </c>
      <c r="E511" t="inlineStr">
        <is>
          <t>LINKÖPING</t>
        </is>
      </c>
      <c r="F511" t="inlineStr">
        <is>
          <t>Övriga statliga verk och myndigheter</t>
        </is>
      </c>
      <c r="G511" t="n">
        <v>4.6</v>
      </c>
      <c r="H511" t="n">
        <v>0</v>
      </c>
      <c r="I511" t="n">
        <v>0</v>
      </c>
      <c r="J511" t="n">
        <v>0</v>
      </c>
      <c r="K511" t="n">
        <v>0</v>
      </c>
      <c r="L511" t="n">
        <v>0</v>
      </c>
      <c r="M511" t="n">
        <v>0</v>
      </c>
      <c r="N511" t="n">
        <v>0</v>
      </c>
      <c r="O511" t="n">
        <v>0</v>
      </c>
      <c r="P511" t="n">
        <v>0</v>
      </c>
      <c r="Q511" t="n">
        <v>0</v>
      </c>
      <c r="R511" s="2" t="inlineStr"/>
    </row>
    <row r="512" ht="15" customHeight="1">
      <c r="A512" t="inlineStr">
        <is>
          <t>A 49928-2024</t>
        </is>
      </c>
      <c r="B512" s="1" t="n">
        <v>45597.57811342592</v>
      </c>
      <c r="C512" s="1" t="n">
        <v>46189</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12254-2026</t>
        </is>
      </c>
      <c r="B513" s="1" t="n">
        <v>46087.46196759259</v>
      </c>
      <c r="C513" s="1" t="n">
        <v>46189</v>
      </c>
      <c r="D513" t="inlineStr">
        <is>
          <t>ÖSTERGÖTLANDS LÄN</t>
        </is>
      </c>
      <c r="E513" t="inlineStr">
        <is>
          <t>LINKÖPING</t>
        </is>
      </c>
      <c r="G513" t="n">
        <v>10.4</v>
      </c>
      <c r="H513" t="n">
        <v>0</v>
      </c>
      <c r="I513" t="n">
        <v>0</v>
      </c>
      <c r="J513" t="n">
        <v>0</v>
      </c>
      <c r="K513" t="n">
        <v>0</v>
      </c>
      <c r="L513" t="n">
        <v>0</v>
      </c>
      <c r="M513" t="n">
        <v>0</v>
      </c>
      <c r="N513" t="n">
        <v>0</v>
      </c>
      <c r="O513" t="n">
        <v>0</v>
      </c>
      <c r="P513" t="n">
        <v>0</v>
      </c>
      <c r="Q513" t="n">
        <v>0</v>
      </c>
      <c r="R513" s="2" t="inlineStr"/>
    </row>
    <row r="514" ht="15" customHeight="1">
      <c r="A514" t="inlineStr">
        <is>
          <t>A 12251-2026</t>
        </is>
      </c>
      <c r="B514" s="1" t="n">
        <v>46087.45278935185</v>
      </c>
      <c r="C514" s="1" t="n">
        <v>46189</v>
      </c>
      <c r="D514" t="inlineStr">
        <is>
          <t>ÖSTERGÖTLANDS LÄN</t>
        </is>
      </c>
      <c r="E514" t="inlineStr">
        <is>
          <t>LINKÖPING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54845-2023</t>
        </is>
      </c>
      <c r="B515" s="1" t="n">
        <v>45236</v>
      </c>
      <c r="C515" s="1" t="n">
        <v>46189</v>
      </c>
      <c r="D515" t="inlineStr">
        <is>
          <t>ÖSTERGÖTLANDS LÄN</t>
        </is>
      </c>
      <c r="E515" t="inlineStr">
        <is>
          <t>LINKÖPING</t>
        </is>
      </c>
      <c r="F515" t="inlineStr">
        <is>
          <t>Övriga Aktiebolag</t>
        </is>
      </c>
      <c r="G515" t="n">
        <v>5.7</v>
      </c>
      <c r="H515" t="n">
        <v>0</v>
      </c>
      <c r="I515" t="n">
        <v>0</v>
      </c>
      <c r="J515" t="n">
        <v>0</v>
      </c>
      <c r="K515" t="n">
        <v>0</v>
      </c>
      <c r="L515" t="n">
        <v>0</v>
      </c>
      <c r="M515" t="n">
        <v>0</v>
      </c>
      <c r="N515" t="n">
        <v>0</v>
      </c>
      <c r="O515" t="n">
        <v>0</v>
      </c>
      <c r="P515" t="n">
        <v>0</v>
      </c>
      <c r="Q515" t="n">
        <v>0</v>
      </c>
      <c r="R515" s="2" t="inlineStr"/>
    </row>
    <row r="516" ht="15" customHeight="1">
      <c r="A516" t="inlineStr">
        <is>
          <t>A 46687-2021</t>
        </is>
      </c>
      <c r="B516" s="1" t="n">
        <v>44445</v>
      </c>
      <c r="C516" s="1" t="n">
        <v>46189</v>
      </c>
      <c r="D516" t="inlineStr">
        <is>
          <t>ÖSTERGÖTLANDS LÄN</t>
        </is>
      </c>
      <c r="E516" t="inlineStr">
        <is>
          <t>LINKÖPING</t>
        </is>
      </c>
      <c r="F516" t="inlineStr">
        <is>
          <t>Övriga statliga verk och myndigheter</t>
        </is>
      </c>
      <c r="G516" t="n">
        <v>2.3</v>
      </c>
      <c r="H516" t="n">
        <v>0</v>
      </c>
      <c r="I516" t="n">
        <v>0</v>
      </c>
      <c r="J516" t="n">
        <v>0</v>
      </c>
      <c r="K516" t="n">
        <v>0</v>
      </c>
      <c r="L516" t="n">
        <v>0</v>
      </c>
      <c r="M516" t="n">
        <v>0</v>
      </c>
      <c r="N516" t="n">
        <v>0</v>
      </c>
      <c r="O516" t="n">
        <v>0</v>
      </c>
      <c r="P516" t="n">
        <v>0</v>
      </c>
      <c r="Q516" t="n">
        <v>0</v>
      </c>
      <c r="R516" s="2" t="inlineStr"/>
    </row>
    <row r="517" ht="15" customHeight="1">
      <c r="A517" t="inlineStr">
        <is>
          <t>A 12482-2026</t>
        </is>
      </c>
      <c r="B517" s="1" t="n">
        <v>46090.56292824074</v>
      </c>
      <c r="C517" s="1" t="n">
        <v>46189</v>
      </c>
      <c r="D517" t="inlineStr">
        <is>
          <t>ÖSTERGÖTLANDS LÄN</t>
        </is>
      </c>
      <c r="E517" t="inlineStr">
        <is>
          <t>LINKÖPING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30855-2022</t>
        </is>
      </c>
      <c r="B518" s="1" t="n">
        <v>44767</v>
      </c>
      <c r="C518" s="1" t="n">
        <v>46189</v>
      </c>
      <c r="D518" t="inlineStr">
        <is>
          <t>ÖSTERGÖTLANDS LÄN</t>
        </is>
      </c>
      <c r="E518" t="inlineStr">
        <is>
          <t>LINKÖPING</t>
        </is>
      </c>
      <c r="G518" t="n">
        <v>2.2</v>
      </c>
      <c r="H518" t="n">
        <v>0</v>
      </c>
      <c r="I518" t="n">
        <v>0</v>
      </c>
      <c r="J518" t="n">
        <v>0</v>
      </c>
      <c r="K518" t="n">
        <v>0</v>
      </c>
      <c r="L518" t="n">
        <v>0</v>
      </c>
      <c r="M518" t="n">
        <v>0</v>
      </c>
      <c r="N518" t="n">
        <v>0</v>
      </c>
      <c r="O518" t="n">
        <v>0</v>
      </c>
      <c r="P518" t="n">
        <v>0</v>
      </c>
      <c r="Q518" t="n">
        <v>0</v>
      </c>
      <c r="R518" s="2" t="inlineStr"/>
    </row>
    <row r="519" ht="15" customHeight="1">
      <c r="A519" t="inlineStr">
        <is>
          <t>A 1355-2023</t>
        </is>
      </c>
      <c r="B519" s="1" t="n">
        <v>44931</v>
      </c>
      <c r="C519" s="1" t="n">
        <v>46189</v>
      </c>
      <c r="D519" t="inlineStr">
        <is>
          <t>ÖSTERGÖTLANDS LÄN</t>
        </is>
      </c>
      <c r="E519" t="inlineStr">
        <is>
          <t>LINKÖPING</t>
        </is>
      </c>
      <c r="G519" t="n">
        <v>4</v>
      </c>
      <c r="H519" t="n">
        <v>0</v>
      </c>
      <c r="I519" t="n">
        <v>0</v>
      </c>
      <c r="J519" t="n">
        <v>0</v>
      </c>
      <c r="K519" t="n">
        <v>0</v>
      </c>
      <c r="L519" t="n">
        <v>0</v>
      </c>
      <c r="M519" t="n">
        <v>0</v>
      </c>
      <c r="N519" t="n">
        <v>0</v>
      </c>
      <c r="O519" t="n">
        <v>0</v>
      </c>
      <c r="P519" t="n">
        <v>0</v>
      </c>
      <c r="Q519" t="n">
        <v>0</v>
      </c>
      <c r="R519" s="2" t="inlineStr"/>
    </row>
    <row r="520" ht="15" customHeight="1">
      <c r="A520" t="inlineStr">
        <is>
          <t>A 27844-2024</t>
        </is>
      </c>
      <c r="B520" s="1" t="n">
        <v>45475.63047453704</v>
      </c>
      <c r="C520" s="1" t="n">
        <v>46189</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12486-2026</t>
        </is>
      </c>
      <c r="B521" s="1" t="n">
        <v>46090.56501157407</v>
      </c>
      <c r="C521" s="1" t="n">
        <v>46189</v>
      </c>
      <c r="D521" t="inlineStr">
        <is>
          <t>ÖSTERGÖTLANDS LÄN</t>
        </is>
      </c>
      <c r="E521" t="inlineStr">
        <is>
          <t>LINKÖPING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10741-2023</t>
        </is>
      </c>
      <c r="B522" s="1" t="n">
        <v>44988.70084490741</v>
      </c>
      <c r="C522" s="1" t="n">
        <v>46189</v>
      </c>
      <c r="D522" t="inlineStr">
        <is>
          <t>ÖSTERGÖTLANDS LÄN</t>
        </is>
      </c>
      <c r="E522" t="inlineStr">
        <is>
          <t>LINKÖPING</t>
        </is>
      </c>
      <c r="F522" t="inlineStr">
        <is>
          <t>Allmännings- och besparingsskogar</t>
        </is>
      </c>
      <c r="G522" t="n">
        <v>11.2</v>
      </c>
      <c r="H522" t="n">
        <v>0</v>
      </c>
      <c r="I522" t="n">
        <v>0</v>
      </c>
      <c r="J522" t="n">
        <v>0</v>
      </c>
      <c r="K522" t="n">
        <v>0</v>
      </c>
      <c r="L522" t="n">
        <v>0</v>
      </c>
      <c r="M522" t="n">
        <v>0</v>
      </c>
      <c r="N522" t="n">
        <v>0</v>
      </c>
      <c r="O522" t="n">
        <v>0</v>
      </c>
      <c r="P522" t="n">
        <v>0</v>
      </c>
      <c r="Q522" t="n">
        <v>0</v>
      </c>
      <c r="R522" s="2" t="inlineStr"/>
    </row>
    <row r="523" ht="15" customHeight="1">
      <c r="A523" t="inlineStr">
        <is>
          <t>A 50963-2021</t>
        </is>
      </c>
      <c r="B523" s="1" t="n">
        <v>44460</v>
      </c>
      <c r="C523" s="1" t="n">
        <v>46189</v>
      </c>
      <c r="D523" t="inlineStr">
        <is>
          <t>ÖSTERGÖTLANDS LÄN</t>
        </is>
      </c>
      <c r="E523" t="inlineStr">
        <is>
          <t>LINKÖPING</t>
        </is>
      </c>
      <c r="G523" t="n">
        <v>4.4</v>
      </c>
      <c r="H523" t="n">
        <v>0</v>
      </c>
      <c r="I523" t="n">
        <v>0</v>
      </c>
      <c r="J523" t="n">
        <v>0</v>
      </c>
      <c r="K523" t="n">
        <v>0</v>
      </c>
      <c r="L523" t="n">
        <v>0</v>
      </c>
      <c r="M523" t="n">
        <v>0</v>
      </c>
      <c r="N523" t="n">
        <v>0</v>
      </c>
      <c r="O523" t="n">
        <v>0</v>
      </c>
      <c r="P523" t="n">
        <v>0</v>
      </c>
      <c r="Q523" t="n">
        <v>0</v>
      </c>
      <c r="R523" s="2" t="inlineStr"/>
    </row>
    <row r="524" ht="15" customHeight="1">
      <c r="A524" t="inlineStr">
        <is>
          <t>A 45821-2024</t>
        </is>
      </c>
      <c r="B524" s="1" t="n">
        <v>45579.75803240741</v>
      </c>
      <c r="C524" s="1" t="n">
        <v>46189</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13565-2026</t>
        </is>
      </c>
      <c r="B525" s="1" t="n">
        <v>46094.80006944444</v>
      </c>
      <c r="C525" s="1" t="n">
        <v>46189</v>
      </c>
      <c r="D525" t="inlineStr">
        <is>
          <t>ÖSTERGÖTLANDS LÄN</t>
        </is>
      </c>
      <c r="E525" t="inlineStr">
        <is>
          <t>LINKÖPING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61936-2023</t>
        </is>
      </c>
      <c r="B526" s="1" t="n">
        <v>45266.54534722222</v>
      </c>
      <c r="C526" s="1" t="n">
        <v>46189</v>
      </c>
      <c r="D526" t="inlineStr">
        <is>
          <t>ÖSTERGÖTLANDS LÄN</t>
        </is>
      </c>
      <c r="E526" t="inlineStr">
        <is>
          <t>LINKÖPING</t>
        </is>
      </c>
      <c r="G526" t="n">
        <v>0.8</v>
      </c>
      <c r="H526" t="n">
        <v>0</v>
      </c>
      <c r="I526" t="n">
        <v>0</v>
      </c>
      <c r="J526" t="n">
        <v>0</v>
      </c>
      <c r="K526" t="n">
        <v>0</v>
      </c>
      <c r="L526" t="n">
        <v>0</v>
      </c>
      <c r="M526" t="n">
        <v>0</v>
      </c>
      <c r="N526" t="n">
        <v>0</v>
      </c>
      <c r="O526" t="n">
        <v>0</v>
      </c>
      <c r="P526" t="n">
        <v>0</v>
      </c>
      <c r="Q526" t="n">
        <v>0</v>
      </c>
      <c r="R526" s="2" t="inlineStr"/>
    </row>
    <row r="527" ht="15" customHeight="1">
      <c r="A527" t="inlineStr">
        <is>
          <t>A 1263-2024</t>
        </is>
      </c>
      <c r="B527" s="1" t="n">
        <v>45302</v>
      </c>
      <c r="C527" s="1" t="n">
        <v>46189</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5099-2026</t>
        </is>
      </c>
      <c r="B528" s="1" t="n">
        <v>46049.56158564815</v>
      </c>
      <c r="C528" s="1" t="n">
        <v>46189</v>
      </c>
      <c r="D528" t="inlineStr">
        <is>
          <t>ÖSTERGÖTLANDS LÄN</t>
        </is>
      </c>
      <c r="E528" t="inlineStr">
        <is>
          <t>LINKÖPING</t>
        </is>
      </c>
      <c r="G528" t="n">
        <v>5</v>
      </c>
      <c r="H528" t="n">
        <v>0</v>
      </c>
      <c r="I528" t="n">
        <v>0</v>
      </c>
      <c r="J528" t="n">
        <v>0</v>
      </c>
      <c r="K528" t="n">
        <v>0</v>
      </c>
      <c r="L528" t="n">
        <v>0</v>
      </c>
      <c r="M528" t="n">
        <v>0</v>
      </c>
      <c r="N528" t="n">
        <v>0</v>
      </c>
      <c r="O528" t="n">
        <v>0</v>
      </c>
      <c r="P528" t="n">
        <v>0</v>
      </c>
      <c r="Q528" t="n">
        <v>0</v>
      </c>
      <c r="R528" s="2" t="inlineStr"/>
    </row>
    <row r="529" ht="15" customHeight="1">
      <c r="A529" t="inlineStr">
        <is>
          <t>A 24464-2023</t>
        </is>
      </c>
      <c r="B529" s="1" t="n">
        <v>45082.58068287037</v>
      </c>
      <c r="C529" s="1" t="n">
        <v>46189</v>
      </c>
      <c r="D529" t="inlineStr">
        <is>
          <t>ÖSTERGÖTLANDS LÄN</t>
        </is>
      </c>
      <c r="E529" t="inlineStr">
        <is>
          <t>LINKÖPING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48389-2024</t>
        </is>
      </c>
      <c r="B530" s="1" t="n">
        <v>45590.59991898148</v>
      </c>
      <c r="C530" s="1" t="n">
        <v>46189</v>
      </c>
      <c r="D530" t="inlineStr">
        <is>
          <t>ÖSTERGÖTLANDS LÄN</t>
        </is>
      </c>
      <c r="E530" t="inlineStr">
        <is>
          <t>LINKÖPING</t>
        </is>
      </c>
      <c r="G530" t="n">
        <v>2.6</v>
      </c>
      <c r="H530" t="n">
        <v>0</v>
      </c>
      <c r="I530" t="n">
        <v>0</v>
      </c>
      <c r="J530" t="n">
        <v>0</v>
      </c>
      <c r="K530" t="n">
        <v>0</v>
      </c>
      <c r="L530" t="n">
        <v>0</v>
      </c>
      <c r="M530" t="n">
        <v>0</v>
      </c>
      <c r="N530" t="n">
        <v>0</v>
      </c>
      <c r="O530" t="n">
        <v>0</v>
      </c>
      <c r="P530" t="n">
        <v>0</v>
      </c>
      <c r="Q530" t="n">
        <v>0</v>
      </c>
      <c r="R530" s="2" t="inlineStr"/>
    </row>
    <row r="531" ht="15" customHeight="1">
      <c r="A531" t="inlineStr">
        <is>
          <t>A 61281-2021</t>
        </is>
      </c>
      <c r="B531" s="1" t="n">
        <v>44498.60736111111</v>
      </c>
      <c r="C531" s="1" t="n">
        <v>46189</v>
      </c>
      <c r="D531" t="inlineStr">
        <is>
          <t>ÖSTERGÖTLANDS LÄN</t>
        </is>
      </c>
      <c r="E531" t="inlineStr">
        <is>
          <t>LINKÖPING</t>
        </is>
      </c>
      <c r="G531" t="n">
        <v>4.5</v>
      </c>
      <c r="H531" t="n">
        <v>0</v>
      </c>
      <c r="I531" t="n">
        <v>0</v>
      </c>
      <c r="J531" t="n">
        <v>0</v>
      </c>
      <c r="K531" t="n">
        <v>0</v>
      </c>
      <c r="L531" t="n">
        <v>0</v>
      </c>
      <c r="M531" t="n">
        <v>0</v>
      </c>
      <c r="N531" t="n">
        <v>0</v>
      </c>
      <c r="O531" t="n">
        <v>0</v>
      </c>
      <c r="P531" t="n">
        <v>0</v>
      </c>
      <c r="Q531" t="n">
        <v>0</v>
      </c>
      <c r="R531" s="2" t="inlineStr"/>
    </row>
    <row r="532" ht="15" customHeight="1">
      <c r="A532" t="inlineStr">
        <is>
          <t>A 13927-2026</t>
        </is>
      </c>
      <c r="B532" s="1" t="n">
        <v>46098</v>
      </c>
      <c r="C532" s="1" t="n">
        <v>46189</v>
      </c>
      <c r="D532" t="inlineStr">
        <is>
          <t>ÖSTERGÖTLANDS LÄN</t>
        </is>
      </c>
      <c r="E532" t="inlineStr">
        <is>
          <t>LINKÖPING</t>
        </is>
      </c>
      <c r="G532" t="n">
        <v>1.8</v>
      </c>
      <c r="H532" t="n">
        <v>0</v>
      </c>
      <c r="I532" t="n">
        <v>0</v>
      </c>
      <c r="J532" t="n">
        <v>0</v>
      </c>
      <c r="K532" t="n">
        <v>0</v>
      </c>
      <c r="L532" t="n">
        <v>0</v>
      </c>
      <c r="M532" t="n">
        <v>0</v>
      </c>
      <c r="N532" t="n">
        <v>0</v>
      </c>
      <c r="O532" t="n">
        <v>0</v>
      </c>
      <c r="P532" t="n">
        <v>0</v>
      </c>
      <c r="Q532" t="n">
        <v>0</v>
      </c>
      <c r="R532" s="2" t="inlineStr"/>
    </row>
    <row r="533" ht="15" customHeight="1">
      <c r="A533" t="inlineStr">
        <is>
          <t>A 14157-2026</t>
        </is>
      </c>
      <c r="B533" s="1" t="n">
        <v>46099.46829861111</v>
      </c>
      <c r="C533" s="1" t="n">
        <v>46189</v>
      </c>
      <c r="D533" t="inlineStr">
        <is>
          <t>ÖSTERGÖTLANDS LÄN</t>
        </is>
      </c>
      <c r="E533" t="inlineStr">
        <is>
          <t>LINKÖPING</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10094-2024</t>
        </is>
      </c>
      <c r="B534" s="1" t="n">
        <v>45364</v>
      </c>
      <c r="C534" s="1" t="n">
        <v>46189</v>
      </c>
      <c r="D534" t="inlineStr">
        <is>
          <t>ÖSTERGÖTLANDS LÄN</t>
        </is>
      </c>
      <c r="E534" t="inlineStr">
        <is>
          <t>LINKÖPING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1207-2023</t>
        </is>
      </c>
      <c r="B535" s="1" t="n">
        <v>44930</v>
      </c>
      <c r="C535" s="1" t="n">
        <v>46189</v>
      </c>
      <c r="D535" t="inlineStr">
        <is>
          <t>ÖSTERGÖTLANDS LÄN</t>
        </is>
      </c>
      <c r="E535" t="inlineStr">
        <is>
          <t>LINKÖPING</t>
        </is>
      </c>
      <c r="F535" t="inlineStr">
        <is>
          <t>Övriga statliga verk och myndigheter</t>
        </is>
      </c>
      <c r="G535" t="n">
        <v>32.8</v>
      </c>
      <c r="H535" t="n">
        <v>0</v>
      </c>
      <c r="I535" t="n">
        <v>0</v>
      </c>
      <c r="J535" t="n">
        <v>0</v>
      </c>
      <c r="K535" t="n">
        <v>0</v>
      </c>
      <c r="L535" t="n">
        <v>0</v>
      </c>
      <c r="M535" t="n">
        <v>0</v>
      </c>
      <c r="N535" t="n">
        <v>0</v>
      </c>
      <c r="O535" t="n">
        <v>0</v>
      </c>
      <c r="P535" t="n">
        <v>0</v>
      </c>
      <c r="Q535" t="n">
        <v>0</v>
      </c>
      <c r="R535" s="2" t="inlineStr"/>
    </row>
    <row r="536" ht="15" customHeight="1">
      <c r="A536" t="inlineStr">
        <is>
          <t>A 62015-2024</t>
        </is>
      </c>
      <c r="B536" s="1" t="n">
        <v>45655.80457175926</v>
      </c>
      <c r="C536" s="1" t="n">
        <v>46189</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62020-2024</t>
        </is>
      </c>
      <c r="B537" s="1" t="n">
        <v>45655.83563657408</v>
      </c>
      <c r="C537" s="1" t="n">
        <v>46189</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62021-2024</t>
        </is>
      </c>
      <c r="B538" s="1" t="n">
        <v>45655.84232638889</v>
      </c>
      <c r="C538" s="1" t="n">
        <v>46189</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57391-2023</t>
        </is>
      </c>
      <c r="B539" s="1" t="n">
        <v>45245</v>
      </c>
      <c r="C539" s="1" t="n">
        <v>46189</v>
      </c>
      <c r="D539" t="inlineStr">
        <is>
          <t>ÖSTERGÖTLANDS LÄN</t>
        </is>
      </c>
      <c r="E539" t="inlineStr">
        <is>
          <t>LINKÖPING</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21246-2026</t>
        </is>
      </c>
      <c r="B540" s="1" t="n">
        <v>46147.36642361111</v>
      </c>
      <c r="C540" s="1" t="n">
        <v>46189</v>
      </c>
      <c r="D540" t="inlineStr">
        <is>
          <t>ÖSTERGÖTLANDS LÄN</t>
        </is>
      </c>
      <c r="E540" t="inlineStr">
        <is>
          <t>LINKÖPING</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21248-2026</t>
        </is>
      </c>
      <c r="B541" s="1" t="n">
        <v>46147.36969907407</v>
      </c>
      <c r="C541" s="1" t="n">
        <v>46189</v>
      </c>
      <c r="D541" t="inlineStr">
        <is>
          <t>ÖSTERGÖTLANDS LÄN</t>
        </is>
      </c>
      <c r="E541" t="inlineStr">
        <is>
          <t>LINKÖPING</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20294-2025</t>
        </is>
      </c>
      <c r="B542" s="1" t="n">
        <v>45774.74667824074</v>
      </c>
      <c r="C542" s="1" t="n">
        <v>46189</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60013-2022</t>
        </is>
      </c>
      <c r="B543" s="1" t="n">
        <v>44909.47482638889</v>
      </c>
      <c r="C543" s="1" t="n">
        <v>46189</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15850-2026</t>
        </is>
      </c>
      <c r="B544" s="1" t="n">
        <v>46107.57224537037</v>
      </c>
      <c r="C544" s="1" t="n">
        <v>46189</v>
      </c>
      <c r="D544" t="inlineStr">
        <is>
          <t>ÖSTERGÖTLANDS LÄN</t>
        </is>
      </c>
      <c r="E544" t="inlineStr">
        <is>
          <t>LINKÖPING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3007-2025</t>
        </is>
      </c>
      <c r="B545" s="1" t="n">
        <v>45678.56328703704</v>
      </c>
      <c r="C545" s="1" t="n">
        <v>46189</v>
      </c>
      <c r="D545" t="inlineStr">
        <is>
          <t>ÖSTERGÖTLANDS LÄN</t>
        </is>
      </c>
      <c r="E545" t="inlineStr">
        <is>
          <t>LINKÖPING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34877-2023</t>
        </is>
      </c>
      <c r="B546" s="1" t="n">
        <v>45140</v>
      </c>
      <c r="C546" s="1" t="n">
        <v>46189</v>
      </c>
      <c r="D546" t="inlineStr">
        <is>
          <t>ÖSTERGÖTLANDS LÄN</t>
        </is>
      </c>
      <c r="E546" t="inlineStr">
        <is>
          <t>LINKÖPING</t>
        </is>
      </c>
      <c r="G546" t="n">
        <v>1.9</v>
      </c>
      <c r="H546" t="n">
        <v>0</v>
      </c>
      <c r="I546" t="n">
        <v>0</v>
      </c>
      <c r="J546" t="n">
        <v>0</v>
      </c>
      <c r="K546" t="n">
        <v>0</v>
      </c>
      <c r="L546" t="n">
        <v>0</v>
      </c>
      <c r="M546" t="n">
        <v>0</v>
      </c>
      <c r="N546" t="n">
        <v>0</v>
      </c>
      <c r="O546" t="n">
        <v>0</v>
      </c>
      <c r="P546" t="n">
        <v>0</v>
      </c>
      <c r="Q546" t="n">
        <v>0</v>
      </c>
      <c r="R546" s="2" t="inlineStr"/>
    </row>
    <row r="547" ht="15" customHeight="1">
      <c r="A547" t="inlineStr">
        <is>
          <t>A 1924-2024</t>
        </is>
      </c>
      <c r="B547" s="1" t="n">
        <v>45308</v>
      </c>
      <c r="C547" s="1" t="n">
        <v>46189</v>
      </c>
      <c r="D547" t="inlineStr">
        <is>
          <t>ÖSTERGÖTLANDS LÄN</t>
        </is>
      </c>
      <c r="E547" t="inlineStr">
        <is>
          <t>LINKÖPING</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34558-2022</t>
        </is>
      </c>
      <c r="B548" s="1" t="n">
        <v>44794.57594907407</v>
      </c>
      <c r="C548" s="1" t="n">
        <v>46189</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168-2024</t>
        </is>
      </c>
      <c r="B549" s="1" t="n">
        <v>45294</v>
      </c>
      <c r="C549" s="1" t="n">
        <v>46189</v>
      </c>
      <c r="D549" t="inlineStr">
        <is>
          <t>ÖSTERGÖTLANDS LÄN</t>
        </is>
      </c>
      <c r="E549" t="inlineStr">
        <is>
          <t>LINKÖPING</t>
        </is>
      </c>
      <c r="F549" t="inlineStr">
        <is>
          <t>Allmännings- och besparingsskogar</t>
        </is>
      </c>
      <c r="G549" t="n">
        <v>8.9</v>
      </c>
      <c r="H549" t="n">
        <v>0</v>
      </c>
      <c r="I549" t="n">
        <v>0</v>
      </c>
      <c r="J549" t="n">
        <v>0</v>
      </c>
      <c r="K549" t="n">
        <v>0</v>
      </c>
      <c r="L549" t="n">
        <v>0</v>
      </c>
      <c r="M549" t="n">
        <v>0</v>
      </c>
      <c r="N549" t="n">
        <v>0</v>
      </c>
      <c r="O549" t="n">
        <v>0</v>
      </c>
      <c r="P549" t="n">
        <v>0</v>
      </c>
      <c r="Q549" t="n">
        <v>0</v>
      </c>
      <c r="R549" s="2" t="inlineStr"/>
    </row>
    <row r="550" ht="15" customHeight="1">
      <c r="A550" t="inlineStr">
        <is>
          <t>A 15658-2023</t>
        </is>
      </c>
      <c r="B550" s="1" t="n">
        <v>45021.41194444444</v>
      </c>
      <c r="C550" s="1" t="n">
        <v>46189</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30433-2024</t>
        </is>
      </c>
      <c r="B551" s="1" t="n">
        <v>45491.69741898148</v>
      </c>
      <c r="C551" s="1" t="n">
        <v>46189</v>
      </c>
      <c r="D551" t="inlineStr">
        <is>
          <t>ÖSTERGÖTLANDS LÄN</t>
        </is>
      </c>
      <c r="E551" t="inlineStr">
        <is>
          <t>LINKÖPING</t>
        </is>
      </c>
      <c r="G551" t="n">
        <v>1.7</v>
      </c>
      <c r="H551" t="n">
        <v>0</v>
      </c>
      <c r="I551" t="n">
        <v>0</v>
      </c>
      <c r="J551" t="n">
        <v>0</v>
      </c>
      <c r="K551" t="n">
        <v>0</v>
      </c>
      <c r="L551" t="n">
        <v>0</v>
      </c>
      <c r="M551" t="n">
        <v>0</v>
      </c>
      <c r="N551" t="n">
        <v>0</v>
      </c>
      <c r="O551" t="n">
        <v>0</v>
      </c>
      <c r="P551" t="n">
        <v>0</v>
      </c>
      <c r="Q551" t="n">
        <v>0</v>
      </c>
      <c r="R551" s="2" t="inlineStr"/>
    </row>
    <row r="552" ht="15" customHeight="1">
      <c r="A552" t="inlineStr">
        <is>
          <t>A 52220-2023</t>
        </is>
      </c>
      <c r="B552" s="1" t="n">
        <v>45217</v>
      </c>
      <c r="C552" s="1" t="n">
        <v>46189</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52225-2023</t>
        </is>
      </c>
      <c r="B553" s="1" t="n">
        <v>45217</v>
      </c>
      <c r="C553" s="1" t="n">
        <v>46189</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19464-2024</t>
        </is>
      </c>
      <c r="B554" s="1" t="n">
        <v>45429</v>
      </c>
      <c r="C554" s="1" t="n">
        <v>46189</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42044-2023</t>
        </is>
      </c>
      <c r="B555" s="1" t="n">
        <v>45177</v>
      </c>
      <c r="C555" s="1" t="n">
        <v>46189</v>
      </c>
      <c r="D555" t="inlineStr">
        <is>
          <t>ÖSTERGÖTLANDS LÄN</t>
        </is>
      </c>
      <c r="E555" t="inlineStr">
        <is>
          <t>LINKÖPING</t>
        </is>
      </c>
      <c r="G555" t="n">
        <v>3.9</v>
      </c>
      <c r="H555" t="n">
        <v>0</v>
      </c>
      <c r="I555" t="n">
        <v>0</v>
      </c>
      <c r="J555" t="n">
        <v>0</v>
      </c>
      <c r="K555" t="n">
        <v>0</v>
      </c>
      <c r="L555" t="n">
        <v>0</v>
      </c>
      <c r="M555" t="n">
        <v>0</v>
      </c>
      <c r="N555" t="n">
        <v>0</v>
      </c>
      <c r="O555" t="n">
        <v>0</v>
      </c>
      <c r="P555" t="n">
        <v>0</v>
      </c>
      <c r="Q555" t="n">
        <v>0</v>
      </c>
      <c r="R555" s="2" t="inlineStr"/>
    </row>
    <row r="556" ht="15" customHeight="1">
      <c r="A556" t="inlineStr">
        <is>
          <t>A 22070-2026</t>
        </is>
      </c>
      <c r="B556" s="1" t="n">
        <v>46153.49255787037</v>
      </c>
      <c r="C556" s="1" t="n">
        <v>46189</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630-2024</t>
        </is>
      </c>
      <c r="B557" s="1" t="n">
        <v>45299.67736111111</v>
      </c>
      <c r="C557" s="1" t="n">
        <v>46189</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22272-2026</t>
        </is>
      </c>
      <c r="B558" s="1" t="n">
        <v>46154.41445601852</v>
      </c>
      <c r="C558" s="1" t="n">
        <v>46189</v>
      </c>
      <c r="D558" t="inlineStr">
        <is>
          <t>ÖSTERGÖTLANDS LÄN</t>
        </is>
      </c>
      <c r="E558" t="inlineStr">
        <is>
          <t>LINKÖPING</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22286-2026</t>
        </is>
      </c>
      <c r="B559" s="1" t="n">
        <v>46154.43436342593</v>
      </c>
      <c r="C559" s="1" t="n">
        <v>46189</v>
      </c>
      <c r="D559" t="inlineStr">
        <is>
          <t>ÖSTERGÖTLANDS LÄN</t>
        </is>
      </c>
      <c r="E559" t="inlineStr">
        <is>
          <t>LINKÖPING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22289-2026</t>
        </is>
      </c>
      <c r="B560" s="1" t="n">
        <v>46154.43842592592</v>
      </c>
      <c r="C560" s="1" t="n">
        <v>46189</v>
      </c>
      <c r="D560" t="inlineStr">
        <is>
          <t>ÖSTERGÖTLANDS LÄN</t>
        </is>
      </c>
      <c r="E560" t="inlineStr">
        <is>
          <t>LINKÖPING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21782-2024</t>
        </is>
      </c>
      <c r="B561" s="1" t="n">
        <v>45442.63368055555</v>
      </c>
      <c r="C561" s="1" t="n">
        <v>46189</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22271-2026</t>
        </is>
      </c>
      <c r="B562" s="1" t="n">
        <v>46154.41280092593</v>
      </c>
      <c r="C562" s="1" t="n">
        <v>46189</v>
      </c>
      <c r="D562" t="inlineStr">
        <is>
          <t>ÖSTERGÖTLANDS LÄN</t>
        </is>
      </c>
      <c r="E562" t="inlineStr">
        <is>
          <t>LINKÖPING</t>
        </is>
      </c>
      <c r="F562" t="inlineStr">
        <is>
          <t>Sveaskog</t>
        </is>
      </c>
      <c r="G562" t="n">
        <v>6.5</v>
      </c>
      <c r="H562" t="n">
        <v>0</v>
      </c>
      <c r="I562" t="n">
        <v>0</v>
      </c>
      <c r="J562" t="n">
        <v>0</v>
      </c>
      <c r="K562" t="n">
        <v>0</v>
      </c>
      <c r="L562" t="n">
        <v>0</v>
      </c>
      <c r="M562" t="n">
        <v>0</v>
      </c>
      <c r="N562" t="n">
        <v>0</v>
      </c>
      <c r="O562" t="n">
        <v>0</v>
      </c>
      <c r="P562" t="n">
        <v>0</v>
      </c>
      <c r="Q562" t="n">
        <v>0</v>
      </c>
      <c r="R562" s="2" t="inlineStr"/>
    </row>
    <row r="563" ht="15" customHeight="1">
      <c r="A563" t="inlineStr">
        <is>
          <t>A 22282-2026</t>
        </is>
      </c>
      <c r="B563" s="1" t="n">
        <v>46154.42961805555</v>
      </c>
      <c r="C563" s="1" t="n">
        <v>46189</v>
      </c>
      <c r="D563" t="inlineStr">
        <is>
          <t>ÖSTERGÖTLANDS LÄN</t>
        </is>
      </c>
      <c r="E563" t="inlineStr">
        <is>
          <t>LINKÖPING</t>
        </is>
      </c>
      <c r="F563" t="inlineStr">
        <is>
          <t>Sveaskog</t>
        </is>
      </c>
      <c r="G563" t="n">
        <v>6.7</v>
      </c>
      <c r="H563" t="n">
        <v>0</v>
      </c>
      <c r="I563" t="n">
        <v>0</v>
      </c>
      <c r="J563" t="n">
        <v>0</v>
      </c>
      <c r="K563" t="n">
        <v>0</v>
      </c>
      <c r="L563" t="n">
        <v>0</v>
      </c>
      <c r="M563" t="n">
        <v>0</v>
      </c>
      <c r="N563" t="n">
        <v>0</v>
      </c>
      <c r="O563" t="n">
        <v>0</v>
      </c>
      <c r="P563" t="n">
        <v>0</v>
      </c>
      <c r="Q563" t="n">
        <v>0</v>
      </c>
      <c r="R563" s="2" t="inlineStr"/>
    </row>
    <row r="564" ht="15" customHeight="1">
      <c r="A564" t="inlineStr">
        <is>
          <t>A 16967-2026</t>
        </is>
      </c>
      <c r="B564" s="1" t="n">
        <v>46114.36207175926</v>
      </c>
      <c r="C564" s="1" t="n">
        <v>46189</v>
      </c>
      <c r="D564" t="inlineStr">
        <is>
          <t>ÖSTERGÖTLANDS LÄN</t>
        </is>
      </c>
      <c r="E564" t="inlineStr">
        <is>
          <t>LINKÖPING</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10194-2023</t>
        </is>
      </c>
      <c r="B565" s="1" t="n">
        <v>44986.52277777778</v>
      </c>
      <c r="C565" s="1" t="n">
        <v>46189</v>
      </c>
      <c r="D565" t="inlineStr">
        <is>
          <t>ÖSTERGÖTLANDS LÄN</t>
        </is>
      </c>
      <c r="E565" t="inlineStr">
        <is>
          <t>LINKÖPING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55944-2024</t>
        </is>
      </c>
      <c r="B566" s="1" t="n">
        <v>45623.61640046296</v>
      </c>
      <c r="C566" s="1" t="n">
        <v>46189</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55947-2024</t>
        </is>
      </c>
      <c r="B567" s="1" t="n">
        <v>45623</v>
      </c>
      <c r="C567" s="1" t="n">
        <v>46189</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47703-2023</t>
        </is>
      </c>
      <c r="B568" s="1" t="n">
        <v>45203</v>
      </c>
      <c r="C568" s="1" t="n">
        <v>46189</v>
      </c>
      <c r="D568" t="inlineStr">
        <is>
          <t>ÖSTERGÖTLANDS LÄN</t>
        </is>
      </c>
      <c r="E568" t="inlineStr">
        <is>
          <t>LINKÖPING</t>
        </is>
      </c>
      <c r="G568" t="n">
        <v>4.1</v>
      </c>
      <c r="H568" t="n">
        <v>0</v>
      </c>
      <c r="I568" t="n">
        <v>0</v>
      </c>
      <c r="J568" t="n">
        <v>0</v>
      </c>
      <c r="K568" t="n">
        <v>0</v>
      </c>
      <c r="L568" t="n">
        <v>0</v>
      </c>
      <c r="M568" t="n">
        <v>0</v>
      </c>
      <c r="N568" t="n">
        <v>0</v>
      </c>
      <c r="O568" t="n">
        <v>0</v>
      </c>
      <c r="P568" t="n">
        <v>0</v>
      </c>
      <c r="Q568" t="n">
        <v>0</v>
      </c>
      <c r="R568" s="2" t="inlineStr"/>
    </row>
    <row r="569" ht="15" customHeight="1">
      <c r="A569" t="inlineStr">
        <is>
          <t>A 51559-2024</t>
        </is>
      </c>
      <c r="B569" s="1" t="n">
        <v>45604.61431712963</v>
      </c>
      <c r="C569" s="1" t="n">
        <v>46189</v>
      </c>
      <c r="D569" t="inlineStr">
        <is>
          <t>ÖSTERGÖTLANDS LÄN</t>
        </is>
      </c>
      <c r="E569" t="inlineStr">
        <is>
          <t>LINKÖPING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62353-2022</t>
        </is>
      </c>
      <c r="B570" s="1" t="n">
        <v>44923</v>
      </c>
      <c r="C570" s="1" t="n">
        <v>46189</v>
      </c>
      <c r="D570" t="inlineStr">
        <is>
          <t>ÖSTERGÖTLANDS LÄN</t>
        </is>
      </c>
      <c r="E570" t="inlineStr">
        <is>
          <t>LINKÖPING</t>
        </is>
      </c>
      <c r="F570" t="inlineStr">
        <is>
          <t>Allmännings- och besparingsskogar</t>
        </is>
      </c>
      <c r="G570" t="n">
        <v>1.7</v>
      </c>
      <c r="H570" t="n">
        <v>0</v>
      </c>
      <c r="I570" t="n">
        <v>0</v>
      </c>
      <c r="J570" t="n">
        <v>0</v>
      </c>
      <c r="K570" t="n">
        <v>0</v>
      </c>
      <c r="L570" t="n">
        <v>0</v>
      </c>
      <c r="M570" t="n">
        <v>0</v>
      </c>
      <c r="N570" t="n">
        <v>0</v>
      </c>
      <c r="O570" t="n">
        <v>0</v>
      </c>
      <c r="P570" t="n">
        <v>0</v>
      </c>
      <c r="Q570" t="n">
        <v>0</v>
      </c>
      <c r="R570" s="2" t="inlineStr"/>
    </row>
    <row r="571" ht="15" customHeight="1">
      <c r="A571" t="inlineStr">
        <is>
          <t>A 15754-2025</t>
        </is>
      </c>
      <c r="B571" s="1" t="n">
        <v>45748.56105324074</v>
      </c>
      <c r="C571" s="1" t="n">
        <v>46189</v>
      </c>
      <c r="D571" t="inlineStr">
        <is>
          <t>ÖSTERGÖTLANDS LÄN</t>
        </is>
      </c>
      <c r="E571" t="inlineStr">
        <is>
          <t>LINKÖPING</t>
        </is>
      </c>
      <c r="G571" t="n">
        <v>1.7</v>
      </c>
      <c r="H571" t="n">
        <v>0</v>
      </c>
      <c r="I571" t="n">
        <v>0</v>
      </c>
      <c r="J571" t="n">
        <v>0</v>
      </c>
      <c r="K571" t="n">
        <v>0</v>
      </c>
      <c r="L571" t="n">
        <v>0</v>
      </c>
      <c r="M571" t="n">
        <v>0</v>
      </c>
      <c r="N571" t="n">
        <v>0</v>
      </c>
      <c r="O571" t="n">
        <v>0</v>
      </c>
      <c r="P571" t="n">
        <v>0</v>
      </c>
      <c r="Q571" t="n">
        <v>0</v>
      </c>
      <c r="R571" s="2" t="inlineStr"/>
    </row>
    <row r="572" ht="15" customHeight="1">
      <c r="A572" t="inlineStr">
        <is>
          <t>A 4298-2023</t>
        </is>
      </c>
      <c r="B572" s="1" t="n">
        <v>44953</v>
      </c>
      <c r="C572" s="1" t="n">
        <v>46189</v>
      </c>
      <c r="D572" t="inlineStr">
        <is>
          <t>ÖSTERGÖTLANDS LÄN</t>
        </is>
      </c>
      <c r="E572" t="inlineStr">
        <is>
          <t>LINKÖPING</t>
        </is>
      </c>
      <c r="G572" t="n">
        <v>2.8</v>
      </c>
      <c r="H572" t="n">
        <v>0</v>
      </c>
      <c r="I572" t="n">
        <v>0</v>
      </c>
      <c r="J572" t="n">
        <v>0</v>
      </c>
      <c r="K572" t="n">
        <v>0</v>
      </c>
      <c r="L572" t="n">
        <v>0</v>
      </c>
      <c r="M572" t="n">
        <v>0</v>
      </c>
      <c r="N572" t="n">
        <v>0</v>
      </c>
      <c r="O572" t="n">
        <v>0</v>
      </c>
      <c r="P572" t="n">
        <v>0</v>
      </c>
      <c r="Q572" t="n">
        <v>0</v>
      </c>
      <c r="R572" s="2" t="inlineStr"/>
    </row>
    <row r="573" ht="15" customHeight="1">
      <c r="A573" t="inlineStr">
        <is>
          <t>A 25568-2024</t>
        </is>
      </c>
      <c r="B573" s="1" t="n">
        <v>45463.58699074074</v>
      </c>
      <c r="C573" s="1" t="n">
        <v>46189</v>
      </c>
      <c r="D573" t="inlineStr">
        <is>
          <t>ÖSTERGÖTLANDS LÄN</t>
        </is>
      </c>
      <c r="E573" t="inlineStr">
        <is>
          <t>LINKÖPING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38136-2023</t>
        </is>
      </c>
      <c r="B574" s="1" t="n">
        <v>45161.37310185185</v>
      </c>
      <c r="C574" s="1" t="n">
        <v>46189</v>
      </c>
      <c r="D574" t="inlineStr">
        <is>
          <t>ÖSTERGÖTLANDS LÄN</t>
        </is>
      </c>
      <c r="E574" t="inlineStr">
        <is>
          <t>LINKÖPING</t>
        </is>
      </c>
      <c r="G574" t="n">
        <v>5.6</v>
      </c>
      <c r="H574" t="n">
        <v>0</v>
      </c>
      <c r="I574" t="n">
        <v>0</v>
      </c>
      <c r="J574" t="n">
        <v>0</v>
      </c>
      <c r="K574" t="n">
        <v>0</v>
      </c>
      <c r="L574" t="n">
        <v>0</v>
      </c>
      <c r="M574" t="n">
        <v>0</v>
      </c>
      <c r="N574" t="n">
        <v>0</v>
      </c>
      <c r="O574" t="n">
        <v>0</v>
      </c>
      <c r="P574" t="n">
        <v>0</v>
      </c>
      <c r="Q574" t="n">
        <v>0</v>
      </c>
      <c r="R574" s="2" t="inlineStr"/>
    </row>
    <row r="575" ht="15" customHeight="1">
      <c r="A575" t="inlineStr">
        <is>
          <t>A 17513-2026</t>
        </is>
      </c>
      <c r="B575" s="1" t="n">
        <v>46120</v>
      </c>
      <c r="C575" s="1" t="n">
        <v>46189</v>
      </c>
      <c r="D575" t="inlineStr">
        <is>
          <t>ÖSTERGÖTLANDS LÄN</t>
        </is>
      </c>
      <c r="E575" t="inlineStr">
        <is>
          <t>LINKÖPING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14528-2025</t>
        </is>
      </c>
      <c r="B576" s="1" t="n">
        <v>45741</v>
      </c>
      <c r="C576" s="1" t="n">
        <v>46189</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61649-2023</t>
        </is>
      </c>
      <c r="B577" s="1" t="n">
        <v>45265</v>
      </c>
      <c r="C577" s="1" t="n">
        <v>46189</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60985-2023</t>
        </is>
      </c>
      <c r="B578" s="1" t="n">
        <v>45261.48429398148</v>
      </c>
      <c r="C578" s="1" t="n">
        <v>46189</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421-2024</t>
        </is>
      </c>
      <c r="B579" s="1" t="n">
        <v>45296.51877314815</v>
      </c>
      <c r="C579" s="1" t="n">
        <v>46189</v>
      </c>
      <c r="D579" t="inlineStr">
        <is>
          <t>ÖSTERGÖTLANDS LÄN</t>
        </is>
      </c>
      <c r="E579" t="inlineStr">
        <is>
          <t>LINKÖPING</t>
        </is>
      </c>
      <c r="G579" t="n">
        <v>3.7</v>
      </c>
      <c r="H579" t="n">
        <v>0</v>
      </c>
      <c r="I579" t="n">
        <v>0</v>
      </c>
      <c r="J579" t="n">
        <v>0</v>
      </c>
      <c r="K579" t="n">
        <v>0</v>
      </c>
      <c r="L579" t="n">
        <v>0</v>
      </c>
      <c r="M579" t="n">
        <v>0</v>
      </c>
      <c r="N579" t="n">
        <v>0</v>
      </c>
      <c r="O579" t="n">
        <v>0</v>
      </c>
      <c r="P579" t="n">
        <v>0</v>
      </c>
      <c r="Q579" t="n">
        <v>0</v>
      </c>
      <c r="R579" s="2" t="inlineStr"/>
    </row>
    <row r="580" ht="15" customHeight="1">
      <c r="A580" t="inlineStr">
        <is>
          <t>A 51405-2023</t>
        </is>
      </c>
      <c r="B580" s="1" t="n">
        <v>45219</v>
      </c>
      <c r="C580" s="1" t="n">
        <v>46189</v>
      </c>
      <c r="D580" t="inlineStr">
        <is>
          <t>ÖSTERGÖTLANDS LÄN</t>
        </is>
      </c>
      <c r="E580" t="inlineStr">
        <is>
          <t>LINKÖPING</t>
        </is>
      </c>
      <c r="F580" t="inlineStr">
        <is>
          <t>Övriga Aktiebolag</t>
        </is>
      </c>
      <c r="G580" t="n">
        <v>3</v>
      </c>
      <c r="H580" t="n">
        <v>0</v>
      </c>
      <c r="I580" t="n">
        <v>0</v>
      </c>
      <c r="J580" t="n">
        <v>0</v>
      </c>
      <c r="K580" t="n">
        <v>0</v>
      </c>
      <c r="L580" t="n">
        <v>0</v>
      </c>
      <c r="M580" t="n">
        <v>0</v>
      </c>
      <c r="N580" t="n">
        <v>0</v>
      </c>
      <c r="O580" t="n">
        <v>0</v>
      </c>
      <c r="P580" t="n">
        <v>0</v>
      </c>
      <c r="Q580" t="n">
        <v>0</v>
      </c>
      <c r="R580" s="2" t="inlineStr"/>
    </row>
    <row r="581" ht="15" customHeight="1">
      <c r="A581" t="inlineStr">
        <is>
          <t>A 53639-2023</t>
        </is>
      </c>
      <c r="B581" s="1" t="n">
        <v>45230.59686342593</v>
      </c>
      <c r="C581" s="1" t="n">
        <v>46189</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24467-2023</t>
        </is>
      </c>
      <c r="B582" s="1" t="n">
        <v>45082</v>
      </c>
      <c r="C582" s="1" t="n">
        <v>46189</v>
      </c>
      <c r="D582" t="inlineStr">
        <is>
          <t>ÖSTERGÖTLANDS LÄN</t>
        </is>
      </c>
      <c r="E582" t="inlineStr">
        <is>
          <t>LINKÖPING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62495-2023</t>
        </is>
      </c>
      <c r="B583" s="1" t="n">
        <v>45268.59717592593</v>
      </c>
      <c r="C583" s="1" t="n">
        <v>46189</v>
      </c>
      <c r="D583" t="inlineStr">
        <is>
          <t>ÖSTERGÖTLANDS LÄN</t>
        </is>
      </c>
      <c r="E583" t="inlineStr">
        <is>
          <t>LINKÖPING</t>
        </is>
      </c>
      <c r="G583" t="n">
        <v>4.1</v>
      </c>
      <c r="H583" t="n">
        <v>0</v>
      </c>
      <c r="I583" t="n">
        <v>0</v>
      </c>
      <c r="J583" t="n">
        <v>0</v>
      </c>
      <c r="K583" t="n">
        <v>0</v>
      </c>
      <c r="L583" t="n">
        <v>0</v>
      </c>
      <c r="M583" t="n">
        <v>0</v>
      </c>
      <c r="N583" t="n">
        <v>0</v>
      </c>
      <c r="O583" t="n">
        <v>0</v>
      </c>
      <c r="P583" t="n">
        <v>0</v>
      </c>
      <c r="Q583" t="n">
        <v>0</v>
      </c>
      <c r="R583" s="2" t="inlineStr"/>
    </row>
    <row r="584" ht="15" customHeight="1">
      <c r="A584" t="inlineStr">
        <is>
          <t>A 10198-2023</t>
        </is>
      </c>
      <c r="B584" s="1" t="n">
        <v>44986.54665509259</v>
      </c>
      <c r="C584" s="1" t="n">
        <v>46189</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62018-2024</t>
        </is>
      </c>
      <c r="B585" s="1" t="n">
        <v>45655.81387731482</v>
      </c>
      <c r="C585" s="1" t="n">
        <v>46189</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62073-2023</t>
        </is>
      </c>
      <c r="B586" s="1" t="n">
        <v>45266.73844907407</v>
      </c>
      <c r="C586" s="1" t="n">
        <v>46189</v>
      </c>
      <c r="D586" t="inlineStr">
        <is>
          <t>ÖSTERGÖTLANDS LÄN</t>
        </is>
      </c>
      <c r="E586" t="inlineStr">
        <is>
          <t>LINKÖPING</t>
        </is>
      </c>
      <c r="F586" t="inlineStr">
        <is>
          <t>Allmännings- och besparingsskogar</t>
        </is>
      </c>
      <c r="G586" t="n">
        <v>1.8</v>
      </c>
      <c r="H586" t="n">
        <v>0</v>
      </c>
      <c r="I586" t="n">
        <v>0</v>
      </c>
      <c r="J586" t="n">
        <v>0</v>
      </c>
      <c r="K586" t="n">
        <v>0</v>
      </c>
      <c r="L586" t="n">
        <v>0</v>
      </c>
      <c r="M586" t="n">
        <v>0</v>
      </c>
      <c r="N586" t="n">
        <v>0</v>
      </c>
      <c r="O586" t="n">
        <v>0</v>
      </c>
      <c r="P586" t="n">
        <v>0</v>
      </c>
      <c r="Q586" t="n">
        <v>0</v>
      </c>
      <c r="R586" s="2" t="inlineStr"/>
    </row>
    <row r="587" ht="15" customHeight="1">
      <c r="A587" t="inlineStr">
        <is>
          <t>A 672-2024</t>
        </is>
      </c>
      <c r="B587" s="1" t="n">
        <v>45300</v>
      </c>
      <c r="C587" s="1" t="n">
        <v>46189</v>
      </c>
      <c r="D587" t="inlineStr">
        <is>
          <t>ÖSTERGÖTLANDS LÄN</t>
        </is>
      </c>
      <c r="E587" t="inlineStr">
        <is>
          <t>LINKÖPING</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42832-2023</t>
        </is>
      </c>
      <c r="B588" s="1" t="n">
        <v>45182.38091435185</v>
      </c>
      <c r="C588" s="1" t="n">
        <v>46189</v>
      </c>
      <c r="D588" t="inlineStr">
        <is>
          <t>ÖSTERGÖTLANDS LÄN</t>
        </is>
      </c>
      <c r="E588" t="inlineStr">
        <is>
          <t>LINKÖPING</t>
        </is>
      </c>
      <c r="G588" t="n">
        <v>2.5</v>
      </c>
      <c r="H588" t="n">
        <v>0</v>
      </c>
      <c r="I588" t="n">
        <v>0</v>
      </c>
      <c r="J588" t="n">
        <v>0</v>
      </c>
      <c r="K588" t="n">
        <v>0</v>
      </c>
      <c r="L588" t="n">
        <v>0</v>
      </c>
      <c r="M588" t="n">
        <v>0</v>
      </c>
      <c r="N588" t="n">
        <v>0</v>
      </c>
      <c r="O588" t="n">
        <v>0</v>
      </c>
      <c r="P588" t="n">
        <v>0</v>
      </c>
      <c r="Q588" t="n">
        <v>0</v>
      </c>
      <c r="R588" s="2" t="inlineStr"/>
    </row>
    <row r="589" ht="15" customHeight="1">
      <c r="A589" t="inlineStr">
        <is>
          <t>A 21247-2026</t>
        </is>
      </c>
      <c r="B589" s="1" t="n">
        <v>46147.36827546296</v>
      </c>
      <c r="C589" s="1" t="n">
        <v>46189</v>
      </c>
      <c r="D589" t="inlineStr">
        <is>
          <t>ÖSTERGÖTLANDS LÄN</t>
        </is>
      </c>
      <c r="E589" t="inlineStr">
        <is>
          <t>LINKÖPING</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5872-2025</t>
        </is>
      </c>
      <c r="B590" s="1" t="n">
        <v>45695.36659722222</v>
      </c>
      <c r="C590" s="1" t="n">
        <v>46189</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59576-2024</t>
        </is>
      </c>
      <c r="B591" s="1" t="n">
        <v>45638.66378472222</v>
      </c>
      <c r="C591" s="1" t="n">
        <v>46189</v>
      </c>
      <c r="D591" t="inlineStr">
        <is>
          <t>ÖSTERGÖTLANDS LÄN</t>
        </is>
      </c>
      <c r="E591" t="inlineStr">
        <is>
          <t>LINKÖPING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51583-2024</t>
        </is>
      </c>
      <c r="B592" s="1" t="n">
        <v>45604.6397337963</v>
      </c>
      <c r="C592" s="1" t="n">
        <v>46189</v>
      </c>
      <c r="D592" t="inlineStr">
        <is>
          <t>ÖSTERGÖTLANDS LÄN</t>
        </is>
      </c>
      <c r="E592" t="inlineStr">
        <is>
          <t>LINKÖPING</t>
        </is>
      </c>
      <c r="F592" t="inlineStr">
        <is>
          <t>Övriga Aktiebolag</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62019-2024</t>
        </is>
      </c>
      <c r="B593" s="1" t="n">
        <v>45655.82</v>
      </c>
      <c r="C593" s="1" t="n">
        <v>46189</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38317-2024</t>
        </is>
      </c>
      <c r="B594" s="1" t="n">
        <v>45545.65766203704</v>
      </c>
      <c r="C594" s="1" t="n">
        <v>46189</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50182-2023</t>
        </is>
      </c>
      <c r="B595" s="1" t="n">
        <v>45208</v>
      </c>
      <c r="C595" s="1" t="n">
        <v>46189</v>
      </c>
      <c r="D595" t="inlineStr">
        <is>
          <t>ÖSTERGÖTLANDS LÄN</t>
        </is>
      </c>
      <c r="E595" t="inlineStr">
        <is>
          <t>LINKÖPING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1844-2025</t>
        </is>
      </c>
      <c r="B596" s="1" t="n">
        <v>45671.57730324074</v>
      </c>
      <c r="C596" s="1" t="n">
        <v>46189</v>
      </c>
      <c r="D596" t="inlineStr">
        <is>
          <t>ÖSTERGÖTLANDS LÄN</t>
        </is>
      </c>
      <c r="E596" t="inlineStr">
        <is>
          <t>LINKÖPING</t>
        </is>
      </c>
      <c r="G596" t="n">
        <v>2</v>
      </c>
      <c r="H596" t="n">
        <v>0</v>
      </c>
      <c r="I596" t="n">
        <v>0</v>
      </c>
      <c r="J596" t="n">
        <v>0</v>
      </c>
      <c r="K596" t="n">
        <v>0</v>
      </c>
      <c r="L596" t="n">
        <v>0</v>
      </c>
      <c r="M596" t="n">
        <v>0</v>
      </c>
      <c r="N596" t="n">
        <v>0</v>
      </c>
      <c r="O596" t="n">
        <v>0</v>
      </c>
      <c r="P596" t="n">
        <v>0</v>
      </c>
      <c r="Q596" t="n">
        <v>0</v>
      </c>
      <c r="R596" s="2" t="inlineStr"/>
    </row>
    <row r="597" ht="15" customHeight="1">
      <c r="A597" t="inlineStr">
        <is>
          <t>A 21155-2025</t>
        </is>
      </c>
      <c r="B597" s="1" t="n">
        <v>45779.37586805555</v>
      </c>
      <c r="C597" s="1" t="n">
        <v>46189</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21165-2025</t>
        </is>
      </c>
      <c r="B598" s="1" t="n">
        <v>45779.39417824074</v>
      </c>
      <c r="C598" s="1" t="n">
        <v>46189</v>
      </c>
      <c r="D598" t="inlineStr">
        <is>
          <t>ÖSTERGÖTLANDS LÄN</t>
        </is>
      </c>
      <c r="E598" t="inlineStr">
        <is>
          <t>LINKÖPING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24436-2026</t>
        </is>
      </c>
      <c r="B599" s="1" t="n">
        <v>46169</v>
      </c>
      <c r="C599" s="1" t="n">
        <v>46189</v>
      </c>
      <c r="D599" t="inlineStr">
        <is>
          <t>ÖSTERGÖTLANDS LÄN</t>
        </is>
      </c>
      <c r="E599" t="inlineStr">
        <is>
          <t>LINKÖPING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24619-2026</t>
        </is>
      </c>
      <c r="B600" s="1" t="n">
        <v>46169</v>
      </c>
      <c r="C600" s="1" t="n">
        <v>46189</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24618-2026</t>
        </is>
      </c>
      <c r="B601" s="1" t="n">
        <v>46169</v>
      </c>
      <c r="C601" s="1" t="n">
        <v>46189</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24792-2026</t>
        </is>
      </c>
      <c r="B602" s="1" t="n">
        <v>46170</v>
      </c>
      <c r="C602" s="1" t="n">
        <v>46189</v>
      </c>
      <c r="D602" t="inlineStr">
        <is>
          <t>ÖSTERGÖTLANDS LÄN</t>
        </is>
      </c>
      <c r="E602" t="inlineStr">
        <is>
          <t>LINKÖPING</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57752-2023</t>
        </is>
      </c>
      <c r="B603" s="1" t="n">
        <v>45246.78474537037</v>
      </c>
      <c r="C603" s="1" t="n">
        <v>46189</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25229-2026</t>
        </is>
      </c>
      <c r="B604" s="1" t="n">
        <v>46175.64745370371</v>
      </c>
      <c r="C604" s="1" t="n">
        <v>46189</v>
      </c>
      <c r="D604" t="inlineStr">
        <is>
          <t>ÖSTERGÖTLANDS LÄN</t>
        </is>
      </c>
      <c r="E604" t="inlineStr">
        <is>
          <t>LINKÖPING</t>
        </is>
      </c>
      <c r="G604" t="n">
        <v>2.5</v>
      </c>
      <c r="H604" t="n">
        <v>0</v>
      </c>
      <c r="I604" t="n">
        <v>0</v>
      </c>
      <c r="J604" t="n">
        <v>0</v>
      </c>
      <c r="K604" t="n">
        <v>0</v>
      </c>
      <c r="L604" t="n">
        <v>0</v>
      </c>
      <c r="M604" t="n">
        <v>0</v>
      </c>
      <c r="N604" t="n">
        <v>0</v>
      </c>
      <c r="O604" t="n">
        <v>0</v>
      </c>
      <c r="P604" t="n">
        <v>0</v>
      </c>
      <c r="Q604" t="n">
        <v>0</v>
      </c>
      <c r="R604" s="2" t="inlineStr"/>
    </row>
    <row r="605" ht="15" customHeight="1">
      <c r="A605" t="inlineStr">
        <is>
          <t>A 22284-2026</t>
        </is>
      </c>
      <c r="B605" s="1" t="n">
        <v>46154.4333449074</v>
      </c>
      <c r="C605" s="1" t="n">
        <v>46189</v>
      </c>
      <c r="D605" t="inlineStr">
        <is>
          <t>ÖSTERGÖTLANDS LÄN</t>
        </is>
      </c>
      <c r="E605" t="inlineStr">
        <is>
          <t>LINKÖPING</t>
        </is>
      </c>
      <c r="F605" t="inlineStr">
        <is>
          <t>Sveaskog</t>
        </is>
      </c>
      <c r="G605" t="n">
        <v>4.4</v>
      </c>
      <c r="H605" t="n">
        <v>0</v>
      </c>
      <c r="I605" t="n">
        <v>0</v>
      </c>
      <c r="J605" t="n">
        <v>0</v>
      </c>
      <c r="K605" t="n">
        <v>0</v>
      </c>
      <c r="L605" t="n">
        <v>0</v>
      </c>
      <c r="M605" t="n">
        <v>0</v>
      </c>
      <c r="N605" t="n">
        <v>0</v>
      </c>
      <c r="O605" t="n">
        <v>0</v>
      </c>
      <c r="P605" t="n">
        <v>0</v>
      </c>
      <c r="Q605" t="n">
        <v>0</v>
      </c>
      <c r="R605" s="2" t="inlineStr"/>
    </row>
    <row r="606" ht="15" customHeight="1">
      <c r="A606" t="inlineStr">
        <is>
          <t>A 19523-2026</t>
        </is>
      </c>
      <c r="B606" s="1" t="n">
        <v>46134.35099537037</v>
      </c>
      <c r="C606" s="1" t="n">
        <v>46189</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9473-2024</t>
        </is>
      </c>
      <c r="B607" s="1" t="n">
        <v>45359.55474537037</v>
      </c>
      <c r="C607" s="1" t="n">
        <v>46189</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10797-2024</t>
        </is>
      </c>
      <c r="B608" s="1" t="n">
        <v>45369.6190162037</v>
      </c>
      <c r="C608" s="1" t="n">
        <v>46189</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22264-2025</t>
        </is>
      </c>
      <c r="B609" s="1" t="n">
        <v>45785</v>
      </c>
      <c r="C609" s="1" t="n">
        <v>46189</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6859-2024</t>
        </is>
      </c>
      <c r="B610" s="1" t="n">
        <v>45342</v>
      </c>
      <c r="C610" s="1" t="n">
        <v>46189</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38580-2024</t>
        </is>
      </c>
      <c r="B611" s="1" t="n">
        <v>45546.64825231482</v>
      </c>
      <c r="C611" s="1" t="n">
        <v>46189</v>
      </c>
      <c r="D611" t="inlineStr">
        <is>
          <t>ÖSTERGÖTLANDS LÄN</t>
        </is>
      </c>
      <c r="E611" t="inlineStr">
        <is>
          <t>LINKÖPING</t>
        </is>
      </c>
      <c r="G611" t="n">
        <v>4.8</v>
      </c>
      <c r="H611" t="n">
        <v>0</v>
      </c>
      <c r="I611" t="n">
        <v>0</v>
      </c>
      <c r="J611" t="n">
        <v>0</v>
      </c>
      <c r="K611" t="n">
        <v>0</v>
      </c>
      <c r="L611" t="n">
        <v>0</v>
      </c>
      <c r="M611" t="n">
        <v>0</v>
      </c>
      <c r="N611" t="n">
        <v>0</v>
      </c>
      <c r="O611" t="n">
        <v>0</v>
      </c>
      <c r="P611" t="n">
        <v>0</v>
      </c>
      <c r="Q611" t="n">
        <v>0</v>
      </c>
      <c r="R611" s="2" t="inlineStr"/>
    </row>
    <row r="612" ht="15" customHeight="1">
      <c r="A612" t="inlineStr">
        <is>
          <t>A 572-2025</t>
        </is>
      </c>
      <c r="B612" s="1" t="n">
        <v>45664.56349537037</v>
      </c>
      <c r="C612" s="1" t="n">
        <v>46189</v>
      </c>
      <c r="D612" t="inlineStr">
        <is>
          <t>ÖSTERGÖTLANDS LÄN</t>
        </is>
      </c>
      <c r="E612" t="inlineStr">
        <is>
          <t>LINKÖPING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44287-2024</t>
        </is>
      </c>
      <c r="B613" s="1" t="n">
        <v>45573.50582175926</v>
      </c>
      <c r="C613" s="1" t="n">
        <v>46189</v>
      </c>
      <c r="D613" t="inlineStr">
        <is>
          <t>ÖSTERGÖTLANDS LÄN</t>
        </is>
      </c>
      <c r="E613" t="inlineStr">
        <is>
          <t>LINKÖPING</t>
        </is>
      </c>
      <c r="G613" t="n">
        <v>12.7</v>
      </c>
      <c r="H613" t="n">
        <v>0</v>
      </c>
      <c r="I613" t="n">
        <v>0</v>
      </c>
      <c r="J613" t="n">
        <v>0</v>
      </c>
      <c r="K613" t="n">
        <v>0</v>
      </c>
      <c r="L613" t="n">
        <v>0</v>
      </c>
      <c r="M613" t="n">
        <v>0</v>
      </c>
      <c r="N613" t="n">
        <v>0</v>
      </c>
      <c r="O613" t="n">
        <v>0</v>
      </c>
      <c r="P613" t="n">
        <v>0</v>
      </c>
      <c r="Q613" t="n">
        <v>0</v>
      </c>
      <c r="R613" s="2" t="inlineStr"/>
    </row>
    <row r="614" ht="15" customHeight="1">
      <c r="A614" t="inlineStr">
        <is>
          <t>A 29312-2024</t>
        </is>
      </c>
      <c r="B614" s="1" t="n">
        <v>45483</v>
      </c>
      <c r="C614" s="1" t="n">
        <v>46189</v>
      </c>
      <c r="D614" t="inlineStr">
        <is>
          <t>ÖSTERGÖTLANDS LÄN</t>
        </is>
      </c>
      <c r="E614" t="inlineStr">
        <is>
          <t>LINKÖPING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20298-2025</t>
        </is>
      </c>
      <c r="B615" s="1" t="n">
        <v>45774.75024305555</v>
      </c>
      <c r="C615" s="1" t="n">
        <v>46189</v>
      </c>
      <c r="D615" t="inlineStr">
        <is>
          <t>ÖSTERGÖTLANDS LÄN</t>
        </is>
      </c>
      <c r="E615" t="inlineStr">
        <is>
          <t>LINKÖPING</t>
        </is>
      </c>
      <c r="G615" t="n">
        <v>1.3</v>
      </c>
      <c r="H615" t="n">
        <v>0</v>
      </c>
      <c r="I615" t="n">
        <v>0</v>
      </c>
      <c r="J615" t="n">
        <v>0</v>
      </c>
      <c r="K615" t="n">
        <v>0</v>
      </c>
      <c r="L615" t="n">
        <v>0</v>
      </c>
      <c r="M615" t="n">
        <v>0</v>
      </c>
      <c r="N615" t="n">
        <v>0</v>
      </c>
      <c r="O615" t="n">
        <v>0</v>
      </c>
      <c r="P615" t="n">
        <v>0</v>
      </c>
      <c r="Q615" t="n">
        <v>0</v>
      </c>
      <c r="R615" s="2" t="inlineStr"/>
    </row>
    <row r="616" ht="15" customHeight="1">
      <c r="A616" t="inlineStr">
        <is>
          <t>A 48699-2024</t>
        </is>
      </c>
      <c r="B616" s="1" t="n">
        <v>45593.52091435185</v>
      </c>
      <c r="C616" s="1" t="n">
        <v>46189</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59674-2024</t>
        </is>
      </c>
      <c r="B617" s="1" t="n">
        <v>45639</v>
      </c>
      <c r="C617" s="1" t="n">
        <v>46189</v>
      </c>
      <c r="D617" t="inlineStr">
        <is>
          <t>ÖSTERGÖTLANDS LÄN</t>
        </is>
      </c>
      <c r="E617" t="inlineStr">
        <is>
          <t>LINKÖPING</t>
        </is>
      </c>
      <c r="G617" t="n">
        <v>6.3</v>
      </c>
      <c r="H617" t="n">
        <v>0</v>
      </c>
      <c r="I617" t="n">
        <v>0</v>
      </c>
      <c r="J617" t="n">
        <v>0</v>
      </c>
      <c r="K617" t="n">
        <v>0</v>
      </c>
      <c r="L617" t="n">
        <v>0</v>
      </c>
      <c r="M617" t="n">
        <v>0</v>
      </c>
      <c r="N617" t="n">
        <v>0</v>
      </c>
      <c r="O617" t="n">
        <v>0</v>
      </c>
      <c r="P617" t="n">
        <v>0</v>
      </c>
      <c r="Q617" t="n">
        <v>0</v>
      </c>
      <c r="R617" s="2" t="inlineStr"/>
    </row>
    <row r="618" ht="15" customHeight="1">
      <c r="A618" t="inlineStr">
        <is>
          <t>A 57766-2023</t>
        </is>
      </c>
      <c r="B618" s="1" t="n">
        <v>45246</v>
      </c>
      <c r="C618" s="1" t="n">
        <v>46189</v>
      </c>
      <c r="D618" t="inlineStr">
        <is>
          <t>ÖSTERGÖTLANDS LÄN</t>
        </is>
      </c>
      <c r="E618" t="inlineStr">
        <is>
          <t>LINKÖPING</t>
        </is>
      </c>
      <c r="F618" t="inlineStr">
        <is>
          <t>Allmännings- och besparingsskogar</t>
        </is>
      </c>
      <c r="G618" t="n">
        <v>12.8</v>
      </c>
      <c r="H618" t="n">
        <v>0</v>
      </c>
      <c r="I618" t="n">
        <v>0</v>
      </c>
      <c r="J618" t="n">
        <v>0</v>
      </c>
      <c r="K618" t="n">
        <v>0</v>
      </c>
      <c r="L618" t="n">
        <v>0</v>
      </c>
      <c r="M618" t="n">
        <v>0</v>
      </c>
      <c r="N618" t="n">
        <v>0</v>
      </c>
      <c r="O618" t="n">
        <v>0</v>
      </c>
      <c r="P618" t="n">
        <v>0</v>
      </c>
      <c r="Q618" t="n">
        <v>0</v>
      </c>
      <c r="R618" s="2" t="inlineStr"/>
    </row>
    <row r="619" ht="15" customHeight="1">
      <c r="A619" t="inlineStr">
        <is>
          <t>A 55004-2025</t>
        </is>
      </c>
      <c r="B619" s="1" t="n">
        <v>45967</v>
      </c>
      <c r="C619" s="1" t="n">
        <v>46189</v>
      </c>
      <c r="D619" t="inlineStr">
        <is>
          <t>ÖSTERGÖTLANDS LÄN</t>
        </is>
      </c>
      <c r="E619" t="inlineStr">
        <is>
          <t>LINKÖPING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13266-2025</t>
        </is>
      </c>
      <c r="B620" s="1" t="n">
        <v>45735.53318287037</v>
      </c>
      <c r="C620" s="1" t="n">
        <v>46189</v>
      </c>
      <c r="D620" t="inlineStr">
        <is>
          <t>ÖSTERGÖTLANDS LÄN</t>
        </is>
      </c>
      <c r="E620" t="inlineStr">
        <is>
          <t>LINKÖPING</t>
        </is>
      </c>
      <c r="G620" t="n">
        <v>3.1</v>
      </c>
      <c r="H620" t="n">
        <v>0</v>
      </c>
      <c r="I620" t="n">
        <v>0</v>
      </c>
      <c r="J620" t="n">
        <v>0</v>
      </c>
      <c r="K620" t="n">
        <v>0</v>
      </c>
      <c r="L620" t="n">
        <v>0</v>
      </c>
      <c r="M620" t="n">
        <v>0</v>
      </c>
      <c r="N620" t="n">
        <v>0</v>
      </c>
      <c r="O620" t="n">
        <v>0</v>
      </c>
      <c r="P620" t="n">
        <v>0</v>
      </c>
      <c r="Q620" t="n">
        <v>0</v>
      </c>
      <c r="R620" s="2" t="inlineStr"/>
    </row>
    <row r="621" ht="15" customHeight="1">
      <c r="A621" t="inlineStr">
        <is>
          <t>A 13911-2025</t>
        </is>
      </c>
      <c r="B621" s="1" t="n">
        <v>45737.64784722222</v>
      </c>
      <c r="C621" s="1" t="n">
        <v>46189</v>
      </c>
      <c r="D621" t="inlineStr">
        <is>
          <t>ÖSTERGÖTLANDS LÄN</t>
        </is>
      </c>
      <c r="E621" t="inlineStr">
        <is>
          <t>LINKÖPING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23768-2025</t>
        </is>
      </c>
      <c r="B622" s="1" t="n">
        <v>45793.47493055555</v>
      </c>
      <c r="C622" s="1" t="n">
        <v>46189</v>
      </c>
      <c r="D622" t="inlineStr">
        <is>
          <t>ÖSTERGÖTLANDS LÄN</t>
        </is>
      </c>
      <c r="E622" t="inlineStr">
        <is>
          <t>LINKÖPING</t>
        </is>
      </c>
      <c r="G622" t="n">
        <v>3.4</v>
      </c>
      <c r="H622" t="n">
        <v>0</v>
      </c>
      <c r="I622" t="n">
        <v>0</v>
      </c>
      <c r="J622" t="n">
        <v>0</v>
      </c>
      <c r="K622" t="n">
        <v>0</v>
      </c>
      <c r="L622" t="n">
        <v>0</v>
      </c>
      <c r="M622" t="n">
        <v>0</v>
      </c>
      <c r="N622" t="n">
        <v>0</v>
      </c>
      <c r="O622" t="n">
        <v>0</v>
      </c>
      <c r="P622" t="n">
        <v>0</v>
      </c>
      <c r="Q622" t="n">
        <v>0</v>
      </c>
      <c r="R622" s="2" t="inlineStr"/>
    </row>
    <row r="623" ht="15" customHeight="1">
      <c r="A623" t="inlineStr">
        <is>
          <t>A 54332-2025</t>
        </is>
      </c>
      <c r="B623" s="1" t="n">
        <v>45965.34915509259</v>
      </c>
      <c r="C623" s="1" t="n">
        <v>46189</v>
      </c>
      <c r="D623" t="inlineStr">
        <is>
          <t>ÖSTERGÖTLANDS LÄN</t>
        </is>
      </c>
      <c r="E623" t="inlineStr">
        <is>
          <t>LINKÖPING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12174-2026</t>
        </is>
      </c>
      <c r="B624" s="1" t="n">
        <v>46086</v>
      </c>
      <c r="C624" s="1" t="n">
        <v>46189</v>
      </c>
      <c r="D624" t="inlineStr">
        <is>
          <t>ÖSTERGÖTLANDS LÄN</t>
        </is>
      </c>
      <c r="E624" t="inlineStr">
        <is>
          <t>LINKÖPING</t>
        </is>
      </c>
      <c r="G624" t="n">
        <v>7.2</v>
      </c>
      <c r="H624" t="n">
        <v>0</v>
      </c>
      <c r="I624" t="n">
        <v>0</v>
      </c>
      <c r="J624" t="n">
        <v>0</v>
      </c>
      <c r="K624" t="n">
        <v>0</v>
      </c>
      <c r="L624" t="n">
        <v>0</v>
      </c>
      <c r="M624" t="n">
        <v>0</v>
      </c>
      <c r="N624" t="n">
        <v>0</v>
      </c>
      <c r="O624" t="n">
        <v>0</v>
      </c>
      <c r="P624" t="n">
        <v>0</v>
      </c>
      <c r="Q624" t="n">
        <v>0</v>
      </c>
      <c r="R624" s="2" t="inlineStr"/>
    </row>
    <row r="625" ht="15" customHeight="1">
      <c r="A625" t="inlineStr">
        <is>
          <t>A 38971-2025</t>
        </is>
      </c>
      <c r="B625" s="1" t="n">
        <v>45887.71827546296</v>
      </c>
      <c r="C625" s="1" t="n">
        <v>46189</v>
      </c>
      <c r="D625" t="inlineStr">
        <is>
          <t>ÖSTERGÖTLANDS LÄN</t>
        </is>
      </c>
      <c r="E625" t="inlineStr">
        <is>
          <t>LINKÖPING</t>
        </is>
      </c>
      <c r="G625" t="n">
        <v>3.9</v>
      </c>
      <c r="H625" t="n">
        <v>0</v>
      </c>
      <c r="I625" t="n">
        <v>0</v>
      </c>
      <c r="J625" t="n">
        <v>0</v>
      </c>
      <c r="K625" t="n">
        <v>0</v>
      </c>
      <c r="L625" t="n">
        <v>0</v>
      </c>
      <c r="M625" t="n">
        <v>0</v>
      </c>
      <c r="N625" t="n">
        <v>0</v>
      </c>
      <c r="O625" t="n">
        <v>0</v>
      </c>
      <c r="P625" t="n">
        <v>0</v>
      </c>
      <c r="Q625" t="n">
        <v>0</v>
      </c>
      <c r="R625" s="2" t="inlineStr"/>
    </row>
    <row r="626" ht="15" customHeight="1">
      <c r="A626" t="inlineStr">
        <is>
          <t>A 8967-2025</t>
        </is>
      </c>
      <c r="B626" s="1" t="n">
        <v>45712</v>
      </c>
      <c r="C626" s="1" t="n">
        <v>46189</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42623-2025</t>
        </is>
      </c>
      <c r="B627" s="1" t="n">
        <v>45905</v>
      </c>
      <c r="C627" s="1" t="n">
        <v>46189</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49650-2025</t>
        </is>
      </c>
      <c r="B628" s="1" t="n">
        <v>45938</v>
      </c>
      <c r="C628" s="1" t="n">
        <v>46189</v>
      </c>
      <c r="D628" t="inlineStr">
        <is>
          <t>ÖSTERGÖTLANDS LÄN</t>
        </is>
      </c>
      <c r="E628" t="inlineStr">
        <is>
          <t>LINKÖPING</t>
        </is>
      </c>
      <c r="F628" t="inlineStr">
        <is>
          <t>Övriga Aktiebolag</t>
        </is>
      </c>
      <c r="G628" t="n">
        <v>1.5</v>
      </c>
      <c r="H628" t="n">
        <v>0</v>
      </c>
      <c r="I628" t="n">
        <v>0</v>
      </c>
      <c r="J628" t="n">
        <v>0</v>
      </c>
      <c r="K628" t="n">
        <v>0</v>
      </c>
      <c r="L628" t="n">
        <v>0</v>
      </c>
      <c r="M628" t="n">
        <v>0</v>
      </c>
      <c r="N628" t="n">
        <v>0</v>
      </c>
      <c r="O628" t="n">
        <v>0</v>
      </c>
      <c r="P628" t="n">
        <v>0</v>
      </c>
      <c r="Q628" t="n">
        <v>0</v>
      </c>
      <c r="R628" s="2" t="inlineStr"/>
    </row>
    <row r="629" ht="15" customHeight="1">
      <c r="A629" t="inlineStr">
        <is>
          <t>A 62791-2025</t>
        </is>
      </c>
      <c r="B629" s="1" t="n">
        <v>46008.63266203704</v>
      </c>
      <c r="C629" s="1" t="n">
        <v>46189</v>
      </c>
      <c r="D629" t="inlineStr">
        <is>
          <t>ÖSTERGÖTLANDS LÄN</t>
        </is>
      </c>
      <c r="E629" t="inlineStr">
        <is>
          <t>LINKÖPING</t>
        </is>
      </c>
      <c r="G629" t="n">
        <v>2.4</v>
      </c>
      <c r="H629" t="n">
        <v>0</v>
      </c>
      <c r="I629" t="n">
        <v>0</v>
      </c>
      <c r="J629" t="n">
        <v>0</v>
      </c>
      <c r="K629" t="n">
        <v>0</v>
      </c>
      <c r="L629" t="n">
        <v>0</v>
      </c>
      <c r="M629" t="n">
        <v>0</v>
      </c>
      <c r="N629" t="n">
        <v>0</v>
      </c>
      <c r="O629" t="n">
        <v>0</v>
      </c>
      <c r="P629" t="n">
        <v>0</v>
      </c>
      <c r="Q629" t="n">
        <v>0</v>
      </c>
      <c r="R629" s="2" t="inlineStr"/>
    </row>
    <row r="630" ht="15" customHeight="1">
      <c r="A630" t="inlineStr">
        <is>
          <t>A 44280-2024</t>
        </is>
      </c>
      <c r="B630" s="1" t="n">
        <v>45573.49461805556</v>
      </c>
      <c r="C630" s="1" t="n">
        <v>46189</v>
      </c>
      <c r="D630" t="inlineStr">
        <is>
          <t>ÖSTERGÖTLANDS LÄN</t>
        </is>
      </c>
      <c r="E630" t="inlineStr">
        <is>
          <t>LINKÖPING</t>
        </is>
      </c>
      <c r="G630" t="n">
        <v>5.3</v>
      </c>
      <c r="H630" t="n">
        <v>0</v>
      </c>
      <c r="I630" t="n">
        <v>0</v>
      </c>
      <c r="J630" t="n">
        <v>0</v>
      </c>
      <c r="K630" t="n">
        <v>0</v>
      </c>
      <c r="L630" t="n">
        <v>0</v>
      </c>
      <c r="M630" t="n">
        <v>0</v>
      </c>
      <c r="N630" t="n">
        <v>0</v>
      </c>
      <c r="O630" t="n">
        <v>0</v>
      </c>
      <c r="P630" t="n">
        <v>0</v>
      </c>
      <c r="Q630" t="n">
        <v>0</v>
      </c>
      <c r="R630" s="2" t="inlineStr"/>
    </row>
    <row r="631" ht="15" customHeight="1">
      <c r="A631" t="inlineStr">
        <is>
          <t>A 7133-2026</t>
        </is>
      </c>
      <c r="B631" s="1" t="n">
        <v>46057</v>
      </c>
      <c r="C631" s="1" t="n">
        <v>46189</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14135-2026</t>
        </is>
      </c>
      <c r="B632" s="1" t="n">
        <v>46099</v>
      </c>
      <c r="C632" s="1" t="n">
        <v>46189</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12175-2026</t>
        </is>
      </c>
      <c r="B633" s="1" t="n">
        <v>46086</v>
      </c>
      <c r="C633" s="1" t="n">
        <v>46189</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12181-2026</t>
        </is>
      </c>
      <c r="B634" s="1" t="n">
        <v>46086</v>
      </c>
      <c r="C634" s="1" t="n">
        <v>46189</v>
      </c>
      <c r="D634" t="inlineStr">
        <is>
          <t>ÖSTERGÖTLANDS LÄN</t>
        </is>
      </c>
      <c r="E634" t="inlineStr">
        <is>
          <t>LINKÖPING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20291-2025</t>
        </is>
      </c>
      <c r="B635" s="1" t="n">
        <v>45774.74288194445</v>
      </c>
      <c r="C635" s="1" t="n">
        <v>46189</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25996-2025</t>
        </is>
      </c>
      <c r="B636" s="1" t="n">
        <v>45804.65851851852</v>
      </c>
      <c r="C636" s="1" t="n">
        <v>46189</v>
      </c>
      <c r="D636" t="inlineStr">
        <is>
          <t>ÖSTERGÖTLANDS LÄN</t>
        </is>
      </c>
      <c r="E636" t="inlineStr">
        <is>
          <t>LINKÖPING</t>
        </is>
      </c>
      <c r="G636" t="n">
        <v>3.2</v>
      </c>
      <c r="H636" t="n">
        <v>0</v>
      </c>
      <c r="I636" t="n">
        <v>0</v>
      </c>
      <c r="J636" t="n">
        <v>0</v>
      </c>
      <c r="K636" t="n">
        <v>0</v>
      </c>
      <c r="L636" t="n">
        <v>0</v>
      </c>
      <c r="M636" t="n">
        <v>0</v>
      </c>
      <c r="N636" t="n">
        <v>0</v>
      </c>
      <c r="O636" t="n">
        <v>0</v>
      </c>
      <c r="P636" t="n">
        <v>0</v>
      </c>
      <c r="Q636" t="n">
        <v>0</v>
      </c>
      <c r="R636" s="2" t="inlineStr"/>
    </row>
    <row r="637" ht="15" customHeight="1">
      <c r="A637" t="inlineStr">
        <is>
          <t>A 26002-2025</t>
        </is>
      </c>
      <c r="B637" s="1" t="n">
        <v>45804.66534722222</v>
      </c>
      <c r="C637" s="1" t="n">
        <v>46189</v>
      </c>
      <c r="D637" t="inlineStr">
        <is>
          <t>ÖSTERGÖTLANDS LÄN</t>
        </is>
      </c>
      <c r="E637" t="inlineStr">
        <is>
          <t>LINKÖPING</t>
        </is>
      </c>
      <c r="G637" t="n">
        <v>2.5</v>
      </c>
      <c r="H637" t="n">
        <v>0</v>
      </c>
      <c r="I637" t="n">
        <v>0</v>
      </c>
      <c r="J637" t="n">
        <v>0</v>
      </c>
      <c r="K637" t="n">
        <v>0</v>
      </c>
      <c r="L637" t="n">
        <v>0</v>
      </c>
      <c r="M637" t="n">
        <v>0</v>
      </c>
      <c r="N637" t="n">
        <v>0</v>
      </c>
      <c r="O637" t="n">
        <v>0</v>
      </c>
      <c r="P637" t="n">
        <v>0</v>
      </c>
      <c r="Q637" t="n">
        <v>0</v>
      </c>
      <c r="R637" s="2" t="inlineStr"/>
    </row>
    <row r="638" ht="15" customHeight="1">
      <c r="A638" t="inlineStr">
        <is>
          <t>A 61298-2021</t>
        </is>
      </c>
      <c r="B638" s="1" t="n">
        <v>44498.62533564815</v>
      </c>
      <c r="C638" s="1" t="n">
        <v>46189</v>
      </c>
      <c r="D638" t="inlineStr">
        <is>
          <t>ÖSTERGÖTLANDS LÄN</t>
        </is>
      </c>
      <c r="E638" t="inlineStr">
        <is>
          <t>LINKÖPING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25955-2026</t>
        </is>
      </c>
      <c r="B639" s="1" t="n">
        <v>46181.34920138889</v>
      </c>
      <c r="C639" s="1" t="n">
        <v>46189</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25962-2026</t>
        </is>
      </c>
      <c r="B640" s="1" t="n">
        <v>46181.36206018519</v>
      </c>
      <c r="C640" s="1" t="n">
        <v>46189</v>
      </c>
      <c r="D640" t="inlineStr">
        <is>
          <t>ÖSTERGÖTLANDS LÄN</t>
        </is>
      </c>
      <c r="E640" t="inlineStr">
        <is>
          <t>LINKÖPING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25900-2026</t>
        </is>
      </c>
      <c r="B641" s="1" t="n">
        <v>46178.65751157407</v>
      </c>
      <c r="C641" s="1" t="n">
        <v>46189</v>
      </c>
      <c r="D641" t="inlineStr">
        <is>
          <t>ÖSTERGÖTLANDS LÄN</t>
        </is>
      </c>
      <c r="E641" t="inlineStr">
        <is>
          <t>LINKÖPING</t>
        </is>
      </c>
      <c r="G641" t="n">
        <v>3.7</v>
      </c>
      <c r="H641" t="n">
        <v>0</v>
      </c>
      <c r="I641" t="n">
        <v>0</v>
      </c>
      <c r="J641" t="n">
        <v>0</v>
      </c>
      <c r="K641" t="n">
        <v>0</v>
      </c>
      <c r="L641" t="n">
        <v>0</v>
      </c>
      <c r="M641" t="n">
        <v>0</v>
      </c>
      <c r="N641" t="n">
        <v>0</v>
      </c>
      <c r="O641" t="n">
        <v>0</v>
      </c>
      <c r="P641" t="n">
        <v>0</v>
      </c>
      <c r="Q641" t="n">
        <v>0</v>
      </c>
      <c r="R641" s="2" t="inlineStr"/>
    </row>
    <row r="642" ht="15" customHeight="1">
      <c r="A642" t="inlineStr">
        <is>
          <t>A 27797-2025</t>
        </is>
      </c>
      <c r="B642" s="1" t="n">
        <v>45816.80521990741</v>
      </c>
      <c r="C642" s="1" t="n">
        <v>46189</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27798-2025</t>
        </is>
      </c>
      <c r="B643" s="1" t="n">
        <v>45816.81532407407</v>
      </c>
      <c r="C643" s="1" t="n">
        <v>46189</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29027-2025</t>
        </is>
      </c>
      <c r="B644" s="1" t="n">
        <v>45821.4375462963</v>
      </c>
      <c r="C644" s="1" t="n">
        <v>46189</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29599-2025</t>
        </is>
      </c>
      <c r="B645" s="1" t="n">
        <v>45825.41101851852</v>
      </c>
      <c r="C645" s="1" t="n">
        <v>46189</v>
      </c>
      <c r="D645" t="inlineStr">
        <is>
          <t>ÖSTERGÖTLANDS LÄN</t>
        </is>
      </c>
      <c r="E645" t="inlineStr">
        <is>
          <t>LINKÖPING</t>
        </is>
      </c>
      <c r="G645" t="n">
        <v>0.9</v>
      </c>
      <c r="H645" t="n">
        <v>0</v>
      </c>
      <c r="I645" t="n">
        <v>0</v>
      </c>
      <c r="J645" t="n">
        <v>0</v>
      </c>
      <c r="K645" t="n">
        <v>0</v>
      </c>
      <c r="L645" t="n">
        <v>0</v>
      </c>
      <c r="M645" t="n">
        <v>0</v>
      </c>
      <c r="N645" t="n">
        <v>0</v>
      </c>
      <c r="O645" t="n">
        <v>0</v>
      </c>
      <c r="P645" t="n">
        <v>0</v>
      </c>
      <c r="Q645" t="n">
        <v>0</v>
      </c>
      <c r="R645" s="2" t="inlineStr"/>
    </row>
    <row r="646" ht="15" customHeight="1">
      <c r="A646" t="inlineStr">
        <is>
          <t>A 31581-2025</t>
        </is>
      </c>
      <c r="B646" s="1" t="n">
        <v>45833.6840162037</v>
      </c>
      <c r="C646" s="1" t="n">
        <v>46189</v>
      </c>
      <c r="D646" t="inlineStr">
        <is>
          <t>ÖSTERGÖTLANDS LÄN</t>
        </is>
      </c>
      <c r="E646" t="inlineStr">
        <is>
          <t>LINKÖPING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31585-2025</t>
        </is>
      </c>
      <c r="B647" s="1" t="n">
        <v>45833.68815972222</v>
      </c>
      <c r="C647" s="1" t="n">
        <v>46189</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33800-2023</t>
        </is>
      </c>
      <c r="B648" s="1" t="n">
        <v>45121</v>
      </c>
      <c r="C648" s="1" t="n">
        <v>46189</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62012-2024</t>
        </is>
      </c>
      <c r="B649" s="1" t="n">
        <v>45655.79679398148</v>
      </c>
      <c r="C649" s="1" t="n">
        <v>46189</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53529-2024</t>
        </is>
      </c>
      <c r="B650" s="1" t="n">
        <v>45614</v>
      </c>
      <c r="C650" s="1" t="n">
        <v>46189</v>
      </c>
      <c r="D650" t="inlineStr">
        <is>
          <t>ÖSTERGÖTLANDS LÄN</t>
        </is>
      </c>
      <c r="E650" t="inlineStr">
        <is>
          <t>LINKÖPING</t>
        </is>
      </c>
      <c r="G650" t="n">
        <v>6.7</v>
      </c>
      <c r="H650" t="n">
        <v>0</v>
      </c>
      <c r="I650" t="n">
        <v>0</v>
      </c>
      <c r="J650" t="n">
        <v>0</v>
      </c>
      <c r="K650" t="n">
        <v>0</v>
      </c>
      <c r="L650" t="n">
        <v>0</v>
      </c>
      <c r="M650" t="n">
        <v>0</v>
      </c>
      <c r="N650" t="n">
        <v>0</v>
      </c>
      <c r="O650" t="n">
        <v>0</v>
      </c>
      <c r="P650" t="n">
        <v>0</v>
      </c>
      <c r="Q650" t="n">
        <v>0</v>
      </c>
      <c r="R650" s="2" t="inlineStr"/>
    </row>
    <row r="651" ht="15" customHeight="1">
      <c r="A651" t="inlineStr">
        <is>
          <t>A 35178-2025</t>
        </is>
      </c>
      <c r="B651" s="1" t="n">
        <v>45852.91939814815</v>
      </c>
      <c r="C651" s="1" t="n">
        <v>46189</v>
      </c>
      <c r="D651" t="inlineStr">
        <is>
          <t>ÖSTERGÖTLANDS LÄN</t>
        </is>
      </c>
      <c r="E651" t="inlineStr">
        <is>
          <t>LINKÖPING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26007-2025</t>
        </is>
      </c>
      <c r="B652" s="1" t="n">
        <v>45804.67081018518</v>
      </c>
      <c r="C652" s="1" t="n">
        <v>46189</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35747-2025</t>
        </is>
      </c>
      <c r="B653" s="1" t="n">
        <v>45860.56385416666</v>
      </c>
      <c r="C653" s="1" t="n">
        <v>46189</v>
      </c>
      <c r="D653" t="inlineStr">
        <is>
          <t>ÖSTERGÖTLANDS LÄN</t>
        </is>
      </c>
      <c r="E653" t="inlineStr">
        <is>
          <t>LINKÖPING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35745-2025</t>
        </is>
      </c>
      <c r="B654" s="1" t="n">
        <v>45860.54739583333</v>
      </c>
      <c r="C654" s="1" t="n">
        <v>46189</v>
      </c>
      <c r="D654" t="inlineStr">
        <is>
          <t>ÖSTERGÖTLANDS LÄN</t>
        </is>
      </c>
      <c r="E654" t="inlineStr">
        <is>
          <t>LINKÖPING</t>
        </is>
      </c>
      <c r="G654" t="n">
        <v>4.4</v>
      </c>
      <c r="H654" t="n">
        <v>0</v>
      </c>
      <c r="I654" t="n">
        <v>0</v>
      </c>
      <c r="J654" t="n">
        <v>0</v>
      </c>
      <c r="K654" t="n">
        <v>0</v>
      </c>
      <c r="L654" t="n">
        <v>0</v>
      </c>
      <c r="M654" t="n">
        <v>0</v>
      </c>
      <c r="N654" t="n">
        <v>0</v>
      </c>
      <c r="O654" t="n">
        <v>0</v>
      </c>
      <c r="P654" t="n">
        <v>0</v>
      </c>
      <c r="Q654" t="n">
        <v>0</v>
      </c>
      <c r="R654" s="2" t="inlineStr"/>
    </row>
    <row r="655" ht="15" customHeight="1">
      <c r="A655" t="inlineStr">
        <is>
          <t>A 35757-2025</t>
        </is>
      </c>
      <c r="B655" s="1" t="n">
        <v>45860.59876157407</v>
      </c>
      <c r="C655" s="1" t="n">
        <v>46189</v>
      </c>
      <c r="D655" t="inlineStr">
        <is>
          <t>ÖSTERGÖTLANDS LÄN</t>
        </is>
      </c>
      <c r="E655" t="inlineStr">
        <is>
          <t>LINKÖPING</t>
        </is>
      </c>
      <c r="G655" t="n">
        <v>5.7</v>
      </c>
      <c r="H655" t="n">
        <v>0</v>
      </c>
      <c r="I655" t="n">
        <v>0</v>
      </c>
      <c r="J655" t="n">
        <v>0</v>
      </c>
      <c r="K655" t="n">
        <v>0</v>
      </c>
      <c r="L655" t="n">
        <v>0</v>
      </c>
      <c r="M655" t="n">
        <v>0</v>
      </c>
      <c r="N655" t="n">
        <v>0</v>
      </c>
      <c r="O655" t="n">
        <v>0</v>
      </c>
      <c r="P655" t="n">
        <v>0</v>
      </c>
      <c r="Q655" t="n">
        <v>0</v>
      </c>
      <c r="R655" s="2" t="inlineStr"/>
    </row>
    <row r="656" ht="15" customHeight="1">
      <c r="A656" t="inlineStr">
        <is>
          <t>A 35759-2025</t>
        </is>
      </c>
      <c r="B656" s="1" t="n">
        <v>45860</v>
      </c>
      <c r="C656" s="1" t="n">
        <v>46189</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25829-2025</t>
        </is>
      </c>
      <c r="B657" s="1" t="n">
        <v>45804.44505787037</v>
      </c>
      <c r="C657" s="1" t="n">
        <v>46189</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c r="A658" t="inlineStr">
        <is>
          <t>A 21374-2026</t>
        </is>
      </c>
      <c r="B658" s="1" t="n">
        <v>46145</v>
      </c>
      <c r="C658" s="1" t="n">
        <v>46189</v>
      </c>
      <c r="D658" t="inlineStr">
        <is>
          <t>ÖSTERGÖTLANDS LÄN</t>
        </is>
      </c>
      <c r="E658" t="inlineStr">
        <is>
          <t>LINKÖPING</t>
        </is>
      </c>
      <c r="G658" t="n">
        <v>3.7</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2026-06-16T12:53:47Z</dcterms:created>
  <dcterms:modified xmlns:dcterms="http://purl.org/dc/terms/" xmlns:xsi="http://www.w3.org/2001/XMLSchema-instance" xsi:type="dcterms:W3CDTF">2026-06-16T12:53:48Z</dcterms:modified>
</cp:coreProperties>
</file>