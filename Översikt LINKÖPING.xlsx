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46059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46059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46059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46059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46059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46059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46059</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46059</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46059</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46059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55683-2025</t>
        </is>
      </c>
      <c r="B13" s="1" t="n">
        <v>45972.4255324074</v>
      </c>
      <c r="C13" s="1" t="n">
        <v>46059</v>
      </c>
      <c r="D13" t="inlineStr">
        <is>
          <t>ÖSTERGÖTLANDS LÄN</t>
        </is>
      </c>
      <c r="E13" t="inlineStr">
        <is>
          <t>LINKÖPING</t>
        </is>
      </c>
      <c r="G13" t="n">
        <v>3.3</v>
      </c>
      <c r="H13" t="n">
        <v>2</v>
      </c>
      <c r="I13" t="n">
        <v>2</v>
      </c>
      <c r="J13" t="n">
        <v>1</v>
      </c>
      <c r="K13" t="n">
        <v>1</v>
      </c>
      <c r="L13" t="n">
        <v>0</v>
      </c>
      <c r="M13" t="n">
        <v>0</v>
      </c>
      <c r="N13" t="n">
        <v>0</v>
      </c>
      <c r="O13" t="n">
        <v>2</v>
      </c>
      <c r="P13" t="n">
        <v>1</v>
      </c>
      <c r="Q13" t="n">
        <v>4</v>
      </c>
      <c r="R13" s="2" t="inlineStr">
        <is>
          <t>Knärot
Spillkråka
Björksplintborre
Flagellkvastmossa</t>
        </is>
      </c>
      <c r="S13">
        <f>HYPERLINK("https://klasma.github.io/Logging_0580/artfynd/A 55683-2025 artfynd.xlsx", "A 55683-2025")</f>
        <v/>
      </c>
      <c r="T13">
        <f>HYPERLINK("https://klasma.github.io/Logging_0580/kartor/A 55683-2025 karta.png", "A 55683-2025")</f>
        <v/>
      </c>
      <c r="U13">
        <f>HYPERLINK("https://klasma.github.io/Logging_0580/knärot/A 55683-2025 karta knärot.png", "A 55683-2025")</f>
        <v/>
      </c>
      <c r="V13">
        <f>HYPERLINK("https://klasma.github.io/Logging_0580/klagomål/A 55683-2025 FSC-klagomål.docx", "A 55683-2025")</f>
        <v/>
      </c>
      <c r="W13">
        <f>HYPERLINK("https://klasma.github.io/Logging_0580/klagomålsmail/A 55683-2025 FSC-klagomål mail.docx", "A 55683-2025")</f>
        <v/>
      </c>
      <c r="X13">
        <f>HYPERLINK("https://klasma.github.io/Logging_0580/tillsyn/A 55683-2025 tillsynsbegäran.docx", "A 55683-2025")</f>
        <v/>
      </c>
      <c r="Y13">
        <f>HYPERLINK("https://klasma.github.io/Logging_0580/tillsynsmail/A 55683-2025 tillsynsbegäran mail.docx", "A 55683-2025")</f>
        <v/>
      </c>
      <c r="Z13">
        <f>HYPERLINK("https://klasma.github.io/Logging_0580/fåglar/A 55683-2025 prioriterade fågelarter.docx", "A 55683-2025")</f>
        <v/>
      </c>
    </row>
    <row r="14" ht="15" customHeight="1">
      <c r="A14" t="inlineStr">
        <is>
          <t>A 15475-2021</t>
        </is>
      </c>
      <c r="B14" s="1" t="n">
        <v>44285</v>
      </c>
      <c r="C14" s="1" t="n">
        <v>46059</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46059</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46059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17275-2025</t>
        </is>
      </c>
      <c r="B17" s="1" t="n">
        <v>45756.55734953703</v>
      </c>
      <c r="C17" s="1" t="n">
        <v>46059</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46059</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6353-2026</t>
        </is>
      </c>
      <c r="B19" s="1" t="n">
        <v>46055.61385416667</v>
      </c>
      <c r="C19" s="1" t="n">
        <v>46059</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46059</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46059</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46059</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46059</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46059</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46059</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58068-2021</t>
        </is>
      </c>
      <c r="B26" s="1" t="n">
        <v>44487</v>
      </c>
      <c r="C26" s="1" t="n">
        <v>46059</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49188-2024</t>
        </is>
      </c>
      <c r="B27" s="1" t="n">
        <v>45595</v>
      </c>
      <c r="C27" s="1" t="n">
        <v>46059</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58068-2021</t>
        </is>
      </c>
      <c r="B28" s="1" t="n">
        <v>44487</v>
      </c>
      <c r="C28" s="1" t="n">
        <v>46059</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50048-2025</t>
        </is>
      </c>
      <c r="B29" s="1" t="n">
        <v>45941</v>
      </c>
      <c r="C29" s="1" t="n">
        <v>46059</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27981-2022</t>
        </is>
      </c>
      <c r="B30" s="1" t="n">
        <v>44745</v>
      </c>
      <c r="C30" s="1" t="n">
        <v>46059</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3912-2026</t>
        </is>
      </c>
      <c r="B31" s="1" t="n">
        <v>46043.71958333333</v>
      </c>
      <c r="C31" s="1" t="n">
        <v>46059</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42858-2023</t>
        </is>
      </c>
      <c r="B32" s="1" t="n">
        <v>45177</v>
      </c>
      <c r="C32" s="1" t="n">
        <v>46059</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46059</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46059</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46059</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46059</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46059</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46059</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46059</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46059</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46059</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27795-2025</t>
        </is>
      </c>
      <c r="B42" s="1" t="n">
        <v>45816.7908912037</v>
      </c>
      <c r="C42" s="1" t="n">
        <v>46059</v>
      </c>
      <c r="D42" t="inlineStr">
        <is>
          <t>ÖSTERGÖTLANDS LÄN</t>
        </is>
      </c>
      <c r="E42" t="inlineStr">
        <is>
          <t>LINKÖPING</t>
        </is>
      </c>
      <c r="G42" t="n">
        <v>5</v>
      </c>
      <c r="H42" t="n">
        <v>0</v>
      </c>
      <c r="I42" t="n">
        <v>0</v>
      </c>
      <c r="J42" t="n">
        <v>2</v>
      </c>
      <c r="K42" t="n">
        <v>0</v>
      </c>
      <c r="L42" t="n">
        <v>0</v>
      </c>
      <c r="M42" t="n">
        <v>0</v>
      </c>
      <c r="N42" t="n">
        <v>0</v>
      </c>
      <c r="O42" t="n">
        <v>2</v>
      </c>
      <c r="P42" t="n">
        <v>0</v>
      </c>
      <c r="Q42" t="n">
        <v>2</v>
      </c>
      <c r="R42" s="2" t="inlineStr">
        <is>
          <t>Svinrot
Ängsskära</t>
        </is>
      </c>
      <c r="S42">
        <f>HYPERLINK("https://klasma.github.io/Logging_0580/artfynd/A 27795-2025 artfynd.xlsx", "A 27795-2025")</f>
        <v/>
      </c>
      <c r="T42">
        <f>HYPERLINK("https://klasma.github.io/Logging_0580/kartor/A 27795-2025 karta.png", "A 27795-2025")</f>
        <v/>
      </c>
      <c r="V42">
        <f>HYPERLINK("https://klasma.github.io/Logging_0580/klagomål/A 27795-2025 FSC-klagomål.docx", "A 27795-2025")</f>
        <v/>
      </c>
      <c r="W42">
        <f>HYPERLINK("https://klasma.github.io/Logging_0580/klagomålsmail/A 27795-2025 FSC-klagomål mail.docx", "A 27795-2025")</f>
        <v/>
      </c>
      <c r="X42">
        <f>HYPERLINK("https://klasma.github.io/Logging_0580/tillsyn/A 27795-2025 tillsynsbegäran.docx", "A 27795-2025")</f>
        <v/>
      </c>
      <c r="Y42">
        <f>HYPERLINK("https://klasma.github.io/Logging_0580/tillsynsmail/A 27795-2025 tillsynsbegäran mail.docx", "A 27795-2025")</f>
        <v/>
      </c>
    </row>
    <row r="43" ht="15" customHeight="1">
      <c r="A43" t="inlineStr">
        <is>
          <t>A 25985-2025</t>
        </is>
      </c>
      <c r="B43" s="1" t="n">
        <v>45804.64479166667</v>
      </c>
      <c r="C43" s="1" t="n">
        <v>46059</v>
      </c>
      <c r="D43" t="inlineStr">
        <is>
          <t>ÖSTERGÖTLANDS LÄN</t>
        </is>
      </c>
      <c r="E43" t="inlineStr">
        <is>
          <t>LINKÖPING</t>
        </is>
      </c>
      <c r="G43" t="n">
        <v>4.5</v>
      </c>
      <c r="H43" t="n">
        <v>2</v>
      </c>
      <c r="I43" t="n">
        <v>0</v>
      </c>
      <c r="J43" t="n">
        <v>1</v>
      </c>
      <c r="K43" t="n">
        <v>0</v>
      </c>
      <c r="L43" t="n">
        <v>0</v>
      </c>
      <c r="M43" t="n">
        <v>0</v>
      </c>
      <c r="N43" t="n">
        <v>0</v>
      </c>
      <c r="O43" t="n">
        <v>1</v>
      </c>
      <c r="P43" t="n">
        <v>0</v>
      </c>
      <c r="Q43" t="n">
        <v>2</v>
      </c>
      <c r="R43" s="2" t="inlineStr">
        <is>
          <t>Spillkråka
Revlummer</t>
        </is>
      </c>
      <c r="S43">
        <f>HYPERLINK("https://klasma.github.io/Logging_0580/artfynd/A 25985-2025 artfynd.xlsx", "A 25985-2025")</f>
        <v/>
      </c>
      <c r="T43">
        <f>HYPERLINK("https://klasma.github.io/Logging_0580/kartor/A 25985-2025 karta.png", "A 25985-2025")</f>
        <v/>
      </c>
      <c r="V43">
        <f>HYPERLINK("https://klasma.github.io/Logging_0580/klagomål/A 25985-2025 FSC-klagomål.docx", "A 25985-2025")</f>
        <v/>
      </c>
      <c r="W43">
        <f>HYPERLINK("https://klasma.github.io/Logging_0580/klagomålsmail/A 25985-2025 FSC-klagomål mail.docx", "A 25985-2025")</f>
        <v/>
      </c>
      <c r="X43">
        <f>HYPERLINK("https://klasma.github.io/Logging_0580/tillsyn/A 25985-2025 tillsynsbegäran.docx", "A 25985-2025")</f>
        <v/>
      </c>
      <c r="Y43">
        <f>HYPERLINK("https://klasma.github.io/Logging_0580/tillsynsmail/A 25985-2025 tillsynsbegäran mail.docx", "A 25985-2025")</f>
        <v/>
      </c>
      <c r="Z43">
        <f>HYPERLINK("https://klasma.github.io/Logging_0580/fåglar/A 25985-2025 prioriterade fågelarter.docx", "A 25985-2025")</f>
        <v/>
      </c>
    </row>
    <row r="44" ht="15" customHeight="1">
      <c r="A44" t="inlineStr">
        <is>
          <t>A 38129-2021</t>
        </is>
      </c>
      <c r="B44" s="1" t="n">
        <v>44405.37199074074</v>
      </c>
      <c r="C44" s="1" t="n">
        <v>46059</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46059</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46059</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46059</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46059</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46059</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46059</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22526-2025</t>
        </is>
      </c>
      <c r="B51" s="1" t="n">
        <v>45786.78096064815</v>
      </c>
      <c r="C51" s="1" t="n">
        <v>46059</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5911-2022</t>
        </is>
      </c>
      <c r="B52" s="1" t="n">
        <v>44597</v>
      </c>
      <c r="C52" s="1" t="n">
        <v>46059</v>
      </c>
      <c r="D52" t="inlineStr">
        <is>
          <t>ÖSTERGÖTLANDS LÄN</t>
        </is>
      </c>
      <c r="E52" t="inlineStr">
        <is>
          <t>LINKÖPING</t>
        </is>
      </c>
      <c r="G52" t="n">
        <v>3.5</v>
      </c>
      <c r="H52" t="n">
        <v>0</v>
      </c>
      <c r="I52" t="n">
        <v>0</v>
      </c>
      <c r="J52" t="n">
        <v>1</v>
      </c>
      <c r="K52" t="n">
        <v>0</v>
      </c>
      <c r="L52" t="n">
        <v>0</v>
      </c>
      <c r="M52" t="n">
        <v>0</v>
      </c>
      <c r="N52" t="n">
        <v>0</v>
      </c>
      <c r="O52" t="n">
        <v>1</v>
      </c>
      <c r="P52" t="n">
        <v>0</v>
      </c>
      <c r="Q52" t="n">
        <v>1</v>
      </c>
      <c r="R52" s="2" t="inlineStr">
        <is>
          <t>Spindelört</t>
        </is>
      </c>
      <c r="S52">
        <f>HYPERLINK("https://klasma.github.io/Logging_0580/artfynd/A 5911-2022 artfynd.xlsx", "A 5911-2022")</f>
        <v/>
      </c>
      <c r="T52">
        <f>HYPERLINK("https://klasma.github.io/Logging_0580/kartor/A 5911-2022 karta.png", "A 5911-2022")</f>
        <v/>
      </c>
      <c r="V52">
        <f>HYPERLINK("https://klasma.github.io/Logging_0580/klagomål/A 5911-2022 FSC-klagomål.docx", "A 5911-2022")</f>
        <v/>
      </c>
      <c r="W52">
        <f>HYPERLINK("https://klasma.github.io/Logging_0580/klagomålsmail/A 5911-2022 FSC-klagomål mail.docx", "A 5911-2022")</f>
        <v/>
      </c>
      <c r="X52">
        <f>HYPERLINK("https://klasma.github.io/Logging_0580/tillsyn/A 5911-2022 tillsynsbegäran.docx", "A 5911-2022")</f>
        <v/>
      </c>
      <c r="Y52">
        <f>HYPERLINK("https://klasma.github.io/Logging_0580/tillsynsmail/A 5911-2022 tillsynsbegäran mail.docx", "A 5911-2022")</f>
        <v/>
      </c>
    </row>
    <row r="53" ht="15" customHeight="1">
      <c r="A53" t="inlineStr">
        <is>
          <t>A 56128-2022</t>
        </is>
      </c>
      <c r="B53" s="1" t="n">
        <v>44889</v>
      </c>
      <c r="C53" s="1" t="n">
        <v>46059</v>
      </c>
      <c r="D53" t="inlineStr">
        <is>
          <t>ÖSTERGÖTLANDS LÄN</t>
        </is>
      </c>
      <c r="E53" t="inlineStr">
        <is>
          <t>LINKÖPING</t>
        </is>
      </c>
      <c r="G53" t="n">
        <v>2</v>
      </c>
      <c r="H53" t="n">
        <v>0</v>
      </c>
      <c r="I53" t="n">
        <v>1</v>
      </c>
      <c r="J53" t="n">
        <v>0</v>
      </c>
      <c r="K53" t="n">
        <v>0</v>
      </c>
      <c r="L53" t="n">
        <v>0</v>
      </c>
      <c r="M53" t="n">
        <v>0</v>
      </c>
      <c r="N53" t="n">
        <v>0</v>
      </c>
      <c r="O53" t="n">
        <v>0</v>
      </c>
      <c r="P53" t="n">
        <v>0</v>
      </c>
      <c r="Q53" t="n">
        <v>1</v>
      </c>
      <c r="R53" s="2" t="inlineStr">
        <is>
          <t>Tibast</t>
        </is>
      </c>
      <c r="S53">
        <f>HYPERLINK("https://klasma.github.io/Logging_0580/artfynd/A 56128-2022 artfynd.xlsx", "A 56128-2022")</f>
        <v/>
      </c>
      <c r="T53">
        <f>HYPERLINK("https://klasma.github.io/Logging_0580/kartor/A 56128-2022 karta.png", "A 56128-2022")</f>
        <v/>
      </c>
      <c r="V53">
        <f>HYPERLINK("https://klasma.github.io/Logging_0580/klagomål/A 56128-2022 FSC-klagomål.docx", "A 56128-2022")</f>
        <v/>
      </c>
      <c r="W53">
        <f>HYPERLINK("https://klasma.github.io/Logging_0580/klagomålsmail/A 56128-2022 FSC-klagomål mail.docx", "A 56128-2022")</f>
        <v/>
      </c>
      <c r="X53">
        <f>HYPERLINK("https://klasma.github.io/Logging_0580/tillsyn/A 56128-2022 tillsynsbegäran.docx", "A 56128-2022")</f>
        <v/>
      </c>
      <c r="Y53">
        <f>HYPERLINK("https://klasma.github.io/Logging_0580/tillsynsmail/A 56128-2022 tillsynsbegäran mail.docx", "A 56128-2022")</f>
        <v/>
      </c>
    </row>
    <row r="54" ht="15" customHeight="1">
      <c r="A54" t="inlineStr">
        <is>
          <t>A 17389-2021</t>
        </is>
      </c>
      <c r="B54" s="1" t="n">
        <v>44298.96792824074</v>
      </c>
      <c r="C54" s="1" t="n">
        <v>46059</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46059</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59474-2025</t>
        </is>
      </c>
      <c r="B56" s="1" t="n">
        <v>45989.58512731481</v>
      </c>
      <c r="C56" s="1" t="n">
        <v>46059</v>
      </c>
      <c r="D56" t="inlineStr">
        <is>
          <t>ÖSTERGÖTLANDS LÄN</t>
        </is>
      </c>
      <c r="E56" t="inlineStr">
        <is>
          <t>LINKÖPING</t>
        </is>
      </c>
      <c r="G56" t="n">
        <v>8</v>
      </c>
      <c r="H56" t="n">
        <v>0</v>
      </c>
      <c r="I56" t="n">
        <v>1</v>
      </c>
      <c r="J56" t="n">
        <v>0</v>
      </c>
      <c r="K56" t="n">
        <v>0</v>
      </c>
      <c r="L56" t="n">
        <v>0</v>
      </c>
      <c r="M56" t="n">
        <v>0</v>
      </c>
      <c r="N56" t="n">
        <v>0</v>
      </c>
      <c r="O56" t="n">
        <v>0</v>
      </c>
      <c r="P56" t="n">
        <v>0</v>
      </c>
      <c r="Q56" t="n">
        <v>1</v>
      </c>
      <c r="R56" s="2" t="inlineStr">
        <is>
          <t>Fällmossa</t>
        </is>
      </c>
      <c r="S56">
        <f>HYPERLINK("https://klasma.github.io/Logging_0580/artfynd/A 59474-2025 artfynd.xlsx", "A 59474-2025")</f>
        <v/>
      </c>
      <c r="T56">
        <f>HYPERLINK("https://klasma.github.io/Logging_0580/kartor/A 59474-2025 karta.png", "A 59474-2025")</f>
        <v/>
      </c>
      <c r="V56">
        <f>HYPERLINK("https://klasma.github.io/Logging_0580/klagomål/A 59474-2025 FSC-klagomål.docx", "A 59474-2025")</f>
        <v/>
      </c>
      <c r="W56">
        <f>HYPERLINK("https://klasma.github.io/Logging_0580/klagomålsmail/A 59474-2025 FSC-klagomål mail.docx", "A 59474-2025")</f>
        <v/>
      </c>
      <c r="X56">
        <f>HYPERLINK("https://klasma.github.io/Logging_0580/tillsyn/A 59474-2025 tillsynsbegäran.docx", "A 59474-2025")</f>
        <v/>
      </c>
      <c r="Y56">
        <f>HYPERLINK("https://klasma.github.io/Logging_0580/tillsynsmail/A 59474-2025 tillsynsbegäran mail.docx", "A 59474-2025")</f>
        <v/>
      </c>
    </row>
    <row r="57" ht="15" customHeight="1">
      <c r="A57" t="inlineStr">
        <is>
          <t>A 43989-2025</t>
        </is>
      </c>
      <c r="B57" s="1" t="n">
        <v>45915.44128472222</v>
      </c>
      <c r="C57" s="1" t="n">
        <v>46059</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46059</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60311-2025</t>
        </is>
      </c>
      <c r="B59" s="1" t="n">
        <v>45994</v>
      </c>
      <c r="C59" s="1" t="n">
        <v>46059</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Gammelekslav</t>
        </is>
      </c>
      <c r="S59">
        <f>HYPERLINK("https://klasma.github.io/Logging_0580/artfynd/A 60311-2025 artfynd.xlsx", "A 60311-2025")</f>
        <v/>
      </c>
      <c r="T59">
        <f>HYPERLINK("https://klasma.github.io/Logging_0580/kartor/A 60311-2025 karta.png", "A 60311-2025")</f>
        <v/>
      </c>
      <c r="V59">
        <f>HYPERLINK("https://klasma.github.io/Logging_0580/klagomål/A 60311-2025 FSC-klagomål.docx", "A 60311-2025")</f>
        <v/>
      </c>
      <c r="W59">
        <f>HYPERLINK("https://klasma.github.io/Logging_0580/klagomålsmail/A 60311-2025 FSC-klagomål mail.docx", "A 60311-2025")</f>
        <v/>
      </c>
      <c r="X59">
        <f>HYPERLINK("https://klasma.github.io/Logging_0580/tillsyn/A 60311-2025 tillsynsbegäran.docx", "A 60311-2025")</f>
        <v/>
      </c>
      <c r="Y59">
        <f>HYPERLINK("https://klasma.github.io/Logging_0580/tillsynsmail/A 60311-2025 tillsynsbegäran mail.docx", "A 60311-2025")</f>
        <v/>
      </c>
    </row>
    <row r="60" ht="15" customHeight="1">
      <c r="A60" t="inlineStr">
        <is>
          <t>A 48273-2025</t>
        </is>
      </c>
      <c r="B60" s="1" t="n">
        <v>45932</v>
      </c>
      <c r="C60" s="1" t="n">
        <v>46059</v>
      </c>
      <c r="D60" t="inlineStr">
        <is>
          <t>ÖSTERGÖTLANDS LÄN</t>
        </is>
      </c>
      <c r="E60" t="inlineStr">
        <is>
          <t>LINKÖPING</t>
        </is>
      </c>
      <c r="F60" t="inlineStr">
        <is>
          <t>Övriga Aktiebolag</t>
        </is>
      </c>
      <c r="G60" t="n">
        <v>4.6</v>
      </c>
      <c r="H60" t="n">
        <v>0</v>
      </c>
      <c r="I60" t="n">
        <v>0</v>
      </c>
      <c r="J60" t="n">
        <v>1</v>
      </c>
      <c r="K60" t="n">
        <v>0</v>
      </c>
      <c r="L60" t="n">
        <v>0</v>
      </c>
      <c r="M60" t="n">
        <v>0</v>
      </c>
      <c r="N60" t="n">
        <v>0</v>
      </c>
      <c r="O60" t="n">
        <v>1</v>
      </c>
      <c r="P60" t="n">
        <v>0</v>
      </c>
      <c r="Q60" t="n">
        <v>1</v>
      </c>
      <c r="R60" s="2" t="inlineStr">
        <is>
          <t>Barrviolspindling</t>
        </is>
      </c>
      <c r="S60">
        <f>HYPERLINK("https://klasma.github.io/Logging_0580/artfynd/A 48273-2025 artfynd.xlsx", "A 48273-2025")</f>
        <v/>
      </c>
      <c r="T60">
        <f>HYPERLINK("https://klasma.github.io/Logging_0580/kartor/A 48273-2025 karta.png", "A 48273-2025")</f>
        <v/>
      </c>
      <c r="V60">
        <f>HYPERLINK("https://klasma.github.io/Logging_0580/klagomål/A 48273-2025 FSC-klagomål.docx", "A 48273-2025")</f>
        <v/>
      </c>
      <c r="W60">
        <f>HYPERLINK("https://klasma.github.io/Logging_0580/klagomålsmail/A 48273-2025 FSC-klagomål mail.docx", "A 48273-2025")</f>
        <v/>
      </c>
      <c r="X60">
        <f>HYPERLINK("https://klasma.github.io/Logging_0580/tillsyn/A 48273-2025 tillsynsbegäran.docx", "A 48273-2025")</f>
        <v/>
      </c>
      <c r="Y60">
        <f>HYPERLINK("https://klasma.github.io/Logging_0580/tillsynsmail/A 48273-2025 tillsynsbegäran mail.docx", "A 48273-2025")</f>
        <v/>
      </c>
    </row>
    <row r="61" ht="15" customHeight="1">
      <c r="A61" t="inlineStr">
        <is>
          <t>A 48298-2025</t>
        </is>
      </c>
      <c r="B61" s="1" t="n">
        <v>45932</v>
      </c>
      <c r="C61" s="1" t="n">
        <v>46059</v>
      </c>
      <c r="D61" t="inlineStr">
        <is>
          <t>ÖSTERGÖTLANDS LÄN</t>
        </is>
      </c>
      <c r="E61" t="inlineStr">
        <is>
          <t>LINKÖPING</t>
        </is>
      </c>
      <c r="F61" t="inlineStr">
        <is>
          <t>Övriga Aktiebolag</t>
        </is>
      </c>
      <c r="G61" t="n">
        <v>1.7</v>
      </c>
      <c r="H61" t="n">
        <v>0</v>
      </c>
      <c r="I61" t="n">
        <v>1</v>
      </c>
      <c r="J61" t="n">
        <v>0</v>
      </c>
      <c r="K61" t="n">
        <v>0</v>
      </c>
      <c r="L61" t="n">
        <v>0</v>
      </c>
      <c r="M61" t="n">
        <v>0</v>
      </c>
      <c r="N61" t="n">
        <v>0</v>
      </c>
      <c r="O61" t="n">
        <v>0</v>
      </c>
      <c r="P61" t="n">
        <v>0</v>
      </c>
      <c r="Q61" t="n">
        <v>1</v>
      </c>
      <c r="R61" s="2" t="inlineStr">
        <is>
          <t>Västlig hakmossa</t>
        </is>
      </c>
      <c r="S61">
        <f>HYPERLINK("https://klasma.github.io/Logging_0580/artfynd/A 48298-2025 artfynd.xlsx", "A 48298-2025")</f>
        <v/>
      </c>
      <c r="T61">
        <f>HYPERLINK("https://klasma.github.io/Logging_0580/kartor/A 48298-2025 karta.png", "A 48298-2025")</f>
        <v/>
      </c>
      <c r="V61">
        <f>HYPERLINK("https://klasma.github.io/Logging_0580/klagomål/A 48298-2025 FSC-klagomål.docx", "A 48298-2025")</f>
        <v/>
      </c>
      <c r="W61">
        <f>HYPERLINK("https://klasma.github.io/Logging_0580/klagomålsmail/A 48298-2025 FSC-klagomål mail.docx", "A 48298-2025")</f>
        <v/>
      </c>
      <c r="X61">
        <f>HYPERLINK("https://klasma.github.io/Logging_0580/tillsyn/A 48298-2025 tillsynsbegäran.docx", "A 48298-2025")</f>
        <v/>
      </c>
      <c r="Y61">
        <f>HYPERLINK("https://klasma.github.io/Logging_0580/tillsynsmail/A 48298-2025 tillsynsbegäran mail.docx", "A 48298-2025")</f>
        <v/>
      </c>
    </row>
    <row r="62" ht="15" customHeight="1">
      <c r="A62" t="inlineStr">
        <is>
          <t>A 48353-2025</t>
        </is>
      </c>
      <c r="B62" s="1" t="n">
        <v>45932</v>
      </c>
      <c r="C62" s="1" t="n">
        <v>46059</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48347-2025</t>
        </is>
      </c>
      <c r="B63" s="1" t="n">
        <v>45932</v>
      </c>
      <c r="C63" s="1" t="n">
        <v>46059</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1213-2023</t>
        </is>
      </c>
      <c r="B64" s="1" t="n">
        <v>44930</v>
      </c>
      <c r="C64" s="1" t="n">
        <v>46059</v>
      </c>
      <c r="D64" t="inlineStr">
        <is>
          <t>ÖSTERGÖTLANDS LÄN</t>
        </is>
      </c>
      <c r="E64" t="inlineStr">
        <is>
          <t>LINKÖPING</t>
        </is>
      </c>
      <c r="F64" t="inlineStr">
        <is>
          <t>Övriga statliga verk och myndigheter</t>
        </is>
      </c>
      <c r="G64" t="n">
        <v>17.8</v>
      </c>
      <c r="H64" t="n">
        <v>0</v>
      </c>
      <c r="I64" t="n">
        <v>1</v>
      </c>
      <c r="J64" t="n">
        <v>0</v>
      </c>
      <c r="K64" t="n">
        <v>0</v>
      </c>
      <c r="L64" t="n">
        <v>0</v>
      </c>
      <c r="M64" t="n">
        <v>0</v>
      </c>
      <c r="N64" t="n">
        <v>0</v>
      </c>
      <c r="O64" t="n">
        <v>0</v>
      </c>
      <c r="P64" t="n">
        <v>0</v>
      </c>
      <c r="Q64" t="n">
        <v>1</v>
      </c>
      <c r="R64" s="2" t="inlineStr">
        <is>
          <t>Stubbspretmossa</t>
        </is>
      </c>
      <c r="S64">
        <f>HYPERLINK("https://klasma.github.io/Logging_0580/artfynd/A 1213-2023 artfynd.xlsx", "A 1213-2023")</f>
        <v/>
      </c>
      <c r="T64">
        <f>HYPERLINK("https://klasma.github.io/Logging_0580/kartor/A 1213-2023 karta.png", "A 1213-2023")</f>
        <v/>
      </c>
      <c r="V64">
        <f>HYPERLINK("https://klasma.github.io/Logging_0580/klagomål/A 1213-2023 FSC-klagomål.docx", "A 1213-2023")</f>
        <v/>
      </c>
      <c r="W64">
        <f>HYPERLINK("https://klasma.github.io/Logging_0580/klagomålsmail/A 1213-2023 FSC-klagomål mail.docx", "A 1213-2023")</f>
        <v/>
      </c>
      <c r="X64">
        <f>HYPERLINK("https://klasma.github.io/Logging_0580/tillsyn/A 1213-2023 tillsynsbegäran.docx", "A 1213-2023")</f>
        <v/>
      </c>
      <c r="Y64">
        <f>HYPERLINK("https://klasma.github.io/Logging_0580/tillsynsmail/A 1213-2023 tillsynsbegäran mail.docx", "A 1213-2023")</f>
        <v/>
      </c>
    </row>
    <row r="65" ht="15" customHeight="1">
      <c r="A65" t="inlineStr">
        <is>
          <t>A 50034-2025</t>
        </is>
      </c>
      <c r="B65" s="1" t="n">
        <v>45941</v>
      </c>
      <c r="C65" s="1" t="n">
        <v>46059</v>
      </c>
      <c r="D65" t="inlineStr">
        <is>
          <t>ÖSTERGÖTLANDS LÄN</t>
        </is>
      </c>
      <c r="E65" t="inlineStr">
        <is>
          <t>LINKÖPING</t>
        </is>
      </c>
      <c r="G65" t="n">
        <v>6.2</v>
      </c>
      <c r="H65" t="n">
        <v>0</v>
      </c>
      <c r="I65" t="n">
        <v>0</v>
      </c>
      <c r="J65" t="n">
        <v>0</v>
      </c>
      <c r="K65" t="n">
        <v>0</v>
      </c>
      <c r="L65" t="n">
        <v>0</v>
      </c>
      <c r="M65" t="n">
        <v>1</v>
      </c>
      <c r="N65" t="n">
        <v>0</v>
      </c>
      <c r="O65" t="n">
        <v>1</v>
      </c>
      <c r="P65" t="n">
        <v>1</v>
      </c>
      <c r="Q65" t="n">
        <v>1</v>
      </c>
      <c r="R65" s="2" t="inlineStr">
        <is>
          <t>Skogsalm</t>
        </is>
      </c>
      <c r="S65">
        <f>HYPERLINK("https://klasma.github.io/Logging_0580/artfynd/A 50034-2025 artfynd.xlsx", "A 50034-2025")</f>
        <v/>
      </c>
      <c r="T65">
        <f>HYPERLINK("https://klasma.github.io/Logging_0580/kartor/A 50034-2025 karta.png", "A 50034-2025")</f>
        <v/>
      </c>
      <c r="V65">
        <f>HYPERLINK("https://klasma.github.io/Logging_0580/klagomål/A 50034-2025 FSC-klagomål.docx", "A 50034-2025")</f>
        <v/>
      </c>
      <c r="W65">
        <f>HYPERLINK("https://klasma.github.io/Logging_0580/klagomålsmail/A 50034-2025 FSC-klagomål mail.docx", "A 50034-2025")</f>
        <v/>
      </c>
      <c r="X65">
        <f>HYPERLINK("https://klasma.github.io/Logging_0580/tillsyn/A 50034-2025 tillsynsbegäran.docx", "A 50034-2025")</f>
        <v/>
      </c>
      <c r="Y65">
        <f>HYPERLINK("https://klasma.github.io/Logging_0580/tillsynsmail/A 50034-2025 tillsynsbegäran mail.docx", "A 50034-2025")</f>
        <v/>
      </c>
    </row>
    <row r="66" ht="15" customHeight="1">
      <c r="A66" t="inlineStr">
        <is>
          <t>A 50471-2024</t>
        </is>
      </c>
      <c r="B66" s="1" t="n">
        <v>45601.47166666666</v>
      </c>
      <c r="C66" s="1" t="n">
        <v>46059</v>
      </c>
      <c r="D66" t="inlineStr">
        <is>
          <t>ÖSTERGÖTLANDS LÄN</t>
        </is>
      </c>
      <c r="E66" t="inlineStr">
        <is>
          <t>LINKÖPING</t>
        </is>
      </c>
      <c r="F66" t="inlineStr">
        <is>
          <t>Övriga Aktiebolag</t>
        </is>
      </c>
      <c r="G66" t="n">
        <v>2</v>
      </c>
      <c r="H66" t="n">
        <v>0</v>
      </c>
      <c r="I66" t="n">
        <v>1</v>
      </c>
      <c r="J66" t="n">
        <v>0</v>
      </c>
      <c r="K66" t="n">
        <v>0</v>
      </c>
      <c r="L66" t="n">
        <v>0</v>
      </c>
      <c r="M66" t="n">
        <v>0</v>
      </c>
      <c r="N66" t="n">
        <v>0</v>
      </c>
      <c r="O66" t="n">
        <v>0</v>
      </c>
      <c r="P66" t="n">
        <v>0</v>
      </c>
      <c r="Q66" t="n">
        <v>1</v>
      </c>
      <c r="R66" s="2" t="inlineStr">
        <is>
          <t>Västlig hakmossa</t>
        </is>
      </c>
      <c r="S66">
        <f>HYPERLINK("https://klasma.github.io/Logging_0580/artfynd/A 50471-2024 artfynd.xlsx", "A 50471-2024")</f>
        <v/>
      </c>
      <c r="T66">
        <f>HYPERLINK("https://klasma.github.io/Logging_0580/kartor/A 50471-2024 karta.png", "A 50471-2024")</f>
        <v/>
      </c>
      <c r="V66">
        <f>HYPERLINK("https://klasma.github.io/Logging_0580/klagomål/A 50471-2024 FSC-klagomål.docx", "A 50471-2024")</f>
        <v/>
      </c>
      <c r="W66">
        <f>HYPERLINK("https://klasma.github.io/Logging_0580/klagomålsmail/A 50471-2024 FSC-klagomål mail.docx", "A 50471-2024")</f>
        <v/>
      </c>
      <c r="X66">
        <f>HYPERLINK("https://klasma.github.io/Logging_0580/tillsyn/A 50471-2024 tillsynsbegäran.docx", "A 50471-2024")</f>
        <v/>
      </c>
      <c r="Y66">
        <f>HYPERLINK("https://klasma.github.io/Logging_0580/tillsynsmail/A 50471-2024 tillsynsbegäran mail.docx", "A 50471-2024")</f>
        <v/>
      </c>
    </row>
    <row r="67" ht="15" customHeight="1">
      <c r="A67" t="inlineStr">
        <is>
          <t>A 50806-2023</t>
        </is>
      </c>
      <c r="B67" s="1" t="n">
        <v>45217</v>
      </c>
      <c r="C67" s="1" t="n">
        <v>46059</v>
      </c>
      <c r="D67" t="inlineStr">
        <is>
          <t>ÖSTERGÖTLANDS LÄN</t>
        </is>
      </c>
      <c r="E67" t="inlineStr">
        <is>
          <t>LINKÖPING</t>
        </is>
      </c>
      <c r="F67" t="inlineStr">
        <is>
          <t>Övriga Aktiebolag</t>
        </is>
      </c>
      <c r="G67" t="n">
        <v>0.7</v>
      </c>
      <c r="H67" t="n">
        <v>1</v>
      </c>
      <c r="I67" t="n">
        <v>0</v>
      </c>
      <c r="J67" t="n">
        <v>0</v>
      </c>
      <c r="K67" t="n">
        <v>0</v>
      </c>
      <c r="L67" t="n">
        <v>0</v>
      </c>
      <c r="M67" t="n">
        <v>0</v>
      </c>
      <c r="N67" t="n">
        <v>0</v>
      </c>
      <c r="O67" t="n">
        <v>0</v>
      </c>
      <c r="P67" t="n">
        <v>0</v>
      </c>
      <c r="Q67" t="n">
        <v>1</v>
      </c>
      <c r="R67" s="2" t="inlineStr">
        <is>
          <t>Gullviva</t>
        </is>
      </c>
      <c r="S67">
        <f>HYPERLINK("https://klasma.github.io/Logging_0580/artfynd/A 50806-2023 artfynd.xlsx", "A 50806-2023")</f>
        <v/>
      </c>
      <c r="T67">
        <f>HYPERLINK("https://klasma.github.io/Logging_0580/kartor/A 50806-2023 karta.png", "A 50806-2023")</f>
        <v/>
      </c>
      <c r="V67">
        <f>HYPERLINK("https://klasma.github.io/Logging_0580/klagomål/A 50806-2023 FSC-klagomål.docx", "A 50806-2023")</f>
        <v/>
      </c>
      <c r="W67">
        <f>HYPERLINK("https://klasma.github.io/Logging_0580/klagomålsmail/A 50806-2023 FSC-klagomål mail.docx", "A 50806-2023")</f>
        <v/>
      </c>
      <c r="X67">
        <f>HYPERLINK("https://klasma.github.io/Logging_0580/tillsyn/A 50806-2023 tillsynsbegäran.docx", "A 50806-2023")</f>
        <v/>
      </c>
      <c r="Y67">
        <f>HYPERLINK("https://klasma.github.io/Logging_0580/tillsynsmail/A 50806-2023 tillsynsbegäran mail.docx", "A 50806-2023")</f>
        <v/>
      </c>
    </row>
    <row r="68" ht="15" customHeight="1">
      <c r="A68" t="inlineStr">
        <is>
          <t>A 7186-2026</t>
        </is>
      </c>
      <c r="B68" s="1" t="n">
        <v>46058.49090277778</v>
      </c>
      <c r="C68" s="1" t="n">
        <v>46059</v>
      </c>
      <c r="D68" t="inlineStr">
        <is>
          <t>ÖSTERGÖTLANDS LÄN</t>
        </is>
      </c>
      <c r="E68" t="inlineStr">
        <is>
          <t>LINKÖPING</t>
        </is>
      </c>
      <c r="G68" t="n">
        <v>5.5</v>
      </c>
      <c r="H68" t="n">
        <v>0</v>
      </c>
      <c r="I68" t="n">
        <v>1</v>
      </c>
      <c r="J68" t="n">
        <v>0</v>
      </c>
      <c r="K68" t="n">
        <v>0</v>
      </c>
      <c r="L68" t="n">
        <v>0</v>
      </c>
      <c r="M68" t="n">
        <v>0</v>
      </c>
      <c r="N68" t="n">
        <v>0</v>
      </c>
      <c r="O68" t="n">
        <v>0</v>
      </c>
      <c r="P68" t="n">
        <v>0</v>
      </c>
      <c r="Q68" t="n">
        <v>1</v>
      </c>
      <c r="R68" s="2" t="inlineStr">
        <is>
          <t>Grönpyrola</t>
        </is>
      </c>
      <c r="S68">
        <f>HYPERLINK("https://klasma.github.io/Logging_0580/artfynd/A 7186-2026 artfynd.xlsx", "A 7186-2026")</f>
        <v/>
      </c>
      <c r="T68">
        <f>HYPERLINK("https://klasma.github.io/Logging_0580/kartor/A 7186-2026 karta.png", "A 7186-2026")</f>
        <v/>
      </c>
      <c r="V68">
        <f>HYPERLINK("https://klasma.github.io/Logging_0580/klagomål/A 7186-2026 FSC-klagomål.docx", "A 7186-2026")</f>
        <v/>
      </c>
      <c r="W68">
        <f>HYPERLINK("https://klasma.github.io/Logging_0580/klagomålsmail/A 7186-2026 FSC-klagomål mail.docx", "A 7186-2026")</f>
        <v/>
      </c>
      <c r="X68">
        <f>HYPERLINK("https://klasma.github.io/Logging_0580/tillsyn/A 7186-2026 tillsynsbegäran.docx", "A 7186-2026")</f>
        <v/>
      </c>
      <c r="Y68">
        <f>HYPERLINK("https://klasma.github.io/Logging_0580/tillsynsmail/A 7186-2026 tillsynsbegäran mail.docx", "A 7186-2026")</f>
        <v/>
      </c>
    </row>
    <row r="69" ht="15" customHeight="1">
      <c r="A69" t="inlineStr">
        <is>
          <t>A 54835-2023</t>
        </is>
      </c>
      <c r="B69" s="1" t="n">
        <v>45236</v>
      </c>
      <c r="C69" s="1" t="n">
        <v>46059</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60573-2021</t>
        </is>
      </c>
      <c r="B70" s="1" t="n">
        <v>44496</v>
      </c>
      <c r="C70" s="1" t="n">
        <v>46059</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56112-2025</t>
        </is>
      </c>
      <c r="B71" s="1" t="n">
        <v>45973.73625</v>
      </c>
      <c r="C71" s="1" t="n">
        <v>46059</v>
      </c>
      <c r="D71" t="inlineStr">
        <is>
          <t>ÖSTERGÖTLANDS LÄN</t>
        </is>
      </c>
      <c r="E71" t="inlineStr">
        <is>
          <t>LINKÖPING</t>
        </is>
      </c>
      <c r="G71" t="n">
        <v>0.6</v>
      </c>
      <c r="H71" t="n">
        <v>0</v>
      </c>
      <c r="I71" t="n">
        <v>0</v>
      </c>
      <c r="J71" t="n">
        <v>1</v>
      </c>
      <c r="K71" t="n">
        <v>0</v>
      </c>
      <c r="L71" t="n">
        <v>0</v>
      </c>
      <c r="M71" t="n">
        <v>0</v>
      </c>
      <c r="N71" t="n">
        <v>0</v>
      </c>
      <c r="O71" t="n">
        <v>1</v>
      </c>
      <c r="P71" t="n">
        <v>0</v>
      </c>
      <c r="Q71" t="n">
        <v>1</v>
      </c>
      <c r="R71" s="2" t="inlineStr">
        <is>
          <t>Solvända</t>
        </is>
      </c>
      <c r="S71">
        <f>HYPERLINK("https://klasma.github.io/Logging_0580/artfynd/A 56112-2025 artfynd.xlsx", "A 56112-2025")</f>
        <v/>
      </c>
      <c r="T71">
        <f>HYPERLINK("https://klasma.github.io/Logging_0580/kartor/A 56112-2025 karta.png", "A 56112-2025")</f>
        <v/>
      </c>
      <c r="V71">
        <f>HYPERLINK("https://klasma.github.io/Logging_0580/klagomål/A 56112-2025 FSC-klagomål.docx", "A 56112-2025")</f>
        <v/>
      </c>
      <c r="W71">
        <f>HYPERLINK("https://klasma.github.io/Logging_0580/klagomålsmail/A 56112-2025 FSC-klagomål mail.docx", "A 56112-2025")</f>
        <v/>
      </c>
      <c r="X71">
        <f>HYPERLINK("https://klasma.github.io/Logging_0580/tillsyn/A 56112-2025 tillsynsbegäran.docx", "A 56112-2025")</f>
        <v/>
      </c>
      <c r="Y71">
        <f>HYPERLINK("https://klasma.github.io/Logging_0580/tillsynsmail/A 56112-2025 tillsynsbegäran mail.docx", "A 56112-2025")</f>
        <v/>
      </c>
    </row>
    <row r="72" ht="15" customHeight="1">
      <c r="A72" t="inlineStr">
        <is>
          <t>A 34881-2023</t>
        </is>
      </c>
      <c r="B72" s="1" t="n">
        <v>45140</v>
      </c>
      <c r="C72" s="1" t="n">
        <v>46059</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19103-2021</t>
        </is>
      </c>
      <c r="B73" s="1" t="n">
        <v>44308</v>
      </c>
      <c r="C73" s="1" t="n">
        <v>46059</v>
      </c>
      <c r="D73" t="inlineStr">
        <is>
          <t>ÖSTERGÖTLANDS LÄN</t>
        </is>
      </c>
      <c r="E73" t="inlineStr">
        <is>
          <t>LINKÖPING</t>
        </is>
      </c>
      <c r="G73" t="n">
        <v>4.7</v>
      </c>
      <c r="H73" t="n">
        <v>0</v>
      </c>
      <c r="I73" t="n">
        <v>0</v>
      </c>
      <c r="J73" t="n">
        <v>1</v>
      </c>
      <c r="K73" t="n">
        <v>0</v>
      </c>
      <c r="L73" t="n">
        <v>0</v>
      </c>
      <c r="M73" t="n">
        <v>0</v>
      </c>
      <c r="N73" t="n">
        <v>0</v>
      </c>
      <c r="O73" t="n">
        <v>1</v>
      </c>
      <c r="P73" t="n">
        <v>0</v>
      </c>
      <c r="Q73" t="n">
        <v>1</v>
      </c>
      <c r="R73" s="2" t="inlineStr">
        <is>
          <t>Tallticka</t>
        </is>
      </c>
      <c r="S73">
        <f>HYPERLINK("https://klasma.github.io/Logging_0580/artfynd/A 19103-2021 artfynd.xlsx", "A 19103-2021")</f>
        <v/>
      </c>
      <c r="T73">
        <f>HYPERLINK("https://klasma.github.io/Logging_0580/kartor/A 19103-2021 karta.png", "A 19103-2021")</f>
        <v/>
      </c>
      <c r="V73">
        <f>HYPERLINK("https://klasma.github.io/Logging_0580/klagomål/A 19103-2021 FSC-klagomål.docx", "A 19103-2021")</f>
        <v/>
      </c>
      <c r="W73">
        <f>HYPERLINK("https://klasma.github.io/Logging_0580/klagomålsmail/A 19103-2021 FSC-klagomål mail.docx", "A 19103-2021")</f>
        <v/>
      </c>
      <c r="X73">
        <f>HYPERLINK("https://klasma.github.io/Logging_0580/tillsyn/A 19103-2021 tillsynsbegäran.docx", "A 19103-2021")</f>
        <v/>
      </c>
      <c r="Y73">
        <f>HYPERLINK("https://klasma.github.io/Logging_0580/tillsynsmail/A 19103-2021 tillsynsbegäran mail.docx", "A 19103-2021")</f>
        <v/>
      </c>
    </row>
    <row r="74" ht="15" customHeight="1">
      <c r="A74" t="inlineStr">
        <is>
          <t>A 45317-2023</t>
        </is>
      </c>
      <c r="B74" s="1" t="n">
        <v>45191.74868055555</v>
      </c>
      <c r="C74" s="1" t="n">
        <v>46059</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46059</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46059</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46059</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46059</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46059</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46059</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46059</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46059</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46059</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46059</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46059</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46059</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46059</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46059</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46059</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46059</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41749-2023</t>
        </is>
      </c>
      <c r="B91" s="1" t="n">
        <v>45176</v>
      </c>
      <c r="C91" s="1" t="n">
        <v>46059</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41749-2023 artfynd.xlsx", "A 41749-2023")</f>
        <v/>
      </c>
      <c r="T91">
        <f>HYPERLINK("https://klasma.github.io/Logging_0580/kartor/A 41749-2023 karta.png", "A 41749-2023")</f>
        <v/>
      </c>
      <c r="V91">
        <f>HYPERLINK("https://klasma.github.io/Logging_0580/klagomål/A 41749-2023 FSC-klagomål.docx", "A 41749-2023")</f>
        <v/>
      </c>
      <c r="W91">
        <f>HYPERLINK("https://klasma.github.io/Logging_0580/klagomålsmail/A 41749-2023 FSC-klagomål mail.docx", "A 41749-2023")</f>
        <v/>
      </c>
      <c r="X91">
        <f>HYPERLINK("https://klasma.github.io/Logging_0580/tillsyn/A 41749-2023 tillsynsbegäran.docx", "A 41749-2023")</f>
        <v/>
      </c>
      <c r="Y91">
        <f>HYPERLINK("https://klasma.github.io/Logging_0580/tillsynsmail/A 41749-2023 tillsynsbegäran mail.docx", "A 41749-2023")</f>
        <v/>
      </c>
    </row>
    <row r="92" ht="15" customHeight="1">
      <c r="A92" t="inlineStr">
        <is>
          <t>A 27403-2025</t>
        </is>
      </c>
      <c r="B92" s="1" t="n">
        <v>45812.72518518518</v>
      </c>
      <c r="C92" s="1" t="n">
        <v>46059</v>
      </c>
      <c r="D92" t="inlineStr">
        <is>
          <t>ÖSTERGÖTLANDS LÄN</t>
        </is>
      </c>
      <c r="E92" t="inlineStr">
        <is>
          <t>LINKÖPING</t>
        </is>
      </c>
      <c r="G92" t="n">
        <v>1.4</v>
      </c>
      <c r="H92" t="n">
        <v>0</v>
      </c>
      <c r="I92" t="n">
        <v>0</v>
      </c>
      <c r="J92" t="n">
        <v>1</v>
      </c>
      <c r="K92" t="n">
        <v>0</v>
      </c>
      <c r="L92" t="n">
        <v>0</v>
      </c>
      <c r="M92" t="n">
        <v>0</v>
      </c>
      <c r="N92" t="n">
        <v>0</v>
      </c>
      <c r="O92" t="n">
        <v>1</v>
      </c>
      <c r="P92" t="n">
        <v>0</v>
      </c>
      <c r="Q92" t="n">
        <v>1</v>
      </c>
      <c r="R92" s="2" t="inlineStr">
        <is>
          <t>Tallticka</t>
        </is>
      </c>
      <c r="S92">
        <f>HYPERLINK("https://klasma.github.io/Logging_0580/artfynd/A 27403-2025 artfynd.xlsx", "A 27403-2025")</f>
        <v/>
      </c>
      <c r="T92">
        <f>HYPERLINK("https://klasma.github.io/Logging_0580/kartor/A 27403-2025 karta.png", "A 27403-2025")</f>
        <v/>
      </c>
      <c r="V92">
        <f>HYPERLINK("https://klasma.github.io/Logging_0580/klagomål/A 27403-2025 FSC-klagomål.docx", "A 27403-2025")</f>
        <v/>
      </c>
      <c r="W92">
        <f>HYPERLINK("https://klasma.github.io/Logging_0580/klagomålsmail/A 27403-2025 FSC-klagomål mail.docx", "A 27403-2025")</f>
        <v/>
      </c>
      <c r="X92">
        <f>HYPERLINK("https://klasma.github.io/Logging_0580/tillsyn/A 27403-2025 tillsynsbegäran.docx", "A 27403-2025")</f>
        <v/>
      </c>
      <c r="Y92">
        <f>HYPERLINK("https://klasma.github.io/Logging_0580/tillsynsmail/A 27403-2025 tillsynsbegäran mail.docx", "A 27403-2025")</f>
        <v/>
      </c>
    </row>
    <row r="93" ht="15" customHeight="1">
      <c r="A93" t="inlineStr">
        <is>
          <t>A 36723-2023</t>
        </is>
      </c>
      <c r="B93" s="1" t="n">
        <v>45153</v>
      </c>
      <c r="C93" s="1" t="n">
        <v>46059</v>
      </c>
      <c r="D93" t="inlineStr">
        <is>
          <t>ÖSTERGÖTLANDS LÄN</t>
        </is>
      </c>
      <c r="E93" t="inlineStr">
        <is>
          <t>LINKÖPING</t>
        </is>
      </c>
      <c r="F93" t="inlineStr">
        <is>
          <t>Allmännings- och besparingsskogar</t>
        </is>
      </c>
      <c r="G93" t="n">
        <v>9.9</v>
      </c>
      <c r="H93" t="n">
        <v>0</v>
      </c>
      <c r="I93" t="n">
        <v>0</v>
      </c>
      <c r="J93" t="n">
        <v>0</v>
      </c>
      <c r="K93" t="n">
        <v>1</v>
      </c>
      <c r="L93" t="n">
        <v>0</v>
      </c>
      <c r="M93" t="n">
        <v>0</v>
      </c>
      <c r="N93" t="n">
        <v>0</v>
      </c>
      <c r="O93" t="n">
        <v>1</v>
      </c>
      <c r="P93" t="n">
        <v>1</v>
      </c>
      <c r="Q93" t="n">
        <v>1</v>
      </c>
      <c r="R93" s="2" t="inlineStr">
        <is>
          <t>Bitter taggsvamp</t>
        </is>
      </c>
      <c r="S93">
        <f>HYPERLINK("https://klasma.github.io/Logging_0580/artfynd/A 36723-2023 artfynd.xlsx", "A 36723-2023")</f>
        <v/>
      </c>
      <c r="T93">
        <f>HYPERLINK("https://klasma.github.io/Logging_0580/kartor/A 36723-2023 karta.png", "A 36723-2023")</f>
        <v/>
      </c>
      <c r="V93">
        <f>HYPERLINK("https://klasma.github.io/Logging_0580/klagomål/A 36723-2023 FSC-klagomål.docx", "A 36723-2023")</f>
        <v/>
      </c>
      <c r="W93">
        <f>HYPERLINK("https://klasma.github.io/Logging_0580/klagomålsmail/A 36723-2023 FSC-klagomål mail.docx", "A 36723-2023")</f>
        <v/>
      </c>
      <c r="X93">
        <f>HYPERLINK("https://klasma.github.io/Logging_0580/tillsyn/A 36723-2023 tillsynsbegäran.docx", "A 36723-2023")</f>
        <v/>
      </c>
      <c r="Y93">
        <f>HYPERLINK("https://klasma.github.io/Logging_0580/tillsynsmail/A 36723-2023 tillsynsbegäran mail.docx", "A 36723-2023")</f>
        <v/>
      </c>
    </row>
    <row r="94" ht="15" customHeight="1">
      <c r="A94" t="inlineStr">
        <is>
          <t>A 38881-2021</t>
        </is>
      </c>
      <c r="B94" s="1" t="n">
        <v>44411.46893518518</v>
      </c>
      <c r="C94" s="1" t="n">
        <v>46059</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46059</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46059</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46059</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6958-2021</t>
        </is>
      </c>
      <c r="B98" s="1" t="n">
        <v>44237</v>
      </c>
      <c r="C98" s="1" t="n">
        <v>46059</v>
      </c>
      <c r="D98" t="inlineStr">
        <is>
          <t>ÖSTERGÖTLANDS LÄN</t>
        </is>
      </c>
      <c r="E98" t="inlineStr">
        <is>
          <t>LINKÖPING</t>
        </is>
      </c>
      <c r="G98" t="n">
        <v>0.6</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46059</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46059</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46059</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46059</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46059</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46059</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46059</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46059</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46059</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46059</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46059</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46059</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46059</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46059</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16715-2021</t>
        </is>
      </c>
      <c r="B113" s="1" t="n">
        <v>44294</v>
      </c>
      <c r="C113" s="1" t="n">
        <v>46059</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46059</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46059</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46059</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46059</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46059</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46059</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46059</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46059</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46059</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46059</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46059</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46059</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46059</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46059</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46059</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46059</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46059</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46059</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46059</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46059</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46059</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46059</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46059</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46059</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46059</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46059</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46059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46059</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46059</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46059</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46059</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46059</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46059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46059</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46059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46059</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46059</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46059</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9935-2021</t>
        </is>
      </c>
      <c r="B152" s="1" t="n">
        <v>44253</v>
      </c>
      <c r="C152" s="1" t="n">
        <v>46059</v>
      </c>
      <c r="D152" t="inlineStr">
        <is>
          <t>ÖSTERGÖTLANDS LÄN</t>
        </is>
      </c>
      <c r="E152" t="inlineStr">
        <is>
          <t>LINKÖPING</t>
        </is>
      </c>
      <c r="G152" t="n">
        <v>4.5</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46059</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46059</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46059</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46059</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46059</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46059</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46059</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46059</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46059</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46059</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46059</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46059</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46059</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46059</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46059</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46059</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46059</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46059</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46059</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46059</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46059</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46059</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46059</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46059</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46059</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46059</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23416-2022</t>
        </is>
      </c>
      <c r="B179" s="1" t="n">
        <v>44720.78243055556</v>
      </c>
      <c r="C179" s="1" t="n">
        <v>46059</v>
      </c>
      <c r="D179" t="inlineStr">
        <is>
          <t>ÖSTERGÖTLANDS LÄN</t>
        </is>
      </c>
      <c r="E179" t="inlineStr">
        <is>
          <t>LINKÖPING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46059</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46059</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46059</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46059</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46059</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46059</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46059</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46059</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46059</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46059</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46059</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3008-2023</t>
        </is>
      </c>
      <c r="B191" s="1" t="n">
        <v>44945.79784722222</v>
      </c>
      <c r="C191" s="1" t="n">
        <v>46059</v>
      </c>
      <c r="D191" t="inlineStr">
        <is>
          <t>ÖSTERGÖTLANDS LÄN</t>
        </is>
      </c>
      <c r="E191" t="inlineStr">
        <is>
          <t>LINKÖPING</t>
        </is>
      </c>
      <c r="G191" t="n">
        <v>19.3</v>
      </c>
      <c r="H191" t="n">
        <v>0</v>
      </c>
      <c r="I191" t="n">
        <v>0</v>
      </c>
      <c r="J191" t="n">
        <v>0</v>
      </c>
      <c r="K191" t="n">
        <v>0</v>
      </c>
      <c r="L191" t="n">
        <v>0</v>
      </c>
      <c r="M191" t="n">
        <v>0</v>
      </c>
      <c r="N191" t="n">
        <v>0</v>
      </c>
      <c r="O191" t="n">
        <v>0</v>
      </c>
      <c r="P191" t="n">
        <v>0</v>
      </c>
      <c r="Q191" t="n">
        <v>0</v>
      </c>
      <c r="R191" s="2" t="inlineStr"/>
    </row>
    <row r="192" ht="15" customHeight="1">
      <c r="A192" t="inlineStr">
        <is>
          <t>A 41426-2022</t>
        </is>
      </c>
      <c r="B192" s="1" t="n">
        <v>44826</v>
      </c>
      <c r="C192" s="1" t="n">
        <v>46059</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34162-2022</t>
        </is>
      </c>
      <c r="B193" s="1" t="n">
        <v>44791</v>
      </c>
      <c r="C193" s="1" t="n">
        <v>46059</v>
      </c>
      <c r="D193" t="inlineStr">
        <is>
          <t>ÖSTERGÖTLANDS LÄN</t>
        </is>
      </c>
      <c r="E193" t="inlineStr">
        <is>
          <t>LINKÖPING</t>
        </is>
      </c>
      <c r="G193" t="n">
        <v>3</v>
      </c>
      <c r="H193" t="n">
        <v>0</v>
      </c>
      <c r="I193" t="n">
        <v>0</v>
      </c>
      <c r="J193" t="n">
        <v>0</v>
      </c>
      <c r="K193" t="n">
        <v>0</v>
      </c>
      <c r="L193" t="n">
        <v>0</v>
      </c>
      <c r="M193" t="n">
        <v>0</v>
      </c>
      <c r="N193" t="n">
        <v>0</v>
      </c>
      <c r="O193" t="n">
        <v>0</v>
      </c>
      <c r="P193" t="n">
        <v>0</v>
      </c>
      <c r="Q193" t="n">
        <v>0</v>
      </c>
      <c r="R193" s="2" t="inlineStr"/>
    </row>
    <row r="194" ht="15" customHeight="1">
      <c r="A194" t="inlineStr">
        <is>
          <t>A 55345-2021</t>
        </is>
      </c>
      <c r="B194" s="1" t="n">
        <v>44475</v>
      </c>
      <c r="C194" s="1" t="n">
        <v>46059</v>
      </c>
      <c r="D194" t="inlineStr">
        <is>
          <t>ÖSTERGÖTLANDS LÄN</t>
        </is>
      </c>
      <c r="E194" t="inlineStr">
        <is>
          <t>LINKÖPING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61298-2021</t>
        </is>
      </c>
      <c r="B195" s="1" t="n">
        <v>44498.62533564815</v>
      </c>
      <c r="C195" s="1" t="n">
        <v>46059</v>
      </c>
      <c r="D195" t="inlineStr">
        <is>
          <t>ÖSTERGÖTLANDS LÄN</t>
        </is>
      </c>
      <c r="E195" t="inlineStr">
        <is>
          <t>LINKÖPING</t>
        </is>
      </c>
      <c r="G195" t="n">
        <v>4.3</v>
      </c>
      <c r="H195" t="n">
        <v>0</v>
      </c>
      <c r="I195" t="n">
        <v>0</v>
      </c>
      <c r="J195" t="n">
        <v>0</v>
      </c>
      <c r="K195" t="n">
        <v>0</v>
      </c>
      <c r="L195" t="n">
        <v>0</v>
      </c>
      <c r="M195" t="n">
        <v>0</v>
      </c>
      <c r="N195" t="n">
        <v>0</v>
      </c>
      <c r="O195" t="n">
        <v>0</v>
      </c>
      <c r="P195" t="n">
        <v>0</v>
      </c>
      <c r="Q195" t="n">
        <v>0</v>
      </c>
      <c r="R195" s="2" t="inlineStr"/>
    </row>
    <row r="196" ht="15" customHeight="1">
      <c r="A196" t="inlineStr">
        <is>
          <t>A 61333-2021</t>
        </is>
      </c>
      <c r="B196" s="1" t="n">
        <v>44498.6764699074</v>
      </c>
      <c r="C196" s="1" t="n">
        <v>46059</v>
      </c>
      <c r="D196" t="inlineStr">
        <is>
          <t>ÖSTERGÖTLANDS LÄN</t>
        </is>
      </c>
      <c r="E196" t="inlineStr">
        <is>
          <t>LINKÖPING</t>
        </is>
      </c>
      <c r="G196" t="n">
        <v>7.5</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46059</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61281-2021</t>
        </is>
      </c>
      <c r="B198" s="1" t="n">
        <v>44498.60736111111</v>
      </c>
      <c r="C198" s="1" t="n">
        <v>46059</v>
      </c>
      <c r="D198" t="inlineStr">
        <is>
          <t>ÖSTERGÖTLANDS LÄN</t>
        </is>
      </c>
      <c r="E198" t="inlineStr">
        <is>
          <t>LINKÖPING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63935-2021</t>
        </is>
      </c>
      <c r="B199" s="1" t="n">
        <v>44509</v>
      </c>
      <c r="C199" s="1" t="n">
        <v>46059</v>
      </c>
      <c r="D199" t="inlineStr">
        <is>
          <t>ÖSTERGÖTLANDS LÄN</t>
        </is>
      </c>
      <c r="E199" t="inlineStr">
        <is>
          <t>LINKÖPING</t>
        </is>
      </c>
      <c r="F199" t="inlineStr">
        <is>
          <t>Övriga statliga verk och myndigheter</t>
        </is>
      </c>
      <c r="G199" t="n">
        <v>2.8</v>
      </c>
      <c r="H199" t="n">
        <v>0</v>
      </c>
      <c r="I199" t="n">
        <v>0</v>
      </c>
      <c r="J199" t="n">
        <v>0</v>
      </c>
      <c r="K199" t="n">
        <v>0</v>
      </c>
      <c r="L199" t="n">
        <v>0</v>
      </c>
      <c r="M199" t="n">
        <v>0</v>
      </c>
      <c r="N199" t="n">
        <v>0</v>
      </c>
      <c r="O199" t="n">
        <v>0</v>
      </c>
      <c r="P199" t="n">
        <v>0</v>
      </c>
      <c r="Q199" t="n">
        <v>0</v>
      </c>
      <c r="R199" s="2" t="inlineStr"/>
    </row>
    <row r="200" ht="15" customHeight="1">
      <c r="A200" t="inlineStr">
        <is>
          <t>A 25292-2021</t>
        </is>
      </c>
      <c r="B200" s="1" t="n">
        <v>44342</v>
      </c>
      <c r="C200" s="1" t="n">
        <v>46059</v>
      </c>
      <c r="D200" t="inlineStr">
        <is>
          <t>ÖSTERGÖTLANDS LÄN</t>
        </is>
      </c>
      <c r="E200" t="inlineStr">
        <is>
          <t>LINKÖPING</t>
        </is>
      </c>
      <c r="F200" t="inlineStr">
        <is>
          <t>Övriga Aktiebolag</t>
        </is>
      </c>
      <c r="G200" t="n">
        <v>12.8</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46059</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37057-2025</t>
        </is>
      </c>
      <c r="B202" s="1" t="n">
        <v>45875.37489583333</v>
      </c>
      <c r="C202" s="1" t="n">
        <v>46059</v>
      </c>
      <c r="D202" t="inlineStr">
        <is>
          <t>ÖSTERGÖTLANDS LÄN</t>
        </is>
      </c>
      <c r="E202" t="inlineStr">
        <is>
          <t>LINKÖPING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46059</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46059</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46059</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62321-2022</t>
        </is>
      </c>
      <c r="B206" s="1" t="n">
        <v>44916</v>
      </c>
      <c r="C206" s="1" t="n">
        <v>46059</v>
      </c>
      <c r="D206" t="inlineStr">
        <is>
          <t>ÖSTERGÖTLANDS LÄN</t>
        </is>
      </c>
      <c r="E206" t="inlineStr">
        <is>
          <t>LINKÖPING</t>
        </is>
      </c>
      <c r="F206" t="inlineStr">
        <is>
          <t>Kommuner</t>
        </is>
      </c>
      <c r="G206" t="n">
        <v>5.3</v>
      </c>
      <c r="H206" t="n">
        <v>0</v>
      </c>
      <c r="I206" t="n">
        <v>0</v>
      </c>
      <c r="J206" t="n">
        <v>0</v>
      </c>
      <c r="K206" t="n">
        <v>0</v>
      </c>
      <c r="L206" t="n">
        <v>0</v>
      </c>
      <c r="M206" t="n">
        <v>0</v>
      </c>
      <c r="N206" t="n">
        <v>0</v>
      </c>
      <c r="O206" t="n">
        <v>0</v>
      </c>
      <c r="P206" t="n">
        <v>0</v>
      </c>
      <c r="Q206" t="n">
        <v>0</v>
      </c>
      <c r="R206" s="2" t="inlineStr"/>
    </row>
    <row r="207" ht="15" customHeight="1">
      <c r="A207" t="inlineStr">
        <is>
          <t>A 39074-2025</t>
        </is>
      </c>
      <c r="B207" s="1" t="n">
        <v>45888</v>
      </c>
      <c r="C207" s="1" t="n">
        <v>46059</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10407-2025</t>
        </is>
      </c>
      <c r="B208" s="1" t="n">
        <v>45720.62863425926</v>
      </c>
      <c r="C208" s="1" t="n">
        <v>46059</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43475-2024</t>
        </is>
      </c>
      <c r="B209" s="1" t="n">
        <v>45568</v>
      </c>
      <c r="C209" s="1" t="n">
        <v>46059</v>
      </c>
      <c r="D209" t="inlineStr">
        <is>
          <t>ÖSTERGÖTLANDS LÄN</t>
        </is>
      </c>
      <c r="E209" t="inlineStr">
        <is>
          <t>LINKÖPING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39021-2021</t>
        </is>
      </c>
      <c r="B210" s="1" t="n">
        <v>44412</v>
      </c>
      <c r="C210" s="1" t="n">
        <v>46059</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38971-2025</t>
        </is>
      </c>
      <c r="B211" s="1" t="n">
        <v>45887.71827546296</v>
      </c>
      <c r="C211" s="1" t="n">
        <v>46059</v>
      </c>
      <c r="D211" t="inlineStr">
        <is>
          <t>ÖSTERGÖTLANDS LÄN</t>
        </is>
      </c>
      <c r="E211" t="inlineStr">
        <is>
          <t>LINKÖPING</t>
        </is>
      </c>
      <c r="G211" t="n">
        <v>3.9</v>
      </c>
      <c r="H211" t="n">
        <v>0</v>
      </c>
      <c r="I211" t="n">
        <v>0</v>
      </c>
      <c r="J211" t="n">
        <v>0</v>
      </c>
      <c r="K211" t="n">
        <v>0</v>
      </c>
      <c r="L211" t="n">
        <v>0</v>
      </c>
      <c r="M211" t="n">
        <v>0</v>
      </c>
      <c r="N211" t="n">
        <v>0</v>
      </c>
      <c r="O211" t="n">
        <v>0</v>
      </c>
      <c r="P211" t="n">
        <v>0</v>
      </c>
      <c r="Q211" t="n">
        <v>0</v>
      </c>
      <c r="R211" s="2" t="inlineStr"/>
    </row>
    <row r="212" ht="15" customHeight="1">
      <c r="A212" t="inlineStr">
        <is>
          <t>A 72567-2021</t>
        </is>
      </c>
      <c r="B212" s="1" t="n">
        <v>44546.45023148148</v>
      </c>
      <c r="C212" s="1" t="n">
        <v>46059</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17103-2025</t>
        </is>
      </c>
      <c r="B213" s="1" t="n">
        <v>45755.66143518518</v>
      </c>
      <c r="C213" s="1" t="n">
        <v>46059</v>
      </c>
      <c r="D213" t="inlineStr">
        <is>
          <t>ÖSTERGÖTLANDS LÄN</t>
        </is>
      </c>
      <c r="E213" t="inlineStr">
        <is>
          <t>LINKÖPING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30551-2023</t>
        </is>
      </c>
      <c r="B214" s="1" t="n">
        <v>45111</v>
      </c>
      <c r="C214" s="1" t="n">
        <v>46059</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50784-2022</t>
        </is>
      </c>
      <c r="B215" s="1" t="n">
        <v>44862</v>
      </c>
      <c r="C215" s="1" t="n">
        <v>46059</v>
      </c>
      <c r="D215" t="inlineStr">
        <is>
          <t>ÖSTERGÖTLANDS LÄN</t>
        </is>
      </c>
      <c r="E215" t="inlineStr">
        <is>
          <t>LINKÖPING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25829-2025</t>
        </is>
      </c>
      <c r="B216" s="1" t="n">
        <v>45804.44505787037</v>
      </c>
      <c r="C216" s="1" t="n">
        <v>46059</v>
      </c>
      <c r="D216" t="inlineStr">
        <is>
          <t>ÖSTERGÖTLANDS LÄN</t>
        </is>
      </c>
      <c r="E216" t="inlineStr">
        <is>
          <t>LINKÖPING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22043-2023</t>
        </is>
      </c>
      <c r="B217" s="1" t="n">
        <v>45069.39050925926</v>
      </c>
      <c r="C217" s="1" t="n">
        <v>46059</v>
      </c>
      <c r="D217" t="inlineStr">
        <is>
          <t>ÖSTERGÖTLANDS LÄN</t>
        </is>
      </c>
      <c r="E217" t="inlineStr">
        <is>
          <t>LINKÖPING</t>
        </is>
      </c>
      <c r="G217" t="n">
        <v>5.9</v>
      </c>
      <c r="H217" t="n">
        <v>0</v>
      </c>
      <c r="I217" t="n">
        <v>0</v>
      </c>
      <c r="J217" t="n">
        <v>0</v>
      </c>
      <c r="K217" t="n">
        <v>0</v>
      </c>
      <c r="L217" t="n">
        <v>0</v>
      </c>
      <c r="M217" t="n">
        <v>0</v>
      </c>
      <c r="N217" t="n">
        <v>0</v>
      </c>
      <c r="O217" t="n">
        <v>0</v>
      </c>
      <c r="P217" t="n">
        <v>0</v>
      </c>
      <c r="Q217" t="n">
        <v>0</v>
      </c>
      <c r="R217" s="2" t="inlineStr"/>
    </row>
    <row r="218" ht="15" customHeight="1">
      <c r="A218" t="inlineStr">
        <is>
          <t>A 12035-2025</t>
        </is>
      </c>
      <c r="B218" s="1" t="n">
        <v>45728.64946759259</v>
      </c>
      <c r="C218" s="1" t="n">
        <v>46059</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49656-2021</t>
        </is>
      </c>
      <c r="B219" s="1" t="n">
        <v>44454</v>
      </c>
      <c r="C219" s="1" t="n">
        <v>46059</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27264-2025</t>
        </is>
      </c>
      <c r="B220" s="1" t="n">
        <v>45812.4794212963</v>
      </c>
      <c r="C220" s="1" t="n">
        <v>46059</v>
      </c>
      <c r="D220" t="inlineStr">
        <is>
          <t>ÖSTERGÖTLANDS LÄN</t>
        </is>
      </c>
      <c r="E220" t="inlineStr">
        <is>
          <t>LINKÖPING</t>
        </is>
      </c>
      <c r="G220" t="n">
        <v>2.6</v>
      </c>
      <c r="H220" t="n">
        <v>0</v>
      </c>
      <c r="I220" t="n">
        <v>0</v>
      </c>
      <c r="J220" t="n">
        <v>0</v>
      </c>
      <c r="K220" t="n">
        <v>0</v>
      </c>
      <c r="L220" t="n">
        <v>0</v>
      </c>
      <c r="M220" t="n">
        <v>0</v>
      </c>
      <c r="N220" t="n">
        <v>0</v>
      </c>
      <c r="O220" t="n">
        <v>0</v>
      </c>
      <c r="P220" t="n">
        <v>0</v>
      </c>
      <c r="Q220" t="n">
        <v>0</v>
      </c>
      <c r="R220" s="2" t="inlineStr"/>
    </row>
    <row r="221" ht="15" customHeight="1">
      <c r="A221" t="inlineStr">
        <is>
          <t>A 30465-2023</t>
        </is>
      </c>
      <c r="B221" s="1" t="n">
        <v>45111</v>
      </c>
      <c r="C221" s="1" t="n">
        <v>46059</v>
      </c>
      <c r="D221" t="inlineStr">
        <is>
          <t>ÖSTERGÖTLANDS LÄN</t>
        </is>
      </c>
      <c r="E221" t="inlineStr">
        <is>
          <t>LINKÖPING</t>
        </is>
      </c>
      <c r="F221" t="inlineStr">
        <is>
          <t>Övriga Aktiebolag</t>
        </is>
      </c>
      <c r="G221" t="n">
        <v>0.7</v>
      </c>
      <c r="H221" t="n">
        <v>0</v>
      </c>
      <c r="I221" t="n">
        <v>0</v>
      </c>
      <c r="J221" t="n">
        <v>0</v>
      </c>
      <c r="K221" t="n">
        <v>0</v>
      </c>
      <c r="L221" t="n">
        <v>0</v>
      </c>
      <c r="M221" t="n">
        <v>0</v>
      </c>
      <c r="N221" t="n">
        <v>0</v>
      </c>
      <c r="O221" t="n">
        <v>0</v>
      </c>
      <c r="P221" t="n">
        <v>0</v>
      </c>
      <c r="Q221" t="n">
        <v>0</v>
      </c>
      <c r="R221" s="2" t="inlineStr"/>
    </row>
    <row r="222" ht="15" customHeight="1">
      <c r="A222" t="inlineStr">
        <is>
          <t>A 30521-2024</t>
        </is>
      </c>
      <c r="B222" s="1" t="n">
        <v>45492</v>
      </c>
      <c r="C222" s="1" t="n">
        <v>46059</v>
      </c>
      <c r="D222" t="inlineStr">
        <is>
          <t>ÖSTERGÖTLANDS LÄN</t>
        </is>
      </c>
      <c r="E222" t="inlineStr">
        <is>
          <t>LINKÖPING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40618-2021</t>
        </is>
      </c>
      <c r="B223" s="1" t="n">
        <v>44420.49575231481</v>
      </c>
      <c r="C223" s="1" t="n">
        <v>46059</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23735-2023</t>
        </is>
      </c>
      <c r="B224" s="1" t="n">
        <v>45077</v>
      </c>
      <c r="C224" s="1" t="n">
        <v>46059</v>
      </c>
      <c r="D224" t="inlineStr">
        <is>
          <t>ÖSTERGÖTLANDS LÄN</t>
        </is>
      </c>
      <c r="E224" t="inlineStr">
        <is>
          <t>LINKÖPING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350-2022</t>
        </is>
      </c>
      <c r="B225" s="1" t="n">
        <v>44565</v>
      </c>
      <c r="C225" s="1" t="n">
        <v>46059</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4256-2022</t>
        </is>
      </c>
      <c r="B226" s="1" t="n">
        <v>44588</v>
      </c>
      <c r="C226" s="1" t="n">
        <v>46059</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25948-2023</t>
        </is>
      </c>
      <c r="B227" s="1" t="n">
        <v>45090</v>
      </c>
      <c r="C227" s="1" t="n">
        <v>46059</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51484-2023</t>
        </is>
      </c>
      <c r="B228" s="1" t="n">
        <v>45222</v>
      </c>
      <c r="C228" s="1" t="n">
        <v>46059</v>
      </c>
      <c r="D228" t="inlineStr">
        <is>
          <t>ÖSTERGÖTLANDS LÄN</t>
        </is>
      </c>
      <c r="E228" t="inlineStr">
        <is>
          <t>LINKÖPING</t>
        </is>
      </c>
      <c r="F228" t="inlineStr">
        <is>
          <t>Övriga Aktiebolag</t>
        </is>
      </c>
      <c r="G228" t="n">
        <v>7.7</v>
      </c>
      <c r="H228" t="n">
        <v>0</v>
      </c>
      <c r="I228" t="n">
        <v>0</v>
      </c>
      <c r="J228" t="n">
        <v>0</v>
      </c>
      <c r="K228" t="n">
        <v>0</v>
      </c>
      <c r="L228" t="n">
        <v>0</v>
      </c>
      <c r="M228" t="n">
        <v>0</v>
      </c>
      <c r="N228" t="n">
        <v>0</v>
      </c>
      <c r="O228" t="n">
        <v>0</v>
      </c>
      <c r="P228" t="n">
        <v>0</v>
      </c>
      <c r="Q228" t="n">
        <v>0</v>
      </c>
      <c r="R228" s="2" t="inlineStr"/>
    </row>
    <row r="229" ht="15" customHeight="1">
      <c r="A229" t="inlineStr">
        <is>
          <t>A 33867-2023</t>
        </is>
      </c>
      <c r="B229" s="1" t="n">
        <v>45133.94640046296</v>
      </c>
      <c r="C229" s="1" t="n">
        <v>46059</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39438-2025</t>
        </is>
      </c>
      <c r="B230" s="1" t="n">
        <v>45889.68641203704</v>
      </c>
      <c r="C230" s="1" t="n">
        <v>46059</v>
      </c>
      <c r="D230" t="inlineStr">
        <is>
          <t>ÖSTERGÖTLANDS LÄN</t>
        </is>
      </c>
      <c r="E230" t="inlineStr">
        <is>
          <t>LINKÖPING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24462-2023</t>
        </is>
      </c>
      <c r="B231" s="1" t="n">
        <v>45082</v>
      </c>
      <c r="C231" s="1" t="n">
        <v>46059</v>
      </c>
      <c r="D231" t="inlineStr">
        <is>
          <t>ÖSTERGÖTLANDS LÄN</t>
        </is>
      </c>
      <c r="E231" t="inlineStr">
        <is>
          <t>LINKÖPING</t>
        </is>
      </c>
      <c r="G231" t="n">
        <v>3.5</v>
      </c>
      <c r="H231" t="n">
        <v>0</v>
      </c>
      <c r="I231" t="n">
        <v>0</v>
      </c>
      <c r="J231" t="n">
        <v>0</v>
      </c>
      <c r="K231" t="n">
        <v>0</v>
      </c>
      <c r="L231" t="n">
        <v>0</v>
      </c>
      <c r="M231" t="n">
        <v>0</v>
      </c>
      <c r="N231" t="n">
        <v>0</v>
      </c>
      <c r="O231" t="n">
        <v>0</v>
      </c>
      <c r="P231" t="n">
        <v>0</v>
      </c>
      <c r="Q231" t="n">
        <v>0</v>
      </c>
      <c r="R231" s="2" t="inlineStr"/>
    </row>
    <row r="232" ht="15" customHeight="1">
      <c r="A232" t="inlineStr">
        <is>
          <t>A 48829-2023</t>
        </is>
      </c>
      <c r="B232" s="1" t="n">
        <v>45209.38177083333</v>
      </c>
      <c r="C232" s="1" t="n">
        <v>46059</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38231-2022</t>
        </is>
      </c>
      <c r="B233" s="1" t="n">
        <v>44812</v>
      </c>
      <c r="C233" s="1" t="n">
        <v>46059</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50799-2022</t>
        </is>
      </c>
      <c r="B234" s="1" t="n">
        <v>44862</v>
      </c>
      <c r="C234" s="1" t="n">
        <v>46059</v>
      </c>
      <c r="D234" t="inlineStr">
        <is>
          <t>ÖSTERGÖTLANDS LÄN</t>
        </is>
      </c>
      <c r="E234" t="inlineStr">
        <is>
          <t>LINKÖPING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40431-2024</t>
        </is>
      </c>
      <c r="B235" s="1" t="n">
        <v>45555.47070601852</v>
      </c>
      <c r="C235" s="1" t="n">
        <v>46059</v>
      </c>
      <c r="D235" t="inlineStr">
        <is>
          <t>ÖSTERGÖTLANDS LÄN</t>
        </is>
      </c>
      <c r="E235" t="inlineStr">
        <is>
          <t>LINKÖPING</t>
        </is>
      </c>
      <c r="F235" t="inlineStr">
        <is>
          <t>Allmännings- och besparingsskogar</t>
        </is>
      </c>
      <c r="G235" t="n">
        <v>2.9</v>
      </c>
      <c r="H235" t="n">
        <v>0</v>
      </c>
      <c r="I235" t="n">
        <v>0</v>
      </c>
      <c r="J235" t="n">
        <v>0</v>
      </c>
      <c r="K235" t="n">
        <v>0</v>
      </c>
      <c r="L235" t="n">
        <v>0</v>
      </c>
      <c r="M235" t="n">
        <v>0</v>
      </c>
      <c r="N235" t="n">
        <v>0</v>
      </c>
      <c r="O235" t="n">
        <v>0</v>
      </c>
      <c r="P235" t="n">
        <v>0</v>
      </c>
      <c r="Q235" t="n">
        <v>0</v>
      </c>
      <c r="R235" s="2" t="inlineStr"/>
    </row>
    <row r="236" ht="15" customHeight="1">
      <c r="A236" t="inlineStr">
        <is>
          <t>A 267-2023</t>
        </is>
      </c>
      <c r="B236" s="1" t="n">
        <v>44928.80907407407</v>
      </c>
      <c r="C236" s="1" t="n">
        <v>46059</v>
      </c>
      <c r="D236" t="inlineStr">
        <is>
          <t>ÖSTERGÖTLANDS LÄN</t>
        </is>
      </c>
      <c r="E236" t="inlineStr">
        <is>
          <t>LINKÖPING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26618-2023</t>
        </is>
      </c>
      <c r="B237" s="1" t="n">
        <v>45092.70306712963</v>
      </c>
      <c r="C237" s="1" t="n">
        <v>46059</v>
      </c>
      <c r="D237" t="inlineStr">
        <is>
          <t>ÖSTERGÖTLANDS LÄN</t>
        </is>
      </c>
      <c r="E237" t="inlineStr">
        <is>
          <t>LINKÖPING</t>
        </is>
      </c>
      <c r="G237" t="n">
        <v>6.9</v>
      </c>
      <c r="H237" t="n">
        <v>0</v>
      </c>
      <c r="I237" t="n">
        <v>0</v>
      </c>
      <c r="J237" t="n">
        <v>0</v>
      </c>
      <c r="K237" t="n">
        <v>0</v>
      </c>
      <c r="L237" t="n">
        <v>0</v>
      </c>
      <c r="M237" t="n">
        <v>0</v>
      </c>
      <c r="N237" t="n">
        <v>0</v>
      </c>
      <c r="O237" t="n">
        <v>0</v>
      </c>
      <c r="P237" t="n">
        <v>0</v>
      </c>
      <c r="Q237" t="n">
        <v>0</v>
      </c>
      <c r="R237" s="2" t="inlineStr"/>
    </row>
    <row r="238" ht="15" customHeight="1">
      <c r="A238" t="inlineStr">
        <is>
          <t>A 63665-2023</t>
        </is>
      </c>
      <c r="B238" s="1" t="n">
        <v>45275</v>
      </c>
      <c r="C238" s="1" t="n">
        <v>46059</v>
      </c>
      <c r="D238" t="inlineStr">
        <is>
          <t>ÖSTERGÖTLANDS LÄN</t>
        </is>
      </c>
      <c r="E238" t="inlineStr">
        <is>
          <t>LINKÖPING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9434-2024</t>
        </is>
      </c>
      <c r="B239" s="1" t="n">
        <v>45359</v>
      </c>
      <c r="C239" s="1" t="n">
        <v>46059</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63678-2023</t>
        </is>
      </c>
      <c r="B240" s="1" t="n">
        <v>45275.64769675926</v>
      </c>
      <c r="C240" s="1" t="n">
        <v>46059</v>
      </c>
      <c r="D240" t="inlineStr">
        <is>
          <t>ÖSTERGÖTLANDS LÄN</t>
        </is>
      </c>
      <c r="E240" t="inlineStr">
        <is>
          <t>LINKÖPING</t>
        </is>
      </c>
      <c r="F240" t="inlineStr">
        <is>
          <t>Övriga Aktiebolag</t>
        </is>
      </c>
      <c r="G240" t="n">
        <v>0.4</v>
      </c>
      <c r="H240" t="n">
        <v>0</v>
      </c>
      <c r="I240" t="n">
        <v>0</v>
      </c>
      <c r="J240" t="n">
        <v>0</v>
      </c>
      <c r="K240" t="n">
        <v>0</v>
      </c>
      <c r="L240" t="n">
        <v>0</v>
      </c>
      <c r="M240" t="n">
        <v>0</v>
      </c>
      <c r="N240" t="n">
        <v>0</v>
      </c>
      <c r="O240" t="n">
        <v>0</v>
      </c>
      <c r="P240" t="n">
        <v>0</v>
      </c>
      <c r="Q240" t="n">
        <v>0</v>
      </c>
      <c r="R240" s="2" t="inlineStr"/>
    </row>
    <row r="241" ht="15" customHeight="1">
      <c r="A241" t="inlineStr">
        <is>
          <t>A 63688-2023</t>
        </is>
      </c>
      <c r="B241" s="1" t="n">
        <v>45275</v>
      </c>
      <c r="C241" s="1" t="n">
        <v>46059</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63691-2023</t>
        </is>
      </c>
      <c r="B242" s="1" t="n">
        <v>45275</v>
      </c>
      <c r="C242" s="1" t="n">
        <v>46059</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30429-2024</t>
        </is>
      </c>
      <c r="B243" s="1" t="n">
        <v>45491.68972222223</v>
      </c>
      <c r="C243" s="1" t="n">
        <v>46059</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40169-2025</t>
        </is>
      </c>
      <c r="B244" s="1" t="n">
        <v>45894.62824074074</v>
      </c>
      <c r="C244" s="1" t="n">
        <v>46059</v>
      </c>
      <c r="D244" t="inlineStr">
        <is>
          <t>ÖSTERGÖTLANDS LÄN</t>
        </is>
      </c>
      <c r="E244" t="inlineStr">
        <is>
          <t>LINKÖPING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34557-2022</t>
        </is>
      </c>
      <c r="B245" s="1" t="n">
        <v>44794.57074074074</v>
      </c>
      <c r="C245" s="1" t="n">
        <v>46059</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17157-2024</t>
        </is>
      </c>
      <c r="B246" s="1" t="n">
        <v>45412.70567129629</v>
      </c>
      <c r="C246" s="1" t="n">
        <v>46059</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30435-2024</t>
        </is>
      </c>
      <c r="B247" s="1" t="n">
        <v>45491.69962962963</v>
      </c>
      <c r="C247" s="1" t="n">
        <v>46059</v>
      </c>
      <c r="D247" t="inlineStr">
        <is>
          <t>ÖSTERGÖTLANDS LÄN</t>
        </is>
      </c>
      <c r="E247" t="inlineStr">
        <is>
          <t>LINKÖPING</t>
        </is>
      </c>
      <c r="G247" t="n">
        <v>1.9</v>
      </c>
      <c r="H247" t="n">
        <v>0</v>
      </c>
      <c r="I247" t="n">
        <v>0</v>
      </c>
      <c r="J247" t="n">
        <v>0</v>
      </c>
      <c r="K247" t="n">
        <v>0</v>
      </c>
      <c r="L247" t="n">
        <v>0</v>
      </c>
      <c r="M247" t="n">
        <v>0</v>
      </c>
      <c r="N247" t="n">
        <v>0</v>
      </c>
      <c r="O247" t="n">
        <v>0</v>
      </c>
      <c r="P247" t="n">
        <v>0</v>
      </c>
      <c r="Q247" t="n">
        <v>0</v>
      </c>
      <c r="R247" s="2" t="inlineStr"/>
    </row>
    <row r="248" ht="15" customHeight="1">
      <c r="A248" t="inlineStr">
        <is>
          <t>A 53816-2023</t>
        </is>
      </c>
      <c r="B248" s="1" t="n">
        <v>45231.40012731482</v>
      </c>
      <c r="C248" s="1" t="n">
        <v>46059</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36557-2023</t>
        </is>
      </c>
      <c r="B249" s="1" t="n">
        <v>45153</v>
      </c>
      <c r="C249" s="1" t="n">
        <v>46059</v>
      </c>
      <c r="D249" t="inlineStr">
        <is>
          <t>ÖSTERGÖTLANDS LÄN</t>
        </is>
      </c>
      <c r="E249" t="inlineStr">
        <is>
          <t>LINKÖPING</t>
        </is>
      </c>
      <c r="F249" t="inlineStr">
        <is>
          <t>Övriga Aktiebolag</t>
        </is>
      </c>
      <c r="G249" t="n">
        <v>3.1</v>
      </c>
      <c r="H249" t="n">
        <v>0</v>
      </c>
      <c r="I249" t="n">
        <v>0</v>
      </c>
      <c r="J249" t="n">
        <v>0</v>
      </c>
      <c r="K249" t="n">
        <v>0</v>
      </c>
      <c r="L249" t="n">
        <v>0</v>
      </c>
      <c r="M249" t="n">
        <v>0</v>
      </c>
      <c r="N249" t="n">
        <v>0</v>
      </c>
      <c r="O249" t="n">
        <v>0</v>
      </c>
      <c r="P249" t="n">
        <v>0</v>
      </c>
      <c r="Q249" t="n">
        <v>0</v>
      </c>
      <c r="R249" s="2" t="inlineStr"/>
    </row>
    <row r="250" ht="15" customHeight="1">
      <c r="A250" t="inlineStr">
        <is>
          <t>A 6599-2023</t>
        </is>
      </c>
      <c r="B250" s="1" t="n">
        <v>44966.52603009259</v>
      </c>
      <c r="C250" s="1" t="n">
        <v>46059</v>
      </c>
      <c r="D250" t="inlineStr">
        <is>
          <t>ÖSTERGÖTLANDS LÄN</t>
        </is>
      </c>
      <c r="E250" t="inlineStr">
        <is>
          <t>LINKÖPING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43473-2024</t>
        </is>
      </c>
      <c r="B251" s="1" t="n">
        <v>45568</v>
      </c>
      <c r="C251" s="1" t="n">
        <v>46059</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38046-2025</t>
        </is>
      </c>
      <c r="B252" s="1" t="n">
        <v>45882.39939814815</v>
      </c>
      <c r="C252" s="1" t="n">
        <v>46059</v>
      </c>
      <c r="D252" t="inlineStr">
        <is>
          <t>ÖSTERGÖTLANDS LÄN</t>
        </is>
      </c>
      <c r="E252" t="inlineStr">
        <is>
          <t>LINKÖPING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13689-2025</t>
        </is>
      </c>
      <c r="B253" s="1" t="n">
        <v>45737.31590277778</v>
      </c>
      <c r="C253" s="1" t="n">
        <v>46059</v>
      </c>
      <c r="D253" t="inlineStr">
        <is>
          <t>ÖSTERGÖTLANDS LÄN</t>
        </is>
      </c>
      <c r="E253" t="inlineStr">
        <is>
          <t>LINKÖPING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13696-2025</t>
        </is>
      </c>
      <c r="B254" s="1" t="n">
        <v>45737.32273148148</v>
      </c>
      <c r="C254" s="1" t="n">
        <v>46059</v>
      </c>
      <c r="D254" t="inlineStr">
        <is>
          <t>ÖSTERGÖTLANDS LÄN</t>
        </is>
      </c>
      <c r="E254" t="inlineStr">
        <is>
          <t>LINKÖPING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12428-2024</t>
        </is>
      </c>
      <c r="B255" s="1" t="n">
        <v>45379</v>
      </c>
      <c r="C255" s="1" t="n">
        <v>46059</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46225-2021</t>
        </is>
      </c>
      <c r="B256" s="1" t="n">
        <v>44442</v>
      </c>
      <c r="C256" s="1" t="n">
        <v>46059</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54428-2022</t>
        </is>
      </c>
      <c r="B257" s="1" t="n">
        <v>44882.57643518518</v>
      </c>
      <c r="C257" s="1" t="n">
        <v>46059</v>
      </c>
      <c r="D257" t="inlineStr">
        <is>
          <t>ÖSTERGÖTLANDS LÄN</t>
        </is>
      </c>
      <c r="E257" t="inlineStr">
        <is>
          <t>LINKÖPING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11790-2024</t>
        </is>
      </c>
      <c r="B258" s="1" t="n">
        <v>45374</v>
      </c>
      <c r="C258" s="1" t="n">
        <v>46059</v>
      </c>
      <c r="D258" t="inlineStr">
        <is>
          <t>ÖSTERGÖTLANDS LÄN</t>
        </is>
      </c>
      <c r="E258" t="inlineStr">
        <is>
          <t>LINKÖPING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61532-2021</t>
        </is>
      </c>
      <c r="B259" s="1" t="n">
        <v>44501</v>
      </c>
      <c r="C259" s="1" t="n">
        <v>46059</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3374-2023</t>
        </is>
      </c>
      <c r="B260" s="1" t="n">
        <v>44949</v>
      </c>
      <c r="C260" s="1" t="n">
        <v>46059</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48962-2022</t>
        </is>
      </c>
      <c r="B261" s="1" t="n">
        <v>44860.31635416667</v>
      </c>
      <c r="C261" s="1" t="n">
        <v>46059</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224-2024</t>
        </is>
      </c>
      <c r="B262" s="1" t="n">
        <v>45294</v>
      </c>
      <c r="C262" s="1" t="n">
        <v>46059</v>
      </c>
      <c r="D262" t="inlineStr">
        <is>
          <t>ÖSTERGÖTLANDS LÄN</t>
        </is>
      </c>
      <c r="E262" t="inlineStr">
        <is>
          <t>LINKÖPING</t>
        </is>
      </c>
      <c r="G262" t="n">
        <v>2.8</v>
      </c>
      <c r="H262" t="n">
        <v>0</v>
      </c>
      <c r="I262" t="n">
        <v>0</v>
      </c>
      <c r="J262" t="n">
        <v>0</v>
      </c>
      <c r="K262" t="n">
        <v>0</v>
      </c>
      <c r="L262" t="n">
        <v>0</v>
      </c>
      <c r="M262" t="n">
        <v>0</v>
      </c>
      <c r="N262" t="n">
        <v>0</v>
      </c>
      <c r="O262" t="n">
        <v>0</v>
      </c>
      <c r="P262" t="n">
        <v>0</v>
      </c>
      <c r="Q262" t="n">
        <v>0</v>
      </c>
      <c r="R262" s="2" t="inlineStr"/>
    </row>
    <row r="263" ht="15" customHeight="1">
      <c r="A263" t="inlineStr">
        <is>
          <t>A 6726-2024</t>
        </is>
      </c>
      <c r="B263" s="1" t="n">
        <v>45341</v>
      </c>
      <c r="C263" s="1" t="n">
        <v>46059</v>
      </c>
      <c r="D263" t="inlineStr">
        <is>
          <t>ÖSTERGÖTLANDS LÄN</t>
        </is>
      </c>
      <c r="E263" t="inlineStr">
        <is>
          <t>LINKÖPING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53647-2021</t>
        </is>
      </c>
      <c r="B264" s="1" t="n">
        <v>44469</v>
      </c>
      <c r="C264" s="1" t="n">
        <v>46059</v>
      </c>
      <c r="D264" t="inlineStr">
        <is>
          <t>ÖSTERGÖTLANDS LÄN</t>
        </is>
      </c>
      <c r="E264" t="inlineStr">
        <is>
          <t>LINKÖPING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22772-2024</t>
        </is>
      </c>
      <c r="B265" s="1" t="n">
        <v>45448.46712962963</v>
      </c>
      <c r="C265" s="1" t="n">
        <v>46059</v>
      </c>
      <c r="D265" t="inlineStr">
        <is>
          <t>ÖSTERGÖTLANDS LÄN</t>
        </is>
      </c>
      <c r="E265" t="inlineStr">
        <is>
          <t>LINKÖPING</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18916-2024</t>
        </is>
      </c>
      <c r="B266" s="1" t="n">
        <v>45427.39541666667</v>
      </c>
      <c r="C266" s="1" t="n">
        <v>46059</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41706-2025</t>
        </is>
      </c>
      <c r="B267" s="1" t="n">
        <v>45902.42209490741</v>
      </c>
      <c r="C267" s="1" t="n">
        <v>46059</v>
      </c>
      <c r="D267" t="inlineStr">
        <is>
          <t>ÖSTERGÖTLANDS LÄN</t>
        </is>
      </c>
      <c r="E267" t="inlineStr">
        <is>
          <t>LINKÖPING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24586-2024</t>
        </is>
      </c>
      <c r="B268" s="1" t="n">
        <v>45460.46664351852</v>
      </c>
      <c r="C268" s="1" t="n">
        <v>46059</v>
      </c>
      <c r="D268" t="inlineStr">
        <is>
          <t>ÖSTERGÖTLANDS LÄN</t>
        </is>
      </c>
      <c r="E268" t="inlineStr">
        <is>
          <t>LINKÖPING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17124-2025</t>
        </is>
      </c>
      <c r="B269" s="1" t="n">
        <v>45755.69678240741</v>
      </c>
      <c r="C269" s="1" t="n">
        <v>46059</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17126-2025</t>
        </is>
      </c>
      <c r="B270" s="1" t="n">
        <v>45755.70814814815</v>
      </c>
      <c r="C270" s="1" t="n">
        <v>46059</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17143-2025</t>
        </is>
      </c>
      <c r="B271" s="1" t="n">
        <v>45755.92731481481</v>
      </c>
      <c r="C271" s="1" t="n">
        <v>46059</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41511-2025</t>
        </is>
      </c>
      <c r="B272" s="1" t="n">
        <v>45901.53839120371</v>
      </c>
      <c r="C272" s="1" t="n">
        <v>46059</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39017-2021</t>
        </is>
      </c>
      <c r="B273" s="1" t="n">
        <v>44412</v>
      </c>
      <c r="C273" s="1" t="n">
        <v>46059</v>
      </c>
      <c r="D273" t="inlineStr">
        <is>
          <t>ÖSTERGÖTLANDS LÄN</t>
        </is>
      </c>
      <c r="E273" t="inlineStr">
        <is>
          <t>LINKÖPING</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3042-2024</t>
        </is>
      </c>
      <c r="B274" s="1" t="n">
        <v>45316.35028935185</v>
      </c>
      <c r="C274" s="1" t="n">
        <v>46059</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29293-2025</t>
        </is>
      </c>
      <c r="B275" s="1" t="n">
        <v>45824</v>
      </c>
      <c r="C275" s="1" t="n">
        <v>46059</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16820-2024</t>
        </is>
      </c>
      <c r="B276" s="1" t="n">
        <v>45411.46809027778</v>
      </c>
      <c r="C276" s="1" t="n">
        <v>46059</v>
      </c>
      <c r="D276" t="inlineStr">
        <is>
          <t>ÖSTERGÖTLANDS LÄN</t>
        </is>
      </c>
      <c r="E276" t="inlineStr">
        <is>
          <t>LINKÖPING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30980-2022</t>
        </is>
      </c>
      <c r="B277" s="1" t="n">
        <v>44768</v>
      </c>
      <c r="C277" s="1" t="n">
        <v>46059</v>
      </c>
      <c r="D277" t="inlineStr">
        <is>
          <t>ÖSTERGÖTLANDS LÄN</t>
        </is>
      </c>
      <c r="E277" t="inlineStr">
        <is>
          <t>LINKÖPING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42623-2025</t>
        </is>
      </c>
      <c r="B278" s="1" t="n">
        <v>45905</v>
      </c>
      <c r="C278" s="1" t="n">
        <v>46059</v>
      </c>
      <c r="D278" t="inlineStr">
        <is>
          <t>ÖSTERGÖTLANDS LÄN</t>
        </is>
      </c>
      <c r="E278" t="inlineStr">
        <is>
          <t>LINKÖPING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55004-2025</t>
        </is>
      </c>
      <c r="B279" s="1" t="n">
        <v>45967</v>
      </c>
      <c r="C279" s="1" t="n">
        <v>46059</v>
      </c>
      <c r="D279" t="inlineStr">
        <is>
          <t>ÖSTERGÖTLANDS LÄN</t>
        </is>
      </c>
      <c r="E279" t="inlineStr">
        <is>
          <t>LINKÖPING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24351-2024</t>
        </is>
      </c>
      <c r="B280" s="1" t="n">
        <v>45457.59011574074</v>
      </c>
      <c r="C280" s="1" t="n">
        <v>46059</v>
      </c>
      <c r="D280" t="inlineStr">
        <is>
          <t>ÖSTERGÖTLANDS LÄN</t>
        </is>
      </c>
      <c r="E280" t="inlineStr">
        <is>
          <t>LINKÖPING</t>
        </is>
      </c>
      <c r="G280" t="n">
        <v>11.9</v>
      </c>
      <c r="H280" t="n">
        <v>0</v>
      </c>
      <c r="I280" t="n">
        <v>0</v>
      </c>
      <c r="J280" t="n">
        <v>0</v>
      </c>
      <c r="K280" t="n">
        <v>0</v>
      </c>
      <c r="L280" t="n">
        <v>0</v>
      </c>
      <c r="M280" t="n">
        <v>0</v>
      </c>
      <c r="N280" t="n">
        <v>0</v>
      </c>
      <c r="O280" t="n">
        <v>0</v>
      </c>
      <c r="P280" t="n">
        <v>0</v>
      </c>
      <c r="Q280" t="n">
        <v>0</v>
      </c>
      <c r="R280" s="2" t="inlineStr"/>
    </row>
    <row r="281" ht="15" customHeight="1">
      <c r="A281" t="inlineStr">
        <is>
          <t>A 42624-2025</t>
        </is>
      </c>
      <c r="B281" s="1" t="n">
        <v>45905</v>
      </c>
      <c r="C281" s="1" t="n">
        <v>46059</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42626-2025</t>
        </is>
      </c>
      <c r="B282" s="1" t="n">
        <v>45905</v>
      </c>
      <c r="C282" s="1" t="n">
        <v>46059</v>
      </c>
      <c r="D282" t="inlineStr">
        <is>
          <t>ÖSTERGÖTLANDS LÄN</t>
        </is>
      </c>
      <c r="E282" t="inlineStr">
        <is>
          <t>LINKÖPING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62501-2023</t>
        </is>
      </c>
      <c r="B283" s="1" t="n">
        <v>45268</v>
      </c>
      <c r="C283" s="1" t="n">
        <v>46059</v>
      </c>
      <c r="D283" t="inlineStr">
        <is>
          <t>ÖSTERGÖTLANDS LÄN</t>
        </is>
      </c>
      <c r="E283" t="inlineStr">
        <is>
          <t>LINKÖPING</t>
        </is>
      </c>
      <c r="G283" t="n">
        <v>7.4</v>
      </c>
      <c r="H283" t="n">
        <v>0</v>
      </c>
      <c r="I283" t="n">
        <v>0</v>
      </c>
      <c r="J283" t="n">
        <v>0</v>
      </c>
      <c r="K283" t="n">
        <v>0</v>
      </c>
      <c r="L283" t="n">
        <v>0</v>
      </c>
      <c r="M283" t="n">
        <v>0</v>
      </c>
      <c r="N283" t="n">
        <v>0</v>
      </c>
      <c r="O283" t="n">
        <v>0</v>
      </c>
      <c r="P283" t="n">
        <v>0</v>
      </c>
      <c r="Q283" t="n">
        <v>0</v>
      </c>
      <c r="R283" s="2" t="inlineStr"/>
    </row>
    <row r="284" ht="15" customHeight="1">
      <c r="A284" t="inlineStr">
        <is>
          <t>A 58947-2022</t>
        </is>
      </c>
      <c r="B284" s="1" t="n">
        <v>44903.64769675926</v>
      </c>
      <c r="C284" s="1" t="n">
        <v>46059</v>
      </c>
      <c r="D284" t="inlineStr">
        <is>
          <t>ÖSTERGÖTLANDS LÄN</t>
        </is>
      </c>
      <c r="E284" t="inlineStr">
        <is>
          <t>LINKÖPING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856-2026</t>
        </is>
      </c>
      <c r="B285" s="1" t="n">
        <v>46030.40644675926</v>
      </c>
      <c r="C285" s="1" t="n">
        <v>46059</v>
      </c>
      <c r="D285" t="inlineStr">
        <is>
          <t>ÖSTERGÖTLANDS LÄN</t>
        </is>
      </c>
      <c r="E285" t="inlineStr">
        <is>
          <t>LINKÖPING</t>
        </is>
      </c>
      <c r="G285" t="n">
        <v>6.4</v>
      </c>
      <c r="H285" t="n">
        <v>0</v>
      </c>
      <c r="I285" t="n">
        <v>0</v>
      </c>
      <c r="J285" t="n">
        <v>0</v>
      </c>
      <c r="K285" t="n">
        <v>0</v>
      </c>
      <c r="L285" t="n">
        <v>0</v>
      </c>
      <c r="M285" t="n">
        <v>0</v>
      </c>
      <c r="N285" t="n">
        <v>0</v>
      </c>
      <c r="O285" t="n">
        <v>0</v>
      </c>
      <c r="P285" t="n">
        <v>0</v>
      </c>
      <c r="Q285" t="n">
        <v>0</v>
      </c>
      <c r="R285" s="2" t="inlineStr"/>
    </row>
    <row r="286" ht="15" customHeight="1">
      <c r="A286" t="inlineStr">
        <is>
          <t>A 49979-2022</t>
        </is>
      </c>
      <c r="B286" s="1" t="n">
        <v>44865</v>
      </c>
      <c r="C286" s="1" t="n">
        <v>46059</v>
      </c>
      <c r="D286" t="inlineStr">
        <is>
          <t>ÖSTERGÖTLANDS LÄN</t>
        </is>
      </c>
      <c r="E286" t="inlineStr">
        <is>
          <t>LINKÖPING</t>
        </is>
      </c>
      <c r="F286" t="inlineStr">
        <is>
          <t>Övriga Aktiebolag</t>
        </is>
      </c>
      <c r="G286" t="n">
        <v>11.4</v>
      </c>
      <c r="H286" t="n">
        <v>0</v>
      </c>
      <c r="I286" t="n">
        <v>0</v>
      </c>
      <c r="J286" t="n">
        <v>0</v>
      </c>
      <c r="K286" t="n">
        <v>0</v>
      </c>
      <c r="L286" t="n">
        <v>0</v>
      </c>
      <c r="M286" t="n">
        <v>0</v>
      </c>
      <c r="N286" t="n">
        <v>0</v>
      </c>
      <c r="O286" t="n">
        <v>0</v>
      </c>
      <c r="P286" t="n">
        <v>0</v>
      </c>
      <c r="Q286" t="n">
        <v>0</v>
      </c>
      <c r="R286" s="2" t="inlineStr"/>
    </row>
    <row r="287" ht="15" customHeight="1">
      <c r="A287" t="inlineStr">
        <is>
          <t>A 859-2026</t>
        </is>
      </c>
      <c r="B287" s="1" t="n">
        <v>46030.41450231482</v>
      </c>
      <c r="C287" s="1" t="n">
        <v>46059</v>
      </c>
      <c r="D287" t="inlineStr">
        <is>
          <t>ÖSTERGÖTLANDS LÄN</t>
        </is>
      </c>
      <c r="E287" t="inlineStr">
        <is>
          <t>LINKÖPING</t>
        </is>
      </c>
      <c r="G287" t="n">
        <v>0.2</v>
      </c>
      <c r="H287" t="n">
        <v>0</v>
      </c>
      <c r="I287" t="n">
        <v>0</v>
      </c>
      <c r="J287" t="n">
        <v>0</v>
      </c>
      <c r="K287" t="n">
        <v>0</v>
      </c>
      <c r="L287" t="n">
        <v>0</v>
      </c>
      <c r="M287" t="n">
        <v>0</v>
      </c>
      <c r="N287" t="n">
        <v>0</v>
      </c>
      <c r="O287" t="n">
        <v>0</v>
      </c>
      <c r="P287" t="n">
        <v>0</v>
      </c>
      <c r="Q287" t="n">
        <v>0</v>
      </c>
      <c r="R287" s="2" t="inlineStr"/>
    </row>
    <row r="288" ht="15" customHeight="1">
      <c r="A288" t="inlineStr">
        <is>
          <t>A 53827-2023</t>
        </is>
      </c>
      <c r="B288" s="1" t="n">
        <v>45230</v>
      </c>
      <c r="C288" s="1" t="n">
        <v>46059</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59205-2025</t>
        </is>
      </c>
      <c r="B289" s="1" t="n">
        <v>45988.60721064815</v>
      </c>
      <c r="C289" s="1" t="n">
        <v>46059</v>
      </c>
      <c r="D289" t="inlineStr">
        <is>
          <t>ÖSTERGÖTLANDS LÄN</t>
        </is>
      </c>
      <c r="E289" t="inlineStr">
        <is>
          <t>LINKÖPING</t>
        </is>
      </c>
      <c r="F289" t="inlineStr">
        <is>
          <t>Sveaskog</t>
        </is>
      </c>
      <c r="G289" t="n">
        <v>11.3</v>
      </c>
      <c r="H289" t="n">
        <v>0</v>
      </c>
      <c r="I289" t="n">
        <v>0</v>
      </c>
      <c r="J289" t="n">
        <v>0</v>
      </c>
      <c r="K289" t="n">
        <v>0</v>
      </c>
      <c r="L289" t="n">
        <v>0</v>
      </c>
      <c r="M289" t="n">
        <v>0</v>
      </c>
      <c r="N289" t="n">
        <v>0</v>
      </c>
      <c r="O289" t="n">
        <v>0</v>
      </c>
      <c r="P289" t="n">
        <v>0</v>
      </c>
      <c r="Q289" t="n">
        <v>0</v>
      </c>
      <c r="R289" s="2" t="inlineStr"/>
    </row>
    <row r="290" ht="15" customHeight="1">
      <c r="A290" t="inlineStr">
        <is>
          <t>A 873-2026</t>
        </is>
      </c>
      <c r="B290" s="1" t="n">
        <v>46030.43818287037</v>
      </c>
      <c r="C290" s="1" t="n">
        <v>46059</v>
      </c>
      <c r="D290" t="inlineStr">
        <is>
          <t>ÖSTERGÖTLANDS LÄN</t>
        </is>
      </c>
      <c r="E290" t="inlineStr">
        <is>
          <t>LINKÖPING</t>
        </is>
      </c>
      <c r="G290" t="n">
        <v>4.1</v>
      </c>
      <c r="H290" t="n">
        <v>0</v>
      </c>
      <c r="I290" t="n">
        <v>0</v>
      </c>
      <c r="J290" t="n">
        <v>0</v>
      </c>
      <c r="K290" t="n">
        <v>0</v>
      </c>
      <c r="L290" t="n">
        <v>0</v>
      </c>
      <c r="M290" t="n">
        <v>0</v>
      </c>
      <c r="N290" t="n">
        <v>0</v>
      </c>
      <c r="O290" t="n">
        <v>0</v>
      </c>
      <c r="P290" t="n">
        <v>0</v>
      </c>
      <c r="Q290" t="n">
        <v>0</v>
      </c>
      <c r="R290" s="2" t="inlineStr"/>
    </row>
    <row r="291" ht="15" customHeight="1">
      <c r="A291" t="inlineStr">
        <is>
          <t>A 940-2023</t>
        </is>
      </c>
      <c r="B291" s="1" t="n">
        <v>44933</v>
      </c>
      <c r="C291" s="1" t="n">
        <v>46059</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7992-2023</t>
        </is>
      </c>
      <c r="B292" s="1" t="n">
        <v>44970</v>
      </c>
      <c r="C292" s="1" t="n">
        <v>46059</v>
      </c>
      <c r="D292" t="inlineStr">
        <is>
          <t>ÖSTERGÖTLANDS LÄN</t>
        </is>
      </c>
      <c r="E292" t="inlineStr">
        <is>
          <t>LINKÖPING</t>
        </is>
      </c>
      <c r="F292" t="inlineStr">
        <is>
          <t>Kommuner</t>
        </is>
      </c>
      <c r="G292" t="n">
        <v>1</v>
      </c>
      <c r="H292" t="n">
        <v>0</v>
      </c>
      <c r="I292" t="n">
        <v>0</v>
      </c>
      <c r="J292" t="n">
        <v>0</v>
      </c>
      <c r="K292" t="n">
        <v>0</v>
      </c>
      <c r="L292" t="n">
        <v>0</v>
      </c>
      <c r="M292" t="n">
        <v>0</v>
      </c>
      <c r="N292" t="n">
        <v>0</v>
      </c>
      <c r="O292" t="n">
        <v>0</v>
      </c>
      <c r="P292" t="n">
        <v>0</v>
      </c>
      <c r="Q292" t="n">
        <v>0</v>
      </c>
      <c r="R292" s="2" t="inlineStr"/>
    </row>
    <row r="293" ht="15" customHeight="1">
      <c r="A293" t="inlineStr">
        <is>
          <t>A 45819-2024</t>
        </is>
      </c>
      <c r="B293" s="1" t="n">
        <v>45579.7454050926</v>
      </c>
      <c r="C293" s="1" t="n">
        <v>46059</v>
      </c>
      <c r="D293" t="inlineStr">
        <is>
          <t>ÖSTERGÖTLANDS LÄN</t>
        </is>
      </c>
      <c r="E293" t="inlineStr">
        <is>
          <t>LINKÖPING</t>
        </is>
      </c>
      <c r="G293" t="n">
        <v>5</v>
      </c>
      <c r="H293" t="n">
        <v>0</v>
      </c>
      <c r="I293" t="n">
        <v>0</v>
      </c>
      <c r="J293" t="n">
        <v>0</v>
      </c>
      <c r="K293" t="n">
        <v>0</v>
      </c>
      <c r="L293" t="n">
        <v>0</v>
      </c>
      <c r="M293" t="n">
        <v>0</v>
      </c>
      <c r="N293" t="n">
        <v>0</v>
      </c>
      <c r="O293" t="n">
        <v>0</v>
      </c>
      <c r="P293" t="n">
        <v>0</v>
      </c>
      <c r="Q293" t="n">
        <v>0</v>
      </c>
      <c r="R293" s="2" t="inlineStr"/>
    </row>
    <row r="294" ht="15" customHeight="1">
      <c r="A294" t="inlineStr">
        <is>
          <t>A 58802-2025</t>
        </is>
      </c>
      <c r="B294" s="1" t="n">
        <v>45986.8768287037</v>
      </c>
      <c r="C294" s="1" t="n">
        <v>46059</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3041-2024</t>
        </is>
      </c>
      <c r="B295" s="1" t="n">
        <v>45316.34875</v>
      </c>
      <c r="C295" s="1" t="n">
        <v>46059</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858-2026</t>
        </is>
      </c>
      <c r="B296" s="1" t="n">
        <v>46030.41200231481</v>
      </c>
      <c r="C296" s="1" t="n">
        <v>46059</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860-2026</t>
        </is>
      </c>
      <c r="B297" s="1" t="n">
        <v>46030.41974537037</v>
      </c>
      <c r="C297" s="1" t="n">
        <v>46059</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940-2026</t>
        </is>
      </c>
      <c r="B298" s="1" t="n">
        <v>46030.53052083333</v>
      </c>
      <c r="C298" s="1" t="n">
        <v>46059</v>
      </c>
      <c r="D298" t="inlineStr">
        <is>
          <t>ÖSTERGÖTLANDS LÄN</t>
        </is>
      </c>
      <c r="E298" t="inlineStr">
        <is>
          <t>LINKÖPING</t>
        </is>
      </c>
      <c r="F298" t="inlineStr">
        <is>
          <t>Allmännings- och besparingsskogar</t>
        </is>
      </c>
      <c r="G298" t="n">
        <v>2.9</v>
      </c>
      <c r="H298" t="n">
        <v>0</v>
      </c>
      <c r="I298" t="n">
        <v>0</v>
      </c>
      <c r="J298" t="n">
        <v>0</v>
      </c>
      <c r="K298" t="n">
        <v>0</v>
      </c>
      <c r="L298" t="n">
        <v>0</v>
      </c>
      <c r="M298" t="n">
        <v>0</v>
      </c>
      <c r="N298" t="n">
        <v>0</v>
      </c>
      <c r="O298" t="n">
        <v>0</v>
      </c>
      <c r="P298" t="n">
        <v>0</v>
      </c>
      <c r="Q298" t="n">
        <v>0</v>
      </c>
      <c r="R298" s="2" t="inlineStr"/>
    </row>
    <row r="299" ht="15" customHeight="1">
      <c r="A299" t="inlineStr">
        <is>
          <t>A 944-2026</t>
        </is>
      </c>
      <c r="B299" s="1" t="n">
        <v>46030.53461805556</v>
      </c>
      <c r="C299" s="1" t="n">
        <v>46059</v>
      </c>
      <c r="D299" t="inlineStr">
        <is>
          <t>ÖSTERGÖTLANDS LÄN</t>
        </is>
      </c>
      <c r="E299" t="inlineStr">
        <is>
          <t>LINKÖPING</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59472-2025</t>
        </is>
      </c>
      <c r="B300" s="1" t="n">
        <v>45989.58321759259</v>
      </c>
      <c r="C300" s="1" t="n">
        <v>46059</v>
      </c>
      <c r="D300" t="inlineStr">
        <is>
          <t>ÖSTERGÖTLANDS LÄN</t>
        </is>
      </c>
      <c r="E300" t="inlineStr">
        <is>
          <t>LINKÖPING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43755-2025</t>
        </is>
      </c>
      <c r="B301" s="1" t="n">
        <v>45912.47329861111</v>
      </c>
      <c r="C301" s="1" t="n">
        <v>46059</v>
      </c>
      <c r="D301" t="inlineStr">
        <is>
          <t>ÖSTERGÖTLANDS LÄN</t>
        </is>
      </c>
      <c r="E301" t="inlineStr">
        <is>
          <t>LINKÖPING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3530-2024</t>
        </is>
      </c>
      <c r="B302" s="1" t="n">
        <v>45320.54717592592</v>
      </c>
      <c r="C302" s="1" t="n">
        <v>46059</v>
      </c>
      <c r="D302" t="inlineStr">
        <is>
          <t>ÖSTERGÖTLANDS LÄN</t>
        </is>
      </c>
      <c r="E302" t="inlineStr">
        <is>
          <t>LINKÖPING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43753-2025</t>
        </is>
      </c>
      <c r="B303" s="1" t="n">
        <v>45912.4715625</v>
      </c>
      <c r="C303" s="1" t="n">
        <v>46059</v>
      </c>
      <c r="D303" t="inlineStr">
        <is>
          <t>ÖSTERGÖTLANDS LÄN</t>
        </is>
      </c>
      <c r="E303" t="inlineStr">
        <is>
          <t>LINKÖPING</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43758-2025</t>
        </is>
      </c>
      <c r="B304" s="1" t="n">
        <v>45912.47711805555</v>
      </c>
      <c r="C304" s="1" t="n">
        <v>46059</v>
      </c>
      <c r="D304" t="inlineStr">
        <is>
          <t>ÖSTERGÖTLANDS LÄN</t>
        </is>
      </c>
      <c r="E304" t="inlineStr">
        <is>
          <t>LINKÖPING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44170-2025</t>
        </is>
      </c>
      <c r="B305" s="1" t="n">
        <v>45915.59864583334</v>
      </c>
      <c r="C305" s="1" t="n">
        <v>46059</v>
      </c>
      <c r="D305" t="inlineStr">
        <is>
          <t>ÖSTERGÖTLANDS LÄN</t>
        </is>
      </c>
      <c r="E305" t="inlineStr">
        <is>
          <t>LINKÖPING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62686-2023</t>
        </is>
      </c>
      <c r="B306" s="1" t="n">
        <v>45271</v>
      </c>
      <c r="C306" s="1" t="n">
        <v>46059</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55345-2021</t>
        </is>
      </c>
      <c r="B307" s="1" t="n">
        <v>44475</v>
      </c>
      <c r="C307" s="1" t="n">
        <v>46059</v>
      </c>
      <c r="D307" t="inlineStr">
        <is>
          <t>ÖSTERGÖTLANDS LÄN</t>
        </is>
      </c>
      <c r="E307" t="inlineStr">
        <is>
          <t>LINKÖPING</t>
        </is>
      </c>
      <c r="G307" t="n">
        <v>5.7</v>
      </c>
      <c r="H307" t="n">
        <v>0</v>
      </c>
      <c r="I307" t="n">
        <v>0</v>
      </c>
      <c r="J307" t="n">
        <v>0</v>
      </c>
      <c r="K307" t="n">
        <v>0</v>
      </c>
      <c r="L307" t="n">
        <v>0</v>
      </c>
      <c r="M307" t="n">
        <v>0</v>
      </c>
      <c r="N307" t="n">
        <v>0</v>
      </c>
      <c r="O307" t="n">
        <v>0</v>
      </c>
      <c r="P307" t="n">
        <v>0</v>
      </c>
      <c r="Q307" t="n">
        <v>0</v>
      </c>
      <c r="R307" s="2" t="inlineStr"/>
    </row>
    <row r="308" ht="15" customHeight="1">
      <c r="A308" t="inlineStr">
        <is>
          <t>A 63489-2023</t>
        </is>
      </c>
      <c r="B308" s="1" t="n">
        <v>45274.66761574074</v>
      </c>
      <c r="C308" s="1" t="n">
        <v>46059</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70-2024</t>
        </is>
      </c>
      <c r="B309" s="1" t="n">
        <v>45293</v>
      </c>
      <c r="C309" s="1" t="n">
        <v>46059</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1223-2026</t>
        </is>
      </c>
      <c r="B310" s="1" t="n">
        <v>46031.40233796297</v>
      </c>
      <c r="C310" s="1" t="n">
        <v>46059</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6782-2024</t>
        </is>
      </c>
      <c r="B311" s="1" t="n">
        <v>45342</v>
      </c>
      <c r="C311" s="1" t="n">
        <v>46059</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44759-2025</t>
        </is>
      </c>
      <c r="B312" s="1" t="n">
        <v>45917.7152662037</v>
      </c>
      <c r="C312" s="1" t="n">
        <v>46059</v>
      </c>
      <c r="D312" t="inlineStr">
        <is>
          <t>ÖSTERGÖTLANDS LÄN</t>
        </is>
      </c>
      <c r="E312" t="inlineStr">
        <is>
          <t>LINKÖPING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617-2024</t>
        </is>
      </c>
      <c r="B313" s="1" t="n">
        <v>45299.66028935185</v>
      </c>
      <c r="C313" s="1" t="n">
        <v>46059</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46059</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670-2024</t>
        </is>
      </c>
      <c r="B315" s="1" t="n">
        <v>45300.3408912037</v>
      </c>
      <c r="C315" s="1" t="n">
        <v>46059</v>
      </c>
      <c r="D315" t="inlineStr">
        <is>
          <t>ÖSTERGÖTLANDS LÄN</t>
        </is>
      </c>
      <c r="E315" t="inlineStr">
        <is>
          <t>LINKÖPING</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52125-2022</t>
        </is>
      </c>
      <c r="B316" s="1" t="n">
        <v>44873</v>
      </c>
      <c r="C316" s="1" t="n">
        <v>46059</v>
      </c>
      <c r="D316" t="inlineStr">
        <is>
          <t>ÖSTERGÖTLANDS LÄN</t>
        </is>
      </c>
      <c r="E316" t="inlineStr">
        <is>
          <t>LINKÖPING</t>
        </is>
      </c>
      <c r="F316" t="inlineStr">
        <is>
          <t>Övriga Aktiebolag</t>
        </is>
      </c>
      <c r="G316" t="n">
        <v>0.7</v>
      </c>
      <c r="H316" t="n">
        <v>0</v>
      </c>
      <c r="I316" t="n">
        <v>0</v>
      </c>
      <c r="J316" t="n">
        <v>0</v>
      </c>
      <c r="K316" t="n">
        <v>0</v>
      </c>
      <c r="L316" t="n">
        <v>0</v>
      </c>
      <c r="M316" t="n">
        <v>0</v>
      </c>
      <c r="N316" t="n">
        <v>0</v>
      </c>
      <c r="O316" t="n">
        <v>0</v>
      </c>
      <c r="P316" t="n">
        <v>0</v>
      </c>
      <c r="Q316" t="n">
        <v>0</v>
      </c>
      <c r="R316" s="2" t="inlineStr"/>
    </row>
    <row r="317" ht="15" customHeight="1">
      <c r="A317" t="inlineStr">
        <is>
          <t>A 60087-2025</t>
        </is>
      </c>
      <c r="B317" s="1" t="n">
        <v>45993.71726851852</v>
      </c>
      <c r="C317" s="1" t="n">
        <v>46059</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1084-2023</t>
        </is>
      </c>
      <c r="B318" s="1" t="n">
        <v>44929</v>
      </c>
      <c r="C318" s="1" t="n">
        <v>46059</v>
      </c>
      <c r="D318" t="inlineStr">
        <is>
          <t>ÖSTERGÖTLANDS LÄN</t>
        </is>
      </c>
      <c r="E318" t="inlineStr">
        <is>
          <t>LINKÖPING</t>
        </is>
      </c>
      <c r="G318" t="n">
        <v>10.4</v>
      </c>
      <c r="H318" t="n">
        <v>0</v>
      </c>
      <c r="I318" t="n">
        <v>0</v>
      </c>
      <c r="J318" t="n">
        <v>0</v>
      </c>
      <c r="K318" t="n">
        <v>0</v>
      </c>
      <c r="L318" t="n">
        <v>0</v>
      </c>
      <c r="M318" t="n">
        <v>0</v>
      </c>
      <c r="N318" t="n">
        <v>0</v>
      </c>
      <c r="O318" t="n">
        <v>0</v>
      </c>
      <c r="P318" t="n">
        <v>0</v>
      </c>
      <c r="Q318" t="n">
        <v>0</v>
      </c>
      <c r="R318" s="2" t="inlineStr"/>
    </row>
    <row r="319" ht="15" customHeight="1">
      <c r="A319" t="inlineStr">
        <is>
          <t>A 60284-2025</t>
        </is>
      </c>
      <c r="B319" s="1" t="n">
        <v>45994.64373842593</v>
      </c>
      <c r="C319" s="1" t="n">
        <v>46059</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29859-2024</t>
        </is>
      </c>
      <c r="B320" s="1" t="n">
        <v>45485.6846412037</v>
      </c>
      <c r="C320" s="1" t="n">
        <v>46059</v>
      </c>
      <c r="D320" t="inlineStr">
        <is>
          <t>ÖSTERGÖTLANDS LÄN</t>
        </is>
      </c>
      <c r="E320" t="inlineStr">
        <is>
          <t>LINKÖPING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45112-2025</t>
        </is>
      </c>
      <c r="B321" s="1" t="n">
        <v>45919</v>
      </c>
      <c r="C321" s="1" t="n">
        <v>46059</v>
      </c>
      <c r="D321" t="inlineStr">
        <is>
          <t>ÖSTERGÖTLANDS LÄN</t>
        </is>
      </c>
      <c r="E321" t="inlineStr">
        <is>
          <t>LINKÖPING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51571-2024</t>
        </is>
      </c>
      <c r="B322" s="1" t="n">
        <v>45604</v>
      </c>
      <c r="C322" s="1" t="n">
        <v>46059</v>
      </c>
      <c r="D322" t="inlineStr">
        <is>
          <t>ÖSTERGÖTLANDS LÄN</t>
        </is>
      </c>
      <c r="E322" t="inlineStr">
        <is>
          <t>LINKÖPING</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223-2024</t>
        </is>
      </c>
      <c r="B323" s="1" t="n">
        <v>45294.72739583333</v>
      </c>
      <c r="C323" s="1" t="n">
        <v>46059</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227-2024</t>
        </is>
      </c>
      <c r="B324" s="1" t="n">
        <v>45294.73603009259</v>
      </c>
      <c r="C324" s="1" t="n">
        <v>46059</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53814-2023</t>
        </is>
      </c>
      <c r="B325" s="1" t="n">
        <v>45231</v>
      </c>
      <c r="C325" s="1" t="n">
        <v>46059</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60306-2025</t>
        </is>
      </c>
      <c r="B326" s="1" t="n">
        <v>45994.68326388889</v>
      </c>
      <c r="C326" s="1" t="n">
        <v>46059</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2030-2026</t>
        </is>
      </c>
      <c r="B327" s="1" t="n">
        <v>46035.73590277778</v>
      </c>
      <c r="C327" s="1" t="n">
        <v>46059</v>
      </c>
      <c r="D327" t="inlineStr">
        <is>
          <t>ÖSTERGÖTLANDS LÄN</t>
        </is>
      </c>
      <c r="E327" t="inlineStr">
        <is>
          <t>LINKÖPING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2031-2026</t>
        </is>
      </c>
      <c r="B328" s="1" t="n">
        <v>46035.74182870371</v>
      </c>
      <c r="C328" s="1" t="n">
        <v>46059</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56917-2022</t>
        </is>
      </c>
      <c r="B329" s="1" t="n">
        <v>44894</v>
      </c>
      <c r="C329" s="1" t="n">
        <v>46059</v>
      </c>
      <c r="D329" t="inlineStr">
        <is>
          <t>ÖSTERGÖTLANDS LÄN</t>
        </is>
      </c>
      <c r="E329" t="inlineStr">
        <is>
          <t>LINKÖPING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3044-2026</t>
        </is>
      </c>
      <c r="B330" s="1" t="n">
        <v>46038.73855324074</v>
      </c>
      <c r="C330" s="1" t="n">
        <v>46059</v>
      </c>
      <c r="D330" t="inlineStr">
        <is>
          <t>ÖSTERGÖTLANDS LÄN</t>
        </is>
      </c>
      <c r="E330" t="inlineStr">
        <is>
          <t>LINKÖPING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45634-2025</t>
        </is>
      </c>
      <c r="B331" s="1" t="n">
        <v>45922.85089120371</v>
      </c>
      <c r="C331" s="1" t="n">
        <v>46059</v>
      </c>
      <c r="D331" t="inlineStr">
        <is>
          <t>ÖSTERGÖTLANDS LÄN</t>
        </is>
      </c>
      <c r="E331" t="inlineStr">
        <is>
          <t>LINKÖPING</t>
        </is>
      </c>
      <c r="F331" t="inlineStr">
        <is>
          <t>Övriga Aktiebolag</t>
        </is>
      </c>
      <c r="G331" t="n">
        <v>0.3</v>
      </c>
      <c r="H331" t="n">
        <v>0</v>
      </c>
      <c r="I331" t="n">
        <v>0</v>
      </c>
      <c r="J331" t="n">
        <v>0</v>
      </c>
      <c r="K331" t="n">
        <v>0</v>
      </c>
      <c r="L331" t="n">
        <v>0</v>
      </c>
      <c r="M331" t="n">
        <v>0</v>
      </c>
      <c r="N331" t="n">
        <v>0</v>
      </c>
      <c r="O331" t="n">
        <v>0</v>
      </c>
      <c r="P331" t="n">
        <v>0</v>
      </c>
      <c r="Q331" t="n">
        <v>0</v>
      </c>
      <c r="R331" s="2" t="inlineStr"/>
    </row>
    <row r="332" ht="15" customHeight="1">
      <c r="A332" t="inlineStr">
        <is>
          <t>A 45792-2025</t>
        </is>
      </c>
      <c r="B332" s="1" t="n">
        <v>45923.56998842592</v>
      </c>
      <c r="C332" s="1" t="n">
        <v>46059</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1265-2023</t>
        </is>
      </c>
      <c r="B333" s="1" t="n">
        <v>44936</v>
      </c>
      <c r="C333" s="1" t="n">
        <v>46059</v>
      </c>
      <c r="D333" t="inlineStr">
        <is>
          <t>ÖSTERGÖTLANDS LÄN</t>
        </is>
      </c>
      <c r="E333" t="inlineStr">
        <is>
          <t>LINKÖPING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1362-2023</t>
        </is>
      </c>
      <c r="B334" s="1" t="n">
        <v>44931</v>
      </c>
      <c r="C334" s="1" t="n">
        <v>46059</v>
      </c>
      <c r="D334" t="inlineStr">
        <is>
          <t>ÖSTERGÖTLANDS LÄN</t>
        </is>
      </c>
      <c r="E334" t="inlineStr">
        <is>
          <t>LINKÖPING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3045-2026</t>
        </is>
      </c>
      <c r="B335" s="1" t="n">
        <v>46038.74047453704</v>
      </c>
      <c r="C335" s="1" t="n">
        <v>46059</v>
      </c>
      <c r="D335" t="inlineStr">
        <is>
          <t>ÖSTERGÖTLANDS LÄN</t>
        </is>
      </c>
      <c r="E335" t="inlineStr">
        <is>
          <t>LINKÖPING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54034-2022</t>
        </is>
      </c>
      <c r="B336" s="1" t="n">
        <v>44881</v>
      </c>
      <c r="C336" s="1" t="n">
        <v>46059</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45804-2025</t>
        </is>
      </c>
      <c r="B337" s="1" t="n">
        <v>45923.5819675926</v>
      </c>
      <c r="C337" s="1" t="n">
        <v>46059</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55493-2021</t>
        </is>
      </c>
      <c r="B338" s="1" t="n">
        <v>44475.61988425926</v>
      </c>
      <c r="C338" s="1" t="n">
        <v>46059</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60703-2025</t>
        </is>
      </c>
      <c r="B339" s="1" t="n">
        <v>45996.6052662037</v>
      </c>
      <c r="C339" s="1" t="n">
        <v>46059</v>
      </c>
      <c r="D339" t="inlineStr">
        <is>
          <t>ÖSTERGÖTLANDS LÄN</t>
        </is>
      </c>
      <c r="E339" t="inlineStr">
        <is>
          <t>LINKÖPING</t>
        </is>
      </c>
      <c r="F339" t="inlineStr">
        <is>
          <t>Övriga Aktiebolag</t>
        </is>
      </c>
      <c r="G339" t="n">
        <v>1.3</v>
      </c>
      <c r="H339" t="n">
        <v>0</v>
      </c>
      <c r="I339" t="n">
        <v>0</v>
      </c>
      <c r="J339" t="n">
        <v>0</v>
      </c>
      <c r="K339" t="n">
        <v>0</v>
      </c>
      <c r="L339" t="n">
        <v>0</v>
      </c>
      <c r="M339" t="n">
        <v>0</v>
      </c>
      <c r="N339" t="n">
        <v>0</v>
      </c>
      <c r="O339" t="n">
        <v>0</v>
      </c>
      <c r="P339" t="n">
        <v>0</v>
      </c>
      <c r="Q339" t="n">
        <v>0</v>
      </c>
      <c r="R339" s="2" t="inlineStr"/>
    </row>
    <row r="340" ht="15" customHeight="1">
      <c r="A340" t="inlineStr">
        <is>
          <t>A 6054-2022</t>
        </is>
      </c>
      <c r="B340" s="1" t="n">
        <v>44599.53623842593</v>
      </c>
      <c r="C340" s="1" t="n">
        <v>46059</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3043-2026</t>
        </is>
      </c>
      <c r="B341" s="1" t="n">
        <v>46038.73675925926</v>
      </c>
      <c r="C341" s="1" t="n">
        <v>46059</v>
      </c>
      <c r="D341" t="inlineStr">
        <is>
          <t>ÖSTERGÖTLANDS LÄN</t>
        </is>
      </c>
      <c r="E341" t="inlineStr">
        <is>
          <t>LINKÖPING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3046-2026</t>
        </is>
      </c>
      <c r="B342" s="1" t="n">
        <v>46038.74182870371</v>
      </c>
      <c r="C342" s="1" t="n">
        <v>46059</v>
      </c>
      <c r="D342" t="inlineStr">
        <is>
          <t>ÖSTERGÖTLANDS LÄN</t>
        </is>
      </c>
      <c r="E342" t="inlineStr">
        <is>
          <t>LINKÖPING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25119-2023</t>
        </is>
      </c>
      <c r="B343" s="1" t="n">
        <v>45086.42326388889</v>
      </c>
      <c r="C343" s="1" t="n">
        <v>46059</v>
      </c>
      <c r="D343" t="inlineStr">
        <is>
          <t>ÖSTERGÖTLANDS LÄN</t>
        </is>
      </c>
      <c r="E343" t="inlineStr">
        <is>
          <t>LINKÖPING</t>
        </is>
      </c>
      <c r="G343" t="n">
        <v>3.2</v>
      </c>
      <c r="H343" t="n">
        <v>0</v>
      </c>
      <c r="I343" t="n">
        <v>0</v>
      </c>
      <c r="J343" t="n">
        <v>0</v>
      </c>
      <c r="K343" t="n">
        <v>0</v>
      </c>
      <c r="L343" t="n">
        <v>0</v>
      </c>
      <c r="M343" t="n">
        <v>0</v>
      </c>
      <c r="N343" t="n">
        <v>0</v>
      </c>
      <c r="O343" t="n">
        <v>0</v>
      </c>
      <c r="P343" t="n">
        <v>0</v>
      </c>
      <c r="Q343" t="n">
        <v>0</v>
      </c>
      <c r="R343" s="2" t="inlineStr"/>
    </row>
    <row r="344" ht="15" customHeight="1">
      <c r="A344" t="inlineStr">
        <is>
          <t>A 46428-2025</t>
        </is>
      </c>
      <c r="B344" s="1" t="n">
        <v>45925.60758101852</v>
      </c>
      <c r="C344" s="1" t="n">
        <v>46059</v>
      </c>
      <c r="D344" t="inlineStr">
        <is>
          <t>ÖSTERGÖTLANDS LÄN</t>
        </is>
      </c>
      <c r="E344" t="inlineStr">
        <is>
          <t>LINKÖPING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46426-2025</t>
        </is>
      </c>
      <c r="B345" s="1" t="n">
        <v>45925.6012962963</v>
      </c>
      <c r="C345" s="1" t="n">
        <v>46059</v>
      </c>
      <c r="D345" t="inlineStr">
        <is>
          <t>ÖSTERGÖTLANDS LÄN</t>
        </is>
      </c>
      <c r="E345" t="inlineStr">
        <is>
          <t>LINKÖPING</t>
        </is>
      </c>
      <c r="G345" t="n">
        <v>4.4</v>
      </c>
      <c r="H345" t="n">
        <v>0</v>
      </c>
      <c r="I345" t="n">
        <v>0</v>
      </c>
      <c r="J345" t="n">
        <v>0</v>
      </c>
      <c r="K345" t="n">
        <v>0</v>
      </c>
      <c r="L345" t="n">
        <v>0</v>
      </c>
      <c r="M345" t="n">
        <v>0</v>
      </c>
      <c r="N345" t="n">
        <v>0</v>
      </c>
      <c r="O345" t="n">
        <v>0</v>
      </c>
      <c r="P345" t="n">
        <v>0</v>
      </c>
      <c r="Q345" t="n">
        <v>0</v>
      </c>
      <c r="R345" s="2" t="inlineStr"/>
    </row>
    <row r="346" ht="15" customHeight="1">
      <c r="A346" t="inlineStr">
        <is>
          <t>A 4456-2024</t>
        </is>
      </c>
      <c r="B346" s="1" t="n">
        <v>45327.52847222222</v>
      </c>
      <c r="C346" s="1" t="n">
        <v>46059</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46377-2025</t>
        </is>
      </c>
      <c r="B347" s="1" t="n">
        <v>45925.51773148148</v>
      </c>
      <c r="C347" s="1" t="n">
        <v>46059</v>
      </c>
      <c r="D347" t="inlineStr">
        <is>
          <t>ÖSTERGÖTLANDS LÄN</t>
        </is>
      </c>
      <c r="E347" t="inlineStr">
        <is>
          <t>LINKÖPING</t>
        </is>
      </c>
      <c r="G347" t="n">
        <v>3.1</v>
      </c>
      <c r="H347" t="n">
        <v>0</v>
      </c>
      <c r="I347" t="n">
        <v>0</v>
      </c>
      <c r="J347" t="n">
        <v>0</v>
      </c>
      <c r="K347" t="n">
        <v>0</v>
      </c>
      <c r="L347" t="n">
        <v>0</v>
      </c>
      <c r="M347" t="n">
        <v>0</v>
      </c>
      <c r="N347" t="n">
        <v>0</v>
      </c>
      <c r="O347" t="n">
        <v>0</v>
      </c>
      <c r="P347" t="n">
        <v>0</v>
      </c>
      <c r="Q347" t="n">
        <v>0</v>
      </c>
      <c r="R347" s="2" t="inlineStr"/>
    </row>
    <row r="348" ht="15" customHeight="1">
      <c r="A348" t="inlineStr">
        <is>
          <t>A 58114-2021</t>
        </is>
      </c>
      <c r="B348" s="1" t="n">
        <v>44487</v>
      </c>
      <c r="C348" s="1" t="n">
        <v>46059</v>
      </c>
      <c r="D348" t="inlineStr">
        <is>
          <t>ÖSTERGÖTLANDS LÄN</t>
        </is>
      </c>
      <c r="E348" t="inlineStr">
        <is>
          <t>LINKÖPING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47304-2025</t>
        </is>
      </c>
      <c r="B349" s="1" t="n">
        <v>45930.52037037037</v>
      </c>
      <c r="C349" s="1" t="n">
        <v>46059</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52892-2024</t>
        </is>
      </c>
      <c r="B350" s="1" t="n">
        <v>45610</v>
      </c>
      <c r="C350" s="1" t="n">
        <v>46059</v>
      </c>
      <c r="D350" t="inlineStr">
        <is>
          <t>ÖSTERGÖTLANDS LÄN</t>
        </is>
      </c>
      <c r="E350" t="inlineStr">
        <is>
          <t>LINKÖPING</t>
        </is>
      </c>
      <c r="G350" t="n">
        <v>4.2</v>
      </c>
      <c r="H350" t="n">
        <v>0</v>
      </c>
      <c r="I350" t="n">
        <v>0</v>
      </c>
      <c r="J350" t="n">
        <v>0</v>
      </c>
      <c r="K350" t="n">
        <v>0</v>
      </c>
      <c r="L350" t="n">
        <v>0</v>
      </c>
      <c r="M350" t="n">
        <v>0</v>
      </c>
      <c r="N350" t="n">
        <v>0</v>
      </c>
      <c r="O350" t="n">
        <v>0</v>
      </c>
      <c r="P350" t="n">
        <v>0</v>
      </c>
      <c r="Q350" t="n">
        <v>0</v>
      </c>
      <c r="R350" s="2" t="inlineStr"/>
    </row>
    <row r="351" ht="15" customHeight="1">
      <c r="A351" t="inlineStr">
        <is>
          <t>A 47233-2025</t>
        </is>
      </c>
      <c r="B351" s="1" t="n">
        <v>45930.40612268518</v>
      </c>
      <c r="C351" s="1" t="n">
        <v>46059</v>
      </c>
      <c r="D351" t="inlineStr">
        <is>
          <t>ÖSTERGÖTLANDS LÄN</t>
        </is>
      </c>
      <c r="E351" t="inlineStr">
        <is>
          <t>LINKÖPING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61230-2025</t>
        </is>
      </c>
      <c r="B352" s="1" t="n">
        <v>46000.63111111111</v>
      </c>
      <c r="C352" s="1" t="n">
        <v>46059</v>
      </c>
      <c r="D352" t="inlineStr">
        <is>
          <t>ÖSTERGÖTLANDS LÄN</t>
        </is>
      </c>
      <c r="E352" t="inlineStr">
        <is>
          <t>LINKÖPING</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60866-2025</t>
        </is>
      </c>
      <c r="B353" s="1" t="n">
        <v>45999</v>
      </c>
      <c r="C353" s="1" t="n">
        <v>46059</v>
      </c>
      <c r="D353" t="inlineStr">
        <is>
          <t>ÖSTERGÖTLANDS LÄN</t>
        </is>
      </c>
      <c r="E353" t="inlineStr">
        <is>
          <t>LINKÖPING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3008-2023</t>
        </is>
      </c>
      <c r="B354" s="1" t="n">
        <v>44945.79784722222</v>
      </c>
      <c r="C354" s="1" t="n">
        <v>46059</v>
      </c>
      <c r="D354" t="inlineStr">
        <is>
          <t>ÖSTERGÖTLANDS LÄN</t>
        </is>
      </c>
      <c r="E354" t="inlineStr">
        <is>
          <t>LINKÖPING</t>
        </is>
      </c>
      <c r="G354" t="n">
        <v>19.3</v>
      </c>
      <c r="H354" t="n">
        <v>0</v>
      </c>
      <c r="I354" t="n">
        <v>0</v>
      </c>
      <c r="J354" t="n">
        <v>0</v>
      </c>
      <c r="K354" t="n">
        <v>0</v>
      </c>
      <c r="L354" t="n">
        <v>0</v>
      </c>
      <c r="M354" t="n">
        <v>0</v>
      </c>
      <c r="N354" t="n">
        <v>0</v>
      </c>
      <c r="O354" t="n">
        <v>0</v>
      </c>
      <c r="P354" t="n">
        <v>0</v>
      </c>
      <c r="Q354" t="n">
        <v>0</v>
      </c>
      <c r="R354" s="2" t="inlineStr"/>
    </row>
    <row r="355" ht="15" customHeight="1">
      <c r="A355" t="inlineStr">
        <is>
          <t>A 60004-2022</t>
        </is>
      </c>
      <c r="B355" s="1" t="n">
        <v>44909.47206018519</v>
      </c>
      <c r="C355" s="1" t="n">
        <v>46059</v>
      </c>
      <c r="D355" t="inlineStr">
        <is>
          <t>ÖSTERGÖTLANDS LÄN</t>
        </is>
      </c>
      <c r="E355" t="inlineStr">
        <is>
          <t>LINKÖPING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52796-2023</t>
        </is>
      </c>
      <c r="B356" s="1" t="n">
        <v>45219</v>
      </c>
      <c r="C356" s="1" t="n">
        <v>46059</v>
      </c>
      <c r="D356" t="inlineStr">
        <is>
          <t>ÖSTERGÖTLANDS LÄN</t>
        </is>
      </c>
      <c r="E356" t="inlineStr">
        <is>
          <t>LINKÖPING</t>
        </is>
      </c>
      <c r="F356" t="inlineStr">
        <is>
          <t>Övriga statliga verk och myndigheter</t>
        </is>
      </c>
      <c r="G356" t="n">
        <v>3.9</v>
      </c>
      <c r="H356" t="n">
        <v>0</v>
      </c>
      <c r="I356" t="n">
        <v>0</v>
      </c>
      <c r="J356" t="n">
        <v>0</v>
      </c>
      <c r="K356" t="n">
        <v>0</v>
      </c>
      <c r="L356" t="n">
        <v>0</v>
      </c>
      <c r="M356" t="n">
        <v>0</v>
      </c>
      <c r="N356" t="n">
        <v>0</v>
      </c>
      <c r="O356" t="n">
        <v>0</v>
      </c>
      <c r="P356" t="n">
        <v>0</v>
      </c>
      <c r="Q356" t="n">
        <v>0</v>
      </c>
      <c r="R356" s="2" t="inlineStr"/>
    </row>
    <row r="357" ht="15" customHeight="1">
      <c r="A357" t="inlineStr">
        <is>
          <t>A 50743-2023</t>
        </is>
      </c>
      <c r="B357" s="1" t="n">
        <v>45217</v>
      </c>
      <c r="C357" s="1" t="n">
        <v>46059</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46847-2025</t>
        </is>
      </c>
      <c r="B358" s="1" t="n">
        <v>45928.69971064815</v>
      </c>
      <c r="C358" s="1" t="n">
        <v>46059</v>
      </c>
      <c r="D358" t="inlineStr">
        <is>
          <t>ÖSTERGÖTLANDS LÄN</t>
        </is>
      </c>
      <c r="E358" t="inlineStr">
        <is>
          <t>LINKÖPING</t>
        </is>
      </c>
      <c r="G358" t="n">
        <v>4.6</v>
      </c>
      <c r="H358" t="n">
        <v>0</v>
      </c>
      <c r="I358" t="n">
        <v>0</v>
      </c>
      <c r="J358" t="n">
        <v>0</v>
      </c>
      <c r="K358" t="n">
        <v>0</v>
      </c>
      <c r="L358" t="n">
        <v>0</v>
      </c>
      <c r="M358" t="n">
        <v>0</v>
      </c>
      <c r="N358" t="n">
        <v>0</v>
      </c>
      <c r="O358" t="n">
        <v>0</v>
      </c>
      <c r="P358" t="n">
        <v>0</v>
      </c>
      <c r="Q358" t="n">
        <v>0</v>
      </c>
      <c r="R358" s="2" t="inlineStr"/>
    </row>
    <row r="359" ht="15" customHeight="1">
      <c r="A359" t="inlineStr">
        <is>
          <t>A 55736-2022</t>
        </is>
      </c>
      <c r="B359" s="1" t="n">
        <v>44888</v>
      </c>
      <c r="C359" s="1" t="n">
        <v>46059</v>
      </c>
      <c r="D359" t="inlineStr">
        <is>
          <t>ÖSTERGÖTLANDS LÄN</t>
        </is>
      </c>
      <c r="E359" t="inlineStr">
        <is>
          <t>LINKÖPING</t>
        </is>
      </c>
      <c r="G359" t="n">
        <v>5.5</v>
      </c>
      <c r="H359" t="n">
        <v>0</v>
      </c>
      <c r="I359" t="n">
        <v>0</v>
      </c>
      <c r="J359" t="n">
        <v>0</v>
      </c>
      <c r="K359" t="n">
        <v>0</v>
      </c>
      <c r="L359" t="n">
        <v>0</v>
      </c>
      <c r="M359" t="n">
        <v>0</v>
      </c>
      <c r="N359" t="n">
        <v>0</v>
      </c>
      <c r="O359" t="n">
        <v>0</v>
      </c>
      <c r="P359" t="n">
        <v>0</v>
      </c>
      <c r="Q359" t="n">
        <v>0</v>
      </c>
      <c r="R359" s="2" t="inlineStr"/>
    </row>
    <row r="360" ht="15" customHeight="1">
      <c r="A360" t="inlineStr">
        <is>
          <t>A 48343-2025</t>
        </is>
      </c>
      <c r="B360" s="1" t="n">
        <v>45932</v>
      </c>
      <c r="C360" s="1" t="n">
        <v>46059</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45771-2023</t>
        </is>
      </c>
      <c r="B361" s="1" t="n">
        <v>45195.4384375</v>
      </c>
      <c r="C361" s="1" t="n">
        <v>46059</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47606-2025</t>
        </is>
      </c>
      <c r="B362" s="1" t="n">
        <v>45931.46402777778</v>
      </c>
      <c r="C362" s="1" t="n">
        <v>46059</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61643-2025</t>
        </is>
      </c>
      <c r="B363" s="1" t="n">
        <v>46002.43575231481</v>
      </c>
      <c r="C363" s="1" t="n">
        <v>46059</v>
      </c>
      <c r="D363" t="inlineStr">
        <is>
          <t>ÖSTERGÖTLANDS LÄN</t>
        </is>
      </c>
      <c r="E363" t="inlineStr">
        <is>
          <t>LINKÖPING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48254-2025</t>
        </is>
      </c>
      <c r="B364" s="1" t="n">
        <v>45932</v>
      </c>
      <c r="C364" s="1" t="n">
        <v>46059</v>
      </c>
      <c r="D364" t="inlineStr">
        <is>
          <t>ÖSTERGÖTLANDS LÄN</t>
        </is>
      </c>
      <c r="E364" t="inlineStr">
        <is>
          <t>LINKÖPING</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48266-2025</t>
        </is>
      </c>
      <c r="B365" s="1" t="n">
        <v>45932</v>
      </c>
      <c r="C365" s="1" t="n">
        <v>46059</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30434-2024</t>
        </is>
      </c>
      <c r="B366" s="1" t="n">
        <v>45491.69811342593</v>
      </c>
      <c r="C366" s="1" t="n">
        <v>46059</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61447-2025</t>
        </is>
      </c>
      <c r="B367" s="1" t="n">
        <v>46001.57554398148</v>
      </c>
      <c r="C367" s="1" t="n">
        <v>46059</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11084-2022</t>
        </is>
      </c>
      <c r="B368" s="1" t="n">
        <v>44628</v>
      </c>
      <c r="C368" s="1" t="n">
        <v>46059</v>
      </c>
      <c r="D368" t="inlineStr">
        <is>
          <t>ÖSTERGÖTLANDS LÄN</t>
        </is>
      </c>
      <c r="E368" t="inlineStr">
        <is>
          <t>LINKÖPING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61645-2025</t>
        </is>
      </c>
      <c r="B369" s="1" t="n">
        <v>46002.43697916667</v>
      </c>
      <c r="C369" s="1" t="n">
        <v>46059</v>
      </c>
      <c r="D369" t="inlineStr">
        <is>
          <t>ÖSTERGÖTLANDS LÄN</t>
        </is>
      </c>
      <c r="E369" t="inlineStr">
        <is>
          <t>LINKÖPING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63554-2023</t>
        </is>
      </c>
      <c r="B370" s="1" t="n">
        <v>45275</v>
      </c>
      <c r="C370" s="1" t="n">
        <v>46059</v>
      </c>
      <c r="D370" t="inlineStr">
        <is>
          <t>ÖSTERGÖTLANDS LÄN</t>
        </is>
      </c>
      <c r="E370" t="inlineStr">
        <is>
          <t>LINKÖPING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57745-2022</t>
        </is>
      </c>
      <c r="B371" s="1" t="n">
        <v>44897.58119212963</v>
      </c>
      <c r="C371" s="1" t="n">
        <v>46059</v>
      </c>
      <c r="D371" t="inlineStr">
        <is>
          <t>ÖSTERGÖTLANDS LÄN</t>
        </is>
      </c>
      <c r="E371" t="inlineStr">
        <is>
          <t>LINKÖPING</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14520-2025</t>
        </is>
      </c>
      <c r="B372" s="1" t="n">
        <v>45741</v>
      </c>
      <c r="C372" s="1" t="n">
        <v>46059</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49605-2025</t>
        </is>
      </c>
      <c r="B373" s="1" t="n">
        <v>45938</v>
      </c>
      <c r="C373" s="1" t="n">
        <v>46059</v>
      </c>
      <c r="D373" t="inlineStr">
        <is>
          <t>ÖSTERGÖTLANDS LÄN</t>
        </is>
      </c>
      <c r="E373" t="inlineStr">
        <is>
          <t>LINKÖPING</t>
        </is>
      </c>
      <c r="F373" t="inlineStr">
        <is>
          <t>Övriga Aktiebolag</t>
        </is>
      </c>
      <c r="G373" t="n">
        <v>3.3</v>
      </c>
      <c r="H373" t="n">
        <v>0</v>
      </c>
      <c r="I373" t="n">
        <v>0</v>
      </c>
      <c r="J373" t="n">
        <v>0</v>
      </c>
      <c r="K373" t="n">
        <v>0</v>
      </c>
      <c r="L373" t="n">
        <v>0</v>
      </c>
      <c r="M373" t="n">
        <v>0</v>
      </c>
      <c r="N373" t="n">
        <v>0</v>
      </c>
      <c r="O373" t="n">
        <v>0</v>
      </c>
      <c r="P373" t="n">
        <v>0</v>
      </c>
      <c r="Q373" t="n">
        <v>0</v>
      </c>
      <c r="R373" s="2" t="inlineStr"/>
    </row>
    <row r="374" ht="15" customHeight="1">
      <c r="A374" t="inlineStr">
        <is>
          <t>A 30111-2024</t>
        </is>
      </c>
      <c r="B374" s="1" t="n">
        <v>45489.46947916667</v>
      </c>
      <c r="C374" s="1" t="n">
        <v>46059</v>
      </c>
      <c r="D374" t="inlineStr">
        <is>
          <t>ÖSTERGÖTLANDS LÄN</t>
        </is>
      </c>
      <c r="E374" t="inlineStr">
        <is>
          <t>LINKÖPING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30119-2024</t>
        </is>
      </c>
      <c r="B375" s="1" t="n">
        <v>45489</v>
      </c>
      <c r="C375" s="1" t="n">
        <v>46059</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49647-2025</t>
        </is>
      </c>
      <c r="B376" s="1" t="n">
        <v>45938</v>
      </c>
      <c r="C376" s="1" t="n">
        <v>46059</v>
      </c>
      <c r="D376" t="inlineStr">
        <is>
          <t>ÖSTERGÖTLANDS LÄN</t>
        </is>
      </c>
      <c r="E376" t="inlineStr">
        <is>
          <t>LINKÖPING</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6206-2024</t>
        </is>
      </c>
      <c r="B377" s="1" t="n">
        <v>45337.5977662037</v>
      </c>
      <c r="C377" s="1" t="n">
        <v>46059</v>
      </c>
      <c r="D377" t="inlineStr">
        <is>
          <t>ÖSTERGÖTLANDS LÄN</t>
        </is>
      </c>
      <c r="E377" t="inlineStr">
        <is>
          <t>LINKÖPING</t>
        </is>
      </c>
      <c r="G377" t="n">
        <v>2</v>
      </c>
      <c r="H377" t="n">
        <v>0</v>
      </c>
      <c r="I377" t="n">
        <v>0</v>
      </c>
      <c r="J377" t="n">
        <v>0</v>
      </c>
      <c r="K377" t="n">
        <v>0</v>
      </c>
      <c r="L377" t="n">
        <v>0</v>
      </c>
      <c r="M377" t="n">
        <v>0</v>
      </c>
      <c r="N377" t="n">
        <v>0</v>
      </c>
      <c r="O377" t="n">
        <v>0</v>
      </c>
      <c r="P377" t="n">
        <v>0</v>
      </c>
      <c r="Q377" t="n">
        <v>0</v>
      </c>
      <c r="R377" s="2" t="inlineStr"/>
    </row>
    <row r="378" ht="15" customHeight="1">
      <c r="A378" t="inlineStr">
        <is>
          <t>A 49633-2025</t>
        </is>
      </c>
      <c r="B378" s="1" t="n">
        <v>45938</v>
      </c>
      <c r="C378" s="1" t="n">
        <v>46059</v>
      </c>
      <c r="D378" t="inlineStr">
        <is>
          <t>ÖSTERGÖTLANDS LÄN</t>
        </is>
      </c>
      <c r="E378" t="inlineStr">
        <is>
          <t>LINKÖPING</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49663-2025</t>
        </is>
      </c>
      <c r="B379" s="1" t="n">
        <v>45938</v>
      </c>
      <c r="C379" s="1" t="n">
        <v>46059</v>
      </c>
      <c r="D379" t="inlineStr">
        <is>
          <t>ÖSTERGÖTLANDS LÄN</t>
        </is>
      </c>
      <c r="E379" t="inlineStr">
        <is>
          <t>LINKÖPING</t>
        </is>
      </c>
      <c r="F379" t="inlineStr">
        <is>
          <t>Övriga Aktiebolag</t>
        </is>
      </c>
      <c r="G379" t="n">
        <v>1.2</v>
      </c>
      <c r="H379" t="n">
        <v>0</v>
      </c>
      <c r="I379" t="n">
        <v>0</v>
      </c>
      <c r="J379" t="n">
        <v>0</v>
      </c>
      <c r="K379" t="n">
        <v>0</v>
      </c>
      <c r="L379" t="n">
        <v>0</v>
      </c>
      <c r="M379" t="n">
        <v>0</v>
      </c>
      <c r="N379" t="n">
        <v>0</v>
      </c>
      <c r="O379" t="n">
        <v>0</v>
      </c>
      <c r="P379" t="n">
        <v>0</v>
      </c>
      <c r="Q379" t="n">
        <v>0</v>
      </c>
      <c r="R379" s="2" t="inlineStr"/>
    </row>
    <row r="380" ht="15" customHeight="1">
      <c r="A380" t="inlineStr">
        <is>
          <t>A 4469-2026</t>
        </is>
      </c>
      <c r="B380" s="1" t="n">
        <v>46045.65662037037</v>
      </c>
      <c r="C380" s="1" t="n">
        <v>46059</v>
      </c>
      <c r="D380" t="inlineStr">
        <is>
          <t>ÖSTERGÖTLANDS LÄN</t>
        </is>
      </c>
      <c r="E380" t="inlineStr">
        <is>
          <t>LINKÖPING</t>
        </is>
      </c>
      <c r="F380" t="inlineStr">
        <is>
          <t>Övriga Aktiebolag</t>
        </is>
      </c>
      <c r="G380" t="n">
        <v>3.8</v>
      </c>
      <c r="H380" t="n">
        <v>0</v>
      </c>
      <c r="I380" t="n">
        <v>0</v>
      </c>
      <c r="J380" t="n">
        <v>0</v>
      </c>
      <c r="K380" t="n">
        <v>0</v>
      </c>
      <c r="L380" t="n">
        <v>0</v>
      </c>
      <c r="M380" t="n">
        <v>0</v>
      </c>
      <c r="N380" t="n">
        <v>0</v>
      </c>
      <c r="O380" t="n">
        <v>0</v>
      </c>
      <c r="P380" t="n">
        <v>0</v>
      </c>
      <c r="Q380" t="n">
        <v>0</v>
      </c>
      <c r="R380" s="2" t="inlineStr"/>
    </row>
    <row r="381" ht="15" customHeight="1">
      <c r="A381" t="inlineStr">
        <is>
          <t>A 56064-2022</t>
        </is>
      </c>
      <c r="B381" s="1" t="n">
        <v>44889.59107638889</v>
      </c>
      <c r="C381" s="1" t="n">
        <v>46059</v>
      </c>
      <c r="D381" t="inlineStr">
        <is>
          <t>ÖSTERGÖTLANDS LÄN</t>
        </is>
      </c>
      <c r="E381" t="inlineStr">
        <is>
          <t>LINKÖPING</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49455-2025</t>
        </is>
      </c>
      <c r="B382" s="1" t="n">
        <v>45938</v>
      </c>
      <c r="C382" s="1" t="n">
        <v>46059</v>
      </c>
      <c r="D382" t="inlineStr">
        <is>
          <t>ÖSTERGÖTLANDS LÄN</t>
        </is>
      </c>
      <c r="E382" t="inlineStr">
        <is>
          <t>LINKÖPING</t>
        </is>
      </c>
      <c r="F382" t="inlineStr">
        <is>
          <t>Övriga Aktiebolag</t>
        </is>
      </c>
      <c r="G382" t="n">
        <v>5.9</v>
      </c>
      <c r="H382" t="n">
        <v>0</v>
      </c>
      <c r="I382" t="n">
        <v>0</v>
      </c>
      <c r="J382" t="n">
        <v>0</v>
      </c>
      <c r="K382" t="n">
        <v>0</v>
      </c>
      <c r="L382" t="n">
        <v>0</v>
      </c>
      <c r="M382" t="n">
        <v>0</v>
      </c>
      <c r="N382" t="n">
        <v>0</v>
      </c>
      <c r="O382" t="n">
        <v>0</v>
      </c>
      <c r="P382" t="n">
        <v>0</v>
      </c>
      <c r="Q382" t="n">
        <v>0</v>
      </c>
      <c r="R382" s="2" t="inlineStr"/>
    </row>
    <row r="383" ht="15" customHeight="1">
      <c r="A383" t="inlineStr">
        <is>
          <t>A 40502-2024</t>
        </is>
      </c>
      <c r="B383" s="1" t="n">
        <v>45555.57263888889</v>
      </c>
      <c r="C383" s="1" t="n">
        <v>46059</v>
      </c>
      <c r="D383" t="inlineStr">
        <is>
          <t>ÖSTERGÖTLANDS LÄN</t>
        </is>
      </c>
      <c r="E383" t="inlineStr">
        <is>
          <t>LINKÖPING</t>
        </is>
      </c>
      <c r="F383" t="inlineStr">
        <is>
          <t>Allmännings- och besparingsskogar</t>
        </is>
      </c>
      <c r="G383" t="n">
        <v>17.5</v>
      </c>
      <c r="H383" t="n">
        <v>0</v>
      </c>
      <c r="I383" t="n">
        <v>0</v>
      </c>
      <c r="J383" t="n">
        <v>0</v>
      </c>
      <c r="K383" t="n">
        <v>0</v>
      </c>
      <c r="L383" t="n">
        <v>0</v>
      </c>
      <c r="M383" t="n">
        <v>0</v>
      </c>
      <c r="N383" t="n">
        <v>0</v>
      </c>
      <c r="O383" t="n">
        <v>0</v>
      </c>
      <c r="P383" t="n">
        <v>0</v>
      </c>
      <c r="Q383" t="n">
        <v>0</v>
      </c>
      <c r="R383" s="2" t="inlineStr"/>
    </row>
    <row r="384" ht="15" customHeight="1">
      <c r="A384" t="inlineStr">
        <is>
          <t>A 49652-2025</t>
        </is>
      </c>
      <c r="B384" s="1" t="n">
        <v>45938</v>
      </c>
      <c r="C384" s="1" t="n">
        <v>46059</v>
      </c>
      <c r="D384" t="inlineStr">
        <is>
          <t>ÖSTERGÖTLANDS LÄN</t>
        </is>
      </c>
      <c r="E384" t="inlineStr">
        <is>
          <t>LINKÖPING</t>
        </is>
      </c>
      <c r="F384" t="inlineStr">
        <is>
          <t>Övriga Aktiebolag</t>
        </is>
      </c>
      <c r="G384" t="n">
        <v>1.8</v>
      </c>
      <c r="H384" t="n">
        <v>0</v>
      </c>
      <c r="I384" t="n">
        <v>0</v>
      </c>
      <c r="J384" t="n">
        <v>0</v>
      </c>
      <c r="K384" t="n">
        <v>0</v>
      </c>
      <c r="L384" t="n">
        <v>0</v>
      </c>
      <c r="M384" t="n">
        <v>0</v>
      </c>
      <c r="N384" t="n">
        <v>0</v>
      </c>
      <c r="O384" t="n">
        <v>0</v>
      </c>
      <c r="P384" t="n">
        <v>0</v>
      </c>
      <c r="Q384" t="n">
        <v>0</v>
      </c>
      <c r="R384" s="2" t="inlineStr"/>
    </row>
    <row r="385" ht="15" customHeight="1">
      <c r="A385" t="inlineStr">
        <is>
          <t>A 49654-2025</t>
        </is>
      </c>
      <c r="B385" s="1" t="n">
        <v>45938</v>
      </c>
      <c r="C385" s="1" t="n">
        <v>46059</v>
      </c>
      <c r="D385" t="inlineStr">
        <is>
          <t>ÖSTERGÖTLANDS LÄN</t>
        </is>
      </c>
      <c r="E385" t="inlineStr">
        <is>
          <t>LINKÖPING</t>
        </is>
      </c>
      <c r="F385" t="inlineStr">
        <is>
          <t>Övriga Aktiebolag</t>
        </is>
      </c>
      <c r="G385" t="n">
        <v>3.1</v>
      </c>
      <c r="H385" t="n">
        <v>0</v>
      </c>
      <c r="I385" t="n">
        <v>0</v>
      </c>
      <c r="J385" t="n">
        <v>0</v>
      </c>
      <c r="K385" t="n">
        <v>0</v>
      </c>
      <c r="L385" t="n">
        <v>0</v>
      </c>
      <c r="M385" t="n">
        <v>0</v>
      </c>
      <c r="N385" t="n">
        <v>0</v>
      </c>
      <c r="O385" t="n">
        <v>0</v>
      </c>
      <c r="P385" t="n">
        <v>0</v>
      </c>
      <c r="Q385" t="n">
        <v>0</v>
      </c>
      <c r="R385" s="2" t="inlineStr"/>
    </row>
    <row r="386" ht="15" customHeight="1">
      <c r="A386" t="inlineStr">
        <is>
          <t>A 49619-2025</t>
        </is>
      </c>
      <c r="B386" s="1" t="n">
        <v>45938</v>
      </c>
      <c r="C386" s="1" t="n">
        <v>46059</v>
      </c>
      <c r="D386" t="inlineStr">
        <is>
          <t>ÖSTERGÖTLANDS LÄN</t>
        </is>
      </c>
      <c r="E386" t="inlineStr">
        <is>
          <t>LINKÖPING</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49629-2025</t>
        </is>
      </c>
      <c r="B387" s="1" t="n">
        <v>45938</v>
      </c>
      <c r="C387" s="1" t="n">
        <v>46059</v>
      </c>
      <c r="D387" t="inlineStr">
        <is>
          <t>ÖSTERGÖTLANDS LÄN</t>
        </is>
      </c>
      <c r="E387" t="inlineStr">
        <is>
          <t>LINKÖPING</t>
        </is>
      </c>
      <c r="F387" t="inlineStr">
        <is>
          <t>Övriga Aktiebolag</t>
        </is>
      </c>
      <c r="G387" t="n">
        <v>4.5</v>
      </c>
      <c r="H387" t="n">
        <v>0</v>
      </c>
      <c r="I387" t="n">
        <v>0</v>
      </c>
      <c r="J387" t="n">
        <v>0</v>
      </c>
      <c r="K387" t="n">
        <v>0</v>
      </c>
      <c r="L387" t="n">
        <v>0</v>
      </c>
      <c r="M387" t="n">
        <v>0</v>
      </c>
      <c r="N387" t="n">
        <v>0</v>
      </c>
      <c r="O387" t="n">
        <v>0</v>
      </c>
      <c r="P387" t="n">
        <v>0</v>
      </c>
      <c r="Q387" t="n">
        <v>0</v>
      </c>
      <c r="R387" s="2" t="inlineStr"/>
    </row>
    <row r="388" ht="15" customHeight="1">
      <c r="A388" t="inlineStr">
        <is>
          <t>A 49650-2025</t>
        </is>
      </c>
      <c r="B388" s="1" t="n">
        <v>45938</v>
      </c>
      <c r="C388" s="1" t="n">
        <v>46059</v>
      </c>
      <c r="D388" t="inlineStr">
        <is>
          <t>ÖSTERGÖTLANDS LÄN</t>
        </is>
      </c>
      <c r="E388" t="inlineStr">
        <is>
          <t>LINKÖPING</t>
        </is>
      </c>
      <c r="F388" t="inlineStr">
        <is>
          <t>Övriga Aktiebolag</t>
        </is>
      </c>
      <c r="G388" t="n">
        <v>1.5</v>
      </c>
      <c r="H388" t="n">
        <v>0</v>
      </c>
      <c r="I388" t="n">
        <v>0</v>
      </c>
      <c r="J388" t="n">
        <v>0</v>
      </c>
      <c r="K388" t="n">
        <v>0</v>
      </c>
      <c r="L388" t="n">
        <v>0</v>
      </c>
      <c r="M388" t="n">
        <v>0</v>
      </c>
      <c r="N388" t="n">
        <v>0</v>
      </c>
      <c r="O388" t="n">
        <v>0</v>
      </c>
      <c r="P388" t="n">
        <v>0</v>
      </c>
      <c r="Q388" t="n">
        <v>0</v>
      </c>
      <c r="R388" s="2" t="inlineStr"/>
    </row>
    <row r="389" ht="15" customHeight="1">
      <c r="A389" t="inlineStr">
        <is>
          <t>A 49632-2025</t>
        </is>
      </c>
      <c r="B389" s="1" t="n">
        <v>45938</v>
      </c>
      <c r="C389" s="1" t="n">
        <v>46059</v>
      </c>
      <c r="D389" t="inlineStr">
        <is>
          <t>ÖSTERGÖTLANDS LÄN</t>
        </is>
      </c>
      <c r="E389" t="inlineStr">
        <is>
          <t>LINKÖPING</t>
        </is>
      </c>
      <c r="F389" t="inlineStr">
        <is>
          <t>Övriga Aktiebolag</t>
        </is>
      </c>
      <c r="G389" t="n">
        <v>1.6</v>
      </c>
      <c r="H389" t="n">
        <v>0</v>
      </c>
      <c r="I389" t="n">
        <v>0</v>
      </c>
      <c r="J389" t="n">
        <v>0</v>
      </c>
      <c r="K389" t="n">
        <v>0</v>
      </c>
      <c r="L389" t="n">
        <v>0</v>
      </c>
      <c r="M389" t="n">
        <v>0</v>
      </c>
      <c r="N389" t="n">
        <v>0</v>
      </c>
      <c r="O389" t="n">
        <v>0</v>
      </c>
      <c r="P389" t="n">
        <v>0</v>
      </c>
      <c r="Q389" t="n">
        <v>0</v>
      </c>
      <c r="R389" s="2" t="inlineStr"/>
    </row>
    <row r="390" ht="15" customHeight="1">
      <c r="A390" t="inlineStr">
        <is>
          <t>A 49615-2025</t>
        </is>
      </c>
      <c r="B390" s="1" t="n">
        <v>45938</v>
      </c>
      <c r="C390" s="1" t="n">
        <v>46059</v>
      </c>
      <c r="D390" t="inlineStr">
        <is>
          <t>ÖSTERGÖTLANDS LÄN</t>
        </is>
      </c>
      <c r="E390" t="inlineStr">
        <is>
          <t>LINKÖPING</t>
        </is>
      </c>
      <c r="F390" t="inlineStr">
        <is>
          <t>Övriga Aktiebolag</t>
        </is>
      </c>
      <c r="G390" t="n">
        <v>1.6</v>
      </c>
      <c r="H390" t="n">
        <v>0</v>
      </c>
      <c r="I390" t="n">
        <v>0</v>
      </c>
      <c r="J390" t="n">
        <v>0</v>
      </c>
      <c r="K390" t="n">
        <v>0</v>
      </c>
      <c r="L390" t="n">
        <v>0</v>
      </c>
      <c r="M390" t="n">
        <v>0</v>
      </c>
      <c r="N390" t="n">
        <v>0</v>
      </c>
      <c r="O390" t="n">
        <v>0</v>
      </c>
      <c r="P390" t="n">
        <v>0</v>
      </c>
      <c r="Q390" t="n">
        <v>0</v>
      </c>
      <c r="R390" s="2" t="inlineStr"/>
    </row>
    <row r="391" ht="15" customHeight="1">
      <c r="A391" t="inlineStr">
        <is>
          <t>A 44155-2024</t>
        </is>
      </c>
      <c r="B391" s="1" t="n">
        <v>45572.68226851852</v>
      </c>
      <c r="C391" s="1" t="n">
        <v>46059</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15714-2024</t>
        </is>
      </c>
      <c r="B392" s="1" t="n">
        <v>45404.48288194444</v>
      </c>
      <c r="C392" s="1" t="n">
        <v>46059</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61899-2025</t>
        </is>
      </c>
      <c r="B393" s="1" t="n">
        <v>46003.46635416667</v>
      </c>
      <c r="C393" s="1" t="n">
        <v>46059</v>
      </c>
      <c r="D393" t="inlineStr">
        <is>
          <t>ÖSTERGÖTLANDS LÄN</t>
        </is>
      </c>
      <c r="E393" t="inlineStr">
        <is>
          <t>LINKÖPING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62791-2025</t>
        </is>
      </c>
      <c r="B394" s="1" t="n">
        <v>46008.63266203704</v>
      </c>
      <c r="C394" s="1" t="n">
        <v>46059</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5099-2026</t>
        </is>
      </c>
      <c r="B395" s="1" t="n">
        <v>46049.56158564815</v>
      </c>
      <c r="C395" s="1" t="n">
        <v>46059</v>
      </c>
      <c r="D395" t="inlineStr">
        <is>
          <t>ÖSTERGÖTLANDS LÄN</t>
        </is>
      </c>
      <c r="E395" t="inlineStr">
        <is>
          <t>LINKÖPING</t>
        </is>
      </c>
      <c r="G395" t="n">
        <v>5</v>
      </c>
      <c r="H395" t="n">
        <v>0</v>
      </c>
      <c r="I395" t="n">
        <v>0</v>
      </c>
      <c r="J395" t="n">
        <v>0</v>
      </c>
      <c r="K395" t="n">
        <v>0</v>
      </c>
      <c r="L395" t="n">
        <v>0</v>
      </c>
      <c r="M395" t="n">
        <v>0</v>
      </c>
      <c r="N395" t="n">
        <v>0</v>
      </c>
      <c r="O395" t="n">
        <v>0</v>
      </c>
      <c r="P395" t="n">
        <v>0</v>
      </c>
      <c r="Q395" t="n">
        <v>0</v>
      </c>
      <c r="R395" s="2" t="inlineStr"/>
    </row>
    <row r="396" ht="15" customHeight="1">
      <c r="A396" t="inlineStr">
        <is>
          <t>A 40983-2025</t>
        </is>
      </c>
      <c r="B396" s="1" t="n">
        <v>45898</v>
      </c>
      <c r="C396" s="1" t="n">
        <v>46059</v>
      </c>
      <c r="D396" t="inlineStr">
        <is>
          <t>ÖSTERGÖTLANDS LÄN</t>
        </is>
      </c>
      <c r="E396" t="inlineStr">
        <is>
          <t>LINKÖPING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42997-2021</t>
        </is>
      </c>
      <c r="B397" s="1" t="n">
        <v>44431.45556712963</v>
      </c>
      <c r="C397" s="1" t="n">
        <v>46059</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50056-2025</t>
        </is>
      </c>
      <c r="B398" s="1" t="n">
        <v>45941</v>
      </c>
      <c r="C398" s="1" t="n">
        <v>46059</v>
      </c>
      <c r="D398" t="inlineStr">
        <is>
          <t>ÖSTERGÖTLANDS LÄN</t>
        </is>
      </c>
      <c r="E398" t="inlineStr">
        <is>
          <t>LINKÖPING</t>
        </is>
      </c>
      <c r="G398" t="n">
        <v>0.3</v>
      </c>
      <c r="H398" t="n">
        <v>0</v>
      </c>
      <c r="I398" t="n">
        <v>0</v>
      </c>
      <c r="J398" t="n">
        <v>0</v>
      </c>
      <c r="K398" t="n">
        <v>0</v>
      </c>
      <c r="L398" t="n">
        <v>0</v>
      </c>
      <c r="M398" t="n">
        <v>0</v>
      </c>
      <c r="N398" t="n">
        <v>0</v>
      </c>
      <c r="O398" t="n">
        <v>0</v>
      </c>
      <c r="P398" t="n">
        <v>0</v>
      </c>
      <c r="Q398" t="n">
        <v>0</v>
      </c>
      <c r="R398" s="2" t="inlineStr"/>
    </row>
    <row r="399" ht="15" customHeight="1">
      <c r="A399" t="inlineStr">
        <is>
          <t>A 62686-2025</t>
        </is>
      </c>
      <c r="B399" s="1" t="n">
        <v>46008.46769675926</v>
      </c>
      <c r="C399" s="1" t="n">
        <v>46059</v>
      </c>
      <c r="D399" t="inlineStr">
        <is>
          <t>ÖSTERGÖTLANDS LÄN</t>
        </is>
      </c>
      <c r="E399" t="inlineStr">
        <is>
          <t>LINKÖPING</t>
        </is>
      </c>
      <c r="G399" t="n">
        <v>7.6</v>
      </c>
      <c r="H399" t="n">
        <v>0</v>
      </c>
      <c r="I399" t="n">
        <v>0</v>
      </c>
      <c r="J399" t="n">
        <v>0</v>
      </c>
      <c r="K399" t="n">
        <v>0</v>
      </c>
      <c r="L399" t="n">
        <v>0</v>
      </c>
      <c r="M399" t="n">
        <v>0</v>
      </c>
      <c r="N399" t="n">
        <v>0</v>
      </c>
      <c r="O399" t="n">
        <v>0</v>
      </c>
      <c r="P399" t="n">
        <v>0</v>
      </c>
      <c r="Q399" t="n">
        <v>0</v>
      </c>
      <c r="R399" s="2" t="inlineStr"/>
    </row>
    <row r="400" ht="15" customHeight="1">
      <c r="A400" t="inlineStr">
        <is>
          <t>A 50667-2025</t>
        </is>
      </c>
      <c r="B400" s="1" t="n">
        <v>45945</v>
      </c>
      <c r="C400" s="1" t="n">
        <v>46059</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62515-2025</t>
        </is>
      </c>
      <c r="B401" s="1" t="n">
        <v>46007.60548611111</v>
      </c>
      <c r="C401" s="1" t="n">
        <v>46059</v>
      </c>
      <c r="D401" t="inlineStr">
        <is>
          <t>ÖSTERGÖTLANDS LÄN</t>
        </is>
      </c>
      <c r="E401" t="inlineStr">
        <is>
          <t>LINKÖPING</t>
        </is>
      </c>
      <c r="G401" t="n">
        <v>2.2</v>
      </c>
      <c r="H401" t="n">
        <v>0</v>
      </c>
      <c r="I401" t="n">
        <v>0</v>
      </c>
      <c r="J401" t="n">
        <v>0</v>
      </c>
      <c r="K401" t="n">
        <v>0</v>
      </c>
      <c r="L401" t="n">
        <v>0</v>
      </c>
      <c r="M401" t="n">
        <v>0</v>
      </c>
      <c r="N401" t="n">
        <v>0</v>
      </c>
      <c r="O401" t="n">
        <v>0</v>
      </c>
      <c r="P401" t="n">
        <v>0</v>
      </c>
      <c r="Q401" t="n">
        <v>0</v>
      </c>
      <c r="R401" s="2" t="inlineStr"/>
    </row>
    <row r="402" ht="15" customHeight="1">
      <c r="A402" t="inlineStr">
        <is>
          <t>A 927-2026</t>
        </is>
      </c>
      <c r="B402" s="1" t="n">
        <v>46030.50560185185</v>
      </c>
      <c r="C402" s="1" t="n">
        <v>46059</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30481-2023</t>
        </is>
      </c>
      <c r="B403" s="1" t="n">
        <v>45111</v>
      </c>
      <c r="C403" s="1" t="n">
        <v>46059</v>
      </c>
      <c r="D403" t="inlineStr">
        <is>
          <t>ÖSTERGÖTLANDS LÄN</t>
        </is>
      </c>
      <c r="E403" t="inlineStr">
        <is>
          <t>LINKÖPING</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5545-2026</t>
        </is>
      </c>
      <c r="B404" s="1" t="n">
        <v>46050.70089120371</v>
      </c>
      <c r="C404" s="1" t="n">
        <v>46059</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63147-2025</t>
        </is>
      </c>
      <c r="B405" s="1" t="n">
        <v>46010.35003472222</v>
      </c>
      <c r="C405" s="1" t="n">
        <v>46059</v>
      </c>
      <c r="D405" t="inlineStr">
        <is>
          <t>ÖSTERGÖTLANDS LÄN</t>
        </is>
      </c>
      <c r="E405" t="inlineStr">
        <is>
          <t>LINKÖPING</t>
        </is>
      </c>
      <c r="G405" t="n">
        <v>4</v>
      </c>
      <c r="H405" t="n">
        <v>0</v>
      </c>
      <c r="I405" t="n">
        <v>0</v>
      </c>
      <c r="J405" t="n">
        <v>0</v>
      </c>
      <c r="K405" t="n">
        <v>0</v>
      </c>
      <c r="L405" t="n">
        <v>0</v>
      </c>
      <c r="M405" t="n">
        <v>0</v>
      </c>
      <c r="N405" t="n">
        <v>0</v>
      </c>
      <c r="O405" t="n">
        <v>0</v>
      </c>
      <c r="P405" t="n">
        <v>0</v>
      </c>
      <c r="Q405" t="n">
        <v>0</v>
      </c>
      <c r="R405" s="2" t="inlineStr"/>
    </row>
    <row r="406" ht="15" customHeight="1">
      <c r="A406" t="inlineStr">
        <is>
          <t>A 74160-2021</t>
        </is>
      </c>
      <c r="B406" s="1" t="n">
        <v>44558</v>
      </c>
      <c r="C406" s="1" t="n">
        <v>46059</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63559-2023</t>
        </is>
      </c>
      <c r="B407" s="1" t="n">
        <v>45275.35924768518</v>
      </c>
      <c r="C407" s="1" t="n">
        <v>46059</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14028-2024</t>
        </is>
      </c>
      <c r="B408" s="1" t="n">
        <v>45392</v>
      </c>
      <c r="C408" s="1" t="n">
        <v>46059</v>
      </c>
      <c r="D408" t="inlineStr">
        <is>
          <t>ÖSTERGÖTLANDS LÄN</t>
        </is>
      </c>
      <c r="E408" t="inlineStr">
        <is>
          <t>LINKÖPING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51802-2025</t>
        </is>
      </c>
      <c r="B409" s="1" t="n">
        <v>45950</v>
      </c>
      <c r="C409" s="1" t="n">
        <v>46059</v>
      </c>
      <c r="D409" t="inlineStr">
        <is>
          <t>ÖSTERGÖTLANDS LÄN</t>
        </is>
      </c>
      <c r="E409" t="inlineStr">
        <is>
          <t>LINKÖPING</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63144-2025</t>
        </is>
      </c>
      <c r="B410" s="1" t="n">
        <v>46010.34716435185</v>
      </c>
      <c r="C410" s="1" t="n">
        <v>46059</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14667-2024</t>
        </is>
      </c>
      <c r="B411" s="1" t="n">
        <v>45397.42005787037</v>
      </c>
      <c r="C411" s="1" t="n">
        <v>46059</v>
      </c>
      <c r="D411" t="inlineStr">
        <is>
          <t>ÖSTERGÖTLANDS LÄN</t>
        </is>
      </c>
      <c r="E411" t="inlineStr">
        <is>
          <t>LINKÖPING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2697-2023</t>
        </is>
      </c>
      <c r="B412" s="1" t="n">
        <v>44944</v>
      </c>
      <c r="C412" s="1" t="n">
        <v>46059</v>
      </c>
      <c r="D412" t="inlineStr">
        <is>
          <t>ÖSTERGÖTLANDS LÄN</t>
        </is>
      </c>
      <c r="E412" t="inlineStr">
        <is>
          <t>LINKÖPING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52111-2025</t>
        </is>
      </c>
      <c r="B413" s="1" t="n">
        <v>45952.69527777778</v>
      </c>
      <c r="C413" s="1" t="n">
        <v>46059</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53641-2023</t>
        </is>
      </c>
      <c r="B414" s="1" t="n">
        <v>45230</v>
      </c>
      <c r="C414" s="1" t="n">
        <v>46059</v>
      </c>
      <c r="D414" t="inlineStr">
        <is>
          <t>ÖSTERGÖTLANDS LÄN</t>
        </is>
      </c>
      <c r="E414" t="inlineStr">
        <is>
          <t>LINKÖPING</t>
        </is>
      </c>
      <c r="G414" t="n">
        <v>1.7</v>
      </c>
      <c r="H414" t="n">
        <v>0</v>
      </c>
      <c r="I414" t="n">
        <v>0</v>
      </c>
      <c r="J414" t="n">
        <v>0</v>
      </c>
      <c r="K414" t="n">
        <v>0</v>
      </c>
      <c r="L414" t="n">
        <v>0</v>
      </c>
      <c r="M414" t="n">
        <v>0</v>
      </c>
      <c r="N414" t="n">
        <v>0</v>
      </c>
      <c r="O414" t="n">
        <v>0</v>
      </c>
      <c r="P414" t="n">
        <v>0</v>
      </c>
      <c r="Q414" t="n">
        <v>0</v>
      </c>
      <c r="R414" s="2" t="inlineStr"/>
    </row>
    <row r="415" ht="15" customHeight="1">
      <c r="A415" t="inlineStr">
        <is>
          <t>A 48707-2023</t>
        </is>
      </c>
      <c r="B415" s="1" t="n">
        <v>45202</v>
      </c>
      <c r="C415" s="1" t="n">
        <v>46059</v>
      </c>
      <c r="D415" t="inlineStr">
        <is>
          <t>ÖSTERGÖTLANDS LÄN</t>
        </is>
      </c>
      <c r="E415" t="inlineStr">
        <is>
          <t>LINKÖPING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53411-2023</t>
        </is>
      </c>
      <c r="B416" s="1" t="n">
        <v>45229.81049768518</v>
      </c>
      <c r="C416" s="1" t="n">
        <v>46059</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56741-2023</t>
        </is>
      </c>
      <c r="B417" s="1" t="n">
        <v>45244</v>
      </c>
      <c r="C417" s="1" t="n">
        <v>46059</v>
      </c>
      <c r="D417" t="inlineStr">
        <is>
          <t>ÖSTERGÖTLANDS LÄN</t>
        </is>
      </c>
      <c r="E417" t="inlineStr">
        <is>
          <t>LINKÖPING</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56792-2023</t>
        </is>
      </c>
      <c r="B418" s="1" t="n">
        <v>45244</v>
      </c>
      <c r="C418" s="1" t="n">
        <v>46059</v>
      </c>
      <c r="D418" t="inlineStr">
        <is>
          <t>ÖSTERGÖTLANDS LÄN</t>
        </is>
      </c>
      <c r="E418" t="inlineStr">
        <is>
          <t>LINKÖPING</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3007-2023</t>
        </is>
      </c>
      <c r="B419" s="1" t="n">
        <v>44945</v>
      </c>
      <c r="C419" s="1" t="n">
        <v>46059</v>
      </c>
      <c r="D419" t="inlineStr">
        <is>
          <t>ÖSTERGÖTLANDS LÄN</t>
        </is>
      </c>
      <c r="E419" t="inlineStr">
        <is>
          <t>LINKÖPING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40338-2024</t>
        </is>
      </c>
      <c r="B420" s="1" t="n">
        <v>45555.32940972222</v>
      </c>
      <c r="C420" s="1" t="n">
        <v>46059</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3013-2023</t>
        </is>
      </c>
      <c r="B421" s="1" t="n">
        <v>44945.8092824074</v>
      </c>
      <c r="C421" s="1" t="n">
        <v>46059</v>
      </c>
      <c r="D421" t="inlineStr">
        <is>
          <t>ÖSTERGÖTLANDS LÄN</t>
        </is>
      </c>
      <c r="E421" t="inlineStr">
        <is>
          <t>LINKÖPING</t>
        </is>
      </c>
      <c r="G421" t="n">
        <v>5.2</v>
      </c>
      <c r="H421" t="n">
        <v>0</v>
      </c>
      <c r="I421" t="n">
        <v>0</v>
      </c>
      <c r="J421" t="n">
        <v>0</v>
      </c>
      <c r="K421" t="n">
        <v>0</v>
      </c>
      <c r="L421" t="n">
        <v>0</v>
      </c>
      <c r="M421" t="n">
        <v>0</v>
      </c>
      <c r="N421" t="n">
        <v>0</v>
      </c>
      <c r="O421" t="n">
        <v>0</v>
      </c>
      <c r="P421" t="n">
        <v>0</v>
      </c>
      <c r="Q421" t="n">
        <v>0</v>
      </c>
      <c r="R421" s="2" t="inlineStr"/>
    </row>
    <row r="422" ht="15" customHeight="1">
      <c r="A422" t="inlineStr">
        <is>
          <t>A 55945-2024</t>
        </is>
      </c>
      <c r="B422" s="1" t="n">
        <v>45623.61754629629</v>
      </c>
      <c r="C422" s="1" t="n">
        <v>46059</v>
      </c>
      <c r="D422" t="inlineStr">
        <is>
          <t>ÖSTERGÖTLANDS LÄN</t>
        </is>
      </c>
      <c r="E422" t="inlineStr">
        <is>
          <t>LINKÖPING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1993-2023</t>
        </is>
      </c>
      <c r="B423" s="1" t="n">
        <v>44939</v>
      </c>
      <c r="C423" s="1" t="n">
        <v>46059</v>
      </c>
      <c r="D423" t="inlineStr">
        <is>
          <t>ÖSTERGÖTLANDS LÄN</t>
        </is>
      </c>
      <c r="E423" t="inlineStr">
        <is>
          <t>LINKÖPING</t>
        </is>
      </c>
      <c r="G423" t="n">
        <v>3.7</v>
      </c>
      <c r="H423" t="n">
        <v>0</v>
      </c>
      <c r="I423" t="n">
        <v>0</v>
      </c>
      <c r="J423" t="n">
        <v>0</v>
      </c>
      <c r="K423" t="n">
        <v>0</v>
      </c>
      <c r="L423" t="n">
        <v>0</v>
      </c>
      <c r="M423" t="n">
        <v>0</v>
      </c>
      <c r="N423" t="n">
        <v>0</v>
      </c>
      <c r="O423" t="n">
        <v>0</v>
      </c>
      <c r="P423" t="n">
        <v>0</v>
      </c>
      <c r="Q423" t="n">
        <v>0</v>
      </c>
      <c r="R423" s="2" t="inlineStr"/>
    </row>
    <row r="424" ht="15" customHeight="1">
      <c r="A424" t="inlineStr">
        <is>
          <t>A 2618-2023</t>
        </is>
      </c>
      <c r="B424" s="1" t="n">
        <v>44944.35847222222</v>
      </c>
      <c r="C424" s="1" t="n">
        <v>46059</v>
      </c>
      <c r="D424" t="inlineStr">
        <is>
          <t>ÖSTERGÖTLANDS LÄN</t>
        </is>
      </c>
      <c r="E424" t="inlineStr">
        <is>
          <t>LINKÖPING</t>
        </is>
      </c>
      <c r="G424" t="n">
        <v>4.3</v>
      </c>
      <c r="H424" t="n">
        <v>0</v>
      </c>
      <c r="I424" t="n">
        <v>0</v>
      </c>
      <c r="J424" t="n">
        <v>0</v>
      </c>
      <c r="K424" t="n">
        <v>0</v>
      </c>
      <c r="L424" t="n">
        <v>0</v>
      </c>
      <c r="M424" t="n">
        <v>0</v>
      </c>
      <c r="N424" t="n">
        <v>0</v>
      </c>
      <c r="O424" t="n">
        <v>0</v>
      </c>
      <c r="P424" t="n">
        <v>0</v>
      </c>
      <c r="Q424" t="n">
        <v>0</v>
      </c>
      <c r="R424" s="2" t="inlineStr"/>
    </row>
    <row r="425" ht="15" customHeight="1">
      <c r="A425" t="inlineStr">
        <is>
          <t>A 10203-2023</t>
        </is>
      </c>
      <c r="B425" s="1" t="n">
        <v>44986.55711805556</v>
      </c>
      <c r="C425" s="1" t="n">
        <v>46059</v>
      </c>
      <c r="D425" t="inlineStr">
        <is>
          <t>ÖSTERGÖTLANDS LÄN</t>
        </is>
      </c>
      <c r="E425" t="inlineStr">
        <is>
          <t>LINKÖPING</t>
        </is>
      </c>
      <c r="G425" t="n">
        <v>3.3</v>
      </c>
      <c r="H425" t="n">
        <v>0</v>
      </c>
      <c r="I425" t="n">
        <v>0</v>
      </c>
      <c r="J425" t="n">
        <v>0</v>
      </c>
      <c r="K425" t="n">
        <v>0</v>
      </c>
      <c r="L425" t="n">
        <v>0</v>
      </c>
      <c r="M425" t="n">
        <v>0</v>
      </c>
      <c r="N425" t="n">
        <v>0</v>
      </c>
      <c r="O425" t="n">
        <v>0</v>
      </c>
      <c r="P425" t="n">
        <v>0</v>
      </c>
      <c r="Q425" t="n">
        <v>0</v>
      </c>
      <c r="R425" s="2" t="inlineStr"/>
    </row>
    <row r="426" ht="15" customHeight="1">
      <c r="A426" t="inlineStr">
        <is>
          <t>A 34889-2023</t>
        </is>
      </c>
      <c r="B426" s="1" t="n">
        <v>45140</v>
      </c>
      <c r="C426" s="1" t="n">
        <v>46059</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34928-2023</t>
        </is>
      </c>
      <c r="B427" s="1" t="n">
        <v>45142</v>
      </c>
      <c r="C427" s="1" t="n">
        <v>46059</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6384-2026</t>
        </is>
      </c>
      <c r="B428" s="1" t="n">
        <v>46055.63732638889</v>
      </c>
      <c r="C428" s="1" t="n">
        <v>46059</v>
      </c>
      <c r="D428" t="inlineStr">
        <is>
          <t>ÖSTERGÖTLANDS LÄN</t>
        </is>
      </c>
      <c r="E428" t="inlineStr">
        <is>
          <t>LINKÖPING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52800-2025</t>
        </is>
      </c>
      <c r="B429" s="1" t="n">
        <v>45957.44152777778</v>
      </c>
      <c r="C429" s="1" t="n">
        <v>46059</v>
      </c>
      <c r="D429" t="inlineStr">
        <is>
          <t>ÖSTERGÖTLANDS LÄN</t>
        </is>
      </c>
      <c r="E429" t="inlineStr">
        <is>
          <t>LINKÖPING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52802-2025</t>
        </is>
      </c>
      <c r="B430" s="1" t="n">
        <v>45957.44295138889</v>
      </c>
      <c r="C430" s="1" t="n">
        <v>46059</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1268-2023</t>
        </is>
      </c>
      <c r="B431" s="1" t="n">
        <v>44936</v>
      </c>
      <c r="C431" s="1" t="n">
        <v>46059</v>
      </c>
      <c r="D431" t="inlineStr">
        <is>
          <t>ÖSTERGÖTLANDS LÄN</t>
        </is>
      </c>
      <c r="E431" t="inlineStr">
        <is>
          <t>LINKÖPING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6164-2026</t>
        </is>
      </c>
      <c r="B432" s="1" t="n">
        <v>46055.32596064815</v>
      </c>
      <c r="C432" s="1" t="n">
        <v>46059</v>
      </c>
      <c r="D432" t="inlineStr">
        <is>
          <t>ÖSTERGÖTLANDS LÄN</t>
        </is>
      </c>
      <c r="E432" t="inlineStr">
        <is>
          <t>LINKÖPING</t>
        </is>
      </c>
      <c r="G432" t="n">
        <v>0.4</v>
      </c>
      <c r="H432" t="n">
        <v>0</v>
      </c>
      <c r="I432" t="n">
        <v>0</v>
      </c>
      <c r="J432" t="n">
        <v>0</v>
      </c>
      <c r="K432" t="n">
        <v>0</v>
      </c>
      <c r="L432" t="n">
        <v>0</v>
      </c>
      <c r="M432" t="n">
        <v>0</v>
      </c>
      <c r="N432" t="n">
        <v>0</v>
      </c>
      <c r="O432" t="n">
        <v>0</v>
      </c>
      <c r="P432" t="n">
        <v>0</v>
      </c>
      <c r="Q432" t="n">
        <v>0</v>
      </c>
      <c r="R432" s="2" t="inlineStr"/>
    </row>
    <row r="433" ht="15" customHeight="1">
      <c r="A433" t="inlineStr">
        <is>
          <t>A 52740-2025</t>
        </is>
      </c>
      <c r="B433" s="1" t="n">
        <v>45957.37747685185</v>
      </c>
      <c r="C433" s="1" t="n">
        <v>46059</v>
      </c>
      <c r="D433" t="inlineStr">
        <is>
          <t>ÖSTERGÖTLANDS LÄN</t>
        </is>
      </c>
      <c r="E433" t="inlineStr">
        <is>
          <t>LINKÖPING</t>
        </is>
      </c>
      <c r="G433" t="n">
        <v>3.7</v>
      </c>
      <c r="H433" t="n">
        <v>0</v>
      </c>
      <c r="I433" t="n">
        <v>0</v>
      </c>
      <c r="J433" t="n">
        <v>0</v>
      </c>
      <c r="K433" t="n">
        <v>0</v>
      </c>
      <c r="L433" t="n">
        <v>0</v>
      </c>
      <c r="M433" t="n">
        <v>0</v>
      </c>
      <c r="N433" t="n">
        <v>0</v>
      </c>
      <c r="O433" t="n">
        <v>0</v>
      </c>
      <c r="P433" t="n">
        <v>0</v>
      </c>
      <c r="Q433" t="n">
        <v>0</v>
      </c>
      <c r="R433" s="2" t="inlineStr"/>
    </row>
    <row r="434" ht="15" customHeight="1">
      <c r="A434" t="inlineStr">
        <is>
          <t>A 52743-2025</t>
        </is>
      </c>
      <c r="B434" s="1" t="n">
        <v>45957.38039351852</v>
      </c>
      <c r="C434" s="1" t="n">
        <v>46059</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52807-2025</t>
        </is>
      </c>
      <c r="B435" s="1" t="n">
        <v>45957.44837962963</v>
      </c>
      <c r="C435" s="1" t="n">
        <v>46059</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49747-2024</t>
        </is>
      </c>
      <c r="B436" s="1" t="n">
        <v>45596</v>
      </c>
      <c r="C436" s="1" t="n">
        <v>46059</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23491-2024</t>
        </is>
      </c>
      <c r="B437" s="1" t="n">
        <v>45453</v>
      </c>
      <c r="C437" s="1" t="n">
        <v>46059</v>
      </c>
      <c r="D437" t="inlineStr">
        <is>
          <t>ÖSTERGÖTLANDS LÄN</t>
        </is>
      </c>
      <c r="E437" t="inlineStr">
        <is>
          <t>LINKÖPING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31725-2022</t>
        </is>
      </c>
      <c r="B438" s="1" t="n">
        <v>44776.48541666667</v>
      </c>
      <c r="C438" s="1" t="n">
        <v>46059</v>
      </c>
      <c r="D438" t="inlineStr">
        <is>
          <t>ÖSTERGÖTLANDS LÄN</t>
        </is>
      </c>
      <c r="E438" t="inlineStr">
        <is>
          <t>LINKÖPING</t>
        </is>
      </c>
      <c r="G438" t="n">
        <v>2.6</v>
      </c>
      <c r="H438" t="n">
        <v>0</v>
      </c>
      <c r="I438" t="n">
        <v>0</v>
      </c>
      <c r="J438" t="n">
        <v>0</v>
      </c>
      <c r="K438" t="n">
        <v>0</v>
      </c>
      <c r="L438" t="n">
        <v>0</v>
      </c>
      <c r="M438" t="n">
        <v>0</v>
      </c>
      <c r="N438" t="n">
        <v>0</v>
      </c>
      <c r="O438" t="n">
        <v>0</v>
      </c>
      <c r="P438" t="n">
        <v>0</v>
      </c>
      <c r="Q438" t="n">
        <v>0</v>
      </c>
      <c r="R438" s="2" t="inlineStr"/>
    </row>
    <row r="439" ht="15" customHeight="1">
      <c r="A439" t="inlineStr">
        <is>
          <t>A 7133-2026</t>
        </is>
      </c>
      <c r="B439" s="1" t="n">
        <v>46057</v>
      </c>
      <c r="C439" s="1" t="n">
        <v>46059</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2389-2023</t>
        </is>
      </c>
      <c r="B440" s="1" t="n">
        <v>44942</v>
      </c>
      <c r="C440" s="1" t="n">
        <v>46059</v>
      </c>
      <c r="D440" t="inlineStr">
        <is>
          <t>ÖSTERGÖTLANDS LÄN</t>
        </is>
      </c>
      <c r="E440" t="inlineStr">
        <is>
          <t>LINKÖPING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3627-2023</t>
        </is>
      </c>
      <c r="B441" s="1" t="n">
        <v>44950.64782407408</v>
      </c>
      <c r="C441" s="1" t="n">
        <v>46059</v>
      </c>
      <c r="D441" t="inlineStr">
        <is>
          <t>ÖSTERGÖTLANDS LÄN</t>
        </is>
      </c>
      <c r="E441" t="inlineStr">
        <is>
          <t>LINKÖPING</t>
        </is>
      </c>
      <c r="G441" t="n">
        <v>3.1</v>
      </c>
      <c r="H441" t="n">
        <v>0</v>
      </c>
      <c r="I441" t="n">
        <v>0</v>
      </c>
      <c r="J441" t="n">
        <v>0</v>
      </c>
      <c r="K441" t="n">
        <v>0</v>
      </c>
      <c r="L441" t="n">
        <v>0</v>
      </c>
      <c r="M441" t="n">
        <v>0</v>
      </c>
      <c r="N441" t="n">
        <v>0</v>
      </c>
      <c r="O441" t="n">
        <v>0</v>
      </c>
      <c r="P441" t="n">
        <v>0</v>
      </c>
      <c r="Q441" t="n">
        <v>0</v>
      </c>
      <c r="R441" s="2" t="inlineStr"/>
    </row>
    <row r="442" ht="15" customHeight="1">
      <c r="A442" t="inlineStr">
        <is>
          <t>A 62687-2023</t>
        </is>
      </c>
      <c r="B442" s="1" t="n">
        <v>45271</v>
      </c>
      <c r="C442" s="1" t="n">
        <v>46059</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29309-2024</t>
        </is>
      </c>
      <c r="B443" s="1" t="n">
        <v>45483</v>
      </c>
      <c r="C443" s="1" t="n">
        <v>46059</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29411-2023</t>
        </is>
      </c>
      <c r="B444" s="1" t="n">
        <v>45106.46225694445</v>
      </c>
      <c r="C444" s="1" t="n">
        <v>46059</v>
      </c>
      <c r="D444" t="inlineStr">
        <is>
          <t>ÖSTERGÖTLANDS LÄN</t>
        </is>
      </c>
      <c r="E444" t="inlineStr">
        <is>
          <t>LINKÖPING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29412-2023</t>
        </is>
      </c>
      <c r="B445" s="1" t="n">
        <v>45106.46359953703</v>
      </c>
      <c r="C445" s="1" t="n">
        <v>46059</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29413-2023</t>
        </is>
      </c>
      <c r="B446" s="1" t="n">
        <v>45106.46465277778</v>
      </c>
      <c r="C446" s="1" t="n">
        <v>46059</v>
      </c>
      <c r="D446" t="inlineStr">
        <is>
          <t>ÖSTERGÖTLANDS LÄN</t>
        </is>
      </c>
      <c r="E446" t="inlineStr">
        <is>
          <t>LINKÖPING</t>
        </is>
      </c>
      <c r="G446" t="n">
        <v>8</v>
      </c>
      <c r="H446" t="n">
        <v>0</v>
      </c>
      <c r="I446" t="n">
        <v>0</v>
      </c>
      <c r="J446" t="n">
        <v>0</v>
      </c>
      <c r="K446" t="n">
        <v>0</v>
      </c>
      <c r="L446" t="n">
        <v>0</v>
      </c>
      <c r="M446" t="n">
        <v>0</v>
      </c>
      <c r="N446" t="n">
        <v>0</v>
      </c>
      <c r="O446" t="n">
        <v>0</v>
      </c>
      <c r="P446" t="n">
        <v>0</v>
      </c>
      <c r="Q446" t="n">
        <v>0</v>
      </c>
      <c r="R446" s="2" t="inlineStr"/>
    </row>
    <row r="447" ht="15" customHeight="1">
      <c r="A447" t="inlineStr">
        <is>
          <t>A 18891-2022</t>
        </is>
      </c>
      <c r="B447" s="1" t="n">
        <v>44690</v>
      </c>
      <c r="C447" s="1" t="n">
        <v>46059</v>
      </c>
      <c r="D447" t="inlineStr">
        <is>
          <t>ÖSTERGÖTLANDS LÄN</t>
        </is>
      </c>
      <c r="E447" t="inlineStr">
        <is>
          <t>LINKÖPING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24151-2024</t>
        </is>
      </c>
      <c r="B448" s="1" t="n">
        <v>45456.67717592593</v>
      </c>
      <c r="C448" s="1" t="n">
        <v>46059</v>
      </c>
      <c r="D448" t="inlineStr">
        <is>
          <t>ÖSTERGÖTLANDS LÄN</t>
        </is>
      </c>
      <c r="E448" t="inlineStr">
        <is>
          <t>LINKÖPING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26620-2023</t>
        </is>
      </c>
      <c r="B449" s="1" t="n">
        <v>45092.70390046296</v>
      </c>
      <c r="C449" s="1" t="n">
        <v>46059</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54333-2025</t>
        </is>
      </c>
      <c r="B450" s="1" t="n">
        <v>45965.35090277778</v>
      </c>
      <c r="C450" s="1" t="n">
        <v>46059</v>
      </c>
      <c r="D450" t="inlineStr">
        <is>
          <t>ÖSTERGÖTLANDS LÄN</t>
        </is>
      </c>
      <c r="E450" t="inlineStr">
        <is>
          <t>LINKÖPING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56180-2024</t>
        </is>
      </c>
      <c r="B451" s="1" t="n">
        <v>45624.56611111111</v>
      </c>
      <c r="C451" s="1" t="n">
        <v>46059</v>
      </c>
      <c r="D451" t="inlineStr">
        <is>
          <t>ÖSTERGÖTLANDS LÄN</t>
        </is>
      </c>
      <c r="E451" t="inlineStr">
        <is>
          <t>LINKÖPING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54332-2025</t>
        </is>
      </c>
      <c r="B452" s="1" t="n">
        <v>45965.34915509259</v>
      </c>
      <c r="C452" s="1" t="n">
        <v>46059</v>
      </c>
      <c r="D452" t="inlineStr">
        <is>
          <t>ÖSTERGÖTLANDS LÄN</t>
        </is>
      </c>
      <c r="E452" t="inlineStr">
        <is>
          <t>LINKÖPING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938-2023</t>
        </is>
      </c>
      <c r="B453" s="1" t="n">
        <v>44933</v>
      </c>
      <c r="C453" s="1" t="n">
        <v>46059</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25418-2023</t>
        </is>
      </c>
      <c r="B454" s="1" t="n">
        <v>45089</v>
      </c>
      <c r="C454" s="1" t="n">
        <v>46059</v>
      </c>
      <c r="D454" t="inlineStr">
        <is>
          <t>ÖSTERGÖTLANDS LÄN</t>
        </is>
      </c>
      <c r="E454" t="inlineStr">
        <is>
          <t>LINKÖPING</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54329-2025</t>
        </is>
      </c>
      <c r="B455" s="1" t="n">
        <v>45965.34706018519</v>
      </c>
      <c r="C455" s="1" t="n">
        <v>46059</v>
      </c>
      <c r="D455" t="inlineStr">
        <is>
          <t>ÖSTERGÖTLANDS LÄN</t>
        </is>
      </c>
      <c r="E455" t="inlineStr">
        <is>
          <t>LINKÖPING</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60007-2022</t>
        </is>
      </c>
      <c r="B456" s="1" t="n">
        <v>44909.47282407407</v>
      </c>
      <c r="C456" s="1" t="n">
        <v>46059</v>
      </c>
      <c r="D456" t="inlineStr">
        <is>
          <t>ÖSTERGÖTLANDS LÄN</t>
        </is>
      </c>
      <c r="E456" t="inlineStr">
        <is>
          <t>LINKÖPING</t>
        </is>
      </c>
      <c r="G456" t="n">
        <v>1.2</v>
      </c>
      <c r="H456" t="n">
        <v>0</v>
      </c>
      <c r="I456" t="n">
        <v>0</v>
      </c>
      <c r="J456" t="n">
        <v>0</v>
      </c>
      <c r="K456" t="n">
        <v>0</v>
      </c>
      <c r="L456" t="n">
        <v>0</v>
      </c>
      <c r="M456" t="n">
        <v>0</v>
      </c>
      <c r="N456" t="n">
        <v>0</v>
      </c>
      <c r="O456" t="n">
        <v>0</v>
      </c>
      <c r="P456" t="n">
        <v>0</v>
      </c>
      <c r="Q456" t="n">
        <v>0</v>
      </c>
      <c r="R456" s="2" t="inlineStr"/>
    </row>
    <row r="457" ht="15" customHeight="1">
      <c r="A457" t="inlineStr">
        <is>
          <t>A 63845-2021</t>
        </is>
      </c>
      <c r="B457" s="1" t="n">
        <v>44509</v>
      </c>
      <c r="C457" s="1" t="n">
        <v>46059</v>
      </c>
      <c r="D457" t="inlineStr">
        <is>
          <t>ÖSTERGÖTLANDS LÄN</t>
        </is>
      </c>
      <c r="E457" t="inlineStr">
        <is>
          <t>LINKÖPING</t>
        </is>
      </c>
      <c r="G457" t="n">
        <v>5</v>
      </c>
      <c r="H457" t="n">
        <v>0</v>
      </c>
      <c r="I457" t="n">
        <v>0</v>
      </c>
      <c r="J457" t="n">
        <v>0</v>
      </c>
      <c r="K457" t="n">
        <v>0</v>
      </c>
      <c r="L457" t="n">
        <v>0</v>
      </c>
      <c r="M457" t="n">
        <v>0</v>
      </c>
      <c r="N457" t="n">
        <v>0</v>
      </c>
      <c r="O457" t="n">
        <v>0</v>
      </c>
      <c r="P457" t="n">
        <v>0</v>
      </c>
      <c r="Q457" t="n">
        <v>0</v>
      </c>
      <c r="R457" s="2" t="inlineStr"/>
    </row>
    <row r="458" ht="15" customHeight="1">
      <c r="A458" t="inlineStr">
        <is>
          <t>A 11601-2023</t>
        </is>
      </c>
      <c r="B458" s="1" t="n">
        <v>44994</v>
      </c>
      <c r="C458" s="1" t="n">
        <v>46059</v>
      </c>
      <c r="D458" t="inlineStr">
        <is>
          <t>ÖSTERGÖTLANDS LÄN</t>
        </is>
      </c>
      <c r="E458" t="inlineStr">
        <is>
          <t>LINKÖPING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55109-2025</t>
        </is>
      </c>
      <c r="B459" s="1" t="n">
        <v>45968.37731481482</v>
      </c>
      <c r="C459" s="1" t="n">
        <v>46059</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17785-2023</t>
        </is>
      </c>
      <c r="B460" s="1" t="n">
        <v>45037.55094907407</v>
      </c>
      <c r="C460" s="1" t="n">
        <v>46059</v>
      </c>
      <c r="D460" t="inlineStr">
        <is>
          <t>ÖSTERGÖTLANDS LÄN</t>
        </is>
      </c>
      <c r="E460" t="inlineStr">
        <is>
          <t>LINKÖPING</t>
        </is>
      </c>
      <c r="F460" t="inlineStr">
        <is>
          <t>Allmännings- och besparingsskogar</t>
        </is>
      </c>
      <c r="G460" t="n">
        <v>3.1</v>
      </c>
      <c r="H460" t="n">
        <v>0</v>
      </c>
      <c r="I460" t="n">
        <v>0</v>
      </c>
      <c r="J460" t="n">
        <v>0</v>
      </c>
      <c r="K460" t="n">
        <v>0</v>
      </c>
      <c r="L460" t="n">
        <v>0</v>
      </c>
      <c r="M460" t="n">
        <v>0</v>
      </c>
      <c r="N460" t="n">
        <v>0</v>
      </c>
      <c r="O460" t="n">
        <v>0</v>
      </c>
      <c r="P460" t="n">
        <v>0</v>
      </c>
      <c r="Q460" t="n">
        <v>0</v>
      </c>
      <c r="R460" s="2" t="inlineStr"/>
    </row>
    <row r="461" ht="15" customHeight="1">
      <c r="A461" t="inlineStr">
        <is>
          <t>A 32346-2023</t>
        </is>
      </c>
      <c r="B461" s="1" t="n">
        <v>45120</v>
      </c>
      <c r="C461" s="1" t="n">
        <v>46059</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55165-2025</t>
        </is>
      </c>
      <c r="B462" s="1" t="n">
        <v>45968.48194444444</v>
      </c>
      <c r="C462" s="1" t="n">
        <v>46059</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55102-2025</t>
        </is>
      </c>
      <c r="B463" s="1" t="n">
        <v>45968.35410879629</v>
      </c>
      <c r="C463" s="1" t="n">
        <v>46059</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55132-2025</t>
        </is>
      </c>
      <c r="B464" s="1" t="n">
        <v>45968.41912037037</v>
      </c>
      <c r="C464" s="1" t="n">
        <v>46059</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1627-2023</t>
        </is>
      </c>
      <c r="B465" s="1" t="n">
        <v>44937</v>
      </c>
      <c r="C465" s="1" t="n">
        <v>46059</v>
      </c>
      <c r="D465" t="inlineStr">
        <is>
          <t>ÖSTERGÖTLANDS LÄN</t>
        </is>
      </c>
      <c r="E465" t="inlineStr">
        <is>
          <t>LINKÖPING</t>
        </is>
      </c>
      <c r="G465" t="n">
        <v>10.8</v>
      </c>
      <c r="H465" t="n">
        <v>0</v>
      </c>
      <c r="I465" t="n">
        <v>0</v>
      </c>
      <c r="J465" t="n">
        <v>0</v>
      </c>
      <c r="K465" t="n">
        <v>0</v>
      </c>
      <c r="L465" t="n">
        <v>0</v>
      </c>
      <c r="M465" t="n">
        <v>0</v>
      </c>
      <c r="N465" t="n">
        <v>0</v>
      </c>
      <c r="O465" t="n">
        <v>0</v>
      </c>
      <c r="P465" t="n">
        <v>0</v>
      </c>
      <c r="Q465" t="n">
        <v>0</v>
      </c>
      <c r="R465" s="2" t="inlineStr"/>
    </row>
    <row r="466" ht="15" customHeight="1">
      <c r="A466" t="inlineStr">
        <is>
          <t>A 1260-2023</t>
        </is>
      </c>
      <c r="B466" s="1" t="n">
        <v>44936</v>
      </c>
      <c r="C466" s="1" t="n">
        <v>46059</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7702-2023</t>
        </is>
      </c>
      <c r="B467" s="1" t="n">
        <v>44967</v>
      </c>
      <c r="C467" s="1" t="n">
        <v>46059</v>
      </c>
      <c r="D467" t="inlineStr">
        <is>
          <t>ÖSTERGÖTLANDS LÄN</t>
        </is>
      </c>
      <c r="E467" t="inlineStr">
        <is>
          <t>LINKÖPING</t>
        </is>
      </c>
      <c r="F467" t="inlineStr">
        <is>
          <t>Övriga statliga verk och myndigheter</t>
        </is>
      </c>
      <c r="G467" t="n">
        <v>8</v>
      </c>
      <c r="H467" t="n">
        <v>0</v>
      </c>
      <c r="I467" t="n">
        <v>0</v>
      </c>
      <c r="J467" t="n">
        <v>0</v>
      </c>
      <c r="K467" t="n">
        <v>0</v>
      </c>
      <c r="L467" t="n">
        <v>0</v>
      </c>
      <c r="M467" t="n">
        <v>0</v>
      </c>
      <c r="N467" t="n">
        <v>0</v>
      </c>
      <c r="O467" t="n">
        <v>0</v>
      </c>
      <c r="P467" t="n">
        <v>0</v>
      </c>
      <c r="Q467" t="n">
        <v>0</v>
      </c>
      <c r="R467" s="2" t="inlineStr"/>
    </row>
    <row r="468" ht="15" customHeight="1">
      <c r="A468" t="inlineStr">
        <is>
          <t>A 674-2024</t>
        </is>
      </c>
      <c r="B468" s="1" t="n">
        <v>45300.34408564815</v>
      </c>
      <c r="C468" s="1" t="n">
        <v>46059</v>
      </c>
      <c r="D468" t="inlineStr">
        <is>
          <t>ÖSTERGÖTLANDS LÄN</t>
        </is>
      </c>
      <c r="E468" t="inlineStr">
        <is>
          <t>LINKÖPING</t>
        </is>
      </c>
      <c r="F468" t="inlineStr">
        <is>
          <t>Sveaskog</t>
        </is>
      </c>
      <c r="G468" t="n">
        <v>2.9</v>
      </c>
      <c r="H468" t="n">
        <v>0</v>
      </c>
      <c r="I468" t="n">
        <v>0</v>
      </c>
      <c r="J468" t="n">
        <v>0</v>
      </c>
      <c r="K468" t="n">
        <v>0</v>
      </c>
      <c r="L468" t="n">
        <v>0</v>
      </c>
      <c r="M468" t="n">
        <v>0</v>
      </c>
      <c r="N468" t="n">
        <v>0</v>
      </c>
      <c r="O468" t="n">
        <v>0</v>
      </c>
      <c r="P468" t="n">
        <v>0</v>
      </c>
      <c r="Q468" t="n">
        <v>0</v>
      </c>
      <c r="R468" s="2" t="inlineStr"/>
    </row>
    <row r="469" ht="15" customHeight="1">
      <c r="A469" t="inlineStr">
        <is>
          <t>A 63684-2023</t>
        </is>
      </c>
      <c r="B469" s="1" t="n">
        <v>45275</v>
      </c>
      <c r="C469" s="1" t="n">
        <v>46059</v>
      </c>
      <c r="D469" t="inlineStr">
        <is>
          <t>ÖSTERGÖTLANDS LÄN</t>
        </is>
      </c>
      <c r="E469" t="inlineStr">
        <is>
          <t>LINKÖPING</t>
        </is>
      </c>
      <c r="G469" t="n">
        <v>0.4</v>
      </c>
      <c r="H469" t="n">
        <v>0</v>
      </c>
      <c r="I469" t="n">
        <v>0</v>
      </c>
      <c r="J469" t="n">
        <v>0</v>
      </c>
      <c r="K469" t="n">
        <v>0</v>
      </c>
      <c r="L469" t="n">
        <v>0</v>
      </c>
      <c r="M469" t="n">
        <v>0</v>
      </c>
      <c r="N469" t="n">
        <v>0</v>
      </c>
      <c r="O469" t="n">
        <v>0</v>
      </c>
      <c r="P469" t="n">
        <v>0</v>
      </c>
      <c r="Q469" t="n">
        <v>0</v>
      </c>
      <c r="R469" s="2" t="inlineStr"/>
    </row>
    <row r="470" ht="15" customHeight="1">
      <c r="A470" t="inlineStr">
        <is>
          <t>A 167-2024</t>
        </is>
      </c>
      <c r="B470" s="1" t="n">
        <v>45294</v>
      </c>
      <c r="C470" s="1" t="n">
        <v>46059</v>
      </c>
      <c r="D470" t="inlineStr">
        <is>
          <t>ÖSTERGÖTLANDS LÄN</t>
        </is>
      </c>
      <c r="E470" t="inlineStr">
        <is>
          <t>LINKÖPING</t>
        </is>
      </c>
      <c r="F470" t="inlineStr">
        <is>
          <t>Allmännings- och besparingsskogar</t>
        </is>
      </c>
      <c r="G470" t="n">
        <v>11.6</v>
      </c>
      <c r="H470" t="n">
        <v>0</v>
      </c>
      <c r="I470" t="n">
        <v>0</v>
      </c>
      <c r="J470" t="n">
        <v>0</v>
      </c>
      <c r="K470" t="n">
        <v>0</v>
      </c>
      <c r="L470" t="n">
        <v>0</v>
      </c>
      <c r="M470" t="n">
        <v>0</v>
      </c>
      <c r="N470" t="n">
        <v>0</v>
      </c>
      <c r="O470" t="n">
        <v>0</v>
      </c>
      <c r="P470" t="n">
        <v>0</v>
      </c>
      <c r="Q470" t="n">
        <v>0</v>
      </c>
      <c r="R470" s="2" t="inlineStr"/>
    </row>
    <row r="471" ht="15" customHeight="1">
      <c r="A471" t="inlineStr">
        <is>
          <t>A 36725-2023</t>
        </is>
      </c>
      <c r="B471" s="1" t="n">
        <v>45153.68471064815</v>
      </c>
      <c r="C471" s="1" t="n">
        <v>46059</v>
      </c>
      <c r="D471" t="inlineStr">
        <is>
          <t>ÖSTERGÖTLANDS LÄN</t>
        </is>
      </c>
      <c r="E471" t="inlineStr">
        <is>
          <t>LINKÖPING</t>
        </is>
      </c>
      <c r="F471" t="inlineStr">
        <is>
          <t>Allmännings- och besparingsskogar</t>
        </is>
      </c>
      <c r="G471" t="n">
        <v>2.6</v>
      </c>
      <c r="H471" t="n">
        <v>0</v>
      </c>
      <c r="I471" t="n">
        <v>0</v>
      </c>
      <c r="J471" t="n">
        <v>0</v>
      </c>
      <c r="K471" t="n">
        <v>0</v>
      </c>
      <c r="L471" t="n">
        <v>0</v>
      </c>
      <c r="M471" t="n">
        <v>0</v>
      </c>
      <c r="N471" t="n">
        <v>0</v>
      </c>
      <c r="O471" t="n">
        <v>0</v>
      </c>
      <c r="P471" t="n">
        <v>0</v>
      </c>
      <c r="Q471" t="n">
        <v>0</v>
      </c>
      <c r="R471" s="2" t="inlineStr"/>
    </row>
    <row r="472" ht="15" customHeight="1">
      <c r="A472" t="inlineStr">
        <is>
          <t>A 16665-2023</t>
        </is>
      </c>
      <c r="B472" s="1" t="n">
        <v>45030.5583912037</v>
      </c>
      <c r="C472" s="1" t="n">
        <v>46059</v>
      </c>
      <c r="D472" t="inlineStr">
        <is>
          <t>ÖSTERGÖTLANDS LÄN</t>
        </is>
      </c>
      <c r="E472" t="inlineStr">
        <is>
          <t>LINKÖPING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56105-2025</t>
        </is>
      </c>
      <c r="B473" s="1" t="n">
        <v>45973.72855324074</v>
      </c>
      <c r="C473" s="1" t="n">
        <v>46059</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27343-2023</t>
        </is>
      </c>
      <c r="B474" s="1" t="n">
        <v>45096</v>
      </c>
      <c r="C474" s="1" t="n">
        <v>46059</v>
      </c>
      <c r="D474" t="inlineStr">
        <is>
          <t>ÖSTERGÖTLANDS LÄN</t>
        </is>
      </c>
      <c r="E474" t="inlineStr">
        <is>
          <t>LINKÖPING</t>
        </is>
      </c>
      <c r="F474" t="inlineStr">
        <is>
          <t>Allmännings- och besparingsskogar</t>
        </is>
      </c>
      <c r="G474" t="n">
        <v>6.9</v>
      </c>
      <c r="H474" t="n">
        <v>0</v>
      </c>
      <c r="I474" t="n">
        <v>0</v>
      </c>
      <c r="J474" t="n">
        <v>0</v>
      </c>
      <c r="K474" t="n">
        <v>0</v>
      </c>
      <c r="L474" t="n">
        <v>0</v>
      </c>
      <c r="M474" t="n">
        <v>0</v>
      </c>
      <c r="N474" t="n">
        <v>0</v>
      </c>
      <c r="O474" t="n">
        <v>0</v>
      </c>
      <c r="P474" t="n">
        <v>0</v>
      </c>
      <c r="Q474" t="n">
        <v>0</v>
      </c>
      <c r="R474" s="2" t="inlineStr"/>
    </row>
    <row r="475" ht="15" customHeight="1">
      <c r="A475" t="inlineStr">
        <is>
          <t>A 60860-2024</t>
        </is>
      </c>
      <c r="B475" s="1" t="n">
        <v>45644.6893287037</v>
      </c>
      <c r="C475" s="1" t="n">
        <v>46059</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56403-2025</t>
        </is>
      </c>
      <c r="B476" s="1" t="n">
        <v>45974</v>
      </c>
      <c r="C476" s="1" t="n">
        <v>46059</v>
      </c>
      <c r="D476" t="inlineStr">
        <is>
          <t>ÖSTERGÖTLANDS LÄN</t>
        </is>
      </c>
      <c r="E476" t="inlineStr">
        <is>
          <t>LINKÖPING</t>
        </is>
      </c>
      <c r="G476" t="n">
        <v>3.3</v>
      </c>
      <c r="H476" t="n">
        <v>0</v>
      </c>
      <c r="I476" t="n">
        <v>0</v>
      </c>
      <c r="J476" t="n">
        <v>0</v>
      </c>
      <c r="K476" t="n">
        <v>0</v>
      </c>
      <c r="L476" t="n">
        <v>0</v>
      </c>
      <c r="M476" t="n">
        <v>0</v>
      </c>
      <c r="N476" t="n">
        <v>0</v>
      </c>
      <c r="O476" t="n">
        <v>0</v>
      </c>
      <c r="P476" t="n">
        <v>0</v>
      </c>
      <c r="Q476" t="n">
        <v>0</v>
      </c>
      <c r="R476" s="2" t="inlineStr"/>
    </row>
    <row r="477" ht="15" customHeight="1">
      <c r="A477" t="inlineStr">
        <is>
          <t>A 31640-2023</t>
        </is>
      </c>
      <c r="B477" s="1" t="n">
        <v>45117</v>
      </c>
      <c r="C477" s="1" t="n">
        <v>46059</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22774-2024</t>
        </is>
      </c>
      <c r="B478" s="1" t="n">
        <v>45448.46924768519</v>
      </c>
      <c r="C478" s="1" t="n">
        <v>46059</v>
      </c>
      <c r="D478" t="inlineStr">
        <is>
          <t>ÖSTERGÖTLANDS LÄN</t>
        </is>
      </c>
      <c r="E478" t="inlineStr">
        <is>
          <t>LINKÖPING</t>
        </is>
      </c>
      <c r="F478" t="inlineStr">
        <is>
          <t>Sveaskog</t>
        </is>
      </c>
      <c r="G478" t="n">
        <v>3.3</v>
      </c>
      <c r="H478" t="n">
        <v>0</v>
      </c>
      <c r="I478" t="n">
        <v>0</v>
      </c>
      <c r="J478" t="n">
        <v>0</v>
      </c>
      <c r="K478" t="n">
        <v>0</v>
      </c>
      <c r="L478" t="n">
        <v>0</v>
      </c>
      <c r="M478" t="n">
        <v>0</v>
      </c>
      <c r="N478" t="n">
        <v>0</v>
      </c>
      <c r="O478" t="n">
        <v>0</v>
      </c>
      <c r="P478" t="n">
        <v>0</v>
      </c>
      <c r="Q478" t="n">
        <v>0</v>
      </c>
      <c r="R478" s="2" t="inlineStr"/>
    </row>
    <row r="479" ht="15" customHeight="1">
      <c r="A479" t="inlineStr">
        <is>
          <t>A 22778-2024</t>
        </is>
      </c>
      <c r="B479" s="1" t="n">
        <v>45448.47233796296</v>
      </c>
      <c r="C479" s="1" t="n">
        <v>46059</v>
      </c>
      <c r="D479" t="inlineStr">
        <is>
          <t>ÖSTERGÖTLANDS LÄN</t>
        </is>
      </c>
      <c r="E479" t="inlineStr">
        <is>
          <t>LINKÖPING</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16213-2025</t>
        </is>
      </c>
      <c r="B480" s="1" t="n">
        <v>45750.62740740741</v>
      </c>
      <c r="C480" s="1" t="n">
        <v>46059</v>
      </c>
      <c r="D480" t="inlineStr">
        <is>
          <t>ÖSTERGÖTLANDS LÄN</t>
        </is>
      </c>
      <c r="E480" t="inlineStr">
        <is>
          <t>LINKÖPING</t>
        </is>
      </c>
      <c r="G480" t="n">
        <v>3.4</v>
      </c>
      <c r="H480" t="n">
        <v>0</v>
      </c>
      <c r="I480" t="n">
        <v>0</v>
      </c>
      <c r="J480" t="n">
        <v>0</v>
      </c>
      <c r="K480" t="n">
        <v>0</v>
      </c>
      <c r="L480" t="n">
        <v>0</v>
      </c>
      <c r="M480" t="n">
        <v>0</v>
      </c>
      <c r="N480" t="n">
        <v>0</v>
      </c>
      <c r="O480" t="n">
        <v>0</v>
      </c>
      <c r="P480" t="n">
        <v>0</v>
      </c>
      <c r="Q480" t="n">
        <v>0</v>
      </c>
      <c r="R480" s="2" t="inlineStr"/>
    </row>
    <row r="481" ht="15" customHeight="1">
      <c r="A481" t="inlineStr">
        <is>
          <t>A 56113-2025</t>
        </is>
      </c>
      <c r="B481" s="1" t="n">
        <v>45973.73924768518</v>
      </c>
      <c r="C481" s="1" t="n">
        <v>46059</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56704-2025</t>
        </is>
      </c>
      <c r="B482" s="1" t="n">
        <v>45977.50608796296</v>
      </c>
      <c r="C482" s="1" t="n">
        <v>46059</v>
      </c>
      <c r="D482" t="inlineStr">
        <is>
          <t>ÖSTERGÖTLANDS LÄN</t>
        </is>
      </c>
      <c r="E482" t="inlineStr">
        <is>
          <t>LINKÖPING</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34864-2023</t>
        </is>
      </c>
      <c r="B483" s="1" t="n">
        <v>45141</v>
      </c>
      <c r="C483" s="1" t="n">
        <v>46059</v>
      </c>
      <c r="D483" t="inlineStr">
        <is>
          <t>ÖSTERGÖTLANDS LÄN</t>
        </is>
      </c>
      <c r="E483" t="inlineStr">
        <is>
          <t>LINKÖPING</t>
        </is>
      </c>
      <c r="G483" t="n">
        <v>3.3</v>
      </c>
      <c r="H483" t="n">
        <v>0</v>
      </c>
      <c r="I483" t="n">
        <v>0</v>
      </c>
      <c r="J483" t="n">
        <v>0</v>
      </c>
      <c r="K483" t="n">
        <v>0</v>
      </c>
      <c r="L483" t="n">
        <v>0</v>
      </c>
      <c r="M483" t="n">
        <v>0</v>
      </c>
      <c r="N483" t="n">
        <v>0</v>
      </c>
      <c r="O483" t="n">
        <v>0</v>
      </c>
      <c r="P483" t="n">
        <v>0</v>
      </c>
      <c r="Q483" t="n">
        <v>0</v>
      </c>
      <c r="R483" s="2" t="inlineStr"/>
    </row>
    <row r="484" ht="15" customHeight="1">
      <c r="A484" t="inlineStr">
        <is>
          <t>A 52531-2023</t>
        </is>
      </c>
      <c r="B484" s="1" t="n">
        <v>45225</v>
      </c>
      <c r="C484" s="1" t="n">
        <v>46059</v>
      </c>
      <c r="D484" t="inlineStr">
        <is>
          <t>ÖSTERGÖTLANDS LÄN</t>
        </is>
      </c>
      <c r="E484" t="inlineStr">
        <is>
          <t>LINKÖPING</t>
        </is>
      </c>
      <c r="F484" t="inlineStr">
        <is>
          <t>Övriga Aktiebolag</t>
        </is>
      </c>
      <c r="G484" t="n">
        <v>1</v>
      </c>
      <c r="H484" t="n">
        <v>0</v>
      </c>
      <c r="I484" t="n">
        <v>0</v>
      </c>
      <c r="J484" t="n">
        <v>0</v>
      </c>
      <c r="K484" t="n">
        <v>0</v>
      </c>
      <c r="L484" t="n">
        <v>0</v>
      </c>
      <c r="M484" t="n">
        <v>0</v>
      </c>
      <c r="N484" t="n">
        <v>0</v>
      </c>
      <c r="O484" t="n">
        <v>0</v>
      </c>
      <c r="P484" t="n">
        <v>0</v>
      </c>
      <c r="Q484" t="n">
        <v>0</v>
      </c>
      <c r="R484" s="2" t="inlineStr"/>
    </row>
    <row r="485" ht="15" customHeight="1">
      <c r="A485" t="inlineStr">
        <is>
          <t>A 34930-2023</t>
        </is>
      </c>
      <c r="B485" s="1" t="n">
        <v>45142</v>
      </c>
      <c r="C485" s="1" t="n">
        <v>46059</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34872-2023</t>
        </is>
      </c>
      <c r="B486" s="1" t="n">
        <v>45140</v>
      </c>
      <c r="C486" s="1" t="n">
        <v>46059</v>
      </c>
      <c r="D486" t="inlineStr">
        <is>
          <t>ÖSTERGÖTLANDS LÄN</t>
        </is>
      </c>
      <c r="E486" t="inlineStr">
        <is>
          <t>LINKÖPING</t>
        </is>
      </c>
      <c r="G486" t="n">
        <v>4.8</v>
      </c>
      <c r="H486" t="n">
        <v>0</v>
      </c>
      <c r="I486" t="n">
        <v>0</v>
      </c>
      <c r="J486" t="n">
        <v>0</v>
      </c>
      <c r="K486" t="n">
        <v>0</v>
      </c>
      <c r="L486" t="n">
        <v>0</v>
      </c>
      <c r="M486" t="n">
        <v>0</v>
      </c>
      <c r="N486" t="n">
        <v>0</v>
      </c>
      <c r="O486" t="n">
        <v>0</v>
      </c>
      <c r="P486" t="n">
        <v>0</v>
      </c>
      <c r="Q486" t="n">
        <v>0</v>
      </c>
      <c r="R486" s="2" t="inlineStr"/>
    </row>
    <row r="487" ht="15" customHeight="1">
      <c r="A487" t="inlineStr">
        <is>
          <t>A 30985-2022</t>
        </is>
      </c>
      <c r="B487" s="1" t="n">
        <v>44768</v>
      </c>
      <c r="C487" s="1" t="n">
        <v>46059</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33000-2023</t>
        </is>
      </c>
      <c r="B488" s="1" t="n">
        <v>45125</v>
      </c>
      <c r="C488" s="1" t="n">
        <v>46059</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2997-2025</t>
        </is>
      </c>
      <c r="B489" s="1" t="n">
        <v>45678.54631944445</v>
      </c>
      <c r="C489" s="1" t="n">
        <v>46059</v>
      </c>
      <c r="D489" t="inlineStr">
        <is>
          <t>ÖSTERGÖTLANDS LÄN</t>
        </is>
      </c>
      <c r="E489" t="inlineStr">
        <is>
          <t>LINKÖPING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31534-2023</t>
        </is>
      </c>
      <c r="B490" s="1" t="n">
        <v>45116</v>
      </c>
      <c r="C490" s="1" t="n">
        <v>46059</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26803-2024</t>
        </is>
      </c>
      <c r="B491" s="1" t="n">
        <v>45470</v>
      </c>
      <c r="C491" s="1" t="n">
        <v>46059</v>
      </c>
      <c r="D491" t="inlineStr">
        <is>
          <t>ÖSTERGÖTLANDS LÄN</t>
        </is>
      </c>
      <c r="E491" t="inlineStr">
        <is>
          <t>LINKÖPING</t>
        </is>
      </c>
      <c r="F491" t="inlineStr">
        <is>
          <t>Allmännings- och besparingsskogar</t>
        </is>
      </c>
      <c r="G491" t="n">
        <v>4.5</v>
      </c>
      <c r="H491" t="n">
        <v>0</v>
      </c>
      <c r="I491" t="n">
        <v>0</v>
      </c>
      <c r="J491" t="n">
        <v>0</v>
      </c>
      <c r="K491" t="n">
        <v>0</v>
      </c>
      <c r="L491" t="n">
        <v>0</v>
      </c>
      <c r="M491" t="n">
        <v>0</v>
      </c>
      <c r="N491" t="n">
        <v>0</v>
      </c>
      <c r="O491" t="n">
        <v>0</v>
      </c>
      <c r="P491" t="n">
        <v>0</v>
      </c>
      <c r="Q491" t="n">
        <v>0</v>
      </c>
      <c r="R491" s="2" t="inlineStr"/>
    </row>
    <row r="492" ht="15" customHeight="1">
      <c r="A492" t="inlineStr">
        <is>
          <t>A 45806-2024</t>
        </is>
      </c>
      <c r="B492" s="1" t="n">
        <v>45579.69619212963</v>
      </c>
      <c r="C492" s="1" t="n">
        <v>46059</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59642-2024</t>
        </is>
      </c>
      <c r="B493" s="1" t="n">
        <v>45639.31511574074</v>
      </c>
      <c r="C493" s="1" t="n">
        <v>46059</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15748-2025</t>
        </is>
      </c>
      <c r="B494" s="1" t="n">
        <v>45748.55282407408</v>
      </c>
      <c r="C494" s="1" t="n">
        <v>46059</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31792-2021</t>
        </is>
      </c>
      <c r="B495" s="1" t="n">
        <v>44369</v>
      </c>
      <c r="C495" s="1" t="n">
        <v>46059</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25097-2023</t>
        </is>
      </c>
      <c r="B496" s="1" t="n">
        <v>45086</v>
      </c>
      <c r="C496" s="1" t="n">
        <v>46059</v>
      </c>
      <c r="D496" t="inlineStr">
        <is>
          <t>ÖSTERGÖTLANDS LÄN</t>
        </is>
      </c>
      <c r="E496" t="inlineStr">
        <is>
          <t>LINKÖPING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35735-2023</t>
        </is>
      </c>
      <c r="B497" s="1" t="n">
        <v>45147</v>
      </c>
      <c r="C497" s="1" t="n">
        <v>46059</v>
      </c>
      <c r="D497" t="inlineStr">
        <is>
          <t>ÖSTERGÖTLANDS LÄN</t>
        </is>
      </c>
      <c r="E497" t="inlineStr">
        <is>
          <t>LINKÖPING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16462-2021</t>
        </is>
      </c>
      <c r="B498" s="1" t="n">
        <v>44293</v>
      </c>
      <c r="C498" s="1" t="n">
        <v>46059</v>
      </c>
      <c r="D498" t="inlineStr">
        <is>
          <t>ÖSTERGÖTLANDS LÄN</t>
        </is>
      </c>
      <c r="E498" t="inlineStr">
        <is>
          <t>LINKÖPING</t>
        </is>
      </c>
      <c r="F498" t="inlineStr">
        <is>
          <t>Allmännings- och besparingsskogar</t>
        </is>
      </c>
      <c r="G498" t="n">
        <v>24.7</v>
      </c>
      <c r="H498" t="n">
        <v>0</v>
      </c>
      <c r="I498" t="n">
        <v>0</v>
      </c>
      <c r="J498" t="n">
        <v>0</v>
      </c>
      <c r="K498" t="n">
        <v>0</v>
      </c>
      <c r="L498" t="n">
        <v>0</v>
      </c>
      <c r="M498" t="n">
        <v>0</v>
      </c>
      <c r="N498" t="n">
        <v>0</v>
      </c>
      <c r="O498" t="n">
        <v>0</v>
      </c>
      <c r="P498" t="n">
        <v>0</v>
      </c>
      <c r="Q498" t="n">
        <v>0</v>
      </c>
      <c r="R498" s="2" t="inlineStr"/>
    </row>
    <row r="499" ht="15" customHeight="1">
      <c r="A499" t="inlineStr">
        <is>
          <t>A 37154-2023</t>
        </is>
      </c>
      <c r="B499" s="1" t="n">
        <v>45155</v>
      </c>
      <c r="C499" s="1" t="n">
        <v>46059</v>
      </c>
      <c r="D499" t="inlineStr">
        <is>
          <t>ÖSTERGÖTLANDS LÄN</t>
        </is>
      </c>
      <c r="E499" t="inlineStr">
        <is>
          <t>LINKÖPING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25776-2021</t>
        </is>
      </c>
      <c r="B500" s="1" t="n">
        <v>44343</v>
      </c>
      <c r="C500" s="1" t="n">
        <v>46059</v>
      </c>
      <c r="D500" t="inlineStr">
        <is>
          <t>ÖSTERGÖTLANDS LÄN</t>
        </is>
      </c>
      <c r="E500" t="inlineStr">
        <is>
          <t>LINKÖPING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30856-2022</t>
        </is>
      </c>
      <c r="B501" s="1" t="n">
        <v>44767</v>
      </c>
      <c r="C501" s="1" t="n">
        <v>46059</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11330-2023</t>
        </is>
      </c>
      <c r="B502" s="1" t="n">
        <v>44993.24648148148</v>
      </c>
      <c r="C502" s="1" t="n">
        <v>46059</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19187-2021</t>
        </is>
      </c>
      <c r="B503" s="1" t="n">
        <v>44308</v>
      </c>
      <c r="C503" s="1" t="n">
        <v>46059</v>
      </c>
      <c r="D503" t="inlineStr">
        <is>
          <t>ÖSTERGÖTLANDS LÄN</t>
        </is>
      </c>
      <c r="E503" t="inlineStr">
        <is>
          <t>LINKÖPING</t>
        </is>
      </c>
      <c r="F503" t="inlineStr">
        <is>
          <t>Allmännings- och besparingsskogar</t>
        </is>
      </c>
      <c r="G503" t="n">
        <v>20</v>
      </c>
      <c r="H503" t="n">
        <v>0</v>
      </c>
      <c r="I503" t="n">
        <v>0</v>
      </c>
      <c r="J503" t="n">
        <v>0</v>
      </c>
      <c r="K503" t="n">
        <v>0</v>
      </c>
      <c r="L503" t="n">
        <v>0</v>
      </c>
      <c r="M503" t="n">
        <v>0</v>
      </c>
      <c r="N503" t="n">
        <v>0</v>
      </c>
      <c r="O503" t="n">
        <v>0</v>
      </c>
      <c r="P503" t="n">
        <v>0</v>
      </c>
      <c r="Q503" t="n">
        <v>0</v>
      </c>
      <c r="R503" s="2" t="inlineStr"/>
    </row>
    <row r="504" ht="15" customHeight="1">
      <c r="A504" t="inlineStr">
        <is>
          <t>A 42000-2023</t>
        </is>
      </c>
      <c r="B504" s="1" t="n">
        <v>45177</v>
      </c>
      <c r="C504" s="1" t="n">
        <v>46059</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39219-2021</t>
        </is>
      </c>
      <c r="B505" s="1" t="n">
        <v>44413</v>
      </c>
      <c r="C505" s="1" t="n">
        <v>46059</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39224-2021</t>
        </is>
      </c>
      <c r="B506" s="1" t="n">
        <v>44413</v>
      </c>
      <c r="C506" s="1" t="n">
        <v>46059</v>
      </c>
      <c r="D506" t="inlineStr">
        <is>
          <t>ÖSTERGÖTLANDS LÄN</t>
        </is>
      </c>
      <c r="E506" t="inlineStr">
        <is>
          <t>LINKÖPING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32602-2022</t>
        </is>
      </c>
      <c r="B507" s="1" t="n">
        <v>44783.43192129629</v>
      </c>
      <c r="C507" s="1" t="n">
        <v>46059</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43934-2023</t>
        </is>
      </c>
      <c r="B508" s="1" t="n">
        <v>45187</v>
      </c>
      <c r="C508" s="1" t="n">
        <v>46059</v>
      </c>
      <c r="D508" t="inlineStr">
        <is>
          <t>ÖSTERGÖTLANDS LÄN</t>
        </is>
      </c>
      <c r="E508" t="inlineStr">
        <is>
          <t>LINKÖPING</t>
        </is>
      </c>
      <c r="F508" t="inlineStr">
        <is>
          <t>Övriga Aktiebolag</t>
        </is>
      </c>
      <c r="G508" t="n">
        <v>3.8</v>
      </c>
      <c r="H508" t="n">
        <v>0</v>
      </c>
      <c r="I508" t="n">
        <v>0</v>
      </c>
      <c r="J508" t="n">
        <v>0</v>
      </c>
      <c r="K508" t="n">
        <v>0</v>
      </c>
      <c r="L508" t="n">
        <v>0</v>
      </c>
      <c r="M508" t="n">
        <v>0</v>
      </c>
      <c r="N508" t="n">
        <v>0</v>
      </c>
      <c r="O508" t="n">
        <v>0</v>
      </c>
      <c r="P508" t="n">
        <v>0</v>
      </c>
      <c r="Q508" t="n">
        <v>0</v>
      </c>
      <c r="R508" s="2" t="inlineStr"/>
    </row>
    <row r="509" ht="15" customHeight="1">
      <c r="A509" t="inlineStr">
        <is>
          <t>A 13413-2023</t>
        </is>
      </c>
      <c r="B509" s="1" t="n">
        <v>45005.58341435185</v>
      </c>
      <c r="C509" s="1" t="n">
        <v>46059</v>
      </c>
      <c r="D509" t="inlineStr">
        <is>
          <t>ÖSTERGÖTLANDS LÄN</t>
        </is>
      </c>
      <c r="E509" t="inlineStr">
        <is>
          <t>LINKÖPING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63528-2023</t>
        </is>
      </c>
      <c r="B510" s="1" t="n">
        <v>45274.94810185185</v>
      </c>
      <c r="C510" s="1" t="n">
        <v>46059</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63638-2023</t>
        </is>
      </c>
      <c r="B511" s="1" t="n">
        <v>45275</v>
      </c>
      <c r="C511" s="1" t="n">
        <v>46059</v>
      </c>
      <c r="D511" t="inlineStr">
        <is>
          <t>ÖSTERGÖTLANDS LÄN</t>
        </is>
      </c>
      <c r="E511" t="inlineStr">
        <is>
          <t>LINKÖPING</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63658-2023</t>
        </is>
      </c>
      <c r="B512" s="1" t="n">
        <v>45275</v>
      </c>
      <c r="C512" s="1" t="n">
        <v>46059</v>
      </c>
      <c r="D512" t="inlineStr">
        <is>
          <t>ÖSTERGÖTLANDS LÄN</t>
        </is>
      </c>
      <c r="E512" t="inlineStr">
        <is>
          <t>LINKÖPING</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7808-2022</t>
        </is>
      </c>
      <c r="B513" s="1" t="n">
        <v>44608</v>
      </c>
      <c r="C513" s="1" t="n">
        <v>46059</v>
      </c>
      <c r="D513" t="inlineStr">
        <is>
          <t>ÖSTERGÖTLANDS LÄN</t>
        </is>
      </c>
      <c r="E513" t="inlineStr">
        <is>
          <t>LINKÖPING</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36336-2023</t>
        </is>
      </c>
      <c r="B514" s="1" t="n">
        <v>45152.45078703704</v>
      </c>
      <c r="C514" s="1" t="n">
        <v>46059</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56623-2024</t>
        </is>
      </c>
      <c r="B515" s="1" t="n">
        <v>45625</v>
      </c>
      <c r="C515" s="1" t="n">
        <v>46059</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7354-2025</t>
        </is>
      </c>
      <c r="B516" s="1" t="n">
        <v>45704.41174768518</v>
      </c>
      <c r="C516" s="1" t="n">
        <v>46059</v>
      </c>
      <c r="D516" t="inlineStr">
        <is>
          <t>ÖSTERGÖTLANDS LÄN</t>
        </is>
      </c>
      <c r="E516" t="inlineStr">
        <is>
          <t>LINKÖPING</t>
        </is>
      </c>
      <c r="G516" t="n">
        <v>4.8</v>
      </c>
      <c r="H516" t="n">
        <v>0</v>
      </c>
      <c r="I516" t="n">
        <v>0</v>
      </c>
      <c r="J516" t="n">
        <v>0</v>
      </c>
      <c r="K516" t="n">
        <v>0</v>
      </c>
      <c r="L516" t="n">
        <v>0</v>
      </c>
      <c r="M516" t="n">
        <v>0</v>
      </c>
      <c r="N516" t="n">
        <v>0</v>
      </c>
      <c r="O516" t="n">
        <v>0</v>
      </c>
      <c r="P516" t="n">
        <v>0</v>
      </c>
      <c r="Q516" t="n">
        <v>0</v>
      </c>
      <c r="R516" s="2" t="inlineStr"/>
    </row>
    <row r="517" ht="15" customHeight="1">
      <c r="A517" t="inlineStr">
        <is>
          <t>A 13011-2022</t>
        </is>
      </c>
      <c r="B517" s="1" t="n">
        <v>44643</v>
      </c>
      <c r="C517" s="1" t="n">
        <v>46059</v>
      </c>
      <c r="D517" t="inlineStr">
        <is>
          <t>ÖSTERGÖTLANDS LÄN</t>
        </is>
      </c>
      <c r="E517" t="inlineStr">
        <is>
          <t>LINKÖPING</t>
        </is>
      </c>
      <c r="G517" t="n">
        <v>3.7</v>
      </c>
      <c r="H517" t="n">
        <v>0</v>
      </c>
      <c r="I517" t="n">
        <v>0</v>
      </c>
      <c r="J517" t="n">
        <v>0</v>
      </c>
      <c r="K517" t="n">
        <v>0</v>
      </c>
      <c r="L517" t="n">
        <v>0</v>
      </c>
      <c r="M517" t="n">
        <v>0</v>
      </c>
      <c r="N517" t="n">
        <v>0</v>
      </c>
      <c r="O517" t="n">
        <v>0</v>
      </c>
      <c r="P517" t="n">
        <v>0</v>
      </c>
      <c r="Q517" t="n">
        <v>0</v>
      </c>
      <c r="R517" s="2" t="inlineStr"/>
    </row>
    <row r="518" ht="15" customHeight="1">
      <c r="A518" t="inlineStr">
        <is>
          <t>A 63935-2021</t>
        </is>
      </c>
      <c r="B518" s="1" t="n">
        <v>44509</v>
      </c>
      <c r="C518" s="1" t="n">
        <v>46059</v>
      </c>
      <c r="D518" t="inlineStr">
        <is>
          <t>ÖSTERGÖTLANDS LÄN</t>
        </is>
      </c>
      <c r="E518" t="inlineStr">
        <is>
          <t>LINKÖPING</t>
        </is>
      </c>
      <c r="F518" t="inlineStr">
        <is>
          <t>Övriga statliga verk och myndigheter</t>
        </is>
      </c>
      <c r="G518" t="n">
        <v>2.8</v>
      </c>
      <c r="H518" t="n">
        <v>0</v>
      </c>
      <c r="I518" t="n">
        <v>0</v>
      </c>
      <c r="J518" t="n">
        <v>0</v>
      </c>
      <c r="K518" t="n">
        <v>0</v>
      </c>
      <c r="L518" t="n">
        <v>0</v>
      </c>
      <c r="M518" t="n">
        <v>0</v>
      </c>
      <c r="N518" t="n">
        <v>0</v>
      </c>
      <c r="O518" t="n">
        <v>0</v>
      </c>
      <c r="P518" t="n">
        <v>0</v>
      </c>
      <c r="Q518" t="n">
        <v>0</v>
      </c>
      <c r="R518" s="2" t="inlineStr"/>
    </row>
    <row r="519" ht="15" customHeight="1">
      <c r="A519" t="inlineStr">
        <is>
          <t>A 11595-2025</t>
        </is>
      </c>
      <c r="B519" s="1" t="n">
        <v>45727.41893518518</v>
      </c>
      <c r="C519" s="1" t="n">
        <v>46059</v>
      </c>
      <c r="D519" t="inlineStr">
        <is>
          <t>ÖSTERGÖTLANDS LÄN</t>
        </is>
      </c>
      <c r="E519" t="inlineStr">
        <is>
          <t>LINKÖPING</t>
        </is>
      </c>
      <c r="G519" t="n">
        <v>6.6</v>
      </c>
      <c r="H519" t="n">
        <v>0</v>
      </c>
      <c r="I519" t="n">
        <v>0</v>
      </c>
      <c r="J519" t="n">
        <v>0</v>
      </c>
      <c r="K519" t="n">
        <v>0</v>
      </c>
      <c r="L519" t="n">
        <v>0</v>
      </c>
      <c r="M519" t="n">
        <v>0</v>
      </c>
      <c r="N519" t="n">
        <v>0</v>
      </c>
      <c r="O519" t="n">
        <v>0</v>
      </c>
      <c r="P519" t="n">
        <v>0</v>
      </c>
      <c r="Q519" t="n">
        <v>0</v>
      </c>
      <c r="R519" s="2" t="inlineStr"/>
    </row>
    <row r="520" ht="15" customHeight="1">
      <c r="A520" t="inlineStr">
        <is>
          <t>A 50508-2024</t>
        </is>
      </c>
      <c r="B520" s="1" t="n">
        <v>45601.53907407408</v>
      </c>
      <c r="C520" s="1" t="n">
        <v>46059</v>
      </c>
      <c r="D520" t="inlineStr">
        <is>
          <t>ÖSTERGÖTLANDS LÄN</t>
        </is>
      </c>
      <c r="E520" t="inlineStr">
        <is>
          <t>LINKÖPING</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40810-2022</t>
        </is>
      </c>
      <c r="B521" s="1" t="n">
        <v>44824</v>
      </c>
      <c r="C521" s="1" t="n">
        <v>46059</v>
      </c>
      <c r="D521" t="inlineStr">
        <is>
          <t>ÖSTERGÖTLANDS LÄN</t>
        </is>
      </c>
      <c r="E521" t="inlineStr">
        <is>
          <t>LINKÖPING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36336-2022</t>
        </is>
      </c>
      <c r="B522" s="1" t="n">
        <v>44803</v>
      </c>
      <c r="C522" s="1" t="n">
        <v>46059</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48839-2022</t>
        </is>
      </c>
      <c r="B523" s="1" t="n">
        <v>44859</v>
      </c>
      <c r="C523" s="1" t="n">
        <v>46059</v>
      </c>
      <c r="D523" t="inlineStr">
        <is>
          <t>ÖSTERGÖTLANDS LÄN</t>
        </is>
      </c>
      <c r="E523" t="inlineStr">
        <is>
          <t>LINKÖPING</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20298-2025</t>
        </is>
      </c>
      <c r="B524" s="1" t="n">
        <v>45774.75024305555</v>
      </c>
      <c r="C524" s="1" t="n">
        <v>46059</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14576-2023</t>
        </is>
      </c>
      <c r="B525" s="1" t="n">
        <v>45013</v>
      </c>
      <c r="C525" s="1" t="n">
        <v>46059</v>
      </c>
      <c r="D525" t="inlineStr">
        <is>
          <t>ÖSTERGÖTLANDS LÄN</t>
        </is>
      </c>
      <c r="E525" t="inlineStr">
        <is>
          <t>LINKÖPING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6387-2022</t>
        </is>
      </c>
      <c r="B526" s="1" t="n">
        <v>44600</v>
      </c>
      <c r="C526" s="1" t="n">
        <v>46059</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34641-2022</t>
        </is>
      </c>
      <c r="B527" s="1" t="n">
        <v>44795</v>
      </c>
      <c r="C527" s="1" t="n">
        <v>46059</v>
      </c>
      <c r="D527" t="inlineStr">
        <is>
          <t>ÖSTERGÖTLANDS LÄN</t>
        </is>
      </c>
      <c r="E527" t="inlineStr">
        <is>
          <t>LINKÖPING</t>
        </is>
      </c>
      <c r="G527" t="n">
        <v>2.4</v>
      </c>
      <c r="H527" t="n">
        <v>0</v>
      </c>
      <c r="I527" t="n">
        <v>0</v>
      </c>
      <c r="J527" t="n">
        <v>0</v>
      </c>
      <c r="K527" t="n">
        <v>0</v>
      </c>
      <c r="L527" t="n">
        <v>0</v>
      </c>
      <c r="M527" t="n">
        <v>0</v>
      </c>
      <c r="N527" t="n">
        <v>0</v>
      </c>
      <c r="O527" t="n">
        <v>0</v>
      </c>
      <c r="P527" t="n">
        <v>0</v>
      </c>
      <c r="Q527" t="n">
        <v>0</v>
      </c>
      <c r="R527" s="2" t="inlineStr"/>
    </row>
    <row r="528" ht="15" customHeight="1">
      <c r="A528" t="inlineStr">
        <is>
          <t>A 12089-2025</t>
        </is>
      </c>
      <c r="B528" s="1" t="n">
        <v>45729</v>
      </c>
      <c r="C528" s="1" t="n">
        <v>46059</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13687-2025</t>
        </is>
      </c>
      <c r="B529" s="1" t="n">
        <v>45737.31425925926</v>
      </c>
      <c r="C529" s="1" t="n">
        <v>46059</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13695-2025</t>
        </is>
      </c>
      <c r="B530" s="1" t="n">
        <v>45737.32219907407</v>
      </c>
      <c r="C530" s="1" t="n">
        <v>46059</v>
      </c>
      <c r="D530" t="inlineStr">
        <is>
          <t>ÖSTERGÖTLANDS LÄN</t>
        </is>
      </c>
      <c r="E530" t="inlineStr">
        <is>
          <t>LINKÖPING</t>
        </is>
      </c>
      <c r="G530" t="n">
        <v>5.3</v>
      </c>
      <c r="H530" t="n">
        <v>0</v>
      </c>
      <c r="I530" t="n">
        <v>0</v>
      </c>
      <c r="J530" t="n">
        <v>0</v>
      </c>
      <c r="K530" t="n">
        <v>0</v>
      </c>
      <c r="L530" t="n">
        <v>0</v>
      </c>
      <c r="M530" t="n">
        <v>0</v>
      </c>
      <c r="N530" t="n">
        <v>0</v>
      </c>
      <c r="O530" t="n">
        <v>0</v>
      </c>
      <c r="P530" t="n">
        <v>0</v>
      </c>
      <c r="Q530" t="n">
        <v>0</v>
      </c>
      <c r="R530" s="2" t="inlineStr"/>
    </row>
    <row r="531" ht="15" customHeight="1">
      <c r="A531" t="inlineStr">
        <is>
          <t>A 52413-2023</t>
        </is>
      </c>
      <c r="B531" s="1" t="n">
        <v>45225.27950231481</v>
      </c>
      <c r="C531" s="1" t="n">
        <v>46059</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42054-2022</t>
        </is>
      </c>
      <c r="B532" s="1" t="n">
        <v>44830</v>
      </c>
      <c r="C532" s="1" t="n">
        <v>46059</v>
      </c>
      <c r="D532" t="inlineStr">
        <is>
          <t>ÖSTERGÖTLANDS LÄN</t>
        </is>
      </c>
      <c r="E532" t="inlineStr">
        <is>
          <t>LINKÖPING</t>
        </is>
      </c>
      <c r="G532" t="n">
        <v>1.7</v>
      </c>
      <c r="H532" t="n">
        <v>0</v>
      </c>
      <c r="I532" t="n">
        <v>0</v>
      </c>
      <c r="J532" t="n">
        <v>0</v>
      </c>
      <c r="K532" t="n">
        <v>0</v>
      </c>
      <c r="L532" t="n">
        <v>0</v>
      </c>
      <c r="M532" t="n">
        <v>0</v>
      </c>
      <c r="N532" t="n">
        <v>0</v>
      </c>
      <c r="O532" t="n">
        <v>0</v>
      </c>
      <c r="P532" t="n">
        <v>0</v>
      </c>
      <c r="Q532" t="n">
        <v>0</v>
      </c>
      <c r="R532" s="2" t="inlineStr"/>
    </row>
    <row r="533" ht="15" customHeight="1">
      <c r="A533" t="inlineStr">
        <is>
          <t>A 53797-2023</t>
        </is>
      </c>
      <c r="B533" s="1" t="n">
        <v>45230</v>
      </c>
      <c r="C533" s="1" t="n">
        <v>46059</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22833-2023</t>
        </is>
      </c>
      <c r="B534" s="1" t="n">
        <v>45071</v>
      </c>
      <c r="C534" s="1" t="n">
        <v>46059</v>
      </c>
      <c r="D534" t="inlineStr">
        <is>
          <t>ÖSTERGÖTLANDS LÄN</t>
        </is>
      </c>
      <c r="E534" t="inlineStr">
        <is>
          <t>LINKÖPING</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17898-2022</t>
        </is>
      </c>
      <c r="B535" s="1" t="n">
        <v>44683</v>
      </c>
      <c r="C535" s="1" t="n">
        <v>46059</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62017-2024</t>
        </is>
      </c>
      <c r="B536" s="1" t="n">
        <v>45655.81140046296</v>
      </c>
      <c r="C536" s="1" t="n">
        <v>46059</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12411-2022</t>
        </is>
      </c>
      <c r="B537" s="1" t="n">
        <v>44638.21601851852</v>
      </c>
      <c r="C537" s="1" t="n">
        <v>46059</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10492-2022</t>
        </is>
      </c>
      <c r="B538" s="1" t="n">
        <v>44623.6377199074</v>
      </c>
      <c r="C538" s="1" t="n">
        <v>46059</v>
      </c>
      <c r="D538" t="inlineStr">
        <is>
          <t>ÖSTERGÖTLANDS LÄN</t>
        </is>
      </c>
      <c r="E538" t="inlineStr">
        <is>
          <t>LINKÖPING</t>
        </is>
      </c>
      <c r="G538" t="n">
        <v>2.1</v>
      </c>
      <c r="H538" t="n">
        <v>0</v>
      </c>
      <c r="I538" t="n">
        <v>0</v>
      </c>
      <c r="J538" t="n">
        <v>0</v>
      </c>
      <c r="K538" t="n">
        <v>0</v>
      </c>
      <c r="L538" t="n">
        <v>0</v>
      </c>
      <c r="M538" t="n">
        <v>0</v>
      </c>
      <c r="N538" t="n">
        <v>0</v>
      </c>
      <c r="O538" t="n">
        <v>0</v>
      </c>
      <c r="P538" t="n">
        <v>0</v>
      </c>
      <c r="Q538" t="n">
        <v>0</v>
      </c>
      <c r="R538" s="2" t="inlineStr"/>
    </row>
    <row r="539" ht="15" customHeight="1">
      <c r="A539" t="inlineStr">
        <is>
          <t>A 7343-2025</t>
        </is>
      </c>
      <c r="B539" s="1" t="n">
        <v>45703.67853009259</v>
      </c>
      <c r="C539" s="1" t="n">
        <v>46059</v>
      </c>
      <c r="D539" t="inlineStr">
        <is>
          <t>ÖSTERGÖTLANDS LÄN</t>
        </is>
      </c>
      <c r="E539" t="inlineStr">
        <is>
          <t>LINKÖPING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8967-2025</t>
        </is>
      </c>
      <c r="B540" s="1" t="n">
        <v>45712</v>
      </c>
      <c r="C540" s="1" t="n">
        <v>46059</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35427-2023</t>
        </is>
      </c>
      <c r="B541" s="1" t="n">
        <v>45146</v>
      </c>
      <c r="C541" s="1" t="n">
        <v>46059</v>
      </c>
      <c r="D541" t="inlineStr">
        <is>
          <t>ÖSTERGÖTLANDS LÄN</t>
        </is>
      </c>
      <c r="E541" t="inlineStr">
        <is>
          <t>LINKÖPING</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30468-2023</t>
        </is>
      </c>
      <c r="B542" s="1" t="n">
        <v>45111.58732638889</v>
      </c>
      <c r="C542" s="1" t="n">
        <v>46059</v>
      </c>
      <c r="D542" t="inlineStr">
        <is>
          <t>ÖSTERGÖTLANDS LÄN</t>
        </is>
      </c>
      <c r="E542" t="inlineStr">
        <is>
          <t>LINKÖPING</t>
        </is>
      </c>
      <c r="G542" t="n">
        <v>10.1</v>
      </c>
      <c r="H542" t="n">
        <v>0</v>
      </c>
      <c r="I542" t="n">
        <v>0</v>
      </c>
      <c r="J542" t="n">
        <v>0</v>
      </c>
      <c r="K542" t="n">
        <v>0</v>
      </c>
      <c r="L542" t="n">
        <v>0</v>
      </c>
      <c r="M542" t="n">
        <v>0</v>
      </c>
      <c r="N542" t="n">
        <v>0</v>
      </c>
      <c r="O542" t="n">
        <v>0</v>
      </c>
      <c r="P542" t="n">
        <v>0</v>
      </c>
      <c r="Q542" t="n">
        <v>0</v>
      </c>
      <c r="R542" s="2" t="inlineStr"/>
    </row>
    <row r="543" ht="15" customHeight="1">
      <c r="A543" t="inlineStr">
        <is>
          <t>A 20296-2025</t>
        </is>
      </c>
      <c r="B543" s="1" t="n">
        <v>45774.74922453704</v>
      </c>
      <c r="C543" s="1" t="n">
        <v>46059</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56841-2023</t>
        </is>
      </c>
      <c r="B544" s="1" t="n">
        <v>45244</v>
      </c>
      <c r="C544" s="1" t="n">
        <v>46059</v>
      </c>
      <c r="D544" t="inlineStr">
        <is>
          <t>ÖSTERGÖTLANDS LÄN</t>
        </is>
      </c>
      <c r="E544" t="inlineStr">
        <is>
          <t>LINKÖPING</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53812-2023</t>
        </is>
      </c>
      <c r="B545" s="1" t="n">
        <v>45231.39583333334</v>
      </c>
      <c r="C545" s="1" t="n">
        <v>46059</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53830-2023</t>
        </is>
      </c>
      <c r="B546" s="1" t="n">
        <v>45230</v>
      </c>
      <c r="C546" s="1" t="n">
        <v>46059</v>
      </c>
      <c r="D546" t="inlineStr">
        <is>
          <t>ÖSTERGÖTLANDS LÄN</t>
        </is>
      </c>
      <c r="E546" t="inlineStr">
        <is>
          <t>LINKÖPING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38715-2023</t>
        </is>
      </c>
      <c r="B547" s="1" t="n">
        <v>45160</v>
      </c>
      <c r="C547" s="1" t="n">
        <v>46059</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27766-2022</t>
        </is>
      </c>
      <c r="B548" s="1" t="n">
        <v>44743.53112268518</v>
      </c>
      <c r="C548" s="1" t="n">
        <v>46059</v>
      </c>
      <c r="D548" t="inlineStr">
        <is>
          <t>ÖSTERGÖTLANDS LÄN</t>
        </is>
      </c>
      <c r="E548" t="inlineStr">
        <is>
          <t>LINKÖPING</t>
        </is>
      </c>
      <c r="G548" t="n">
        <v>2</v>
      </c>
      <c r="H548" t="n">
        <v>0</v>
      </c>
      <c r="I548" t="n">
        <v>0</v>
      </c>
      <c r="J548" t="n">
        <v>0</v>
      </c>
      <c r="K548" t="n">
        <v>0</v>
      </c>
      <c r="L548" t="n">
        <v>0</v>
      </c>
      <c r="M548" t="n">
        <v>0</v>
      </c>
      <c r="N548" t="n">
        <v>0</v>
      </c>
      <c r="O548" t="n">
        <v>0</v>
      </c>
      <c r="P548" t="n">
        <v>0</v>
      </c>
      <c r="Q548" t="n">
        <v>0</v>
      </c>
      <c r="R548" s="2" t="inlineStr"/>
    </row>
    <row r="549" ht="15" customHeight="1">
      <c r="A549" t="inlineStr">
        <is>
          <t>A 48271-2023</t>
        </is>
      </c>
      <c r="B549" s="1" t="n">
        <v>45205</v>
      </c>
      <c r="C549" s="1" t="n">
        <v>46059</v>
      </c>
      <c r="D549" t="inlineStr">
        <is>
          <t>ÖSTERGÖTLANDS LÄN</t>
        </is>
      </c>
      <c r="E549" t="inlineStr">
        <is>
          <t>LINKÖPING</t>
        </is>
      </c>
      <c r="G549" t="n">
        <v>3</v>
      </c>
      <c r="H549" t="n">
        <v>0</v>
      </c>
      <c r="I549" t="n">
        <v>0</v>
      </c>
      <c r="J549" t="n">
        <v>0</v>
      </c>
      <c r="K549" t="n">
        <v>0</v>
      </c>
      <c r="L549" t="n">
        <v>0</v>
      </c>
      <c r="M549" t="n">
        <v>0</v>
      </c>
      <c r="N549" t="n">
        <v>0</v>
      </c>
      <c r="O549" t="n">
        <v>0</v>
      </c>
      <c r="P549" t="n">
        <v>0</v>
      </c>
      <c r="Q549" t="n">
        <v>0</v>
      </c>
      <c r="R549" s="2" t="inlineStr"/>
    </row>
    <row r="550" ht="15" customHeight="1">
      <c r="A550" t="inlineStr">
        <is>
          <t>A 13266-2025</t>
        </is>
      </c>
      <c r="B550" s="1" t="n">
        <v>45735.53318287037</v>
      </c>
      <c r="C550" s="1" t="n">
        <v>46059</v>
      </c>
      <c r="D550" t="inlineStr">
        <is>
          <t>ÖSTERGÖTLANDS LÄN</t>
        </is>
      </c>
      <c r="E550" t="inlineStr">
        <is>
          <t>LINKÖPING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60001-2022</t>
        </is>
      </c>
      <c r="B551" s="1" t="n">
        <v>44909.47087962963</v>
      </c>
      <c r="C551" s="1" t="n">
        <v>46059</v>
      </c>
      <c r="D551" t="inlineStr">
        <is>
          <t>ÖSTERGÖTLANDS LÄN</t>
        </is>
      </c>
      <c r="E551" t="inlineStr">
        <is>
          <t>LINKÖPING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1657-2024</t>
        </is>
      </c>
      <c r="B552" s="1" t="n">
        <v>45306.82501157407</v>
      </c>
      <c r="C552" s="1" t="n">
        <v>46059</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30976-2022</t>
        </is>
      </c>
      <c r="B553" s="1" t="n">
        <v>44768</v>
      </c>
      <c r="C553" s="1" t="n">
        <v>46059</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30860-2022</t>
        </is>
      </c>
      <c r="B554" s="1" t="n">
        <v>44767</v>
      </c>
      <c r="C554" s="1" t="n">
        <v>46059</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48186-2022</t>
        </is>
      </c>
      <c r="B555" s="1" t="n">
        <v>44858</v>
      </c>
      <c r="C555" s="1" t="n">
        <v>46059</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28266-2024</t>
        </is>
      </c>
      <c r="B556" s="1" t="n">
        <v>45477.43600694444</v>
      </c>
      <c r="C556" s="1" t="n">
        <v>46059</v>
      </c>
      <c r="D556" t="inlineStr">
        <is>
          <t>ÖSTERGÖTLANDS LÄN</t>
        </is>
      </c>
      <c r="E556" t="inlineStr">
        <is>
          <t>LINKÖPING</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31548-2022</t>
        </is>
      </c>
      <c r="B557" s="1" t="n">
        <v>44775.39832175926</v>
      </c>
      <c r="C557" s="1" t="n">
        <v>46059</v>
      </c>
      <c r="D557" t="inlineStr">
        <is>
          <t>ÖSTERGÖTLANDS LÄN</t>
        </is>
      </c>
      <c r="E557" t="inlineStr">
        <is>
          <t>LINKÖPING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1211-2023</t>
        </is>
      </c>
      <c r="B558" s="1" t="n">
        <v>44930</v>
      </c>
      <c r="C558" s="1" t="n">
        <v>46059</v>
      </c>
      <c r="D558" t="inlineStr">
        <is>
          <t>ÖSTERGÖTLANDS LÄN</t>
        </is>
      </c>
      <c r="E558" t="inlineStr">
        <is>
          <t>LINKÖPING</t>
        </is>
      </c>
      <c r="F558" t="inlineStr">
        <is>
          <t>Övriga statliga verk och myndigheter</t>
        </is>
      </c>
      <c r="G558" t="n">
        <v>7.9</v>
      </c>
      <c r="H558" t="n">
        <v>0</v>
      </c>
      <c r="I558" t="n">
        <v>0</v>
      </c>
      <c r="J558" t="n">
        <v>0</v>
      </c>
      <c r="K558" t="n">
        <v>0</v>
      </c>
      <c r="L558" t="n">
        <v>0</v>
      </c>
      <c r="M558" t="n">
        <v>0</v>
      </c>
      <c r="N558" t="n">
        <v>0</v>
      </c>
      <c r="O558" t="n">
        <v>0</v>
      </c>
      <c r="P558" t="n">
        <v>0</v>
      </c>
      <c r="Q558" t="n">
        <v>0</v>
      </c>
      <c r="R558" s="2" t="inlineStr"/>
    </row>
    <row r="559" ht="15" customHeight="1">
      <c r="A559" t="inlineStr">
        <is>
          <t>A 51191-2022</t>
        </is>
      </c>
      <c r="B559" s="1" t="n">
        <v>44865</v>
      </c>
      <c r="C559" s="1" t="n">
        <v>46059</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55632-2022</t>
        </is>
      </c>
      <c r="B560" s="1" t="n">
        <v>44888</v>
      </c>
      <c r="C560" s="1" t="n">
        <v>46059</v>
      </c>
      <c r="D560" t="inlineStr">
        <is>
          <t>ÖSTERGÖTLANDS LÄN</t>
        </is>
      </c>
      <c r="E560" t="inlineStr">
        <is>
          <t>LINKÖPING</t>
        </is>
      </c>
      <c r="G560" t="n">
        <v>1.8</v>
      </c>
      <c r="H560" t="n">
        <v>0</v>
      </c>
      <c r="I560" t="n">
        <v>0</v>
      </c>
      <c r="J560" t="n">
        <v>0</v>
      </c>
      <c r="K560" t="n">
        <v>0</v>
      </c>
      <c r="L560" t="n">
        <v>0</v>
      </c>
      <c r="M560" t="n">
        <v>0</v>
      </c>
      <c r="N560" t="n">
        <v>0</v>
      </c>
      <c r="O560" t="n">
        <v>0</v>
      </c>
      <c r="P560" t="n">
        <v>0</v>
      </c>
      <c r="Q560" t="n">
        <v>0</v>
      </c>
      <c r="R560" s="2" t="inlineStr"/>
    </row>
    <row r="561" ht="15" customHeight="1">
      <c r="A561" t="inlineStr">
        <is>
          <t>A 63669-2023</t>
        </is>
      </c>
      <c r="B561" s="1" t="n">
        <v>45275</v>
      </c>
      <c r="C561" s="1" t="n">
        <v>46059</v>
      </c>
      <c r="D561" t="inlineStr">
        <is>
          <t>ÖSTERGÖTLANDS LÄN</t>
        </is>
      </c>
      <c r="E561" t="inlineStr">
        <is>
          <t>LINKÖPING</t>
        </is>
      </c>
      <c r="F561" t="inlineStr">
        <is>
          <t>Övriga Aktiebolag</t>
        </is>
      </c>
      <c r="G561" t="n">
        <v>3</v>
      </c>
      <c r="H561" t="n">
        <v>0</v>
      </c>
      <c r="I561" t="n">
        <v>0</v>
      </c>
      <c r="J561" t="n">
        <v>0</v>
      </c>
      <c r="K561" t="n">
        <v>0</v>
      </c>
      <c r="L561" t="n">
        <v>0</v>
      </c>
      <c r="M561" t="n">
        <v>0</v>
      </c>
      <c r="N561" t="n">
        <v>0</v>
      </c>
      <c r="O561" t="n">
        <v>0</v>
      </c>
      <c r="P561" t="n">
        <v>0</v>
      </c>
      <c r="Q561" t="n">
        <v>0</v>
      </c>
      <c r="R561" s="2" t="inlineStr"/>
    </row>
    <row r="562" ht="15" customHeight="1">
      <c r="A562" t="inlineStr">
        <is>
          <t>A 12289-2025</t>
        </is>
      </c>
      <c r="B562" s="1" t="n">
        <v>45729</v>
      </c>
      <c r="C562" s="1" t="n">
        <v>46059</v>
      </c>
      <c r="D562" t="inlineStr">
        <is>
          <t>ÖSTERGÖTLANDS LÄN</t>
        </is>
      </c>
      <c r="E562" t="inlineStr">
        <is>
          <t>LINKÖPING</t>
        </is>
      </c>
      <c r="F562" t="inlineStr">
        <is>
          <t>Övriga statliga verk och myndigheter</t>
        </is>
      </c>
      <c r="G562" t="n">
        <v>6.5</v>
      </c>
      <c r="H562" t="n">
        <v>0</v>
      </c>
      <c r="I562" t="n">
        <v>0</v>
      </c>
      <c r="J562" t="n">
        <v>0</v>
      </c>
      <c r="K562" t="n">
        <v>0</v>
      </c>
      <c r="L562" t="n">
        <v>0</v>
      </c>
      <c r="M562" t="n">
        <v>0</v>
      </c>
      <c r="N562" t="n">
        <v>0</v>
      </c>
      <c r="O562" t="n">
        <v>0</v>
      </c>
      <c r="P562" t="n">
        <v>0</v>
      </c>
      <c r="Q562" t="n">
        <v>0</v>
      </c>
      <c r="R562" s="2" t="inlineStr"/>
    </row>
    <row r="563" ht="15" customHeight="1">
      <c r="A563" t="inlineStr">
        <is>
          <t>A 36657-2023</t>
        </is>
      </c>
      <c r="B563" s="1" t="n">
        <v>45153.5702662037</v>
      </c>
      <c r="C563" s="1" t="n">
        <v>46059</v>
      </c>
      <c r="D563" t="inlineStr">
        <is>
          <t>ÖSTERGÖTLANDS LÄN</t>
        </is>
      </c>
      <c r="E563" t="inlineStr">
        <is>
          <t>LINKÖPING</t>
        </is>
      </c>
      <c r="F563" t="inlineStr">
        <is>
          <t>Allmännings- och besparingsskogar</t>
        </is>
      </c>
      <c r="G563" t="n">
        <v>2</v>
      </c>
      <c r="H563" t="n">
        <v>0</v>
      </c>
      <c r="I563" t="n">
        <v>0</v>
      </c>
      <c r="J563" t="n">
        <v>0</v>
      </c>
      <c r="K563" t="n">
        <v>0</v>
      </c>
      <c r="L563" t="n">
        <v>0</v>
      </c>
      <c r="M563" t="n">
        <v>0</v>
      </c>
      <c r="N563" t="n">
        <v>0</v>
      </c>
      <c r="O563" t="n">
        <v>0</v>
      </c>
      <c r="P563" t="n">
        <v>0</v>
      </c>
      <c r="Q563" t="n">
        <v>0</v>
      </c>
      <c r="R563" s="2" t="inlineStr"/>
    </row>
    <row r="564" ht="15" customHeight="1">
      <c r="A564" t="inlineStr">
        <is>
          <t>A 19169-2023</t>
        </is>
      </c>
      <c r="B564" s="1" t="n">
        <v>45044</v>
      </c>
      <c r="C564" s="1" t="n">
        <v>46059</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1209-2023</t>
        </is>
      </c>
      <c r="B565" s="1" t="n">
        <v>44930</v>
      </c>
      <c r="C565" s="1" t="n">
        <v>46059</v>
      </c>
      <c r="D565" t="inlineStr">
        <is>
          <t>ÖSTERGÖTLANDS LÄN</t>
        </is>
      </c>
      <c r="E565" t="inlineStr">
        <is>
          <t>LINKÖPING</t>
        </is>
      </c>
      <c r="F565" t="inlineStr">
        <is>
          <t>Övriga statliga verk och myndigheter</t>
        </is>
      </c>
      <c r="G565" t="n">
        <v>25.8</v>
      </c>
      <c r="H565" t="n">
        <v>0</v>
      </c>
      <c r="I565" t="n">
        <v>0</v>
      </c>
      <c r="J565" t="n">
        <v>0</v>
      </c>
      <c r="K565" t="n">
        <v>0</v>
      </c>
      <c r="L565" t="n">
        <v>0</v>
      </c>
      <c r="M565" t="n">
        <v>0</v>
      </c>
      <c r="N565" t="n">
        <v>0</v>
      </c>
      <c r="O565" t="n">
        <v>0</v>
      </c>
      <c r="P565" t="n">
        <v>0</v>
      </c>
      <c r="Q565" t="n">
        <v>0</v>
      </c>
      <c r="R565" s="2" t="inlineStr"/>
    </row>
    <row r="566" ht="15" customHeight="1">
      <c r="A566" t="inlineStr">
        <is>
          <t>A 2085-2024</t>
        </is>
      </c>
      <c r="B566" s="1" t="n">
        <v>45309</v>
      </c>
      <c r="C566" s="1" t="n">
        <v>46059</v>
      </c>
      <c r="D566" t="inlineStr">
        <is>
          <t>ÖSTERGÖTLANDS LÄN</t>
        </is>
      </c>
      <c r="E566" t="inlineStr">
        <is>
          <t>LINKÖPING</t>
        </is>
      </c>
      <c r="G566" t="n">
        <v>4.5</v>
      </c>
      <c r="H566" t="n">
        <v>0</v>
      </c>
      <c r="I566" t="n">
        <v>0</v>
      </c>
      <c r="J566" t="n">
        <v>0</v>
      </c>
      <c r="K566" t="n">
        <v>0</v>
      </c>
      <c r="L566" t="n">
        <v>0</v>
      </c>
      <c r="M566" t="n">
        <v>0</v>
      </c>
      <c r="N566" t="n">
        <v>0</v>
      </c>
      <c r="O566" t="n">
        <v>0</v>
      </c>
      <c r="P566" t="n">
        <v>0</v>
      </c>
      <c r="Q566" t="n">
        <v>0</v>
      </c>
      <c r="R566" s="2" t="inlineStr"/>
    </row>
    <row r="567" ht="15" customHeight="1">
      <c r="A567" t="inlineStr">
        <is>
          <t>A 48-2024</t>
        </is>
      </c>
      <c r="B567" s="1" t="n">
        <v>45293</v>
      </c>
      <c r="C567" s="1" t="n">
        <v>46059</v>
      </c>
      <c r="D567" t="inlineStr">
        <is>
          <t>ÖSTERGÖTLANDS LÄN</t>
        </is>
      </c>
      <c r="E567" t="inlineStr">
        <is>
          <t>LINKÖPING</t>
        </is>
      </c>
      <c r="G567" t="n">
        <v>4.6</v>
      </c>
      <c r="H567" t="n">
        <v>0</v>
      </c>
      <c r="I567" t="n">
        <v>0</v>
      </c>
      <c r="J567" t="n">
        <v>0</v>
      </c>
      <c r="K567" t="n">
        <v>0</v>
      </c>
      <c r="L567" t="n">
        <v>0</v>
      </c>
      <c r="M567" t="n">
        <v>0</v>
      </c>
      <c r="N567" t="n">
        <v>0</v>
      </c>
      <c r="O567" t="n">
        <v>0</v>
      </c>
      <c r="P567" t="n">
        <v>0</v>
      </c>
      <c r="Q567" t="n">
        <v>0</v>
      </c>
      <c r="R567" s="2" t="inlineStr"/>
    </row>
    <row r="568" ht="15" customHeight="1">
      <c r="A568" t="inlineStr">
        <is>
          <t>A 56560-2023</t>
        </is>
      </c>
      <c r="B568" s="1" t="n">
        <v>45238</v>
      </c>
      <c r="C568" s="1" t="n">
        <v>46059</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19132-2023</t>
        </is>
      </c>
      <c r="B569" s="1" t="n">
        <v>45048.54754629629</v>
      </c>
      <c r="C569" s="1" t="n">
        <v>46059</v>
      </c>
      <c r="D569" t="inlineStr">
        <is>
          <t>ÖSTERGÖTLANDS LÄN</t>
        </is>
      </c>
      <c r="E569" t="inlineStr">
        <is>
          <t>LINKÖPING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52412-2023</t>
        </is>
      </c>
      <c r="B570" s="1" t="n">
        <v>45225.27888888889</v>
      </c>
      <c r="C570" s="1" t="n">
        <v>46059</v>
      </c>
      <c r="D570" t="inlineStr">
        <is>
          <t>ÖSTERGÖTLANDS LÄN</t>
        </is>
      </c>
      <c r="E570" t="inlineStr">
        <is>
          <t>LINKÖPING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62492-2023</t>
        </is>
      </c>
      <c r="B571" s="1" t="n">
        <v>45268.58987268519</v>
      </c>
      <c r="C571" s="1" t="n">
        <v>46059</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38230-2023</t>
        </is>
      </c>
      <c r="B572" s="1" t="n">
        <v>45161.55373842592</v>
      </c>
      <c r="C572" s="1" t="n">
        <v>46059</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56756-2023</t>
        </is>
      </c>
      <c r="B573" s="1" t="n">
        <v>45244</v>
      </c>
      <c r="C573" s="1" t="n">
        <v>46059</v>
      </c>
      <c r="D573" t="inlineStr">
        <is>
          <t>ÖSTERGÖTLANDS LÄN</t>
        </is>
      </c>
      <c r="E573" t="inlineStr">
        <is>
          <t>LINKÖPING</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38886-2024</t>
        </is>
      </c>
      <c r="B574" s="1" t="n">
        <v>45547.66443287037</v>
      </c>
      <c r="C574" s="1" t="n">
        <v>46059</v>
      </c>
      <c r="D574" t="inlineStr">
        <is>
          <t>ÖSTERGÖTLANDS LÄN</t>
        </is>
      </c>
      <c r="E574" t="inlineStr">
        <is>
          <t>LINKÖPING</t>
        </is>
      </c>
      <c r="G574" t="n">
        <v>5.3</v>
      </c>
      <c r="H574" t="n">
        <v>0</v>
      </c>
      <c r="I574" t="n">
        <v>0</v>
      </c>
      <c r="J574" t="n">
        <v>0</v>
      </c>
      <c r="K574" t="n">
        <v>0</v>
      </c>
      <c r="L574" t="n">
        <v>0</v>
      </c>
      <c r="M574" t="n">
        <v>0</v>
      </c>
      <c r="N574" t="n">
        <v>0</v>
      </c>
      <c r="O574" t="n">
        <v>0</v>
      </c>
      <c r="P574" t="n">
        <v>0</v>
      </c>
      <c r="Q574" t="n">
        <v>0</v>
      </c>
      <c r="R574" s="2" t="inlineStr"/>
    </row>
    <row r="575" ht="15" customHeight="1">
      <c r="A575" t="inlineStr">
        <is>
          <t>A 11590-2023</t>
        </is>
      </c>
      <c r="B575" s="1" t="n">
        <v>44994.36689814815</v>
      </c>
      <c r="C575" s="1" t="n">
        <v>46059</v>
      </c>
      <c r="D575" t="inlineStr">
        <is>
          <t>ÖSTERGÖTLANDS LÄN</t>
        </is>
      </c>
      <c r="E575" t="inlineStr">
        <is>
          <t>LINKÖPING</t>
        </is>
      </c>
      <c r="G575" t="n">
        <v>3.1</v>
      </c>
      <c r="H575" t="n">
        <v>0</v>
      </c>
      <c r="I575" t="n">
        <v>0</v>
      </c>
      <c r="J575" t="n">
        <v>0</v>
      </c>
      <c r="K575" t="n">
        <v>0</v>
      </c>
      <c r="L575" t="n">
        <v>0</v>
      </c>
      <c r="M575" t="n">
        <v>0</v>
      </c>
      <c r="N575" t="n">
        <v>0</v>
      </c>
      <c r="O575" t="n">
        <v>0</v>
      </c>
      <c r="P575" t="n">
        <v>0</v>
      </c>
      <c r="Q575" t="n">
        <v>0</v>
      </c>
      <c r="R575" s="2" t="inlineStr"/>
    </row>
    <row r="576" ht="15" customHeight="1">
      <c r="A576" t="inlineStr">
        <is>
          <t>A 10461-2023</t>
        </is>
      </c>
      <c r="B576" s="1" t="n">
        <v>44987.5969212963</v>
      </c>
      <c r="C576" s="1" t="n">
        <v>46059</v>
      </c>
      <c r="D576" t="inlineStr">
        <is>
          <t>ÖSTERGÖTLANDS LÄN</t>
        </is>
      </c>
      <c r="E576" t="inlineStr">
        <is>
          <t>LINKÖPING</t>
        </is>
      </c>
      <c r="G576" t="n">
        <v>7.8</v>
      </c>
      <c r="H576" t="n">
        <v>0</v>
      </c>
      <c r="I576" t="n">
        <v>0</v>
      </c>
      <c r="J576" t="n">
        <v>0</v>
      </c>
      <c r="K576" t="n">
        <v>0</v>
      </c>
      <c r="L576" t="n">
        <v>0</v>
      </c>
      <c r="M576" t="n">
        <v>0</v>
      </c>
      <c r="N576" t="n">
        <v>0</v>
      </c>
      <c r="O576" t="n">
        <v>0</v>
      </c>
      <c r="P576" t="n">
        <v>0</v>
      </c>
      <c r="Q576" t="n">
        <v>0</v>
      </c>
      <c r="R576" s="2" t="inlineStr"/>
    </row>
    <row r="577" ht="15" customHeight="1">
      <c r="A577" t="inlineStr">
        <is>
          <t>A 41345-2021</t>
        </is>
      </c>
      <c r="B577" s="1" t="n">
        <v>44424.61851851852</v>
      </c>
      <c r="C577" s="1" t="n">
        <v>46059</v>
      </c>
      <c r="D577" t="inlineStr">
        <is>
          <t>ÖSTERGÖTLANDS LÄN</t>
        </is>
      </c>
      <c r="E577" t="inlineStr">
        <is>
          <t>LINKÖPING</t>
        </is>
      </c>
      <c r="F577" t="inlineStr">
        <is>
          <t>Sveaskog</t>
        </is>
      </c>
      <c r="G577" t="n">
        <v>6.3</v>
      </c>
      <c r="H577" t="n">
        <v>0</v>
      </c>
      <c r="I577" t="n">
        <v>0</v>
      </c>
      <c r="J577" t="n">
        <v>0</v>
      </c>
      <c r="K577" t="n">
        <v>0</v>
      </c>
      <c r="L577" t="n">
        <v>0</v>
      </c>
      <c r="M577" t="n">
        <v>0</v>
      </c>
      <c r="N577" t="n">
        <v>0</v>
      </c>
      <c r="O577" t="n">
        <v>0</v>
      </c>
      <c r="P577" t="n">
        <v>0</v>
      </c>
      <c r="Q577" t="n">
        <v>0</v>
      </c>
      <c r="R577" s="2" t="inlineStr"/>
    </row>
    <row r="578" ht="15" customHeight="1">
      <c r="A578" t="inlineStr">
        <is>
          <t>A 61307-2021</t>
        </is>
      </c>
      <c r="B578" s="1" t="n">
        <v>44498.63928240741</v>
      </c>
      <c r="C578" s="1" t="n">
        <v>46059</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61325-2021</t>
        </is>
      </c>
      <c r="B579" s="1" t="n">
        <v>44498.66814814815</v>
      </c>
      <c r="C579" s="1" t="n">
        <v>46059</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60010-2022</t>
        </is>
      </c>
      <c r="B580" s="1" t="n">
        <v>44909.4740625</v>
      </c>
      <c r="C580" s="1" t="n">
        <v>46059</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30518-2024</t>
        </is>
      </c>
      <c r="B581" s="1" t="n">
        <v>45492</v>
      </c>
      <c r="C581" s="1" t="n">
        <v>46059</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4908-2023</t>
        </is>
      </c>
      <c r="B582" s="1" t="n">
        <v>44958</v>
      </c>
      <c r="C582" s="1" t="n">
        <v>46059</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37715-2022</t>
        </is>
      </c>
      <c r="B583" s="1" t="n">
        <v>44810</v>
      </c>
      <c r="C583" s="1" t="n">
        <v>46059</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3011-2023</t>
        </is>
      </c>
      <c r="B584" s="1" t="n">
        <v>44945</v>
      </c>
      <c r="C584" s="1" t="n">
        <v>46059</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45442-2024</t>
        </is>
      </c>
      <c r="B585" s="1" t="n">
        <v>45576.64189814815</v>
      </c>
      <c r="C585" s="1" t="n">
        <v>46059</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3432-2023</t>
        </is>
      </c>
      <c r="B586" s="1" t="n">
        <v>44949</v>
      </c>
      <c r="C586" s="1" t="n">
        <v>46059</v>
      </c>
      <c r="D586" t="inlineStr">
        <is>
          <t>ÖSTERGÖTLANDS LÄN</t>
        </is>
      </c>
      <c r="E586" t="inlineStr">
        <is>
          <t>LINKÖPING</t>
        </is>
      </c>
      <c r="G586" t="n">
        <v>1.9</v>
      </c>
      <c r="H586" t="n">
        <v>0</v>
      </c>
      <c r="I586" t="n">
        <v>0</v>
      </c>
      <c r="J586" t="n">
        <v>0</v>
      </c>
      <c r="K586" t="n">
        <v>0</v>
      </c>
      <c r="L586" t="n">
        <v>0</v>
      </c>
      <c r="M586" t="n">
        <v>0</v>
      </c>
      <c r="N586" t="n">
        <v>0</v>
      </c>
      <c r="O586" t="n">
        <v>0</v>
      </c>
      <c r="P586" t="n">
        <v>0</v>
      </c>
      <c r="Q586" t="n">
        <v>0</v>
      </c>
      <c r="R586" s="2" t="inlineStr"/>
    </row>
    <row r="587" ht="15" customHeight="1">
      <c r="A587" t="inlineStr">
        <is>
          <t>A 60472-2022</t>
        </is>
      </c>
      <c r="B587" s="1" t="n">
        <v>44911.41037037037</v>
      </c>
      <c r="C587" s="1" t="n">
        <v>46059</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12720-2022</t>
        </is>
      </c>
      <c r="B588" s="1" t="n">
        <v>44641</v>
      </c>
      <c r="C588" s="1" t="n">
        <v>46059</v>
      </c>
      <c r="D588" t="inlineStr">
        <is>
          <t>ÖSTERGÖTLANDS LÄN</t>
        </is>
      </c>
      <c r="E588" t="inlineStr">
        <is>
          <t>LINKÖPING</t>
        </is>
      </c>
      <c r="F588" t="inlineStr">
        <is>
          <t>Övriga Aktiebolag</t>
        </is>
      </c>
      <c r="G588" t="n">
        <v>2</v>
      </c>
      <c r="H588" t="n">
        <v>0</v>
      </c>
      <c r="I588" t="n">
        <v>0</v>
      </c>
      <c r="J588" t="n">
        <v>0</v>
      </c>
      <c r="K588" t="n">
        <v>0</v>
      </c>
      <c r="L588" t="n">
        <v>0</v>
      </c>
      <c r="M588" t="n">
        <v>0</v>
      </c>
      <c r="N588" t="n">
        <v>0</v>
      </c>
      <c r="O588" t="n">
        <v>0</v>
      </c>
      <c r="P588" t="n">
        <v>0</v>
      </c>
      <c r="Q588" t="n">
        <v>0</v>
      </c>
      <c r="R588" s="2" t="inlineStr"/>
    </row>
    <row r="589" ht="15" customHeight="1">
      <c r="A589" t="inlineStr">
        <is>
          <t>A 45831-2024</t>
        </is>
      </c>
      <c r="B589" s="1" t="n">
        <v>45579.90508101852</v>
      </c>
      <c r="C589" s="1" t="n">
        <v>46059</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57396-2021</t>
        </is>
      </c>
      <c r="B590" s="1" t="n">
        <v>44483.56151620371</v>
      </c>
      <c r="C590" s="1" t="n">
        <v>46059</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22842-2023</t>
        </is>
      </c>
      <c r="B591" s="1" t="n">
        <v>45071</v>
      </c>
      <c r="C591" s="1" t="n">
        <v>46059</v>
      </c>
      <c r="D591" t="inlineStr">
        <is>
          <t>ÖSTERGÖTLANDS LÄN</t>
        </is>
      </c>
      <c r="E591" t="inlineStr">
        <is>
          <t>LINKÖPING</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50386-2021</t>
        </is>
      </c>
      <c r="B592" s="1" t="n">
        <v>44459</v>
      </c>
      <c r="C592" s="1" t="n">
        <v>46059</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35781-2023</t>
        </is>
      </c>
      <c r="B593" s="1" t="n">
        <v>45147</v>
      </c>
      <c r="C593" s="1" t="n">
        <v>46059</v>
      </c>
      <c r="D593" t="inlineStr">
        <is>
          <t>ÖSTERGÖTLANDS LÄN</t>
        </is>
      </c>
      <c r="E593" t="inlineStr">
        <is>
          <t>LINKÖPING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22770-2024</t>
        </is>
      </c>
      <c r="B594" s="1" t="n">
        <v>45448.4634375</v>
      </c>
      <c r="C594" s="1" t="n">
        <v>46059</v>
      </c>
      <c r="D594" t="inlineStr">
        <is>
          <t>ÖSTERGÖTLANDS LÄN</t>
        </is>
      </c>
      <c r="E594" t="inlineStr">
        <is>
          <t>LINKÖPING</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11671-2023</t>
        </is>
      </c>
      <c r="B595" s="1" t="n">
        <v>44994.48125</v>
      </c>
      <c r="C595" s="1" t="n">
        <v>46059</v>
      </c>
      <c r="D595" t="inlineStr">
        <is>
          <t>ÖSTERGÖTLANDS LÄN</t>
        </is>
      </c>
      <c r="E595" t="inlineStr">
        <is>
          <t>LINKÖPING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54425-2022</t>
        </is>
      </c>
      <c r="B596" s="1" t="n">
        <v>44882.57453703704</v>
      </c>
      <c r="C596" s="1" t="n">
        <v>46059</v>
      </c>
      <c r="D596" t="inlineStr">
        <is>
          <t>ÖSTERGÖTLANDS LÄN</t>
        </is>
      </c>
      <c r="E596" t="inlineStr">
        <is>
          <t>LINKÖPING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30547-2023</t>
        </is>
      </c>
      <c r="B597" s="1" t="n">
        <v>45111.75905092592</v>
      </c>
      <c r="C597" s="1" t="n">
        <v>46059</v>
      </c>
      <c r="D597" t="inlineStr">
        <is>
          <t>ÖSTERGÖTLANDS LÄN</t>
        </is>
      </c>
      <c r="E597" t="inlineStr">
        <is>
          <t>LINKÖPING</t>
        </is>
      </c>
      <c r="G597" t="n">
        <v>0.9</v>
      </c>
      <c r="H597" t="n">
        <v>0</v>
      </c>
      <c r="I597" t="n">
        <v>0</v>
      </c>
      <c r="J597" t="n">
        <v>0</v>
      </c>
      <c r="K597" t="n">
        <v>0</v>
      </c>
      <c r="L597" t="n">
        <v>0</v>
      </c>
      <c r="M597" t="n">
        <v>0</v>
      </c>
      <c r="N597" t="n">
        <v>0</v>
      </c>
      <c r="O597" t="n">
        <v>0</v>
      </c>
      <c r="P597" t="n">
        <v>0</v>
      </c>
      <c r="Q597" t="n">
        <v>0</v>
      </c>
      <c r="R597" s="2" t="inlineStr"/>
    </row>
    <row r="598" ht="15" customHeight="1">
      <c r="A598" t="inlineStr">
        <is>
          <t>A 24904-2024</t>
        </is>
      </c>
      <c r="B598" s="1" t="n">
        <v>45461</v>
      </c>
      <c r="C598" s="1" t="n">
        <v>46059</v>
      </c>
      <c r="D598" t="inlineStr">
        <is>
          <t>ÖSTERGÖTLANDS LÄN</t>
        </is>
      </c>
      <c r="E598" t="inlineStr">
        <is>
          <t>LINKÖPING</t>
        </is>
      </c>
      <c r="G598" t="n">
        <v>3.8</v>
      </c>
      <c r="H598" t="n">
        <v>0</v>
      </c>
      <c r="I598" t="n">
        <v>0</v>
      </c>
      <c r="J598" t="n">
        <v>0</v>
      </c>
      <c r="K598" t="n">
        <v>0</v>
      </c>
      <c r="L598" t="n">
        <v>0</v>
      </c>
      <c r="M598" t="n">
        <v>0</v>
      </c>
      <c r="N598" t="n">
        <v>0</v>
      </c>
      <c r="O598" t="n">
        <v>0</v>
      </c>
      <c r="P598" t="n">
        <v>0</v>
      </c>
      <c r="Q598" t="n">
        <v>0</v>
      </c>
      <c r="R598" s="2" t="inlineStr"/>
    </row>
    <row r="599" ht="15" customHeight="1">
      <c r="A599" t="inlineStr">
        <is>
          <t>A 26788-2022</t>
        </is>
      </c>
      <c r="B599" s="1" t="n">
        <v>44740</v>
      </c>
      <c r="C599" s="1" t="n">
        <v>46059</v>
      </c>
      <c r="D599" t="inlineStr">
        <is>
          <t>ÖSTERGÖTLANDS LÄN</t>
        </is>
      </c>
      <c r="E599" t="inlineStr">
        <is>
          <t>LINKÖPING</t>
        </is>
      </c>
      <c r="G599" t="n">
        <v>3.2</v>
      </c>
      <c r="H599" t="n">
        <v>0</v>
      </c>
      <c r="I599" t="n">
        <v>0</v>
      </c>
      <c r="J599" t="n">
        <v>0</v>
      </c>
      <c r="K599" t="n">
        <v>0</v>
      </c>
      <c r="L599" t="n">
        <v>0</v>
      </c>
      <c r="M599" t="n">
        <v>0</v>
      </c>
      <c r="N599" t="n">
        <v>0</v>
      </c>
      <c r="O599" t="n">
        <v>0</v>
      </c>
      <c r="P599" t="n">
        <v>0</v>
      </c>
      <c r="Q599" t="n">
        <v>0</v>
      </c>
      <c r="R599" s="2" t="inlineStr"/>
    </row>
    <row r="600" ht="15" customHeight="1">
      <c r="A600" t="inlineStr">
        <is>
          <t>A 15121-2022</t>
        </is>
      </c>
      <c r="B600" s="1" t="n">
        <v>44658</v>
      </c>
      <c r="C600" s="1" t="n">
        <v>46059</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51919-2024</t>
        </is>
      </c>
      <c r="B601" s="1" t="n">
        <v>45607.60791666667</v>
      </c>
      <c r="C601" s="1" t="n">
        <v>46059</v>
      </c>
      <c r="D601" t="inlineStr">
        <is>
          <t>ÖSTERGÖTLANDS LÄN</t>
        </is>
      </c>
      <c r="E601" t="inlineStr">
        <is>
          <t>LINKÖPING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55009-2023</t>
        </is>
      </c>
      <c r="B602" s="1" t="n">
        <v>45237</v>
      </c>
      <c r="C602" s="1" t="n">
        <v>46059</v>
      </c>
      <c r="D602" t="inlineStr">
        <is>
          <t>ÖSTERGÖTLANDS LÄN</t>
        </is>
      </c>
      <c r="E602" t="inlineStr">
        <is>
          <t>LINKÖPING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20291-2025</t>
        </is>
      </c>
      <c r="B603" s="1" t="n">
        <v>45774.74288194445</v>
      </c>
      <c r="C603" s="1" t="n">
        <v>46059</v>
      </c>
      <c r="D603" t="inlineStr">
        <is>
          <t>ÖSTERGÖTLANDS LÄN</t>
        </is>
      </c>
      <c r="E603" t="inlineStr">
        <is>
          <t>LINKÖPING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20293-2025</t>
        </is>
      </c>
      <c r="B604" s="1" t="n">
        <v>45774.74611111111</v>
      </c>
      <c r="C604" s="1" t="n">
        <v>46059</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660-2023</t>
        </is>
      </c>
      <c r="B605" s="1" t="n">
        <v>44930</v>
      </c>
      <c r="C605" s="1" t="n">
        <v>46059</v>
      </c>
      <c r="D605" t="inlineStr">
        <is>
          <t>ÖSTERGÖTLANDS LÄN</t>
        </is>
      </c>
      <c r="E605" t="inlineStr">
        <is>
          <t>LINKÖPING</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64694-2023</t>
        </is>
      </c>
      <c r="B606" s="1" t="n">
        <v>45281</v>
      </c>
      <c r="C606" s="1" t="n">
        <v>46059</v>
      </c>
      <c r="D606" t="inlineStr">
        <is>
          <t>ÖSTERGÖTLANDS LÄN</t>
        </is>
      </c>
      <c r="E606" t="inlineStr">
        <is>
          <t>LINKÖPING</t>
        </is>
      </c>
      <c r="F606" t="inlineStr">
        <is>
          <t>Övriga statliga verk och myndigheter</t>
        </is>
      </c>
      <c r="G606" t="n">
        <v>4.9</v>
      </c>
      <c r="H606" t="n">
        <v>0</v>
      </c>
      <c r="I606" t="n">
        <v>0</v>
      </c>
      <c r="J606" t="n">
        <v>0</v>
      </c>
      <c r="K606" t="n">
        <v>0</v>
      </c>
      <c r="L606" t="n">
        <v>0</v>
      </c>
      <c r="M606" t="n">
        <v>0</v>
      </c>
      <c r="N606" t="n">
        <v>0</v>
      </c>
      <c r="O606" t="n">
        <v>0</v>
      </c>
      <c r="P606" t="n">
        <v>0</v>
      </c>
      <c r="Q606" t="n">
        <v>0</v>
      </c>
      <c r="R606" s="2" t="inlineStr"/>
    </row>
    <row r="607" ht="15" customHeight="1">
      <c r="A607" t="inlineStr">
        <is>
          <t>A 63487-2023</t>
        </is>
      </c>
      <c r="B607" s="1" t="n">
        <v>45274.66712962963</v>
      </c>
      <c r="C607" s="1" t="n">
        <v>46059</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20455-2024</t>
        </is>
      </c>
      <c r="B608" s="1" t="n">
        <v>45435.65314814815</v>
      </c>
      <c r="C608" s="1" t="n">
        <v>46059</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30471-2023</t>
        </is>
      </c>
      <c r="B609" s="1" t="n">
        <v>45111.58931712963</v>
      </c>
      <c r="C609" s="1" t="n">
        <v>46059</v>
      </c>
      <c r="D609" t="inlineStr">
        <is>
          <t>ÖSTERGÖTLANDS LÄN</t>
        </is>
      </c>
      <c r="E609" t="inlineStr">
        <is>
          <t>LINKÖPING</t>
        </is>
      </c>
      <c r="G609" t="n">
        <v>2.9</v>
      </c>
      <c r="H609" t="n">
        <v>0</v>
      </c>
      <c r="I609" t="n">
        <v>0</v>
      </c>
      <c r="J609" t="n">
        <v>0</v>
      </c>
      <c r="K609" t="n">
        <v>0</v>
      </c>
      <c r="L609" t="n">
        <v>0</v>
      </c>
      <c r="M609" t="n">
        <v>0</v>
      </c>
      <c r="N609" t="n">
        <v>0</v>
      </c>
      <c r="O609" t="n">
        <v>0</v>
      </c>
      <c r="P609" t="n">
        <v>0</v>
      </c>
      <c r="Q609" t="n">
        <v>0</v>
      </c>
      <c r="R609" s="2" t="inlineStr"/>
    </row>
    <row r="610" ht="15" customHeight="1">
      <c r="A610" t="inlineStr">
        <is>
          <t>A 14093-2024</t>
        </is>
      </c>
      <c r="B610" s="1" t="n">
        <v>45392.60278935185</v>
      </c>
      <c r="C610" s="1" t="n">
        <v>46059</v>
      </c>
      <c r="D610" t="inlineStr">
        <is>
          <t>ÖSTERGÖTLANDS LÄN</t>
        </is>
      </c>
      <c r="E610" t="inlineStr">
        <is>
          <t>LINKÖPING</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63304-2021</t>
        </is>
      </c>
      <c r="B611" s="1" t="n">
        <v>44508.4396412037</v>
      </c>
      <c r="C611" s="1" t="n">
        <v>46059</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19362-2023</t>
        </is>
      </c>
      <c r="B612" s="1" t="n">
        <v>45049</v>
      </c>
      <c r="C612" s="1" t="n">
        <v>46059</v>
      </c>
      <c r="D612" t="inlineStr">
        <is>
          <t>ÖSTERGÖTLANDS LÄN</t>
        </is>
      </c>
      <c r="E612" t="inlineStr">
        <is>
          <t>LINKÖPING</t>
        </is>
      </c>
      <c r="G612" t="n">
        <v>0.1</v>
      </c>
      <c r="H612" t="n">
        <v>0</v>
      </c>
      <c r="I612" t="n">
        <v>0</v>
      </c>
      <c r="J612" t="n">
        <v>0</v>
      </c>
      <c r="K612" t="n">
        <v>0</v>
      </c>
      <c r="L612" t="n">
        <v>0</v>
      </c>
      <c r="M612" t="n">
        <v>0</v>
      </c>
      <c r="N612" t="n">
        <v>0</v>
      </c>
      <c r="O612" t="n">
        <v>0</v>
      </c>
      <c r="P612" t="n">
        <v>0</v>
      </c>
      <c r="Q612" t="n">
        <v>0</v>
      </c>
      <c r="R612" s="2" t="inlineStr"/>
    </row>
    <row r="613" ht="15" customHeight="1">
      <c r="A613" t="inlineStr">
        <is>
          <t>A 35463-2023</t>
        </is>
      </c>
      <c r="B613" s="1" t="n">
        <v>45146</v>
      </c>
      <c r="C613" s="1" t="n">
        <v>46059</v>
      </c>
      <c r="D613" t="inlineStr">
        <is>
          <t>ÖSTERGÖTLANDS LÄN</t>
        </is>
      </c>
      <c r="E613" t="inlineStr">
        <is>
          <t>LINKÖPING</t>
        </is>
      </c>
      <c r="F613" t="inlineStr">
        <is>
          <t>Övriga Aktiebolag</t>
        </is>
      </c>
      <c r="G613" t="n">
        <v>1.8</v>
      </c>
      <c r="H613" t="n">
        <v>0</v>
      </c>
      <c r="I613" t="n">
        <v>0</v>
      </c>
      <c r="J613" t="n">
        <v>0</v>
      </c>
      <c r="K613" t="n">
        <v>0</v>
      </c>
      <c r="L613" t="n">
        <v>0</v>
      </c>
      <c r="M613" t="n">
        <v>0</v>
      </c>
      <c r="N613" t="n">
        <v>0</v>
      </c>
      <c r="O613" t="n">
        <v>0</v>
      </c>
      <c r="P613" t="n">
        <v>0</v>
      </c>
      <c r="Q613" t="n">
        <v>0</v>
      </c>
      <c r="R613" s="2" t="inlineStr"/>
    </row>
    <row r="614" ht="15" customHeight="1">
      <c r="A614" t="inlineStr">
        <is>
          <t>A 16111-2022</t>
        </is>
      </c>
      <c r="B614" s="1" t="n">
        <v>44665</v>
      </c>
      <c r="C614" s="1" t="n">
        <v>46059</v>
      </c>
      <c r="D614" t="inlineStr">
        <is>
          <t>ÖSTERGÖTLANDS LÄN</t>
        </is>
      </c>
      <c r="E614" t="inlineStr">
        <is>
          <t>LINKÖPING</t>
        </is>
      </c>
      <c r="F614" t="inlineStr">
        <is>
          <t>Övriga Aktiebolag</t>
        </is>
      </c>
      <c r="G614" t="n">
        <v>2.9</v>
      </c>
      <c r="H614" t="n">
        <v>0</v>
      </c>
      <c r="I614" t="n">
        <v>0</v>
      </c>
      <c r="J614" t="n">
        <v>0</v>
      </c>
      <c r="K614" t="n">
        <v>0</v>
      </c>
      <c r="L614" t="n">
        <v>0</v>
      </c>
      <c r="M614" t="n">
        <v>0</v>
      </c>
      <c r="N614" t="n">
        <v>0</v>
      </c>
      <c r="O614" t="n">
        <v>0</v>
      </c>
      <c r="P614" t="n">
        <v>0</v>
      </c>
      <c r="Q614" t="n">
        <v>0</v>
      </c>
      <c r="R614" s="2" t="inlineStr"/>
    </row>
    <row r="615" ht="15" customHeight="1">
      <c r="A615" t="inlineStr">
        <is>
          <t>A 31635-2023</t>
        </is>
      </c>
      <c r="B615" s="1" t="n">
        <v>45105</v>
      </c>
      <c r="C615" s="1" t="n">
        <v>46059</v>
      </c>
      <c r="D615" t="inlineStr">
        <is>
          <t>ÖSTERGÖTLANDS LÄN</t>
        </is>
      </c>
      <c r="E615" t="inlineStr">
        <is>
          <t>LINKÖPING</t>
        </is>
      </c>
      <c r="F615" t="inlineStr">
        <is>
          <t>Övriga statliga verk och myndigheter</t>
        </is>
      </c>
      <c r="G615" t="n">
        <v>4.6</v>
      </c>
      <c r="H615" t="n">
        <v>0</v>
      </c>
      <c r="I615" t="n">
        <v>0</v>
      </c>
      <c r="J615" t="n">
        <v>0</v>
      </c>
      <c r="K615" t="n">
        <v>0</v>
      </c>
      <c r="L615" t="n">
        <v>0</v>
      </c>
      <c r="M615" t="n">
        <v>0</v>
      </c>
      <c r="N615" t="n">
        <v>0</v>
      </c>
      <c r="O615" t="n">
        <v>0</v>
      </c>
      <c r="P615" t="n">
        <v>0</v>
      </c>
      <c r="Q615" t="n">
        <v>0</v>
      </c>
      <c r="R615" s="2" t="inlineStr"/>
    </row>
    <row r="616" ht="15" customHeight="1">
      <c r="A616" t="inlineStr">
        <is>
          <t>A 49928-2024</t>
        </is>
      </c>
      <c r="B616" s="1" t="n">
        <v>45597.57811342592</v>
      </c>
      <c r="C616" s="1" t="n">
        <v>46059</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54845-2023</t>
        </is>
      </c>
      <c r="B617" s="1" t="n">
        <v>45236</v>
      </c>
      <c r="C617" s="1" t="n">
        <v>46059</v>
      </c>
      <c r="D617" t="inlineStr">
        <is>
          <t>ÖSTERGÖTLANDS LÄN</t>
        </is>
      </c>
      <c r="E617" t="inlineStr">
        <is>
          <t>LINKÖPING</t>
        </is>
      </c>
      <c r="F617" t="inlineStr">
        <is>
          <t>Övriga Aktiebolag</t>
        </is>
      </c>
      <c r="G617" t="n">
        <v>5.7</v>
      </c>
      <c r="H617" t="n">
        <v>0</v>
      </c>
      <c r="I617" t="n">
        <v>0</v>
      </c>
      <c r="J617" t="n">
        <v>0</v>
      </c>
      <c r="K617" t="n">
        <v>0</v>
      </c>
      <c r="L617" t="n">
        <v>0</v>
      </c>
      <c r="M617" t="n">
        <v>0</v>
      </c>
      <c r="N617" t="n">
        <v>0</v>
      </c>
      <c r="O617" t="n">
        <v>0</v>
      </c>
      <c r="P617" t="n">
        <v>0</v>
      </c>
      <c r="Q617" t="n">
        <v>0</v>
      </c>
      <c r="R617" s="2" t="inlineStr"/>
    </row>
    <row r="618" ht="15" customHeight="1">
      <c r="A618" t="inlineStr">
        <is>
          <t>A 46687-2021</t>
        </is>
      </c>
      <c r="B618" s="1" t="n">
        <v>44445</v>
      </c>
      <c r="C618" s="1" t="n">
        <v>46059</v>
      </c>
      <c r="D618" t="inlineStr">
        <is>
          <t>ÖSTERGÖTLANDS LÄN</t>
        </is>
      </c>
      <c r="E618" t="inlineStr">
        <is>
          <t>LINKÖPING</t>
        </is>
      </c>
      <c r="F618" t="inlineStr">
        <is>
          <t>Övriga statliga verk och myndigheter</t>
        </is>
      </c>
      <c r="G618" t="n">
        <v>2.3</v>
      </c>
      <c r="H618" t="n">
        <v>0</v>
      </c>
      <c r="I618" t="n">
        <v>0</v>
      </c>
      <c r="J618" t="n">
        <v>0</v>
      </c>
      <c r="K618" t="n">
        <v>0</v>
      </c>
      <c r="L618" t="n">
        <v>0</v>
      </c>
      <c r="M618" t="n">
        <v>0</v>
      </c>
      <c r="N618" t="n">
        <v>0</v>
      </c>
      <c r="O618" t="n">
        <v>0</v>
      </c>
      <c r="P618" t="n">
        <v>0</v>
      </c>
      <c r="Q618" t="n">
        <v>0</v>
      </c>
      <c r="R618" s="2" t="inlineStr"/>
    </row>
    <row r="619" ht="15" customHeight="1">
      <c r="A619" t="inlineStr">
        <is>
          <t>A 30855-2022</t>
        </is>
      </c>
      <c r="B619" s="1" t="n">
        <v>44767</v>
      </c>
      <c r="C619" s="1" t="n">
        <v>46059</v>
      </c>
      <c r="D619" t="inlineStr">
        <is>
          <t>ÖSTERGÖTLANDS LÄN</t>
        </is>
      </c>
      <c r="E619" t="inlineStr">
        <is>
          <t>LINKÖPING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1355-2023</t>
        </is>
      </c>
      <c r="B620" s="1" t="n">
        <v>44931</v>
      </c>
      <c r="C620" s="1" t="n">
        <v>46059</v>
      </c>
      <c r="D620" t="inlineStr">
        <is>
          <t>ÖSTERGÖTLANDS LÄN</t>
        </is>
      </c>
      <c r="E620" t="inlineStr">
        <is>
          <t>LINKÖPING</t>
        </is>
      </c>
      <c r="G620" t="n">
        <v>4</v>
      </c>
      <c r="H620" t="n">
        <v>0</v>
      </c>
      <c r="I620" t="n">
        <v>0</v>
      </c>
      <c r="J620" t="n">
        <v>0</v>
      </c>
      <c r="K620" t="n">
        <v>0</v>
      </c>
      <c r="L620" t="n">
        <v>0</v>
      </c>
      <c r="M620" t="n">
        <v>0</v>
      </c>
      <c r="N620" t="n">
        <v>0</v>
      </c>
      <c r="O620" t="n">
        <v>0</v>
      </c>
      <c r="P620" t="n">
        <v>0</v>
      </c>
      <c r="Q620" t="n">
        <v>0</v>
      </c>
      <c r="R620" s="2" t="inlineStr"/>
    </row>
    <row r="621" ht="15" customHeight="1">
      <c r="A621" t="inlineStr">
        <is>
          <t>A 27844-2024</t>
        </is>
      </c>
      <c r="B621" s="1" t="n">
        <v>45475.63047453704</v>
      </c>
      <c r="C621" s="1" t="n">
        <v>46059</v>
      </c>
      <c r="D621" t="inlineStr">
        <is>
          <t>ÖSTERGÖTLANDS LÄN</t>
        </is>
      </c>
      <c r="E621" t="inlineStr">
        <is>
          <t>LINKÖPING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10741-2023</t>
        </is>
      </c>
      <c r="B622" s="1" t="n">
        <v>44988.70084490741</v>
      </c>
      <c r="C622" s="1" t="n">
        <v>46059</v>
      </c>
      <c r="D622" t="inlineStr">
        <is>
          <t>ÖSTERGÖTLANDS LÄN</t>
        </is>
      </c>
      <c r="E622" t="inlineStr">
        <is>
          <t>LINKÖPING</t>
        </is>
      </c>
      <c r="F622" t="inlineStr">
        <is>
          <t>Allmännings- och besparingsskogar</t>
        </is>
      </c>
      <c r="G622" t="n">
        <v>11.2</v>
      </c>
      <c r="H622" t="n">
        <v>0</v>
      </c>
      <c r="I622" t="n">
        <v>0</v>
      </c>
      <c r="J622" t="n">
        <v>0</v>
      </c>
      <c r="K622" t="n">
        <v>0</v>
      </c>
      <c r="L622" t="n">
        <v>0</v>
      </c>
      <c r="M622" t="n">
        <v>0</v>
      </c>
      <c r="N622" t="n">
        <v>0</v>
      </c>
      <c r="O622" t="n">
        <v>0</v>
      </c>
      <c r="P622" t="n">
        <v>0</v>
      </c>
      <c r="Q622" t="n">
        <v>0</v>
      </c>
      <c r="R622" s="2" t="inlineStr"/>
    </row>
    <row r="623" ht="15" customHeight="1">
      <c r="A623" t="inlineStr">
        <is>
          <t>A 50963-2021</t>
        </is>
      </c>
      <c r="B623" s="1" t="n">
        <v>44460</v>
      </c>
      <c r="C623" s="1" t="n">
        <v>46059</v>
      </c>
      <c r="D623" t="inlineStr">
        <is>
          <t>ÖSTERGÖTLANDS LÄN</t>
        </is>
      </c>
      <c r="E623" t="inlineStr">
        <is>
          <t>LINKÖPING</t>
        </is>
      </c>
      <c r="G623" t="n">
        <v>4.4</v>
      </c>
      <c r="H623" t="n">
        <v>0</v>
      </c>
      <c r="I623" t="n">
        <v>0</v>
      </c>
      <c r="J623" t="n">
        <v>0</v>
      </c>
      <c r="K623" t="n">
        <v>0</v>
      </c>
      <c r="L623" t="n">
        <v>0</v>
      </c>
      <c r="M623" t="n">
        <v>0</v>
      </c>
      <c r="N623" t="n">
        <v>0</v>
      </c>
      <c r="O623" t="n">
        <v>0</v>
      </c>
      <c r="P623" t="n">
        <v>0</v>
      </c>
      <c r="Q623" t="n">
        <v>0</v>
      </c>
      <c r="R623" s="2" t="inlineStr"/>
    </row>
    <row r="624" ht="15" customHeight="1">
      <c r="A624" t="inlineStr">
        <is>
          <t>A 45821-2024</t>
        </is>
      </c>
      <c r="B624" s="1" t="n">
        <v>45579.75803240741</v>
      </c>
      <c r="C624" s="1" t="n">
        <v>46059</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61936-2023</t>
        </is>
      </c>
      <c r="B625" s="1" t="n">
        <v>45266.54534722222</v>
      </c>
      <c r="C625" s="1" t="n">
        <v>46059</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1263-2024</t>
        </is>
      </c>
      <c r="B626" s="1" t="n">
        <v>45302</v>
      </c>
      <c r="C626" s="1" t="n">
        <v>46059</v>
      </c>
      <c r="D626" t="inlineStr">
        <is>
          <t>ÖSTERGÖTLANDS LÄN</t>
        </is>
      </c>
      <c r="E626" t="inlineStr">
        <is>
          <t>LINKÖPING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24464-2023</t>
        </is>
      </c>
      <c r="B627" s="1" t="n">
        <v>45082.58068287037</v>
      </c>
      <c r="C627" s="1" t="n">
        <v>46059</v>
      </c>
      <c r="D627" t="inlineStr">
        <is>
          <t>ÖSTERGÖTLANDS LÄN</t>
        </is>
      </c>
      <c r="E627" t="inlineStr">
        <is>
          <t>LINKÖPING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48389-2024</t>
        </is>
      </c>
      <c r="B628" s="1" t="n">
        <v>45590.59991898148</v>
      </c>
      <c r="C628" s="1" t="n">
        <v>46059</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61281-2021</t>
        </is>
      </c>
      <c r="B629" s="1" t="n">
        <v>44498.60736111111</v>
      </c>
      <c r="C629" s="1" t="n">
        <v>46059</v>
      </c>
      <c r="D629" t="inlineStr">
        <is>
          <t>ÖSTERGÖTLANDS LÄN</t>
        </is>
      </c>
      <c r="E629" t="inlineStr">
        <is>
          <t>LINKÖPING</t>
        </is>
      </c>
      <c r="G629" t="n">
        <v>4.5</v>
      </c>
      <c r="H629" t="n">
        <v>0</v>
      </c>
      <c r="I629" t="n">
        <v>0</v>
      </c>
      <c r="J629" t="n">
        <v>0</v>
      </c>
      <c r="K629" t="n">
        <v>0</v>
      </c>
      <c r="L629" t="n">
        <v>0</v>
      </c>
      <c r="M629" t="n">
        <v>0</v>
      </c>
      <c r="N629" t="n">
        <v>0</v>
      </c>
      <c r="O629" t="n">
        <v>0</v>
      </c>
      <c r="P629" t="n">
        <v>0</v>
      </c>
      <c r="Q629" t="n">
        <v>0</v>
      </c>
      <c r="R629" s="2" t="inlineStr"/>
    </row>
    <row r="630" ht="15" customHeight="1">
      <c r="A630" t="inlineStr">
        <is>
          <t>A 6369-2023</t>
        </is>
      </c>
      <c r="B630" s="1" t="n">
        <v>44965.61106481482</v>
      </c>
      <c r="C630" s="1" t="n">
        <v>46059</v>
      </c>
      <c r="D630" t="inlineStr">
        <is>
          <t>ÖSTERGÖTLANDS LÄN</t>
        </is>
      </c>
      <c r="E630" t="inlineStr">
        <is>
          <t>LINKÖPING</t>
        </is>
      </c>
      <c r="G630" t="n">
        <v>4</v>
      </c>
      <c r="H630" t="n">
        <v>0</v>
      </c>
      <c r="I630" t="n">
        <v>0</v>
      </c>
      <c r="J630" t="n">
        <v>0</v>
      </c>
      <c r="K630" t="n">
        <v>0</v>
      </c>
      <c r="L630" t="n">
        <v>0</v>
      </c>
      <c r="M630" t="n">
        <v>0</v>
      </c>
      <c r="N630" t="n">
        <v>0</v>
      </c>
      <c r="O630" t="n">
        <v>0</v>
      </c>
      <c r="P630" t="n">
        <v>0</v>
      </c>
      <c r="Q630" t="n">
        <v>0</v>
      </c>
      <c r="R630" s="2" t="inlineStr"/>
    </row>
    <row r="631" ht="15" customHeight="1">
      <c r="A631" t="inlineStr">
        <is>
          <t>A 10094-2024</t>
        </is>
      </c>
      <c r="B631" s="1" t="n">
        <v>45364</v>
      </c>
      <c r="C631" s="1" t="n">
        <v>46059</v>
      </c>
      <c r="D631" t="inlineStr">
        <is>
          <t>ÖSTERGÖTLANDS LÄN</t>
        </is>
      </c>
      <c r="E631" t="inlineStr">
        <is>
          <t>LINKÖPING</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1207-2023</t>
        </is>
      </c>
      <c r="B632" s="1" t="n">
        <v>44930</v>
      </c>
      <c r="C632" s="1" t="n">
        <v>46059</v>
      </c>
      <c r="D632" t="inlineStr">
        <is>
          <t>ÖSTERGÖTLANDS LÄN</t>
        </is>
      </c>
      <c r="E632" t="inlineStr">
        <is>
          <t>LINKÖPING</t>
        </is>
      </c>
      <c r="F632" t="inlineStr">
        <is>
          <t>Övriga statliga verk och myndigheter</t>
        </is>
      </c>
      <c r="G632" t="n">
        <v>32.8</v>
      </c>
      <c r="H632" t="n">
        <v>0</v>
      </c>
      <c r="I632" t="n">
        <v>0</v>
      </c>
      <c r="J632" t="n">
        <v>0</v>
      </c>
      <c r="K632" t="n">
        <v>0</v>
      </c>
      <c r="L632" t="n">
        <v>0</v>
      </c>
      <c r="M632" t="n">
        <v>0</v>
      </c>
      <c r="N632" t="n">
        <v>0</v>
      </c>
      <c r="O632" t="n">
        <v>0</v>
      </c>
      <c r="P632" t="n">
        <v>0</v>
      </c>
      <c r="Q632" t="n">
        <v>0</v>
      </c>
      <c r="R632" s="2" t="inlineStr"/>
    </row>
    <row r="633" ht="15" customHeight="1">
      <c r="A633" t="inlineStr">
        <is>
          <t>A 62015-2024</t>
        </is>
      </c>
      <c r="B633" s="1" t="n">
        <v>45655.80457175926</v>
      </c>
      <c r="C633" s="1" t="n">
        <v>46059</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62020-2024</t>
        </is>
      </c>
      <c r="B634" s="1" t="n">
        <v>45655.83563657408</v>
      </c>
      <c r="C634" s="1" t="n">
        <v>46059</v>
      </c>
      <c r="D634" t="inlineStr">
        <is>
          <t>ÖSTERGÖTLANDS LÄN</t>
        </is>
      </c>
      <c r="E634" t="inlineStr">
        <is>
          <t>LINKÖPING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62021-2024</t>
        </is>
      </c>
      <c r="B635" s="1" t="n">
        <v>45655.84232638889</v>
      </c>
      <c r="C635" s="1" t="n">
        <v>46059</v>
      </c>
      <c r="D635" t="inlineStr">
        <is>
          <t>ÖSTERGÖTLANDS LÄN</t>
        </is>
      </c>
      <c r="E635" t="inlineStr">
        <is>
          <t>LINKÖPING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27891-2021</t>
        </is>
      </c>
      <c r="B636" s="1" t="n">
        <v>44354.65108796296</v>
      </c>
      <c r="C636" s="1" t="n">
        <v>46059</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57391-2023</t>
        </is>
      </c>
      <c r="B637" s="1" t="n">
        <v>45245</v>
      </c>
      <c r="C637" s="1" t="n">
        <v>46059</v>
      </c>
      <c r="D637" t="inlineStr">
        <is>
          <t>ÖSTERGÖTLANDS LÄN</t>
        </is>
      </c>
      <c r="E637" t="inlineStr">
        <is>
          <t>LINKÖPING</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20294-2025</t>
        </is>
      </c>
      <c r="B638" s="1" t="n">
        <v>45774.74667824074</v>
      </c>
      <c r="C638" s="1" t="n">
        <v>46059</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60013-2022</t>
        </is>
      </c>
      <c r="B639" s="1" t="n">
        <v>44909.47482638889</v>
      </c>
      <c r="C639" s="1" t="n">
        <v>46059</v>
      </c>
      <c r="D639" t="inlineStr">
        <is>
          <t>ÖSTERGÖTLANDS LÄN</t>
        </is>
      </c>
      <c r="E639" t="inlineStr">
        <is>
          <t>LINKÖPING</t>
        </is>
      </c>
      <c r="G639" t="n">
        <v>0.9</v>
      </c>
      <c r="H639" t="n">
        <v>0</v>
      </c>
      <c r="I639" t="n">
        <v>0</v>
      </c>
      <c r="J639" t="n">
        <v>0</v>
      </c>
      <c r="K639" t="n">
        <v>0</v>
      </c>
      <c r="L639" t="n">
        <v>0</v>
      </c>
      <c r="M639" t="n">
        <v>0</v>
      </c>
      <c r="N639" t="n">
        <v>0</v>
      </c>
      <c r="O639" t="n">
        <v>0</v>
      </c>
      <c r="P639" t="n">
        <v>0</v>
      </c>
      <c r="Q639" t="n">
        <v>0</v>
      </c>
      <c r="R639" s="2" t="inlineStr"/>
    </row>
    <row r="640" ht="15" customHeight="1">
      <c r="A640" t="inlineStr">
        <is>
          <t>A 3007-2025</t>
        </is>
      </c>
      <c r="B640" s="1" t="n">
        <v>45678.56328703704</v>
      </c>
      <c r="C640" s="1" t="n">
        <v>46059</v>
      </c>
      <c r="D640" t="inlineStr">
        <is>
          <t>ÖSTERGÖTLANDS LÄN</t>
        </is>
      </c>
      <c r="E640" t="inlineStr">
        <is>
          <t>LINKÖPING</t>
        </is>
      </c>
      <c r="G640" t="n">
        <v>3.1</v>
      </c>
      <c r="H640" t="n">
        <v>0</v>
      </c>
      <c r="I640" t="n">
        <v>0</v>
      </c>
      <c r="J640" t="n">
        <v>0</v>
      </c>
      <c r="K640" t="n">
        <v>0</v>
      </c>
      <c r="L640" t="n">
        <v>0</v>
      </c>
      <c r="M640" t="n">
        <v>0</v>
      </c>
      <c r="N640" t="n">
        <v>0</v>
      </c>
      <c r="O640" t="n">
        <v>0</v>
      </c>
      <c r="P640" t="n">
        <v>0</v>
      </c>
      <c r="Q640" t="n">
        <v>0</v>
      </c>
      <c r="R640" s="2" t="inlineStr"/>
    </row>
    <row r="641" ht="15" customHeight="1">
      <c r="A641" t="inlineStr">
        <is>
          <t>A 34877-2023</t>
        </is>
      </c>
      <c r="B641" s="1" t="n">
        <v>45140</v>
      </c>
      <c r="C641" s="1" t="n">
        <v>46059</v>
      </c>
      <c r="D641" t="inlineStr">
        <is>
          <t>ÖSTERGÖTLANDS LÄN</t>
        </is>
      </c>
      <c r="E641" t="inlineStr">
        <is>
          <t>LINKÖPING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1924-2024</t>
        </is>
      </c>
      <c r="B642" s="1" t="n">
        <v>45308</v>
      </c>
      <c r="C642" s="1" t="n">
        <v>46059</v>
      </c>
      <c r="D642" t="inlineStr">
        <is>
          <t>ÖSTERGÖTLANDS LÄN</t>
        </is>
      </c>
      <c r="E642" t="inlineStr">
        <is>
          <t>LINKÖPING</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34558-2022</t>
        </is>
      </c>
      <c r="B643" s="1" t="n">
        <v>44794.57594907407</v>
      </c>
      <c r="C643" s="1" t="n">
        <v>46059</v>
      </c>
      <c r="D643" t="inlineStr">
        <is>
          <t>ÖSTERGÖTLANDS LÄN</t>
        </is>
      </c>
      <c r="E643" t="inlineStr">
        <is>
          <t>LINKÖPING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168-2024</t>
        </is>
      </c>
      <c r="B644" s="1" t="n">
        <v>45294</v>
      </c>
      <c r="C644" s="1" t="n">
        <v>46059</v>
      </c>
      <c r="D644" t="inlineStr">
        <is>
          <t>ÖSTERGÖTLANDS LÄN</t>
        </is>
      </c>
      <c r="E644" t="inlineStr">
        <is>
          <t>LINKÖPING</t>
        </is>
      </c>
      <c r="F644" t="inlineStr">
        <is>
          <t>Allmännings- och besparingsskogar</t>
        </is>
      </c>
      <c r="G644" t="n">
        <v>8.9</v>
      </c>
      <c r="H644" t="n">
        <v>0</v>
      </c>
      <c r="I644" t="n">
        <v>0</v>
      </c>
      <c r="J644" t="n">
        <v>0</v>
      </c>
      <c r="K644" t="n">
        <v>0</v>
      </c>
      <c r="L644" t="n">
        <v>0</v>
      </c>
      <c r="M644" t="n">
        <v>0</v>
      </c>
      <c r="N644" t="n">
        <v>0</v>
      </c>
      <c r="O644" t="n">
        <v>0</v>
      </c>
      <c r="P644" t="n">
        <v>0</v>
      </c>
      <c r="Q644" t="n">
        <v>0</v>
      </c>
      <c r="R644" s="2" t="inlineStr"/>
    </row>
    <row r="645" ht="15" customHeight="1">
      <c r="A645" t="inlineStr">
        <is>
          <t>A 15658-2023</t>
        </is>
      </c>
      <c r="B645" s="1" t="n">
        <v>45021.41194444444</v>
      </c>
      <c r="C645" s="1" t="n">
        <v>46059</v>
      </c>
      <c r="D645" t="inlineStr">
        <is>
          <t>ÖSTERGÖTLANDS LÄN</t>
        </is>
      </c>
      <c r="E645" t="inlineStr">
        <is>
          <t>LINKÖPING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30433-2024</t>
        </is>
      </c>
      <c r="B646" s="1" t="n">
        <v>45491.69741898148</v>
      </c>
      <c r="C646" s="1" t="n">
        <v>46059</v>
      </c>
      <c r="D646" t="inlineStr">
        <is>
          <t>ÖSTERGÖTLANDS LÄN</t>
        </is>
      </c>
      <c r="E646" t="inlineStr">
        <is>
          <t>LINKÖPING</t>
        </is>
      </c>
      <c r="G646" t="n">
        <v>1.7</v>
      </c>
      <c r="H646" t="n">
        <v>0</v>
      </c>
      <c r="I646" t="n">
        <v>0</v>
      </c>
      <c r="J646" t="n">
        <v>0</v>
      </c>
      <c r="K646" t="n">
        <v>0</v>
      </c>
      <c r="L646" t="n">
        <v>0</v>
      </c>
      <c r="M646" t="n">
        <v>0</v>
      </c>
      <c r="N646" t="n">
        <v>0</v>
      </c>
      <c r="O646" t="n">
        <v>0</v>
      </c>
      <c r="P646" t="n">
        <v>0</v>
      </c>
      <c r="Q646" t="n">
        <v>0</v>
      </c>
      <c r="R646" s="2" t="inlineStr"/>
    </row>
    <row r="647" ht="15" customHeight="1">
      <c r="A647" t="inlineStr">
        <is>
          <t>A 52220-2023</t>
        </is>
      </c>
      <c r="B647" s="1" t="n">
        <v>45217</v>
      </c>
      <c r="C647" s="1" t="n">
        <v>46059</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52225-2023</t>
        </is>
      </c>
      <c r="B648" s="1" t="n">
        <v>45217</v>
      </c>
      <c r="C648" s="1" t="n">
        <v>46059</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19464-2024</t>
        </is>
      </c>
      <c r="B649" s="1" t="n">
        <v>45429</v>
      </c>
      <c r="C649" s="1" t="n">
        <v>46059</v>
      </c>
      <c r="D649" t="inlineStr">
        <is>
          <t>ÖSTERGÖTLANDS LÄN</t>
        </is>
      </c>
      <c r="E649" t="inlineStr">
        <is>
          <t>LINKÖPING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42044-2023</t>
        </is>
      </c>
      <c r="B650" s="1" t="n">
        <v>45177</v>
      </c>
      <c r="C650" s="1" t="n">
        <v>46059</v>
      </c>
      <c r="D650" t="inlineStr">
        <is>
          <t>ÖSTERGÖTLANDS LÄN</t>
        </is>
      </c>
      <c r="E650" t="inlineStr">
        <is>
          <t>LINKÖPING</t>
        </is>
      </c>
      <c r="G650" t="n">
        <v>3.9</v>
      </c>
      <c r="H650" t="n">
        <v>0</v>
      </c>
      <c r="I650" t="n">
        <v>0</v>
      </c>
      <c r="J650" t="n">
        <v>0</v>
      </c>
      <c r="K650" t="n">
        <v>0</v>
      </c>
      <c r="L650" t="n">
        <v>0</v>
      </c>
      <c r="M650" t="n">
        <v>0</v>
      </c>
      <c r="N650" t="n">
        <v>0</v>
      </c>
      <c r="O650" t="n">
        <v>0</v>
      </c>
      <c r="P650" t="n">
        <v>0</v>
      </c>
      <c r="Q650" t="n">
        <v>0</v>
      </c>
      <c r="R650" s="2" t="inlineStr"/>
    </row>
    <row r="651" ht="15" customHeight="1">
      <c r="A651" t="inlineStr">
        <is>
          <t>A 630-2024</t>
        </is>
      </c>
      <c r="B651" s="1" t="n">
        <v>45299.67736111111</v>
      </c>
      <c r="C651" s="1" t="n">
        <v>46059</v>
      </c>
      <c r="D651" t="inlineStr">
        <is>
          <t>ÖSTERGÖTLANDS LÄN</t>
        </is>
      </c>
      <c r="E651" t="inlineStr">
        <is>
          <t>LINKÖPING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21782-2024</t>
        </is>
      </c>
      <c r="B652" s="1" t="n">
        <v>45442.63368055555</v>
      </c>
      <c r="C652" s="1" t="n">
        <v>46059</v>
      </c>
      <c r="D652" t="inlineStr">
        <is>
          <t>ÖSTERGÖTLANDS LÄN</t>
        </is>
      </c>
      <c r="E652" t="inlineStr">
        <is>
          <t>LINKÖPING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57766-2023</t>
        </is>
      </c>
      <c r="B653" s="1" t="n">
        <v>45246</v>
      </c>
      <c r="C653" s="1" t="n">
        <v>46059</v>
      </c>
      <c r="D653" t="inlineStr">
        <is>
          <t>ÖSTERGÖTLANDS LÄN</t>
        </is>
      </c>
      <c r="E653" t="inlineStr">
        <is>
          <t>LINKÖPING</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27186-2021</t>
        </is>
      </c>
      <c r="B654" s="1" t="n">
        <v>44350.67715277777</v>
      </c>
      <c r="C654" s="1" t="n">
        <v>46059</v>
      </c>
      <c r="D654" t="inlineStr">
        <is>
          <t>ÖSTERGÖTLANDS LÄN</t>
        </is>
      </c>
      <c r="E654" t="inlineStr">
        <is>
          <t>LINKÖPING</t>
        </is>
      </c>
      <c r="F654" t="inlineStr">
        <is>
          <t>Allmännings- och besparingsskogar</t>
        </is>
      </c>
      <c r="G654" t="n">
        <v>1.4</v>
      </c>
      <c r="H654" t="n">
        <v>0</v>
      </c>
      <c r="I654" t="n">
        <v>0</v>
      </c>
      <c r="J654" t="n">
        <v>0</v>
      </c>
      <c r="K654" t="n">
        <v>0</v>
      </c>
      <c r="L654" t="n">
        <v>0</v>
      </c>
      <c r="M654" t="n">
        <v>0</v>
      </c>
      <c r="N654" t="n">
        <v>0</v>
      </c>
      <c r="O654" t="n">
        <v>0</v>
      </c>
      <c r="P654" t="n">
        <v>0</v>
      </c>
      <c r="Q654" t="n">
        <v>0</v>
      </c>
      <c r="R654" s="2" t="inlineStr"/>
    </row>
    <row r="655" ht="15" customHeight="1">
      <c r="A655" t="inlineStr">
        <is>
          <t>A 10194-2023</t>
        </is>
      </c>
      <c r="B655" s="1" t="n">
        <v>44986.52277777778</v>
      </c>
      <c r="C655" s="1" t="n">
        <v>46059</v>
      </c>
      <c r="D655" t="inlineStr">
        <is>
          <t>ÖSTERGÖTLANDS LÄN</t>
        </is>
      </c>
      <c r="E655" t="inlineStr">
        <is>
          <t>LINKÖPING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55944-2024</t>
        </is>
      </c>
      <c r="B656" s="1" t="n">
        <v>45623.61640046296</v>
      </c>
      <c r="C656" s="1" t="n">
        <v>46059</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55947-2024</t>
        </is>
      </c>
      <c r="B657" s="1" t="n">
        <v>45623</v>
      </c>
      <c r="C657" s="1" t="n">
        <v>46059</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47703-2023</t>
        </is>
      </c>
      <c r="B658" s="1" t="n">
        <v>45203</v>
      </c>
      <c r="C658" s="1" t="n">
        <v>46059</v>
      </c>
      <c r="D658" t="inlineStr">
        <is>
          <t>ÖSTERGÖTLANDS LÄN</t>
        </is>
      </c>
      <c r="E658" t="inlineStr">
        <is>
          <t>LINKÖPING</t>
        </is>
      </c>
      <c r="G658" t="n">
        <v>4.1</v>
      </c>
      <c r="H658" t="n">
        <v>0</v>
      </c>
      <c r="I658" t="n">
        <v>0</v>
      </c>
      <c r="J658" t="n">
        <v>0</v>
      </c>
      <c r="K658" t="n">
        <v>0</v>
      </c>
      <c r="L658" t="n">
        <v>0</v>
      </c>
      <c r="M658" t="n">
        <v>0</v>
      </c>
      <c r="N658" t="n">
        <v>0</v>
      </c>
      <c r="O658" t="n">
        <v>0</v>
      </c>
      <c r="P658" t="n">
        <v>0</v>
      </c>
      <c r="Q658" t="n">
        <v>0</v>
      </c>
      <c r="R658" s="2" t="inlineStr"/>
    </row>
    <row r="659" ht="15" customHeight="1">
      <c r="A659" t="inlineStr">
        <is>
          <t>A 51559-2024</t>
        </is>
      </c>
      <c r="B659" s="1" t="n">
        <v>45604.61431712963</v>
      </c>
      <c r="C659" s="1" t="n">
        <v>46059</v>
      </c>
      <c r="D659" t="inlineStr">
        <is>
          <t>ÖSTERGÖTLANDS LÄN</t>
        </is>
      </c>
      <c r="E659" t="inlineStr">
        <is>
          <t>LINKÖPING</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62353-2022</t>
        </is>
      </c>
      <c r="B660" s="1" t="n">
        <v>44923</v>
      </c>
      <c r="C660" s="1" t="n">
        <v>46059</v>
      </c>
      <c r="D660" t="inlineStr">
        <is>
          <t>ÖSTERGÖTLANDS LÄN</t>
        </is>
      </c>
      <c r="E660" t="inlineStr">
        <is>
          <t>LINKÖPING</t>
        </is>
      </c>
      <c r="F660" t="inlineStr">
        <is>
          <t>Allmännings- och besparingsskogar</t>
        </is>
      </c>
      <c r="G660" t="n">
        <v>1.7</v>
      </c>
      <c r="H660" t="n">
        <v>0</v>
      </c>
      <c r="I660" t="n">
        <v>0</v>
      </c>
      <c r="J660" t="n">
        <v>0</v>
      </c>
      <c r="K660" t="n">
        <v>0</v>
      </c>
      <c r="L660" t="n">
        <v>0</v>
      </c>
      <c r="M660" t="n">
        <v>0</v>
      </c>
      <c r="N660" t="n">
        <v>0</v>
      </c>
      <c r="O660" t="n">
        <v>0</v>
      </c>
      <c r="P660" t="n">
        <v>0</v>
      </c>
      <c r="Q660" t="n">
        <v>0</v>
      </c>
      <c r="R660" s="2" t="inlineStr"/>
    </row>
    <row r="661" ht="15" customHeight="1">
      <c r="A661" t="inlineStr">
        <is>
          <t>A 15754-2025</t>
        </is>
      </c>
      <c r="B661" s="1" t="n">
        <v>45748.56105324074</v>
      </c>
      <c r="C661" s="1" t="n">
        <v>46059</v>
      </c>
      <c r="D661" t="inlineStr">
        <is>
          <t>ÖSTERGÖTLANDS LÄN</t>
        </is>
      </c>
      <c r="E661" t="inlineStr">
        <is>
          <t>LINKÖPING</t>
        </is>
      </c>
      <c r="G661" t="n">
        <v>1.7</v>
      </c>
      <c r="H661" t="n">
        <v>0</v>
      </c>
      <c r="I661" t="n">
        <v>0</v>
      </c>
      <c r="J661" t="n">
        <v>0</v>
      </c>
      <c r="K661" t="n">
        <v>0</v>
      </c>
      <c r="L661" t="n">
        <v>0</v>
      </c>
      <c r="M661" t="n">
        <v>0</v>
      </c>
      <c r="N661" t="n">
        <v>0</v>
      </c>
      <c r="O661" t="n">
        <v>0</v>
      </c>
      <c r="P661" t="n">
        <v>0</v>
      </c>
      <c r="Q661" t="n">
        <v>0</v>
      </c>
      <c r="R661" s="2" t="inlineStr"/>
    </row>
    <row r="662" ht="15" customHeight="1">
      <c r="A662" t="inlineStr">
        <is>
          <t>A 4298-2023</t>
        </is>
      </c>
      <c r="B662" s="1" t="n">
        <v>44953</v>
      </c>
      <c r="C662" s="1" t="n">
        <v>46059</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18145-2021</t>
        </is>
      </c>
      <c r="B663" s="1" t="n">
        <v>44302</v>
      </c>
      <c r="C663" s="1" t="n">
        <v>46059</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25568-2024</t>
        </is>
      </c>
      <c r="B664" s="1" t="n">
        <v>45463.58699074074</v>
      </c>
      <c r="C664" s="1" t="n">
        <v>46059</v>
      </c>
      <c r="D664" t="inlineStr">
        <is>
          <t>ÖSTERGÖTLANDS LÄN</t>
        </is>
      </c>
      <c r="E664" t="inlineStr">
        <is>
          <t>LINKÖPING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38136-2023</t>
        </is>
      </c>
      <c r="B665" s="1" t="n">
        <v>45161.37310185185</v>
      </c>
      <c r="C665" s="1" t="n">
        <v>46059</v>
      </c>
      <c r="D665" t="inlineStr">
        <is>
          <t>ÖSTERGÖTLANDS LÄN</t>
        </is>
      </c>
      <c r="E665" t="inlineStr">
        <is>
          <t>LINKÖPING</t>
        </is>
      </c>
      <c r="G665" t="n">
        <v>5.6</v>
      </c>
      <c r="H665" t="n">
        <v>0</v>
      </c>
      <c r="I665" t="n">
        <v>0</v>
      </c>
      <c r="J665" t="n">
        <v>0</v>
      </c>
      <c r="K665" t="n">
        <v>0</v>
      </c>
      <c r="L665" t="n">
        <v>0</v>
      </c>
      <c r="M665" t="n">
        <v>0</v>
      </c>
      <c r="N665" t="n">
        <v>0</v>
      </c>
      <c r="O665" t="n">
        <v>0</v>
      </c>
      <c r="P665" t="n">
        <v>0</v>
      </c>
      <c r="Q665" t="n">
        <v>0</v>
      </c>
      <c r="R665" s="2" t="inlineStr"/>
    </row>
    <row r="666" ht="15" customHeight="1">
      <c r="A666" t="inlineStr">
        <is>
          <t>A 12317-2025</t>
        </is>
      </c>
      <c r="B666" s="1" t="n">
        <v>45729.8487037037</v>
      </c>
      <c r="C666" s="1" t="n">
        <v>46059</v>
      </c>
      <c r="D666" t="inlineStr">
        <is>
          <t>ÖSTERGÖTLANDS LÄN</t>
        </is>
      </c>
      <c r="E666" t="inlineStr">
        <is>
          <t>LINKÖPING</t>
        </is>
      </c>
      <c r="G666" t="n">
        <v>8</v>
      </c>
      <c r="H666" t="n">
        <v>0</v>
      </c>
      <c r="I666" t="n">
        <v>0</v>
      </c>
      <c r="J666" t="n">
        <v>0</v>
      </c>
      <c r="K666" t="n">
        <v>0</v>
      </c>
      <c r="L666" t="n">
        <v>0</v>
      </c>
      <c r="M666" t="n">
        <v>0</v>
      </c>
      <c r="N666" t="n">
        <v>0</v>
      </c>
      <c r="O666" t="n">
        <v>0</v>
      </c>
      <c r="P666" t="n">
        <v>0</v>
      </c>
      <c r="Q666" t="n">
        <v>0</v>
      </c>
      <c r="R666" s="2" t="inlineStr"/>
    </row>
    <row r="667" ht="15" customHeight="1">
      <c r="A667" t="inlineStr">
        <is>
          <t>A 14528-2025</t>
        </is>
      </c>
      <c r="B667" s="1" t="n">
        <v>45741</v>
      </c>
      <c r="C667" s="1" t="n">
        <v>46059</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61649-2023</t>
        </is>
      </c>
      <c r="B668" s="1" t="n">
        <v>45265</v>
      </c>
      <c r="C668" s="1" t="n">
        <v>46059</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60985-2023</t>
        </is>
      </c>
      <c r="B669" s="1" t="n">
        <v>45261.48429398148</v>
      </c>
      <c r="C669" s="1" t="n">
        <v>46059</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421-2024</t>
        </is>
      </c>
      <c r="B670" s="1" t="n">
        <v>45296.51877314815</v>
      </c>
      <c r="C670" s="1" t="n">
        <v>46059</v>
      </c>
      <c r="D670" t="inlineStr">
        <is>
          <t>ÖSTERGÖTLANDS LÄN</t>
        </is>
      </c>
      <c r="E670" t="inlineStr">
        <is>
          <t>LINKÖPING</t>
        </is>
      </c>
      <c r="G670" t="n">
        <v>3.7</v>
      </c>
      <c r="H670" t="n">
        <v>0</v>
      </c>
      <c r="I670" t="n">
        <v>0</v>
      </c>
      <c r="J670" t="n">
        <v>0</v>
      </c>
      <c r="K670" t="n">
        <v>0</v>
      </c>
      <c r="L670" t="n">
        <v>0</v>
      </c>
      <c r="M670" t="n">
        <v>0</v>
      </c>
      <c r="N670" t="n">
        <v>0</v>
      </c>
      <c r="O670" t="n">
        <v>0</v>
      </c>
      <c r="P670" t="n">
        <v>0</v>
      </c>
      <c r="Q670" t="n">
        <v>0</v>
      </c>
      <c r="R670" s="2" t="inlineStr"/>
    </row>
    <row r="671" ht="15" customHeight="1">
      <c r="A671" t="inlineStr">
        <is>
          <t>A 51405-2023</t>
        </is>
      </c>
      <c r="B671" s="1" t="n">
        <v>45219</v>
      </c>
      <c r="C671" s="1" t="n">
        <v>46059</v>
      </c>
      <c r="D671" t="inlineStr">
        <is>
          <t>ÖSTERGÖTLANDS LÄN</t>
        </is>
      </c>
      <c r="E671" t="inlineStr">
        <is>
          <t>LINKÖPING</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53639-2023</t>
        </is>
      </c>
      <c r="B672" s="1" t="n">
        <v>45230.59686342593</v>
      </c>
      <c r="C672" s="1" t="n">
        <v>46059</v>
      </c>
      <c r="D672" t="inlineStr">
        <is>
          <t>ÖSTERGÖTLANDS LÄN</t>
        </is>
      </c>
      <c r="E672" t="inlineStr">
        <is>
          <t>LINKÖPING</t>
        </is>
      </c>
      <c r="G672" t="n">
        <v>2.3</v>
      </c>
      <c r="H672" t="n">
        <v>0</v>
      </c>
      <c r="I672" t="n">
        <v>0</v>
      </c>
      <c r="J672" t="n">
        <v>0</v>
      </c>
      <c r="K672" t="n">
        <v>0</v>
      </c>
      <c r="L672" t="n">
        <v>0</v>
      </c>
      <c r="M672" t="n">
        <v>0</v>
      </c>
      <c r="N672" t="n">
        <v>0</v>
      </c>
      <c r="O672" t="n">
        <v>0</v>
      </c>
      <c r="P672" t="n">
        <v>0</v>
      </c>
      <c r="Q672" t="n">
        <v>0</v>
      </c>
      <c r="R672" s="2" t="inlineStr"/>
    </row>
    <row r="673" ht="15" customHeight="1">
      <c r="A673" t="inlineStr">
        <is>
          <t>A 24467-2023</t>
        </is>
      </c>
      <c r="B673" s="1" t="n">
        <v>45082</v>
      </c>
      <c r="C673" s="1" t="n">
        <v>46059</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62488-2023</t>
        </is>
      </c>
      <c r="B674" s="1" t="n">
        <v>45268.5847337963</v>
      </c>
      <c r="C674" s="1" t="n">
        <v>46059</v>
      </c>
      <c r="D674" t="inlineStr">
        <is>
          <t>ÖSTERGÖTLANDS LÄN</t>
        </is>
      </c>
      <c r="E674" t="inlineStr">
        <is>
          <t>LINKÖPING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62495-2023</t>
        </is>
      </c>
      <c r="B675" s="1" t="n">
        <v>45268.59717592593</v>
      </c>
      <c r="C675" s="1" t="n">
        <v>46059</v>
      </c>
      <c r="D675" t="inlineStr">
        <is>
          <t>ÖSTERGÖTLANDS LÄN</t>
        </is>
      </c>
      <c r="E675" t="inlineStr">
        <is>
          <t>LINKÖPING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10198-2023</t>
        </is>
      </c>
      <c r="B676" s="1" t="n">
        <v>44986.54665509259</v>
      </c>
      <c r="C676" s="1" t="n">
        <v>46059</v>
      </c>
      <c r="D676" t="inlineStr">
        <is>
          <t>ÖSTERGÖTLANDS LÄN</t>
        </is>
      </c>
      <c r="E676" t="inlineStr">
        <is>
          <t>LINKÖPING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22771-2024</t>
        </is>
      </c>
      <c r="B677" s="1" t="n">
        <v>45448.46574074074</v>
      </c>
      <c r="C677" s="1" t="n">
        <v>46059</v>
      </c>
      <c r="D677" t="inlineStr">
        <is>
          <t>ÖSTERGÖTLANDS LÄN</t>
        </is>
      </c>
      <c r="E677" t="inlineStr">
        <is>
          <t>LINKÖPING</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17128-2025</t>
        </is>
      </c>
      <c r="B678" s="1" t="n">
        <v>45755.72622685185</v>
      </c>
      <c r="C678" s="1" t="n">
        <v>46059</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62018-2024</t>
        </is>
      </c>
      <c r="B679" s="1" t="n">
        <v>45655.81387731482</v>
      </c>
      <c r="C679" s="1" t="n">
        <v>46059</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62073-2023</t>
        </is>
      </c>
      <c r="B680" s="1" t="n">
        <v>45266.73844907407</v>
      </c>
      <c r="C680" s="1" t="n">
        <v>46059</v>
      </c>
      <c r="D680" t="inlineStr">
        <is>
          <t>ÖSTERGÖTLANDS LÄN</t>
        </is>
      </c>
      <c r="E680" t="inlineStr">
        <is>
          <t>LINKÖPING</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672-2024</t>
        </is>
      </c>
      <c r="B681" s="1" t="n">
        <v>45300</v>
      </c>
      <c r="C681" s="1" t="n">
        <v>46059</v>
      </c>
      <c r="D681" t="inlineStr">
        <is>
          <t>ÖSTERGÖTLANDS LÄN</t>
        </is>
      </c>
      <c r="E681" t="inlineStr">
        <is>
          <t>LINKÖPING</t>
        </is>
      </c>
      <c r="F681" t="inlineStr">
        <is>
          <t>Sveaskog</t>
        </is>
      </c>
      <c r="G681" t="n">
        <v>4.5</v>
      </c>
      <c r="H681" t="n">
        <v>0</v>
      </c>
      <c r="I681" t="n">
        <v>0</v>
      </c>
      <c r="J681" t="n">
        <v>0</v>
      </c>
      <c r="K681" t="n">
        <v>0</v>
      </c>
      <c r="L681" t="n">
        <v>0</v>
      </c>
      <c r="M681" t="n">
        <v>0</v>
      </c>
      <c r="N681" t="n">
        <v>0</v>
      </c>
      <c r="O681" t="n">
        <v>0</v>
      </c>
      <c r="P681" t="n">
        <v>0</v>
      </c>
      <c r="Q681" t="n">
        <v>0</v>
      </c>
      <c r="R681" s="2" t="inlineStr"/>
    </row>
    <row r="682" ht="15" customHeight="1">
      <c r="A682" t="inlineStr">
        <is>
          <t>A 42832-2023</t>
        </is>
      </c>
      <c r="B682" s="1" t="n">
        <v>45182.38091435185</v>
      </c>
      <c r="C682" s="1" t="n">
        <v>46059</v>
      </c>
      <c r="D682" t="inlineStr">
        <is>
          <t>ÖSTERGÖTLANDS LÄN</t>
        </is>
      </c>
      <c r="E682" t="inlineStr">
        <is>
          <t>LINKÖPING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5872-2025</t>
        </is>
      </c>
      <c r="B683" s="1" t="n">
        <v>45695.36659722222</v>
      </c>
      <c r="C683" s="1" t="n">
        <v>46059</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59674-2024</t>
        </is>
      </c>
      <c r="B684" s="1" t="n">
        <v>45639</v>
      </c>
      <c r="C684" s="1" t="n">
        <v>46059</v>
      </c>
      <c r="D684" t="inlineStr">
        <is>
          <t>ÖSTERGÖTLANDS LÄN</t>
        </is>
      </c>
      <c r="E684" t="inlineStr">
        <is>
          <t>LINKÖPING</t>
        </is>
      </c>
      <c r="G684" t="n">
        <v>6.3</v>
      </c>
      <c r="H684" t="n">
        <v>0</v>
      </c>
      <c r="I684" t="n">
        <v>0</v>
      </c>
      <c r="J684" t="n">
        <v>0</v>
      </c>
      <c r="K684" t="n">
        <v>0</v>
      </c>
      <c r="L684" t="n">
        <v>0</v>
      </c>
      <c r="M684" t="n">
        <v>0</v>
      </c>
      <c r="N684" t="n">
        <v>0</v>
      </c>
      <c r="O684" t="n">
        <v>0</v>
      </c>
      <c r="P684" t="n">
        <v>0</v>
      </c>
      <c r="Q684" t="n">
        <v>0</v>
      </c>
      <c r="R684" s="2" t="inlineStr"/>
    </row>
    <row r="685" ht="15" customHeight="1">
      <c r="A685" t="inlineStr">
        <is>
          <t>A 59576-2024</t>
        </is>
      </c>
      <c r="B685" s="1" t="n">
        <v>45638.66378472222</v>
      </c>
      <c r="C685" s="1" t="n">
        <v>46059</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51583-2024</t>
        </is>
      </c>
      <c r="B686" s="1" t="n">
        <v>45604.6397337963</v>
      </c>
      <c r="C686" s="1" t="n">
        <v>46059</v>
      </c>
      <c r="D686" t="inlineStr">
        <is>
          <t>ÖSTERGÖTLANDS LÄN</t>
        </is>
      </c>
      <c r="E686" t="inlineStr">
        <is>
          <t>LINKÖPING</t>
        </is>
      </c>
      <c r="F686" t="inlineStr">
        <is>
          <t>Övriga Aktiebolag</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62019-2024</t>
        </is>
      </c>
      <c r="B687" s="1" t="n">
        <v>45655.82</v>
      </c>
      <c r="C687" s="1" t="n">
        <v>46059</v>
      </c>
      <c r="D687" t="inlineStr">
        <is>
          <t>ÖSTERGÖTLANDS LÄN</t>
        </is>
      </c>
      <c r="E687" t="inlineStr">
        <is>
          <t>LINKÖPING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38317-2024</t>
        </is>
      </c>
      <c r="B688" s="1" t="n">
        <v>45545.65766203704</v>
      </c>
      <c r="C688" s="1" t="n">
        <v>46059</v>
      </c>
      <c r="D688" t="inlineStr">
        <is>
          <t>ÖSTERGÖTLANDS LÄN</t>
        </is>
      </c>
      <c r="E688" t="inlineStr">
        <is>
          <t>LINKÖPING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50182-2023</t>
        </is>
      </c>
      <c r="B689" s="1" t="n">
        <v>45208</v>
      </c>
      <c r="C689" s="1" t="n">
        <v>46059</v>
      </c>
      <c r="D689" t="inlineStr">
        <is>
          <t>ÖSTERGÖTLANDS LÄN</t>
        </is>
      </c>
      <c r="E689" t="inlineStr">
        <is>
          <t>LINKÖPING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1844-2025</t>
        </is>
      </c>
      <c r="B690" s="1" t="n">
        <v>45671.57730324074</v>
      </c>
      <c r="C690" s="1" t="n">
        <v>46059</v>
      </c>
      <c r="D690" t="inlineStr">
        <is>
          <t>ÖSTERGÖTLANDS LÄN</t>
        </is>
      </c>
      <c r="E690" t="inlineStr">
        <is>
          <t>LINKÖPING</t>
        </is>
      </c>
      <c r="G690" t="n">
        <v>2</v>
      </c>
      <c r="H690" t="n">
        <v>0</v>
      </c>
      <c r="I690" t="n">
        <v>0</v>
      </c>
      <c r="J690" t="n">
        <v>0</v>
      </c>
      <c r="K690" t="n">
        <v>0</v>
      </c>
      <c r="L690" t="n">
        <v>0</v>
      </c>
      <c r="M690" t="n">
        <v>0</v>
      </c>
      <c r="N690" t="n">
        <v>0</v>
      </c>
      <c r="O690" t="n">
        <v>0</v>
      </c>
      <c r="P690" t="n">
        <v>0</v>
      </c>
      <c r="Q690" t="n">
        <v>0</v>
      </c>
      <c r="R690" s="2" t="inlineStr"/>
    </row>
    <row r="691" ht="15" customHeight="1">
      <c r="A691" t="inlineStr">
        <is>
          <t>A 21155-2025</t>
        </is>
      </c>
      <c r="B691" s="1" t="n">
        <v>45779.37586805555</v>
      </c>
      <c r="C691" s="1" t="n">
        <v>46059</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21165-2025</t>
        </is>
      </c>
      <c r="B692" s="1" t="n">
        <v>45779.39417824074</v>
      </c>
      <c r="C692" s="1" t="n">
        <v>46059</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57752-2023</t>
        </is>
      </c>
      <c r="B693" s="1" t="n">
        <v>45246.78474537037</v>
      </c>
      <c r="C693" s="1" t="n">
        <v>46059</v>
      </c>
      <c r="D693" t="inlineStr">
        <is>
          <t>ÖSTERGÖTLANDS LÄN</t>
        </is>
      </c>
      <c r="E693" t="inlineStr">
        <is>
          <t>LINKÖPING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9473-2024</t>
        </is>
      </c>
      <c r="B694" s="1" t="n">
        <v>45359.55474537037</v>
      </c>
      <c r="C694" s="1" t="n">
        <v>46059</v>
      </c>
      <c r="D694" t="inlineStr">
        <is>
          <t>ÖSTERGÖTLANDS LÄN</t>
        </is>
      </c>
      <c r="E694" t="inlineStr">
        <is>
          <t>LINKÖPING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10797-2024</t>
        </is>
      </c>
      <c r="B695" s="1" t="n">
        <v>45369.6190162037</v>
      </c>
      <c r="C695" s="1" t="n">
        <v>46059</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22264-2025</t>
        </is>
      </c>
      <c r="B696" s="1" t="n">
        <v>45785</v>
      </c>
      <c r="C696" s="1" t="n">
        <v>46059</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6859-2024</t>
        </is>
      </c>
      <c r="B697" s="1" t="n">
        <v>45342</v>
      </c>
      <c r="C697" s="1" t="n">
        <v>46059</v>
      </c>
      <c r="D697" t="inlineStr">
        <is>
          <t>ÖSTERGÖTLANDS LÄN</t>
        </is>
      </c>
      <c r="E697" t="inlineStr">
        <is>
          <t>LINKÖPING</t>
        </is>
      </c>
      <c r="G697" t="n">
        <v>1</v>
      </c>
      <c r="H697" t="n">
        <v>0</v>
      </c>
      <c r="I697" t="n">
        <v>0</v>
      </c>
      <c r="J697" t="n">
        <v>0</v>
      </c>
      <c r="K697" t="n">
        <v>0</v>
      </c>
      <c r="L697" t="n">
        <v>0</v>
      </c>
      <c r="M697" t="n">
        <v>0</v>
      </c>
      <c r="N697" t="n">
        <v>0</v>
      </c>
      <c r="O697" t="n">
        <v>0</v>
      </c>
      <c r="P697" t="n">
        <v>0</v>
      </c>
      <c r="Q697" t="n">
        <v>0</v>
      </c>
      <c r="R697" s="2" t="inlineStr"/>
    </row>
    <row r="698" ht="15" customHeight="1">
      <c r="A698" t="inlineStr">
        <is>
          <t>A 38580-2024</t>
        </is>
      </c>
      <c r="B698" s="1" t="n">
        <v>45546.64825231482</v>
      </c>
      <c r="C698" s="1" t="n">
        <v>46059</v>
      </c>
      <c r="D698" t="inlineStr">
        <is>
          <t>ÖSTERGÖTLANDS LÄN</t>
        </is>
      </c>
      <c r="E698" t="inlineStr">
        <is>
          <t>LINKÖPING</t>
        </is>
      </c>
      <c r="G698" t="n">
        <v>4.8</v>
      </c>
      <c r="H698" t="n">
        <v>0</v>
      </c>
      <c r="I698" t="n">
        <v>0</v>
      </c>
      <c r="J698" t="n">
        <v>0</v>
      </c>
      <c r="K698" t="n">
        <v>0</v>
      </c>
      <c r="L698" t="n">
        <v>0</v>
      </c>
      <c r="M698" t="n">
        <v>0</v>
      </c>
      <c r="N698" t="n">
        <v>0</v>
      </c>
      <c r="O698" t="n">
        <v>0</v>
      </c>
      <c r="P698" t="n">
        <v>0</v>
      </c>
      <c r="Q698" t="n">
        <v>0</v>
      </c>
      <c r="R698" s="2" t="inlineStr"/>
    </row>
    <row r="699" ht="15" customHeight="1">
      <c r="A699" t="inlineStr">
        <is>
          <t>A 572-2025</t>
        </is>
      </c>
      <c r="B699" s="1" t="n">
        <v>45664.56349537037</v>
      </c>
      <c r="C699" s="1" t="n">
        <v>46059</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22364-2025</t>
        </is>
      </c>
      <c r="B700" s="1" t="n">
        <v>45786.46930555555</v>
      </c>
      <c r="C700" s="1" t="n">
        <v>46059</v>
      </c>
      <c r="D700" t="inlineStr">
        <is>
          <t>ÖSTERGÖTLANDS LÄN</t>
        </is>
      </c>
      <c r="E700" t="inlineStr">
        <is>
          <t>LINKÖPING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44287-2024</t>
        </is>
      </c>
      <c r="B701" s="1" t="n">
        <v>45573.50582175926</v>
      </c>
      <c r="C701" s="1" t="n">
        <v>46059</v>
      </c>
      <c r="D701" t="inlineStr">
        <is>
          <t>ÖSTERGÖTLANDS LÄN</t>
        </is>
      </c>
      <c r="E701" t="inlineStr">
        <is>
          <t>LINKÖPING</t>
        </is>
      </c>
      <c r="G701" t="n">
        <v>12.7</v>
      </c>
      <c r="H701" t="n">
        <v>0</v>
      </c>
      <c r="I701" t="n">
        <v>0</v>
      </c>
      <c r="J701" t="n">
        <v>0</v>
      </c>
      <c r="K701" t="n">
        <v>0</v>
      </c>
      <c r="L701" t="n">
        <v>0</v>
      </c>
      <c r="M701" t="n">
        <v>0</v>
      </c>
      <c r="N701" t="n">
        <v>0</v>
      </c>
      <c r="O701" t="n">
        <v>0</v>
      </c>
      <c r="P701" t="n">
        <v>0</v>
      </c>
      <c r="Q701" t="n">
        <v>0</v>
      </c>
      <c r="R701" s="2" t="inlineStr"/>
    </row>
    <row r="702" ht="15" customHeight="1">
      <c r="A702" t="inlineStr">
        <is>
          <t>A 29312-2024</t>
        </is>
      </c>
      <c r="B702" s="1" t="n">
        <v>45483</v>
      </c>
      <c r="C702" s="1" t="n">
        <v>46059</v>
      </c>
      <c r="D702" t="inlineStr">
        <is>
          <t>ÖSTERGÖTLANDS LÄN</t>
        </is>
      </c>
      <c r="E702" t="inlineStr">
        <is>
          <t>LINKÖPING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23120-2025</t>
        </is>
      </c>
      <c r="B703" s="1" t="n">
        <v>45791.37481481482</v>
      </c>
      <c r="C703" s="1" t="n">
        <v>46059</v>
      </c>
      <c r="D703" t="inlineStr">
        <is>
          <t>ÖSTERGÖTLANDS LÄN</t>
        </is>
      </c>
      <c r="E703" t="inlineStr">
        <is>
          <t>LINKÖPING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48699-2024</t>
        </is>
      </c>
      <c r="B704" s="1" t="n">
        <v>45593.52091435185</v>
      </c>
      <c r="C704" s="1" t="n">
        <v>46059</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13911-2025</t>
        </is>
      </c>
      <c r="B705" s="1" t="n">
        <v>45737.64784722222</v>
      </c>
      <c r="C705" s="1" t="n">
        <v>46059</v>
      </c>
      <c r="D705" t="inlineStr">
        <is>
          <t>ÖSTERGÖTLANDS LÄN</t>
        </is>
      </c>
      <c r="E705" t="inlineStr">
        <is>
          <t>LINKÖPING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23768-2025</t>
        </is>
      </c>
      <c r="B706" s="1" t="n">
        <v>45793.47493055555</v>
      </c>
      <c r="C706" s="1" t="n">
        <v>46059</v>
      </c>
      <c r="D706" t="inlineStr">
        <is>
          <t>ÖSTERGÖTLANDS LÄN</t>
        </is>
      </c>
      <c r="E706" t="inlineStr">
        <is>
          <t>LINKÖPING</t>
        </is>
      </c>
      <c r="G706" t="n">
        <v>3.4</v>
      </c>
      <c r="H706" t="n">
        <v>0</v>
      </c>
      <c r="I706" t="n">
        <v>0</v>
      </c>
      <c r="J706" t="n">
        <v>0</v>
      </c>
      <c r="K706" t="n">
        <v>0</v>
      </c>
      <c r="L706" t="n">
        <v>0</v>
      </c>
      <c r="M706" t="n">
        <v>0</v>
      </c>
      <c r="N706" t="n">
        <v>0</v>
      </c>
      <c r="O706" t="n">
        <v>0</v>
      </c>
      <c r="P706" t="n">
        <v>0</v>
      </c>
      <c r="Q706" t="n">
        <v>0</v>
      </c>
      <c r="R706" s="2" t="inlineStr"/>
    </row>
    <row r="707" ht="15" customHeight="1">
      <c r="A707" t="inlineStr">
        <is>
          <t>A 44280-2024</t>
        </is>
      </c>
      <c r="B707" s="1" t="n">
        <v>45573.49461805556</v>
      </c>
      <c r="C707" s="1" t="n">
        <v>46059</v>
      </c>
      <c r="D707" t="inlineStr">
        <is>
          <t>ÖSTERGÖTLANDS LÄN</t>
        </is>
      </c>
      <c r="E707" t="inlineStr">
        <is>
          <t>LINKÖPING</t>
        </is>
      </c>
      <c r="G707" t="n">
        <v>5.3</v>
      </c>
      <c r="H707" t="n">
        <v>0</v>
      </c>
      <c r="I707" t="n">
        <v>0</v>
      </c>
      <c r="J707" t="n">
        <v>0</v>
      </c>
      <c r="K707" t="n">
        <v>0</v>
      </c>
      <c r="L707" t="n">
        <v>0</v>
      </c>
      <c r="M707" t="n">
        <v>0</v>
      </c>
      <c r="N707" t="n">
        <v>0</v>
      </c>
      <c r="O707" t="n">
        <v>0</v>
      </c>
      <c r="P707" t="n">
        <v>0</v>
      </c>
      <c r="Q707" t="n">
        <v>0</v>
      </c>
      <c r="R707" s="2" t="inlineStr"/>
    </row>
    <row r="708" ht="15" customHeight="1">
      <c r="A708" t="inlineStr">
        <is>
          <t>A 25996-2025</t>
        </is>
      </c>
      <c r="B708" s="1" t="n">
        <v>45804.65851851852</v>
      </c>
      <c r="C708" s="1" t="n">
        <v>46059</v>
      </c>
      <c r="D708" t="inlineStr">
        <is>
          <t>ÖSTERGÖTLANDS LÄN</t>
        </is>
      </c>
      <c r="E708" t="inlineStr">
        <is>
          <t>LINKÖPING</t>
        </is>
      </c>
      <c r="G708" t="n">
        <v>3.2</v>
      </c>
      <c r="H708" t="n">
        <v>0</v>
      </c>
      <c r="I708" t="n">
        <v>0</v>
      </c>
      <c r="J708" t="n">
        <v>0</v>
      </c>
      <c r="K708" t="n">
        <v>0</v>
      </c>
      <c r="L708" t="n">
        <v>0</v>
      </c>
      <c r="M708" t="n">
        <v>0</v>
      </c>
      <c r="N708" t="n">
        <v>0</v>
      </c>
      <c r="O708" t="n">
        <v>0</v>
      </c>
      <c r="P708" t="n">
        <v>0</v>
      </c>
      <c r="Q708" t="n">
        <v>0</v>
      </c>
      <c r="R708" s="2" t="inlineStr"/>
    </row>
    <row r="709" ht="15" customHeight="1">
      <c r="A709" t="inlineStr">
        <is>
          <t>A 26002-2025</t>
        </is>
      </c>
      <c r="B709" s="1" t="n">
        <v>45804.66534722222</v>
      </c>
      <c r="C709" s="1" t="n">
        <v>46059</v>
      </c>
      <c r="D709" t="inlineStr">
        <is>
          <t>ÖSTERGÖTLANDS LÄN</t>
        </is>
      </c>
      <c r="E709" t="inlineStr">
        <is>
          <t>LINKÖPING</t>
        </is>
      </c>
      <c r="G709" t="n">
        <v>2.5</v>
      </c>
      <c r="H709" t="n">
        <v>0</v>
      </c>
      <c r="I709" t="n">
        <v>0</v>
      </c>
      <c r="J709" t="n">
        <v>0</v>
      </c>
      <c r="K709" t="n">
        <v>0</v>
      </c>
      <c r="L709" t="n">
        <v>0</v>
      </c>
      <c r="M709" t="n">
        <v>0</v>
      </c>
      <c r="N709" t="n">
        <v>0</v>
      </c>
      <c r="O709" t="n">
        <v>0</v>
      </c>
      <c r="P709" t="n">
        <v>0</v>
      </c>
      <c r="Q709" t="n">
        <v>0</v>
      </c>
      <c r="R709" s="2" t="inlineStr"/>
    </row>
    <row r="710" ht="15" customHeight="1">
      <c r="A710" t="inlineStr">
        <is>
          <t>A 28200-2025</t>
        </is>
      </c>
      <c r="B710" s="1" t="n">
        <v>45818.4428125</v>
      </c>
      <c r="C710" s="1" t="n">
        <v>46059</v>
      </c>
      <c r="D710" t="inlineStr">
        <is>
          <t>ÖSTERGÖTLANDS LÄN</t>
        </is>
      </c>
      <c r="E710" t="inlineStr">
        <is>
          <t>LINKÖPING</t>
        </is>
      </c>
      <c r="G710" t="n">
        <v>1.4</v>
      </c>
      <c r="H710" t="n">
        <v>0</v>
      </c>
      <c r="I710" t="n">
        <v>0</v>
      </c>
      <c r="J710" t="n">
        <v>0</v>
      </c>
      <c r="K710" t="n">
        <v>0</v>
      </c>
      <c r="L710" t="n">
        <v>0</v>
      </c>
      <c r="M710" t="n">
        <v>0</v>
      </c>
      <c r="N710" t="n">
        <v>0</v>
      </c>
      <c r="O710" t="n">
        <v>0</v>
      </c>
      <c r="P710" t="n">
        <v>0</v>
      </c>
      <c r="Q710" t="n">
        <v>0</v>
      </c>
      <c r="R710" s="2" t="inlineStr"/>
    </row>
    <row r="711" ht="15" customHeight="1">
      <c r="A711" t="inlineStr">
        <is>
          <t>A 27950-2025</t>
        </is>
      </c>
      <c r="B711" s="1" t="n">
        <v>45817.52960648148</v>
      </c>
      <c r="C711" s="1" t="n">
        <v>46059</v>
      </c>
      <c r="D711" t="inlineStr">
        <is>
          <t>ÖSTERGÖTLANDS LÄN</t>
        </is>
      </c>
      <c r="E711" t="inlineStr">
        <is>
          <t>LINKÖPING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27797-2025</t>
        </is>
      </c>
      <c r="B712" s="1" t="n">
        <v>45816.80521990741</v>
      </c>
      <c r="C712" s="1" t="n">
        <v>46059</v>
      </c>
      <c r="D712" t="inlineStr">
        <is>
          <t>ÖSTERGÖTLANDS LÄN</t>
        </is>
      </c>
      <c r="E712" t="inlineStr">
        <is>
          <t>LINKÖPING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27798-2025</t>
        </is>
      </c>
      <c r="B713" s="1" t="n">
        <v>45816.81532407407</v>
      </c>
      <c r="C713" s="1" t="n">
        <v>46059</v>
      </c>
      <c r="D713" t="inlineStr">
        <is>
          <t>ÖSTERGÖTLANDS LÄN</t>
        </is>
      </c>
      <c r="E713" t="inlineStr">
        <is>
          <t>LINKÖPING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28209-2025</t>
        </is>
      </c>
      <c r="B714" s="1" t="n">
        <v>45818.45112268518</v>
      </c>
      <c r="C714" s="1" t="n">
        <v>46059</v>
      </c>
      <c r="D714" t="inlineStr">
        <is>
          <t>ÖSTERGÖTLANDS LÄN</t>
        </is>
      </c>
      <c r="E714" t="inlineStr">
        <is>
          <t>LINKÖPING</t>
        </is>
      </c>
      <c r="G714" t="n">
        <v>4.2</v>
      </c>
      <c r="H714" t="n">
        <v>0</v>
      </c>
      <c r="I714" t="n">
        <v>0</v>
      </c>
      <c r="J714" t="n">
        <v>0</v>
      </c>
      <c r="K714" t="n">
        <v>0</v>
      </c>
      <c r="L714" t="n">
        <v>0</v>
      </c>
      <c r="M714" t="n">
        <v>0</v>
      </c>
      <c r="N714" t="n">
        <v>0</v>
      </c>
      <c r="O714" t="n">
        <v>0</v>
      </c>
      <c r="P714" t="n">
        <v>0</v>
      </c>
      <c r="Q714" t="n">
        <v>0</v>
      </c>
      <c r="R714" s="2" t="inlineStr"/>
    </row>
    <row r="715" ht="15" customHeight="1">
      <c r="A715" t="inlineStr">
        <is>
          <t>A 28204-2025</t>
        </is>
      </c>
      <c r="B715" s="1" t="n">
        <v>45818.4477662037</v>
      </c>
      <c r="C715" s="1" t="n">
        <v>46059</v>
      </c>
      <c r="D715" t="inlineStr">
        <is>
          <t>ÖSTERGÖTLANDS LÄN</t>
        </is>
      </c>
      <c r="E715" t="inlineStr">
        <is>
          <t>LINKÖPING</t>
        </is>
      </c>
      <c r="G715" t="n">
        <v>2.9</v>
      </c>
      <c r="H715" t="n">
        <v>0</v>
      </c>
      <c r="I715" t="n">
        <v>0</v>
      </c>
      <c r="J715" t="n">
        <v>0</v>
      </c>
      <c r="K715" t="n">
        <v>0</v>
      </c>
      <c r="L715" t="n">
        <v>0</v>
      </c>
      <c r="M715" t="n">
        <v>0</v>
      </c>
      <c r="N715" t="n">
        <v>0</v>
      </c>
      <c r="O715" t="n">
        <v>0</v>
      </c>
      <c r="P715" t="n">
        <v>0</v>
      </c>
      <c r="Q715" t="n">
        <v>0</v>
      </c>
      <c r="R715" s="2" t="inlineStr"/>
    </row>
    <row r="716" ht="15" customHeight="1">
      <c r="A716" t="inlineStr">
        <is>
          <t>A 28398-2025</t>
        </is>
      </c>
      <c r="B716" s="1" t="n">
        <v>45819.34208333334</v>
      </c>
      <c r="C716" s="1" t="n">
        <v>46059</v>
      </c>
      <c r="D716" t="inlineStr">
        <is>
          <t>ÖSTERGÖTLANDS LÄN</t>
        </is>
      </c>
      <c r="E716" t="inlineStr">
        <is>
          <t>LINKÖPING</t>
        </is>
      </c>
      <c r="F716" t="inlineStr">
        <is>
          <t>Sveaskog</t>
        </is>
      </c>
      <c r="G716" t="n">
        <v>7.9</v>
      </c>
      <c r="H716" t="n">
        <v>0</v>
      </c>
      <c r="I716" t="n">
        <v>0</v>
      </c>
      <c r="J716" t="n">
        <v>0</v>
      </c>
      <c r="K716" t="n">
        <v>0</v>
      </c>
      <c r="L716" t="n">
        <v>0</v>
      </c>
      <c r="M716" t="n">
        <v>0</v>
      </c>
      <c r="N716" t="n">
        <v>0</v>
      </c>
      <c r="O716" t="n">
        <v>0</v>
      </c>
      <c r="P716" t="n">
        <v>0</v>
      </c>
      <c r="Q716" t="n">
        <v>0</v>
      </c>
      <c r="R716" s="2" t="inlineStr"/>
    </row>
    <row r="717" ht="15" customHeight="1">
      <c r="A717" t="inlineStr">
        <is>
          <t>A 28416-2025</t>
        </is>
      </c>
      <c r="B717" s="1" t="n">
        <v>45819.35346064815</v>
      </c>
      <c r="C717" s="1" t="n">
        <v>46059</v>
      </c>
      <c r="D717" t="inlineStr">
        <is>
          <t>ÖSTERGÖTLANDS LÄN</t>
        </is>
      </c>
      <c r="E717" t="inlineStr">
        <is>
          <t>LINKÖPING</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29027-2025</t>
        </is>
      </c>
      <c r="B718" s="1" t="n">
        <v>45821.4375462963</v>
      </c>
      <c r="C718" s="1" t="n">
        <v>46059</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29393-2025</t>
        </is>
      </c>
      <c r="B719" s="1" t="n">
        <v>45824.6057175926</v>
      </c>
      <c r="C719" s="1" t="n">
        <v>46059</v>
      </c>
      <c r="D719" t="inlineStr">
        <is>
          <t>ÖSTERGÖTLANDS LÄN</t>
        </is>
      </c>
      <c r="E719" t="inlineStr">
        <is>
          <t>LINKÖPING</t>
        </is>
      </c>
      <c r="F719" t="inlineStr">
        <is>
          <t>Sveaskog</t>
        </is>
      </c>
      <c r="G719" t="n">
        <v>24.6</v>
      </c>
      <c r="H719" t="n">
        <v>0</v>
      </c>
      <c r="I719" t="n">
        <v>0</v>
      </c>
      <c r="J719" t="n">
        <v>0</v>
      </c>
      <c r="K719" t="n">
        <v>0</v>
      </c>
      <c r="L719" t="n">
        <v>0</v>
      </c>
      <c r="M719" t="n">
        <v>0</v>
      </c>
      <c r="N719" t="n">
        <v>0</v>
      </c>
      <c r="O719" t="n">
        <v>0</v>
      </c>
      <c r="P719" t="n">
        <v>0</v>
      </c>
      <c r="Q719" t="n">
        <v>0</v>
      </c>
      <c r="R719" s="2" t="inlineStr"/>
    </row>
    <row r="720" ht="15" customHeight="1">
      <c r="A720" t="inlineStr">
        <is>
          <t>A 29411-2025</t>
        </is>
      </c>
      <c r="B720" s="1" t="n">
        <v>45824.6219212963</v>
      </c>
      <c r="C720" s="1" t="n">
        <v>46059</v>
      </c>
      <c r="D720" t="inlineStr">
        <is>
          <t>ÖSTERGÖTLANDS LÄN</t>
        </is>
      </c>
      <c r="E720" t="inlineStr">
        <is>
          <t>LINKÖPING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29599-2025</t>
        </is>
      </c>
      <c r="B721" s="1" t="n">
        <v>45825.41101851852</v>
      </c>
      <c r="C721" s="1" t="n">
        <v>46059</v>
      </c>
      <c r="D721" t="inlineStr">
        <is>
          <t>ÖSTERGÖTLANDS LÄN</t>
        </is>
      </c>
      <c r="E721" t="inlineStr">
        <is>
          <t>LINKÖPING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30355-2025</t>
        </is>
      </c>
      <c r="B722" s="1" t="n">
        <v>45827</v>
      </c>
      <c r="C722" s="1" t="n">
        <v>46059</v>
      </c>
      <c r="D722" t="inlineStr">
        <is>
          <t>ÖSTERGÖTLANDS LÄN</t>
        </is>
      </c>
      <c r="E722" t="inlineStr">
        <is>
          <t>LINKÖPING</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30353-2025</t>
        </is>
      </c>
      <c r="B723" s="1" t="n">
        <v>45827</v>
      </c>
      <c r="C723" s="1" t="n">
        <v>46059</v>
      </c>
      <c r="D723" t="inlineStr">
        <is>
          <t>ÖSTERGÖTLANDS LÄN</t>
        </is>
      </c>
      <c r="E723" t="inlineStr">
        <is>
          <t>LINKÖPING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31581-2025</t>
        </is>
      </c>
      <c r="B724" s="1" t="n">
        <v>45833.6840162037</v>
      </c>
      <c r="C724" s="1" t="n">
        <v>46059</v>
      </c>
      <c r="D724" t="inlineStr">
        <is>
          <t>ÖSTERGÖTLANDS LÄN</t>
        </is>
      </c>
      <c r="E724" t="inlineStr">
        <is>
          <t>LINKÖPING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31585-2025</t>
        </is>
      </c>
      <c r="B725" s="1" t="n">
        <v>45833.68815972222</v>
      </c>
      <c r="C725" s="1" t="n">
        <v>46059</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32723-2025</t>
        </is>
      </c>
      <c r="B726" s="1" t="n">
        <v>45838</v>
      </c>
      <c r="C726" s="1" t="n">
        <v>46059</v>
      </c>
      <c r="D726" t="inlineStr">
        <is>
          <t>ÖSTERGÖTLANDS LÄN</t>
        </is>
      </c>
      <c r="E726" t="inlineStr">
        <is>
          <t>LINKÖPING</t>
        </is>
      </c>
      <c r="G726" t="n">
        <v>2.1</v>
      </c>
      <c r="H726" t="n">
        <v>0</v>
      </c>
      <c r="I726" t="n">
        <v>0</v>
      </c>
      <c r="J726" t="n">
        <v>0</v>
      </c>
      <c r="K726" t="n">
        <v>0</v>
      </c>
      <c r="L726" t="n">
        <v>0</v>
      </c>
      <c r="M726" t="n">
        <v>0</v>
      </c>
      <c r="N726" t="n">
        <v>0</v>
      </c>
      <c r="O726" t="n">
        <v>0</v>
      </c>
      <c r="P726" t="n">
        <v>0</v>
      </c>
      <c r="Q726" t="n">
        <v>0</v>
      </c>
      <c r="R726" s="2" t="inlineStr"/>
    </row>
    <row r="727" ht="15" customHeight="1">
      <c r="A727" t="inlineStr">
        <is>
          <t>A 33947-2025</t>
        </is>
      </c>
      <c r="B727" s="1" t="n">
        <v>45842.65444444444</v>
      </c>
      <c r="C727" s="1" t="n">
        <v>46059</v>
      </c>
      <c r="D727" t="inlineStr">
        <is>
          <t>ÖSTERGÖTLANDS LÄN</t>
        </is>
      </c>
      <c r="E727" t="inlineStr">
        <is>
          <t>LINKÖPING</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62012-2024</t>
        </is>
      </c>
      <c r="B728" s="1" t="n">
        <v>45655.79679398148</v>
      </c>
      <c r="C728" s="1" t="n">
        <v>46059</v>
      </c>
      <c r="D728" t="inlineStr">
        <is>
          <t>ÖSTERGÖTLANDS LÄN</t>
        </is>
      </c>
      <c r="E728" t="inlineStr">
        <is>
          <t>LINKÖPING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53529-2024</t>
        </is>
      </c>
      <c r="B729" s="1" t="n">
        <v>45614</v>
      </c>
      <c r="C729" s="1" t="n">
        <v>46059</v>
      </c>
      <c r="D729" t="inlineStr">
        <is>
          <t>ÖSTERGÖTLANDS LÄN</t>
        </is>
      </c>
      <c r="E729" t="inlineStr">
        <is>
          <t>LINKÖPING</t>
        </is>
      </c>
      <c r="G729" t="n">
        <v>6.7</v>
      </c>
      <c r="H729" t="n">
        <v>0</v>
      </c>
      <c r="I729" t="n">
        <v>0</v>
      </c>
      <c r="J729" t="n">
        <v>0</v>
      </c>
      <c r="K729" t="n">
        <v>0</v>
      </c>
      <c r="L729" t="n">
        <v>0</v>
      </c>
      <c r="M729" t="n">
        <v>0</v>
      </c>
      <c r="N729" t="n">
        <v>0</v>
      </c>
      <c r="O729" t="n">
        <v>0</v>
      </c>
      <c r="P729" t="n">
        <v>0</v>
      </c>
      <c r="Q729" t="n">
        <v>0</v>
      </c>
      <c r="R729" s="2" t="inlineStr"/>
    </row>
    <row r="730" ht="15" customHeight="1">
      <c r="A730" t="inlineStr">
        <is>
          <t>A 20469-2025</t>
        </is>
      </c>
      <c r="B730" s="1" t="n">
        <v>45775</v>
      </c>
      <c r="C730" s="1" t="n">
        <v>46059</v>
      </c>
      <c r="D730" t="inlineStr">
        <is>
          <t>ÖSTERGÖTLANDS LÄN</t>
        </is>
      </c>
      <c r="E730" t="inlineStr">
        <is>
          <t>LINKÖPING</t>
        </is>
      </c>
      <c r="F730" t="inlineStr">
        <is>
          <t>Kyrkan</t>
        </is>
      </c>
      <c r="G730" t="n">
        <v>6.1</v>
      </c>
      <c r="H730" t="n">
        <v>0</v>
      </c>
      <c r="I730" t="n">
        <v>0</v>
      </c>
      <c r="J730" t="n">
        <v>0</v>
      </c>
      <c r="K730" t="n">
        <v>0</v>
      </c>
      <c r="L730" t="n">
        <v>0</v>
      </c>
      <c r="M730" t="n">
        <v>0</v>
      </c>
      <c r="N730" t="n">
        <v>0</v>
      </c>
      <c r="O730" t="n">
        <v>0</v>
      </c>
      <c r="P730" t="n">
        <v>0</v>
      </c>
      <c r="Q730" t="n">
        <v>0</v>
      </c>
      <c r="R730" s="2" t="inlineStr"/>
    </row>
    <row r="731" ht="15" customHeight="1">
      <c r="A731" t="inlineStr">
        <is>
          <t>A 33800-2023</t>
        </is>
      </c>
      <c r="B731" s="1" t="n">
        <v>45121</v>
      </c>
      <c r="C731" s="1" t="n">
        <v>46059</v>
      </c>
      <c r="D731" t="inlineStr">
        <is>
          <t>ÖSTERGÖTLANDS LÄN</t>
        </is>
      </c>
      <c r="E731" t="inlineStr">
        <is>
          <t>LINKÖPING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47991-2023</t>
        </is>
      </c>
      <c r="B732" s="1" t="n">
        <v>45204.62655092592</v>
      </c>
      <c r="C732" s="1" t="n">
        <v>46059</v>
      </c>
      <c r="D732" t="inlineStr">
        <is>
          <t>ÖSTERGÖTLANDS LÄN</t>
        </is>
      </c>
      <c r="E732" t="inlineStr">
        <is>
          <t>LINKÖPING</t>
        </is>
      </c>
      <c r="F732" t="inlineStr">
        <is>
          <t>Allmännings- och besparingsskogar</t>
        </is>
      </c>
      <c r="G732" t="n">
        <v>7.3</v>
      </c>
      <c r="H732" t="n">
        <v>0</v>
      </c>
      <c r="I732" t="n">
        <v>0</v>
      </c>
      <c r="J732" t="n">
        <v>0</v>
      </c>
      <c r="K732" t="n">
        <v>0</v>
      </c>
      <c r="L732" t="n">
        <v>0</v>
      </c>
      <c r="M732" t="n">
        <v>0</v>
      </c>
      <c r="N732" t="n">
        <v>0</v>
      </c>
      <c r="O732" t="n">
        <v>0</v>
      </c>
      <c r="P732" t="n">
        <v>0</v>
      </c>
      <c r="Q732" t="n">
        <v>0</v>
      </c>
      <c r="R732" s="2" t="inlineStr"/>
    </row>
    <row r="733" ht="15" customHeight="1">
      <c r="A733" t="inlineStr">
        <is>
          <t>A 35178-2025</t>
        </is>
      </c>
      <c r="B733" s="1" t="n">
        <v>45852.91939814815</v>
      </c>
      <c r="C733" s="1" t="n">
        <v>46059</v>
      </c>
      <c r="D733" t="inlineStr">
        <is>
          <t>ÖSTERGÖTLANDS LÄN</t>
        </is>
      </c>
      <c r="E733" t="inlineStr">
        <is>
          <t>LINKÖPING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35174-2025</t>
        </is>
      </c>
      <c r="B734" s="1" t="n">
        <v>45852.90648148148</v>
      </c>
      <c r="C734" s="1" t="n">
        <v>46059</v>
      </c>
      <c r="D734" t="inlineStr">
        <is>
          <t>ÖSTERGÖTLANDS LÄN</t>
        </is>
      </c>
      <c r="E734" t="inlineStr">
        <is>
          <t>LINKÖPING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26007-2025</t>
        </is>
      </c>
      <c r="B735" s="1" t="n">
        <v>45804.67081018518</v>
      </c>
      <c r="C735" s="1" t="n">
        <v>46059</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35179-2025</t>
        </is>
      </c>
      <c r="B736" s="1" t="n">
        <v>45852.93737268518</v>
      </c>
      <c r="C736" s="1" t="n">
        <v>46059</v>
      </c>
      <c r="D736" t="inlineStr">
        <is>
          <t>ÖSTERGÖTLANDS LÄN</t>
        </is>
      </c>
      <c r="E736" t="inlineStr">
        <is>
          <t>LINKÖPING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35180-2025</t>
        </is>
      </c>
      <c r="B737" s="1" t="n">
        <v>45852.9413425926</v>
      </c>
      <c r="C737" s="1" t="n">
        <v>46059</v>
      </c>
      <c r="D737" t="inlineStr">
        <is>
          <t>ÖSTERGÖTLANDS LÄN</t>
        </is>
      </c>
      <c r="E737" t="inlineStr">
        <is>
          <t>LINKÖPING</t>
        </is>
      </c>
      <c r="G737" t="n">
        <v>1.9</v>
      </c>
      <c r="H737" t="n">
        <v>0</v>
      </c>
      <c r="I737" t="n">
        <v>0</v>
      </c>
      <c r="J737" t="n">
        <v>0</v>
      </c>
      <c r="K737" t="n">
        <v>0</v>
      </c>
      <c r="L737" t="n">
        <v>0</v>
      </c>
      <c r="M737" t="n">
        <v>0</v>
      </c>
      <c r="N737" t="n">
        <v>0</v>
      </c>
      <c r="O737" t="n">
        <v>0</v>
      </c>
      <c r="P737" t="n">
        <v>0</v>
      </c>
      <c r="Q737" t="n">
        <v>0</v>
      </c>
      <c r="R737" s="2" t="inlineStr"/>
    </row>
    <row r="738" ht="15" customHeight="1">
      <c r="A738" t="inlineStr">
        <is>
          <t>A 35747-2025</t>
        </is>
      </c>
      <c r="B738" s="1" t="n">
        <v>45860.56385416666</v>
      </c>
      <c r="C738" s="1" t="n">
        <v>46059</v>
      </c>
      <c r="D738" t="inlineStr">
        <is>
          <t>ÖSTERGÖTLANDS LÄN</t>
        </is>
      </c>
      <c r="E738" t="inlineStr">
        <is>
          <t>LINKÖPING</t>
        </is>
      </c>
      <c r="G738" t="n">
        <v>2.4</v>
      </c>
      <c r="H738" t="n">
        <v>0</v>
      </c>
      <c r="I738" t="n">
        <v>0</v>
      </c>
      <c r="J738" t="n">
        <v>0</v>
      </c>
      <c r="K738" t="n">
        <v>0</v>
      </c>
      <c r="L738" t="n">
        <v>0</v>
      </c>
      <c r="M738" t="n">
        <v>0</v>
      </c>
      <c r="N738" t="n">
        <v>0</v>
      </c>
      <c r="O738" t="n">
        <v>0</v>
      </c>
      <c r="P738" t="n">
        <v>0</v>
      </c>
      <c r="Q738" t="n">
        <v>0</v>
      </c>
      <c r="R738" s="2" t="inlineStr"/>
    </row>
    <row r="739" ht="15" customHeight="1">
      <c r="A739" t="inlineStr">
        <is>
          <t>A 35745-2025</t>
        </is>
      </c>
      <c r="B739" s="1" t="n">
        <v>45860.54739583333</v>
      </c>
      <c r="C739" s="1" t="n">
        <v>46059</v>
      </c>
      <c r="D739" t="inlineStr">
        <is>
          <t>ÖSTERGÖTLANDS LÄN</t>
        </is>
      </c>
      <c r="E739" t="inlineStr">
        <is>
          <t>LINKÖPING</t>
        </is>
      </c>
      <c r="G739" t="n">
        <v>4.4</v>
      </c>
      <c r="H739" t="n">
        <v>0</v>
      </c>
      <c r="I739" t="n">
        <v>0</v>
      </c>
      <c r="J739" t="n">
        <v>0</v>
      </c>
      <c r="K739" t="n">
        <v>0</v>
      </c>
      <c r="L739" t="n">
        <v>0</v>
      </c>
      <c r="M739" t="n">
        <v>0</v>
      </c>
      <c r="N739" t="n">
        <v>0</v>
      </c>
      <c r="O739" t="n">
        <v>0</v>
      </c>
      <c r="P739" t="n">
        <v>0</v>
      </c>
      <c r="Q739" t="n">
        <v>0</v>
      </c>
      <c r="R739" s="2" t="inlineStr"/>
    </row>
    <row r="740" ht="15" customHeight="1">
      <c r="A740" t="inlineStr">
        <is>
          <t>A 35757-2025</t>
        </is>
      </c>
      <c r="B740" s="1" t="n">
        <v>45860.59876157407</v>
      </c>
      <c r="C740" s="1" t="n">
        <v>46059</v>
      </c>
      <c r="D740" t="inlineStr">
        <is>
          <t>ÖSTERGÖTLANDS LÄN</t>
        </is>
      </c>
      <c r="E740" t="inlineStr">
        <is>
          <t>LINKÖPING</t>
        </is>
      </c>
      <c r="G740" t="n">
        <v>5.7</v>
      </c>
      <c r="H740" t="n">
        <v>0</v>
      </c>
      <c r="I740" t="n">
        <v>0</v>
      </c>
      <c r="J740" t="n">
        <v>0</v>
      </c>
      <c r="K740" t="n">
        <v>0</v>
      </c>
      <c r="L740" t="n">
        <v>0</v>
      </c>
      <c r="M740" t="n">
        <v>0</v>
      </c>
      <c r="N740" t="n">
        <v>0</v>
      </c>
      <c r="O740" t="n">
        <v>0</v>
      </c>
      <c r="P740" t="n">
        <v>0</v>
      </c>
      <c r="Q740" t="n">
        <v>0</v>
      </c>
      <c r="R740" s="2" t="inlineStr"/>
    </row>
    <row r="741">
      <c r="A741" t="inlineStr">
        <is>
          <t>A 35759-2025</t>
        </is>
      </c>
      <c r="B741" s="1" t="n">
        <v>45860</v>
      </c>
      <c r="C741" s="1" t="n">
        <v>46059</v>
      </c>
      <c r="D741" t="inlineStr">
        <is>
          <t>ÖSTERGÖTLANDS LÄN</t>
        </is>
      </c>
      <c r="E741" t="inlineStr">
        <is>
          <t>LINKÖPING</t>
        </is>
      </c>
      <c r="G741" t="n">
        <v>1</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2026-02-06T11:09:18Z</dcterms:created>
  <dcterms:modified xmlns:dcterms="http://purl.org/dc/terms/" xmlns:xsi="http://www.w3.org/2001/XMLSchema-instance" xsi:type="dcterms:W3CDTF">2026-02-06T11:09:18Z</dcterms:modified>
</cp:coreProperties>
</file>