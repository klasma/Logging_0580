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56271-2021</t>
        </is>
      </c>
      <c r="B9" s="1" t="n">
        <v>44479</v>
      </c>
      <c r="C9" s="1" t="n">
        <v>46065</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40970-2021</t>
        </is>
      </c>
      <c r="B10" s="1" t="n">
        <v>44421</v>
      </c>
      <c r="C10" s="1" t="n">
        <v>46065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17502-2022</t>
        </is>
      </c>
      <c r="B11" s="1" t="n">
        <v>44679</v>
      </c>
      <c r="C11" s="1" t="n">
        <v>46065</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46065</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46065</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46065</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46065</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46065</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38913-2023</t>
        </is>
      </c>
      <c r="B17" s="1" t="n">
        <v>45163</v>
      </c>
      <c r="C17" s="1" t="n">
        <v>46065</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55341-2024</t>
        </is>
      </c>
      <c r="B18" s="1" t="n">
        <v>45621.71255787037</v>
      </c>
      <c r="C18" s="1" t="n">
        <v>46065</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46065</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49999-2025</t>
        </is>
      </c>
      <c r="B20" s="1" t="n">
        <v>45943.30185185185</v>
      </c>
      <c r="C20" s="1" t="n">
        <v>46065</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46065</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46065</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38137-2021</t>
        </is>
      </c>
      <c r="B23" s="1" t="n">
        <v>44405.38357638889</v>
      </c>
      <c r="C23" s="1" t="n">
        <v>46065</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46065</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46065</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58068-2021</t>
        </is>
      </c>
      <c r="B26" s="1" t="n">
        <v>44487</v>
      </c>
      <c r="C26" s="1" t="n">
        <v>46065</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49188-2024</t>
        </is>
      </c>
      <c r="B27" s="1" t="n">
        <v>45595</v>
      </c>
      <c r="C27" s="1" t="n">
        <v>46065</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27981-2022</t>
        </is>
      </c>
      <c r="B28" s="1" t="n">
        <v>44745</v>
      </c>
      <c r="C28" s="1" t="n">
        <v>46065</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27795-2025</t>
        </is>
      </c>
      <c r="B29" s="1" t="n">
        <v>45816.7908912037</v>
      </c>
      <c r="C29" s="1" t="n">
        <v>46065</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25985-2025</t>
        </is>
      </c>
      <c r="B30" s="1" t="n">
        <v>45804.64479166667</v>
      </c>
      <c r="C30" s="1" t="n">
        <v>46065</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46065</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46065</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55344-2024</t>
        </is>
      </c>
      <c r="B33" s="1" t="n">
        <v>45621.7202662037</v>
      </c>
      <c r="C33" s="1" t="n">
        <v>46065</v>
      </c>
      <c r="D33" t="inlineStr">
        <is>
          <t>ÖSTERGÖTLANDS LÄN</t>
        </is>
      </c>
      <c r="E33" t="inlineStr">
        <is>
          <t>LINKÖPING</t>
        </is>
      </c>
      <c r="G33" t="n">
        <v>6.6</v>
      </c>
      <c r="H33" t="n">
        <v>0</v>
      </c>
      <c r="I33" t="n">
        <v>0</v>
      </c>
      <c r="J33" t="n">
        <v>2</v>
      </c>
      <c r="K33" t="n">
        <v>0</v>
      </c>
      <c r="L33" t="n">
        <v>0</v>
      </c>
      <c r="M33" t="n">
        <v>0</v>
      </c>
      <c r="N33" t="n">
        <v>0</v>
      </c>
      <c r="O33" t="n">
        <v>2</v>
      </c>
      <c r="P33" t="n">
        <v>0</v>
      </c>
      <c r="Q33" t="n">
        <v>2</v>
      </c>
      <c r="R33" s="2" t="inlineStr">
        <is>
          <t>Kandelabersvamp
Stjärnnästing</t>
        </is>
      </c>
      <c r="S33">
        <f>HYPERLINK("https://klasma.github.io/Logging_0580/artfynd/A 55344-2024 artfynd.xlsx", "A 55344-2024")</f>
        <v/>
      </c>
      <c r="T33">
        <f>HYPERLINK("https://klasma.github.io/Logging_0580/kartor/A 55344-2024 karta.png", "A 55344-2024")</f>
        <v/>
      </c>
      <c r="V33">
        <f>HYPERLINK("https://klasma.github.io/Logging_0580/klagomål/A 55344-2024 FSC-klagomål.docx", "A 55344-2024")</f>
        <v/>
      </c>
      <c r="W33">
        <f>HYPERLINK("https://klasma.github.io/Logging_0580/klagomålsmail/A 55344-2024 FSC-klagomål mail.docx", "A 55344-2024")</f>
        <v/>
      </c>
      <c r="X33">
        <f>HYPERLINK("https://klasma.github.io/Logging_0580/tillsyn/A 55344-2024 tillsynsbegäran.docx", "A 55344-2024")</f>
        <v/>
      </c>
      <c r="Y33">
        <f>HYPERLINK("https://klasma.github.io/Logging_0580/tillsynsmail/A 55344-2024 tillsynsbegäran mail.docx", "A 55344-2024")</f>
        <v/>
      </c>
    </row>
    <row r="34" ht="15" customHeight="1">
      <c r="A34" t="inlineStr">
        <is>
          <t>A 41751-2023</t>
        </is>
      </c>
      <c r="B34" s="1" t="n">
        <v>45176</v>
      </c>
      <c r="C34" s="1" t="n">
        <v>46065</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58068-2021</t>
        </is>
      </c>
      <c r="B35" s="1" t="n">
        <v>44487</v>
      </c>
      <c r="C35" s="1" t="n">
        <v>46065</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8818-2025</t>
        </is>
      </c>
      <c r="B36" s="1" t="n">
        <v>45712</v>
      </c>
      <c r="C36" s="1" t="n">
        <v>46065</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20292-2025</t>
        </is>
      </c>
      <c r="B37" s="1" t="n">
        <v>45774.7449537037</v>
      </c>
      <c r="C37" s="1" t="n">
        <v>46065</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14879-2024</t>
        </is>
      </c>
      <c r="B38" s="1" t="n">
        <v>45398</v>
      </c>
      <c r="C38" s="1" t="n">
        <v>46065</v>
      </c>
      <c r="D38" t="inlineStr">
        <is>
          <t>ÖSTERGÖTLANDS LÄN</t>
        </is>
      </c>
      <c r="E38" t="inlineStr">
        <is>
          <t>LINKÖPING</t>
        </is>
      </c>
      <c r="F38" t="inlineStr">
        <is>
          <t>Övriga Aktiebolag</t>
        </is>
      </c>
      <c r="G38" t="n">
        <v>1.7</v>
      </c>
      <c r="H38" t="n">
        <v>1</v>
      </c>
      <c r="I38" t="n">
        <v>1</v>
      </c>
      <c r="J38" t="n">
        <v>0</v>
      </c>
      <c r="K38" t="n">
        <v>0</v>
      </c>
      <c r="L38" t="n">
        <v>0</v>
      </c>
      <c r="M38" t="n">
        <v>0</v>
      </c>
      <c r="N38" t="n">
        <v>0</v>
      </c>
      <c r="O38" t="n">
        <v>0</v>
      </c>
      <c r="P38" t="n">
        <v>0</v>
      </c>
      <c r="Q38" t="n">
        <v>2</v>
      </c>
      <c r="R38" s="2" t="inlineStr">
        <is>
          <t>Svart trolldruva
Grönvit nattviol</t>
        </is>
      </c>
      <c r="S38">
        <f>HYPERLINK("https://klasma.github.io/Logging_0580/artfynd/A 14879-2024 artfynd.xlsx", "A 14879-2024")</f>
        <v/>
      </c>
      <c r="T38">
        <f>HYPERLINK("https://klasma.github.io/Logging_0580/kartor/A 14879-2024 karta.png", "A 14879-2024")</f>
        <v/>
      </c>
      <c r="V38">
        <f>HYPERLINK("https://klasma.github.io/Logging_0580/klagomål/A 14879-2024 FSC-klagomål.docx", "A 14879-2024")</f>
        <v/>
      </c>
      <c r="W38">
        <f>HYPERLINK("https://klasma.github.io/Logging_0580/klagomålsmail/A 14879-2024 FSC-klagomål mail.docx", "A 14879-2024")</f>
        <v/>
      </c>
      <c r="X38">
        <f>HYPERLINK("https://klasma.github.io/Logging_0580/tillsyn/A 14879-2024 tillsynsbegäran.docx", "A 14879-2024")</f>
        <v/>
      </c>
      <c r="Y38">
        <f>HYPERLINK("https://klasma.github.io/Logging_0580/tillsynsmail/A 14879-2024 tillsynsbegäran mail.docx", "A 14879-2024")</f>
        <v/>
      </c>
    </row>
    <row r="39" ht="15" customHeight="1">
      <c r="A39" t="inlineStr">
        <is>
          <t>A 22040-2023</t>
        </is>
      </c>
      <c r="B39" s="1" t="n">
        <v>45068</v>
      </c>
      <c r="C39" s="1" t="n">
        <v>46065</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46065</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46065</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50048-2025</t>
        </is>
      </c>
      <c r="B42" s="1" t="n">
        <v>45941</v>
      </c>
      <c r="C42" s="1" t="n">
        <v>46065</v>
      </c>
      <c r="D42" t="inlineStr">
        <is>
          <t>ÖSTERGÖTLANDS LÄN</t>
        </is>
      </c>
      <c r="E42" t="inlineStr">
        <is>
          <t>LINKÖPING</t>
        </is>
      </c>
      <c r="G42" t="n">
        <v>2.4</v>
      </c>
      <c r="H42" t="n">
        <v>2</v>
      </c>
      <c r="I42" t="n">
        <v>0</v>
      </c>
      <c r="J42" t="n">
        <v>1</v>
      </c>
      <c r="K42" t="n">
        <v>0</v>
      </c>
      <c r="L42" t="n">
        <v>0</v>
      </c>
      <c r="M42" t="n">
        <v>0</v>
      </c>
      <c r="N42" t="n">
        <v>0</v>
      </c>
      <c r="O42" t="n">
        <v>1</v>
      </c>
      <c r="P42" t="n">
        <v>0</v>
      </c>
      <c r="Q42" t="n">
        <v>2</v>
      </c>
      <c r="R42" s="2" t="inlineStr">
        <is>
          <t>Gulsparv
Trädlärka</t>
        </is>
      </c>
      <c r="S42">
        <f>HYPERLINK("https://klasma.github.io/Logging_0580/artfynd/A 50048-2025 artfynd.xlsx", "A 50048-2025")</f>
        <v/>
      </c>
      <c r="T42">
        <f>HYPERLINK("https://klasma.github.io/Logging_0580/kartor/A 50048-2025 karta.png", "A 50048-2025")</f>
        <v/>
      </c>
      <c r="V42">
        <f>HYPERLINK("https://klasma.github.io/Logging_0580/klagomål/A 50048-2025 FSC-klagomål.docx", "A 50048-2025")</f>
        <v/>
      </c>
      <c r="W42">
        <f>HYPERLINK("https://klasma.github.io/Logging_0580/klagomålsmail/A 50048-2025 FSC-klagomål mail.docx", "A 50048-2025")</f>
        <v/>
      </c>
      <c r="X42">
        <f>HYPERLINK("https://klasma.github.io/Logging_0580/tillsyn/A 50048-2025 tillsynsbegäran.docx", "A 50048-2025")</f>
        <v/>
      </c>
      <c r="Y42">
        <f>HYPERLINK("https://klasma.github.io/Logging_0580/tillsynsmail/A 50048-2025 tillsynsbegäran mail.docx", "A 50048-2025")</f>
        <v/>
      </c>
      <c r="Z42">
        <f>HYPERLINK("https://klasma.github.io/Logging_0580/fåglar/A 50048-2025 prioriterade fågelarter.docx", "A 50048-2025")</f>
        <v/>
      </c>
    </row>
    <row r="43" ht="15" customHeight="1">
      <c r="A43" t="inlineStr">
        <is>
          <t>A 3912-2026</t>
        </is>
      </c>
      <c r="B43" s="1" t="n">
        <v>46043.71958333333</v>
      </c>
      <c r="C43" s="1" t="n">
        <v>46065</v>
      </c>
      <c r="D43" t="inlineStr">
        <is>
          <t>ÖSTERGÖTLANDS LÄN</t>
        </is>
      </c>
      <c r="E43" t="inlineStr">
        <is>
          <t>LINKÖPING</t>
        </is>
      </c>
      <c r="F43" t="inlineStr">
        <is>
          <t>Kyrkan</t>
        </is>
      </c>
      <c r="G43" t="n">
        <v>6.8</v>
      </c>
      <c r="H43" t="n">
        <v>1</v>
      </c>
      <c r="I43" t="n">
        <v>1</v>
      </c>
      <c r="J43" t="n">
        <v>0</v>
      </c>
      <c r="K43" t="n">
        <v>1</v>
      </c>
      <c r="L43" t="n">
        <v>0</v>
      </c>
      <c r="M43" t="n">
        <v>0</v>
      </c>
      <c r="N43" t="n">
        <v>0</v>
      </c>
      <c r="O43" t="n">
        <v>1</v>
      </c>
      <c r="P43" t="n">
        <v>1</v>
      </c>
      <c r="Q43" t="n">
        <v>2</v>
      </c>
      <c r="R43" s="2" t="inlineStr">
        <is>
          <t>Knärot
Grönpyrola</t>
        </is>
      </c>
      <c r="S43">
        <f>HYPERLINK("https://klasma.github.io/Logging_0580/artfynd/A 3912-2026 artfynd.xlsx", "A 3912-2026")</f>
        <v/>
      </c>
      <c r="T43">
        <f>HYPERLINK("https://klasma.github.io/Logging_0580/kartor/A 3912-2026 karta.png", "A 3912-2026")</f>
        <v/>
      </c>
      <c r="U43">
        <f>HYPERLINK("https://klasma.github.io/Logging_0580/knärot/A 3912-2026 karta knärot.png", "A 3912-2026")</f>
        <v/>
      </c>
      <c r="V43">
        <f>HYPERLINK("https://klasma.github.io/Logging_0580/klagomål/A 3912-2026 FSC-klagomål.docx", "A 3912-2026")</f>
        <v/>
      </c>
      <c r="W43">
        <f>HYPERLINK("https://klasma.github.io/Logging_0580/klagomålsmail/A 3912-2026 FSC-klagomål mail.docx", "A 3912-2026")</f>
        <v/>
      </c>
      <c r="X43">
        <f>HYPERLINK("https://klasma.github.io/Logging_0580/tillsyn/A 3912-2026 tillsynsbegäran.docx", "A 3912-2026")</f>
        <v/>
      </c>
      <c r="Y43">
        <f>HYPERLINK("https://klasma.github.io/Logging_0580/tillsynsmail/A 3912-2026 tillsynsbegäran mail.docx", "A 3912-2026")</f>
        <v/>
      </c>
    </row>
    <row r="44" ht="15" customHeight="1">
      <c r="A44" t="inlineStr">
        <is>
          <t>A 38129-2021</t>
        </is>
      </c>
      <c r="B44" s="1" t="n">
        <v>44405.37199074074</v>
      </c>
      <c r="C44" s="1" t="n">
        <v>46065</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43017-2021</t>
        </is>
      </c>
      <c r="B45" s="1" t="n">
        <v>44431</v>
      </c>
      <c r="C45" s="1" t="n">
        <v>46065</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14096-2021</t>
        </is>
      </c>
      <c r="B46" s="1" t="n">
        <v>44278</v>
      </c>
      <c r="C46" s="1" t="n">
        <v>46065</v>
      </c>
      <c r="D46" t="inlineStr">
        <is>
          <t>ÖSTERGÖTLANDS LÄN</t>
        </is>
      </c>
      <c r="E46" t="inlineStr">
        <is>
          <t>LINKÖPING</t>
        </is>
      </c>
      <c r="G46" t="n">
        <v>1.7</v>
      </c>
      <c r="H46" t="n">
        <v>0</v>
      </c>
      <c r="I46" t="n">
        <v>0</v>
      </c>
      <c r="J46" t="n">
        <v>1</v>
      </c>
      <c r="K46" t="n">
        <v>0</v>
      </c>
      <c r="L46" t="n">
        <v>0</v>
      </c>
      <c r="M46" t="n">
        <v>0</v>
      </c>
      <c r="N46" t="n">
        <v>0</v>
      </c>
      <c r="O46" t="n">
        <v>1</v>
      </c>
      <c r="P46" t="n">
        <v>0</v>
      </c>
      <c r="Q46" t="n">
        <v>1</v>
      </c>
      <c r="R46" s="2" t="inlineStr">
        <is>
          <t>Vedtrappmossa</t>
        </is>
      </c>
      <c r="S46">
        <f>HYPERLINK("https://klasma.github.io/Logging_0580/artfynd/A 14096-2021 artfynd.xlsx", "A 14096-2021")</f>
        <v/>
      </c>
      <c r="T46">
        <f>HYPERLINK("https://klasma.github.io/Logging_0580/kartor/A 14096-2021 karta.png", "A 14096-2021")</f>
        <v/>
      </c>
      <c r="V46">
        <f>HYPERLINK("https://klasma.github.io/Logging_0580/klagomål/A 14096-2021 FSC-klagomål.docx", "A 14096-2021")</f>
        <v/>
      </c>
      <c r="W46">
        <f>HYPERLINK("https://klasma.github.io/Logging_0580/klagomålsmail/A 14096-2021 FSC-klagomål mail.docx", "A 14096-2021")</f>
        <v/>
      </c>
      <c r="X46">
        <f>HYPERLINK("https://klasma.github.io/Logging_0580/tillsyn/A 14096-2021 tillsynsbegäran.docx", "A 14096-2021")</f>
        <v/>
      </c>
      <c r="Y46">
        <f>HYPERLINK("https://klasma.github.io/Logging_0580/tillsynsmail/A 14096-2021 tillsynsbegäran mail.docx", "A 14096-2021")</f>
        <v/>
      </c>
    </row>
    <row r="47" ht="15" customHeight="1">
      <c r="A47" t="inlineStr">
        <is>
          <t>A 17513-2022</t>
        </is>
      </c>
      <c r="B47" s="1" t="n">
        <v>44679</v>
      </c>
      <c r="C47" s="1" t="n">
        <v>46065</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46496-2022</t>
        </is>
      </c>
      <c r="B48" s="1" t="n">
        <v>44848</v>
      </c>
      <c r="C48" s="1" t="n">
        <v>46065</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46065</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46065</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56128-2022</t>
        </is>
      </c>
      <c r="B51" s="1" t="n">
        <v>44889</v>
      </c>
      <c r="C51" s="1" t="n">
        <v>46065</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17389-2021</t>
        </is>
      </c>
      <c r="B52" s="1" t="n">
        <v>44298.96792824074</v>
      </c>
      <c r="C52" s="1" t="n">
        <v>46065</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40315-2024</t>
        </is>
      </c>
      <c r="B53" s="1" t="n">
        <v>45554.7571875</v>
      </c>
      <c r="C53" s="1" t="n">
        <v>46065</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1213-2023</t>
        </is>
      </c>
      <c r="B54" s="1" t="n">
        <v>44930</v>
      </c>
      <c r="C54" s="1" t="n">
        <v>46065</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40309-2024</t>
        </is>
      </c>
      <c r="B55" s="1" t="n">
        <v>45554.724375</v>
      </c>
      <c r="C55" s="1" t="n">
        <v>46065</v>
      </c>
      <c r="D55" t="inlineStr">
        <is>
          <t>ÖSTERGÖTLANDS LÄN</t>
        </is>
      </c>
      <c r="E55" t="inlineStr">
        <is>
          <t>LINKÖPING</t>
        </is>
      </c>
      <c r="F55" t="inlineStr">
        <is>
          <t>Allmännings- och besparingsskogar</t>
        </is>
      </c>
      <c r="G55" t="n">
        <v>6</v>
      </c>
      <c r="H55" t="n">
        <v>0</v>
      </c>
      <c r="I55" t="n">
        <v>0</v>
      </c>
      <c r="J55" t="n">
        <v>1</v>
      </c>
      <c r="K55" t="n">
        <v>0</v>
      </c>
      <c r="L55" t="n">
        <v>0</v>
      </c>
      <c r="M55" t="n">
        <v>0</v>
      </c>
      <c r="N55" t="n">
        <v>0</v>
      </c>
      <c r="O55" t="n">
        <v>1</v>
      </c>
      <c r="P55" t="n">
        <v>0</v>
      </c>
      <c r="Q55" t="n">
        <v>1</v>
      </c>
      <c r="R55" s="2" t="inlineStr">
        <is>
          <t>Garnlav</t>
        </is>
      </c>
      <c r="S55">
        <f>HYPERLINK("https://klasma.github.io/Logging_0580/artfynd/A 40309-2024 artfynd.xlsx", "A 40309-2024")</f>
        <v/>
      </c>
      <c r="T55">
        <f>HYPERLINK("https://klasma.github.io/Logging_0580/kartor/A 40309-2024 karta.png", "A 40309-2024")</f>
        <v/>
      </c>
      <c r="V55">
        <f>HYPERLINK("https://klasma.github.io/Logging_0580/klagomål/A 40309-2024 FSC-klagomål.docx", "A 40309-2024")</f>
        <v/>
      </c>
      <c r="W55">
        <f>HYPERLINK("https://klasma.github.io/Logging_0580/klagomålsmail/A 40309-2024 FSC-klagomål mail.docx", "A 40309-2024")</f>
        <v/>
      </c>
      <c r="X55">
        <f>HYPERLINK("https://klasma.github.io/Logging_0580/tillsyn/A 40309-2024 tillsynsbegäran.docx", "A 40309-2024")</f>
        <v/>
      </c>
      <c r="Y55">
        <f>HYPERLINK("https://klasma.github.io/Logging_0580/tillsynsmail/A 40309-2024 tillsynsbegäran mail.docx", "A 40309-2024")</f>
        <v/>
      </c>
    </row>
    <row r="56" ht="15" customHeight="1">
      <c r="A56" t="inlineStr">
        <is>
          <t>A 54835-2023</t>
        </is>
      </c>
      <c r="B56" s="1" t="n">
        <v>45236</v>
      </c>
      <c r="C56" s="1" t="n">
        <v>46065</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34881-2023</t>
        </is>
      </c>
      <c r="B57" s="1" t="n">
        <v>45140</v>
      </c>
      <c r="C57" s="1" t="n">
        <v>46065</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27403-2025</t>
        </is>
      </c>
      <c r="B58" s="1" t="n">
        <v>45812.72518518518</v>
      </c>
      <c r="C58" s="1" t="n">
        <v>46065</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50471-2024</t>
        </is>
      </c>
      <c r="B59" s="1" t="n">
        <v>45601.47166666666</v>
      </c>
      <c r="C59" s="1" t="n">
        <v>46065</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50806-2023</t>
        </is>
      </c>
      <c r="B60" s="1" t="n">
        <v>45217</v>
      </c>
      <c r="C60" s="1" t="n">
        <v>46065</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19103-2021</t>
        </is>
      </c>
      <c r="B61" s="1" t="n">
        <v>44308</v>
      </c>
      <c r="C61" s="1" t="n">
        <v>46065</v>
      </c>
      <c r="D61" t="inlineStr">
        <is>
          <t>ÖSTERGÖTLANDS LÄN</t>
        </is>
      </c>
      <c r="E61" t="inlineStr">
        <is>
          <t>LINKÖPING</t>
        </is>
      </c>
      <c r="G61" t="n">
        <v>4.7</v>
      </c>
      <c r="H61" t="n">
        <v>0</v>
      </c>
      <c r="I61" t="n">
        <v>0</v>
      </c>
      <c r="J61" t="n">
        <v>1</v>
      </c>
      <c r="K61" t="n">
        <v>0</v>
      </c>
      <c r="L61" t="n">
        <v>0</v>
      </c>
      <c r="M61" t="n">
        <v>0</v>
      </c>
      <c r="N61" t="n">
        <v>0</v>
      </c>
      <c r="O61" t="n">
        <v>1</v>
      </c>
      <c r="P61" t="n">
        <v>0</v>
      </c>
      <c r="Q61" t="n">
        <v>1</v>
      </c>
      <c r="R61" s="2" t="inlineStr">
        <is>
          <t>Tallticka</t>
        </is>
      </c>
      <c r="S61">
        <f>HYPERLINK("https://klasma.github.io/Logging_0580/artfynd/A 19103-2021 artfynd.xlsx", "A 19103-2021")</f>
        <v/>
      </c>
      <c r="T61">
        <f>HYPERLINK("https://klasma.github.io/Logging_0580/kartor/A 19103-2021 karta.png", "A 19103-2021")</f>
        <v/>
      </c>
      <c r="V61">
        <f>HYPERLINK("https://klasma.github.io/Logging_0580/klagomål/A 19103-2021 FSC-klagomål.docx", "A 19103-2021")</f>
        <v/>
      </c>
      <c r="W61">
        <f>HYPERLINK("https://klasma.github.io/Logging_0580/klagomålsmail/A 19103-2021 FSC-klagomål mail.docx", "A 19103-2021")</f>
        <v/>
      </c>
      <c r="X61">
        <f>HYPERLINK("https://klasma.github.io/Logging_0580/tillsyn/A 19103-2021 tillsynsbegäran.docx", "A 19103-2021")</f>
        <v/>
      </c>
      <c r="Y61">
        <f>HYPERLINK("https://klasma.github.io/Logging_0580/tillsynsmail/A 19103-2021 tillsynsbegäran mail.docx", "A 19103-2021")</f>
        <v/>
      </c>
    </row>
    <row r="62" ht="15" customHeight="1">
      <c r="A62" t="inlineStr">
        <is>
          <t>A 45317-2023</t>
        </is>
      </c>
      <c r="B62" s="1" t="n">
        <v>45191.74868055555</v>
      </c>
      <c r="C62" s="1" t="n">
        <v>46065</v>
      </c>
      <c r="D62" t="inlineStr">
        <is>
          <t>ÖSTERGÖTLANDS LÄN</t>
        </is>
      </c>
      <c r="E62" t="inlineStr">
        <is>
          <t>LINKÖPING</t>
        </is>
      </c>
      <c r="F62" t="inlineStr">
        <is>
          <t>Allmännings- och besparingsskogar</t>
        </is>
      </c>
      <c r="G62" t="n">
        <v>29.3</v>
      </c>
      <c r="H62" t="n">
        <v>0</v>
      </c>
      <c r="I62" t="n">
        <v>0</v>
      </c>
      <c r="J62" t="n">
        <v>1</v>
      </c>
      <c r="K62" t="n">
        <v>0</v>
      </c>
      <c r="L62" t="n">
        <v>0</v>
      </c>
      <c r="M62" t="n">
        <v>0</v>
      </c>
      <c r="N62" t="n">
        <v>0</v>
      </c>
      <c r="O62" t="n">
        <v>1</v>
      </c>
      <c r="P62" t="n">
        <v>0</v>
      </c>
      <c r="Q62" t="n">
        <v>1</v>
      </c>
      <c r="R62" s="2" t="inlineStr">
        <is>
          <t>Svinrot</t>
        </is>
      </c>
      <c r="S62">
        <f>HYPERLINK("https://klasma.github.io/Logging_0580/artfynd/A 45317-2023 artfynd.xlsx", "A 45317-2023")</f>
        <v/>
      </c>
      <c r="T62">
        <f>HYPERLINK("https://klasma.github.io/Logging_0580/kartor/A 45317-2023 karta.png", "A 45317-2023")</f>
        <v/>
      </c>
      <c r="V62">
        <f>HYPERLINK("https://klasma.github.io/Logging_0580/klagomål/A 45317-2023 FSC-klagomål.docx", "A 45317-2023")</f>
        <v/>
      </c>
      <c r="W62">
        <f>HYPERLINK("https://klasma.github.io/Logging_0580/klagomålsmail/A 45317-2023 FSC-klagomål mail.docx", "A 45317-2023")</f>
        <v/>
      </c>
      <c r="X62">
        <f>HYPERLINK("https://klasma.github.io/Logging_0580/tillsyn/A 45317-2023 tillsynsbegäran.docx", "A 45317-2023")</f>
        <v/>
      </c>
      <c r="Y62">
        <f>HYPERLINK("https://klasma.github.io/Logging_0580/tillsynsmail/A 45317-2023 tillsynsbegäran mail.docx", "A 45317-2023")</f>
        <v/>
      </c>
    </row>
    <row r="63" ht="15" customHeight="1">
      <c r="A63" t="inlineStr">
        <is>
          <t>A 20295-2025</t>
        </is>
      </c>
      <c r="B63" s="1" t="n">
        <v>45774.74846064814</v>
      </c>
      <c r="C63" s="1" t="n">
        <v>46065</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46065</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35948-2023</t>
        </is>
      </c>
      <c r="B65" s="1" t="n">
        <v>45148</v>
      </c>
      <c r="C65" s="1" t="n">
        <v>46065</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60573-2021</t>
        </is>
      </c>
      <c r="B66" s="1" t="n">
        <v>44496</v>
      </c>
      <c r="C66" s="1" t="n">
        <v>46065</v>
      </c>
      <c r="D66" t="inlineStr">
        <is>
          <t>ÖSTERGÖTLANDS LÄN</t>
        </is>
      </c>
      <c r="E66" t="inlineStr">
        <is>
          <t>LINKÖPING</t>
        </is>
      </c>
      <c r="F66" t="inlineStr">
        <is>
          <t>Övriga Aktiebolag</t>
        </is>
      </c>
      <c r="G66" t="n">
        <v>5.6</v>
      </c>
      <c r="H66" t="n">
        <v>0</v>
      </c>
      <c r="I66" t="n">
        <v>0</v>
      </c>
      <c r="J66" t="n">
        <v>1</v>
      </c>
      <c r="K66" t="n">
        <v>0</v>
      </c>
      <c r="L66" t="n">
        <v>0</v>
      </c>
      <c r="M66" t="n">
        <v>0</v>
      </c>
      <c r="N66" t="n">
        <v>0</v>
      </c>
      <c r="O66" t="n">
        <v>1</v>
      </c>
      <c r="P66" t="n">
        <v>0</v>
      </c>
      <c r="Q66" t="n">
        <v>1</v>
      </c>
      <c r="R66" s="2" t="inlineStr">
        <is>
          <t>Sommarfibbla</t>
        </is>
      </c>
      <c r="S66">
        <f>HYPERLINK("https://klasma.github.io/Logging_0580/artfynd/A 60573-2021 artfynd.xlsx", "A 60573-2021")</f>
        <v/>
      </c>
      <c r="T66">
        <f>HYPERLINK("https://klasma.github.io/Logging_0580/kartor/A 60573-2021 karta.png", "A 60573-2021")</f>
        <v/>
      </c>
      <c r="V66">
        <f>HYPERLINK("https://klasma.github.io/Logging_0580/klagomål/A 60573-2021 FSC-klagomål.docx", "A 60573-2021")</f>
        <v/>
      </c>
      <c r="W66">
        <f>HYPERLINK("https://klasma.github.io/Logging_0580/klagomålsmail/A 60573-2021 FSC-klagomål mail.docx", "A 60573-2021")</f>
        <v/>
      </c>
      <c r="X66">
        <f>HYPERLINK("https://klasma.github.io/Logging_0580/tillsyn/A 60573-2021 tillsynsbegäran.docx", "A 60573-2021")</f>
        <v/>
      </c>
      <c r="Y66">
        <f>HYPERLINK("https://klasma.github.io/Logging_0580/tillsynsmail/A 60573-2021 tillsynsbegäran mail.docx", "A 60573-2021")</f>
        <v/>
      </c>
    </row>
    <row r="67" ht="15" customHeight="1">
      <c r="A67" t="inlineStr">
        <is>
          <t>A 15290-2025</t>
        </is>
      </c>
      <c r="B67" s="1" t="n">
        <v>45745.45288194445</v>
      </c>
      <c r="C67" s="1" t="n">
        <v>46065</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36723-2023</t>
        </is>
      </c>
      <c r="B68" s="1" t="n">
        <v>45153</v>
      </c>
      <c r="C68" s="1" t="n">
        <v>46065</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56651-2023</t>
        </is>
      </c>
      <c r="B69" s="1" t="n">
        <v>45243</v>
      </c>
      <c r="C69" s="1" t="n">
        <v>46065</v>
      </c>
      <c r="D69" t="inlineStr">
        <is>
          <t>ÖSTERGÖTLANDS LÄN</t>
        </is>
      </c>
      <c r="E69" t="inlineStr">
        <is>
          <t>LINKÖPING</t>
        </is>
      </c>
      <c r="F69" t="inlineStr">
        <is>
          <t>Övriga Aktiebolag</t>
        </is>
      </c>
      <c r="G69" t="n">
        <v>2.3</v>
      </c>
      <c r="H69" t="n">
        <v>0</v>
      </c>
      <c r="I69" t="n">
        <v>0</v>
      </c>
      <c r="J69" t="n">
        <v>1</v>
      </c>
      <c r="K69" t="n">
        <v>0</v>
      </c>
      <c r="L69" t="n">
        <v>0</v>
      </c>
      <c r="M69" t="n">
        <v>0</v>
      </c>
      <c r="N69" t="n">
        <v>0</v>
      </c>
      <c r="O69" t="n">
        <v>1</v>
      </c>
      <c r="P69" t="n">
        <v>0</v>
      </c>
      <c r="Q69" t="n">
        <v>1</v>
      </c>
      <c r="R69" s="2" t="inlineStr">
        <is>
          <t>Gul dropplav</t>
        </is>
      </c>
      <c r="S69">
        <f>HYPERLINK("https://klasma.github.io/Logging_0580/artfynd/A 56651-2023 artfynd.xlsx", "A 56651-2023")</f>
        <v/>
      </c>
      <c r="T69">
        <f>HYPERLINK("https://klasma.github.io/Logging_0580/kartor/A 56651-2023 karta.png", "A 56651-2023")</f>
        <v/>
      </c>
      <c r="V69">
        <f>HYPERLINK("https://klasma.github.io/Logging_0580/klagomål/A 56651-2023 FSC-klagomål.docx", "A 56651-2023")</f>
        <v/>
      </c>
      <c r="W69">
        <f>HYPERLINK("https://klasma.github.io/Logging_0580/klagomålsmail/A 56651-2023 FSC-klagomål mail.docx", "A 56651-2023")</f>
        <v/>
      </c>
      <c r="X69">
        <f>HYPERLINK("https://klasma.github.io/Logging_0580/tillsyn/A 56651-2023 tillsynsbegäran.docx", "A 56651-2023")</f>
        <v/>
      </c>
      <c r="Y69">
        <f>HYPERLINK("https://klasma.github.io/Logging_0580/tillsynsmail/A 56651-2023 tillsynsbegäran mail.docx", "A 56651-2023")</f>
        <v/>
      </c>
    </row>
    <row r="70" ht="15" customHeight="1">
      <c r="A70" t="inlineStr">
        <is>
          <t>A 59948-2022</t>
        </is>
      </c>
      <c r="B70" s="1" t="n">
        <v>44909</v>
      </c>
      <c r="C70" s="1" t="n">
        <v>46065</v>
      </c>
      <c r="D70" t="inlineStr">
        <is>
          <t>ÖSTERGÖTLANDS LÄN</t>
        </is>
      </c>
      <c r="E70" t="inlineStr">
        <is>
          <t>LINKÖPING</t>
        </is>
      </c>
      <c r="G70" t="n">
        <v>6.7</v>
      </c>
      <c r="H70" t="n">
        <v>0</v>
      </c>
      <c r="I70" t="n">
        <v>0</v>
      </c>
      <c r="J70" t="n">
        <v>0</v>
      </c>
      <c r="K70" t="n">
        <v>0</v>
      </c>
      <c r="L70" t="n">
        <v>0</v>
      </c>
      <c r="M70" t="n">
        <v>1</v>
      </c>
      <c r="N70" t="n">
        <v>0</v>
      </c>
      <c r="O70" t="n">
        <v>1</v>
      </c>
      <c r="P70" t="n">
        <v>1</v>
      </c>
      <c r="Q70" t="n">
        <v>1</v>
      </c>
      <c r="R70" s="2" t="inlineStr">
        <is>
          <t>Skogsalm</t>
        </is>
      </c>
      <c r="S70">
        <f>HYPERLINK("https://klasma.github.io/Logging_0580/artfynd/A 59948-2022 artfynd.xlsx", "A 59948-2022")</f>
        <v/>
      </c>
      <c r="T70">
        <f>HYPERLINK("https://klasma.github.io/Logging_0580/kartor/A 59948-2022 karta.png", "A 59948-2022")</f>
        <v/>
      </c>
      <c r="V70">
        <f>HYPERLINK("https://klasma.github.io/Logging_0580/klagomål/A 59948-2022 FSC-klagomål.docx", "A 59948-2022")</f>
        <v/>
      </c>
      <c r="W70">
        <f>HYPERLINK("https://klasma.github.io/Logging_0580/klagomålsmail/A 59948-2022 FSC-klagomål mail.docx", "A 59948-2022")</f>
        <v/>
      </c>
      <c r="X70">
        <f>HYPERLINK("https://klasma.github.io/Logging_0580/tillsyn/A 59948-2022 tillsynsbegäran.docx", "A 59948-2022")</f>
        <v/>
      </c>
      <c r="Y70">
        <f>HYPERLINK("https://klasma.github.io/Logging_0580/tillsynsmail/A 59948-2022 tillsynsbegäran mail.docx", "A 59948-2022")</f>
        <v/>
      </c>
    </row>
    <row r="71" ht="15" customHeight="1">
      <c r="A71" t="inlineStr">
        <is>
          <t>A 39457-2023</t>
        </is>
      </c>
      <c r="B71" s="1" t="n">
        <v>45166</v>
      </c>
      <c r="C71" s="1" t="n">
        <v>46065</v>
      </c>
      <c r="D71" t="inlineStr">
        <is>
          <t>ÖSTERGÖTLANDS LÄN</t>
        </is>
      </c>
      <c r="E71" t="inlineStr">
        <is>
          <t>LINKÖPING</t>
        </is>
      </c>
      <c r="G71" t="n">
        <v>2.1</v>
      </c>
      <c r="H71" t="n">
        <v>1</v>
      </c>
      <c r="I71" t="n">
        <v>0</v>
      </c>
      <c r="J71" t="n">
        <v>0</v>
      </c>
      <c r="K71" t="n">
        <v>0</v>
      </c>
      <c r="L71" t="n">
        <v>0</v>
      </c>
      <c r="M71" t="n">
        <v>0</v>
      </c>
      <c r="N71" t="n">
        <v>0</v>
      </c>
      <c r="O71" t="n">
        <v>0</v>
      </c>
      <c r="P71" t="n">
        <v>0</v>
      </c>
      <c r="Q71" t="n">
        <v>1</v>
      </c>
      <c r="R71" s="2" t="inlineStr">
        <is>
          <t>Sparvuggla</t>
        </is>
      </c>
      <c r="S71">
        <f>HYPERLINK("https://klasma.github.io/Logging_0580/artfynd/A 39457-2023 artfynd.xlsx", "A 39457-2023")</f>
        <v/>
      </c>
      <c r="T71">
        <f>HYPERLINK("https://klasma.github.io/Logging_0580/kartor/A 39457-2023 karta.png", "A 39457-2023")</f>
        <v/>
      </c>
      <c r="V71">
        <f>HYPERLINK("https://klasma.github.io/Logging_0580/klagomål/A 39457-2023 FSC-klagomål.docx", "A 39457-2023")</f>
        <v/>
      </c>
      <c r="W71">
        <f>HYPERLINK("https://klasma.github.io/Logging_0580/klagomålsmail/A 39457-2023 FSC-klagomål mail.docx", "A 39457-2023")</f>
        <v/>
      </c>
      <c r="X71">
        <f>HYPERLINK("https://klasma.github.io/Logging_0580/tillsyn/A 39457-2023 tillsynsbegäran.docx", "A 39457-2023")</f>
        <v/>
      </c>
      <c r="Y71">
        <f>HYPERLINK("https://klasma.github.io/Logging_0580/tillsynsmail/A 39457-2023 tillsynsbegäran mail.docx", "A 39457-2023")</f>
        <v/>
      </c>
      <c r="Z71">
        <f>HYPERLINK("https://klasma.github.io/Logging_0580/fåglar/A 39457-2023 prioriterade fågelarter.docx", "A 39457-2023")</f>
        <v/>
      </c>
    </row>
    <row r="72" ht="15" customHeight="1">
      <c r="A72" t="inlineStr">
        <is>
          <t>A 62071-2023</t>
        </is>
      </c>
      <c r="B72" s="1" t="n">
        <v>45266.73542824074</v>
      </c>
      <c r="C72" s="1" t="n">
        <v>46065</v>
      </c>
      <c r="D72" t="inlineStr">
        <is>
          <t>ÖSTERGÖTLANDS LÄN</t>
        </is>
      </c>
      <c r="E72" t="inlineStr">
        <is>
          <t>LINKÖPING</t>
        </is>
      </c>
      <c r="G72" t="n">
        <v>6.5</v>
      </c>
      <c r="H72" t="n">
        <v>0</v>
      </c>
      <c r="I72" t="n">
        <v>0</v>
      </c>
      <c r="J72" t="n">
        <v>1</v>
      </c>
      <c r="K72" t="n">
        <v>0</v>
      </c>
      <c r="L72" t="n">
        <v>0</v>
      </c>
      <c r="M72" t="n">
        <v>0</v>
      </c>
      <c r="N72" t="n">
        <v>0</v>
      </c>
      <c r="O72" t="n">
        <v>1</v>
      </c>
      <c r="P72" t="n">
        <v>0</v>
      </c>
      <c r="Q72" t="n">
        <v>1</v>
      </c>
      <c r="R72" s="2" t="inlineStr">
        <is>
          <t>Svinrot</t>
        </is>
      </c>
      <c r="S72">
        <f>HYPERLINK("https://klasma.github.io/Logging_0580/artfynd/A 62071-2023 artfynd.xlsx", "A 62071-2023")</f>
        <v/>
      </c>
      <c r="T72">
        <f>HYPERLINK("https://klasma.github.io/Logging_0580/kartor/A 62071-2023 karta.png", "A 62071-2023")</f>
        <v/>
      </c>
      <c r="V72">
        <f>HYPERLINK("https://klasma.github.io/Logging_0580/klagomål/A 62071-2023 FSC-klagomål.docx", "A 62071-2023")</f>
        <v/>
      </c>
      <c r="W72">
        <f>HYPERLINK("https://klasma.github.io/Logging_0580/klagomålsmail/A 62071-2023 FSC-klagomål mail.docx", "A 62071-2023")</f>
        <v/>
      </c>
      <c r="X72">
        <f>HYPERLINK("https://klasma.github.io/Logging_0580/tillsyn/A 62071-2023 tillsynsbegäran.docx", "A 62071-2023")</f>
        <v/>
      </c>
      <c r="Y72">
        <f>HYPERLINK("https://klasma.github.io/Logging_0580/tillsynsmail/A 62071-2023 tillsynsbegäran mail.docx", "A 62071-2023")</f>
        <v/>
      </c>
    </row>
    <row r="73" ht="15" customHeight="1">
      <c r="A73" t="inlineStr">
        <is>
          <t>A 90-2024</t>
        </is>
      </c>
      <c r="B73" s="1" t="n">
        <v>45293</v>
      </c>
      <c r="C73" s="1" t="n">
        <v>46065</v>
      </c>
      <c r="D73" t="inlineStr">
        <is>
          <t>ÖSTERGÖTLANDS LÄN</t>
        </is>
      </c>
      <c r="E73" t="inlineStr">
        <is>
          <t>LINKÖPING</t>
        </is>
      </c>
      <c r="G73" t="n">
        <v>1.8</v>
      </c>
      <c r="H73" t="n">
        <v>0</v>
      </c>
      <c r="I73" t="n">
        <v>1</v>
      </c>
      <c r="J73" t="n">
        <v>0</v>
      </c>
      <c r="K73" t="n">
        <v>0</v>
      </c>
      <c r="L73" t="n">
        <v>0</v>
      </c>
      <c r="M73" t="n">
        <v>0</v>
      </c>
      <c r="N73" t="n">
        <v>0</v>
      </c>
      <c r="O73" t="n">
        <v>0</v>
      </c>
      <c r="P73" t="n">
        <v>0</v>
      </c>
      <c r="Q73" t="n">
        <v>1</v>
      </c>
      <c r="R73" s="2" t="inlineStr">
        <is>
          <t>Grov fjädermossa</t>
        </is>
      </c>
      <c r="S73">
        <f>HYPERLINK("https://klasma.github.io/Logging_0580/artfynd/A 90-2024 artfynd.xlsx", "A 90-2024")</f>
        <v/>
      </c>
      <c r="T73">
        <f>HYPERLINK("https://klasma.github.io/Logging_0580/kartor/A 90-2024 karta.png", "A 90-2024")</f>
        <v/>
      </c>
      <c r="V73">
        <f>HYPERLINK("https://klasma.github.io/Logging_0580/klagomål/A 90-2024 FSC-klagomål.docx", "A 90-2024")</f>
        <v/>
      </c>
      <c r="W73">
        <f>HYPERLINK("https://klasma.github.io/Logging_0580/klagomålsmail/A 90-2024 FSC-klagomål mail.docx", "A 90-2024")</f>
        <v/>
      </c>
      <c r="X73">
        <f>HYPERLINK("https://klasma.github.io/Logging_0580/tillsyn/A 90-2024 tillsynsbegäran.docx", "A 90-2024")</f>
        <v/>
      </c>
      <c r="Y73">
        <f>HYPERLINK("https://klasma.github.io/Logging_0580/tillsynsmail/A 90-2024 tillsynsbegäran mail.docx", "A 90-2024")</f>
        <v/>
      </c>
    </row>
    <row r="74" ht="15" customHeight="1">
      <c r="A74" t="inlineStr">
        <is>
          <t>A 17444-2025</t>
        </is>
      </c>
      <c r="B74" s="1" t="n">
        <v>45757.43452546297</v>
      </c>
      <c r="C74" s="1" t="n">
        <v>46065</v>
      </c>
      <c r="D74" t="inlineStr">
        <is>
          <t>ÖSTERGÖTLANDS LÄN</t>
        </is>
      </c>
      <c r="E74" t="inlineStr">
        <is>
          <t>LINKÖPING</t>
        </is>
      </c>
      <c r="G74" t="n">
        <v>1.3</v>
      </c>
      <c r="H74" t="n">
        <v>1</v>
      </c>
      <c r="I74" t="n">
        <v>0</v>
      </c>
      <c r="J74" t="n">
        <v>1</v>
      </c>
      <c r="K74" t="n">
        <v>0</v>
      </c>
      <c r="L74" t="n">
        <v>0</v>
      </c>
      <c r="M74" t="n">
        <v>0</v>
      </c>
      <c r="N74" t="n">
        <v>0</v>
      </c>
      <c r="O74" t="n">
        <v>1</v>
      </c>
      <c r="P74" t="n">
        <v>0</v>
      </c>
      <c r="Q74" t="n">
        <v>1</v>
      </c>
      <c r="R74" s="2" t="inlineStr">
        <is>
          <t>Dårgräsfjäril</t>
        </is>
      </c>
      <c r="S74">
        <f>HYPERLINK("https://klasma.github.io/Logging_0580/artfynd/A 17444-2025 artfynd.xlsx", "A 17444-2025")</f>
        <v/>
      </c>
      <c r="T74">
        <f>HYPERLINK("https://klasma.github.io/Logging_0580/kartor/A 17444-2025 karta.png", "A 17444-2025")</f>
        <v/>
      </c>
      <c r="V74">
        <f>HYPERLINK("https://klasma.github.io/Logging_0580/klagomål/A 17444-2025 FSC-klagomål.docx", "A 17444-2025")</f>
        <v/>
      </c>
      <c r="W74">
        <f>HYPERLINK("https://klasma.github.io/Logging_0580/klagomålsmail/A 17444-2025 FSC-klagomål mail.docx", "A 17444-2025")</f>
        <v/>
      </c>
      <c r="X74">
        <f>HYPERLINK("https://klasma.github.io/Logging_0580/tillsyn/A 17444-2025 tillsynsbegäran.docx", "A 17444-2025")</f>
        <v/>
      </c>
      <c r="Y74">
        <f>HYPERLINK("https://klasma.github.io/Logging_0580/tillsynsmail/A 17444-2025 tillsynsbegäran mail.docx", "A 17444-2025")</f>
        <v/>
      </c>
    </row>
    <row r="75" ht="15" customHeight="1">
      <c r="A75" t="inlineStr">
        <is>
          <t>A 1716-2023</t>
        </is>
      </c>
      <c r="B75" s="1" t="n">
        <v>44938</v>
      </c>
      <c r="C75" s="1" t="n">
        <v>46065</v>
      </c>
      <c r="D75" t="inlineStr">
        <is>
          <t>ÖSTERGÖTLANDS LÄN</t>
        </is>
      </c>
      <c r="E75" t="inlineStr">
        <is>
          <t>LINKÖPING</t>
        </is>
      </c>
      <c r="G75" t="n">
        <v>3.6</v>
      </c>
      <c r="H75" t="n">
        <v>0</v>
      </c>
      <c r="I75" t="n">
        <v>0</v>
      </c>
      <c r="J75" t="n">
        <v>1</v>
      </c>
      <c r="K75" t="n">
        <v>0</v>
      </c>
      <c r="L75" t="n">
        <v>0</v>
      </c>
      <c r="M75" t="n">
        <v>0</v>
      </c>
      <c r="N75" t="n">
        <v>0</v>
      </c>
      <c r="O75" t="n">
        <v>1</v>
      </c>
      <c r="P75" t="n">
        <v>0</v>
      </c>
      <c r="Q75" t="n">
        <v>1</v>
      </c>
      <c r="R75" s="2" t="inlineStr">
        <is>
          <t>Svinrot</t>
        </is>
      </c>
      <c r="S75">
        <f>HYPERLINK("https://klasma.github.io/Logging_0580/artfynd/A 1716-2023 artfynd.xlsx", "A 1716-2023")</f>
        <v/>
      </c>
      <c r="T75">
        <f>HYPERLINK("https://klasma.github.io/Logging_0580/kartor/A 1716-2023 karta.png", "A 1716-2023")</f>
        <v/>
      </c>
      <c r="V75">
        <f>HYPERLINK("https://klasma.github.io/Logging_0580/klagomål/A 1716-2023 FSC-klagomål.docx", "A 1716-2023")</f>
        <v/>
      </c>
      <c r="W75">
        <f>HYPERLINK("https://klasma.github.io/Logging_0580/klagomålsmail/A 1716-2023 FSC-klagomål mail.docx", "A 1716-2023")</f>
        <v/>
      </c>
      <c r="X75">
        <f>HYPERLINK("https://klasma.github.io/Logging_0580/tillsyn/A 1716-2023 tillsynsbegäran.docx", "A 1716-2023")</f>
        <v/>
      </c>
      <c r="Y75">
        <f>HYPERLINK("https://klasma.github.io/Logging_0580/tillsynsmail/A 1716-2023 tillsynsbegäran mail.docx", "A 1716-2023")</f>
        <v/>
      </c>
    </row>
    <row r="76" ht="15" customHeight="1">
      <c r="A76" t="inlineStr">
        <is>
          <t>A 5911-2022</t>
        </is>
      </c>
      <c r="B76" s="1" t="n">
        <v>44597</v>
      </c>
      <c r="C76" s="1" t="n">
        <v>46065</v>
      </c>
      <c r="D76" t="inlineStr">
        <is>
          <t>ÖSTERGÖTLANDS LÄN</t>
        </is>
      </c>
      <c r="E76" t="inlineStr">
        <is>
          <t>LINKÖPING</t>
        </is>
      </c>
      <c r="G76" t="n">
        <v>3.5</v>
      </c>
      <c r="H76" t="n">
        <v>0</v>
      </c>
      <c r="I76" t="n">
        <v>0</v>
      </c>
      <c r="J76" t="n">
        <v>1</v>
      </c>
      <c r="K76" t="n">
        <v>0</v>
      </c>
      <c r="L76" t="n">
        <v>0</v>
      </c>
      <c r="M76" t="n">
        <v>0</v>
      </c>
      <c r="N76" t="n">
        <v>0</v>
      </c>
      <c r="O76" t="n">
        <v>1</v>
      </c>
      <c r="P76" t="n">
        <v>0</v>
      </c>
      <c r="Q76" t="n">
        <v>1</v>
      </c>
      <c r="R76" s="2" t="inlineStr">
        <is>
          <t>Spindelört</t>
        </is>
      </c>
      <c r="S76">
        <f>HYPERLINK("https://klasma.github.io/Logging_0580/artfynd/A 5911-2022 artfynd.xlsx", "A 5911-2022")</f>
        <v/>
      </c>
      <c r="T76">
        <f>HYPERLINK("https://klasma.github.io/Logging_0580/kartor/A 5911-2022 karta.png", "A 5911-2022")</f>
        <v/>
      </c>
      <c r="V76">
        <f>HYPERLINK("https://klasma.github.io/Logging_0580/klagomål/A 5911-2022 FSC-klagomål.docx", "A 5911-2022")</f>
        <v/>
      </c>
      <c r="W76">
        <f>HYPERLINK("https://klasma.github.io/Logging_0580/klagomålsmail/A 5911-2022 FSC-klagomål mail.docx", "A 5911-2022")</f>
        <v/>
      </c>
      <c r="X76">
        <f>HYPERLINK("https://klasma.github.io/Logging_0580/tillsyn/A 5911-2022 tillsynsbegäran.docx", "A 5911-2022")</f>
        <v/>
      </c>
      <c r="Y76">
        <f>HYPERLINK("https://klasma.github.io/Logging_0580/tillsynsmail/A 5911-2022 tillsynsbegäran mail.docx", "A 5911-2022")</f>
        <v/>
      </c>
    </row>
    <row r="77" ht="15" customHeight="1">
      <c r="A77" t="inlineStr">
        <is>
          <t>A 931-2025</t>
        </is>
      </c>
      <c r="B77" s="1" t="n">
        <v>45665.88498842593</v>
      </c>
      <c r="C77" s="1" t="n">
        <v>46065</v>
      </c>
      <c r="D77" t="inlineStr">
        <is>
          <t>ÖSTERGÖTLANDS LÄN</t>
        </is>
      </c>
      <c r="E77" t="inlineStr">
        <is>
          <t>LINKÖPING</t>
        </is>
      </c>
      <c r="F77" t="inlineStr">
        <is>
          <t>Övriga Aktiebolag</t>
        </is>
      </c>
      <c r="G77" t="n">
        <v>0.8</v>
      </c>
      <c r="H77" t="n">
        <v>0</v>
      </c>
      <c r="I77" t="n">
        <v>0</v>
      </c>
      <c r="J77" t="n">
        <v>1</v>
      </c>
      <c r="K77" t="n">
        <v>0</v>
      </c>
      <c r="L77" t="n">
        <v>0</v>
      </c>
      <c r="M77" t="n">
        <v>0</v>
      </c>
      <c r="N77" t="n">
        <v>0</v>
      </c>
      <c r="O77" t="n">
        <v>1</v>
      </c>
      <c r="P77" t="n">
        <v>0</v>
      </c>
      <c r="Q77" t="n">
        <v>1</v>
      </c>
      <c r="R77" s="2" t="inlineStr">
        <is>
          <t>Tallticka</t>
        </is>
      </c>
      <c r="S77">
        <f>HYPERLINK("https://klasma.github.io/Logging_0580/artfynd/A 931-2025 artfynd.xlsx", "A 931-2025")</f>
        <v/>
      </c>
      <c r="T77">
        <f>HYPERLINK("https://klasma.github.io/Logging_0580/kartor/A 931-2025 karta.png", "A 931-2025")</f>
        <v/>
      </c>
      <c r="V77">
        <f>HYPERLINK("https://klasma.github.io/Logging_0580/klagomål/A 931-2025 FSC-klagomål.docx", "A 931-2025")</f>
        <v/>
      </c>
      <c r="W77">
        <f>HYPERLINK("https://klasma.github.io/Logging_0580/klagomålsmail/A 931-2025 FSC-klagomål mail.docx", "A 931-2025")</f>
        <v/>
      </c>
      <c r="X77">
        <f>HYPERLINK("https://klasma.github.io/Logging_0580/tillsyn/A 931-2025 tillsynsbegäran.docx", "A 931-2025")</f>
        <v/>
      </c>
      <c r="Y77">
        <f>HYPERLINK("https://klasma.github.io/Logging_0580/tillsynsmail/A 931-2025 tillsynsbegäran mail.docx", "A 931-2025")</f>
        <v/>
      </c>
    </row>
    <row r="78" ht="15" customHeight="1">
      <c r="A78" t="inlineStr">
        <is>
          <t>A 22526-2025</t>
        </is>
      </c>
      <c r="B78" s="1" t="n">
        <v>45786.78096064815</v>
      </c>
      <c r="C78" s="1" t="n">
        <v>46065</v>
      </c>
      <c r="D78" t="inlineStr">
        <is>
          <t>ÖSTERGÖTLANDS LÄN</t>
        </is>
      </c>
      <c r="E78" t="inlineStr">
        <is>
          <t>LINKÖPING</t>
        </is>
      </c>
      <c r="G78" t="n">
        <v>1.8</v>
      </c>
      <c r="H78" t="n">
        <v>1</v>
      </c>
      <c r="I78" t="n">
        <v>0</v>
      </c>
      <c r="J78" t="n">
        <v>1</v>
      </c>
      <c r="K78" t="n">
        <v>0</v>
      </c>
      <c r="L78" t="n">
        <v>0</v>
      </c>
      <c r="M78" t="n">
        <v>0</v>
      </c>
      <c r="N78" t="n">
        <v>0</v>
      </c>
      <c r="O78" t="n">
        <v>1</v>
      </c>
      <c r="P78" t="n">
        <v>0</v>
      </c>
      <c r="Q78" t="n">
        <v>1</v>
      </c>
      <c r="R78" s="2" t="inlineStr">
        <is>
          <t>Röd skogslilja</t>
        </is>
      </c>
      <c r="S78">
        <f>HYPERLINK("https://klasma.github.io/Logging_0580/artfynd/A 22526-2025 artfynd.xlsx", "A 22526-2025")</f>
        <v/>
      </c>
      <c r="T78">
        <f>HYPERLINK("https://klasma.github.io/Logging_0580/kartor/A 22526-2025 karta.png", "A 22526-2025")</f>
        <v/>
      </c>
      <c r="V78">
        <f>HYPERLINK("https://klasma.github.io/Logging_0580/klagomål/A 22526-2025 FSC-klagomål.docx", "A 22526-2025")</f>
        <v/>
      </c>
      <c r="W78">
        <f>HYPERLINK("https://klasma.github.io/Logging_0580/klagomålsmail/A 22526-2025 FSC-klagomål mail.docx", "A 22526-2025")</f>
        <v/>
      </c>
      <c r="X78">
        <f>HYPERLINK("https://klasma.github.io/Logging_0580/tillsyn/A 22526-2025 tillsynsbegäran.docx", "A 22526-2025")</f>
        <v/>
      </c>
      <c r="Y78">
        <f>HYPERLINK("https://klasma.github.io/Logging_0580/tillsynsmail/A 22526-2025 tillsynsbegäran mail.docx", "A 22526-2025")</f>
        <v/>
      </c>
    </row>
    <row r="79" ht="15" customHeight="1">
      <c r="A79" t="inlineStr">
        <is>
          <t>A 126-2024</t>
        </is>
      </c>
      <c r="B79" s="1" t="n">
        <v>45294</v>
      </c>
      <c r="C79" s="1" t="n">
        <v>46065</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46065</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3397-2023</t>
        </is>
      </c>
      <c r="B81" s="1" t="n">
        <v>44949</v>
      </c>
      <c r="C81" s="1" t="n">
        <v>46065</v>
      </c>
      <c r="D81" t="inlineStr">
        <is>
          <t>ÖSTERGÖTLANDS LÄN</t>
        </is>
      </c>
      <c r="E81" t="inlineStr">
        <is>
          <t>LINKÖPING</t>
        </is>
      </c>
      <c r="G81" t="n">
        <v>4.1</v>
      </c>
      <c r="H81" t="n">
        <v>0</v>
      </c>
      <c r="I81" t="n">
        <v>0</v>
      </c>
      <c r="J81" t="n">
        <v>1</v>
      </c>
      <c r="K81" t="n">
        <v>0</v>
      </c>
      <c r="L81" t="n">
        <v>0</v>
      </c>
      <c r="M81" t="n">
        <v>0</v>
      </c>
      <c r="N81" t="n">
        <v>0</v>
      </c>
      <c r="O81" t="n">
        <v>1</v>
      </c>
      <c r="P81" t="n">
        <v>0</v>
      </c>
      <c r="Q81" t="n">
        <v>1</v>
      </c>
      <c r="R81" s="2" t="inlineStr">
        <is>
          <t>Svinrot</t>
        </is>
      </c>
      <c r="S81">
        <f>HYPERLINK("https://klasma.github.io/Logging_0580/artfynd/A 3397-2023 artfynd.xlsx", "A 3397-2023")</f>
        <v/>
      </c>
      <c r="T81">
        <f>HYPERLINK("https://klasma.github.io/Logging_0580/kartor/A 3397-2023 karta.png", "A 3397-2023")</f>
        <v/>
      </c>
      <c r="V81">
        <f>HYPERLINK("https://klasma.github.io/Logging_0580/klagomål/A 3397-2023 FSC-klagomål.docx", "A 3397-2023")</f>
        <v/>
      </c>
      <c r="W81">
        <f>HYPERLINK("https://klasma.github.io/Logging_0580/klagomålsmail/A 3397-2023 FSC-klagomål mail.docx", "A 3397-2023")</f>
        <v/>
      </c>
      <c r="X81">
        <f>HYPERLINK("https://klasma.github.io/Logging_0580/tillsyn/A 3397-2023 tillsynsbegäran.docx", "A 3397-2023")</f>
        <v/>
      </c>
      <c r="Y81">
        <f>HYPERLINK("https://klasma.github.io/Logging_0580/tillsynsmail/A 3397-2023 tillsynsbegäran mail.docx", "A 3397-2023")</f>
        <v/>
      </c>
    </row>
    <row r="82" ht="15" customHeight="1">
      <c r="A82" t="inlineStr">
        <is>
          <t>A 43989-2025</t>
        </is>
      </c>
      <c r="B82" s="1" t="n">
        <v>45915.44128472222</v>
      </c>
      <c r="C82" s="1" t="n">
        <v>46065</v>
      </c>
      <c r="D82" t="inlineStr">
        <is>
          <t>ÖSTERGÖTLANDS LÄN</t>
        </is>
      </c>
      <c r="E82" t="inlineStr">
        <is>
          <t>LINKÖPING</t>
        </is>
      </c>
      <c r="F82" t="inlineStr">
        <is>
          <t>Allmännings- och besparingsskogar</t>
        </is>
      </c>
      <c r="G82" t="n">
        <v>3.5</v>
      </c>
      <c r="H82" t="n">
        <v>0</v>
      </c>
      <c r="I82" t="n">
        <v>0</v>
      </c>
      <c r="J82" t="n">
        <v>1</v>
      </c>
      <c r="K82" t="n">
        <v>0</v>
      </c>
      <c r="L82" t="n">
        <v>0</v>
      </c>
      <c r="M82" t="n">
        <v>0</v>
      </c>
      <c r="N82" t="n">
        <v>0</v>
      </c>
      <c r="O82" t="n">
        <v>1</v>
      </c>
      <c r="P82" t="n">
        <v>0</v>
      </c>
      <c r="Q82" t="n">
        <v>1</v>
      </c>
      <c r="R82" s="2" t="inlineStr">
        <is>
          <t>Kavelhirs</t>
        </is>
      </c>
      <c r="S82">
        <f>HYPERLINK("https://klasma.github.io/Logging_0580/artfynd/A 43989-2025 artfynd.xlsx", "A 43989-2025")</f>
        <v/>
      </c>
      <c r="T82">
        <f>HYPERLINK("https://klasma.github.io/Logging_0580/kartor/A 43989-2025 karta.png", "A 43989-2025")</f>
        <v/>
      </c>
      <c r="V82">
        <f>HYPERLINK("https://klasma.github.io/Logging_0580/klagomål/A 43989-2025 FSC-klagomål.docx", "A 43989-2025")</f>
        <v/>
      </c>
      <c r="W82">
        <f>HYPERLINK("https://klasma.github.io/Logging_0580/klagomålsmail/A 43989-2025 FSC-klagomål mail.docx", "A 43989-2025")</f>
        <v/>
      </c>
      <c r="X82">
        <f>HYPERLINK("https://klasma.github.io/Logging_0580/tillsyn/A 43989-2025 tillsynsbegäran.docx", "A 43989-2025")</f>
        <v/>
      </c>
      <c r="Y82">
        <f>HYPERLINK("https://klasma.github.io/Logging_0580/tillsynsmail/A 43989-2025 tillsynsbegäran mail.docx", "A 43989-2025")</f>
        <v/>
      </c>
    </row>
    <row r="83" ht="15" customHeight="1">
      <c r="A83" t="inlineStr">
        <is>
          <t>A 44760-2025</t>
        </is>
      </c>
      <c r="B83" s="1" t="n">
        <v>45917.71873842592</v>
      </c>
      <c r="C83" s="1" t="n">
        <v>46065</v>
      </c>
      <c r="D83" t="inlineStr">
        <is>
          <t>ÖSTERGÖTLANDS LÄN</t>
        </is>
      </c>
      <c r="E83" t="inlineStr">
        <is>
          <t>LINKÖPING</t>
        </is>
      </c>
      <c r="G83" t="n">
        <v>0.9</v>
      </c>
      <c r="H83" t="n">
        <v>0</v>
      </c>
      <c r="I83" t="n">
        <v>0</v>
      </c>
      <c r="J83" t="n">
        <v>1</v>
      </c>
      <c r="K83" t="n">
        <v>0</v>
      </c>
      <c r="L83" t="n">
        <v>0</v>
      </c>
      <c r="M83" t="n">
        <v>0</v>
      </c>
      <c r="N83" t="n">
        <v>0</v>
      </c>
      <c r="O83" t="n">
        <v>1</v>
      </c>
      <c r="P83" t="n">
        <v>0</v>
      </c>
      <c r="Q83" t="n">
        <v>1</v>
      </c>
      <c r="R83" s="2" t="inlineStr">
        <is>
          <t>Tallticka</t>
        </is>
      </c>
      <c r="S83">
        <f>HYPERLINK("https://klasma.github.io/Logging_0580/artfynd/A 44760-2025 artfynd.xlsx", "A 44760-2025")</f>
        <v/>
      </c>
      <c r="T83">
        <f>HYPERLINK("https://klasma.github.io/Logging_0580/kartor/A 44760-2025 karta.png", "A 44760-2025")</f>
        <v/>
      </c>
      <c r="V83">
        <f>HYPERLINK("https://klasma.github.io/Logging_0580/klagomål/A 44760-2025 FSC-klagomål.docx", "A 44760-2025")</f>
        <v/>
      </c>
      <c r="W83">
        <f>HYPERLINK("https://klasma.github.io/Logging_0580/klagomålsmail/A 44760-2025 FSC-klagomål mail.docx", "A 44760-2025")</f>
        <v/>
      </c>
      <c r="X83">
        <f>HYPERLINK("https://klasma.github.io/Logging_0580/tillsyn/A 44760-2025 tillsynsbegäran.docx", "A 44760-2025")</f>
        <v/>
      </c>
      <c r="Y83">
        <f>HYPERLINK("https://klasma.github.io/Logging_0580/tillsynsmail/A 44760-2025 tillsynsbegäran mail.docx", "A 44760-2025")</f>
        <v/>
      </c>
    </row>
    <row r="84" ht="15" customHeight="1">
      <c r="A84" t="inlineStr">
        <is>
          <t>A 48273-2025</t>
        </is>
      </c>
      <c r="B84" s="1" t="n">
        <v>45932</v>
      </c>
      <c r="C84" s="1" t="n">
        <v>46065</v>
      </c>
      <c r="D84" t="inlineStr">
        <is>
          <t>ÖSTERGÖTLANDS LÄN</t>
        </is>
      </c>
      <c r="E84" t="inlineStr">
        <is>
          <t>LINKÖPING</t>
        </is>
      </c>
      <c r="F84" t="inlineStr">
        <is>
          <t>Övriga Aktiebolag</t>
        </is>
      </c>
      <c r="G84" t="n">
        <v>4.6</v>
      </c>
      <c r="H84" t="n">
        <v>0</v>
      </c>
      <c r="I84" t="n">
        <v>0</v>
      </c>
      <c r="J84" t="n">
        <v>1</v>
      </c>
      <c r="K84" t="n">
        <v>0</v>
      </c>
      <c r="L84" t="n">
        <v>0</v>
      </c>
      <c r="M84" t="n">
        <v>0</v>
      </c>
      <c r="N84" t="n">
        <v>0</v>
      </c>
      <c r="O84" t="n">
        <v>1</v>
      </c>
      <c r="P84" t="n">
        <v>0</v>
      </c>
      <c r="Q84" t="n">
        <v>1</v>
      </c>
      <c r="R84" s="2" t="inlineStr">
        <is>
          <t>Barrviolspindling</t>
        </is>
      </c>
      <c r="S84">
        <f>HYPERLINK("https://klasma.github.io/Logging_0580/artfynd/A 48273-2025 artfynd.xlsx", "A 48273-2025")</f>
        <v/>
      </c>
      <c r="T84">
        <f>HYPERLINK("https://klasma.github.io/Logging_0580/kartor/A 48273-2025 karta.png", "A 48273-2025")</f>
        <v/>
      </c>
      <c r="V84">
        <f>HYPERLINK("https://klasma.github.io/Logging_0580/klagomål/A 48273-2025 FSC-klagomål.docx", "A 48273-2025")</f>
        <v/>
      </c>
      <c r="W84">
        <f>HYPERLINK("https://klasma.github.io/Logging_0580/klagomålsmail/A 48273-2025 FSC-klagomål mail.docx", "A 48273-2025")</f>
        <v/>
      </c>
      <c r="X84">
        <f>HYPERLINK("https://klasma.github.io/Logging_0580/tillsyn/A 48273-2025 tillsynsbegäran.docx", "A 48273-2025")</f>
        <v/>
      </c>
      <c r="Y84">
        <f>HYPERLINK("https://klasma.github.io/Logging_0580/tillsynsmail/A 48273-2025 tillsynsbegäran mail.docx", "A 48273-2025")</f>
        <v/>
      </c>
    </row>
    <row r="85" ht="15" customHeight="1">
      <c r="A85" t="inlineStr">
        <is>
          <t>A 48298-2025</t>
        </is>
      </c>
      <c r="B85" s="1" t="n">
        <v>45932</v>
      </c>
      <c r="C85" s="1" t="n">
        <v>46065</v>
      </c>
      <c r="D85" t="inlineStr">
        <is>
          <t>ÖSTERGÖTLANDS LÄN</t>
        </is>
      </c>
      <c r="E85" t="inlineStr">
        <is>
          <t>LINKÖPING</t>
        </is>
      </c>
      <c r="F85" t="inlineStr">
        <is>
          <t>Övriga Aktiebolag</t>
        </is>
      </c>
      <c r="G85" t="n">
        <v>1.7</v>
      </c>
      <c r="H85" t="n">
        <v>0</v>
      </c>
      <c r="I85" t="n">
        <v>1</v>
      </c>
      <c r="J85" t="n">
        <v>0</v>
      </c>
      <c r="K85" t="n">
        <v>0</v>
      </c>
      <c r="L85" t="n">
        <v>0</v>
      </c>
      <c r="M85" t="n">
        <v>0</v>
      </c>
      <c r="N85" t="n">
        <v>0</v>
      </c>
      <c r="O85" t="n">
        <v>0</v>
      </c>
      <c r="P85" t="n">
        <v>0</v>
      </c>
      <c r="Q85" t="n">
        <v>1</v>
      </c>
      <c r="R85" s="2" t="inlineStr">
        <is>
          <t>Västlig hakmossa</t>
        </is>
      </c>
      <c r="S85">
        <f>HYPERLINK("https://klasma.github.io/Logging_0580/artfynd/A 48298-2025 artfynd.xlsx", "A 48298-2025")</f>
        <v/>
      </c>
      <c r="T85">
        <f>HYPERLINK("https://klasma.github.io/Logging_0580/kartor/A 48298-2025 karta.png", "A 48298-2025")</f>
        <v/>
      </c>
      <c r="V85">
        <f>HYPERLINK("https://klasma.github.io/Logging_0580/klagomål/A 48298-2025 FSC-klagomål.docx", "A 48298-2025")</f>
        <v/>
      </c>
      <c r="W85">
        <f>HYPERLINK("https://klasma.github.io/Logging_0580/klagomålsmail/A 48298-2025 FSC-klagomål mail.docx", "A 48298-2025")</f>
        <v/>
      </c>
      <c r="X85">
        <f>HYPERLINK("https://klasma.github.io/Logging_0580/tillsyn/A 48298-2025 tillsynsbegäran.docx", "A 48298-2025")</f>
        <v/>
      </c>
      <c r="Y85">
        <f>HYPERLINK("https://klasma.github.io/Logging_0580/tillsynsmail/A 48298-2025 tillsynsbegäran mail.docx", "A 48298-2025")</f>
        <v/>
      </c>
    </row>
    <row r="86" ht="15" customHeight="1">
      <c r="A86" t="inlineStr">
        <is>
          <t>A 48353-2025</t>
        </is>
      </c>
      <c r="B86" s="1" t="n">
        <v>45932</v>
      </c>
      <c r="C86" s="1" t="n">
        <v>46065</v>
      </c>
      <c r="D86" t="inlineStr">
        <is>
          <t>ÖSTERGÖTLANDS LÄN</t>
        </is>
      </c>
      <c r="E86" t="inlineStr">
        <is>
          <t>LINKÖPING</t>
        </is>
      </c>
      <c r="F86" t="inlineStr">
        <is>
          <t>Övriga Aktiebolag</t>
        </is>
      </c>
      <c r="G86" t="n">
        <v>4.5</v>
      </c>
      <c r="H86" t="n">
        <v>1</v>
      </c>
      <c r="I86" t="n">
        <v>0</v>
      </c>
      <c r="J86" t="n">
        <v>1</v>
      </c>
      <c r="K86" t="n">
        <v>0</v>
      </c>
      <c r="L86" t="n">
        <v>0</v>
      </c>
      <c r="M86" t="n">
        <v>0</v>
      </c>
      <c r="N86" t="n">
        <v>0</v>
      </c>
      <c r="O86" t="n">
        <v>1</v>
      </c>
      <c r="P86" t="n">
        <v>0</v>
      </c>
      <c r="Q86" t="n">
        <v>1</v>
      </c>
      <c r="R86" s="2" t="inlineStr">
        <is>
          <t>Entita</t>
        </is>
      </c>
      <c r="S86">
        <f>HYPERLINK("https://klasma.github.io/Logging_0580/artfynd/A 48353-2025 artfynd.xlsx", "A 48353-2025")</f>
        <v/>
      </c>
      <c r="T86">
        <f>HYPERLINK("https://klasma.github.io/Logging_0580/kartor/A 48353-2025 karta.png", "A 48353-2025")</f>
        <v/>
      </c>
      <c r="V86">
        <f>HYPERLINK("https://klasma.github.io/Logging_0580/klagomål/A 48353-2025 FSC-klagomål.docx", "A 48353-2025")</f>
        <v/>
      </c>
      <c r="W86">
        <f>HYPERLINK("https://klasma.github.io/Logging_0580/klagomålsmail/A 48353-2025 FSC-klagomål mail.docx", "A 48353-2025")</f>
        <v/>
      </c>
      <c r="X86">
        <f>HYPERLINK("https://klasma.github.io/Logging_0580/tillsyn/A 48353-2025 tillsynsbegäran.docx", "A 48353-2025")</f>
        <v/>
      </c>
      <c r="Y86">
        <f>HYPERLINK("https://klasma.github.io/Logging_0580/tillsynsmail/A 48353-2025 tillsynsbegäran mail.docx", "A 48353-2025")</f>
        <v/>
      </c>
      <c r="Z86">
        <f>HYPERLINK("https://klasma.github.io/Logging_0580/fåglar/A 48353-2025 prioriterade fågelarter.docx", "A 48353-2025")</f>
        <v/>
      </c>
    </row>
    <row r="87" ht="15" customHeight="1">
      <c r="A87" t="inlineStr">
        <is>
          <t>A 48347-2025</t>
        </is>
      </c>
      <c r="B87" s="1" t="n">
        <v>45932</v>
      </c>
      <c r="C87" s="1" t="n">
        <v>46065</v>
      </c>
      <c r="D87" t="inlineStr">
        <is>
          <t>ÖSTERGÖTLANDS LÄN</t>
        </is>
      </c>
      <c r="E87" t="inlineStr">
        <is>
          <t>LINKÖPING</t>
        </is>
      </c>
      <c r="F87" t="inlineStr">
        <is>
          <t>Övriga Aktiebolag</t>
        </is>
      </c>
      <c r="G87" t="n">
        <v>0.9</v>
      </c>
      <c r="H87" t="n">
        <v>0</v>
      </c>
      <c r="I87" t="n">
        <v>0</v>
      </c>
      <c r="J87" t="n">
        <v>1</v>
      </c>
      <c r="K87" t="n">
        <v>0</v>
      </c>
      <c r="L87" t="n">
        <v>0</v>
      </c>
      <c r="M87" t="n">
        <v>0</v>
      </c>
      <c r="N87" t="n">
        <v>0</v>
      </c>
      <c r="O87" t="n">
        <v>1</v>
      </c>
      <c r="P87" t="n">
        <v>0</v>
      </c>
      <c r="Q87" t="n">
        <v>1</v>
      </c>
      <c r="R87" s="2" t="inlineStr">
        <is>
          <t>Igelkott</t>
        </is>
      </c>
      <c r="S87">
        <f>HYPERLINK("https://klasma.github.io/Logging_0580/artfynd/A 48347-2025 artfynd.xlsx", "A 48347-2025")</f>
        <v/>
      </c>
      <c r="T87">
        <f>HYPERLINK("https://klasma.github.io/Logging_0580/kartor/A 48347-2025 karta.png", "A 48347-2025")</f>
        <v/>
      </c>
      <c r="V87">
        <f>HYPERLINK("https://klasma.github.io/Logging_0580/klagomål/A 48347-2025 FSC-klagomål.docx", "A 48347-2025")</f>
        <v/>
      </c>
      <c r="W87">
        <f>HYPERLINK("https://klasma.github.io/Logging_0580/klagomålsmail/A 48347-2025 FSC-klagomål mail.docx", "A 48347-2025")</f>
        <v/>
      </c>
      <c r="X87">
        <f>HYPERLINK("https://klasma.github.io/Logging_0580/tillsyn/A 48347-2025 tillsynsbegäran.docx", "A 48347-2025")</f>
        <v/>
      </c>
      <c r="Y87">
        <f>HYPERLINK("https://klasma.github.io/Logging_0580/tillsynsmail/A 48347-2025 tillsynsbegäran mail.docx", "A 48347-2025")</f>
        <v/>
      </c>
    </row>
    <row r="88" ht="15" customHeight="1">
      <c r="A88" t="inlineStr">
        <is>
          <t>A 41749-2023</t>
        </is>
      </c>
      <c r="B88" s="1" t="n">
        <v>45176</v>
      </c>
      <c r="C88" s="1" t="n">
        <v>46065</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50034-2025</t>
        </is>
      </c>
      <c r="B89" s="1" t="n">
        <v>45941</v>
      </c>
      <c r="C89" s="1" t="n">
        <v>46065</v>
      </c>
      <c r="D89" t="inlineStr">
        <is>
          <t>ÖSTERGÖTLANDS LÄN</t>
        </is>
      </c>
      <c r="E89" t="inlineStr">
        <is>
          <t>LINKÖPING</t>
        </is>
      </c>
      <c r="G89" t="n">
        <v>6.2</v>
      </c>
      <c r="H89" t="n">
        <v>0</v>
      </c>
      <c r="I89" t="n">
        <v>0</v>
      </c>
      <c r="J89" t="n">
        <v>0</v>
      </c>
      <c r="K89" t="n">
        <v>0</v>
      </c>
      <c r="L89" t="n">
        <v>0</v>
      </c>
      <c r="M89" t="n">
        <v>1</v>
      </c>
      <c r="N89" t="n">
        <v>0</v>
      </c>
      <c r="O89" t="n">
        <v>1</v>
      </c>
      <c r="P89" t="n">
        <v>1</v>
      </c>
      <c r="Q89" t="n">
        <v>1</v>
      </c>
      <c r="R89" s="2" t="inlineStr">
        <is>
          <t>Skogsalm</t>
        </is>
      </c>
      <c r="S89">
        <f>HYPERLINK("https://klasma.github.io/Logging_0580/artfynd/A 50034-2025 artfynd.xlsx", "A 50034-2025")</f>
        <v/>
      </c>
      <c r="T89">
        <f>HYPERLINK("https://klasma.github.io/Logging_0580/kartor/A 50034-2025 karta.png", "A 50034-2025")</f>
        <v/>
      </c>
      <c r="V89">
        <f>HYPERLINK("https://klasma.github.io/Logging_0580/klagomål/A 50034-2025 FSC-klagomål.docx", "A 50034-2025")</f>
        <v/>
      </c>
      <c r="W89">
        <f>HYPERLINK("https://klasma.github.io/Logging_0580/klagomålsmail/A 50034-2025 FSC-klagomål mail.docx", "A 50034-2025")</f>
        <v/>
      </c>
      <c r="X89">
        <f>HYPERLINK("https://klasma.github.io/Logging_0580/tillsyn/A 50034-2025 tillsynsbegäran.docx", "A 50034-2025")</f>
        <v/>
      </c>
      <c r="Y89">
        <f>HYPERLINK("https://klasma.github.io/Logging_0580/tillsynsmail/A 50034-2025 tillsynsbegäran mail.docx", "A 50034-2025")</f>
        <v/>
      </c>
    </row>
    <row r="90" ht="15" customHeight="1">
      <c r="A90" t="inlineStr">
        <is>
          <t>A 56112-2025</t>
        </is>
      </c>
      <c r="B90" s="1" t="n">
        <v>45973.73625</v>
      </c>
      <c r="C90" s="1" t="n">
        <v>46065</v>
      </c>
      <c r="D90" t="inlineStr">
        <is>
          <t>ÖSTERGÖTLANDS LÄN</t>
        </is>
      </c>
      <c r="E90" t="inlineStr">
        <is>
          <t>LINKÖPING</t>
        </is>
      </c>
      <c r="G90" t="n">
        <v>0.6</v>
      </c>
      <c r="H90" t="n">
        <v>0</v>
      </c>
      <c r="I90" t="n">
        <v>0</v>
      </c>
      <c r="J90" t="n">
        <v>1</v>
      </c>
      <c r="K90" t="n">
        <v>0</v>
      </c>
      <c r="L90" t="n">
        <v>0</v>
      </c>
      <c r="M90" t="n">
        <v>0</v>
      </c>
      <c r="N90" t="n">
        <v>0</v>
      </c>
      <c r="O90" t="n">
        <v>1</v>
      </c>
      <c r="P90" t="n">
        <v>0</v>
      </c>
      <c r="Q90" t="n">
        <v>1</v>
      </c>
      <c r="R90" s="2" t="inlineStr">
        <is>
          <t>Solvända</t>
        </is>
      </c>
      <c r="S90">
        <f>HYPERLINK("https://klasma.github.io/Logging_0580/artfynd/A 56112-2025 artfynd.xlsx", "A 56112-2025")</f>
        <v/>
      </c>
      <c r="T90">
        <f>HYPERLINK("https://klasma.github.io/Logging_0580/kartor/A 56112-2025 karta.png", "A 56112-2025")</f>
        <v/>
      </c>
      <c r="V90">
        <f>HYPERLINK("https://klasma.github.io/Logging_0580/klagomål/A 56112-2025 FSC-klagomål.docx", "A 56112-2025")</f>
        <v/>
      </c>
      <c r="W90">
        <f>HYPERLINK("https://klasma.github.io/Logging_0580/klagomålsmail/A 56112-2025 FSC-klagomål mail.docx", "A 56112-2025")</f>
        <v/>
      </c>
      <c r="X90">
        <f>HYPERLINK("https://klasma.github.io/Logging_0580/tillsyn/A 56112-2025 tillsynsbegäran.docx", "A 56112-2025")</f>
        <v/>
      </c>
      <c r="Y90">
        <f>HYPERLINK("https://klasma.github.io/Logging_0580/tillsynsmail/A 56112-2025 tillsynsbegäran mail.docx", "A 56112-2025")</f>
        <v/>
      </c>
    </row>
    <row r="91" ht="15" customHeight="1">
      <c r="A91" t="inlineStr">
        <is>
          <t>A 59474-2025</t>
        </is>
      </c>
      <c r="B91" s="1" t="n">
        <v>45989.58512731481</v>
      </c>
      <c r="C91" s="1" t="n">
        <v>46065</v>
      </c>
      <c r="D91" t="inlineStr">
        <is>
          <t>ÖSTERGÖTLANDS LÄN</t>
        </is>
      </c>
      <c r="E91" t="inlineStr">
        <is>
          <t>LINKÖPING</t>
        </is>
      </c>
      <c r="G91" t="n">
        <v>8</v>
      </c>
      <c r="H91" t="n">
        <v>0</v>
      </c>
      <c r="I91" t="n">
        <v>1</v>
      </c>
      <c r="J91" t="n">
        <v>0</v>
      </c>
      <c r="K91" t="n">
        <v>0</v>
      </c>
      <c r="L91" t="n">
        <v>0</v>
      </c>
      <c r="M91" t="n">
        <v>0</v>
      </c>
      <c r="N91" t="n">
        <v>0</v>
      </c>
      <c r="O91" t="n">
        <v>0</v>
      </c>
      <c r="P91" t="n">
        <v>0</v>
      </c>
      <c r="Q91" t="n">
        <v>1</v>
      </c>
      <c r="R91" s="2" t="inlineStr">
        <is>
          <t>Fällmossa</t>
        </is>
      </c>
      <c r="S91">
        <f>HYPERLINK("https://klasma.github.io/Logging_0580/artfynd/A 59474-2025 artfynd.xlsx", "A 59474-2025")</f>
        <v/>
      </c>
      <c r="T91">
        <f>HYPERLINK("https://klasma.github.io/Logging_0580/kartor/A 59474-2025 karta.png", "A 59474-2025")</f>
        <v/>
      </c>
      <c r="V91">
        <f>HYPERLINK("https://klasma.github.io/Logging_0580/klagomål/A 59474-2025 FSC-klagomål.docx", "A 59474-2025")</f>
        <v/>
      </c>
      <c r="W91">
        <f>HYPERLINK("https://klasma.github.io/Logging_0580/klagomålsmail/A 59474-2025 FSC-klagomål mail.docx", "A 59474-2025")</f>
        <v/>
      </c>
      <c r="X91">
        <f>HYPERLINK("https://klasma.github.io/Logging_0580/tillsyn/A 59474-2025 tillsynsbegäran.docx", "A 59474-2025")</f>
        <v/>
      </c>
      <c r="Y91">
        <f>HYPERLINK("https://klasma.github.io/Logging_0580/tillsynsmail/A 59474-2025 tillsynsbegäran mail.docx", "A 59474-2025")</f>
        <v/>
      </c>
    </row>
    <row r="92" ht="15" customHeight="1">
      <c r="A92" t="inlineStr">
        <is>
          <t>A 60311-2025</t>
        </is>
      </c>
      <c r="B92" s="1" t="n">
        <v>45994</v>
      </c>
      <c r="C92" s="1" t="n">
        <v>46065</v>
      </c>
      <c r="D92" t="inlineStr">
        <is>
          <t>ÖSTERGÖTLANDS LÄN</t>
        </is>
      </c>
      <c r="E92" t="inlineStr">
        <is>
          <t>LINKÖPING</t>
        </is>
      </c>
      <c r="G92" t="n">
        <v>1.9</v>
      </c>
      <c r="H92" t="n">
        <v>0</v>
      </c>
      <c r="I92" t="n">
        <v>0</v>
      </c>
      <c r="J92" t="n">
        <v>1</v>
      </c>
      <c r="K92" t="n">
        <v>0</v>
      </c>
      <c r="L92" t="n">
        <v>0</v>
      </c>
      <c r="M92" t="n">
        <v>0</v>
      </c>
      <c r="N92" t="n">
        <v>0</v>
      </c>
      <c r="O92" t="n">
        <v>1</v>
      </c>
      <c r="P92" t="n">
        <v>0</v>
      </c>
      <c r="Q92" t="n">
        <v>1</v>
      </c>
      <c r="R92" s="2" t="inlineStr">
        <is>
          <t>Gammelekslav</t>
        </is>
      </c>
      <c r="S92">
        <f>HYPERLINK("https://klasma.github.io/Logging_0580/artfynd/A 60311-2025 artfynd.xlsx", "A 60311-2025")</f>
        <v/>
      </c>
      <c r="T92">
        <f>HYPERLINK("https://klasma.github.io/Logging_0580/kartor/A 60311-2025 karta.png", "A 60311-2025")</f>
        <v/>
      </c>
      <c r="V92">
        <f>HYPERLINK("https://klasma.github.io/Logging_0580/klagomål/A 60311-2025 FSC-klagomål.docx", "A 60311-2025")</f>
        <v/>
      </c>
      <c r="W92">
        <f>HYPERLINK("https://klasma.github.io/Logging_0580/klagomålsmail/A 60311-2025 FSC-klagomål mail.docx", "A 60311-2025")</f>
        <v/>
      </c>
      <c r="X92">
        <f>HYPERLINK("https://klasma.github.io/Logging_0580/tillsyn/A 60311-2025 tillsynsbegäran.docx", "A 60311-2025")</f>
        <v/>
      </c>
      <c r="Y92">
        <f>HYPERLINK("https://klasma.github.io/Logging_0580/tillsynsmail/A 60311-2025 tillsynsbegäran mail.docx", "A 60311-2025")</f>
        <v/>
      </c>
    </row>
    <row r="93" ht="15" customHeight="1">
      <c r="A93" t="inlineStr">
        <is>
          <t>A 7186-2026</t>
        </is>
      </c>
      <c r="B93" s="1" t="n">
        <v>46058.49090277778</v>
      </c>
      <c r="C93" s="1" t="n">
        <v>46065</v>
      </c>
      <c r="D93" t="inlineStr">
        <is>
          <t>ÖSTERGÖTLANDS LÄN</t>
        </is>
      </c>
      <c r="E93" t="inlineStr">
        <is>
          <t>LINKÖPING</t>
        </is>
      </c>
      <c r="G93" t="n">
        <v>5.5</v>
      </c>
      <c r="H93" t="n">
        <v>0</v>
      </c>
      <c r="I93" t="n">
        <v>1</v>
      </c>
      <c r="J93" t="n">
        <v>0</v>
      </c>
      <c r="K93" t="n">
        <v>0</v>
      </c>
      <c r="L93" t="n">
        <v>0</v>
      </c>
      <c r="M93" t="n">
        <v>0</v>
      </c>
      <c r="N93" t="n">
        <v>0</v>
      </c>
      <c r="O93" t="n">
        <v>0</v>
      </c>
      <c r="P93" t="n">
        <v>0</v>
      </c>
      <c r="Q93" t="n">
        <v>1</v>
      </c>
      <c r="R93" s="2" t="inlineStr">
        <is>
          <t>Grönpyrola</t>
        </is>
      </c>
      <c r="S93">
        <f>HYPERLINK("https://klasma.github.io/Logging_0580/artfynd/A 7186-2026 artfynd.xlsx", "A 7186-2026")</f>
        <v/>
      </c>
      <c r="T93">
        <f>HYPERLINK("https://klasma.github.io/Logging_0580/kartor/A 7186-2026 karta.png", "A 7186-2026")</f>
        <v/>
      </c>
      <c r="V93">
        <f>HYPERLINK("https://klasma.github.io/Logging_0580/klagomål/A 7186-2026 FSC-klagomål.docx", "A 7186-2026")</f>
        <v/>
      </c>
      <c r="W93">
        <f>HYPERLINK("https://klasma.github.io/Logging_0580/klagomålsmail/A 7186-2026 FSC-klagomål mail.docx", "A 7186-2026")</f>
        <v/>
      </c>
      <c r="X93">
        <f>HYPERLINK("https://klasma.github.io/Logging_0580/tillsyn/A 7186-2026 tillsynsbegäran.docx", "A 7186-2026")</f>
        <v/>
      </c>
      <c r="Y93">
        <f>HYPERLINK("https://klasma.github.io/Logging_0580/tillsynsmail/A 7186-2026 tillsynsbegäran mail.docx", "A 7186-2026")</f>
        <v/>
      </c>
    </row>
    <row r="94" ht="15" customHeight="1">
      <c r="A94" t="inlineStr">
        <is>
          <t>A 38881-2021</t>
        </is>
      </c>
      <c r="B94" s="1" t="n">
        <v>44411.46893518518</v>
      </c>
      <c r="C94" s="1" t="n">
        <v>46065</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46065</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46065</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46065</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46065</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46065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46065</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46065</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46065</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46065</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46065</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46065</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46065</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46065</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46065</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46065</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46065</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46065</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46065</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46065</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46065</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46065</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46065</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46065</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46065</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46065</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46065</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46065</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46065</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46065</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46065</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46065</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27666-2022</t>
        </is>
      </c>
      <c r="B126" s="1" t="n">
        <v>44743.39017361111</v>
      </c>
      <c r="C126" s="1" t="n">
        <v>46065</v>
      </c>
      <c r="D126" t="inlineStr">
        <is>
          <t>ÖSTERGÖTLANDS LÄN</t>
        </is>
      </c>
      <c r="E126" t="inlineStr">
        <is>
          <t>LINKÖPING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19183-2021</t>
        </is>
      </c>
      <c r="B127" s="1" t="n">
        <v>44308.73248842593</v>
      </c>
      <c r="C127" s="1" t="n">
        <v>46065</v>
      </c>
      <c r="D127" t="inlineStr">
        <is>
          <t>ÖSTERGÖTLANDS LÄN</t>
        </is>
      </c>
      <c r="E127" t="inlineStr">
        <is>
          <t>LINKÖPING</t>
        </is>
      </c>
      <c r="F127" t="inlineStr">
        <is>
          <t>Allmännings- och besparingsskogar</t>
        </is>
      </c>
      <c r="G127" t="n">
        <v>4.6</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46065</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46065</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46065</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67912-2021</t>
        </is>
      </c>
      <c r="B131" s="1" t="n">
        <v>44525</v>
      </c>
      <c r="C131" s="1" t="n">
        <v>46065</v>
      </c>
      <c r="D131" t="inlineStr">
        <is>
          <t>ÖSTERGÖTLANDS LÄN</t>
        </is>
      </c>
      <c r="E131" t="inlineStr">
        <is>
          <t>LINKÖPING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67940-2021</t>
        </is>
      </c>
      <c r="B132" s="1" t="n">
        <v>44525.62849537037</v>
      </c>
      <c r="C132" s="1" t="n">
        <v>46065</v>
      </c>
      <c r="D132" t="inlineStr">
        <is>
          <t>ÖSTERGÖTLANDS LÄN</t>
        </is>
      </c>
      <c r="E132" t="inlineStr">
        <is>
          <t>LINKÖPING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46065</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46065</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13922-2021</t>
        </is>
      </c>
      <c r="B135" s="1" t="n">
        <v>44277.45946759259</v>
      </c>
      <c r="C135" s="1" t="n">
        <v>46065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16469-2021</t>
        </is>
      </c>
      <c r="B136" s="1" t="n">
        <v>44293.54331018519</v>
      </c>
      <c r="C136" s="1" t="n">
        <v>46065</v>
      </c>
      <c r="D136" t="inlineStr">
        <is>
          <t>ÖSTERGÖTLANDS LÄN</t>
        </is>
      </c>
      <c r="E136" t="inlineStr">
        <is>
          <t>LINKÖPING</t>
        </is>
      </c>
      <c r="F136" t="inlineStr">
        <is>
          <t>Allmännings- och besparingsskogar</t>
        </is>
      </c>
      <c r="G136" t="n">
        <v>33.5</v>
      </c>
      <c r="H136" t="n">
        <v>0</v>
      </c>
      <c r="I136" t="n">
        <v>0</v>
      </c>
      <c r="J136" t="n">
        <v>0</v>
      </c>
      <c r="K136" t="n">
        <v>0</v>
      </c>
      <c r="L136" t="n">
        <v>0</v>
      </c>
      <c r="M136" t="n">
        <v>0</v>
      </c>
      <c r="N136" t="n">
        <v>0</v>
      </c>
      <c r="O136" t="n">
        <v>0</v>
      </c>
      <c r="P136" t="n">
        <v>0</v>
      </c>
      <c r="Q136" t="n">
        <v>0</v>
      </c>
      <c r="R136" s="2" t="inlineStr"/>
    </row>
    <row r="137" ht="15" customHeight="1">
      <c r="A137" t="inlineStr">
        <is>
          <t>A 34487-2021</t>
        </is>
      </c>
      <c r="B137" s="1" t="n">
        <v>44382.29873842592</v>
      </c>
      <c r="C137" s="1" t="n">
        <v>46065</v>
      </c>
      <c r="D137" t="inlineStr">
        <is>
          <t>ÖSTERGÖTLANDS LÄN</t>
        </is>
      </c>
      <c r="E137" t="inlineStr">
        <is>
          <t>LINKÖPING</t>
        </is>
      </c>
      <c r="G137" t="n">
        <v>7.5</v>
      </c>
      <c r="H137" t="n">
        <v>0</v>
      </c>
      <c r="I137" t="n">
        <v>0</v>
      </c>
      <c r="J137" t="n">
        <v>0</v>
      </c>
      <c r="K137" t="n">
        <v>0</v>
      </c>
      <c r="L137" t="n">
        <v>0</v>
      </c>
      <c r="M137" t="n">
        <v>0</v>
      </c>
      <c r="N137" t="n">
        <v>0</v>
      </c>
      <c r="O137" t="n">
        <v>0</v>
      </c>
      <c r="P137" t="n">
        <v>0</v>
      </c>
      <c r="Q137" t="n">
        <v>0</v>
      </c>
      <c r="R137" s="2" t="inlineStr"/>
    </row>
    <row r="138" ht="15" customHeight="1">
      <c r="A138" t="inlineStr">
        <is>
          <t>A 10951-2022</t>
        </is>
      </c>
      <c r="B138" s="1" t="n">
        <v>44627</v>
      </c>
      <c r="C138" s="1" t="n">
        <v>46065</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1787-2022</t>
        </is>
      </c>
      <c r="B139" s="1" t="n">
        <v>44574</v>
      </c>
      <c r="C139" s="1" t="n">
        <v>46065</v>
      </c>
      <c r="D139" t="inlineStr">
        <is>
          <t>ÖSTERGÖTLANDS LÄN</t>
        </is>
      </c>
      <c r="E139" t="inlineStr">
        <is>
          <t>LINKÖPING</t>
        </is>
      </c>
      <c r="G139" t="n">
        <v>1.9</v>
      </c>
      <c r="H139" t="n">
        <v>0</v>
      </c>
      <c r="I139" t="n">
        <v>0</v>
      </c>
      <c r="J139" t="n">
        <v>0</v>
      </c>
      <c r="K139" t="n">
        <v>0</v>
      </c>
      <c r="L139" t="n">
        <v>0</v>
      </c>
      <c r="M139" t="n">
        <v>0</v>
      </c>
      <c r="N139" t="n">
        <v>0</v>
      </c>
      <c r="O139" t="n">
        <v>0</v>
      </c>
      <c r="P139" t="n">
        <v>0</v>
      </c>
      <c r="Q139" t="n">
        <v>0</v>
      </c>
      <c r="R139" s="2" t="inlineStr"/>
    </row>
    <row r="140" ht="15" customHeight="1">
      <c r="A140" t="inlineStr">
        <is>
          <t>A 65395-2021</t>
        </is>
      </c>
      <c r="B140" s="1" t="n">
        <v>44515</v>
      </c>
      <c r="C140" s="1" t="n">
        <v>46065</v>
      </c>
      <c r="D140" t="inlineStr">
        <is>
          <t>ÖSTERGÖTLANDS LÄN</t>
        </is>
      </c>
      <c r="E140" t="inlineStr">
        <is>
          <t>LINKÖPING</t>
        </is>
      </c>
      <c r="F140" t="inlineStr">
        <is>
          <t>Övriga statliga verk och myndigheter</t>
        </is>
      </c>
      <c r="G140" t="n">
        <v>0.7</v>
      </c>
      <c r="H140" t="n">
        <v>0</v>
      </c>
      <c r="I140" t="n">
        <v>0</v>
      </c>
      <c r="J140" t="n">
        <v>0</v>
      </c>
      <c r="K140" t="n">
        <v>0</v>
      </c>
      <c r="L140" t="n">
        <v>0</v>
      </c>
      <c r="M140" t="n">
        <v>0</v>
      </c>
      <c r="N140" t="n">
        <v>0</v>
      </c>
      <c r="O140" t="n">
        <v>0</v>
      </c>
      <c r="P140" t="n">
        <v>0</v>
      </c>
      <c r="Q140" t="n">
        <v>0</v>
      </c>
      <c r="R140" s="2" t="inlineStr"/>
    </row>
    <row r="141" ht="15" customHeight="1">
      <c r="A141" t="inlineStr">
        <is>
          <t>A 27313-2021</t>
        </is>
      </c>
      <c r="B141" s="1" t="n">
        <v>44350</v>
      </c>
      <c r="C141" s="1" t="n">
        <v>46065</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46065</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33134-2022</t>
        </is>
      </c>
      <c r="B143" s="1" t="n">
        <v>44785</v>
      </c>
      <c r="C143" s="1" t="n">
        <v>46065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37014-2021</t>
        </is>
      </c>
      <c r="B144" s="1" t="n">
        <v>44393</v>
      </c>
      <c r="C144" s="1" t="n">
        <v>46065</v>
      </c>
      <c r="D144" t="inlineStr">
        <is>
          <t>ÖSTERGÖTLANDS LÄN</t>
        </is>
      </c>
      <c r="E144" t="inlineStr">
        <is>
          <t>LINKÖPING</t>
        </is>
      </c>
      <c r="F144" t="inlineStr">
        <is>
          <t>Allmännings- och besparingsskogar</t>
        </is>
      </c>
      <c r="G144" t="n">
        <v>7.7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46065</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13075-2022</t>
        </is>
      </c>
      <c r="B146" s="1" t="n">
        <v>44643</v>
      </c>
      <c r="C146" s="1" t="n">
        <v>46065</v>
      </c>
      <c r="D146" t="inlineStr">
        <is>
          <t>ÖSTERGÖTLANDS LÄN</t>
        </is>
      </c>
      <c r="E146" t="inlineStr">
        <is>
          <t>LINKÖPING</t>
        </is>
      </c>
      <c r="G146" t="n">
        <v>2.2</v>
      </c>
      <c r="H146" t="n">
        <v>0</v>
      </c>
      <c r="I146" t="n">
        <v>0</v>
      </c>
      <c r="J146" t="n">
        <v>0</v>
      </c>
      <c r="K146" t="n">
        <v>0</v>
      </c>
      <c r="L146" t="n">
        <v>0</v>
      </c>
      <c r="M146" t="n">
        <v>0</v>
      </c>
      <c r="N146" t="n">
        <v>0</v>
      </c>
      <c r="O146" t="n">
        <v>0</v>
      </c>
      <c r="P146" t="n">
        <v>0</v>
      </c>
      <c r="Q146" t="n">
        <v>0</v>
      </c>
      <c r="R146" s="2" t="inlineStr"/>
    </row>
    <row r="147" ht="15" customHeight="1">
      <c r="A147" t="inlineStr">
        <is>
          <t>A 38134-2021</t>
        </is>
      </c>
      <c r="B147" s="1" t="n">
        <v>44405.3794212963</v>
      </c>
      <c r="C147" s="1" t="n">
        <v>46065</v>
      </c>
      <c r="D147" t="inlineStr">
        <is>
          <t>ÖSTERGÖTLANDS LÄN</t>
        </is>
      </c>
      <c r="E147" t="inlineStr">
        <is>
          <t>LINKÖPING</t>
        </is>
      </c>
      <c r="G147" t="n">
        <v>5.1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46065</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64195-2021</t>
        </is>
      </c>
      <c r="B149" s="1" t="n">
        <v>44510</v>
      </c>
      <c r="C149" s="1" t="n">
        <v>46065</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23416-2022</t>
        </is>
      </c>
      <c r="B150" s="1" t="n">
        <v>44720.78243055556</v>
      </c>
      <c r="C150" s="1" t="n">
        <v>46065</v>
      </c>
      <c r="D150" t="inlineStr">
        <is>
          <t>ÖSTERGÖTLANDS LÄN</t>
        </is>
      </c>
      <c r="E150" t="inlineStr">
        <is>
          <t>LINKÖPING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5605-2022</t>
        </is>
      </c>
      <c r="B151" s="1" t="n">
        <v>44595</v>
      </c>
      <c r="C151" s="1" t="n">
        <v>46065</v>
      </c>
      <c r="D151" t="inlineStr">
        <is>
          <t>ÖSTERGÖTLANDS LÄN</t>
        </is>
      </c>
      <c r="E151" t="inlineStr">
        <is>
          <t>LINKÖPING</t>
        </is>
      </c>
      <c r="F151" t="inlineStr">
        <is>
          <t>Övriga statliga verk och myndigheter</t>
        </is>
      </c>
      <c r="G151" t="n">
        <v>3</v>
      </c>
      <c r="H151" t="n">
        <v>0</v>
      </c>
      <c r="I151" t="n">
        <v>0</v>
      </c>
      <c r="J151" t="n">
        <v>0</v>
      </c>
      <c r="K151" t="n">
        <v>0</v>
      </c>
      <c r="L151" t="n">
        <v>0</v>
      </c>
      <c r="M151" t="n">
        <v>0</v>
      </c>
      <c r="N151" t="n">
        <v>0</v>
      </c>
      <c r="O151" t="n">
        <v>0</v>
      </c>
      <c r="P151" t="n">
        <v>0</v>
      </c>
      <c r="Q151" t="n">
        <v>0</v>
      </c>
      <c r="R151" s="2" t="inlineStr"/>
    </row>
    <row r="152" ht="15" customHeight="1">
      <c r="A152" t="inlineStr">
        <is>
          <t>A 56688-2021</t>
        </is>
      </c>
      <c r="B152" s="1" t="n">
        <v>44481</v>
      </c>
      <c r="C152" s="1" t="n">
        <v>46065</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44849-2022</t>
        </is>
      </c>
      <c r="B153" s="1" t="n">
        <v>44841</v>
      </c>
      <c r="C153" s="1" t="n">
        <v>46065</v>
      </c>
      <c r="D153" t="inlineStr">
        <is>
          <t>ÖSTERGÖTLANDS LÄN</t>
        </is>
      </c>
      <c r="E153" t="inlineStr">
        <is>
          <t>LINKÖPING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70835-2021</t>
        </is>
      </c>
      <c r="B154" s="1" t="n">
        <v>44537</v>
      </c>
      <c r="C154" s="1" t="n">
        <v>46065</v>
      </c>
      <c r="D154" t="inlineStr">
        <is>
          <t>ÖSTERGÖTLANDS LÄN</t>
        </is>
      </c>
      <c r="E154" t="inlineStr">
        <is>
          <t>LINKÖPING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46065</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27769-2022</t>
        </is>
      </c>
      <c r="B156" s="1" t="n">
        <v>44743.53200231482</v>
      </c>
      <c r="C156" s="1" t="n">
        <v>46065</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54854-2022</t>
        </is>
      </c>
      <c r="B157" s="1" t="n">
        <v>44884</v>
      </c>
      <c r="C157" s="1" t="n">
        <v>46065</v>
      </c>
      <c r="D157" t="inlineStr">
        <is>
          <t>ÖSTERGÖTLANDS LÄN</t>
        </is>
      </c>
      <c r="E157" t="inlineStr">
        <is>
          <t>LINKÖPING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54855-2022</t>
        </is>
      </c>
      <c r="B158" s="1" t="n">
        <v>44884.59502314815</v>
      </c>
      <c r="C158" s="1" t="n">
        <v>46065</v>
      </c>
      <c r="D158" t="inlineStr">
        <is>
          <t>ÖSTERGÖTLANDS LÄN</t>
        </is>
      </c>
      <c r="E158" t="inlineStr">
        <is>
          <t>LINKÖPING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23175-2022</t>
        </is>
      </c>
      <c r="B159" s="1" t="n">
        <v>44719</v>
      </c>
      <c r="C159" s="1" t="n">
        <v>46065</v>
      </c>
      <c r="D159" t="inlineStr">
        <is>
          <t>ÖSTERGÖTLANDS LÄN</t>
        </is>
      </c>
      <c r="E159" t="inlineStr">
        <is>
          <t>LINKÖPING</t>
        </is>
      </c>
      <c r="F159" t="inlineStr">
        <is>
          <t>Allmännings- och besparingsskogar</t>
        </is>
      </c>
      <c r="G159" t="n">
        <v>1.4</v>
      </c>
      <c r="H159" t="n">
        <v>0</v>
      </c>
      <c r="I159" t="n">
        <v>0</v>
      </c>
      <c r="J159" t="n">
        <v>0</v>
      </c>
      <c r="K159" t="n">
        <v>0</v>
      </c>
      <c r="L159" t="n">
        <v>0</v>
      </c>
      <c r="M159" t="n">
        <v>0</v>
      </c>
      <c r="N159" t="n">
        <v>0</v>
      </c>
      <c r="O159" t="n">
        <v>0</v>
      </c>
      <c r="P159" t="n">
        <v>0</v>
      </c>
      <c r="Q159" t="n">
        <v>0</v>
      </c>
      <c r="R159" s="2" t="inlineStr"/>
    </row>
    <row r="160" ht="15" customHeight="1">
      <c r="A160" t="inlineStr">
        <is>
          <t>A 11079-2022</t>
        </is>
      </c>
      <c r="B160" s="1" t="n">
        <v>44628</v>
      </c>
      <c r="C160" s="1" t="n">
        <v>46065</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20901-2021</t>
        </is>
      </c>
      <c r="B161" s="1" t="n">
        <v>44319</v>
      </c>
      <c r="C161" s="1" t="n">
        <v>46065</v>
      </c>
      <c r="D161" t="inlineStr">
        <is>
          <t>ÖSTERGÖTLANDS LÄN</t>
        </is>
      </c>
      <c r="E161" t="inlineStr">
        <is>
          <t>LINKÖPING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33891-2021</t>
        </is>
      </c>
      <c r="B162" s="1" t="n">
        <v>44378</v>
      </c>
      <c r="C162" s="1" t="n">
        <v>46065</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46416-2021</t>
        </is>
      </c>
      <c r="B163" s="1" t="n">
        <v>44442</v>
      </c>
      <c r="C163" s="1" t="n">
        <v>46065</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19254-2021</t>
        </is>
      </c>
      <c r="B164" s="1" t="n">
        <v>44309.38962962963</v>
      </c>
      <c r="C164" s="1" t="n">
        <v>46065</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58258-2021</t>
        </is>
      </c>
      <c r="B165" s="1" t="n">
        <v>44487</v>
      </c>
      <c r="C165" s="1" t="n">
        <v>46065</v>
      </c>
      <c r="D165" t="inlineStr">
        <is>
          <t>ÖSTERGÖTLANDS LÄN</t>
        </is>
      </c>
      <c r="E165" t="inlineStr">
        <is>
          <t>LINKÖPING</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58287-2021</t>
        </is>
      </c>
      <c r="B166" s="1" t="n">
        <v>44487</v>
      </c>
      <c r="C166" s="1" t="n">
        <v>46065</v>
      </c>
      <c r="D166" t="inlineStr">
        <is>
          <t>ÖSTERGÖTLANDS LÄN</t>
        </is>
      </c>
      <c r="E166" t="inlineStr">
        <is>
          <t>LINKÖPING</t>
        </is>
      </c>
      <c r="F166" t="inlineStr">
        <is>
          <t>Övriga Aktiebolag</t>
        </is>
      </c>
      <c r="G166" t="n">
        <v>1.5</v>
      </c>
      <c r="H166" t="n">
        <v>0</v>
      </c>
      <c r="I166" t="n">
        <v>0</v>
      </c>
      <c r="J166" t="n">
        <v>0</v>
      </c>
      <c r="K166" t="n">
        <v>0</v>
      </c>
      <c r="L166" t="n">
        <v>0</v>
      </c>
      <c r="M166" t="n">
        <v>0</v>
      </c>
      <c r="N166" t="n">
        <v>0</v>
      </c>
      <c r="O166" t="n">
        <v>0</v>
      </c>
      <c r="P166" t="n">
        <v>0</v>
      </c>
      <c r="Q166" t="n">
        <v>0</v>
      </c>
      <c r="R166" s="2" t="inlineStr"/>
    </row>
    <row r="167" ht="15" customHeight="1">
      <c r="A167" t="inlineStr">
        <is>
          <t>A 53660-2021</t>
        </is>
      </c>
      <c r="B167" s="1" t="n">
        <v>44469</v>
      </c>
      <c r="C167" s="1" t="n">
        <v>46065</v>
      </c>
      <c r="D167" t="inlineStr">
        <is>
          <t>ÖSTERGÖTLANDS LÄN</t>
        </is>
      </c>
      <c r="E167" t="inlineStr">
        <is>
          <t>LINKÖPING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46065</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52966-2021</t>
        </is>
      </c>
      <c r="B169" s="1" t="n">
        <v>44467</v>
      </c>
      <c r="C169" s="1" t="n">
        <v>46065</v>
      </c>
      <c r="D169" t="inlineStr">
        <is>
          <t>ÖSTERGÖTLANDS LÄN</t>
        </is>
      </c>
      <c r="E169" t="inlineStr">
        <is>
          <t>LINKÖPING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34486-2021</t>
        </is>
      </c>
      <c r="B170" s="1" t="n">
        <v>44382.29295138889</v>
      </c>
      <c r="C170" s="1" t="n">
        <v>46065</v>
      </c>
      <c r="D170" t="inlineStr">
        <is>
          <t>ÖSTERGÖTLANDS LÄN</t>
        </is>
      </c>
      <c r="E170" t="inlineStr">
        <is>
          <t>LINKÖPING</t>
        </is>
      </c>
      <c r="G170" t="n">
        <v>4.4</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46065</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46065</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46065</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25305-2021</t>
        </is>
      </c>
      <c r="B174" s="1" t="n">
        <v>44342</v>
      </c>
      <c r="C174" s="1" t="n">
        <v>46065</v>
      </c>
      <c r="D174" t="inlineStr">
        <is>
          <t>ÖSTERGÖTLANDS LÄN</t>
        </is>
      </c>
      <c r="E174" t="inlineStr">
        <is>
          <t>LINKÖPING</t>
        </is>
      </c>
      <c r="F174" t="inlineStr">
        <is>
          <t>Övriga Aktiebolag</t>
        </is>
      </c>
      <c r="G174" t="n">
        <v>1</v>
      </c>
      <c r="H174" t="n">
        <v>0</v>
      </c>
      <c r="I174" t="n">
        <v>0</v>
      </c>
      <c r="J174" t="n">
        <v>0</v>
      </c>
      <c r="K174" t="n">
        <v>0</v>
      </c>
      <c r="L174" t="n">
        <v>0</v>
      </c>
      <c r="M174" t="n">
        <v>0</v>
      </c>
      <c r="N174" t="n">
        <v>0</v>
      </c>
      <c r="O174" t="n">
        <v>0</v>
      </c>
      <c r="P174" t="n">
        <v>0</v>
      </c>
      <c r="Q174" t="n">
        <v>0</v>
      </c>
      <c r="R174" s="2" t="inlineStr"/>
    </row>
    <row r="175" ht="15" customHeight="1">
      <c r="A175" t="inlineStr">
        <is>
          <t>A 46490-2022</t>
        </is>
      </c>
      <c r="B175" s="1" t="n">
        <v>44848</v>
      </c>
      <c r="C175" s="1" t="n">
        <v>46065</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58266-2021</t>
        </is>
      </c>
      <c r="B176" s="1" t="n">
        <v>44487</v>
      </c>
      <c r="C176" s="1" t="n">
        <v>46065</v>
      </c>
      <c r="D176" t="inlineStr">
        <is>
          <t>ÖSTERGÖTLANDS LÄN</t>
        </is>
      </c>
      <c r="E176" t="inlineStr">
        <is>
          <t>LINKÖPING</t>
        </is>
      </c>
      <c r="F176" t="inlineStr">
        <is>
          <t>Övriga Aktiebolag</t>
        </is>
      </c>
      <c r="G176" t="n">
        <v>3.2</v>
      </c>
      <c r="H176" t="n">
        <v>0</v>
      </c>
      <c r="I176" t="n">
        <v>0</v>
      </c>
      <c r="J176" t="n">
        <v>0</v>
      </c>
      <c r="K176" t="n">
        <v>0</v>
      </c>
      <c r="L176" t="n">
        <v>0</v>
      </c>
      <c r="M176" t="n">
        <v>0</v>
      </c>
      <c r="N176" t="n">
        <v>0</v>
      </c>
      <c r="O176" t="n">
        <v>0</v>
      </c>
      <c r="P176" t="n">
        <v>0</v>
      </c>
      <c r="Q176" t="n">
        <v>0</v>
      </c>
      <c r="R176" s="2" t="inlineStr"/>
    </row>
    <row r="177" ht="15" customHeight="1">
      <c r="A177" t="inlineStr">
        <is>
          <t>A 31732-2022</t>
        </is>
      </c>
      <c r="B177" s="1" t="n">
        <v>44776.49267361111</v>
      </c>
      <c r="C177" s="1" t="n">
        <v>46065</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28447-2021</t>
        </is>
      </c>
      <c r="B178" s="1" t="n">
        <v>44356</v>
      </c>
      <c r="C178" s="1" t="n">
        <v>46065</v>
      </c>
      <c r="D178" t="inlineStr">
        <is>
          <t>ÖSTERGÖTLANDS LÄN</t>
        </is>
      </c>
      <c r="E178" t="inlineStr">
        <is>
          <t>LINKÖPING</t>
        </is>
      </c>
      <c r="G178" t="n">
        <v>2</v>
      </c>
      <c r="H178" t="n">
        <v>0</v>
      </c>
      <c r="I178" t="n">
        <v>0</v>
      </c>
      <c r="J178" t="n">
        <v>0</v>
      </c>
      <c r="K178" t="n">
        <v>0</v>
      </c>
      <c r="L178" t="n">
        <v>0</v>
      </c>
      <c r="M178" t="n">
        <v>0</v>
      </c>
      <c r="N178" t="n">
        <v>0</v>
      </c>
      <c r="O178" t="n">
        <v>0</v>
      </c>
      <c r="P178" t="n">
        <v>0</v>
      </c>
      <c r="Q178" t="n">
        <v>0</v>
      </c>
      <c r="R178" s="2" t="inlineStr"/>
    </row>
    <row r="179" ht="15" customHeight="1">
      <c r="A179" t="inlineStr">
        <is>
          <t>A 38130-2021</t>
        </is>
      </c>
      <c r="B179" s="1" t="n">
        <v>44405</v>
      </c>
      <c r="C179" s="1" t="n">
        <v>46065</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61302-2021</t>
        </is>
      </c>
      <c r="B180" s="1" t="n">
        <v>44498.63189814815</v>
      </c>
      <c r="C180" s="1" t="n">
        <v>46065</v>
      </c>
      <c r="D180" t="inlineStr">
        <is>
          <t>ÖSTERGÖTLANDS LÄN</t>
        </is>
      </c>
      <c r="E180" t="inlineStr">
        <is>
          <t>LINKÖPING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40527-2022</t>
        </is>
      </c>
      <c r="B181" s="1" t="n">
        <v>44823</v>
      </c>
      <c r="C181" s="1" t="n">
        <v>46065</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9935-2021</t>
        </is>
      </c>
      <c r="B182" s="1" t="n">
        <v>44253</v>
      </c>
      <c r="C182" s="1" t="n">
        <v>46065</v>
      </c>
      <c r="D182" t="inlineStr">
        <is>
          <t>ÖSTERGÖTLANDS LÄN</t>
        </is>
      </c>
      <c r="E182" t="inlineStr">
        <is>
          <t>LINKÖPING</t>
        </is>
      </c>
      <c r="G182" t="n">
        <v>4.5</v>
      </c>
      <c r="H182" t="n">
        <v>0</v>
      </c>
      <c r="I182" t="n">
        <v>0</v>
      </c>
      <c r="J182" t="n">
        <v>0</v>
      </c>
      <c r="K182" t="n">
        <v>0</v>
      </c>
      <c r="L182" t="n">
        <v>0</v>
      </c>
      <c r="M182" t="n">
        <v>0</v>
      </c>
      <c r="N182" t="n">
        <v>0</v>
      </c>
      <c r="O182" t="n">
        <v>0</v>
      </c>
      <c r="P182" t="n">
        <v>0</v>
      </c>
      <c r="Q182" t="n">
        <v>0</v>
      </c>
      <c r="R182" s="2" t="inlineStr"/>
    </row>
    <row r="183" ht="15" customHeight="1">
      <c r="A183" t="inlineStr">
        <is>
          <t>A 31705-2022</t>
        </is>
      </c>
      <c r="B183" s="1" t="n">
        <v>44776.43607638889</v>
      </c>
      <c r="C183" s="1" t="n">
        <v>46065</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45819-2024</t>
        </is>
      </c>
      <c r="B184" s="1" t="n">
        <v>45579.7454050926</v>
      </c>
      <c r="C184" s="1" t="n">
        <v>46065</v>
      </c>
      <c r="D184" t="inlineStr">
        <is>
          <t>ÖSTERGÖTLANDS LÄN</t>
        </is>
      </c>
      <c r="E184" t="inlineStr">
        <is>
          <t>LINKÖPING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3041-2024</t>
        </is>
      </c>
      <c r="B185" s="1" t="n">
        <v>45316.34875</v>
      </c>
      <c r="C185" s="1" t="n">
        <v>46065</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19318-2022</t>
        </is>
      </c>
      <c r="B186" s="1" t="n">
        <v>44692.5827662037</v>
      </c>
      <c r="C186" s="1" t="n">
        <v>46065</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46065</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46065</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3530-2024</t>
        </is>
      </c>
      <c r="B189" s="1" t="n">
        <v>45320.54717592592</v>
      </c>
      <c r="C189" s="1" t="n">
        <v>46065</v>
      </c>
      <c r="D189" t="inlineStr">
        <is>
          <t>ÖSTERGÖTLANDS LÄN</t>
        </is>
      </c>
      <c r="E189" t="inlineStr">
        <is>
          <t>LINKÖPING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46065</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46065</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46065</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32255-2021</t>
        </is>
      </c>
      <c r="B193" s="1" t="n">
        <v>44371.45949074074</v>
      </c>
      <c r="C193" s="1" t="n">
        <v>46065</v>
      </c>
      <c r="D193" t="inlineStr">
        <is>
          <t>ÖSTERGÖTLANDS LÄN</t>
        </is>
      </c>
      <c r="E193" t="inlineStr">
        <is>
          <t>LINKÖPING</t>
        </is>
      </c>
      <c r="F193" t="inlineStr">
        <is>
          <t>Övriga Aktiebolag</t>
        </is>
      </c>
      <c r="G193" t="n">
        <v>1.1</v>
      </c>
      <c r="H193" t="n">
        <v>0</v>
      </c>
      <c r="I193" t="n">
        <v>0</v>
      </c>
      <c r="J193" t="n">
        <v>0</v>
      </c>
      <c r="K193" t="n">
        <v>0</v>
      </c>
      <c r="L193" t="n">
        <v>0</v>
      </c>
      <c r="M193" t="n">
        <v>0</v>
      </c>
      <c r="N193" t="n">
        <v>0</v>
      </c>
      <c r="O193" t="n">
        <v>0</v>
      </c>
      <c r="P193" t="n">
        <v>0</v>
      </c>
      <c r="Q193" t="n">
        <v>0</v>
      </c>
      <c r="R193" s="2" t="inlineStr"/>
    </row>
    <row r="194" ht="15" customHeight="1">
      <c r="A194" t="inlineStr">
        <is>
          <t>A 62686-2023</t>
        </is>
      </c>
      <c r="B194" s="1" t="n">
        <v>45271</v>
      </c>
      <c r="C194" s="1" t="n">
        <v>46065</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54467-2022</t>
        </is>
      </c>
      <c r="B195" s="1" t="n">
        <v>44882</v>
      </c>
      <c r="C195" s="1" t="n">
        <v>46065</v>
      </c>
      <c r="D195" t="inlineStr">
        <is>
          <t>ÖSTERGÖTLANDS LÄN</t>
        </is>
      </c>
      <c r="E195" t="inlineStr">
        <is>
          <t>LINKÖPING</t>
        </is>
      </c>
      <c r="F195" t="inlineStr">
        <is>
          <t>Sveaskog</t>
        </is>
      </c>
      <c r="G195" t="n">
        <v>2.5</v>
      </c>
      <c r="H195" t="n">
        <v>0</v>
      </c>
      <c r="I195" t="n">
        <v>0</v>
      </c>
      <c r="J195" t="n">
        <v>0</v>
      </c>
      <c r="K195" t="n">
        <v>0</v>
      </c>
      <c r="L195" t="n">
        <v>0</v>
      </c>
      <c r="M195" t="n">
        <v>0</v>
      </c>
      <c r="N195" t="n">
        <v>0</v>
      </c>
      <c r="O195" t="n">
        <v>0</v>
      </c>
      <c r="P195" t="n">
        <v>0</v>
      </c>
      <c r="Q195" t="n">
        <v>0</v>
      </c>
      <c r="R195" s="2" t="inlineStr"/>
    </row>
    <row r="196" ht="15" customHeight="1">
      <c r="A196" t="inlineStr">
        <is>
          <t>A 55345-2021</t>
        </is>
      </c>
      <c r="B196" s="1" t="n">
        <v>44475</v>
      </c>
      <c r="C196" s="1" t="n">
        <v>46065</v>
      </c>
      <c r="D196" t="inlineStr">
        <is>
          <t>ÖSTERGÖTLANDS LÄN</t>
        </is>
      </c>
      <c r="E196" t="inlineStr">
        <is>
          <t>LINKÖPING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63489-2023</t>
        </is>
      </c>
      <c r="B197" s="1" t="n">
        <v>45274.66761574074</v>
      </c>
      <c r="C197" s="1" t="n">
        <v>46065</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33867-2023</t>
        </is>
      </c>
      <c r="B198" s="1" t="n">
        <v>45133.94640046296</v>
      </c>
      <c r="C198" s="1" t="n">
        <v>46065</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46065</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70-2024</t>
        </is>
      </c>
      <c r="B200" s="1" t="n">
        <v>45293</v>
      </c>
      <c r="C200" s="1" t="n">
        <v>46065</v>
      </c>
      <c r="D200" t="inlineStr">
        <is>
          <t>ÖSTERGÖTLANDS LÄN</t>
        </is>
      </c>
      <c r="E200" t="inlineStr">
        <is>
          <t>LINKÖPING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36341-2022</t>
        </is>
      </c>
      <c r="B201" s="1" t="n">
        <v>44803</v>
      </c>
      <c r="C201" s="1" t="n">
        <v>46065</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46065</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46065</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6782-2024</t>
        </is>
      </c>
      <c r="B204" s="1" t="n">
        <v>45342</v>
      </c>
      <c r="C204" s="1" t="n">
        <v>46065</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617-2024</t>
        </is>
      </c>
      <c r="B205" s="1" t="n">
        <v>45299.66028935185</v>
      </c>
      <c r="C205" s="1" t="n">
        <v>46065</v>
      </c>
      <c r="D205" t="inlineStr">
        <is>
          <t>ÖSTERGÖTLANDS LÄN</t>
        </is>
      </c>
      <c r="E205" t="inlineStr">
        <is>
          <t>LINKÖPING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670-2024</t>
        </is>
      </c>
      <c r="B206" s="1" t="n">
        <v>45300.3408912037</v>
      </c>
      <c r="C206" s="1" t="n">
        <v>46065</v>
      </c>
      <c r="D206" t="inlineStr">
        <is>
          <t>ÖSTERGÖTLANDS LÄN</t>
        </is>
      </c>
      <c r="E206" t="inlineStr">
        <is>
          <t>LINKÖPING</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24462-2023</t>
        </is>
      </c>
      <c r="B207" s="1" t="n">
        <v>45082</v>
      </c>
      <c r="C207" s="1" t="n">
        <v>46065</v>
      </c>
      <c r="D207" t="inlineStr">
        <is>
          <t>ÖSTERGÖTLANDS LÄN</t>
        </is>
      </c>
      <c r="E207" t="inlineStr">
        <is>
          <t>LINKÖPING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52125-2022</t>
        </is>
      </c>
      <c r="B208" s="1" t="n">
        <v>44873</v>
      </c>
      <c r="C208" s="1" t="n">
        <v>46065</v>
      </c>
      <c r="D208" t="inlineStr">
        <is>
          <t>ÖSTERGÖTLANDS LÄN</t>
        </is>
      </c>
      <c r="E208" t="inlineStr">
        <is>
          <t>LINKÖPING</t>
        </is>
      </c>
      <c r="F208" t="inlineStr">
        <is>
          <t>Övriga Aktiebolag</t>
        </is>
      </c>
      <c r="G208" t="n">
        <v>0.7</v>
      </c>
      <c r="H208" t="n">
        <v>0</v>
      </c>
      <c r="I208" t="n">
        <v>0</v>
      </c>
      <c r="J208" t="n">
        <v>0</v>
      </c>
      <c r="K208" t="n">
        <v>0</v>
      </c>
      <c r="L208" t="n">
        <v>0</v>
      </c>
      <c r="M208" t="n">
        <v>0</v>
      </c>
      <c r="N208" t="n">
        <v>0</v>
      </c>
      <c r="O208" t="n">
        <v>0</v>
      </c>
      <c r="P208" t="n">
        <v>0</v>
      </c>
      <c r="Q208" t="n">
        <v>0</v>
      </c>
      <c r="R208" s="2" t="inlineStr"/>
    </row>
    <row r="209" ht="15" customHeight="1">
      <c r="A209" t="inlineStr">
        <is>
          <t>A 10407-2025</t>
        </is>
      </c>
      <c r="B209" s="1" t="n">
        <v>45720.62863425926</v>
      </c>
      <c r="C209" s="1" t="n">
        <v>46065</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48829-2023</t>
        </is>
      </c>
      <c r="B210" s="1" t="n">
        <v>45209.38177083333</v>
      </c>
      <c r="C210" s="1" t="n">
        <v>46065</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1084-2023</t>
        </is>
      </c>
      <c r="B211" s="1" t="n">
        <v>44929</v>
      </c>
      <c r="C211" s="1" t="n">
        <v>46065</v>
      </c>
      <c r="D211" t="inlineStr">
        <is>
          <t>ÖSTERGÖTLANDS LÄN</t>
        </is>
      </c>
      <c r="E211" t="inlineStr">
        <is>
          <t>LINKÖPING</t>
        </is>
      </c>
      <c r="G211" t="n">
        <v>10.4</v>
      </c>
      <c r="H211" t="n">
        <v>0</v>
      </c>
      <c r="I211" t="n">
        <v>0</v>
      </c>
      <c r="J211" t="n">
        <v>0</v>
      </c>
      <c r="K211" t="n">
        <v>0</v>
      </c>
      <c r="L211" t="n">
        <v>0</v>
      </c>
      <c r="M211" t="n">
        <v>0</v>
      </c>
      <c r="N211" t="n">
        <v>0</v>
      </c>
      <c r="O211" t="n">
        <v>0</v>
      </c>
      <c r="P211" t="n">
        <v>0</v>
      </c>
      <c r="Q211" t="n">
        <v>0</v>
      </c>
      <c r="R211" s="2" t="inlineStr"/>
    </row>
    <row r="212" ht="15" customHeight="1">
      <c r="A212" t="inlineStr">
        <is>
          <t>A 39021-2021</t>
        </is>
      </c>
      <c r="B212" s="1" t="n">
        <v>44412</v>
      </c>
      <c r="C212" s="1" t="n">
        <v>46065</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38231-2022</t>
        </is>
      </c>
      <c r="B213" s="1" t="n">
        <v>44812</v>
      </c>
      <c r="C213" s="1" t="n">
        <v>46065</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50799-2022</t>
        </is>
      </c>
      <c r="B214" s="1" t="n">
        <v>44862</v>
      </c>
      <c r="C214" s="1" t="n">
        <v>46065</v>
      </c>
      <c r="D214" t="inlineStr">
        <is>
          <t>ÖSTERGÖTLANDS LÄN</t>
        </is>
      </c>
      <c r="E214" t="inlineStr">
        <is>
          <t>LINKÖPING</t>
        </is>
      </c>
      <c r="G214" t="n">
        <v>0.9</v>
      </c>
      <c r="H214" t="n">
        <v>0</v>
      </c>
      <c r="I214" t="n">
        <v>0</v>
      </c>
      <c r="J214" t="n">
        <v>0</v>
      </c>
      <c r="K214" t="n">
        <v>0</v>
      </c>
      <c r="L214" t="n">
        <v>0</v>
      </c>
      <c r="M214" t="n">
        <v>0</v>
      </c>
      <c r="N214" t="n">
        <v>0</v>
      </c>
      <c r="O214" t="n">
        <v>0</v>
      </c>
      <c r="P214" t="n">
        <v>0</v>
      </c>
      <c r="Q214" t="n">
        <v>0</v>
      </c>
      <c r="R214" s="2" t="inlineStr"/>
    </row>
    <row r="215" ht="15" customHeight="1">
      <c r="A215" t="inlineStr">
        <is>
          <t>A 4240-2022</t>
        </is>
      </c>
      <c r="B215" s="1" t="n">
        <v>44588</v>
      </c>
      <c r="C215" s="1" t="n">
        <v>46065</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29859-2024</t>
        </is>
      </c>
      <c r="B216" s="1" t="n">
        <v>45485.6846412037</v>
      </c>
      <c r="C216" s="1" t="n">
        <v>46065</v>
      </c>
      <c r="D216" t="inlineStr">
        <is>
          <t>ÖSTERGÖTLANDS LÄN</t>
        </is>
      </c>
      <c r="E216" t="inlineStr">
        <is>
          <t>LINKÖPING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40431-2024</t>
        </is>
      </c>
      <c r="B217" s="1" t="n">
        <v>45555.47070601852</v>
      </c>
      <c r="C217" s="1" t="n">
        <v>46065</v>
      </c>
      <c r="D217" t="inlineStr">
        <is>
          <t>ÖSTERGÖTLANDS LÄN</t>
        </is>
      </c>
      <c r="E217" t="inlineStr">
        <is>
          <t>LINKÖPING</t>
        </is>
      </c>
      <c r="F217" t="inlineStr">
        <is>
          <t>Allmännings- och besparingsskogar</t>
        </is>
      </c>
      <c r="G217" t="n">
        <v>2.9</v>
      </c>
      <c r="H217" t="n">
        <v>0</v>
      </c>
      <c r="I217" t="n">
        <v>0</v>
      </c>
      <c r="J217" t="n">
        <v>0</v>
      </c>
      <c r="K217" t="n">
        <v>0</v>
      </c>
      <c r="L217" t="n">
        <v>0</v>
      </c>
      <c r="M217" t="n">
        <v>0</v>
      </c>
      <c r="N217" t="n">
        <v>0</v>
      </c>
      <c r="O217" t="n">
        <v>0</v>
      </c>
      <c r="P217" t="n">
        <v>0</v>
      </c>
      <c r="Q217" t="n">
        <v>0</v>
      </c>
      <c r="R217" s="2" t="inlineStr"/>
    </row>
    <row r="218" ht="15" customHeight="1">
      <c r="A218" t="inlineStr">
        <is>
          <t>A 51571-2024</t>
        </is>
      </c>
      <c r="B218" s="1" t="n">
        <v>45604</v>
      </c>
      <c r="C218" s="1" t="n">
        <v>46065</v>
      </c>
      <c r="D218" t="inlineStr">
        <is>
          <t>ÖSTERGÖTLANDS LÄN</t>
        </is>
      </c>
      <c r="E218" t="inlineStr">
        <is>
          <t>LINKÖPING</t>
        </is>
      </c>
      <c r="F218" t="inlineStr">
        <is>
          <t>Övriga Aktiebolag</t>
        </is>
      </c>
      <c r="G218" t="n">
        <v>1.4</v>
      </c>
      <c r="H218" t="n">
        <v>0</v>
      </c>
      <c r="I218" t="n">
        <v>0</v>
      </c>
      <c r="J218" t="n">
        <v>0</v>
      </c>
      <c r="K218" t="n">
        <v>0</v>
      </c>
      <c r="L218" t="n">
        <v>0</v>
      </c>
      <c r="M218" t="n">
        <v>0</v>
      </c>
      <c r="N218" t="n">
        <v>0</v>
      </c>
      <c r="O218" t="n">
        <v>0</v>
      </c>
      <c r="P218" t="n">
        <v>0</v>
      </c>
      <c r="Q218" t="n">
        <v>0</v>
      </c>
      <c r="R218" s="2" t="inlineStr"/>
    </row>
    <row r="219" ht="15" customHeight="1">
      <c r="A219" t="inlineStr">
        <is>
          <t>A 223-2024</t>
        </is>
      </c>
      <c r="B219" s="1" t="n">
        <v>45294.72739583333</v>
      </c>
      <c r="C219" s="1" t="n">
        <v>46065</v>
      </c>
      <c r="D219" t="inlineStr">
        <is>
          <t>ÖSTERGÖTLANDS LÄN</t>
        </is>
      </c>
      <c r="E219" t="inlineStr">
        <is>
          <t>LINKÖPING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227-2024</t>
        </is>
      </c>
      <c r="B220" s="1" t="n">
        <v>45294.73603009259</v>
      </c>
      <c r="C220" s="1" t="n">
        <v>46065</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45728.64946759259</v>
      </c>
      <c r="C221" s="1" t="n">
        <v>46065</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267-2023</t>
        </is>
      </c>
      <c r="B222" s="1" t="n">
        <v>44928.80907407407</v>
      </c>
      <c r="C222" s="1" t="n">
        <v>46065</v>
      </c>
      <c r="D222" t="inlineStr">
        <is>
          <t>ÖSTERGÖTLANDS LÄN</t>
        </is>
      </c>
      <c r="E222" t="inlineStr">
        <is>
          <t>LINKÖPING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26618-2023</t>
        </is>
      </c>
      <c r="B223" s="1" t="n">
        <v>45092.70306712963</v>
      </c>
      <c r="C223" s="1" t="n">
        <v>46065</v>
      </c>
      <c r="D223" t="inlineStr">
        <is>
          <t>ÖSTERGÖTLANDS LÄN</t>
        </is>
      </c>
      <c r="E223" t="inlineStr">
        <is>
          <t>LINKÖPING</t>
        </is>
      </c>
      <c r="G223" t="n">
        <v>6.9</v>
      </c>
      <c r="H223" t="n">
        <v>0</v>
      </c>
      <c r="I223" t="n">
        <v>0</v>
      </c>
      <c r="J223" t="n">
        <v>0</v>
      </c>
      <c r="K223" t="n">
        <v>0</v>
      </c>
      <c r="L223" t="n">
        <v>0</v>
      </c>
      <c r="M223" t="n">
        <v>0</v>
      </c>
      <c r="N223" t="n">
        <v>0</v>
      </c>
      <c r="O223" t="n">
        <v>0</v>
      </c>
      <c r="P223" t="n">
        <v>0</v>
      </c>
      <c r="Q223" t="n">
        <v>0</v>
      </c>
      <c r="R223" s="2" t="inlineStr"/>
    </row>
    <row r="224" ht="15" customHeight="1">
      <c r="A224" t="inlineStr">
        <is>
          <t>A 63665-2023</t>
        </is>
      </c>
      <c r="B224" s="1" t="n">
        <v>45275</v>
      </c>
      <c r="C224" s="1" t="n">
        <v>46065</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51484-2023</t>
        </is>
      </c>
      <c r="B225" s="1" t="n">
        <v>45222</v>
      </c>
      <c r="C225" s="1" t="n">
        <v>46065</v>
      </c>
      <c r="D225" t="inlineStr">
        <is>
          <t>ÖSTERGÖTLANDS LÄN</t>
        </is>
      </c>
      <c r="E225" t="inlineStr">
        <is>
          <t>LINKÖPING</t>
        </is>
      </c>
      <c r="F225" t="inlineStr">
        <is>
          <t>Övriga Aktiebolag</t>
        </is>
      </c>
      <c r="G225" t="n">
        <v>7.7</v>
      </c>
      <c r="H225" t="n">
        <v>0</v>
      </c>
      <c r="I225" t="n">
        <v>0</v>
      </c>
      <c r="J225" t="n">
        <v>0</v>
      </c>
      <c r="K225" t="n">
        <v>0</v>
      </c>
      <c r="L225" t="n">
        <v>0</v>
      </c>
      <c r="M225" t="n">
        <v>0</v>
      </c>
      <c r="N225" t="n">
        <v>0</v>
      </c>
      <c r="O225" t="n">
        <v>0</v>
      </c>
      <c r="P225" t="n">
        <v>0</v>
      </c>
      <c r="Q225" t="n">
        <v>0</v>
      </c>
      <c r="R225" s="2" t="inlineStr"/>
    </row>
    <row r="226" ht="15" customHeight="1">
      <c r="A226" t="inlineStr">
        <is>
          <t>A 56917-2022</t>
        </is>
      </c>
      <c r="B226" s="1" t="n">
        <v>44894</v>
      </c>
      <c r="C226" s="1" t="n">
        <v>46065</v>
      </c>
      <c r="D226" t="inlineStr">
        <is>
          <t>ÖSTERGÖTLANDS LÄN</t>
        </is>
      </c>
      <c r="E226" t="inlineStr">
        <is>
          <t>LINKÖPING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30429-2024</t>
        </is>
      </c>
      <c r="B227" s="1" t="n">
        <v>45491.68972222223</v>
      </c>
      <c r="C227" s="1" t="n">
        <v>46065</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1265-2023</t>
        </is>
      </c>
      <c r="B228" s="1" t="n">
        <v>44936</v>
      </c>
      <c r="C228" s="1" t="n">
        <v>46065</v>
      </c>
      <c r="D228" t="inlineStr">
        <is>
          <t>ÖSTERGÖTLANDS LÄN</t>
        </is>
      </c>
      <c r="E228" t="inlineStr">
        <is>
          <t>LINKÖPING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1362-2023</t>
        </is>
      </c>
      <c r="B229" s="1" t="n">
        <v>44931</v>
      </c>
      <c r="C229" s="1" t="n">
        <v>46065</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54034-2022</t>
        </is>
      </c>
      <c r="B230" s="1" t="n">
        <v>44881</v>
      </c>
      <c r="C230" s="1" t="n">
        <v>46065</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55493-2021</t>
        </is>
      </c>
      <c r="B231" s="1" t="n">
        <v>44475.61988425926</v>
      </c>
      <c r="C231" s="1" t="n">
        <v>46065</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9434-2024</t>
        </is>
      </c>
      <c r="B232" s="1" t="n">
        <v>45359</v>
      </c>
      <c r="C232" s="1" t="n">
        <v>46065</v>
      </c>
      <c r="D232" t="inlineStr">
        <is>
          <t>ÖSTERGÖTLANDS LÄN</t>
        </is>
      </c>
      <c r="E232" t="inlineStr">
        <is>
          <t>LINKÖPING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30435-2024</t>
        </is>
      </c>
      <c r="B233" s="1" t="n">
        <v>45491.69962962963</v>
      </c>
      <c r="C233" s="1" t="n">
        <v>46065</v>
      </c>
      <c r="D233" t="inlineStr">
        <is>
          <t>ÖSTERGÖTLANDS LÄN</t>
        </is>
      </c>
      <c r="E233" t="inlineStr">
        <is>
          <t>LINKÖPING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6054-2022</t>
        </is>
      </c>
      <c r="B234" s="1" t="n">
        <v>44599.53623842593</v>
      </c>
      <c r="C234" s="1" t="n">
        <v>46065</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53816-2023</t>
        </is>
      </c>
      <c r="B235" s="1" t="n">
        <v>45231.40012731482</v>
      </c>
      <c r="C235" s="1" t="n">
        <v>46065</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25119-2023</t>
        </is>
      </c>
      <c r="B236" s="1" t="n">
        <v>45086.42326388889</v>
      </c>
      <c r="C236" s="1" t="n">
        <v>46065</v>
      </c>
      <c r="D236" t="inlineStr">
        <is>
          <t>ÖSTERGÖTLANDS LÄN</t>
        </is>
      </c>
      <c r="E236" t="inlineStr">
        <is>
          <t>LINKÖPING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36557-2023</t>
        </is>
      </c>
      <c r="B237" s="1" t="n">
        <v>45153</v>
      </c>
      <c r="C237" s="1" t="n">
        <v>46065</v>
      </c>
      <c r="D237" t="inlineStr">
        <is>
          <t>ÖSTERGÖTLANDS LÄN</t>
        </is>
      </c>
      <c r="E237" t="inlineStr">
        <is>
          <t>LINKÖPING</t>
        </is>
      </c>
      <c r="F237" t="inlineStr">
        <is>
          <t>Övriga Aktiebolag</t>
        </is>
      </c>
      <c r="G237" t="n">
        <v>3.1</v>
      </c>
      <c r="H237" t="n">
        <v>0</v>
      </c>
      <c r="I237" t="n">
        <v>0</v>
      </c>
      <c r="J237" t="n">
        <v>0</v>
      </c>
      <c r="K237" t="n">
        <v>0</v>
      </c>
      <c r="L237" t="n">
        <v>0</v>
      </c>
      <c r="M237" t="n">
        <v>0</v>
      </c>
      <c r="N237" t="n">
        <v>0</v>
      </c>
      <c r="O237" t="n">
        <v>0</v>
      </c>
      <c r="P237" t="n">
        <v>0</v>
      </c>
      <c r="Q237" t="n">
        <v>0</v>
      </c>
      <c r="R237" s="2" t="inlineStr"/>
    </row>
    <row r="238" ht="15" customHeight="1">
      <c r="A238" t="inlineStr">
        <is>
          <t>A 63678-2023</t>
        </is>
      </c>
      <c r="B238" s="1" t="n">
        <v>45275.64769675926</v>
      </c>
      <c r="C238" s="1" t="n">
        <v>46065</v>
      </c>
      <c r="D238" t="inlineStr">
        <is>
          <t>ÖSTERGÖTLANDS LÄN</t>
        </is>
      </c>
      <c r="E238" t="inlineStr">
        <is>
          <t>LINKÖPING</t>
        </is>
      </c>
      <c r="F238" t="inlineStr">
        <is>
          <t>Övriga Aktiebolag</t>
        </is>
      </c>
      <c r="G238" t="n">
        <v>0.4</v>
      </c>
      <c r="H238" t="n">
        <v>0</v>
      </c>
      <c r="I238" t="n">
        <v>0</v>
      </c>
      <c r="J238" t="n">
        <v>0</v>
      </c>
      <c r="K238" t="n">
        <v>0</v>
      </c>
      <c r="L238" t="n">
        <v>0</v>
      </c>
      <c r="M238" t="n">
        <v>0</v>
      </c>
      <c r="N238" t="n">
        <v>0</v>
      </c>
      <c r="O238" t="n">
        <v>0</v>
      </c>
      <c r="P238" t="n">
        <v>0</v>
      </c>
      <c r="Q238" t="n">
        <v>0</v>
      </c>
      <c r="R238" s="2" t="inlineStr"/>
    </row>
    <row r="239" ht="15" customHeight="1">
      <c r="A239" t="inlineStr">
        <is>
          <t>A 63688-2023</t>
        </is>
      </c>
      <c r="B239" s="1" t="n">
        <v>45275</v>
      </c>
      <c r="C239" s="1" t="n">
        <v>46065</v>
      </c>
      <c r="D239" t="inlineStr">
        <is>
          <t>ÖSTERGÖTLANDS LÄN</t>
        </is>
      </c>
      <c r="E239" t="inlineStr">
        <is>
          <t>LINKÖPING</t>
        </is>
      </c>
      <c r="F239" t="inlineStr">
        <is>
          <t>Övriga Aktiebolag</t>
        </is>
      </c>
      <c r="G239" t="n">
        <v>2.4</v>
      </c>
      <c r="H239" t="n">
        <v>0</v>
      </c>
      <c r="I239" t="n">
        <v>0</v>
      </c>
      <c r="J239" t="n">
        <v>0</v>
      </c>
      <c r="K239" t="n">
        <v>0</v>
      </c>
      <c r="L239" t="n">
        <v>0</v>
      </c>
      <c r="M239" t="n">
        <v>0</v>
      </c>
      <c r="N239" t="n">
        <v>0</v>
      </c>
      <c r="O239" t="n">
        <v>0</v>
      </c>
      <c r="P239" t="n">
        <v>0</v>
      </c>
      <c r="Q239" t="n">
        <v>0</v>
      </c>
      <c r="R239" s="2" t="inlineStr"/>
    </row>
    <row r="240" ht="15" customHeight="1">
      <c r="A240" t="inlineStr">
        <is>
          <t>A 6599-2023</t>
        </is>
      </c>
      <c r="B240" s="1" t="n">
        <v>44966.52603009259</v>
      </c>
      <c r="C240" s="1" t="n">
        <v>46065</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63691-2023</t>
        </is>
      </c>
      <c r="B241" s="1" t="n">
        <v>45275</v>
      </c>
      <c r="C241" s="1" t="n">
        <v>46065</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43473-2024</t>
        </is>
      </c>
      <c r="B242" s="1" t="n">
        <v>45568</v>
      </c>
      <c r="C242" s="1" t="n">
        <v>46065</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34557-2022</t>
        </is>
      </c>
      <c r="B243" s="1" t="n">
        <v>44794.57074074074</v>
      </c>
      <c r="C243" s="1" t="n">
        <v>46065</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4456-2024</t>
        </is>
      </c>
      <c r="B244" s="1" t="n">
        <v>45327.52847222222</v>
      </c>
      <c r="C244" s="1" t="n">
        <v>46065</v>
      </c>
      <c r="D244" t="inlineStr">
        <is>
          <t>ÖSTERGÖTLANDS LÄN</t>
        </is>
      </c>
      <c r="E244" t="inlineStr">
        <is>
          <t>LINKÖPING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17157-2024</t>
        </is>
      </c>
      <c r="B245" s="1" t="n">
        <v>45412.70567129629</v>
      </c>
      <c r="C245" s="1" t="n">
        <v>46065</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58114-2021</t>
        </is>
      </c>
      <c r="B246" s="1" t="n">
        <v>44487</v>
      </c>
      <c r="C246" s="1" t="n">
        <v>46065</v>
      </c>
      <c r="D246" t="inlineStr">
        <is>
          <t>ÖSTERGÖTLANDS LÄN</t>
        </is>
      </c>
      <c r="E246" t="inlineStr">
        <is>
          <t>LINKÖPING</t>
        </is>
      </c>
      <c r="F246" t="inlineStr">
        <is>
          <t>Övriga Aktiebolag</t>
        </is>
      </c>
      <c r="G246" t="n">
        <v>0.8</v>
      </c>
      <c r="H246" t="n">
        <v>0</v>
      </c>
      <c r="I246" t="n">
        <v>0</v>
      </c>
      <c r="J246" t="n">
        <v>0</v>
      </c>
      <c r="K246" t="n">
        <v>0</v>
      </c>
      <c r="L246" t="n">
        <v>0</v>
      </c>
      <c r="M246" t="n">
        <v>0</v>
      </c>
      <c r="N246" t="n">
        <v>0</v>
      </c>
      <c r="O246" t="n">
        <v>0</v>
      </c>
      <c r="P246" t="n">
        <v>0</v>
      </c>
      <c r="Q246" t="n">
        <v>0</v>
      </c>
      <c r="R246" s="2" t="inlineStr"/>
    </row>
    <row r="247" ht="15" customHeight="1">
      <c r="A247" t="inlineStr">
        <is>
          <t>A 46891-2021</t>
        </is>
      </c>
      <c r="B247" s="1" t="n">
        <v>44446.44587962963</v>
      </c>
      <c r="C247" s="1" t="n">
        <v>46065</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13689-2025</t>
        </is>
      </c>
      <c r="B248" s="1" t="n">
        <v>45737.31590277778</v>
      </c>
      <c r="C248" s="1" t="n">
        <v>46065</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13696-2025</t>
        </is>
      </c>
      <c r="B249" s="1" t="n">
        <v>45737.32273148148</v>
      </c>
      <c r="C249" s="1" t="n">
        <v>46065</v>
      </c>
      <c r="D249" t="inlineStr">
        <is>
          <t>ÖSTERGÖTLANDS LÄN</t>
        </is>
      </c>
      <c r="E249" t="inlineStr">
        <is>
          <t>LINKÖPING</t>
        </is>
      </c>
      <c r="G249" t="n">
        <v>3.5</v>
      </c>
      <c r="H249" t="n">
        <v>0</v>
      </c>
      <c r="I249" t="n">
        <v>0</v>
      </c>
      <c r="J249" t="n">
        <v>0</v>
      </c>
      <c r="K249" t="n">
        <v>0</v>
      </c>
      <c r="L249" t="n">
        <v>0</v>
      </c>
      <c r="M249" t="n">
        <v>0</v>
      </c>
      <c r="N249" t="n">
        <v>0</v>
      </c>
      <c r="O249" t="n">
        <v>0</v>
      </c>
      <c r="P249" t="n">
        <v>0</v>
      </c>
      <c r="Q249" t="n">
        <v>0</v>
      </c>
      <c r="R249" s="2" t="inlineStr"/>
    </row>
    <row r="250" ht="15" customHeight="1">
      <c r="A250" t="inlineStr">
        <is>
          <t>A 52892-2024</t>
        </is>
      </c>
      <c r="B250" s="1" t="n">
        <v>45610</v>
      </c>
      <c r="C250" s="1" t="n">
        <v>46065</v>
      </c>
      <c r="D250" t="inlineStr">
        <is>
          <t>ÖSTERGÖTLANDS LÄN</t>
        </is>
      </c>
      <c r="E250" t="inlineStr">
        <is>
          <t>LINKÖPING</t>
        </is>
      </c>
      <c r="G250" t="n">
        <v>4.2</v>
      </c>
      <c r="H250" t="n">
        <v>0</v>
      </c>
      <c r="I250" t="n">
        <v>0</v>
      </c>
      <c r="J250" t="n">
        <v>0</v>
      </c>
      <c r="K250" t="n">
        <v>0</v>
      </c>
      <c r="L250" t="n">
        <v>0</v>
      </c>
      <c r="M250" t="n">
        <v>0</v>
      </c>
      <c r="N250" t="n">
        <v>0</v>
      </c>
      <c r="O250" t="n">
        <v>0</v>
      </c>
      <c r="P250" t="n">
        <v>0</v>
      </c>
      <c r="Q250" t="n">
        <v>0</v>
      </c>
      <c r="R250" s="2" t="inlineStr"/>
    </row>
    <row r="251" ht="15" customHeight="1">
      <c r="A251" t="inlineStr">
        <is>
          <t>A 12428-2024</t>
        </is>
      </c>
      <c r="B251" s="1" t="n">
        <v>45379</v>
      </c>
      <c r="C251" s="1" t="n">
        <v>46065</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61532-2021</t>
        </is>
      </c>
      <c r="B252" s="1" t="n">
        <v>44501</v>
      </c>
      <c r="C252" s="1" t="n">
        <v>46065</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3374-2023</t>
        </is>
      </c>
      <c r="B253" s="1" t="n">
        <v>44949</v>
      </c>
      <c r="C253" s="1" t="n">
        <v>46065</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224-2024</t>
        </is>
      </c>
      <c r="B254" s="1" t="n">
        <v>45294</v>
      </c>
      <c r="C254" s="1" t="n">
        <v>46065</v>
      </c>
      <c r="D254" t="inlineStr">
        <is>
          <t>ÖSTERGÖTLANDS LÄN</t>
        </is>
      </c>
      <c r="E254" t="inlineStr">
        <is>
          <t>LINKÖPING</t>
        </is>
      </c>
      <c r="G254" t="n">
        <v>2.8</v>
      </c>
      <c r="H254" t="n">
        <v>0</v>
      </c>
      <c r="I254" t="n">
        <v>0</v>
      </c>
      <c r="J254" t="n">
        <v>0</v>
      </c>
      <c r="K254" t="n">
        <v>0</v>
      </c>
      <c r="L254" t="n">
        <v>0</v>
      </c>
      <c r="M254" t="n">
        <v>0</v>
      </c>
      <c r="N254" t="n">
        <v>0</v>
      </c>
      <c r="O254" t="n">
        <v>0</v>
      </c>
      <c r="P254" t="n">
        <v>0</v>
      </c>
      <c r="Q254" t="n">
        <v>0</v>
      </c>
      <c r="R254" s="2" t="inlineStr"/>
    </row>
    <row r="255" ht="15" customHeight="1">
      <c r="A255" t="inlineStr">
        <is>
          <t>A 6726-2024</t>
        </is>
      </c>
      <c r="B255" s="1" t="n">
        <v>45341</v>
      </c>
      <c r="C255" s="1" t="n">
        <v>46065</v>
      </c>
      <c r="D255" t="inlineStr">
        <is>
          <t>ÖSTERGÖTLANDS LÄN</t>
        </is>
      </c>
      <c r="E255" t="inlineStr">
        <is>
          <t>LINKÖPING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3008-2023</t>
        </is>
      </c>
      <c r="B256" s="1" t="n">
        <v>44945.79784722222</v>
      </c>
      <c r="C256" s="1" t="n">
        <v>46065</v>
      </c>
      <c r="D256" t="inlineStr">
        <is>
          <t>ÖSTERGÖTLANDS LÄN</t>
        </is>
      </c>
      <c r="E256" t="inlineStr">
        <is>
          <t>LINKÖPING</t>
        </is>
      </c>
      <c r="G256" t="n">
        <v>19.3</v>
      </c>
      <c r="H256" t="n">
        <v>0</v>
      </c>
      <c r="I256" t="n">
        <v>0</v>
      </c>
      <c r="J256" t="n">
        <v>0</v>
      </c>
      <c r="K256" t="n">
        <v>0</v>
      </c>
      <c r="L256" t="n">
        <v>0</v>
      </c>
      <c r="M256" t="n">
        <v>0</v>
      </c>
      <c r="N256" t="n">
        <v>0</v>
      </c>
      <c r="O256" t="n">
        <v>0</v>
      </c>
      <c r="P256" t="n">
        <v>0</v>
      </c>
      <c r="Q256" t="n">
        <v>0</v>
      </c>
      <c r="R256" s="2" t="inlineStr"/>
    </row>
    <row r="257" ht="15" customHeight="1">
      <c r="A257" t="inlineStr">
        <is>
          <t>A 46225-2021</t>
        </is>
      </c>
      <c r="B257" s="1" t="n">
        <v>44442</v>
      </c>
      <c r="C257" s="1" t="n">
        <v>46065</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54428-2022</t>
        </is>
      </c>
      <c r="B258" s="1" t="n">
        <v>44882.57643518518</v>
      </c>
      <c r="C258" s="1" t="n">
        <v>46065</v>
      </c>
      <c r="D258" t="inlineStr">
        <is>
          <t>ÖSTERGÖTLANDS LÄN</t>
        </is>
      </c>
      <c r="E258" t="inlineStr">
        <is>
          <t>LINKÖPING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55736-2022</t>
        </is>
      </c>
      <c r="B259" s="1" t="n">
        <v>44888</v>
      </c>
      <c r="C259" s="1" t="n">
        <v>46065</v>
      </c>
      <c r="D259" t="inlineStr">
        <is>
          <t>ÖSTERGÖTLANDS LÄN</t>
        </is>
      </c>
      <c r="E259" t="inlineStr">
        <is>
          <t>LINKÖPING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53814-2023</t>
        </is>
      </c>
      <c r="B260" s="1" t="n">
        <v>45231</v>
      </c>
      <c r="C260" s="1" t="n">
        <v>46065</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11790-2024</t>
        </is>
      </c>
      <c r="B261" s="1" t="n">
        <v>45374</v>
      </c>
      <c r="C261" s="1" t="n">
        <v>46065</v>
      </c>
      <c r="D261" t="inlineStr">
        <is>
          <t>ÖSTERGÖTLANDS LÄN</t>
        </is>
      </c>
      <c r="E261" t="inlineStr">
        <is>
          <t>LINKÖPING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48962-2022</t>
        </is>
      </c>
      <c r="B262" s="1" t="n">
        <v>44860.31635416667</v>
      </c>
      <c r="C262" s="1" t="n">
        <v>46065</v>
      </c>
      <c r="D262" t="inlineStr">
        <is>
          <t>ÖSTERGÖTLANDS LÄN</t>
        </is>
      </c>
      <c r="E262" t="inlineStr">
        <is>
          <t>LINKÖPING</t>
        </is>
      </c>
      <c r="G262" t="n">
        <v>2.9</v>
      </c>
      <c r="H262" t="n">
        <v>0</v>
      </c>
      <c r="I262" t="n">
        <v>0</v>
      </c>
      <c r="J262" t="n">
        <v>0</v>
      </c>
      <c r="K262" t="n">
        <v>0</v>
      </c>
      <c r="L262" t="n">
        <v>0</v>
      </c>
      <c r="M262" t="n">
        <v>0</v>
      </c>
      <c r="N262" t="n">
        <v>0</v>
      </c>
      <c r="O262" t="n">
        <v>0</v>
      </c>
      <c r="P262" t="n">
        <v>0</v>
      </c>
      <c r="Q262" t="n">
        <v>0</v>
      </c>
      <c r="R262" s="2" t="inlineStr"/>
    </row>
    <row r="263" ht="15" customHeight="1">
      <c r="A263" t="inlineStr">
        <is>
          <t>A 53647-2021</t>
        </is>
      </c>
      <c r="B263" s="1" t="n">
        <v>44469</v>
      </c>
      <c r="C263" s="1" t="n">
        <v>46065</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22772-2024</t>
        </is>
      </c>
      <c r="B264" s="1" t="n">
        <v>45448.46712962963</v>
      </c>
      <c r="C264" s="1" t="n">
        <v>46065</v>
      </c>
      <c r="D264" t="inlineStr">
        <is>
          <t>ÖSTERGÖTLANDS LÄN</t>
        </is>
      </c>
      <c r="E264" t="inlineStr">
        <is>
          <t>LINKÖPING</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18916-2024</t>
        </is>
      </c>
      <c r="B265" s="1" t="n">
        <v>45427.39541666667</v>
      </c>
      <c r="C265" s="1" t="n">
        <v>46065</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30434-2024</t>
        </is>
      </c>
      <c r="B266" s="1" t="n">
        <v>45491.69811342593</v>
      </c>
      <c r="C266" s="1" t="n">
        <v>46065</v>
      </c>
      <c r="D266" t="inlineStr">
        <is>
          <t>ÖSTERGÖTLANDS LÄN</t>
        </is>
      </c>
      <c r="E266" t="inlineStr">
        <is>
          <t>LINKÖPING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24586-2024</t>
        </is>
      </c>
      <c r="B267" s="1" t="n">
        <v>45460.46664351852</v>
      </c>
      <c r="C267" s="1" t="n">
        <v>46065</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60004-2022</t>
        </is>
      </c>
      <c r="B268" s="1" t="n">
        <v>44909.47206018519</v>
      </c>
      <c r="C268" s="1" t="n">
        <v>46065</v>
      </c>
      <c r="D268" t="inlineStr">
        <is>
          <t>ÖSTERGÖTLANDS LÄN</t>
        </is>
      </c>
      <c r="E268" t="inlineStr">
        <is>
          <t>LINKÖPING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17124-2025</t>
        </is>
      </c>
      <c r="B269" s="1" t="n">
        <v>45755.69678240741</v>
      </c>
      <c r="C269" s="1" t="n">
        <v>46065</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17126-2025</t>
        </is>
      </c>
      <c r="B270" s="1" t="n">
        <v>45755.70814814815</v>
      </c>
      <c r="C270" s="1" t="n">
        <v>46065</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17143-2025</t>
        </is>
      </c>
      <c r="B271" s="1" t="n">
        <v>45755.92731481481</v>
      </c>
      <c r="C271" s="1" t="n">
        <v>46065</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52796-2023</t>
        </is>
      </c>
      <c r="B272" s="1" t="n">
        <v>45219</v>
      </c>
      <c r="C272" s="1" t="n">
        <v>46065</v>
      </c>
      <c r="D272" t="inlineStr">
        <is>
          <t>ÖSTERGÖTLANDS LÄN</t>
        </is>
      </c>
      <c r="E272" t="inlineStr">
        <is>
          <t>LINKÖPING</t>
        </is>
      </c>
      <c r="F272" t="inlineStr">
        <is>
          <t>Övriga statliga verk och myndigheter</t>
        </is>
      </c>
      <c r="G272" t="n">
        <v>3.9</v>
      </c>
      <c r="H272" t="n">
        <v>0</v>
      </c>
      <c r="I272" t="n">
        <v>0</v>
      </c>
      <c r="J272" t="n">
        <v>0</v>
      </c>
      <c r="K272" t="n">
        <v>0</v>
      </c>
      <c r="L272" t="n">
        <v>0</v>
      </c>
      <c r="M272" t="n">
        <v>0</v>
      </c>
      <c r="N272" t="n">
        <v>0</v>
      </c>
      <c r="O272" t="n">
        <v>0</v>
      </c>
      <c r="P272" t="n">
        <v>0</v>
      </c>
      <c r="Q272" t="n">
        <v>0</v>
      </c>
      <c r="R272" s="2" t="inlineStr"/>
    </row>
    <row r="273" ht="15" customHeight="1">
      <c r="A273" t="inlineStr">
        <is>
          <t>A 50743-2023</t>
        </is>
      </c>
      <c r="B273" s="1" t="n">
        <v>45217</v>
      </c>
      <c r="C273" s="1" t="n">
        <v>46065</v>
      </c>
      <c r="D273" t="inlineStr">
        <is>
          <t>ÖSTERGÖTLANDS LÄN</t>
        </is>
      </c>
      <c r="E273" t="inlineStr">
        <is>
          <t>LINKÖPING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45771-2023</t>
        </is>
      </c>
      <c r="B274" s="1" t="n">
        <v>45195.4384375</v>
      </c>
      <c r="C274" s="1" t="n">
        <v>46065</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11084-2022</t>
        </is>
      </c>
      <c r="B275" s="1" t="n">
        <v>44628</v>
      </c>
      <c r="C275" s="1" t="n">
        <v>46065</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63554-2023</t>
        </is>
      </c>
      <c r="B276" s="1" t="n">
        <v>45275</v>
      </c>
      <c r="C276" s="1" t="n">
        <v>46065</v>
      </c>
      <c r="D276" t="inlineStr">
        <is>
          <t>ÖSTERGÖTLANDS LÄN</t>
        </is>
      </c>
      <c r="E276" t="inlineStr">
        <is>
          <t>LINKÖPING</t>
        </is>
      </c>
      <c r="G276" t="n">
        <v>4.3</v>
      </c>
      <c r="H276" t="n">
        <v>0</v>
      </c>
      <c r="I276" t="n">
        <v>0</v>
      </c>
      <c r="J276" t="n">
        <v>0</v>
      </c>
      <c r="K276" t="n">
        <v>0</v>
      </c>
      <c r="L276" t="n">
        <v>0</v>
      </c>
      <c r="M276" t="n">
        <v>0</v>
      </c>
      <c r="N276" t="n">
        <v>0</v>
      </c>
      <c r="O276" t="n">
        <v>0</v>
      </c>
      <c r="P276" t="n">
        <v>0</v>
      </c>
      <c r="Q276" t="n">
        <v>0</v>
      </c>
      <c r="R276" s="2" t="inlineStr"/>
    </row>
    <row r="277" ht="15" customHeight="1">
      <c r="A277" t="inlineStr">
        <is>
          <t>A 39017-2021</t>
        </is>
      </c>
      <c r="B277" s="1" t="n">
        <v>44412</v>
      </c>
      <c r="C277" s="1" t="n">
        <v>46065</v>
      </c>
      <c r="D277" t="inlineStr">
        <is>
          <t>ÖSTERGÖTLANDS LÄN</t>
        </is>
      </c>
      <c r="E277" t="inlineStr">
        <is>
          <t>LINKÖPING</t>
        </is>
      </c>
      <c r="F277" t="inlineStr">
        <is>
          <t>Övriga statliga verk och myndigheter</t>
        </is>
      </c>
      <c r="G277" t="n">
        <v>0.8</v>
      </c>
      <c r="H277" t="n">
        <v>0</v>
      </c>
      <c r="I277" t="n">
        <v>0</v>
      </c>
      <c r="J277" t="n">
        <v>0</v>
      </c>
      <c r="K277" t="n">
        <v>0</v>
      </c>
      <c r="L277" t="n">
        <v>0</v>
      </c>
      <c r="M277" t="n">
        <v>0</v>
      </c>
      <c r="N277" t="n">
        <v>0</v>
      </c>
      <c r="O277" t="n">
        <v>0</v>
      </c>
      <c r="P277" t="n">
        <v>0</v>
      </c>
      <c r="Q277" t="n">
        <v>0</v>
      </c>
      <c r="R277" s="2" t="inlineStr"/>
    </row>
    <row r="278" ht="15" customHeight="1">
      <c r="A278" t="inlineStr">
        <is>
          <t>A 57745-2022</t>
        </is>
      </c>
      <c r="B278" s="1" t="n">
        <v>44897.58119212963</v>
      </c>
      <c r="C278" s="1" t="n">
        <v>46065</v>
      </c>
      <c r="D278" t="inlineStr">
        <is>
          <t>ÖSTERGÖTLANDS LÄN</t>
        </is>
      </c>
      <c r="E278" t="inlineStr">
        <is>
          <t>LINKÖPING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30111-2024</t>
        </is>
      </c>
      <c r="B279" s="1" t="n">
        <v>45489.46947916667</v>
      </c>
      <c r="C279" s="1" t="n">
        <v>46065</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30119-2024</t>
        </is>
      </c>
      <c r="B280" s="1" t="n">
        <v>45489</v>
      </c>
      <c r="C280" s="1" t="n">
        <v>46065</v>
      </c>
      <c r="D280" t="inlineStr">
        <is>
          <t>ÖSTERGÖTLANDS LÄN</t>
        </is>
      </c>
      <c r="E280" t="inlineStr">
        <is>
          <t>LINKÖPING</t>
        </is>
      </c>
      <c r="G280" t="n">
        <v>1.7</v>
      </c>
      <c r="H280" t="n">
        <v>0</v>
      </c>
      <c r="I280" t="n">
        <v>0</v>
      </c>
      <c r="J280" t="n">
        <v>0</v>
      </c>
      <c r="K280" t="n">
        <v>0</v>
      </c>
      <c r="L280" t="n">
        <v>0</v>
      </c>
      <c r="M280" t="n">
        <v>0</v>
      </c>
      <c r="N280" t="n">
        <v>0</v>
      </c>
      <c r="O280" t="n">
        <v>0</v>
      </c>
      <c r="P280" t="n">
        <v>0</v>
      </c>
      <c r="Q280" t="n">
        <v>0</v>
      </c>
      <c r="R280" s="2" t="inlineStr"/>
    </row>
    <row r="281" ht="15" customHeight="1">
      <c r="A281" t="inlineStr">
        <is>
          <t>A 14520-2025</t>
        </is>
      </c>
      <c r="B281" s="1" t="n">
        <v>45741</v>
      </c>
      <c r="C281" s="1" t="n">
        <v>46065</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6206-2024</t>
        </is>
      </c>
      <c r="B282" s="1" t="n">
        <v>45337.5977662037</v>
      </c>
      <c r="C282" s="1" t="n">
        <v>46065</v>
      </c>
      <c r="D282" t="inlineStr">
        <is>
          <t>ÖSTERGÖTLANDS LÄN</t>
        </is>
      </c>
      <c r="E282" t="inlineStr">
        <is>
          <t>LINKÖPING</t>
        </is>
      </c>
      <c r="G282" t="n">
        <v>2</v>
      </c>
      <c r="H282" t="n">
        <v>0</v>
      </c>
      <c r="I282" t="n">
        <v>0</v>
      </c>
      <c r="J282" t="n">
        <v>0</v>
      </c>
      <c r="K282" t="n">
        <v>0</v>
      </c>
      <c r="L282" t="n">
        <v>0</v>
      </c>
      <c r="M282" t="n">
        <v>0</v>
      </c>
      <c r="N282" t="n">
        <v>0</v>
      </c>
      <c r="O282" t="n">
        <v>0</v>
      </c>
      <c r="P282" t="n">
        <v>0</v>
      </c>
      <c r="Q282" t="n">
        <v>0</v>
      </c>
      <c r="R282" s="2" t="inlineStr"/>
    </row>
    <row r="283" ht="15" customHeight="1">
      <c r="A283" t="inlineStr">
        <is>
          <t>A 16820-2024</t>
        </is>
      </c>
      <c r="B283" s="1" t="n">
        <v>45411.46809027778</v>
      </c>
      <c r="C283" s="1" t="n">
        <v>46065</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15714-2024</t>
        </is>
      </c>
      <c r="B284" s="1" t="n">
        <v>45404.48288194444</v>
      </c>
      <c r="C284" s="1" t="n">
        <v>46065</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30980-2022</t>
        </is>
      </c>
      <c r="B285" s="1" t="n">
        <v>44768</v>
      </c>
      <c r="C285" s="1" t="n">
        <v>46065</v>
      </c>
      <c r="D285" t="inlineStr">
        <is>
          <t>ÖSTERGÖTLANDS LÄN</t>
        </is>
      </c>
      <c r="E285" t="inlineStr">
        <is>
          <t>LINKÖPING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30481-2023</t>
        </is>
      </c>
      <c r="B286" s="1" t="n">
        <v>45111</v>
      </c>
      <c r="C286" s="1" t="n">
        <v>46065</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56064-2022</t>
        </is>
      </c>
      <c r="B287" s="1" t="n">
        <v>44889.59107638889</v>
      </c>
      <c r="C287" s="1" t="n">
        <v>46065</v>
      </c>
      <c r="D287" t="inlineStr">
        <is>
          <t>ÖSTERGÖTLANDS LÄN</t>
        </is>
      </c>
      <c r="E287" t="inlineStr">
        <is>
          <t>LINKÖPING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74160-2021</t>
        </is>
      </c>
      <c r="B288" s="1" t="n">
        <v>44558</v>
      </c>
      <c r="C288" s="1" t="n">
        <v>46065</v>
      </c>
      <c r="D288" t="inlineStr">
        <is>
          <t>ÖSTERGÖTLANDS LÄN</t>
        </is>
      </c>
      <c r="E288" t="inlineStr">
        <is>
          <t>LINKÖPING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40502-2024</t>
        </is>
      </c>
      <c r="B289" s="1" t="n">
        <v>45555.57263888889</v>
      </c>
      <c r="C289" s="1" t="n">
        <v>46065</v>
      </c>
      <c r="D289" t="inlineStr">
        <is>
          <t>ÖSTERGÖTLANDS LÄN</t>
        </is>
      </c>
      <c r="E289" t="inlineStr">
        <is>
          <t>LINKÖPING</t>
        </is>
      </c>
      <c r="F289" t="inlineStr">
        <is>
          <t>Allmännings- och besparingsskogar</t>
        </is>
      </c>
      <c r="G289" t="n">
        <v>17.5</v>
      </c>
      <c r="H289" t="n">
        <v>0</v>
      </c>
      <c r="I289" t="n">
        <v>0</v>
      </c>
      <c r="J289" t="n">
        <v>0</v>
      </c>
      <c r="K289" t="n">
        <v>0</v>
      </c>
      <c r="L289" t="n">
        <v>0</v>
      </c>
      <c r="M289" t="n">
        <v>0</v>
      </c>
      <c r="N289" t="n">
        <v>0</v>
      </c>
      <c r="O289" t="n">
        <v>0</v>
      </c>
      <c r="P289" t="n">
        <v>0</v>
      </c>
      <c r="Q289" t="n">
        <v>0</v>
      </c>
      <c r="R289" s="2" t="inlineStr"/>
    </row>
    <row r="290" ht="15" customHeight="1">
      <c r="A290" t="inlineStr">
        <is>
          <t>A 63559-2023</t>
        </is>
      </c>
      <c r="B290" s="1" t="n">
        <v>45275.35924768518</v>
      </c>
      <c r="C290" s="1" t="n">
        <v>46065</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23491-2024</t>
        </is>
      </c>
      <c r="B291" s="1" t="n">
        <v>45453</v>
      </c>
      <c r="C291" s="1" t="n">
        <v>46065</v>
      </c>
      <c r="D291" t="inlineStr">
        <is>
          <t>ÖSTERGÖTLANDS LÄN</t>
        </is>
      </c>
      <c r="E291" t="inlineStr">
        <is>
          <t>LINKÖPING</t>
        </is>
      </c>
      <c r="G291" t="n">
        <v>2.2</v>
      </c>
      <c r="H291" t="n">
        <v>0</v>
      </c>
      <c r="I291" t="n">
        <v>0</v>
      </c>
      <c r="J291" t="n">
        <v>0</v>
      </c>
      <c r="K291" t="n">
        <v>0</v>
      </c>
      <c r="L291" t="n">
        <v>0</v>
      </c>
      <c r="M291" t="n">
        <v>0</v>
      </c>
      <c r="N291" t="n">
        <v>0</v>
      </c>
      <c r="O291" t="n">
        <v>0</v>
      </c>
      <c r="P291" t="n">
        <v>0</v>
      </c>
      <c r="Q291" t="n">
        <v>0</v>
      </c>
      <c r="R291" s="2" t="inlineStr"/>
    </row>
    <row r="292" ht="15" customHeight="1">
      <c r="A292" t="inlineStr">
        <is>
          <t>A 24351-2024</t>
        </is>
      </c>
      <c r="B292" s="1" t="n">
        <v>45457.59011574074</v>
      </c>
      <c r="C292" s="1" t="n">
        <v>46065</v>
      </c>
      <c r="D292" t="inlineStr">
        <is>
          <t>ÖSTERGÖTLANDS LÄN</t>
        </is>
      </c>
      <c r="E292" t="inlineStr">
        <is>
          <t>LINKÖPING</t>
        </is>
      </c>
      <c r="G292" t="n">
        <v>11.9</v>
      </c>
      <c r="H292" t="n">
        <v>0</v>
      </c>
      <c r="I292" t="n">
        <v>0</v>
      </c>
      <c r="J292" t="n">
        <v>0</v>
      </c>
      <c r="K292" t="n">
        <v>0</v>
      </c>
      <c r="L292" t="n">
        <v>0</v>
      </c>
      <c r="M292" t="n">
        <v>0</v>
      </c>
      <c r="N292" t="n">
        <v>0</v>
      </c>
      <c r="O292" t="n">
        <v>0</v>
      </c>
      <c r="P292" t="n">
        <v>0</v>
      </c>
      <c r="Q292" t="n">
        <v>0</v>
      </c>
      <c r="R292" s="2" t="inlineStr"/>
    </row>
    <row r="293" ht="15" customHeight="1">
      <c r="A293" t="inlineStr">
        <is>
          <t>A 29309-2024</t>
        </is>
      </c>
      <c r="B293" s="1" t="n">
        <v>45483</v>
      </c>
      <c r="C293" s="1" t="n">
        <v>46065</v>
      </c>
      <c r="D293" t="inlineStr">
        <is>
          <t>ÖSTERGÖTLANDS LÄN</t>
        </is>
      </c>
      <c r="E293" t="inlineStr">
        <is>
          <t>LINKÖPING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29411-2023</t>
        </is>
      </c>
      <c r="B294" s="1" t="n">
        <v>45106.46225694445</v>
      </c>
      <c r="C294" s="1" t="n">
        <v>46065</v>
      </c>
      <c r="D294" t="inlineStr">
        <is>
          <t>ÖSTERGÖTLANDS LÄN</t>
        </is>
      </c>
      <c r="E294" t="inlineStr">
        <is>
          <t>LINKÖPING</t>
        </is>
      </c>
      <c r="G294" t="n">
        <v>2.5</v>
      </c>
      <c r="H294" t="n">
        <v>0</v>
      </c>
      <c r="I294" t="n">
        <v>0</v>
      </c>
      <c r="J294" t="n">
        <v>0</v>
      </c>
      <c r="K294" t="n">
        <v>0</v>
      </c>
      <c r="L294" t="n">
        <v>0</v>
      </c>
      <c r="M294" t="n">
        <v>0</v>
      </c>
      <c r="N294" t="n">
        <v>0</v>
      </c>
      <c r="O294" t="n">
        <v>0</v>
      </c>
      <c r="P294" t="n">
        <v>0</v>
      </c>
      <c r="Q294" t="n">
        <v>0</v>
      </c>
      <c r="R294" s="2" t="inlineStr"/>
    </row>
    <row r="295" ht="15" customHeight="1">
      <c r="A295" t="inlineStr">
        <is>
          <t>A 29412-2023</t>
        </is>
      </c>
      <c r="B295" s="1" t="n">
        <v>45106.46359953703</v>
      </c>
      <c r="C295" s="1" t="n">
        <v>46065</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29413-2023</t>
        </is>
      </c>
      <c r="B296" s="1" t="n">
        <v>45106.46465277778</v>
      </c>
      <c r="C296" s="1" t="n">
        <v>46065</v>
      </c>
      <c r="D296" t="inlineStr">
        <is>
          <t>ÖSTERGÖTLANDS LÄN</t>
        </is>
      </c>
      <c r="E296" t="inlineStr">
        <is>
          <t>LINKÖPING</t>
        </is>
      </c>
      <c r="G296" t="n">
        <v>8</v>
      </c>
      <c r="H296" t="n">
        <v>0</v>
      </c>
      <c r="I296" t="n">
        <v>0</v>
      </c>
      <c r="J296" t="n">
        <v>0</v>
      </c>
      <c r="K296" t="n">
        <v>0</v>
      </c>
      <c r="L296" t="n">
        <v>0</v>
      </c>
      <c r="M296" t="n">
        <v>0</v>
      </c>
      <c r="N296" t="n">
        <v>0</v>
      </c>
      <c r="O296" t="n">
        <v>0</v>
      </c>
      <c r="P296" t="n">
        <v>0</v>
      </c>
      <c r="Q296" t="n">
        <v>0</v>
      </c>
      <c r="R296" s="2" t="inlineStr"/>
    </row>
    <row r="297" ht="15" customHeight="1">
      <c r="A297" t="inlineStr">
        <is>
          <t>A 44155-2024</t>
        </is>
      </c>
      <c r="B297" s="1" t="n">
        <v>45572.68226851852</v>
      </c>
      <c r="C297" s="1" t="n">
        <v>46065</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62501-2023</t>
        </is>
      </c>
      <c r="B298" s="1" t="n">
        <v>45268</v>
      </c>
      <c r="C298" s="1" t="n">
        <v>46065</v>
      </c>
      <c r="D298" t="inlineStr">
        <is>
          <t>ÖSTERGÖTLANDS LÄN</t>
        </is>
      </c>
      <c r="E298" t="inlineStr">
        <is>
          <t>LINKÖPING</t>
        </is>
      </c>
      <c r="G298" t="n">
        <v>7.4</v>
      </c>
      <c r="H298" t="n">
        <v>0</v>
      </c>
      <c r="I298" t="n">
        <v>0</v>
      </c>
      <c r="J298" t="n">
        <v>0</v>
      </c>
      <c r="K298" t="n">
        <v>0</v>
      </c>
      <c r="L298" t="n">
        <v>0</v>
      </c>
      <c r="M298" t="n">
        <v>0</v>
      </c>
      <c r="N298" t="n">
        <v>0</v>
      </c>
      <c r="O298" t="n">
        <v>0</v>
      </c>
      <c r="P298" t="n">
        <v>0</v>
      </c>
      <c r="Q298" t="n">
        <v>0</v>
      </c>
      <c r="R298" s="2" t="inlineStr"/>
    </row>
    <row r="299" ht="15" customHeight="1">
      <c r="A299" t="inlineStr">
        <is>
          <t>A 58947-2022</t>
        </is>
      </c>
      <c r="B299" s="1" t="n">
        <v>44903.64769675926</v>
      </c>
      <c r="C299" s="1" t="n">
        <v>46065</v>
      </c>
      <c r="D299" t="inlineStr">
        <is>
          <t>ÖSTERGÖTLANDS LÄN</t>
        </is>
      </c>
      <c r="E299" t="inlineStr">
        <is>
          <t>LINKÖPING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49979-2022</t>
        </is>
      </c>
      <c r="B300" s="1" t="n">
        <v>44865</v>
      </c>
      <c r="C300" s="1" t="n">
        <v>46065</v>
      </c>
      <c r="D300" t="inlineStr">
        <is>
          <t>ÖSTERGÖTLANDS LÄN</t>
        </is>
      </c>
      <c r="E300" t="inlineStr">
        <is>
          <t>LINKÖPING</t>
        </is>
      </c>
      <c r="F300" t="inlineStr">
        <is>
          <t>Övriga Aktiebolag</t>
        </is>
      </c>
      <c r="G300" t="n">
        <v>11.4</v>
      </c>
      <c r="H300" t="n">
        <v>0</v>
      </c>
      <c r="I300" t="n">
        <v>0</v>
      </c>
      <c r="J300" t="n">
        <v>0</v>
      </c>
      <c r="K300" t="n">
        <v>0</v>
      </c>
      <c r="L300" t="n">
        <v>0</v>
      </c>
      <c r="M300" t="n">
        <v>0</v>
      </c>
      <c r="N300" t="n">
        <v>0</v>
      </c>
      <c r="O300" t="n">
        <v>0</v>
      </c>
      <c r="P300" t="n">
        <v>0</v>
      </c>
      <c r="Q300" t="n">
        <v>0</v>
      </c>
      <c r="R300" s="2" t="inlineStr"/>
    </row>
    <row r="301" ht="15" customHeight="1">
      <c r="A301" t="inlineStr">
        <is>
          <t>A 53827-2023</t>
        </is>
      </c>
      <c r="B301" s="1" t="n">
        <v>45230</v>
      </c>
      <c r="C301" s="1" t="n">
        <v>46065</v>
      </c>
      <c r="D301" t="inlineStr">
        <is>
          <t>ÖSTERGÖTLANDS LÄN</t>
        </is>
      </c>
      <c r="E301" t="inlineStr">
        <is>
          <t>LINKÖPING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24151-2024</t>
        </is>
      </c>
      <c r="B302" s="1" t="n">
        <v>45456.67717592593</v>
      </c>
      <c r="C302" s="1" t="n">
        <v>46065</v>
      </c>
      <c r="D302" t="inlineStr">
        <is>
          <t>ÖSTERGÖTLANDS LÄN</t>
        </is>
      </c>
      <c r="E302" t="inlineStr">
        <is>
          <t>LINKÖPING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42997-2021</t>
        </is>
      </c>
      <c r="B303" s="1" t="n">
        <v>44431.45556712963</v>
      </c>
      <c r="C303" s="1" t="n">
        <v>46065</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940-2023</t>
        </is>
      </c>
      <c r="B304" s="1" t="n">
        <v>44933</v>
      </c>
      <c r="C304" s="1" t="n">
        <v>46065</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7992-2023</t>
        </is>
      </c>
      <c r="B305" s="1" t="n">
        <v>44970</v>
      </c>
      <c r="C305" s="1" t="n">
        <v>46065</v>
      </c>
      <c r="D305" t="inlineStr">
        <is>
          <t>ÖSTERGÖTLANDS LÄN</t>
        </is>
      </c>
      <c r="E305" t="inlineStr">
        <is>
          <t>LINKÖPING</t>
        </is>
      </c>
      <c r="F305" t="inlineStr">
        <is>
          <t>Kommuner</t>
        </is>
      </c>
      <c r="G305" t="n">
        <v>1</v>
      </c>
      <c r="H305" t="n">
        <v>0</v>
      </c>
      <c r="I305" t="n">
        <v>0</v>
      </c>
      <c r="J305" t="n">
        <v>0</v>
      </c>
      <c r="K305" t="n">
        <v>0</v>
      </c>
      <c r="L305" t="n">
        <v>0</v>
      </c>
      <c r="M305" t="n">
        <v>0</v>
      </c>
      <c r="N305" t="n">
        <v>0</v>
      </c>
      <c r="O305" t="n">
        <v>0</v>
      </c>
      <c r="P305" t="n">
        <v>0</v>
      </c>
      <c r="Q305" t="n">
        <v>0</v>
      </c>
      <c r="R305" s="2" t="inlineStr"/>
    </row>
    <row r="306" ht="15" customHeight="1">
      <c r="A306" t="inlineStr">
        <is>
          <t>A 63845-2021</t>
        </is>
      </c>
      <c r="B306" s="1" t="n">
        <v>44509</v>
      </c>
      <c r="C306" s="1" t="n">
        <v>46065</v>
      </c>
      <c r="D306" t="inlineStr">
        <is>
          <t>ÖSTERGÖTLANDS LÄN</t>
        </is>
      </c>
      <c r="E306" t="inlineStr">
        <is>
          <t>LINKÖPING</t>
        </is>
      </c>
      <c r="G306" t="n">
        <v>5</v>
      </c>
      <c r="H306" t="n">
        <v>0</v>
      </c>
      <c r="I306" t="n">
        <v>0</v>
      </c>
      <c r="J306" t="n">
        <v>0</v>
      </c>
      <c r="K306" t="n">
        <v>0</v>
      </c>
      <c r="L306" t="n">
        <v>0</v>
      </c>
      <c r="M306" t="n">
        <v>0</v>
      </c>
      <c r="N306" t="n">
        <v>0</v>
      </c>
      <c r="O306" t="n">
        <v>0</v>
      </c>
      <c r="P306" t="n">
        <v>0</v>
      </c>
      <c r="Q306" t="n">
        <v>0</v>
      </c>
      <c r="R306" s="2" t="inlineStr"/>
    </row>
    <row r="307" ht="15" customHeight="1">
      <c r="A307" t="inlineStr">
        <is>
          <t>A 26002-2025</t>
        </is>
      </c>
      <c r="B307" s="1" t="n">
        <v>45804.66534722222</v>
      </c>
      <c r="C307" s="1" t="n">
        <v>46065</v>
      </c>
      <c r="D307" t="inlineStr">
        <is>
          <t>ÖSTERGÖTLANDS LÄN</t>
        </is>
      </c>
      <c r="E307" t="inlineStr">
        <is>
          <t>LINKÖPING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17785-2023</t>
        </is>
      </c>
      <c r="B308" s="1" t="n">
        <v>45037.55094907407</v>
      </c>
      <c r="C308" s="1" t="n">
        <v>46065</v>
      </c>
      <c r="D308" t="inlineStr">
        <is>
          <t>ÖSTERGÖTLANDS LÄN</t>
        </is>
      </c>
      <c r="E308" t="inlineStr">
        <is>
          <t>LINKÖPING</t>
        </is>
      </c>
      <c r="F308" t="inlineStr">
        <is>
          <t>Allmännings- och besparingsskogar</t>
        </is>
      </c>
      <c r="G308" t="n">
        <v>3.1</v>
      </c>
      <c r="H308" t="n">
        <v>0</v>
      </c>
      <c r="I308" t="n">
        <v>0</v>
      </c>
      <c r="J308" t="n">
        <v>0</v>
      </c>
      <c r="K308" t="n">
        <v>0</v>
      </c>
      <c r="L308" t="n">
        <v>0</v>
      </c>
      <c r="M308" t="n">
        <v>0</v>
      </c>
      <c r="N308" t="n">
        <v>0</v>
      </c>
      <c r="O308" t="n">
        <v>0</v>
      </c>
      <c r="P308" t="n">
        <v>0</v>
      </c>
      <c r="Q308" t="n">
        <v>0</v>
      </c>
      <c r="R308" s="2" t="inlineStr"/>
    </row>
    <row r="309" ht="15" customHeight="1">
      <c r="A309" t="inlineStr">
        <is>
          <t>A 32346-2023</t>
        </is>
      </c>
      <c r="B309" s="1" t="n">
        <v>45120</v>
      </c>
      <c r="C309" s="1" t="n">
        <v>46065</v>
      </c>
      <c r="D309" t="inlineStr">
        <is>
          <t>ÖSTERGÖTLANDS LÄN</t>
        </is>
      </c>
      <c r="E309" t="inlineStr">
        <is>
          <t>LINKÖPING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1627-2023</t>
        </is>
      </c>
      <c r="B310" s="1" t="n">
        <v>44937</v>
      </c>
      <c r="C310" s="1" t="n">
        <v>46065</v>
      </c>
      <c r="D310" t="inlineStr">
        <is>
          <t>ÖSTERGÖTLANDS LÄN</t>
        </is>
      </c>
      <c r="E310" t="inlineStr">
        <is>
          <t>LINKÖPING</t>
        </is>
      </c>
      <c r="G310" t="n">
        <v>10.8</v>
      </c>
      <c r="H310" t="n">
        <v>0</v>
      </c>
      <c r="I310" t="n">
        <v>0</v>
      </c>
      <c r="J310" t="n">
        <v>0</v>
      </c>
      <c r="K310" t="n">
        <v>0</v>
      </c>
      <c r="L310" t="n">
        <v>0</v>
      </c>
      <c r="M310" t="n">
        <v>0</v>
      </c>
      <c r="N310" t="n">
        <v>0</v>
      </c>
      <c r="O310" t="n">
        <v>0</v>
      </c>
      <c r="P310" t="n">
        <v>0</v>
      </c>
      <c r="Q310" t="n">
        <v>0</v>
      </c>
      <c r="R310" s="2" t="inlineStr"/>
    </row>
    <row r="311" ht="15" customHeight="1">
      <c r="A311" t="inlineStr">
        <is>
          <t>A 16665-2023</t>
        </is>
      </c>
      <c r="B311" s="1" t="n">
        <v>45030.5583912037</v>
      </c>
      <c r="C311" s="1" t="n">
        <v>46065</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14028-2024</t>
        </is>
      </c>
      <c r="B312" s="1" t="n">
        <v>45392</v>
      </c>
      <c r="C312" s="1" t="n">
        <v>46065</v>
      </c>
      <c r="D312" t="inlineStr">
        <is>
          <t>ÖSTERGÖTLANDS LÄN</t>
        </is>
      </c>
      <c r="E312" t="inlineStr">
        <is>
          <t>LINKÖPING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60860-2024</t>
        </is>
      </c>
      <c r="B313" s="1" t="n">
        <v>45644.6893287037</v>
      </c>
      <c r="C313" s="1" t="n">
        <v>46065</v>
      </c>
      <c r="D313" t="inlineStr">
        <is>
          <t>ÖSTERGÖTLANDS LÄN</t>
        </is>
      </c>
      <c r="E313" t="inlineStr">
        <is>
          <t>LINKÖPING</t>
        </is>
      </c>
      <c r="G313" t="n">
        <v>1.3</v>
      </c>
      <c r="H313" t="n">
        <v>0</v>
      </c>
      <c r="I313" t="n">
        <v>0</v>
      </c>
      <c r="J313" t="n">
        <v>0</v>
      </c>
      <c r="K313" t="n">
        <v>0</v>
      </c>
      <c r="L313" t="n">
        <v>0</v>
      </c>
      <c r="M313" t="n">
        <v>0</v>
      </c>
      <c r="N313" t="n">
        <v>0</v>
      </c>
      <c r="O313" t="n">
        <v>0</v>
      </c>
      <c r="P313" t="n">
        <v>0</v>
      </c>
      <c r="Q313" t="n">
        <v>0</v>
      </c>
      <c r="R313" s="2" t="inlineStr"/>
    </row>
    <row r="314" ht="15" customHeight="1">
      <c r="A314" t="inlineStr">
        <is>
          <t>A 31640-2023</t>
        </is>
      </c>
      <c r="B314" s="1" t="n">
        <v>45117</v>
      </c>
      <c r="C314" s="1" t="n">
        <v>46065</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16213-2025</t>
        </is>
      </c>
      <c r="B315" s="1" t="n">
        <v>45750.62740740741</v>
      </c>
      <c r="C315" s="1" t="n">
        <v>46065</v>
      </c>
      <c r="D315" t="inlineStr">
        <is>
          <t>ÖSTERGÖTLANDS LÄN</t>
        </is>
      </c>
      <c r="E315" t="inlineStr">
        <is>
          <t>LINKÖPING</t>
        </is>
      </c>
      <c r="G315" t="n">
        <v>3.4</v>
      </c>
      <c r="H315" t="n">
        <v>0</v>
      </c>
      <c r="I315" t="n">
        <v>0</v>
      </c>
      <c r="J315" t="n">
        <v>0</v>
      </c>
      <c r="K315" t="n">
        <v>0</v>
      </c>
      <c r="L315" t="n">
        <v>0</v>
      </c>
      <c r="M315" t="n">
        <v>0</v>
      </c>
      <c r="N315" t="n">
        <v>0</v>
      </c>
      <c r="O315" t="n">
        <v>0</v>
      </c>
      <c r="P315" t="n">
        <v>0</v>
      </c>
      <c r="Q315" t="n">
        <v>0</v>
      </c>
      <c r="R315" s="2" t="inlineStr"/>
    </row>
    <row r="316" ht="15" customHeight="1">
      <c r="A316" t="inlineStr">
        <is>
          <t>A 34872-2023</t>
        </is>
      </c>
      <c r="B316" s="1" t="n">
        <v>45140</v>
      </c>
      <c r="C316" s="1" t="n">
        <v>46065</v>
      </c>
      <c r="D316" t="inlineStr">
        <is>
          <t>ÖSTERGÖTLANDS LÄN</t>
        </is>
      </c>
      <c r="E316" t="inlineStr">
        <is>
          <t>LINKÖPING</t>
        </is>
      </c>
      <c r="G316" t="n">
        <v>4.8</v>
      </c>
      <c r="H316" t="n">
        <v>0</v>
      </c>
      <c r="I316" t="n">
        <v>0</v>
      </c>
      <c r="J316" t="n">
        <v>0</v>
      </c>
      <c r="K316" t="n">
        <v>0</v>
      </c>
      <c r="L316" t="n">
        <v>0</v>
      </c>
      <c r="M316" t="n">
        <v>0</v>
      </c>
      <c r="N316" t="n">
        <v>0</v>
      </c>
      <c r="O316" t="n">
        <v>0</v>
      </c>
      <c r="P316" t="n">
        <v>0</v>
      </c>
      <c r="Q316" t="n">
        <v>0</v>
      </c>
      <c r="R316" s="2" t="inlineStr"/>
    </row>
    <row r="317" ht="15" customHeight="1">
      <c r="A317" t="inlineStr">
        <is>
          <t>A 33000-2023</t>
        </is>
      </c>
      <c r="B317" s="1" t="n">
        <v>45125</v>
      </c>
      <c r="C317" s="1" t="n">
        <v>46065</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14667-2024</t>
        </is>
      </c>
      <c r="B318" s="1" t="n">
        <v>45397.42005787037</v>
      </c>
      <c r="C318" s="1" t="n">
        <v>46065</v>
      </c>
      <c r="D318" t="inlineStr">
        <is>
          <t>ÖSTERGÖTLANDS LÄN</t>
        </is>
      </c>
      <c r="E318" t="inlineStr">
        <is>
          <t>LINKÖPING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2697-2023</t>
        </is>
      </c>
      <c r="B319" s="1" t="n">
        <v>44944</v>
      </c>
      <c r="C319" s="1" t="n">
        <v>46065</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53641-2023</t>
        </is>
      </c>
      <c r="B320" s="1" t="n">
        <v>45230</v>
      </c>
      <c r="C320" s="1" t="n">
        <v>46065</v>
      </c>
      <c r="D320" t="inlineStr">
        <is>
          <t>ÖSTERGÖTLANDS LÄN</t>
        </is>
      </c>
      <c r="E320" t="inlineStr">
        <is>
          <t>LINKÖPING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48707-2023</t>
        </is>
      </c>
      <c r="B321" s="1" t="n">
        <v>45202</v>
      </c>
      <c r="C321" s="1" t="n">
        <v>46065</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53411-2023</t>
        </is>
      </c>
      <c r="B322" s="1" t="n">
        <v>45229.81049768518</v>
      </c>
      <c r="C322" s="1" t="n">
        <v>46065</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2997-2025</t>
        </is>
      </c>
      <c r="B323" s="1" t="n">
        <v>45678.54631944445</v>
      </c>
      <c r="C323" s="1" t="n">
        <v>46065</v>
      </c>
      <c r="D323" t="inlineStr">
        <is>
          <t>ÖSTERGÖTLANDS LÄN</t>
        </is>
      </c>
      <c r="E323" t="inlineStr">
        <is>
          <t>LINKÖPING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31534-2023</t>
        </is>
      </c>
      <c r="B324" s="1" t="n">
        <v>45116</v>
      </c>
      <c r="C324" s="1" t="n">
        <v>46065</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56741-2023</t>
        </is>
      </c>
      <c r="B325" s="1" t="n">
        <v>45244</v>
      </c>
      <c r="C325" s="1" t="n">
        <v>46065</v>
      </c>
      <c r="D325" t="inlineStr">
        <is>
          <t>ÖSTERGÖTLANDS LÄN</t>
        </is>
      </c>
      <c r="E325" t="inlineStr">
        <is>
          <t>LINKÖPING</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56792-2023</t>
        </is>
      </c>
      <c r="B326" s="1" t="n">
        <v>45244</v>
      </c>
      <c r="C326" s="1" t="n">
        <v>46065</v>
      </c>
      <c r="D326" t="inlineStr">
        <is>
          <t>ÖSTERGÖTLANDS LÄN</t>
        </is>
      </c>
      <c r="E326" t="inlineStr">
        <is>
          <t>LINKÖPING</t>
        </is>
      </c>
      <c r="F326" t="inlineStr">
        <is>
          <t>Övriga Aktiebolag</t>
        </is>
      </c>
      <c r="G326" t="n">
        <v>0.9</v>
      </c>
      <c r="H326" t="n">
        <v>0</v>
      </c>
      <c r="I326" t="n">
        <v>0</v>
      </c>
      <c r="J326" t="n">
        <v>0</v>
      </c>
      <c r="K326" t="n">
        <v>0</v>
      </c>
      <c r="L326" t="n">
        <v>0</v>
      </c>
      <c r="M326" t="n">
        <v>0</v>
      </c>
      <c r="N326" t="n">
        <v>0</v>
      </c>
      <c r="O326" t="n">
        <v>0</v>
      </c>
      <c r="P326" t="n">
        <v>0</v>
      </c>
      <c r="Q326" t="n">
        <v>0</v>
      </c>
      <c r="R326" s="2" t="inlineStr"/>
    </row>
    <row r="327" ht="15" customHeight="1">
      <c r="A327" t="inlineStr">
        <is>
          <t>A 3007-2023</t>
        </is>
      </c>
      <c r="B327" s="1" t="n">
        <v>44945</v>
      </c>
      <c r="C327" s="1" t="n">
        <v>46065</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40338-2024</t>
        </is>
      </c>
      <c r="B328" s="1" t="n">
        <v>45555.32940972222</v>
      </c>
      <c r="C328" s="1" t="n">
        <v>46065</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3013-2023</t>
        </is>
      </c>
      <c r="B329" s="1" t="n">
        <v>44945.8092824074</v>
      </c>
      <c r="C329" s="1" t="n">
        <v>46065</v>
      </c>
      <c r="D329" t="inlineStr">
        <is>
          <t>ÖSTERGÖTLANDS LÄN</t>
        </is>
      </c>
      <c r="E329" t="inlineStr">
        <is>
          <t>LINKÖPING</t>
        </is>
      </c>
      <c r="G329" t="n">
        <v>5.2</v>
      </c>
      <c r="H329" t="n">
        <v>0</v>
      </c>
      <c r="I329" t="n">
        <v>0</v>
      </c>
      <c r="J329" t="n">
        <v>0</v>
      </c>
      <c r="K329" t="n">
        <v>0</v>
      </c>
      <c r="L329" t="n">
        <v>0</v>
      </c>
      <c r="M329" t="n">
        <v>0</v>
      </c>
      <c r="N329" t="n">
        <v>0</v>
      </c>
      <c r="O329" t="n">
        <v>0</v>
      </c>
      <c r="P329" t="n">
        <v>0</v>
      </c>
      <c r="Q329" t="n">
        <v>0</v>
      </c>
      <c r="R329" s="2" t="inlineStr"/>
    </row>
    <row r="330" ht="15" customHeight="1">
      <c r="A330" t="inlineStr">
        <is>
          <t>A 55945-2024</t>
        </is>
      </c>
      <c r="B330" s="1" t="n">
        <v>45623.61754629629</v>
      </c>
      <c r="C330" s="1" t="n">
        <v>46065</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26803-2024</t>
        </is>
      </c>
      <c r="B331" s="1" t="n">
        <v>45470</v>
      </c>
      <c r="C331" s="1" t="n">
        <v>46065</v>
      </c>
      <c r="D331" t="inlineStr">
        <is>
          <t>ÖSTERGÖTLANDS LÄN</t>
        </is>
      </c>
      <c r="E331" t="inlineStr">
        <is>
          <t>LINKÖPING</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1993-2023</t>
        </is>
      </c>
      <c r="B332" s="1" t="n">
        <v>44939</v>
      </c>
      <c r="C332" s="1" t="n">
        <v>46065</v>
      </c>
      <c r="D332" t="inlineStr">
        <is>
          <t>ÖSTERGÖTLANDS LÄN</t>
        </is>
      </c>
      <c r="E332" t="inlineStr">
        <is>
          <t>LINKÖPING</t>
        </is>
      </c>
      <c r="G332" t="n">
        <v>3.7</v>
      </c>
      <c r="H332" t="n">
        <v>0</v>
      </c>
      <c r="I332" t="n">
        <v>0</v>
      </c>
      <c r="J332" t="n">
        <v>0</v>
      </c>
      <c r="K332" t="n">
        <v>0</v>
      </c>
      <c r="L332" t="n">
        <v>0</v>
      </c>
      <c r="M332" t="n">
        <v>0</v>
      </c>
      <c r="N332" t="n">
        <v>0</v>
      </c>
      <c r="O332" t="n">
        <v>0</v>
      </c>
      <c r="P332" t="n">
        <v>0</v>
      </c>
      <c r="Q332" t="n">
        <v>0</v>
      </c>
      <c r="R332" s="2" t="inlineStr"/>
    </row>
    <row r="333" ht="15" customHeight="1">
      <c r="A333" t="inlineStr">
        <is>
          <t>A 2618-2023</t>
        </is>
      </c>
      <c r="B333" s="1" t="n">
        <v>44944.35847222222</v>
      </c>
      <c r="C333" s="1" t="n">
        <v>46065</v>
      </c>
      <c r="D333" t="inlineStr">
        <is>
          <t>ÖSTERGÖTLANDS LÄN</t>
        </is>
      </c>
      <c r="E333" t="inlineStr">
        <is>
          <t>LINKÖPING</t>
        </is>
      </c>
      <c r="G333" t="n">
        <v>4.3</v>
      </c>
      <c r="H333" t="n">
        <v>0</v>
      </c>
      <c r="I333" t="n">
        <v>0</v>
      </c>
      <c r="J333" t="n">
        <v>0</v>
      </c>
      <c r="K333" t="n">
        <v>0</v>
      </c>
      <c r="L333" t="n">
        <v>0</v>
      </c>
      <c r="M333" t="n">
        <v>0</v>
      </c>
      <c r="N333" t="n">
        <v>0</v>
      </c>
      <c r="O333" t="n">
        <v>0</v>
      </c>
      <c r="P333" t="n">
        <v>0</v>
      </c>
      <c r="Q333" t="n">
        <v>0</v>
      </c>
      <c r="R333" s="2" t="inlineStr"/>
    </row>
    <row r="334" ht="15" customHeight="1">
      <c r="A334" t="inlineStr">
        <is>
          <t>A 10203-2023</t>
        </is>
      </c>
      <c r="B334" s="1" t="n">
        <v>44986.55711805556</v>
      </c>
      <c r="C334" s="1" t="n">
        <v>46065</v>
      </c>
      <c r="D334" t="inlineStr">
        <is>
          <t>ÖSTERGÖTLANDS LÄN</t>
        </is>
      </c>
      <c r="E334" t="inlineStr">
        <is>
          <t>LINKÖPING</t>
        </is>
      </c>
      <c r="G334" t="n">
        <v>3.3</v>
      </c>
      <c r="H334" t="n">
        <v>0</v>
      </c>
      <c r="I334" t="n">
        <v>0</v>
      </c>
      <c r="J334" t="n">
        <v>0</v>
      </c>
      <c r="K334" t="n">
        <v>0</v>
      </c>
      <c r="L334" t="n">
        <v>0</v>
      </c>
      <c r="M334" t="n">
        <v>0</v>
      </c>
      <c r="N334" t="n">
        <v>0</v>
      </c>
      <c r="O334" t="n">
        <v>0</v>
      </c>
      <c r="P334" t="n">
        <v>0</v>
      </c>
      <c r="Q334" t="n">
        <v>0</v>
      </c>
      <c r="R334" s="2" t="inlineStr"/>
    </row>
    <row r="335" ht="15" customHeight="1">
      <c r="A335" t="inlineStr">
        <is>
          <t>A 45806-2024</t>
        </is>
      </c>
      <c r="B335" s="1" t="n">
        <v>45579.69619212963</v>
      </c>
      <c r="C335" s="1" t="n">
        <v>46065</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34889-2023</t>
        </is>
      </c>
      <c r="B336" s="1" t="n">
        <v>45140</v>
      </c>
      <c r="C336" s="1" t="n">
        <v>46065</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34928-2023</t>
        </is>
      </c>
      <c r="B337" s="1" t="n">
        <v>45142</v>
      </c>
      <c r="C337" s="1" t="n">
        <v>46065</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28200-2025</t>
        </is>
      </c>
      <c r="B338" s="1" t="n">
        <v>45818.4428125</v>
      </c>
      <c r="C338" s="1" t="n">
        <v>46065</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1268-2023</t>
        </is>
      </c>
      <c r="B339" s="1" t="n">
        <v>44936</v>
      </c>
      <c r="C339" s="1" t="n">
        <v>46065</v>
      </c>
      <c r="D339" t="inlineStr">
        <is>
          <t>ÖSTERGÖTLANDS LÄN</t>
        </is>
      </c>
      <c r="E339" t="inlineStr">
        <is>
          <t>LINKÖPING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37154-2023</t>
        </is>
      </c>
      <c r="B340" s="1" t="n">
        <v>45155</v>
      </c>
      <c r="C340" s="1" t="n">
        <v>46065</v>
      </c>
      <c r="D340" t="inlineStr">
        <is>
          <t>ÖSTERGÖTLANDS LÄN</t>
        </is>
      </c>
      <c r="E340" t="inlineStr">
        <is>
          <t>LINKÖPING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45831-2024</t>
        </is>
      </c>
      <c r="B341" s="1" t="n">
        <v>45579.90508101852</v>
      </c>
      <c r="C341" s="1" t="n">
        <v>46065</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27950-2025</t>
        </is>
      </c>
      <c r="B342" s="1" t="n">
        <v>45817.52960648148</v>
      </c>
      <c r="C342" s="1" t="n">
        <v>46065</v>
      </c>
      <c r="D342" t="inlineStr">
        <is>
          <t>ÖSTERGÖTLANDS LÄN</t>
        </is>
      </c>
      <c r="E342" t="inlineStr">
        <is>
          <t>LINKÖPING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11330-2023</t>
        </is>
      </c>
      <c r="B343" s="1" t="n">
        <v>44993.24648148148</v>
      </c>
      <c r="C343" s="1" t="n">
        <v>46065</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42000-2023</t>
        </is>
      </c>
      <c r="B344" s="1" t="n">
        <v>45177</v>
      </c>
      <c r="C344" s="1" t="n">
        <v>46065</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27797-2025</t>
        </is>
      </c>
      <c r="B345" s="1" t="n">
        <v>45816.80521990741</v>
      </c>
      <c r="C345" s="1" t="n">
        <v>46065</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27798-2025</t>
        </is>
      </c>
      <c r="B346" s="1" t="n">
        <v>45816.81532407407</v>
      </c>
      <c r="C346" s="1" t="n">
        <v>46065</v>
      </c>
      <c r="D346" t="inlineStr">
        <is>
          <t>ÖSTERGÖTLANDS LÄN</t>
        </is>
      </c>
      <c r="E346" t="inlineStr">
        <is>
          <t>LINKÖPING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28209-2025</t>
        </is>
      </c>
      <c r="B347" s="1" t="n">
        <v>45818.45112268518</v>
      </c>
      <c r="C347" s="1" t="n">
        <v>46065</v>
      </c>
      <c r="D347" t="inlineStr">
        <is>
          <t>ÖSTERGÖTLANDS LÄN</t>
        </is>
      </c>
      <c r="E347" t="inlineStr">
        <is>
          <t>LINKÖPING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28204-2025</t>
        </is>
      </c>
      <c r="B348" s="1" t="n">
        <v>45818.4477662037</v>
      </c>
      <c r="C348" s="1" t="n">
        <v>46065</v>
      </c>
      <c r="D348" t="inlineStr">
        <is>
          <t>ÖSTERGÖTLANDS LÄN</t>
        </is>
      </c>
      <c r="E348" t="inlineStr">
        <is>
          <t>LINKÖPING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49747-2024</t>
        </is>
      </c>
      <c r="B349" s="1" t="n">
        <v>45596</v>
      </c>
      <c r="C349" s="1" t="n">
        <v>46065</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28398-2025</t>
        </is>
      </c>
      <c r="B350" s="1" t="n">
        <v>45819.34208333334</v>
      </c>
      <c r="C350" s="1" t="n">
        <v>46065</v>
      </c>
      <c r="D350" t="inlineStr">
        <is>
          <t>ÖSTERGÖTLANDS LÄN</t>
        </is>
      </c>
      <c r="E350" t="inlineStr">
        <is>
          <t>LINKÖPING</t>
        </is>
      </c>
      <c r="F350" t="inlineStr">
        <is>
          <t>Sveaskog</t>
        </is>
      </c>
      <c r="G350" t="n">
        <v>7.9</v>
      </c>
      <c r="H350" t="n">
        <v>0</v>
      </c>
      <c r="I350" t="n">
        <v>0</v>
      </c>
      <c r="J350" t="n">
        <v>0</v>
      </c>
      <c r="K350" t="n">
        <v>0</v>
      </c>
      <c r="L350" t="n">
        <v>0</v>
      </c>
      <c r="M350" t="n">
        <v>0</v>
      </c>
      <c r="N350" t="n">
        <v>0</v>
      </c>
      <c r="O350" t="n">
        <v>0</v>
      </c>
      <c r="P350" t="n">
        <v>0</v>
      </c>
      <c r="Q350" t="n">
        <v>0</v>
      </c>
      <c r="R350" s="2" t="inlineStr"/>
    </row>
    <row r="351" ht="15" customHeight="1">
      <c r="A351" t="inlineStr">
        <is>
          <t>A 31725-2022</t>
        </is>
      </c>
      <c r="B351" s="1" t="n">
        <v>44776.48541666667</v>
      </c>
      <c r="C351" s="1" t="n">
        <v>46065</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57396-2021</t>
        </is>
      </c>
      <c r="B352" s="1" t="n">
        <v>44483.56151620371</v>
      </c>
      <c r="C352" s="1" t="n">
        <v>46065</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32602-2022</t>
        </is>
      </c>
      <c r="B353" s="1" t="n">
        <v>44783.43192129629</v>
      </c>
      <c r="C353" s="1" t="n">
        <v>46065</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28416-2025</t>
        </is>
      </c>
      <c r="B354" s="1" t="n">
        <v>45819.35346064815</v>
      </c>
      <c r="C354" s="1" t="n">
        <v>46065</v>
      </c>
      <c r="D354" t="inlineStr">
        <is>
          <t>ÖSTERGÖTLANDS LÄN</t>
        </is>
      </c>
      <c r="E354" t="inlineStr">
        <is>
          <t>LINKÖPING</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29027-2025</t>
        </is>
      </c>
      <c r="B355" s="1" t="n">
        <v>45821.4375462963</v>
      </c>
      <c r="C355" s="1" t="n">
        <v>46065</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29393-2025</t>
        </is>
      </c>
      <c r="B356" s="1" t="n">
        <v>45824.6057175926</v>
      </c>
      <c r="C356" s="1" t="n">
        <v>46065</v>
      </c>
      <c r="D356" t="inlineStr">
        <is>
          <t>ÖSTERGÖTLANDS LÄN</t>
        </is>
      </c>
      <c r="E356" t="inlineStr">
        <is>
          <t>LINKÖPING</t>
        </is>
      </c>
      <c r="F356" t="inlineStr">
        <is>
          <t>Sveaskog</t>
        </is>
      </c>
      <c r="G356" t="n">
        <v>24.6</v>
      </c>
      <c r="H356" t="n">
        <v>0</v>
      </c>
      <c r="I356" t="n">
        <v>0</v>
      </c>
      <c r="J356" t="n">
        <v>0</v>
      </c>
      <c r="K356" t="n">
        <v>0</v>
      </c>
      <c r="L356" t="n">
        <v>0</v>
      </c>
      <c r="M356" t="n">
        <v>0</v>
      </c>
      <c r="N356" t="n">
        <v>0</v>
      </c>
      <c r="O356" t="n">
        <v>0</v>
      </c>
      <c r="P356" t="n">
        <v>0</v>
      </c>
      <c r="Q356" t="n">
        <v>0</v>
      </c>
      <c r="R356" s="2" t="inlineStr"/>
    </row>
    <row r="357" ht="15" customHeight="1">
      <c r="A357" t="inlineStr">
        <is>
          <t>A 2389-2023</t>
        </is>
      </c>
      <c r="B357" s="1" t="n">
        <v>44942</v>
      </c>
      <c r="C357" s="1" t="n">
        <v>46065</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3627-2023</t>
        </is>
      </c>
      <c r="B358" s="1" t="n">
        <v>44950.64782407408</v>
      </c>
      <c r="C358" s="1" t="n">
        <v>46065</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62687-2023</t>
        </is>
      </c>
      <c r="B359" s="1" t="n">
        <v>45271</v>
      </c>
      <c r="C359" s="1" t="n">
        <v>46065</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29411-2025</t>
        </is>
      </c>
      <c r="B360" s="1" t="n">
        <v>45824.6219212963</v>
      </c>
      <c r="C360" s="1" t="n">
        <v>46065</v>
      </c>
      <c r="D360" t="inlineStr">
        <is>
          <t>ÖSTERGÖTLANDS LÄN</t>
        </is>
      </c>
      <c r="E360" t="inlineStr">
        <is>
          <t>LINKÖPING</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22842-2023</t>
        </is>
      </c>
      <c r="B361" s="1" t="n">
        <v>45071</v>
      </c>
      <c r="C361" s="1" t="n">
        <v>46065</v>
      </c>
      <c r="D361" t="inlineStr">
        <is>
          <t>ÖSTERGÖTLANDS LÄN</t>
        </is>
      </c>
      <c r="E361" t="inlineStr">
        <is>
          <t>LINKÖPING</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18891-2022</t>
        </is>
      </c>
      <c r="B362" s="1" t="n">
        <v>44690</v>
      </c>
      <c r="C362" s="1" t="n">
        <v>46065</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50386-2021</t>
        </is>
      </c>
      <c r="B363" s="1" t="n">
        <v>44459</v>
      </c>
      <c r="C363" s="1" t="n">
        <v>46065</v>
      </c>
      <c r="D363" t="inlineStr">
        <is>
          <t>ÖSTERGÖTLANDS LÄN</t>
        </is>
      </c>
      <c r="E363" t="inlineStr">
        <is>
          <t>LINKÖPING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29599-2025</t>
        </is>
      </c>
      <c r="B364" s="1" t="n">
        <v>45825.41101851852</v>
      </c>
      <c r="C364" s="1" t="n">
        <v>46065</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35781-2023</t>
        </is>
      </c>
      <c r="B365" s="1" t="n">
        <v>45147</v>
      </c>
      <c r="C365" s="1" t="n">
        <v>46065</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22770-2024</t>
        </is>
      </c>
      <c r="B366" s="1" t="n">
        <v>45448.4634375</v>
      </c>
      <c r="C366" s="1" t="n">
        <v>46065</v>
      </c>
      <c r="D366" t="inlineStr">
        <is>
          <t>ÖSTERGÖTLANDS LÄN</t>
        </is>
      </c>
      <c r="E366" t="inlineStr">
        <is>
          <t>LINKÖPING</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26620-2023</t>
        </is>
      </c>
      <c r="B367" s="1" t="n">
        <v>45092.70390046296</v>
      </c>
      <c r="C367" s="1" t="n">
        <v>46065</v>
      </c>
      <c r="D367" t="inlineStr">
        <is>
          <t>ÖSTERGÖTLANDS LÄN</t>
        </is>
      </c>
      <c r="E367" t="inlineStr">
        <is>
          <t>LINKÖPING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13413-2023</t>
        </is>
      </c>
      <c r="B368" s="1" t="n">
        <v>45005.58341435185</v>
      </c>
      <c r="C368" s="1" t="n">
        <v>46065</v>
      </c>
      <c r="D368" t="inlineStr">
        <is>
          <t>ÖSTERGÖTLANDS LÄN</t>
        </is>
      </c>
      <c r="E368" t="inlineStr">
        <is>
          <t>LINKÖPING</t>
        </is>
      </c>
      <c r="G368" t="n">
        <v>2.4</v>
      </c>
      <c r="H368" t="n">
        <v>0</v>
      </c>
      <c r="I368" t="n">
        <v>0</v>
      </c>
      <c r="J368" t="n">
        <v>0</v>
      </c>
      <c r="K368" t="n">
        <v>0</v>
      </c>
      <c r="L368" t="n">
        <v>0</v>
      </c>
      <c r="M368" t="n">
        <v>0</v>
      </c>
      <c r="N368" t="n">
        <v>0</v>
      </c>
      <c r="O368" t="n">
        <v>0</v>
      </c>
      <c r="P368" t="n">
        <v>0</v>
      </c>
      <c r="Q368" t="n">
        <v>0</v>
      </c>
      <c r="R368" s="2" t="inlineStr"/>
    </row>
    <row r="369" ht="15" customHeight="1">
      <c r="A369" t="inlineStr">
        <is>
          <t>A 56180-2024</t>
        </is>
      </c>
      <c r="B369" s="1" t="n">
        <v>45624.56611111111</v>
      </c>
      <c r="C369" s="1" t="n">
        <v>46065</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30355-2025</t>
        </is>
      </c>
      <c r="B370" s="1" t="n">
        <v>45827</v>
      </c>
      <c r="C370" s="1" t="n">
        <v>46065</v>
      </c>
      <c r="D370" t="inlineStr">
        <is>
          <t>ÖSTERGÖTLANDS LÄN</t>
        </is>
      </c>
      <c r="E370" t="inlineStr">
        <is>
          <t>LINKÖPING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63528-2023</t>
        </is>
      </c>
      <c r="B371" s="1" t="n">
        <v>45274.94810185185</v>
      </c>
      <c r="C371" s="1" t="n">
        <v>46065</v>
      </c>
      <c r="D371" t="inlineStr">
        <is>
          <t>ÖSTERGÖTLANDS LÄN</t>
        </is>
      </c>
      <c r="E371" t="inlineStr">
        <is>
          <t>LINKÖPING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63638-2023</t>
        </is>
      </c>
      <c r="B372" s="1" t="n">
        <v>45275</v>
      </c>
      <c r="C372" s="1" t="n">
        <v>46065</v>
      </c>
      <c r="D372" t="inlineStr">
        <is>
          <t>ÖSTERGÖTLANDS LÄN</t>
        </is>
      </c>
      <c r="E372" t="inlineStr">
        <is>
          <t>LINKÖPING</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63658-2023</t>
        </is>
      </c>
      <c r="B373" s="1" t="n">
        <v>45275</v>
      </c>
      <c r="C373" s="1" t="n">
        <v>46065</v>
      </c>
      <c r="D373" t="inlineStr">
        <is>
          <t>ÖSTERGÖTLANDS LÄN</t>
        </is>
      </c>
      <c r="E373" t="inlineStr">
        <is>
          <t>LINKÖPING</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7808-2022</t>
        </is>
      </c>
      <c r="B374" s="1" t="n">
        <v>44608</v>
      </c>
      <c r="C374" s="1" t="n">
        <v>46065</v>
      </c>
      <c r="D374" t="inlineStr">
        <is>
          <t>ÖSTERGÖTLANDS LÄN</t>
        </is>
      </c>
      <c r="E374" t="inlineStr">
        <is>
          <t>LINKÖPING</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30353-2025</t>
        </is>
      </c>
      <c r="B375" s="1" t="n">
        <v>45827</v>
      </c>
      <c r="C375" s="1" t="n">
        <v>46065</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46065</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36336-2023</t>
        </is>
      </c>
      <c r="B377" s="1" t="n">
        <v>45152.45078703704</v>
      </c>
      <c r="C377" s="1" t="n">
        <v>46065</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11671-2023</t>
        </is>
      </c>
      <c r="B378" s="1" t="n">
        <v>44994.48125</v>
      </c>
      <c r="C378" s="1" t="n">
        <v>46065</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25418-2023</t>
        </is>
      </c>
      <c r="B379" s="1" t="n">
        <v>45089</v>
      </c>
      <c r="C379" s="1" t="n">
        <v>46065</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56623-2024</t>
        </is>
      </c>
      <c r="B380" s="1" t="n">
        <v>45625</v>
      </c>
      <c r="C380" s="1" t="n">
        <v>46065</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60007-2022</t>
        </is>
      </c>
      <c r="B381" s="1" t="n">
        <v>44909.47282407407</v>
      </c>
      <c r="C381" s="1" t="n">
        <v>46065</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54425-2022</t>
        </is>
      </c>
      <c r="B382" s="1" t="n">
        <v>44882.57453703704</v>
      </c>
      <c r="C382" s="1" t="n">
        <v>46065</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30547-2023</t>
        </is>
      </c>
      <c r="B383" s="1" t="n">
        <v>45111.75905092592</v>
      </c>
      <c r="C383" s="1" t="n">
        <v>46065</v>
      </c>
      <c r="D383" t="inlineStr">
        <is>
          <t>ÖSTERGÖTLANDS LÄN</t>
        </is>
      </c>
      <c r="E383" t="inlineStr">
        <is>
          <t>LINKÖPING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11601-2023</t>
        </is>
      </c>
      <c r="B384" s="1" t="n">
        <v>44994</v>
      </c>
      <c r="C384" s="1" t="n">
        <v>46065</v>
      </c>
      <c r="D384" t="inlineStr">
        <is>
          <t>ÖSTERGÖTLANDS LÄN</t>
        </is>
      </c>
      <c r="E384" t="inlineStr">
        <is>
          <t>LINKÖPING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24904-2024</t>
        </is>
      </c>
      <c r="B385" s="1" t="n">
        <v>45461</v>
      </c>
      <c r="C385" s="1" t="n">
        <v>46065</v>
      </c>
      <c r="D385" t="inlineStr">
        <is>
          <t>ÖSTERGÖTLANDS LÄN</t>
        </is>
      </c>
      <c r="E385" t="inlineStr">
        <is>
          <t>LINKÖPING</t>
        </is>
      </c>
      <c r="G385" t="n">
        <v>3.8</v>
      </c>
      <c r="H385" t="n">
        <v>0</v>
      </c>
      <c r="I385" t="n">
        <v>0</v>
      </c>
      <c r="J385" t="n">
        <v>0</v>
      </c>
      <c r="K385" t="n">
        <v>0</v>
      </c>
      <c r="L385" t="n">
        <v>0</v>
      </c>
      <c r="M385" t="n">
        <v>0</v>
      </c>
      <c r="N385" t="n">
        <v>0</v>
      </c>
      <c r="O385" t="n">
        <v>0</v>
      </c>
      <c r="P385" t="n">
        <v>0</v>
      </c>
      <c r="Q385" t="n">
        <v>0</v>
      </c>
      <c r="R385" s="2" t="inlineStr"/>
    </row>
    <row r="386" ht="15" customHeight="1">
      <c r="A386" t="inlineStr">
        <is>
          <t>A 13011-2022</t>
        </is>
      </c>
      <c r="B386" s="1" t="n">
        <v>44643</v>
      </c>
      <c r="C386" s="1" t="n">
        <v>46065</v>
      </c>
      <c r="D386" t="inlineStr">
        <is>
          <t>ÖSTERGÖTLANDS LÄN</t>
        </is>
      </c>
      <c r="E386" t="inlineStr">
        <is>
          <t>LINKÖPING</t>
        </is>
      </c>
      <c r="G386" t="n">
        <v>3.7</v>
      </c>
      <c r="H386" t="n">
        <v>0</v>
      </c>
      <c r="I386" t="n">
        <v>0</v>
      </c>
      <c r="J386" t="n">
        <v>0</v>
      </c>
      <c r="K386" t="n">
        <v>0</v>
      </c>
      <c r="L386" t="n">
        <v>0</v>
      </c>
      <c r="M386" t="n">
        <v>0</v>
      </c>
      <c r="N386" t="n">
        <v>0</v>
      </c>
      <c r="O386" t="n">
        <v>0</v>
      </c>
      <c r="P386" t="n">
        <v>0</v>
      </c>
      <c r="Q386" t="n">
        <v>0</v>
      </c>
      <c r="R386" s="2" t="inlineStr"/>
    </row>
    <row r="387" ht="15" customHeight="1">
      <c r="A387" t="inlineStr">
        <is>
          <t>A 26788-2022</t>
        </is>
      </c>
      <c r="B387" s="1" t="n">
        <v>44740</v>
      </c>
      <c r="C387" s="1" t="n">
        <v>46065</v>
      </c>
      <c r="D387" t="inlineStr">
        <is>
          <t>ÖSTERGÖTLANDS LÄN</t>
        </is>
      </c>
      <c r="E387" t="inlineStr">
        <is>
          <t>LINKÖPING</t>
        </is>
      </c>
      <c r="G387" t="n">
        <v>3.2</v>
      </c>
      <c r="H387" t="n">
        <v>0</v>
      </c>
      <c r="I387" t="n">
        <v>0</v>
      </c>
      <c r="J387" t="n">
        <v>0</v>
      </c>
      <c r="K387" t="n">
        <v>0</v>
      </c>
      <c r="L387" t="n">
        <v>0</v>
      </c>
      <c r="M387" t="n">
        <v>0</v>
      </c>
      <c r="N387" t="n">
        <v>0</v>
      </c>
      <c r="O387" t="n">
        <v>0</v>
      </c>
      <c r="P387" t="n">
        <v>0</v>
      </c>
      <c r="Q387" t="n">
        <v>0</v>
      </c>
      <c r="R387" s="2" t="inlineStr"/>
    </row>
    <row r="388" ht="15" customHeight="1">
      <c r="A388" t="inlineStr">
        <is>
          <t>A 11595-2025</t>
        </is>
      </c>
      <c r="B388" s="1" t="n">
        <v>45727.41893518518</v>
      </c>
      <c r="C388" s="1" t="n">
        <v>46065</v>
      </c>
      <c r="D388" t="inlineStr">
        <is>
          <t>ÖSTERGÖTLANDS LÄN</t>
        </is>
      </c>
      <c r="E388" t="inlineStr">
        <is>
          <t>LINKÖPING</t>
        </is>
      </c>
      <c r="G388" t="n">
        <v>6.6</v>
      </c>
      <c r="H388" t="n">
        <v>0</v>
      </c>
      <c r="I388" t="n">
        <v>0</v>
      </c>
      <c r="J388" t="n">
        <v>0</v>
      </c>
      <c r="K388" t="n">
        <v>0</v>
      </c>
      <c r="L388" t="n">
        <v>0</v>
      </c>
      <c r="M388" t="n">
        <v>0</v>
      </c>
      <c r="N388" t="n">
        <v>0</v>
      </c>
      <c r="O388" t="n">
        <v>0</v>
      </c>
      <c r="P388" t="n">
        <v>0</v>
      </c>
      <c r="Q388" t="n">
        <v>0</v>
      </c>
      <c r="R388" s="2" t="inlineStr"/>
    </row>
    <row r="389" ht="15" customHeight="1">
      <c r="A389" t="inlineStr">
        <is>
          <t>A 31581-2025</t>
        </is>
      </c>
      <c r="B389" s="1" t="n">
        <v>45833.6840162037</v>
      </c>
      <c r="C389" s="1" t="n">
        <v>46065</v>
      </c>
      <c r="D389" t="inlineStr">
        <is>
          <t>ÖSTERGÖTLANDS LÄN</t>
        </is>
      </c>
      <c r="E389" t="inlineStr">
        <is>
          <t>LINKÖPING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31585-2025</t>
        </is>
      </c>
      <c r="B390" s="1" t="n">
        <v>45833.68815972222</v>
      </c>
      <c r="C390" s="1" t="n">
        <v>46065</v>
      </c>
      <c r="D390" t="inlineStr">
        <is>
          <t>ÖSTERGÖTLANDS LÄN</t>
        </is>
      </c>
      <c r="E390" t="inlineStr">
        <is>
          <t>LINKÖPING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50508-2024</t>
        </is>
      </c>
      <c r="B391" s="1" t="n">
        <v>45601.53907407408</v>
      </c>
      <c r="C391" s="1" t="n">
        <v>46065</v>
      </c>
      <c r="D391" t="inlineStr">
        <is>
          <t>ÖSTERGÖTLANDS LÄN</t>
        </is>
      </c>
      <c r="E391" t="inlineStr">
        <is>
          <t>LINKÖPING</t>
        </is>
      </c>
      <c r="F391" t="inlineStr">
        <is>
          <t>Övriga Aktiebolag</t>
        </is>
      </c>
      <c r="G391" t="n">
        <v>2</v>
      </c>
      <c r="H391" t="n">
        <v>0</v>
      </c>
      <c r="I391" t="n">
        <v>0</v>
      </c>
      <c r="J391" t="n">
        <v>0</v>
      </c>
      <c r="K391" t="n">
        <v>0</v>
      </c>
      <c r="L391" t="n">
        <v>0</v>
      </c>
      <c r="M391" t="n">
        <v>0</v>
      </c>
      <c r="N391" t="n">
        <v>0</v>
      </c>
      <c r="O391" t="n">
        <v>0</v>
      </c>
      <c r="P391" t="n">
        <v>0</v>
      </c>
      <c r="Q391" t="n">
        <v>0</v>
      </c>
      <c r="R391" s="2" t="inlineStr"/>
    </row>
    <row r="392" ht="15" customHeight="1">
      <c r="A392" t="inlineStr">
        <is>
          <t>A 1260-2023</t>
        </is>
      </c>
      <c r="B392" s="1" t="n">
        <v>44936</v>
      </c>
      <c r="C392" s="1" t="n">
        <v>46065</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7702-2023</t>
        </is>
      </c>
      <c r="B393" s="1" t="n">
        <v>44967</v>
      </c>
      <c r="C393" s="1" t="n">
        <v>46065</v>
      </c>
      <c r="D393" t="inlineStr">
        <is>
          <t>ÖSTERGÖTLANDS LÄN</t>
        </is>
      </c>
      <c r="E393" t="inlineStr">
        <is>
          <t>LINKÖPING</t>
        </is>
      </c>
      <c r="F393" t="inlineStr">
        <is>
          <t>Övriga statliga verk och myndigheter</t>
        </is>
      </c>
      <c r="G393" t="n">
        <v>8</v>
      </c>
      <c r="H393" t="n">
        <v>0</v>
      </c>
      <c r="I393" t="n">
        <v>0</v>
      </c>
      <c r="J393" t="n">
        <v>0</v>
      </c>
      <c r="K393" t="n">
        <v>0</v>
      </c>
      <c r="L393" t="n">
        <v>0</v>
      </c>
      <c r="M393" t="n">
        <v>0</v>
      </c>
      <c r="N393" t="n">
        <v>0</v>
      </c>
      <c r="O393" t="n">
        <v>0</v>
      </c>
      <c r="P393" t="n">
        <v>0</v>
      </c>
      <c r="Q393" t="n">
        <v>0</v>
      </c>
      <c r="R393" s="2" t="inlineStr"/>
    </row>
    <row r="394" ht="15" customHeight="1">
      <c r="A394" t="inlineStr">
        <is>
          <t>A 674-2024</t>
        </is>
      </c>
      <c r="B394" s="1" t="n">
        <v>45300.34408564815</v>
      </c>
      <c r="C394" s="1" t="n">
        <v>46065</v>
      </c>
      <c r="D394" t="inlineStr">
        <is>
          <t>ÖSTERGÖTLANDS LÄN</t>
        </is>
      </c>
      <c r="E394" t="inlineStr">
        <is>
          <t>LINKÖPING</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63684-2023</t>
        </is>
      </c>
      <c r="B395" s="1" t="n">
        <v>45275</v>
      </c>
      <c r="C395" s="1" t="n">
        <v>46065</v>
      </c>
      <c r="D395" t="inlineStr">
        <is>
          <t>ÖSTERGÖTLANDS LÄN</t>
        </is>
      </c>
      <c r="E395" t="inlineStr">
        <is>
          <t>LINKÖPING</t>
        </is>
      </c>
      <c r="G395" t="n">
        <v>0.4</v>
      </c>
      <c r="H395" t="n">
        <v>0</v>
      </c>
      <c r="I395" t="n">
        <v>0</v>
      </c>
      <c r="J395" t="n">
        <v>0</v>
      </c>
      <c r="K395" t="n">
        <v>0</v>
      </c>
      <c r="L395" t="n">
        <v>0</v>
      </c>
      <c r="M395" t="n">
        <v>0</v>
      </c>
      <c r="N395" t="n">
        <v>0</v>
      </c>
      <c r="O395" t="n">
        <v>0</v>
      </c>
      <c r="P395" t="n">
        <v>0</v>
      </c>
      <c r="Q395" t="n">
        <v>0</v>
      </c>
      <c r="R395" s="2" t="inlineStr"/>
    </row>
    <row r="396" ht="15" customHeight="1">
      <c r="A396" t="inlineStr">
        <is>
          <t>A 167-2024</t>
        </is>
      </c>
      <c r="B396" s="1" t="n">
        <v>45294</v>
      </c>
      <c r="C396" s="1" t="n">
        <v>46065</v>
      </c>
      <c r="D396" t="inlineStr">
        <is>
          <t>ÖSTERGÖTLANDS LÄN</t>
        </is>
      </c>
      <c r="E396" t="inlineStr">
        <is>
          <t>LINKÖPING</t>
        </is>
      </c>
      <c r="F396" t="inlineStr">
        <is>
          <t>Allmännings- och besparingsskogar</t>
        </is>
      </c>
      <c r="G396" t="n">
        <v>11.6</v>
      </c>
      <c r="H396" t="n">
        <v>0</v>
      </c>
      <c r="I396" t="n">
        <v>0</v>
      </c>
      <c r="J396" t="n">
        <v>0</v>
      </c>
      <c r="K396" t="n">
        <v>0</v>
      </c>
      <c r="L396" t="n">
        <v>0</v>
      </c>
      <c r="M396" t="n">
        <v>0</v>
      </c>
      <c r="N396" t="n">
        <v>0</v>
      </c>
      <c r="O396" t="n">
        <v>0</v>
      </c>
      <c r="P396" t="n">
        <v>0</v>
      </c>
      <c r="Q396" t="n">
        <v>0</v>
      </c>
      <c r="R396" s="2" t="inlineStr"/>
    </row>
    <row r="397" ht="15" customHeight="1">
      <c r="A397" t="inlineStr">
        <is>
          <t>A 36336-2022</t>
        </is>
      </c>
      <c r="B397" s="1" t="n">
        <v>44803</v>
      </c>
      <c r="C397" s="1" t="n">
        <v>46065</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15121-2022</t>
        </is>
      </c>
      <c r="B398" s="1" t="n">
        <v>44658</v>
      </c>
      <c r="C398" s="1" t="n">
        <v>46065</v>
      </c>
      <c r="D398" t="inlineStr">
        <is>
          <t>ÖSTERGÖTLANDS LÄN</t>
        </is>
      </c>
      <c r="E398" t="inlineStr">
        <is>
          <t>LINKÖPING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36725-2023</t>
        </is>
      </c>
      <c r="B399" s="1" t="n">
        <v>45153.68471064815</v>
      </c>
      <c r="C399" s="1" t="n">
        <v>46065</v>
      </c>
      <c r="D399" t="inlineStr">
        <is>
          <t>ÖSTERGÖTLANDS LÄN</t>
        </is>
      </c>
      <c r="E399" t="inlineStr">
        <is>
          <t>LINKÖPING</t>
        </is>
      </c>
      <c r="F399" t="inlineStr">
        <is>
          <t>Allmännings- och besparingsskogar</t>
        </is>
      </c>
      <c r="G399" t="n">
        <v>2.6</v>
      </c>
      <c r="H399" t="n">
        <v>0</v>
      </c>
      <c r="I399" t="n">
        <v>0</v>
      </c>
      <c r="J399" t="n">
        <v>0</v>
      </c>
      <c r="K399" t="n">
        <v>0</v>
      </c>
      <c r="L399" t="n">
        <v>0</v>
      </c>
      <c r="M399" t="n">
        <v>0</v>
      </c>
      <c r="N399" t="n">
        <v>0</v>
      </c>
      <c r="O399" t="n">
        <v>0</v>
      </c>
      <c r="P399" t="n">
        <v>0</v>
      </c>
      <c r="Q399" t="n">
        <v>0</v>
      </c>
      <c r="R399" s="2" t="inlineStr"/>
    </row>
    <row r="400" ht="15" customHeight="1">
      <c r="A400" t="inlineStr">
        <is>
          <t>A 32723-2025</t>
        </is>
      </c>
      <c r="B400" s="1" t="n">
        <v>45838</v>
      </c>
      <c r="C400" s="1" t="n">
        <v>46065</v>
      </c>
      <c r="D400" t="inlineStr">
        <is>
          <t>ÖSTERGÖTLANDS LÄN</t>
        </is>
      </c>
      <c r="E400" t="inlineStr">
        <is>
          <t>LINKÖPING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51919-2024</t>
        </is>
      </c>
      <c r="B401" s="1" t="n">
        <v>45607.60791666667</v>
      </c>
      <c r="C401" s="1" t="n">
        <v>46065</v>
      </c>
      <c r="D401" t="inlineStr">
        <is>
          <t>ÖSTERGÖTLANDS LÄN</t>
        </is>
      </c>
      <c r="E401" t="inlineStr">
        <is>
          <t>LINKÖPING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48839-2022</t>
        </is>
      </c>
      <c r="B402" s="1" t="n">
        <v>44859</v>
      </c>
      <c r="C402" s="1" t="n">
        <v>46065</v>
      </c>
      <c r="D402" t="inlineStr">
        <is>
          <t>ÖSTERGÖTLANDS LÄN</t>
        </is>
      </c>
      <c r="E402" t="inlineStr">
        <is>
          <t>LINKÖPING</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55009-2023</t>
        </is>
      </c>
      <c r="B403" s="1" t="n">
        <v>45237</v>
      </c>
      <c r="C403" s="1" t="n">
        <v>46065</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20291-2025</t>
        </is>
      </c>
      <c r="B404" s="1" t="n">
        <v>45774.74288194445</v>
      </c>
      <c r="C404" s="1" t="n">
        <v>46065</v>
      </c>
      <c r="D404" t="inlineStr">
        <is>
          <t>ÖSTERGÖTLANDS LÄN</t>
        </is>
      </c>
      <c r="E404" t="inlineStr">
        <is>
          <t>LINKÖPING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20293-2025</t>
        </is>
      </c>
      <c r="B405" s="1" t="n">
        <v>45774.74611111111</v>
      </c>
      <c r="C405" s="1" t="n">
        <v>46065</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660-2023</t>
        </is>
      </c>
      <c r="B406" s="1" t="n">
        <v>44930</v>
      </c>
      <c r="C406" s="1" t="n">
        <v>46065</v>
      </c>
      <c r="D406" t="inlineStr">
        <is>
          <t>ÖSTERGÖTLANDS LÄN</t>
        </is>
      </c>
      <c r="E406" t="inlineStr">
        <is>
          <t>LINKÖPING</t>
        </is>
      </c>
      <c r="F406" t="inlineStr">
        <is>
          <t>Kyrkan</t>
        </is>
      </c>
      <c r="G406" t="n">
        <v>1.6</v>
      </c>
      <c r="H406" t="n">
        <v>0</v>
      </c>
      <c r="I406" t="n">
        <v>0</v>
      </c>
      <c r="J406" t="n">
        <v>0</v>
      </c>
      <c r="K406" t="n">
        <v>0</v>
      </c>
      <c r="L406" t="n">
        <v>0</v>
      </c>
      <c r="M406" t="n">
        <v>0</v>
      </c>
      <c r="N406" t="n">
        <v>0</v>
      </c>
      <c r="O406" t="n">
        <v>0</v>
      </c>
      <c r="P406" t="n">
        <v>0</v>
      </c>
      <c r="Q406" t="n">
        <v>0</v>
      </c>
      <c r="R406" s="2" t="inlineStr"/>
    </row>
    <row r="407" ht="15" customHeight="1">
      <c r="A407" t="inlineStr">
        <is>
          <t>A 64694-2023</t>
        </is>
      </c>
      <c r="B407" s="1" t="n">
        <v>45281</v>
      </c>
      <c r="C407" s="1" t="n">
        <v>46065</v>
      </c>
      <c r="D407" t="inlineStr">
        <is>
          <t>ÖSTERGÖTLANDS LÄN</t>
        </is>
      </c>
      <c r="E407" t="inlineStr">
        <is>
          <t>LINKÖPING</t>
        </is>
      </c>
      <c r="F407" t="inlineStr">
        <is>
          <t>Övriga statliga verk och myndigheter</t>
        </is>
      </c>
      <c r="G407" t="n">
        <v>4.9</v>
      </c>
      <c r="H407" t="n">
        <v>0</v>
      </c>
      <c r="I407" t="n">
        <v>0</v>
      </c>
      <c r="J407" t="n">
        <v>0</v>
      </c>
      <c r="K407" t="n">
        <v>0</v>
      </c>
      <c r="L407" t="n">
        <v>0</v>
      </c>
      <c r="M407" t="n">
        <v>0</v>
      </c>
      <c r="N407" t="n">
        <v>0</v>
      </c>
      <c r="O407" t="n">
        <v>0</v>
      </c>
      <c r="P407" t="n">
        <v>0</v>
      </c>
      <c r="Q407" t="n">
        <v>0</v>
      </c>
      <c r="R407" s="2" t="inlineStr"/>
    </row>
    <row r="408" ht="15" customHeight="1">
      <c r="A408" t="inlineStr">
        <is>
          <t>A 27343-2023</t>
        </is>
      </c>
      <c r="B408" s="1" t="n">
        <v>45096</v>
      </c>
      <c r="C408" s="1" t="n">
        <v>46065</v>
      </c>
      <c r="D408" t="inlineStr">
        <is>
          <t>ÖSTERGÖTLANDS LÄN</t>
        </is>
      </c>
      <c r="E408" t="inlineStr">
        <is>
          <t>LINKÖPING</t>
        </is>
      </c>
      <c r="F408" t="inlineStr">
        <is>
          <t>Allmännings- och besparingsskogar</t>
        </is>
      </c>
      <c r="G408" t="n">
        <v>6.9</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46065</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22774-2024</t>
        </is>
      </c>
      <c r="B410" s="1" t="n">
        <v>45448.46924768519</v>
      </c>
      <c r="C410" s="1" t="n">
        <v>46065</v>
      </c>
      <c r="D410" t="inlineStr">
        <is>
          <t>ÖSTERGÖTLANDS LÄN</t>
        </is>
      </c>
      <c r="E410" t="inlineStr">
        <is>
          <t>LINKÖPING</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22778-2024</t>
        </is>
      </c>
      <c r="B411" s="1" t="n">
        <v>45448.47233796296</v>
      </c>
      <c r="C411" s="1" t="n">
        <v>46065</v>
      </c>
      <c r="D411" t="inlineStr">
        <is>
          <t>ÖSTERGÖTLANDS LÄN</t>
        </is>
      </c>
      <c r="E411" t="inlineStr">
        <is>
          <t>LINKÖPING</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34641-2022</t>
        </is>
      </c>
      <c r="B412" s="1" t="n">
        <v>44795</v>
      </c>
      <c r="C412" s="1" t="n">
        <v>46065</v>
      </c>
      <c r="D412" t="inlineStr">
        <is>
          <t>ÖSTERGÖTLANDS LÄN</t>
        </is>
      </c>
      <c r="E412" t="inlineStr">
        <is>
          <t>LINKÖPING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63487-2023</t>
        </is>
      </c>
      <c r="B413" s="1" t="n">
        <v>45274.66712962963</v>
      </c>
      <c r="C413" s="1" t="n">
        <v>46065</v>
      </c>
      <c r="D413" t="inlineStr">
        <is>
          <t>ÖSTERGÖTLANDS LÄN</t>
        </is>
      </c>
      <c r="E413" t="inlineStr">
        <is>
          <t>LINKÖPING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13687-2025</t>
        </is>
      </c>
      <c r="B414" s="1" t="n">
        <v>45737.31425925926</v>
      </c>
      <c r="C414" s="1" t="n">
        <v>46065</v>
      </c>
      <c r="D414" t="inlineStr">
        <is>
          <t>ÖSTERGÖTLANDS LÄN</t>
        </is>
      </c>
      <c r="E414" t="inlineStr">
        <is>
          <t>LINKÖPING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13695-2025</t>
        </is>
      </c>
      <c r="B415" s="1" t="n">
        <v>45737.32219907407</v>
      </c>
      <c r="C415" s="1" t="n">
        <v>46065</v>
      </c>
      <c r="D415" t="inlineStr">
        <is>
          <t>ÖSTERGÖTLANDS LÄN</t>
        </is>
      </c>
      <c r="E415" t="inlineStr">
        <is>
          <t>LINKÖPING</t>
        </is>
      </c>
      <c r="G415" t="n">
        <v>5.3</v>
      </c>
      <c r="H415" t="n">
        <v>0</v>
      </c>
      <c r="I415" t="n">
        <v>0</v>
      </c>
      <c r="J415" t="n">
        <v>0</v>
      </c>
      <c r="K415" t="n">
        <v>0</v>
      </c>
      <c r="L415" t="n">
        <v>0</v>
      </c>
      <c r="M415" t="n">
        <v>0</v>
      </c>
      <c r="N415" t="n">
        <v>0</v>
      </c>
      <c r="O415" t="n">
        <v>0</v>
      </c>
      <c r="P415" t="n">
        <v>0</v>
      </c>
      <c r="Q415" t="n">
        <v>0</v>
      </c>
      <c r="R415" s="2" t="inlineStr"/>
    </row>
    <row r="416" ht="15" customHeight="1">
      <c r="A416" t="inlineStr">
        <is>
          <t>A 34864-2023</t>
        </is>
      </c>
      <c r="B416" s="1" t="n">
        <v>45141</v>
      </c>
      <c r="C416" s="1" t="n">
        <v>46065</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52413-2023</t>
        </is>
      </c>
      <c r="B417" s="1" t="n">
        <v>45225.27950231481</v>
      </c>
      <c r="C417" s="1" t="n">
        <v>46065</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52531-2023</t>
        </is>
      </c>
      <c r="B418" s="1" t="n">
        <v>45225</v>
      </c>
      <c r="C418" s="1" t="n">
        <v>46065</v>
      </c>
      <c r="D418" t="inlineStr">
        <is>
          <t>ÖSTERGÖTLANDS LÄN</t>
        </is>
      </c>
      <c r="E418" t="inlineStr">
        <is>
          <t>LINKÖPING</t>
        </is>
      </c>
      <c r="F418" t="inlineStr">
        <is>
          <t>Övriga Aktiebolag</t>
        </is>
      </c>
      <c r="G418" t="n">
        <v>1</v>
      </c>
      <c r="H418" t="n">
        <v>0</v>
      </c>
      <c r="I418" t="n">
        <v>0</v>
      </c>
      <c r="J418" t="n">
        <v>0</v>
      </c>
      <c r="K418" t="n">
        <v>0</v>
      </c>
      <c r="L418" t="n">
        <v>0</v>
      </c>
      <c r="M418" t="n">
        <v>0</v>
      </c>
      <c r="N418" t="n">
        <v>0</v>
      </c>
      <c r="O418" t="n">
        <v>0</v>
      </c>
      <c r="P418" t="n">
        <v>0</v>
      </c>
      <c r="Q418" t="n">
        <v>0</v>
      </c>
      <c r="R418" s="2" t="inlineStr"/>
    </row>
    <row r="419" ht="15" customHeight="1">
      <c r="A419" t="inlineStr">
        <is>
          <t>A 34930-2023</t>
        </is>
      </c>
      <c r="B419" s="1" t="n">
        <v>45142</v>
      </c>
      <c r="C419" s="1" t="n">
        <v>46065</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42054-2022</t>
        </is>
      </c>
      <c r="B420" s="1" t="n">
        <v>44830</v>
      </c>
      <c r="C420" s="1" t="n">
        <v>46065</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53797-2023</t>
        </is>
      </c>
      <c r="B421" s="1" t="n">
        <v>45230</v>
      </c>
      <c r="C421" s="1" t="n">
        <v>46065</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20455-2024</t>
        </is>
      </c>
      <c r="B422" s="1" t="n">
        <v>45435.65314814815</v>
      </c>
      <c r="C422" s="1" t="n">
        <v>46065</v>
      </c>
      <c r="D422" t="inlineStr">
        <is>
          <t>ÖSTERGÖTLANDS LÄN</t>
        </is>
      </c>
      <c r="E422" t="inlineStr">
        <is>
          <t>LINKÖPING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33947-2025</t>
        </is>
      </c>
      <c r="B423" s="1" t="n">
        <v>45842.65444444444</v>
      </c>
      <c r="C423" s="1" t="n">
        <v>46065</v>
      </c>
      <c r="D423" t="inlineStr">
        <is>
          <t>ÖSTERGÖTLANDS LÄN</t>
        </is>
      </c>
      <c r="E423" t="inlineStr">
        <is>
          <t>LINKÖPING</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30471-2023</t>
        </is>
      </c>
      <c r="B424" s="1" t="n">
        <v>45111.58931712963</v>
      </c>
      <c r="C424" s="1" t="n">
        <v>46065</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14093-2024</t>
        </is>
      </c>
      <c r="B425" s="1" t="n">
        <v>45392.60278935185</v>
      </c>
      <c r="C425" s="1" t="n">
        <v>46065</v>
      </c>
      <c r="D425" t="inlineStr">
        <is>
          <t>ÖSTERGÖTLANDS LÄN</t>
        </is>
      </c>
      <c r="E425" t="inlineStr">
        <is>
          <t>LINKÖPING</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63304-2021</t>
        </is>
      </c>
      <c r="B426" s="1" t="n">
        <v>44508.4396412037</v>
      </c>
      <c r="C426" s="1" t="n">
        <v>46065</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22833-2023</t>
        </is>
      </c>
      <c r="B427" s="1" t="n">
        <v>45071</v>
      </c>
      <c r="C427" s="1" t="n">
        <v>46065</v>
      </c>
      <c r="D427" t="inlineStr">
        <is>
          <t>ÖSTERGÖTLANDS LÄN</t>
        </is>
      </c>
      <c r="E427" t="inlineStr">
        <is>
          <t>LINKÖPING</t>
        </is>
      </c>
      <c r="F427" t="inlineStr">
        <is>
          <t>Kommuner</t>
        </is>
      </c>
      <c r="G427" t="n">
        <v>1</v>
      </c>
      <c r="H427" t="n">
        <v>0</v>
      </c>
      <c r="I427" t="n">
        <v>0</v>
      </c>
      <c r="J427" t="n">
        <v>0</v>
      </c>
      <c r="K427" t="n">
        <v>0</v>
      </c>
      <c r="L427" t="n">
        <v>0</v>
      </c>
      <c r="M427" t="n">
        <v>0</v>
      </c>
      <c r="N427" t="n">
        <v>0</v>
      </c>
      <c r="O427" t="n">
        <v>0</v>
      </c>
      <c r="P427" t="n">
        <v>0</v>
      </c>
      <c r="Q427" t="n">
        <v>0</v>
      </c>
      <c r="R427" s="2" t="inlineStr"/>
    </row>
    <row r="428" ht="15" customHeight="1">
      <c r="A428" t="inlineStr">
        <is>
          <t>A 17898-2022</t>
        </is>
      </c>
      <c r="B428" s="1" t="n">
        <v>44683</v>
      </c>
      <c r="C428" s="1" t="n">
        <v>46065</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62017-2024</t>
        </is>
      </c>
      <c r="B429" s="1" t="n">
        <v>45655.81140046296</v>
      </c>
      <c r="C429" s="1" t="n">
        <v>46065</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19362-2023</t>
        </is>
      </c>
      <c r="B430" s="1" t="n">
        <v>45049</v>
      </c>
      <c r="C430" s="1" t="n">
        <v>46065</v>
      </c>
      <c r="D430" t="inlineStr">
        <is>
          <t>ÖSTERGÖTLANDS LÄN</t>
        </is>
      </c>
      <c r="E430" t="inlineStr">
        <is>
          <t>LINKÖPING</t>
        </is>
      </c>
      <c r="G430" t="n">
        <v>0.1</v>
      </c>
      <c r="H430" t="n">
        <v>0</v>
      </c>
      <c r="I430" t="n">
        <v>0</v>
      </c>
      <c r="J430" t="n">
        <v>0</v>
      </c>
      <c r="K430" t="n">
        <v>0</v>
      </c>
      <c r="L430" t="n">
        <v>0</v>
      </c>
      <c r="M430" t="n">
        <v>0</v>
      </c>
      <c r="N430" t="n">
        <v>0</v>
      </c>
      <c r="O430" t="n">
        <v>0</v>
      </c>
      <c r="P430" t="n">
        <v>0</v>
      </c>
      <c r="Q430" t="n">
        <v>0</v>
      </c>
      <c r="R430" s="2" t="inlineStr"/>
    </row>
    <row r="431" ht="15" customHeight="1">
      <c r="A431" t="inlineStr">
        <is>
          <t>A 35463-2023</t>
        </is>
      </c>
      <c r="B431" s="1" t="n">
        <v>45146</v>
      </c>
      <c r="C431" s="1" t="n">
        <v>46065</v>
      </c>
      <c r="D431" t="inlineStr">
        <is>
          <t>ÖSTERGÖTLANDS LÄN</t>
        </is>
      </c>
      <c r="E431" t="inlineStr">
        <is>
          <t>LINKÖPING</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16111-2022</t>
        </is>
      </c>
      <c r="B432" s="1" t="n">
        <v>44665</v>
      </c>
      <c r="C432" s="1" t="n">
        <v>46065</v>
      </c>
      <c r="D432" t="inlineStr">
        <is>
          <t>ÖSTERGÖTLANDS LÄN</t>
        </is>
      </c>
      <c r="E432" t="inlineStr">
        <is>
          <t>LINKÖPING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31635-2023</t>
        </is>
      </c>
      <c r="B433" s="1" t="n">
        <v>45105</v>
      </c>
      <c r="C433" s="1" t="n">
        <v>46065</v>
      </c>
      <c r="D433" t="inlineStr">
        <is>
          <t>ÖSTERGÖTLANDS LÄN</t>
        </is>
      </c>
      <c r="E433" t="inlineStr">
        <is>
          <t>LINKÖPING</t>
        </is>
      </c>
      <c r="F433" t="inlineStr">
        <is>
          <t>Övriga statliga verk och myndigheter</t>
        </is>
      </c>
      <c r="G433" t="n">
        <v>4.6</v>
      </c>
      <c r="H433" t="n">
        <v>0</v>
      </c>
      <c r="I433" t="n">
        <v>0</v>
      </c>
      <c r="J433" t="n">
        <v>0</v>
      </c>
      <c r="K433" t="n">
        <v>0</v>
      </c>
      <c r="L433" t="n">
        <v>0</v>
      </c>
      <c r="M433" t="n">
        <v>0</v>
      </c>
      <c r="N433" t="n">
        <v>0</v>
      </c>
      <c r="O433" t="n">
        <v>0</v>
      </c>
      <c r="P433" t="n">
        <v>0</v>
      </c>
      <c r="Q433" t="n">
        <v>0</v>
      </c>
      <c r="R433" s="2" t="inlineStr"/>
    </row>
    <row r="434" ht="15" customHeight="1">
      <c r="A434" t="inlineStr">
        <is>
          <t>A 49928-2024</t>
        </is>
      </c>
      <c r="B434" s="1" t="n">
        <v>45597.57811342592</v>
      </c>
      <c r="C434" s="1" t="n">
        <v>46065</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12411-2022</t>
        </is>
      </c>
      <c r="B435" s="1" t="n">
        <v>44638.21601851852</v>
      </c>
      <c r="C435" s="1" t="n">
        <v>46065</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10492-2022</t>
        </is>
      </c>
      <c r="B436" s="1" t="n">
        <v>44623.6377199074</v>
      </c>
      <c r="C436" s="1" t="n">
        <v>46065</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62012-2024</t>
        </is>
      </c>
      <c r="B437" s="1" t="n">
        <v>45655.79679398148</v>
      </c>
      <c r="C437" s="1" t="n">
        <v>46065</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7343-2025</t>
        </is>
      </c>
      <c r="B438" s="1" t="n">
        <v>45703.67853009259</v>
      </c>
      <c r="C438" s="1" t="n">
        <v>46065</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30985-2022</t>
        </is>
      </c>
      <c r="B439" s="1" t="n">
        <v>44768</v>
      </c>
      <c r="C439" s="1" t="n">
        <v>46065</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8967-2025</t>
        </is>
      </c>
      <c r="B440" s="1" t="n">
        <v>45712</v>
      </c>
      <c r="C440" s="1" t="n">
        <v>46065</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54845-2023</t>
        </is>
      </c>
      <c r="B441" s="1" t="n">
        <v>45236</v>
      </c>
      <c r="C441" s="1" t="n">
        <v>46065</v>
      </c>
      <c r="D441" t="inlineStr">
        <is>
          <t>ÖSTERGÖTLANDS LÄN</t>
        </is>
      </c>
      <c r="E441" t="inlineStr">
        <is>
          <t>LINKÖPING</t>
        </is>
      </c>
      <c r="F441" t="inlineStr">
        <is>
          <t>Övriga Aktiebolag</t>
        </is>
      </c>
      <c r="G441" t="n">
        <v>5.7</v>
      </c>
      <c r="H441" t="n">
        <v>0</v>
      </c>
      <c r="I441" t="n">
        <v>0</v>
      </c>
      <c r="J441" t="n">
        <v>0</v>
      </c>
      <c r="K441" t="n">
        <v>0</v>
      </c>
      <c r="L441" t="n">
        <v>0</v>
      </c>
      <c r="M441" t="n">
        <v>0</v>
      </c>
      <c r="N441" t="n">
        <v>0</v>
      </c>
      <c r="O441" t="n">
        <v>0</v>
      </c>
      <c r="P441" t="n">
        <v>0</v>
      </c>
      <c r="Q441" t="n">
        <v>0</v>
      </c>
      <c r="R441" s="2" t="inlineStr"/>
    </row>
    <row r="442" ht="15" customHeight="1">
      <c r="A442" t="inlineStr">
        <is>
          <t>A 53529-2024</t>
        </is>
      </c>
      <c r="B442" s="1" t="n">
        <v>45614</v>
      </c>
      <c r="C442" s="1" t="n">
        <v>46065</v>
      </c>
      <c r="D442" t="inlineStr">
        <is>
          <t>ÖSTERGÖTLANDS LÄN</t>
        </is>
      </c>
      <c r="E442" t="inlineStr">
        <is>
          <t>LINKÖPING</t>
        </is>
      </c>
      <c r="G442" t="n">
        <v>6.7</v>
      </c>
      <c r="H442" t="n">
        <v>0</v>
      </c>
      <c r="I442" t="n">
        <v>0</v>
      </c>
      <c r="J442" t="n">
        <v>0</v>
      </c>
      <c r="K442" t="n">
        <v>0</v>
      </c>
      <c r="L442" t="n">
        <v>0</v>
      </c>
      <c r="M442" t="n">
        <v>0</v>
      </c>
      <c r="N442" t="n">
        <v>0</v>
      </c>
      <c r="O442" t="n">
        <v>0</v>
      </c>
      <c r="P442" t="n">
        <v>0</v>
      </c>
      <c r="Q442" t="n">
        <v>0</v>
      </c>
      <c r="R442" s="2" t="inlineStr"/>
    </row>
    <row r="443" ht="15" customHeight="1">
      <c r="A443" t="inlineStr">
        <is>
          <t>A 46687-2021</t>
        </is>
      </c>
      <c r="B443" s="1" t="n">
        <v>44445</v>
      </c>
      <c r="C443" s="1" t="n">
        <v>46065</v>
      </c>
      <c r="D443" t="inlineStr">
        <is>
          <t>ÖSTERGÖTLANDS LÄN</t>
        </is>
      </c>
      <c r="E443" t="inlineStr">
        <is>
          <t>LINKÖPING</t>
        </is>
      </c>
      <c r="F443" t="inlineStr">
        <is>
          <t>Övriga statliga verk och myndigheter</t>
        </is>
      </c>
      <c r="G443" t="n">
        <v>2.3</v>
      </c>
      <c r="H443" t="n">
        <v>0</v>
      </c>
      <c r="I443" t="n">
        <v>0</v>
      </c>
      <c r="J443" t="n">
        <v>0</v>
      </c>
      <c r="K443" t="n">
        <v>0</v>
      </c>
      <c r="L443" t="n">
        <v>0</v>
      </c>
      <c r="M443" t="n">
        <v>0</v>
      </c>
      <c r="N443" t="n">
        <v>0</v>
      </c>
      <c r="O443" t="n">
        <v>0</v>
      </c>
      <c r="P443" t="n">
        <v>0</v>
      </c>
      <c r="Q443" t="n">
        <v>0</v>
      </c>
      <c r="R443" s="2" t="inlineStr"/>
    </row>
    <row r="444" ht="15" customHeight="1">
      <c r="A444" t="inlineStr">
        <is>
          <t>A 35427-2023</t>
        </is>
      </c>
      <c r="B444" s="1" t="n">
        <v>45146</v>
      </c>
      <c r="C444" s="1" t="n">
        <v>46065</v>
      </c>
      <c r="D444" t="inlineStr">
        <is>
          <t>ÖSTERGÖTLANDS LÄN</t>
        </is>
      </c>
      <c r="E444" t="inlineStr">
        <is>
          <t>LINKÖPING</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30468-2023</t>
        </is>
      </c>
      <c r="B445" s="1" t="n">
        <v>45111.58732638889</v>
      </c>
      <c r="C445" s="1" t="n">
        <v>46065</v>
      </c>
      <c r="D445" t="inlineStr">
        <is>
          <t>ÖSTERGÖTLANDS LÄN</t>
        </is>
      </c>
      <c r="E445" t="inlineStr">
        <is>
          <t>LINKÖPING</t>
        </is>
      </c>
      <c r="G445" t="n">
        <v>10.1</v>
      </c>
      <c r="H445" t="n">
        <v>0</v>
      </c>
      <c r="I445" t="n">
        <v>0</v>
      </c>
      <c r="J445" t="n">
        <v>0</v>
      </c>
      <c r="K445" t="n">
        <v>0</v>
      </c>
      <c r="L445" t="n">
        <v>0</v>
      </c>
      <c r="M445" t="n">
        <v>0</v>
      </c>
      <c r="N445" t="n">
        <v>0</v>
      </c>
      <c r="O445" t="n">
        <v>0</v>
      </c>
      <c r="P445" t="n">
        <v>0</v>
      </c>
      <c r="Q445" t="n">
        <v>0</v>
      </c>
      <c r="R445" s="2" t="inlineStr"/>
    </row>
    <row r="446" ht="15" customHeight="1">
      <c r="A446" t="inlineStr">
        <is>
          <t>A 30855-2022</t>
        </is>
      </c>
      <c r="B446" s="1" t="n">
        <v>44767</v>
      </c>
      <c r="C446" s="1" t="n">
        <v>46065</v>
      </c>
      <c r="D446" t="inlineStr">
        <is>
          <t>ÖSTERGÖTLANDS LÄN</t>
        </is>
      </c>
      <c r="E446" t="inlineStr">
        <is>
          <t>LINKÖPING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1355-2023</t>
        </is>
      </c>
      <c r="B447" s="1" t="n">
        <v>44931</v>
      </c>
      <c r="C447" s="1" t="n">
        <v>46065</v>
      </c>
      <c r="D447" t="inlineStr">
        <is>
          <t>ÖSTERGÖTLANDS LÄN</t>
        </is>
      </c>
      <c r="E447" t="inlineStr">
        <is>
          <t>LINKÖPING</t>
        </is>
      </c>
      <c r="G447" t="n">
        <v>4</v>
      </c>
      <c r="H447" t="n">
        <v>0</v>
      </c>
      <c r="I447" t="n">
        <v>0</v>
      </c>
      <c r="J447" t="n">
        <v>0</v>
      </c>
      <c r="K447" t="n">
        <v>0</v>
      </c>
      <c r="L447" t="n">
        <v>0</v>
      </c>
      <c r="M447" t="n">
        <v>0</v>
      </c>
      <c r="N447" t="n">
        <v>0</v>
      </c>
      <c r="O447" t="n">
        <v>0</v>
      </c>
      <c r="P447" t="n">
        <v>0</v>
      </c>
      <c r="Q447" t="n">
        <v>0</v>
      </c>
      <c r="R447" s="2" t="inlineStr"/>
    </row>
    <row r="448" ht="15" customHeight="1">
      <c r="A448" t="inlineStr">
        <is>
          <t>A 27844-2024</t>
        </is>
      </c>
      <c r="B448" s="1" t="n">
        <v>45475.63047453704</v>
      </c>
      <c r="C448" s="1" t="n">
        <v>46065</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20469-2025</t>
        </is>
      </c>
      <c r="B449" s="1" t="n">
        <v>45775</v>
      </c>
      <c r="C449" s="1" t="n">
        <v>46065</v>
      </c>
      <c r="D449" t="inlineStr">
        <is>
          <t>ÖSTERGÖTLANDS LÄN</t>
        </is>
      </c>
      <c r="E449" t="inlineStr">
        <is>
          <t>LINKÖPING</t>
        </is>
      </c>
      <c r="F449" t="inlineStr">
        <is>
          <t>Kyrkan</t>
        </is>
      </c>
      <c r="G449" t="n">
        <v>6.1</v>
      </c>
      <c r="H449" t="n">
        <v>0</v>
      </c>
      <c r="I449" t="n">
        <v>0</v>
      </c>
      <c r="J449" t="n">
        <v>0</v>
      </c>
      <c r="K449" t="n">
        <v>0</v>
      </c>
      <c r="L449" t="n">
        <v>0</v>
      </c>
      <c r="M449" t="n">
        <v>0</v>
      </c>
      <c r="N449" t="n">
        <v>0</v>
      </c>
      <c r="O449" t="n">
        <v>0</v>
      </c>
      <c r="P449" t="n">
        <v>0</v>
      </c>
      <c r="Q449" t="n">
        <v>0</v>
      </c>
      <c r="R449" s="2" t="inlineStr"/>
    </row>
    <row r="450" ht="15" customHeight="1">
      <c r="A450" t="inlineStr">
        <is>
          <t>A 20296-2025</t>
        </is>
      </c>
      <c r="B450" s="1" t="n">
        <v>45774.74922453704</v>
      </c>
      <c r="C450" s="1" t="n">
        <v>46065</v>
      </c>
      <c r="D450" t="inlineStr">
        <is>
          <t>ÖSTERGÖTLANDS LÄN</t>
        </is>
      </c>
      <c r="E450" t="inlineStr">
        <is>
          <t>LINKÖPING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56841-2023</t>
        </is>
      </c>
      <c r="B451" s="1" t="n">
        <v>45244</v>
      </c>
      <c r="C451" s="1" t="n">
        <v>46065</v>
      </c>
      <c r="D451" t="inlineStr">
        <is>
          <t>ÖSTERGÖTLANDS LÄN</t>
        </is>
      </c>
      <c r="E451" t="inlineStr">
        <is>
          <t>LINKÖPING</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33800-2023</t>
        </is>
      </c>
      <c r="B452" s="1" t="n">
        <v>45121</v>
      </c>
      <c r="C452" s="1" t="n">
        <v>46065</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47991-2023</t>
        </is>
      </c>
      <c r="B453" s="1" t="n">
        <v>45204.62655092592</v>
      </c>
      <c r="C453" s="1" t="n">
        <v>46065</v>
      </c>
      <c r="D453" t="inlineStr">
        <is>
          <t>ÖSTERGÖTLANDS LÄN</t>
        </is>
      </c>
      <c r="E453" t="inlineStr">
        <is>
          <t>LINKÖPING</t>
        </is>
      </c>
      <c r="F453" t="inlineStr">
        <is>
          <t>Allmännings- och besparingsskogar</t>
        </is>
      </c>
      <c r="G453" t="n">
        <v>7.3</v>
      </c>
      <c r="H453" t="n">
        <v>0</v>
      </c>
      <c r="I453" t="n">
        <v>0</v>
      </c>
      <c r="J453" t="n">
        <v>0</v>
      </c>
      <c r="K453" t="n">
        <v>0</v>
      </c>
      <c r="L453" t="n">
        <v>0</v>
      </c>
      <c r="M453" t="n">
        <v>0</v>
      </c>
      <c r="N453" t="n">
        <v>0</v>
      </c>
      <c r="O453" t="n">
        <v>0</v>
      </c>
      <c r="P453" t="n">
        <v>0</v>
      </c>
      <c r="Q453" t="n">
        <v>0</v>
      </c>
      <c r="R453" s="2" t="inlineStr"/>
    </row>
    <row r="454" ht="15" customHeight="1">
      <c r="A454" t="inlineStr">
        <is>
          <t>A 59642-2024</t>
        </is>
      </c>
      <c r="B454" s="1" t="n">
        <v>45639.31511574074</v>
      </c>
      <c r="C454" s="1" t="n">
        <v>46065</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15748-2025</t>
        </is>
      </c>
      <c r="B455" s="1" t="n">
        <v>45748.55282407408</v>
      </c>
      <c r="C455" s="1" t="n">
        <v>46065</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35178-2025</t>
        </is>
      </c>
      <c r="B456" s="1" t="n">
        <v>45852.91939814815</v>
      </c>
      <c r="C456" s="1" t="n">
        <v>46065</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35174-2025</t>
        </is>
      </c>
      <c r="B457" s="1" t="n">
        <v>45852.90648148148</v>
      </c>
      <c r="C457" s="1" t="n">
        <v>46065</v>
      </c>
      <c r="D457" t="inlineStr">
        <is>
          <t>ÖSTERGÖTLANDS LÄN</t>
        </is>
      </c>
      <c r="E457" t="inlineStr">
        <is>
          <t>LINKÖPING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31792-2021</t>
        </is>
      </c>
      <c r="B458" s="1" t="n">
        <v>44369</v>
      </c>
      <c r="C458" s="1" t="n">
        <v>46065</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25097-2023</t>
        </is>
      </c>
      <c r="B459" s="1" t="n">
        <v>45086</v>
      </c>
      <c r="C459" s="1" t="n">
        <v>46065</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53812-2023</t>
        </is>
      </c>
      <c r="B460" s="1" t="n">
        <v>45231.39583333334</v>
      </c>
      <c r="C460" s="1" t="n">
        <v>46065</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53830-2023</t>
        </is>
      </c>
      <c r="B461" s="1" t="n">
        <v>45230</v>
      </c>
      <c r="C461" s="1" t="n">
        <v>46065</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26007-2025</t>
        </is>
      </c>
      <c r="B462" s="1" t="n">
        <v>45804.67081018518</v>
      </c>
      <c r="C462" s="1" t="n">
        <v>46065</v>
      </c>
      <c r="D462" t="inlineStr">
        <is>
          <t>ÖSTERGÖTLANDS LÄN</t>
        </is>
      </c>
      <c r="E462" t="inlineStr">
        <is>
          <t>LINKÖPING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35179-2025</t>
        </is>
      </c>
      <c r="B463" s="1" t="n">
        <v>45852.93737268518</v>
      </c>
      <c r="C463" s="1" t="n">
        <v>46065</v>
      </c>
      <c r="D463" t="inlineStr">
        <is>
          <t>ÖSTERGÖTLANDS LÄN</t>
        </is>
      </c>
      <c r="E463" t="inlineStr">
        <is>
          <t>LINKÖPING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35180-2025</t>
        </is>
      </c>
      <c r="B464" s="1" t="n">
        <v>45852.9413425926</v>
      </c>
      <c r="C464" s="1" t="n">
        <v>46065</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35735-2023</t>
        </is>
      </c>
      <c r="B465" s="1" t="n">
        <v>45147</v>
      </c>
      <c r="C465" s="1" t="n">
        <v>46065</v>
      </c>
      <c r="D465" t="inlineStr">
        <is>
          <t>ÖSTERGÖTLANDS LÄN</t>
        </is>
      </c>
      <c r="E465" t="inlineStr">
        <is>
          <t>LINKÖPING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16462-2021</t>
        </is>
      </c>
      <c r="B466" s="1" t="n">
        <v>44293</v>
      </c>
      <c r="C466" s="1" t="n">
        <v>46065</v>
      </c>
      <c r="D466" t="inlineStr">
        <is>
          <t>ÖSTERGÖTLANDS LÄN</t>
        </is>
      </c>
      <c r="E466" t="inlineStr">
        <is>
          <t>LINKÖPING</t>
        </is>
      </c>
      <c r="F466" t="inlineStr">
        <is>
          <t>Allmännings- och besparingsskogar</t>
        </is>
      </c>
      <c r="G466" t="n">
        <v>24.7</v>
      </c>
      <c r="H466" t="n">
        <v>0</v>
      </c>
      <c r="I466" t="n">
        <v>0</v>
      </c>
      <c r="J466" t="n">
        <v>0</v>
      </c>
      <c r="K466" t="n">
        <v>0</v>
      </c>
      <c r="L466" t="n">
        <v>0</v>
      </c>
      <c r="M466" t="n">
        <v>0</v>
      </c>
      <c r="N466" t="n">
        <v>0</v>
      </c>
      <c r="O466" t="n">
        <v>0</v>
      </c>
      <c r="P466" t="n">
        <v>0</v>
      </c>
      <c r="Q466" t="n">
        <v>0</v>
      </c>
      <c r="R466" s="2" t="inlineStr"/>
    </row>
    <row r="467" ht="15" customHeight="1">
      <c r="A467" t="inlineStr">
        <is>
          <t>A 25776-2021</t>
        </is>
      </c>
      <c r="B467" s="1" t="n">
        <v>44343</v>
      </c>
      <c r="C467" s="1" t="n">
        <v>46065</v>
      </c>
      <c r="D467" t="inlineStr">
        <is>
          <t>ÖSTERGÖTLANDS LÄN</t>
        </is>
      </c>
      <c r="E467" t="inlineStr">
        <is>
          <t>LINKÖPING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30856-2022</t>
        </is>
      </c>
      <c r="B468" s="1" t="n">
        <v>44767</v>
      </c>
      <c r="C468" s="1" t="n">
        <v>46065</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38715-2023</t>
        </is>
      </c>
      <c r="B469" s="1" t="n">
        <v>45160</v>
      </c>
      <c r="C469" s="1" t="n">
        <v>46065</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35747-2025</t>
        </is>
      </c>
      <c r="B470" s="1" t="n">
        <v>45860.56385416666</v>
      </c>
      <c r="C470" s="1" t="n">
        <v>46065</v>
      </c>
      <c r="D470" t="inlineStr">
        <is>
          <t>ÖSTERGÖTLANDS LÄN</t>
        </is>
      </c>
      <c r="E470" t="inlineStr">
        <is>
          <t>LINKÖPING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19187-2021</t>
        </is>
      </c>
      <c r="B471" s="1" t="n">
        <v>44308</v>
      </c>
      <c r="C471" s="1" t="n">
        <v>46065</v>
      </c>
      <c r="D471" t="inlineStr">
        <is>
          <t>ÖSTERGÖTLANDS LÄN</t>
        </is>
      </c>
      <c r="E471" t="inlineStr">
        <is>
          <t>LINKÖPING</t>
        </is>
      </c>
      <c r="F471" t="inlineStr">
        <is>
          <t>Allmännings- och besparingsskogar</t>
        </is>
      </c>
      <c r="G471" t="n">
        <v>20</v>
      </c>
      <c r="H471" t="n">
        <v>0</v>
      </c>
      <c r="I471" t="n">
        <v>0</v>
      </c>
      <c r="J471" t="n">
        <v>0</v>
      </c>
      <c r="K471" t="n">
        <v>0</v>
      </c>
      <c r="L471" t="n">
        <v>0</v>
      </c>
      <c r="M471" t="n">
        <v>0</v>
      </c>
      <c r="N471" t="n">
        <v>0</v>
      </c>
      <c r="O471" t="n">
        <v>0</v>
      </c>
      <c r="P471" t="n">
        <v>0</v>
      </c>
      <c r="Q471" t="n">
        <v>0</v>
      </c>
      <c r="R471" s="2" t="inlineStr"/>
    </row>
    <row r="472" ht="15" customHeight="1">
      <c r="A472" t="inlineStr">
        <is>
          <t>A 35745-2025</t>
        </is>
      </c>
      <c r="B472" s="1" t="n">
        <v>45860.54739583333</v>
      </c>
      <c r="C472" s="1" t="n">
        <v>46065</v>
      </c>
      <c r="D472" t="inlineStr">
        <is>
          <t>ÖSTERGÖTLANDS LÄN</t>
        </is>
      </c>
      <c r="E472" t="inlineStr">
        <is>
          <t>LINKÖPING</t>
        </is>
      </c>
      <c r="G472" t="n">
        <v>4.4</v>
      </c>
      <c r="H472" t="n">
        <v>0</v>
      </c>
      <c r="I472" t="n">
        <v>0</v>
      </c>
      <c r="J472" t="n">
        <v>0</v>
      </c>
      <c r="K472" t="n">
        <v>0</v>
      </c>
      <c r="L472" t="n">
        <v>0</v>
      </c>
      <c r="M472" t="n">
        <v>0</v>
      </c>
      <c r="N472" t="n">
        <v>0</v>
      </c>
      <c r="O472" t="n">
        <v>0</v>
      </c>
      <c r="P472" t="n">
        <v>0</v>
      </c>
      <c r="Q472" t="n">
        <v>0</v>
      </c>
      <c r="R472" s="2" t="inlineStr"/>
    </row>
    <row r="473" ht="15" customHeight="1">
      <c r="A473" t="inlineStr">
        <is>
          <t>A 35757-2025</t>
        </is>
      </c>
      <c r="B473" s="1" t="n">
        <v>45860.59876157407</v>
      </c>
      <c r="C473" s="1" t="n">
        <v>46065</v>
      </c>
      <c r="D473" t="inlineStr">
        <is>
          <t>ÖSTERGÖTLANDS LÄN</t>
        </is>
      </c>
      <c r="E473" t="inlineStr">
        <is>
          <t>LINKÖPING</t>
        </is>
      </c>
      <c r="G473" t="n">
        <v>5.7</v>
      </c>
      <c r="H473" t="n">
        <v>0</v>
      </c>
      <c r="I473" t="n">
        <v>0</v>
      </c>
      <c r="J473" t="n">
        <v>0</v>
      </c>
      <c r="K473" t="n">
        <v>0</v>
      </c>
      <c r="L473" t="n">
        <v>0</v>
      </c>
      <c r="M473" t="n">
        <v>0</v>
      </c>
      <c r="N473" t="n">
        <v>0</v>
      </c>
      <c r="O473" t="n">
        <v>0</v>
      </c>
      <c r="P473" t="n">
        <v>0</v>
      </c>
      <c r="Q473" t="n">
        <v>0</v>
      </c>
      <c r="R473" s="2" t="inlineStr"/>
    </row>
    <row r="474" ht="15" customHeight="1">
      <c r="A474" t="inlineStr">
        <is>
          <t>A 35759-2025</t>
        </is>
      </c>
      <c r="B474" s="1" t="n">
        <v>45860</v>
      </c>
      <c r="C474" s="1" t="n">
        <v>46065</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39219-2021</t>
        </is>
      </c>
      <c r="B475" s="1" t="n">
        <v>44413</v>
      </c>
      <c r="C475" s="1" t="n">
        <v>46065</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39224-2021</t>
        </is>
      </c>
      <c r="B476" s="1" t="n">
        <v>44413</v>
      </c>
      <c r="C476" s="1" t="n">
        <v>46065</v>
      </c>
      <c r="D476" t="inlineStr">
        <is>
          <t>ÖSTERGÖTLANDS LÄN</t>
        </is>
      </c>
      <c r="E476" t="inlineStr">
        <is>
          <t>LINKÖPING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27766-2022</t>
        </is>
      </c>
      <c r="B477" s="1" t="n">
        <v>44743.53112268518</v>
      </c>
      <c r="C477" s="1" t="n">
        <v>46065</v>
      </c>
      <c r="D477" t="inlineStr">
        <is>
          <t>ÖSTERGÖTLANDS LÄN</t>
        </is>
      </c>
      <c r="E477" t="inlineStr">
        <is>
          <t>LINKÖPING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43934-2023</t>
        </is>
      </c>
      <c r="B478" s="1" t="n">
        <v>45187</v>
      </c>
      <c r="C478" s="1" t="n">
        <v>46065</v>
      </c>
      <c r="D478" t="inlineStr">
        <is>
          <t>ÖSTERGÖTLANDS LÄN</t>
        </is>
      </c>
      <c r="E478" t="inlineStr">
        <is>
          <t>LINKÖPING</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48271-2023</t>
        </is>
      </c>
      <c r="B479" s="1" t="n">
        <v>45205</v>
      </c>
      <c r="C479" s="1" t="n">
        <v>46065</v>
      </c>
      <c r="D479" t="inlineStr">
        <is>
          <t>ÖSTERGÖTLANDS LÄN</t>
        </is>
      </c>
      <c r="E479" t="inlineStr">
        <is>
          <t>LINKÖPING</t>
        </is>
      </c>
      <c r="G479" t="n">
        <v>3</v>
      </c>
      <c r="H479" t="n">
        <v>0</v>
      </c>
      <c r="I479" t="n">
        <v>0</v>
      </c>
      <c r="J479" t="n">
        <v>0</v>
      </c>
      <c r="K479" t="n">
        <v>0</v>
      </c>
      <c r="L479" t="n">
        <v>0</v>
      </c>
      <c r="M479" t="n">
        <v>0</v>
      </c>
      <c r="N479" t="n">
        <v>0</v>
      </c>
      <c r="O479" t="n">
        <v>0</v>
      </c>
      <c r="P479" t="n">
        <v>0</v>
      </c>
      <c r="Q479" t="n">
        <v>0</v>
      </c>
      <c r="R479" s="2" t="inlineStr"/>
    </row>
    <row r="480" ht="15" customHeight="1">
      <c r="A480" t="inlineStr">
        <is>
          <t>A 13266-2025</t>
        </is>
      </c>
      <c r="B480" s="1" t="n">
        <v>45735.53318287037</v>
      </c>
      <c r="C480" s="1" t="n">
        <v>46065</v>
      </c>
      <c r="D480" t="inlineStr">
        <is>
          <t>ÖSTERGÖTLANDS LÄN</t>
        </is>
      </c>
      <c r="E480" t="inlineStr">
        <is>
          <t>LINKÖPING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7354-2025</t>
        </is>
      </c>
      <c r="B481" s="1" t="n">
        <v>45704.41174768518</v>
      </c>
      <c r="C481" s="1" t="n">
        <v>46065</v>
      </c>
      <c r="D481" t="inlineStr">
        <is>
          <t>ÖSTERGÖTLANDS LÄN</t>
        </is>
      </c>
      <c r="E481" t="inlineStr">
        <is>
          <t>LINKÖPING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63935-2021</t>
        </is>
      </c>
      <c r="B482" s="1" t="n">
        <v>44509</v>
      </c>
      <c r="C482" s="1" t="n">
        <v>46065</v>
      </c>
      <c r="D482" t="inlineStr">
        <is>
          <t>ÖSTERGÖTLANDS LÄN</t>
        </is>
      </c>
      <c r="E482" t="inlineStr">
        <is>
          <t>LINKÖPING</t>
        </is>
      </c>
      <c r="F482" t="inlineStr">
        <is>
          <t>Övriga statliga verk och myndigheter</t>
        </is>
      </c>
      <c r="G482" t="n">
        <v>2.8</v>
      </c>
      <c r="H482" t="n">
        <v>0</v>
      </c>
      <c r="I482" t="n">
        <v>0</v>
      </c>
      <c r="J482" t="n">
        <v>0</v>
      </c>
      <c r="K482" t="n">
        <v>0</v>
      </c>
      <c r="L482" t="n">
        <v>0</v>
      </c>
      <c r="M482" t="n">
        <v>0</v>
      </c>
      <c r="N482" t="n">
        <v>0</v>
      </c>
      <c r="O482" t="n">
        <v>0</v>
      </c>
      <c r="P482" t="n">
        <v>0</v>
      </c>
      <c r="Q482" t="n">
        <v>0</v>
      </c>
      <c r="R482" s="2" t="inlineStr"/>
    </row>
    <row r="483" ht="15" customHeight="1">
      <c r="A483" t="inlineStr">
        <is>
          <t>A 10741-2023</t>
        </is>
      </c>
      <c r="B483" s="1" t="n">
        <v>44988.70084490741</v>
      </c>
      <c r="C483" s="1" t="n">
        <v>46065</v>
      </c>
      <c r="D483" t="inlineStr">
        <is>
          <t>ÖSTERGÖTLANDS LÄN</t>
        </is>
      </c>
      <c r="E483" t="inlineStr">
        <is>
          <t>LINKÖPING</t>
        </is>
      </c>
      <c r="F483" t="inlineStr">
        <is>
          <t>Allmännings- och besparingsskogar</t>
        </is>
      </c>
      <c r="G483" t="n">
        <v>11.2</v>
      </c>
      <c r="H483" t="n">
        <v>0</v>
      </c>
      <c r="I483" t="n">
        <v>0</v>
      </c>
      <c r="J483" t="n">
        <v>0</v>
      </c>
      <c r="K483" t="n">
        <v>0</v>
      </c>
      <c r="L483" t="n">
        <v>0</v>
      </c>
      <c r="M483" t="n">
        <v>0</v>
      </c>
      <c r="N483" t="n">
        <v>0</v>
      </c>
      <c r="O483" t="n">
        <v>0</v>
      </c>
      <c r="P483" t="n">
        <v>0</v>
      </c>
      <c r="Q483" t="n">
        <v>0</v>
      </c>
      <c r="R483" s="2" t="inlineStr"/>
    </row>
    <row r="484" ht="15" customHeight="1">
      <c r="A484" t="inlineStr">
        <is>
          <t>A 50963-2021</t>
        </is>
      </c>
      <c r="B484" s="1" t="n">
        <v>44460</v>
      </c>
      <c r="C484" s="1" t="n">
        <v>46065</v>
      </c>
      <c r="D484" t="inlineStr">
        <is>
          <t>ÖSTERGÖTLANDS LÄN</t>
        </is>
      </c>
      <c r="E484" t="inlineStr">
        <is>
          <t>LINKÖPING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37057-2025</t>
        </is>
      </c>
      <c r="B485" s="1" t="n">
        <v>45875.37489583333</v>
      </c>
      <c r="C485" s="1" t="n">
        <v>46065</v>
      </c>
      <c r="D485" t="inlineStr">
        <is>
          <t>ÖSTERGÖTLANDS LÄN</t>
        </is>
      </c>
      <c r="E485" t="inlineStr">
        <is>
          <t>LINKÖPING</t>
        </is>
      </c>
      <c r="G485" t="n">
        <v>3.3</v>
      </c>
      <c r="H485" t="n">
        <v>0</v>
      </c>
      <c r="I485" t="n">
        <v>0</v>
      </c>
      <c r="J485" t="n">
        <v>0</v>
      </c>
      <c r="K485" t="n">
        <v>0</v>
      </c>
      <c r="L485" t="n">
        <v>0</v>
      </c>
      <c r="M485" t="n">
        <v>0</v>
      </c>
      <c r="N485" t="n">
        <v>0</v>
      </c>
      <c r="O485" t="n">
        <v>0</v>
      </c>
      <c r="P485" t="n">
        <v>0</v>
      </c>
      <c r="Q485" t="n">
        <v>0</v>
      </c>
      <c r="R485" s="2" t="inlineStr"/>
    </row>
    <row r="486" ht="15" customHeight="1">
      <c r="A486" t="inlineStr">
        <is>
          <t>A 60001-2022</t>
        </is>
      </c>
      <c r="B486" s="1" t="n">
        <v>44909.47087962963</v>
      </c>
      <c r="C486" s="1" t="n">
        <v>46065</v>
      </c>
      <c r="D486" t="inlineStr">
        <is>
          <t>ÖSTERGÖTLANDS LÄN</t>
        </is>
      </c>
      <c r="E486" t="inlineStr">
        <is>
          <t>LINKÖPING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40810-2022</t>
        </is>
      </c>
      <c r="B487" s="1" t="n">
        <v>44824</v>
      </c>
      <c r="C487" s="1" t="n">
        <v>46065</v>
      </c>
      <c r="D487" t="inlineStr">
        <is>
          <t>ÖSTERGÖTLANDS LÄN</t>
        </is>
      </c>
      <c r="E487" t="inlineStr">
        <is>
          <t>LINKÖPING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1657-2024</t>
        </is>
      </c>
      <c r="B488" s="1" t="n">
        <v>45306.82501157407</v>
      </c>
      <c r="C488" s="1" t="n">
        <v>46065</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20298-2025</t>
        </is>
      </c>
      <c r="B489" s="1" t="n">
        <v>45774.75024305555</v>
      </c>
      <c r="C489" s="1" t="n">
        <v>46065</v>
      </c>
      <c r="D489" t="inlineStr">
        <is>
          <t>ÖSTERGÖTLANDS LÄN</t>
        </is>
      </c>
      <c r="E489" t="inlineStr">
        <is>
          <t>LINKÖPING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30976-2022</t>
        </is>
      </c>
      <c r="B490" s="1" t="n">
        <v>44768</v>
      </c>
      <c r="C490" s="1" t="n">
        <v>46065</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45821-2024</t>
        </is>
      </c>
      <c r="B491" s="1" t="n">
        <v>45579.75803240741</v>
      </c>
      <c r="C491" s="1" t="n">
        <v>46065</v>
      </c>
      <c r="D491" t="inlineStr">
        <is>
          <t>ÖSTERGÖTLANDS LÄN</t>
        </is>
      </c>
      <c r="E491" t="inlineStr">
        <is>
          <t>LINKÖPING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30860-2022</t>
        </is>
      </c>
      <c r="B492" s="1" t="n">
        <v>44767</v>
      </c>
      <c r="C492" s="1" t="n">
        <v>46065</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48186-2022</t>
        </is>
      </c>
      <c r="B493" s="1" t="n">
        <v>44858</v>
      </c>
      <c r="C493" s="1" t="n">
        <v>46065</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14576-2023</t>
        </is>
      </c>
      <c r="B494" s="1" t="n">
        <v>45013</v>
      </c>
      <c r="C494" s="1" t="n">
        <v>46065</v>
      </c>
      <c r="D494" t="inlineStr">
        <is>
          <t>ÖSTERGÖTLANDS LÄN</t>
        </is>
      </c>
      <c r="E494" t="inlineStr">
        <is>
          <t>LINKÖPING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28266-2024</t>
        </is>
      </c>
      <c r="B495" s="1" t="n">
        <v>45477.43600694444</v>
      </c>
      <c r="C495" s="1" t="n">
        <v>46065</v>
      </c>
      <c r="D495" t="inlineStr">
        <is>
          <t>ÖSTERGÖTLANDS LÄN</t>
        </is>
      </c>
      <c r="E495" t="inlineStr">
        <is>
          <t>LINKÖPING</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25829-2025</t>
        </is>
      </c>
      <c r="B496" s="1" t="n">
        <v>45804.44505787037</v>
      </c>
      <c r="C496" s="1" t="n">
        <v>46065</v>
      </c>
      <c r="D496" t="inlineStr">
        <is>
          <t>ÖSTERGÖTLANDS LÄN</t>
        </is>
      </c>
      <c r="E496" t="inlineStr">
        <is>
          <t>LINKÖPING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12089-2025</t>
        </is>
      </c>
      <c r="B497" s="1" t="n">
        <v>45729</v>
      </c>
      <c r="C497" s="1" t="n">
        <v>46065</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31548-2022</t>
        </is>
      </c>
      <c r="B498" s="1" t="n">
        <v>44775.39832175926</v>
      </c>
      <c r="C498" s="1" t="n">
        <v>46065</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1211-2023</t>
        </is>
      </c>
      <c r="B499" s="1" t="n">
        <v>44930</v>
      </c>
      <c r="C499" s="1" t="n">
        <v>46065</v>
      </c>
      <c r="D499" t="inlineStr">
        <is>
          <t>ÖSTERGÖTLANDS LÄN</t>
        </is>
      </c>
      <c r="E499" t="inlineStr">
        <is>
          <t>LINKÖPING</t>
        </is>
      </c>
      <c r="F499" t="inlineStr">
        <is>
          <t>Övriga statliga verk och myndigheter</t>
        </is>
      </c>
      <c r="G499" t="n">
        <v>7.9</v>
      </c>
      <c r="H499" t="n">
        <v>0</v>
      </c>
      <c r="I499" t="n">
        <v>0</v>
      </c>
      <c r="J499" t="n">
        <v>0</v>
      </c>
      <c r="K499" t="n">
        <v>0</v>
      </c>
      <c r="L499" t="n">
        <v>0</v>
      </c>
      <c r="M499" t="n">
        <v>0</v>
      </c>
      <c r="N499" t="n">
        <v>0</v>
      </c>
      <c r="O499" t="n">
        <v>0</v>
      </c>
      <c r="P499" t="n">
        <v>0</v>
      </c>
      <c r="Q499" t="n">
        <v>0</v>
      </c>
      <c r="R499" s="2" t="inlineStr"/>
    </row>
    <row r="500" ht="15" customHeight="1">
      <c r="A500" t="inlineStr">
        <is>
          <t>A 51191-2022</t>
        </is>
      </c>
      <c r="B500" s="1" t="n">
        <v>44865</v>
      </c>
      <c r="C500" s="1" t="n">
        <v>46065</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55632-2022</t>
        </is>
      </c>
      <c r="B501" s="1" t="n">
        <v>44888</v>
      </c>
      <c r="C501" s="1" t="n">
        <v>46065</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61936-2023</t>
        </is>
      </c>
      <c r="B502" s="1" t="n">
        <v>45266.54534722222</v>
      </c>
      <c r="C502" s="1" t="n">
        <v>46065</v>
      </c>
      <c r="D502" t="inlineStr">
        <is>
          <t>ÖSTERGÖTLANDS LÄN</t>
        </is>
      </c>
      <c r="E502" t="inlineStr">
        <is>
          <t>LINKÖPING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1263-2024</t>
        </is>
      </c>
      <c r="B503" s="1" t="n">
        <v>45302</v>
      </c>
      <c r="C503" s="1" t="n">
        <v>46065</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24464-2023</t>
        </is>
      </c>
      <c r="B504" s="1" t="n">
        <v>45082.58068287037</v>
      </c>
      <c r="C504" s="1" t="n">
        <v>46065</v>
      </c>
      <c r="D504" t="inlineStr">
        <is>
          <t>ÖSTERGÖTLANDS LÄN</t>
        </is>
      </c>
      <c r="E504" t="inlineStr">
        <is>
          <t>LINKÖPING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63669-2023</t>
        </is>
      </c>
      <c r="B505" s="1" t="n">
        <v>45275</v>
      </c>
      <c r="C505" s="1" t="n">
        <v>46065</v>
      </c>
      <c r="D505" t="inlineStr">
        <is>
          <t>ÖSTERGÖTLANDS LÄN</t>
        </is>
      </c>
      <c r="E505" t="inlineStr">
        <is>
          <t>LINKÖPING</t>
        </is>
      </c>
      <c r="F505" t="inlineStr">
        <is>
          <t>Övriga Aktiebolag</t>
        </is>
      </c>
      <c r="G505" t="n">
        <v>3</v>
      </c>
      <c r="H505" t="n">
        <v>0</v>
      </c>
      <c r="I505" t="n">
        <v>0</v>
      </c>
      <c r="J505" t="n">
        <v>0</v>
      </c>
      <c r="K505" t="n">
        <v>0</v>
      </c>
      <c r="L505" t="n">
        <v>0</v>
      </c>
      <c r="M505" t="n">
        <v>0</v>
      </c>
      <c r="N505" t="n">
        <v>0</v>
      </c>
      <c r="O505" t="n">
        <v>0</v>
      </c>
      <c r="P505" t="n">
        <v>0</v>
      </c>
      <c r="Q505" t="n">
        <v>0</v>
      </c>
      <c r="R505" s="2" t="inlineStr"/>
    </row>
    <row r="506" ht="15" customHeight="1">
      <c r="A506" t="inlineStr">
        <is>
          <t>A 12289-2025</t>
        </is>
      </c>
      <c r="B506" s="1" t="n">
        <v>45729</v>
      </c>
      <c r="C506" s="1" t="n">
        <v>46065</v>
      </c>
      <c r="D506" t="inlineStr">
        <is>
          <t>ÖSTERGÖTLANDS LÄN</t>
        </is>
      </c>
      <c r="E506" t="inlineStr">
        <is>
          <t>LINKÖPING</t>
        </is>
      </c>
      <c r="F506" t="inlineStr">
        <is>
          <t>Övriga statliga verk och myndigheter</t>
        </is>
      </c>
      <c r="G506" t="n">
        <v>6.5</v>
      </c>
      <c r="H506" t="n">
        <v>0</v>
      </c>
      <c r="I506" t="n">
        <v>0</v>
      </c>
      <c r="J506" t="n">
        <v>0</v>
      </c>
      <c r="K506" t="n">
        <v>0</v>
      </c>
      <c r="L506" t="n">
        <v>0</v>
      </c>
      <c r="M506" t="n">
        <v>0</v>
      </c>
      <c r="N506" t="n">
        <v>0</v>
      </c>
      <c r="O506" t="n">
        <v>0</v>
      </c>
      <c r="P506" t="n">
        <v>0</v>
      </c>
      <c r="Q506" t="n">
        <v>0</v>
      </c>
      <c r="R506" s="2" t="inlineStr"/>
    </row>
    <row r="507" ht="15" customHeight="1">
      <c r="A507" t="inlineStr">
        <is>
          <t>A 36657-2023</t>
        </is>
      </c>
      <c r="B507" s="1" t="n">
        <v>45153.5702662037</v>
      </c>
      <c r="C507" s="1" t="n">
        <v>46065</v>
      </c>
      <c r="D507" t="inlineStr">
        <is>
          <t>ÖSTERGÖTLANDS LÄN</t>
        </is>
      </c>
      <c r="E507" t="inlineStr">
        <is>
          <t>LINKÖPING</t>
        </is>
      </c>
      <c r="F507" t="inlineStr">
        <is>
          <t>Allmännings- och besparingsskogar</t>
        </is>
      </c>
      <c r="G507" t="n">
        <v>2</v>
      </c>
      <c r="H507" t="n">
        <v>0</v>
      </c>
      <c r="I507" t="n">
        <v>0</v>
      </c>
      <c r="J507" t="n">
        <v>0</v>
      </c>
      <c r="K507" t="n">
        <v>0</v>
      </c>
      <c r="L507" t="n">
        <v>0</v>
      </c>
      <c r="M507" t="n">
        <v>0</v>
      </c>
      <c r="N507" t="n">
        <v>0</v>
      </c>
      <c r="O507" t="n">
        <v>0</v>
      </c>
      <c r="P507" t="n">
        <v>0</v>
      </c>
      <c r="Q507" t="n">
        <v>0</v>
      </c>
      <c r="R507" s="2" t="inlineStr"/>
    </row>
    <row r="508" ht="15" customHeight="1">
      <c r="A508" t="inlineStr">
        <is>
          <t>A 19169-2023</t>
        </is>
      </c>
      <c r="B508" s="1" t="n">
        <v>45044</v>
      </c>
      <c r="C508" s="1" t="n">
        <v>46065</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1209-2023</t>
        </is>
      </c>
      <c r="B509" s="1" t="n">
        <v>44930</v>
      </c>
      <c r="C509" s="1" t="n">
        <v>46065</v>
      </c>
      <c r="D509" t="inlineStr">
        <is>
          <t>ÖSTERGÖTLANDS LÄN</t>
        </is>
      </c>
      <c r="E509" t="inlineStr">
        <is>
          <t>LINKÖPING</t>
        </is>
      </c>
      <c r="F509" t="inlineStr">
        <is>
          <t>Övriga statliga verk och myndigheter</t>
        </is>
      </c>
      <c r="G509" t="n">
        <v>25.8</v>
      </c>
      <c r="H509" t="n">
        <v>0</v>
      </c>
      <c r="I509" t="n">
        <v>0</v>
      </c>
      <c r="J509" t="n">
        <v>0</v>
      </c>
      <c r="K509" t="n">
        <v>0</v>
      </c>
      <c r="L509" t="n">
        <v>0</v>
      </c>
      <c r="M509" t="n">
        <v>0</v>
      </c>
      <c r="N509" t="n">
        <v>0</v>
      </c>
      <c r="O509" t="n">
        <v>0</v>
      </c>
      <c r="P509" t="n">
        <v>0</v>
      </c>
      <c r="Q509" t="n">
        <v>0</v>
      </c>
      <c r="R509" s="2" t="inlineStr"/>
    </row>
    <row r="510" ht="15" customHeight="1">
      <c r="A510" t="inlineStr">
        <is>
          <t>A 62321-2022</t>
        </is>
      </c>
      <c r="B510" s="1" t="n">
        <v>44916</v>
      </c>
      <c r="C510" s="1" t="n">
        <v>46065</v>
      </c>
      <c r="D510" t="inlineStr">
        <is>
          <t>ÖSTERGÖTLANDS LÄN</t>
        </is>
      </c>
      <c r="E510" t="inlineStr">
        <is>
          <t>LINKÖPING</t>
        </is>
      </c>
      <c r="F510" t="inlineStr">
        <is>
          <t>Kommuner</t>
        </is>
      </c>
      <c r="G510" t="n">
        <v>5.3</v>
      </c>
      <c r="H510" t="n">
        <v>0</v>
      </c>
      <c r="I510" t="n">
        <v>0</v>
      </c>
      <c r="J510" t="n">
        <v>0</v>
      </c>
      <c r="K510" t="n">
        <v>0</v>
      </c>
      <c r="L510" t="n">
        <v>0</v>
      </c>
      <c r="M510" t="n">
        <v>0</v>
      </c>
      <c r="N510" t="n">
        <v>0</v>
      </c>
      <c r="O510" t="n">
        <v>0</v>
      </c>
      <c r="P510" t="n">
        <v>0</v>
      </c>
      <c r="Q510" t="n">
        <v>0</v>
      </c>
      <c r="R510" s="2" t="inlineStr"/>
    </row>
    <row r="511" ht="15" customHeight="1">
      <c r="A511" t="inlineStr">
        <is>
          <t>A 2085-2024</t>
        </is>
      </c>
      <c r="B511" s="1" t="n">
        <v>45309</v>
      </c>
      <c r="C511" s="1" t="n">
        <v>46065</v>
      </c>
      <c r="D511" t="inlineStr">
        <is>
          <t>ÖSTERGÖTLANDS LÄN</t>
        </is>
      </c>
      <c r="E511" t="inlineStr">
        <is>
          <t>LINKÖPING</t>
        </is>
      </c>
      <c r="G511" t="n">
        <v>4.5</v>
      </c>
      <c r="H511" t="n">
        <v>0</v>
      </c>
      <c r="I511" t="n">
        <v>0</v>
      </c>
      <c r="J511" t="n">
        <v>0</v>
      </c>
      <c r="K511" t="n">
        <v>0</v>
      </c>
      <c r="L511" t="n">
        <v>0</v>
      </c>
      <c r="M511" t="n">
        <v>0</v>
      </c>
      <c r="N511" t="n">
        <v>0</v>
      </c>
      <c r="O511" t="n">
        <v>0</v>
      </c>
      <c r="P511" t="n">
        <v>0</v>
      </c>
      <c r="Q511" t="n">
        <v>0</v>
      </c>
      <c r="R511" s="2" t="inlineStr"/>
    </row>
    <row r="512" ht="15" customHeight="1">
      <c r="A512" t="inlineStr">
        <is>
          <t>A 48389-2024</t>
        </is>
      </c>
      <c r="B512" s="1" t="n">
        <v>45590.59991898148</v>
      </c>
      <c r="C512" s="1" t="n">
        <v>46065</v>
      </c>
      <c r="D512" t="inlineStr">
        <is>
          <t>ÖSTERGÖTLANDS LÄN</t>
        </is>
      </c>
      <c r="E512" t="inlineStr">
        <is>
          <t>LINKÖPING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61281-2021</t>
        </is>
      </c>
      <c r="B513" s="1" t="n">
        <v>44498.60736111111</v>
      </c>
      <c r="C513" s="1" t="n">
        <v>46065</v>
      </c>
      <c r="D513" t="inlineStr">
        <is>
          <t>ÖSTERGÖTLANDS LÄN</t>
        </is>
      </c>
      <c r="E513" t="inlineStr">
        <is>
          <t>LINKÖPING</t>
        </is>
      </c>
      <c r="G513" t="n">
        <v>4.5</v>
      </c>
      <c r="H513" t="n">
        <v>0</v>
      </c>
      <c r="I513" t="n">
        <v>0</v>
      </c>
      <c r="J513" t="n">
        <v>0</v>
      </c>
      <c r="K513" t="n">
        <v>0</v>
      </c>
      <c r="L513" t="n">
        <v>0</v>
      </c>
      <c r="M513" t="n">
        <v>0</v>
      </c>
      <c r="N513" t="n">
        <v>0</v>
      </c>
      <c r="O513" t="n">
        <v>0</v>
      </c>
      <c r="P513" t="n">
        <v>0</v>
      </c>
      <c r="Q513" t="n">
        <v>0</v>
      </c>
      <c r="R513" s="2" t="inlineStr"/>
    </row>
    <row r="514" ht="15" customHeight="1">
      <c r="A514" t="inlineStr">
        <is>
          <t>A 43475-2024</t>
        </is>
      </c>
      <c r="B514" s="1" t="n">
        <v>45568</v>
      </c>
      <c r="C514" s="1" t="n">
        <v>46065</v>
      </c>
      <c r="D514" t="inlineStr">
        <is>
          <t>ÖSTERGÖTLANDS LÄN</t>
        </is>
      </c>
      <c r="E514" t="inlineStr">
        <is>
          <t>LINKÖPING</t>
        </is>
      </c>
      <c r="G514" t="n">
        <v>3.2</v>
      </c>
      <c r="H514" t="n">
        <v>0</v>
      </c>
      <c r="I514" t="n">
        <v>0</v>
      </c>
      <c r="J514" t="n">
        <v>0</v>
      </c>
      <c r="K514" t="n">
        <v>0</v>
      </c>
      <c r="L514" t="n">
        <v>0</v>
      </c>
      <c r="M514" t="n">
        <v>0</v>
      </c>
      <c r="N514" t="n">
        <v>0</v>
      </c>
      <c r="O514" t="n">
        <v>0</v>
      </c>
      <c r="P514" t="n">
        <v>0</v>
      </c>
      <c r="Q514" t="n">
        <v>0</v>
      </c>
      <c r="R514" s="2" t="inlineStr"/>
    </row>
    <row r="515" ht="15" customHeight="1">
      <c r="A515" t="inlineStr">
        <is>
          <t>A 48-2024</t>
        </is>
      </c>
      <c r="B515" s="1" t="n">
        <v>45293</v>
      </c>
      <c r="C515" s="1" t="n">
        <v>46065</v>
      </c>
      <c r="D515" t="inlineStr">
        <is>
          <t>ÖSTERGÖTLANDS LÄN</t>
        </is>
      </c>
      <c r="E515" t="inlineStr">
        <is>
          <t>LINKÖPING</t>
        </is>
      </c>
      <c r="G515" t="n">
        <v>4.6</v>
      </c>
      <c r="H515" t="n">
        <v>0</v>
      </c>
      <c r="I515" t="n">
        <v>0</v>
      </c>
      <c r="J515" t="n">
        <v>0</v>
      </c>
      <c r="K515" t="n">
        <v>0</v>
      </c>
      <c r="L515" t="n">
        <v>0</v>
      </c>
      <c r="M515" t="n">
        <v>0</v>
      </c>
      <c r="N515" t="n">
        <v>0</v>
      </c>
      <c r="O515" t="n">
        <v>0</v>
      </c>
      <c r="P515" t="n">
        <v>0</v>
      </c>
      <c r="Q515" t="n">
        <v>0</v>
      </c>
      <c r="R515" s="2" t="inlineStr"/>
    </row>
    <row r="516" ht="15" customHeight="1">
      <c r="A516" t="inlineStr">
        <is>
          <t>A 17103-2025</t>
        </is>
      </c>
      <c r="B516" s="1" t="n">
        <v>45755.66143518518</v>
      </c>
      <c r="C516" s="1" t="n">
        <v>46065</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30551-2023</t>
        </is>
      </c>
      <c r="B517" s="1" t="n">
        <v>45111</v>
      </c>
      <c r="C517" s="1" t="n">
        <v>46065</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50784-2022</t>
        </is>
      </c>
      <c r="B518" s="1" t="n">
        <v>44862</v>
      </c>
      <c r="C518" s="1" t="n">
        <v>46065</v>
      </c>
      <c r="D518" t="inlineStr">
        <is>
          <t>ÖSTERGÖTLANDS LÄN</t>
        </is>
      </c>
      <c r="E518" t="inlineStr">
        <is>
          <t>LINKÖPING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22043-2023</t>
        </is>
      </c>
      <c r="B519" s="1" t="n">
        <v>45069.39050925926</v>
      </c>
      <c r="C519" s="1" t="n">
        <v>46065</v>
      </c>
      <c r="D519" t="inlineStr">
        <is>
          <t>ÖSTERGÖTLANDS LÄN</t>
        </is>
      </c>
      <c r="E519" t="inlineStr">
        <is>
          <t>LINKÖPING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56560-2023</t>
        </is>
      </c>
      <c r="B520" s="1" t="n">
        <v>45238</v>
      </c>
      <c r="C520" s="1" t="n">
        <v>46065</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49656-2021</t>
        </is>
      </c>
      <c r="B521" s="1" t="n">
        <v>44454</v>
      </c>
      <c r="C521" s="1" t="n">
        <v>46065</v>
      </c>
      <c r="D521" t="inlineStr">
        <is>
          <t>ÖSTERGÖTLANDS LÄN</t>
        </is>
      </c>
      <c r="E521" t="inlineStr">
        <is>
          <t>LINKÖPING</t>
        </is>
      </c>
      <c r="G521" t="n">
        <v>2.3</v>
      </c>
      <c r="H521" t="n">
        <v>0</v>
      </c>
      <c r="I521" t="n">
        <v>0</v>
      </c>
      <c r="J521" t="n">
        <v>0</v>
      </c>
      <c r="K521" t="n">
        <v>0</v>
      </c>
      <c r="L521" t="n">
        <v>0</v>
      </c>
      <c r="M521" t="n">
        <v>0</v>
      </c>
      <c r="N521" t="n">
        <v>0</v>
      </c>
      <c r="O521" t="n">
        <v>0</v>
      </c>
      <c r="P521" t="n">
        <v>0</v>
      </c>
      <c r="Q521" t="n">
        <v>0</v>
      </c>
      <c r="R521" s="2" t="inlineStr"/>
    </row>
    <row r="522" ht="15" customHeight="1">
      <c r="A522" t="inlineStr">
        <is>
          <t>A 19132-2023</t>
        </is>
      </c>
      <c r="B522" s="1" t="n">
        <v>45048.54754629629</v>
      </c>
      <c r="C522" s="1" t="n">
        <v>46065</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6369-2023</t>
        </is>
      </c>
      <c r="B523" s="1" t="n">
        <v>44965.61106481482</v>
      </c>
      <c r="C523" s="1" t="n">
        <v>46065</v>
      </c>
      <c r="D523" t="inlineStr">
        <is>
          <t>ÖSTERGÖTLANDS LÄN</t>
        </is>
      </c>
      <c r="E523" t="inlineStr">
        <is>
          <t>LINKÖPING</t>
        </is>
      </c>
      <c r="G523" t="n">
        <v>4</v>
      </c>
      <c r="H523" t="n">
        <v>0</v>
      </c>
      <c r="I523" t="n">
        <v>0</v>
      </c>
      <c r="J523" t="n">
        <v>0</v>
      </c>
      <c r="K523" t="n">
        <v>0</v>
      </c>
      <c r="L523" t="n">
        <v>0</v>
      </c>
      <c r="M523" t="n">
        <v>0</v>
      </c>
      <c r="N523" t="n">
        <v>0</v>
      </c>
      <c r="O523" t="n">
        <v>0</v>
      </c>
      <c r="P523" t="n">
        <v>0</v>
      </c>
      <c r="Q523" t="n">
        <v>0</v>
      </c>
      <c r="R523" s="2" t="inlineStr"/>
    </row>
    <row r="524" ht="15" customHeight="1">
      <c r="A524" t="inlineStr">
        <is>
          <t>A 38046-2025</t>
        </is>
      </c>
      <c r="B524" s="1" t="n">
        <v>45882.39939814815</v>
      </c>
      <c r="C524" s="1" t="n">
        <v>46065</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30465-2023</t>
        </is>
      </c>
      <c r="B525" s="1" t="n">
        <v>45111</v>
      </c>
      <c r="C525" s="1" t="n">
        <v>46065</v>
      </c>
      <c r="D525" t="inlineStr">
        <is>
          <t>ÖSTERGÖTLANDS LÄN</t>
        </is>
      </c>
      <c r="E525" t="inlineStr">
        <is>
          <t>LINKÖPING</t>
        </is>
      </c>
      <c r="F525" t="inlineStr">
        <is>
          <t>Övriga Aktiebolag</t>
        </is>
      </c>
      <c r="G525" t="n">
        <v>0.7</v>
      </c>
      <c r="H525" t="n">
        <v>0</v>
      </c>
      <c r="I525" t="n">
        <v>0</v>
      </c>
      <c r="J525" t="n">
        <v>0</v>
      </c>
      <c r="K525" t="n">
        <v>0</v>
      </c>
      <c r="L525" t="n">
        <v>0</v>
      </c>
      <c r="M525" t="n">
        <v>0</v>
      </c>
      <c r="N525" t="n">
        <v>0</v>
      </c>
      <c r="O525" t="n">
        <v>0</v>
      </c>
      <c r="P525" t="n">
        <v>0</v>
      </c>
      <c r="Q525" t="n">
        <v>0</v>
      </c>
      <c r="R525" s="2" t="inlineStr"/>
    </row>
    <row r="526" ht="15" customHeight="1">
      <c r="A526" t="inlineStr">
        <is>
          <t>A 52412-2023</t>
        </is>
      </c>
      <c r="B526" s="1" t="n">
        <v>45225.27888888889</v>
      </c>
      <c r="C526" s="1" t="n">
        <v>46065</v>
      </c>
      <c r="D526" t="inlineStr">
        <is>
          <t>ÖSTERGÖTLANDS LÄN</t>
        </is>
      </c>
      <c r="E526" t="inlineStr">
        <is>
          <t>LINKÖPING</t>
        </is>
      </c>
      <c r="G526" t="n">
        <v>1.8</v>
      </c>
      <c r="H526" t="n">
        <v>0</v>
      </c>
      <c r="I526" t="n">
        <v>0</v>
      </c>
      <c r="J526" t="n">
        <v>0</v>
      </c>
      <c r="K526" t="n">
        <v>0</v>
      </c>
      <c r="L526" t="n">
        <v>0</v>
      </c>
      <c r="M526" t="n">
        <v>0</v>
      </c>
      <c r="N526" t="n">
        <v>0</v>
      </c>
      <c r="O526" t="n">
        <v>0</v>
      </c>
      <c r="P526" t="n">
        <v>0</v>
      </c>
      <c r="Q526" t="n">
        <v>0</v>
      </c>
      <c r="R526" s="2" t="inlineStr"/>
    </row>
    <row r="527" ht="15" customHeight="1">
      <c r="A527" t="inlineStr">
        <is>
          <t>A 62492-2023</t>
        </is>
      </c>
      <c r="B527" s="1" t="n">
        <v>45268.58987268519</v>
      </c>
      <c r="C527" s="1" t="n">
        <v>46065</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30521-2024</t>
        </is>
      </c>
      <c r="B528" s="1" t="n">
        <v>45492</v>
      </c>
      <c r="C528" s="1" t="n">
        <v>46065</v>
      </c>
      <c r="D528" t="inlineStr">
        <is>
          <t>ÖSTERGÖTLANDS LÄN</t>
        </is>
      </c>
      <c r="E528" t="inlineStr">
        <is>
          <t>LINKÖPING</t>
        </is>
      </c>
      <c r="G528" t="n">
        <v>0.8</v>
      </c>
      <c r="H528" t="n">
        <v>0</v>
      </c>
      <c r="I528" t="n">
        <v>0</v>
      </c>
      <c r="J528" t="n">
        <v>0</v>
      </c>
      <c r="K528" t="n">
        <v>0</v>
      </c>
      <c r="L528" t="n">
        <v>0</v>
      </c>
      <c r="M528" t="n">
        <v>0</v>
      </c>
      <c r="N528" t="n">
        <v>0</v>
      </c>
      <c r="O528" t="n">
        <v>0</v>
      </c>
      <c r="P528" t="n">
        <v>0</v>
      </c>
      <c r="Q528" t="n">
        <v>0</v>
      </c>
      <c r="R528" s="2" t="inlineStr"/>
    </row>
    <row r="529" ht="15" customHeight="1">
      <c r="A529" t="inlineStr">
        <is>
          <t>A 40618-2021</t>
        </is>
      </c>
      <c r="B529" s="1" t="n">
        <v>44420.49575231481</v>
      </c>
      <c r="C529" s="1" t="n">
        <v>46065</v>
      </c>
      <c r="D529" t="inlineStr">
        <is>
          <t>ÖSTERGÖTLANDS LÄN</t>
        </is>
      </c>
      <c r="E529" t="inlineStr">
        <is>
          <t>LINKÖPING</t>
        </is>
      </c>
      <c r="G529" t="n">
        <v>2.3</v>
      </c>
      <c r="H529" t="n">
        <v>0</v>
      </c>
      <c r="I529" t="n">
        <v>0</v>
      </c>
      <c r="J529" t="n">
        <v>0</v>
      </c>
      <c r="K529" t="n">
        <v>0</v>
      </c>
      <c r="L529" t="n">
        <v>0</v>
      </c>
      <c r="M529" t="n">
        <v>0</v>
      </c>
      <c r="N529" t="n">
        <v>0</v>
      </c>
      <c r="O529" t="n">
        <v>0</v>
      </c>
      <c r="P529" t="n">
        <v>0</v>
      </c>
      <c r="Q529" t="n">
        <v>0</v>
      </c>
      <c r="R529" s="2" t="inlineStr"/>
    </row>
    <row r="530" ht="15" customHeight="1">
      <c r="A530" t="inlineStr">
        <is>
          <t>A 38230-2023</t>
        </is>
      </c>
      <c r="B530" s="1" t="n">
        <v>45161.55373842592</v>
      </c>
      <c r="C530" s="1" t="n">
        <v>46065</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56756-2023</t>
        </is>
      </c>
      <c r="B531" s="1" t="n">
        <v>45244</v>
      </c>
      <c r="C531" s="1" t="n">
        <v>46065</v>
      </c>
      <c r="D531" t="inlineStr">
        <is>
          <t>ÖSTERGÖTLANDS LÄN</t>
        </is>
      </c>
      <c r="E531" t="inlineStr">
        <is>
          <t>LINKÖPING</t>
        </is>
      </c>
      <c r="F531" t="inlineStr">
        <is>
          <t>Övriga Aktiebolag</t>
        </is>
      </c>
      <c r="G531" t="n">
        <v>0.8</v>
      </c>
      <c r="H531" t="n">
        <v>0</v>
      </c>
      <c r="I531" t="n">
        <v>0</v>
      </c>
      <c r="J531" t="n">
        <v>0</v>
      </c>
      <c r="K531" t="n">
        <v>0</v>
      </c>
      <c r="L531" t="n">
        <v>0</v>
      </c>
      <c r="M531" t="n">
        <v>0</v>
      </c>
      <c r="N531" t="n">
        <v>0</v>
      </c>
      <c r="O531" t="n">
        <v>0</v>
      </c>
      <c r="P531" t="n">
        <v>0</v>
      </c>
      <c r="Q531" t="n">
        <v>0</v>
      </c>
      <c r="R531" s="2" t="inlineStr"/>
    </row>
    <row r="532" ht="15" customHeight="1">
      <c r="A532" t="inlineStr">
        <is>
          <t>A 23735-2023</t>
        </is>
      </c>
      <c r="B532" s="1" t="n">
        <v>45077</v>
      </c>
      <c r="C532" s="1" t="n">
        <v>46065</v>
      </c>
      <c r="D532" t="inlineStr">
        <is>
          <t>ÖSTERGÖTLANDS LÄN</t>
        </is>
      </c>
      <c r="E532" t="inlineStr">
        <is>
          <t>LINKÖPING</t>
        </is>
      </c>
      <c r="G532" t="n">
        <v>1.7</v>
      </c>
      <c r="H532" t="n">
        <v>0</v>
      </c>
      <c r="I532" t="n">
        <v>0</v>
      </c>
      <c r="J532" t="n">
        <v>0</v>
      </c>
      <c r="K532" t="n">
        <v>0</v>
      </c>
      <c r="L532" t="n">
        <v>0</v>
      </c>
      <c r="M532" t="n">
        <v>0</v>
      </c>
      <c r="N532" t="n">
        <v>0</v>
      </c>
      <c r="O532" t="n">
        <v>0</v>
      </c>
      <c r="P532" t="n">
        <v>0</v>
      </c>
      <c r="Q532" t="n">
        <v>0</v>
      </c>
      <c r="R532" s="2" t="inlineStr"/>
    </row>
    <row r="533" ht="15" customHeight="1">
      <c r="A533" t="inlineStr">
        <is>
          <t>A 350-2022</t>
        </is>
      </c>
      <c r="B533" s="1" t="n">
        <v>44565</v>
      </c>
      <c r="C533" s="1" t="n">
        <v>46065</v>
      </c>
      <c r="D533" t="inlineStr">
        <is>
          <t>ÖSTERGÖTLANDS LÄN</t>
        </is>
      </c>
      <c r="E533" t="inlineStr">
        <is>
          <t>LINKÖPING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3008-2023</t>
        </is>
      </c>
      <c r="B534" s="1" t="n">
        <v>44945.79784722222</v>
      </c>
      <c r="C534" s="1" t="n">
        <v>46065</v>
      </c>
      <c r="D534" t="inlineStr">
        <is>
          <t>ÖSTERGÖTLANDS LÄN</t>
        </is>
      </c>
      <c r="E534" t="inlineStr">
        <is>
          <t>LINKÖPING</t>
        </is>
      </c>
      <c r="G534" t="n">
        <v>19.3</v>
      </c>
      <c r="H534" t="n">
        <v>0</v>
      </c>
      <c r="I534" t="n">
        <v>0</v>
      </c>
      <c r="J534" t="n">
        <v>0</v>
      </c>
      <c r="K534" t="n">
        <v>0</v>
      </c>
      <c r="L534" t="n">
        <v>0</v>
      </c>
      <c r="M534" t="n">
        <v>0</v>
      </c>
      <c r="N534" t="n">
        <v>0</v>
      </c>
      <c r="O534" t="n">
        <v>0</v>
      </c>
      <c r="P534" t="n">
        <v>0</v>
      </c>
      <c r="Q534" t="n">
        <v>0</v>
      </c>
      <c r="R534" s="2" t="inlineStr"/>
    </row>
    <row r="535" ht="15" customHeight="1">
      <c r="A535" t="inlineStr">
        <is>
          <t>A 10094-2024</t>
        </is>
      </c>
      <c r="B535" s="1" t="n">
        <v>45364</v>
      </c>
      <c r="C535" s="1" t="n">
        <v>46065</v>
      </c>
      <c r="D535" t="inlineStr">
        <is>
          <t>ÖSTERGÖTLANDS LÄN</t>
        </is>
      </c>
      <c r="E535" t="inlineStr">
        <is>
          <t>LINKÖPING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4256-2022</t>
        </is>
      </c>
      <c r="B536" s="1" t="n">
        <v>44588</v>
      </c>
      <c r="C536" s="1" t="n">
        <v>46065</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38886-2024</t>
        </is>
      </c>
      <c r="B537" s="1" t="n">
        <v>45547.66443287037</v>
      </c>
      <c r="C537" s="1" t="n">
        <v>46065</v>
      </c>
      <c r="D537" t="inlineStr">
        <is>
          <t>ÖSTERGÖTLANDS LÄN</t>
        </is>
      </c>
      <c r="E537" t="inlineStr">
        <is>
          <t>LINKÖPING</t>
        </is>
      </c>
      <c r="G537" t="n">
        <v>5.3</v>
      </c>
      <c r="H537" t="n">
        <v>0</v>
      </c>
      <c r="I537" t="n">
        <v>0</v>
      </c>
      <c r="J537" t="n">
        <v>0</v>
      </c>
      <c r="K537" t="n">
        <v>0</v>
      </c>
      <c r="L537" t="n">
        <v>0</v>
      </c>
      <c r="M537" t="n">
        <v>0</v>
      </c>
      <c r="N537" t="n">
        <v>0</v>
      </c>
      <c r="O537" t="n">
        <v>0</v>
      </c>
      <c r="P537" t="n">
        <v>0</v>
      </c>
      <c r="Q537" t="n">
        <v>0</v>
      </c>
      <c r="R537" s="2" t="inlineStr"/>
    </row>
    <row r="538" ht="15" customHeight="1">
      <c r="A538" t="inlineStr">
        <is>
          <t>A 11590-2023</t>
        </is>
      </c>
      <c r="B538" s="1" t="n">
        <v>44994.36689814815</v>
      </c>
      <c r="C538" s="1" t="n">
        <v>46065</v>
      </c>
      <c r="D538" t="inlineStr">
        <is>
          <t>ÖSTERGÖTLANDS LÄN</t>
        </is>
      </c>
      <c r="E538" t="inlineStr">
        <is>
          <t>LINKÖPING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55345-2021</t>
        </is>
      </c>
      <c r="B539" s="1" t="n">
        <v>44475</v>
      </c>
      <c r="C539" s="1" t="n">
        <v>46065</v>
      </c>
      <c r="D539" t="inlineStr">
        <is>
          <t>ÖSTERGÖTLANDS LÄN</t>
        </is>
      </c>
      <c r="E539" t="inlineStr">
        <is>
          <t>LINKÖPING</t>
        </is>
      </c>
      <c r="G539" t="n">
        <v>5.7</v>
      </c>
      <c r="H539" t="n">
        <v>0</v>
      </c>
      <c r="I539" t="n">
        <v>0</v>
      </c>
      <c r="J539" t="n">
        <v>0</v>
      </c>
      <c r="K539" t="n">
        <v>0</v>
      </c>
      <c r="L539" t="n">
        <v>0</v>
      </c>
      <c r="M539" t="n">
        <v>0</v>
      </c>
      <c r="N539" t="n">
        <v>0</v>
      </c>
      <c r="O539" t="n">
        <v>0</v>
      </c>
      <c r="P539" t="n">
        <v>0</v>
      </c>
      <c r="Q539" t="n">
        <v>0</v>
      </c>
      <c r="R539" s="2" t="inlineStr"/>
    </row>
    <row r="540" ht="15" customHeight="1">
      <c r="A540" t="inlineStr">
        <is>
          <t>A 25948-2023</t>
        </is>
      </c>
      <c r="B540" s="1" t="n">
        <v>45090</v>
      </c>
      <c r="C540" s="1" t="n">
        <v>46065</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25292-2021</t>
        </is>
      </c>
      <c r="B541" s="1" t="n">
        <v>44342</v>
      </c>
      <c r="C541" s="1" t="n">
        <v>46065</v>
      </c>
      <c r="D541" t="inlineStr">
        <is>
          <t>ÖSTERGÖTLANDS LÄN</t>
        </is>
      </c>
      <c r="E541" t="inlineStr">
        <is>
          <t>LINKÖPING</t>
        </is>
      </c>
      <c r="F541" t="inlineStr">
        <is>
          <t>Övriga Aktiebolag</t>
        </is>
      </c>
      <c r="G541" t="n">
        <v>12.8</v>
      </c>
      <c r="H541" t="n">
        <v>0</v>
      </c>
      <c r="I541" t="n">
        <v>0</v>
      </c>
      <c r="J541" t="n">
        <v>0</v>
      </c>
      <c r="K541" t="n">
        <v>0</v>
      </c>
      <c r="L541" t="n">
        <v>0</v>
      </c>
      <c r="M541" t="n">
        <v>0</v>
      </c>
      <c r="N541" t="n">
        <v>0</v>
      </c>
      <c r="O541" t="n">
        <v>0</v>
      </c>
      <c r="P541" t="n">
        <v>0</v>
      </c>
      <c r="Q541" t="n">
        <v>0</v>
      </c>
      <c r="R541" s="2" t="inlineStr"/>
    </row>
    <row r="542" ht="15" customHeight="1">
      <c r="A542" t="inlineStr">
        <is>
          <t>A 10461-2023</t>
        </is>
      </c>
      <c r="B542" s="1" t="n">
        <v>44987.5969212963</v>
      </c>
      <c r="C542" s="1" t="n">
        <v>46065</v>
      </c>
      <c r="D542" t="inlineStr">
        <is>
          <t>ÖSTERGÖTLANDS LÄN</t>
        </is>
      </c>
      <c r="E542" t="inlineStr">
        <is>
          <t>LINKÖPING</t>
        </is>
      </c>
      <c r="G542" t="n">
        <v>7.8</v>
      </c>
      <c r="H542" t="n">
        <v>0</v>
      </c>
      <c r="I542" t="n">
        <v>0</v>
      </c>
      <c r="J542" t="n">
        <v>0</v>
      </c>
      <c r="K542" t="n">
        <v>0</v>
      </c>
      <c r="L542" t="n">
        <v>0</v>
      </c>
      <c r="M542" t="n">
        <v>0</v>
      </c>
      <c r="N542" t="n">
        <v>0</v>
      </c>
      <c r="O542" t="n">
        <v>0</v>
      </c>
      <c r="P542" t="n">
        <v>0</v>
      </c>
      <c r="Q542" t="n">
        <v>0</v>
      </c>
      <c r="R542" s="2" t="inlineStr"/>
    </row>
    <row r="543" ht="15" customHeight="1">
      <c r="A543" t="inlineStr">
        <is>
          <t>A 41345-2021</t>
        </is>
      </c>
      <c r="B543" s="1" t="n">
        <v>44424.61851851852</v>
      </c>
      <c r="C543" s="1" t="n">
        <v>46065</v>
      </c>
      <c r="D543" t="inlineStr">
        <is>
          <t>ÖSTERGÖTLANDS LÄN</t>
        </is>
      </c>
      <c r="E543" t="inlineStr">
        <is>
          <t>LINKÖPING</t>
        </is>
      </c>
      <c r="F543" t="inlineStr">
        <is>
          <t>Sveaskog</t>
        </is>
      </c>
      <c r="G543" t="n">
        <v>6.3</v>
      </c>
      <c r="H543" t="n">
        <v>0</v>
      </c>
      <c r="I543" t="n">
        <v>0</v>
      </c>
      <c r="J543" t="n">
        <v>0</v>
      </c>
      <c r="K543" t="n">
        <v>0</v>
      </c>
      <c r="L543" t="n">
        <v>0</v>
      </c>
      <c r="M543" t="n">
        <v>0</v>
      </c>
      <c r="N543" t="n">
        <v>0</v>
      </c>
      <c r="O543" t="n">
        <v>0</v>
      </c>
      <c r="P543" t="n">
        <v>0</v>
      </c>
      <c r="Q543" t="n">
        <v>0</v>
      </c>
      <c r="R543" s="2" t="inlineStr"/>
    </row>
    <row r="544" ht="15" customHeight="1">
      <c r="A544" t="inlineStr">
        <is>
          <t>A 1207-2023</t>
        </is>
      </c>
      <c r="B544" s="1" t="n">
        <v>44930</v>
      </c>
      <c r="C544" s="1" t="n">
        <v>46065</v>
      </c>
      <c r="D544" t="inlineStr">
        <is>
          <t>ÖSTERGÖTLANDS LÄN</t>
        </is>
      </c>
      <c r="E544" t="inlineStr">
        <is>
          <t>LINKÖPING</t>
        </is>
      </c>
      <c r="F544" t="inlineStr">
        <is>
          <t>Övriga statliga verk och myndigheter</t>
        </is>
      </c>
      <c r="G544" t="n">
        <v>32.8</v>
      </c>
      <c r="H544" t="n">
        <v>0</v>
      </c>
      <c r="I544" t="n">
        <v>0</v>
      </c>
      <c r="J544" t="n">
        <v>0</v>
      </c>
      <c r="K544" t="n">
        <v>0</v>
      </c>
      <c r="L544" t="n">
        <v>0</v>
      </c>
      <c r="M544" t="n">
        <v>0</v>
      </c>
      <c r="N544" t="n">
        <v>0</v>
      </c>
      <c r="O544" t="n">
        <v>0</v>
      </c>
      <c r="P544" t="n">
        <v>0</v>
      </c>
      <c r="Q544" t="n">
        <v>0</v>
      </c>
      <c r="R544" s="2" t="inlineStr"/>
    </row>
    <row r="545" ht="15" customHeight="1">
      <c r="A545" t="inlineStr">
        <is>
          <t>A 61281-2021</t>
        </is>
      </c>
      <c r="B545" s="1" t="n">
        <v>44498.60736111111</v>
      </c>
      <c r="C545" s="1" t="n">
        <v>46065</v>
      </c>
      <c r="D545" t="inlineStr">
        <is>
          <t>ÖSTERGÖTLANDS LÄN</t>
        </is>
      </c>
      <c r="E545" t="inlineStr">
        <is>
          <t>LINKÖPING</t>
        </is>
      </c>
      <c r="G545" t="n">
        <v>4.5</v>
      </c>
      <c r="H545" t="n">
        <v>0</v>
      </c>
      <c r="I545" t="n">
        <v>0</v>
      </c>
      <c r="J545" t="n">
        <v>0</v>
      </c>
      <c r="K545" t="n">
        <v>0</v>
      </c>
      <c r="L545" t="n">
        <v>0</v>
      </c>
      <c r="M545" t="n">
        <v>0</v>
      </c>
      <c r="N545" t="n">
        <v>0</v>
      </c>
      <c r="O545" t="n">
        <v>0</v>
      </c>
      <c r="P545" t="n">
        <v>0</v>
      </c>
      <c r="Q545" t="n">
        <v>0</v>
      </c>
      <c r="R545" s="2" t="inlineStr"/>
    </row>
    <row r="546" ht="15" customHeight="1">
      <c r="A546" t="inlineStr">
        <is>
          <t>A 62015-2024</t>
        </is>
      </c>
      <c r="B546" s="1" t="n">
        <v>45655.80457175926</v>
      </c>
      <c r="C546" s="1" t="n">
        <v>46065</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62020-2024</t>
        </is>
      </c>
      <c r="B547" s="1" t="n">
        <v>45655.83563657408</v>
      </c>
      <c r="C547" s="1" t="n">
        <v>46065</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62021-2024</t>
        </is>
      </c>
      <c r="B548" s="1" t="n">
        <v>45655.84232638889</v>
      </c>
      <c r="C548" s="1" t="n">
        <v>46065</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63935-2021</t>
        </is>
      </c>
      <c r="B549" s="1" t="n">
        <v>44509</v>
      </c>
      <c r="C549" s="1" t="n">
        <v>46065</v>
      </c>
      <c r="D549" t="inlineStr">
        <is>
          <t>ÖSTERGÖTLANDS LÄN</t>
        </is>
      </c>
      <c r="E549" t="inlineStr">
        <is>
          <t>LINKÖPING</t>
        </is>
      </c>
      <c r="F549" t="inlineStr">
        <is>
          <t>Övriga statliga verk och myndigheter</t>
        </is>
      </c>
      <c r="G549" t="n">
        <v>2.8</v>
      </c>
      <c r="H549" t="n">
        <v>0</v>
      </c>
      <c r="I549" t="n">
        <v>0</v>
      </c>
      <c r="J549" t="n">
        <v>0</v>
      </c>
      <c r="K549" t="n">
        <v>0</v>
      </c>
      <c r="L549" t="n">
        <v>0</v>
      </c>
      <c r="M549" t="n">
        <v>0</v>
      </c>
      <c r="N549" t="n">
        <v>0</v>
      </c>
      <c r="O549" t="n">
        <v>0</v>
      </c>
      <c r="P549" t="n">
        <v>0</v>
      </c>
      <c r="Q549" t="n">
        <v>0</v>
      </c>
      <c r="R549" s="2" t="inlineStr"/>
    </row>
    <row r="550" ht="15" customHeight="1">
      <c r="A550" t="inlineStr">
        <is>
          <t>A 27891-2021</t>
        </is>
      </c>
      <c r="B550" s="1" t="n">
        <v>44354.65108796296</v>
      </c>
      <c r="C550" s="1" t="n">
        <v>46065</v>
      </c>
      <c r="D550" t="inlineStr">
        <is>
          <t>ÖSTERGÖTLANDS LÄN</t>
        </is>
      </c>
      <c r="E550" t="inlineStr">
        <is>
          <t>LINKÖPING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57391-2023</t>
        </is>
      </c>
      <c r="B551" s="1" t="n">
        <v>45245</v>
      </c>
      <c r="C551" s="1" t="n">
        <v>46065</v>
      </c>
      <c r="D551" t="inlineStr">
        <is>
          <t>ÖSTERGÖTLANDS LÄN</t>
        </is>
      </c>
      <c r="E551" t="inlineStr">
        <is>
          <t>LINKÖPING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61307-2021</t>
        </is>
      </c>
      <c r="B552" s="1" t="n">
        <v>44498.63928240741</v>
      </c>
      <c r="C552" s="1" t="n">
        <v>46065</v>
      </c>
      <c r="D552" t="inlineStr">
        <is>
          <t>ÖSTERGÖTLANDS LÄN</t>
        </is>
      </c>
      <c r="E552" t="inlineStr">
        <is>
          <t>LINKÖPING</t>
        </is>
      </c>
      <c r="G552" t="n">
        <v>1.8</v>
      </c>
      <c r="H552" t="n">
        <v>0</v>
      </c>
      <c r="I552" t="n">
        <v>0</v>
      </c>
      <c r="J552" t="n">
        <v>0</v>
      </c>
      <c r="K552" t="n">
        <v>0</v>
      </c>
      <c r="L552" t="n">
        <v>0</v>
      </c>
      <c r="M552" t="n">
        <v>0</v>
      </c>
      <c r="N552" t="n">
        <v>0</v>
      </c>
      <c r="O552" t="n">
        <v>0</v>
      </c>
      <c r="P552" t="n">
        <v>0</v>
      </c>
      <c r="Q552" t="n">
        <v>0</v>
      </c>
      <c r="R552" s="2" t="inlineStr"/>
    </row>
    <row r="553" ht="15" customHeight="1">
      <c r="A553" t="inlineStr">
        <is>
          <t>A 61325-2021</t>
        </is>
      </c>
      <c r="B553" s="1" t="n">
        <v>44498.66814814815</v>
      </c>
      <c r="C553" s="1" t="n">
        <v>46065</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60010-2022</t>
        </is>
      </c>
      <c r="B554" s="1" t="n">
        <v>44909.4740625</v>
      </c>
      <c r="C554" s="1" t="n">
        <v>46065</v>
      </c>
      <c r="D554" t="inlineStr">
        <is>
          <t>ÖSTERGÖTLANDS LÄN</t>
        </is>
      </c>
      <c r="E554" t="inlineStr">
        <is>
          <t>LINKÖPING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39074-2025</t>
        </is>
      </c>
      <c r="B555" s="1" t="n">
        <v>45888</v>
      </c>
      <c r="C555" s="1" t="n">
        <v>46065</v>
      </c>
      <c r="D555" t="inlineStr">
        <is>
          <t>ÖSTERGÖTLANDS LÄN</t>
        </is>
      </c>
      <c r="E555" t="inlineStr">
        <is>
          <t>LINKÖPING</t>
        </is>
      </c>
      <c r="G555" t="n">
        <v>2.9</v>
      </c>
      <c r="H555" t="n">
        <v>0</v>
      </c>
      <c r="I555" t="n">
        <v>0</v>
      </c>
      <c r="J555" t="n">
        <v>0</v>
      </c>
      <c r="K555" t="n">
        <v>0</v>
      </c>
      <c r="L555" t="n">
        <v>0</v>
      </c>
      <c r="M555" t="n">
        <v>0</v>
      </c>
      <c r="N555" t="n">
        <v>0</v>
      </c>
      <c r="O555" t="n">
        <v>0</v>
      </c>
      <c r="P555" t="n">
        <v>0</v>
      </c>
      <c r="Q555" t="n">
        <v>0</v>
      </c>
      <c r="R555" s="2" t="inlineStr"/>
    </row>
    <row r="556" ht="15" customHeight="1">
      <c r="A556" t="inlineStr">
        <is>
          <t>A 30518-2024</t>
        </is>
      </c>
      <c r="B556" s="1" t="n">
        <v>45492</v>
      </c>
      <c r="C556" s="1" t="n">
        <v>46065</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20294-2025</t>
        </is>
      </c>
      <c r="B557" s="1" t="n">
        <v>45774.74667824074</v>
      </c>
      <c r="C557" s="1" t="n">
        <v>46065</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4908-2023</t>
        </is>
      </c>
      <c r="B558" s="1" t="n">
        <v>44958</v>
      </c>
      <c r="C558" s="1" t="n">
        <v>46065</v>
      </c>
      <c r="D558" t="inlineStr">
        <is>
          <t>ÖSTERGÖTLANDS LÄN</t>
        </is>
      </c>
      <c r="E558" t="inlineStr">
        <is>
          <t>LINKÖPING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37715-2022</t>
        </is>
      </c>
      <c r="B559" s="1" t="n">
        <v>44810</v>
      </c>
      <c r="C559" s="1" t="n">
        <v>46065</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60013-2022</t>
        </is>
      </c>
      <c r="B560" s="1" t="n">
        <v>44909.47482638889</v>
      </c>
      <c r="C560" s="1" t="n">
        <v>46065</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3007-2025</t>
        </is>
      </c>
      <c r="B561" s="1" t="n">
        <v>45678.56328703704</v>
      </c>
      <c r="C561" s="1" t="n">
        <v>46065</v>
      </c>
      <c r="D561" t="inlineStr">
        <is>
          <t>ÖSTERGÖTLANDS LÄN</t>
        </is>
      </c>
      <c r="E561" t="inlineStr">
        <is>
          <t>LINKÖPING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34877-2023</t>
        </is>
      </c>
      <c r="B562" s="1" t="n">
        <v>45140</v>
      </c>
      <c r="C562" s="1" t="n">
        <v>46065</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1924-2024</t>
        </is>
      </c>
      <c r="B563" s="1" t="n">
        <v>45308</v>
      </c>
      <c r="C563" s="1" t="n">
        <v>46065</v>
      </c>
      <c r="D563" t="inlineStr">
        <is>
          <t>ÖSTERGÖTLANDS LÄN</t>
        </is>
      </c>
      <c r="E563" t="inlineStr">
        <is>
          <t>LINKÖPING</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38971-2025</t>
        </is>
      </c>
      <c r="B564" s="1" t="n">
        <v>45887.71827546296</v>
      </c>
      <c r="C564" s="1" t="n">
        <v>46065</v>
      </c>
      <c r="D564" t="inlineStr">
        <is>
          <t>ÖSTERGÖTLANDS LÄN</t>
        </is>
      </c>
      <c r="E564" t="inlineStr">
        <is>
          <t>LINKÖPING</t>
        </is>
      </c>
      <c r="G564" t="n">
        <v>3.9</v>
      </c>
      <c r="H564" t="n">
        <v>0</v>
      </c>
      <c r="I564" t="n">
        <v>0</v>
      </c>
      <c r="J564" t="n">
        <v>0</v>
      </c>
      <c r="K564" t="n">
        <v>0</v>
      </c>
      <c r="L564" t="n">
        <v>0</v>
      </c>
      <c r="M564" t="n">
        <v>0</v>
      </c>
      <c r="N564" t="n">
        <v>0</v>
      </c>
      <c r="O564" t="n">
        <v>0</v>
      </c>
      <c r="P564" t="n">
        <v>0</v>
      </c>
      <c r="Q564" t="n">
        <v>0</v>
      </c>
      <c r="R564" s="2" t="inlineStr"/>
    </row>
    <row r="565" ht="15" customHeight="1">
      <c r="A565" t="inlineStr">
        <is>
          <t>A 72567-2021</t>
        </is>
      </c>
      <c r="B565" s="1" t="n">
        <v>44546.45023148148</v>
      </c>
      <c r="C565" s="1" t="n">
        <v>46065</v>
      </c>
      <c r="D565" t="inlineStr">
        <is>
          <t>ÖSTERGÖTLANDS LÄN</t>
        </is>
      </c>
      <c r="E565" t="inlineStr">
        <is>
          <t>LINKÖPING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27264-2025</t>
        </is>
      </c>
      <c r="B566" s="1" t="n">
        <v>45812.4794212963</v>
      </c>
      <c r="C566" s="1" t="n">
        <v>46065</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3011-2023</t>
        </is>
      </c>
      <c r="B567" s="1" t="n">
        <v>44945</v>
      </c>
      <c r="C567" s="1" t="n">
        <v>46065</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34558-2022</t>
        </is>
      </c>
      <c r="B568" s="1" t="n">
        <v>44794.57594907407</v>
      </c>
      <c r="C568" s="1" t="n">
        <v>46065</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168-2024</t>
        </is>
      </c>
      <c r="B569" s="1" t="n">
        <v>45294</v>
      </c>
      <c r="C569" s="1" t="n">
        <v>46065</v>
      </c>
      <c r="D569" t="inlineStr">
        <is>
          <t>ÖSTERGÖTLANDS LÄN</t>
        </is>
      </c>
      <c r="E569" t="inlineStr">
        <is>
          <t>LINKÖPING</t>
        </is>
      </c>
      <c r="F569" t="inlineStr">
        <is>
          <t>Allmännings- och besparingsskogar</t>
        </is>
      </c>
      <c r="G569" t="n">
        <v>8.9</v>
      </c>
      <c r="H569" t="n">
        <v>0</v>
      </c>
      <c r="I569" t="n">
        <v>0</v>
      </c>
      <c r="J569" t="n">
        <v>0</v>
      </c>
      <c r="K569" t="n">
        <v>0</v>
      </c>
      <c r="L569" t="n">
        <v>0</v>
      </c>
      <c r="M569" t="n">
        <v>0</v>
      </c>
      <c r="N569" t="n">
        <v>0</v>
      </c>
      <c r="O569" t="n">
        <v>0</v>
      </c>
      <c r="P569" t="n">
        <v>0</v>
      </c>
      <c r="Q569" t="n">
        <v>0</v>
      </c>
      <c r="R569" s="2" t="inlineStr"/>
    </row>
    <row r="570" ht="15" customHeight="1">
      <c r="A570" t="inlineStr">
        <is>
          <t>A 45442-2024</t>
        </is>
      </c>
      <c r="B570" s="1" t="n">
        <v>45576.64189814815</v>
      </c>
      <c r="C570" s="1" t="n">
        <v>46065</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39438-2025</t>
        </is>
      </c>
      <c r="B571" s="1" t="n">
        <v>45889.68641203704</v>
      </c>
      <c r="C571" s="1" t="n">
        <v>46065</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15658-2023</t>
        </is>
      </c>
      <c r="B572" s="1" t="n">
        <v>45021.41194444444</v>
      </c>
      <c r="C572" s="1" t="n">
        <v>46065</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3432-2023</t>
        </is>
      </c>
      <c r="B573" s="1" t="n">
        <v>44949</v>
      </c>
      <c r="C573" s="1" t="n">
        <v>46065</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60472-2022</t>
        </is>
      </c>
      <c r="B574" s="1" t="n">
        <v>44911.41037037037</v>
      </c>
      <c r="C574" s="1" t="n">
        <v>46065</v>
      </c>
      <c r="D574" t="inlineStr">
        <is>
          <t>ÖSTERGÖTLANDS LÄN</t>
        </is>
      </c>
      <c r="E574" t="inlineStr">
        <is>
          <t>LINKÖPING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12720-2022</t>
        </is>
      </c>
      <c r="B575" s="1" t="n">
        <v>44641</v>
      </c>
      <c r="C575" s="1" t="n">
        <v>46065</v>
      </c>
      <c r="D575" t="inlineStr">
        <is>
          <t>ÖSTERGÖTLANDS LÄN</t>
        </is>
      </c>
      <c r="E575" t="inlineStr">
        <is>
          <t>LINKÖPING</t>
        </is>
      </c>
      <c r="F575" t="inlineStr">
        <is>
          <t>Övriga Aktiebolag</t>
        </is>
      </c>
      <c r="G575" t="n">
        <v>2</v>
      </c>
      <c r="H575" t="n">
        <v>0</v>
      </c>
      <c r="I575" t="n">
        <v>0</v>
      </c>
      <c r="J575" t="n">
        <v>0</v>
      </c>
      <c r="K575" t="n">
        <v>0</v>
      </c>
      <c r="L575" t="n">
        <v>0</v>
      </c>
      <c r="M575" t="n">
        <v>0</v>
      </c>
      <c r="N575" t="n">
        <v>0</v>
      </c>
      <c r="O575" t="n">
        <v>0</v>
      </c>
      <c r="P575" t="n">
        <v>0</v>
      </c>
      <c r="Q575" t="n">
        <v>0</v>
      </c>
      <c r="R575" s="2" t="inlineStr"/>
    </row>
    <row r="576" ht="15" customHeight="1">
      <c r="A576" t="inlineStr">
        <is>
          <t>A 30433-2024</t>
        </is>
      </c>
      <c r="B576" s="1" t="n">
        <v>45491.69741898148</v>
      </c>
      <c r="C576" s="1" t="n">
        <v>46065</v>
      </c>
      <c r="D576" t="inlineStr">
        <is>
          <t>ÖSTERGÖTLANDS LÄN</t>
        </is>
      </c>
      <c r="E576" t="inlineStr">
        <is>
          <t>LINKÖPING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52220-2023</t>
        </is>
      </c>
      <c r="B577" s="1" t="n">
        <v>45217</v>
      </c>
      <c r="C577" s="1" t="n">
        <v>46065</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52225-2023</t>
        </is>
      </c>
      <c r="B578" s="1" t="n">
        <v>45217</v>
      </c>
      <c r="C578" s="1" t="n">
        <v>46065</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40169-2025</t>
        </is>
      </c>
      <c r="B579" s="1" t="n">
        <v>45894.62824074074</v>
      </c>
      <c r="C579" s="1" t="n">
        <v>46065</v>
      </c>
      <c r="D579" t="inlineStr">
        <is>
          <t>ÖSTERGÖTLANDS LÄN</t>
        </is>
      </c>
      <c r="E579" t="inlineStr">
        <is>
          <t>LINKÖPING</t>
        </is>
      </c>
      <c r="G579" t="n">
        <v>2.8</v>
      </c>
      <c r="H579" t="n">
        <v>0</v>
      </c>
      <c r="I579" t="n">
        <v>0</v>
      </c>
      <c r="J579" t="n">
        <v>0</v>
      </c>
      <c r="K579" t="n">
        <v>0</v>
      </c>
      <c r="L579" t="n">
        <v>0</v>
      </c>
      <c r="M579" t="n">
        <v>0</v>
      </c>
      <c r="N579" t="n">
        <v>0</v>
      </c>
      <c r="O579" t="n">
        <v>0</v>
      </c>
      <c r="P579" t="n">
        <v>0</v>
      </c>
      <c r="Q579" t="n">
        <v>0</v>
      </c>
      <c r="R579" s="2" t="inlineStr"/>
    </row>
    <row r="580" ht="15" customHeight="1">
      <c r="A580" t="inlineStr">
        <is>
          <t>A 19464-2024</t>
        </is>
      </c>
      <c r="B580" s="1" t="n">
        <v>45429</v>
      </c>
      <c r="C580" s="1" t="n">
        <v>46065</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42044-2023</t>
        </is>
      </c>
      <c r="B581" s="1" t="n">
        <v>45177</v>
      </c>
      <c r="C581" s="1" t="n">
        <v>46065</v>
      </c>
      <c r="D581" t="inlineStr">
        <is>
          <t>ÖSTERGÖTLANDS LÄN</t>
        </is>
      </c>
      <c r="E581" t="inlineStr">
        <is>
          <t>LINKÖPING</t>
        </is>
      </c>
      <c r="G581" t="n">
        <v>3.9</v>
      </c>
      <c r="H581" t="n">
        <v>0</v>
      </c>
      <c r="I581" t="n">
        <v>0</v>
      </c>
      <c r="J581" t="n">
        <v>0</v>
      </c>
      <c r="K581" t="n">
        <v>0</v>
      </c>
      <c r="L581" t="n">
        <v>0</v>
      </c>
      <c r="M581" t="n">
        <v>0</v>
      </c>
      <c r="N581" t="n">
        <v>0</v>
      </c>
      <c r="O581" t="n">
        <v>0</v>
      </c>
      <c r="P581" t="n">
        <v>0</v>
      </c>
      <c r="Q581" t="n">
        <v>0</v>
      </c>
      <c r="R581" s="2" t="inlineStr"/>
    </row>
    <row r="582" ht="15" customHeight="1">
      <c r="A582" t="inlineStr">
        <is>
          <t>A 630-2024</t>
        </is>
      </c>
      <c r="B582" s="1" t="n">
        <v>45299.67736111111</v>
      </c>
      <c r="C582" s="1" t="n">
        <v>46065</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21782-2024</t>
        </is>
      </c>
      <c r="B583" s="1" t="n">
        <v>45442.63368055555</v>
      </c>
      <c r="C583" s="1" t="n">
        <v>46065</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57766-2023</t>
        </is>
      </c>
      <c r="B584" s="1" t="n">
        <v>45246</v>
      </c>
      <c r="C584" s="1" t="n">
        <v>46065</v>
      </c>
      <c r="D584" t="inlineStr">
        <is>
          <t>ÖSTERGÖTLANDS LÄN</t>
        </is>
      </c>
      <c r="E584" t="inlineStr">
        <is>
          <t>LINKÖPING</t>
        </is>
      </c>
      <c r="F584" t="inlineStr">
        <is>
          <t>Allmännings- och besparingsskogar</t>
        </is>
      </c>
      <c r="G584" t="n">
        <v>12.8</v>
      </c>
      <c r="H584" t="n">
        <v>0</v>
      </c>
      <c r="I584" t="n">
        <v>0</v>
      </c>
      <c r="J584" t="n">
        <v>0</v>
      </c>
      <c r="K584" t="n">
        <v>0</v>
      </c>
      <c r="L584" t="n">
        <v>0</v>
      </c>
      <c r="M584" t="n">
        <v>0</v>
      </c>
      <c r="N584" t="n">
        <v>0</v>
      </c>
      <c r="O584" t="n">
        <v>0</v>
      </c>
      <c r="P584" t="n">
        <v>0</v>
      </c>
      <c r="Q584" t="n">
        <v>0</v>
      </c>
      <c r="R584" s="2" t="inlineStr"/>
    </row>
    <row r="585" ht="15" customHeight="1">
      <c r="A585" t="inlineStr">
        <is>
          <t>A 41706-2025</t>
        </is>
      </c>
      <c r="B585" s="1" t="n">
        <v>45902.42209490741</v>
      </c>
      <c r="C585" s="1" t="n">
        <v>46065</v>
      </c>
      <c r="D585" t="inlineStr">
        <is>
          <t>ÖSTERGÖTLANDS LÄN</t>
        </is>
      </c>
      <c r="E585" t="inlineStr">
        <is>
          <t>LINKÖPING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27186-2021</t>
        </is>
      </c>
      <c r="B586" s="1" t="n">
        <v>44350.67715277777</v>
      </c>
      <c r="C586" s="1" t="n">
        <v>46065</v>
      </c>
      <c r="D586" t="inlineStr">
        <is>
          <t>ÖSTERGÖTLANDS LÄN</t>
        </is>
      </c>
      <c r="E586" t="inlineStr">
        <is>
          <t>LINKÖPING</t>
        </is>
      </c>
      <c r="F586" t="inlineStr">
        <is>
          <t>Allmännings- och besparingsskogar</t>
        </is>
      </c>
      <c r="G586" t="n">
        <v>1.4</v>
      </c>
      <c r="H586" t="n">
        <v>0</v>
      </c>
      <c r="I586" t="n">
        <v>0</v>
      </c>
      <c r="J586" t="n">
        <v>0</v>
      </c>
      <c r="K586" t="n">
        <v>0</v>
      </c>
      <c r="L586" t="n">
        <v>0</v>
      </c>
      <c r="M586" t="n">
        <v>0</v>
      </c>
      <c r="N586" t="n">
        <v>0</v>
      </c>
      <c r="O586" t="n">
        <v>0</v>
      </c>
      <c r="P586" t="n">
        <v>0</v>
      </c>
      <c r="Q586" t="n">
        <v>0</v>
      </c>
      <c r="R586" s="2" t="inlineStr"/>
    </row>
    <row r="587" ht="15" customHeight="1">
      <c r="A587" t="inlineStr">
        <is>
          <t>A 10194-2023</t>
        </is>
      </c>
      <c r="B587" s="1" t="n">
        <v>44986.52277777778</v>
      </c>
      <c r="C587" s="1" t="n">
        <v>46065</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55944-2024</t>
        </is>
      </c>
      <c r="B588" s="1" t="n">
        <v>45623.61640046296</v>
      </c>
      <c r="C588" s="1" t="n">
        <v>46065</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55947-2024</t>
        </is>
      </c>
      <c r="B589" s="1" t="n">
        <v>45623</v>
      </c>
      <c r="C589" s="1" t="n">
        <v>46065</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47703-2023</t>
        </is>
      </c>
      <c r="B590" s="1" t="n">
        <v>45203</v>
      </c>
      <c r="C590" s="1" t="n">
        <v>46065</v>
      </c>
      <c r="D590" t="inlineStr">
        <is>
          <t>ÖSTERGÖTLANDS LÄN</t>
        </is>
      </c>
      <c r="E590" t="inlineStr">
        <is>
          <t>LINKÖPING</t>
        </is>
      </c>
      <c r="G590" t="n">
        <v>4.1</v>
      </c>
      <c r="H590" t="n">
        <v>0</v>
      </c>
      <c r="I590" t="n">
        <v>0</v>
      </c>
      <c r="J590" t="n">
        <v>0</v>
      </c>
      <c r="K590" t="n">
        <v>0</v>
      </c>
      <c r="L590" t="n">
        <v>0</v>
      </c>
      <c r="M590" t="n">
        <v>0</v>
      </c>
      <c r="N590" t="n">
        <v>0</v>
      </c>
      <c r="O590" t="n">
        <v>0</v>
      </c>
      <c r="P590" t="n">
        <v>0</v>
      </c>
      <c r="Q590" t="n">
        <v>0</v>
      </c>
      <c r="R590" s="2" t="inlineStr"/>
    </row>
    <row r="591" ht="15" customHeight="1">
      <c r="A591" t="inlineStr">
        <is>
          <t>A 51559-2024</t>
        </is>
      </c>
      <c r="B591" s="1" t="n">
        <v>45604.61431712963</v>
      </c>
      <c r="C591" s="1" t="n">
        <v>46065</v>
      </c>
      <c r="D591" t="inlineStr">
        <is>
          <t>ÖSTERGÖTLANDS LÄN</t>
        </is>
      </c>
      <c r="E591" t="inlineStr">
        <is>
          <t>LINKÖPING</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41511-2025</t>
        </is>
      </c>
      <c r="B592" s="1" t="n">
        <v>45901.53839120371</v>
      </c>
      <c r="C592" s="1" t="n">
        <v>46065</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3042-2024</t>
        </is>
      </c>
      <c r="B593" s="1" t="n">
        <v>45316.35028935185</v>
      </c>
      <c r="C593" s="1" t="n">
        <v>46065</v>
      </c>
      <c r="D593" t="inlineStr">
        <is>
          <t>ÖSTERGÖTLANDS LÄN</t>
        </is>
      </c>
      <c r="E593" t="inlineStr">
        <is>
          <t>LINKÖPING</t>
        </is>
      </c>
      <c r="G593" t="n">
        <v>3.1</v>
      </c>
      <c r="H593" t="n">
        <v>0</v>
      </c>
      <c r="I593" t="n">
        <v>0</v>
      </c>
      <c r="J593" t="n">
        <v>0</v>
      </c>
      <c r="K593" t="n">
        <v>0</v>
      </c>
      <c r="L593" t="n">
        <v>0</v>
      </c>
      <c r="M593" t="n">
        <v>0</v>
      </c>
      <c r="N593" t="n">
        <v>0</v>
      </c>
      <c r="O593" t="n">
        <v>0</v>
      </c>
      <c r="P593" t="n">
        <v>0</v>
      </c>
      <c r="Q593" t="n">
        <v>0</v>
      </c>
      <c r="R593" s="2" t="inlineStr"/>
    </row>
    <row r="594" ht="15" customHeight="1">
      <c r="A594" t="inlineStr">
        <is>
          <t>A 62353-2022</t>
        </is>
      </c>
      <c r="B594" s="1" t="n">
        <v>44923</v>
      </c>
      <c r="C594" s="1" t="n">
        <v>46065</v>
      </c>
      <c r="D594" t="inlineStr">
        <is>
          <t>ÖSTERGÖTLANDS LÄN</t>
        </is>
      </c>
      <c r="E594" t="inlineStr">
        <is>
          <t>LINKÖPING</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29293-2025</t>
        </is>
      </c>
      <c r="B595" s="1" t="n">
        <v>45824</v>
      </c>
      <c r="C595" s="1" t="n">
        <v>46065</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15754-2025</t>
        </is>
      </c>
      <c r="B596" s="1" t="n">
        <v>45748.56105324074</v>
      </c>
      <c r="C596" s="1" t="n">
        <v>46065</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4298-2023</t>
        </is>
      </c>
      <c r="B597" s="1" t="n">
        <v>44953</v>
      </c>
      <c r="C597" s="1" t="n">
        <v>46065</v>
      </c>
      <c r="D597" t="inlineStr">
        <is>
          <t>ÖSTERGÖTLANDS LÄN</t>
        </is>
      </c>
      <c r="E597" t="inlineStr">
        <is>
          <t>LINKÖPING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18145-2021</t>
        </is>
      </c>
      <c r="B598" s="1" t="n">
        <v>44302</v>
      </c>
      <c r="C598" s="1" t="n">
        <v>46065</v>
      </c>
      <c r="D598" t="inlineStr">
        <is>
          <t>ÖSTERGÖTLANDS LÄN</t>
        </is>
      </c>
      <c r="E598" t="inlineStr">
        <is>
          <t>LINKÖPING</t>
        </is>
      </c>
      <c r="G598" t="n">
        <v>2.4</v>
      </c>
      <c r="H598" t="n">
        <v>0</v>
      </c>
      <c r="I598" t="n">
        <v>0</v>
      </c>
      <c r="J598" t="n">
        <v>0</v>
      </c>
      <c r="K598" t="n">
        <v>0</v>
      </c>
      <c r="L598" t="n">
        <v>0</v>
      </c>
      <c r="M598" t="n">
        <v>0</v>
      </c>
      <c r="N598" t="n">
        <v>0</v>
      </c>
      <c r="O598" t="n">
        <v>0</v>
      </c>
      <c r="P598" t="n">
        <v>0</v>
      </c>
      <c r="Q598" t="n">
        <v>0</v>
      </c>
      <c r="R598" s="2" t="inlineStr"/>
    </row>
    <row r="599" ht="15" customHeight="1">
      <c r="A599" t="inlineStr">
        <is>
          <t>A 25568-2024</t>
        </is>
      </c>
      <c r="B599" s="1" t="n">
        <v>45463.58699074074</v>
      </c>
      <c r="C599" s="1" t="n">
        <v>46065</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38136-2023</t>
        </is>
      </c>
      <c r="B600" s="1" t="n">
        <v>45161.37310185185</v>
      </c>
      <c r="C600" s="1" t="n">
        <v>46065</v>
      </c>
      <c r="D600" t="inlineStr">
        <is>
          <t>ÖSTERGÖTLANDS LÄN</t>
        </is>
      </c>
      <c r="E600" t="inlineStr">
        <is>
          <t>LINKÖPING</t>
        </is>
      </c>
      <c r="G600" t="n">
        <v>5.6</v>
      </c>
      <c r="H600" t="n">
        <v>0</v>
      </c>
      <c r="I600" t="n">
        <v>0</v>
      </c>
      <c r="J600" t="n">
        <v>0</v>
      </c>
      <c r="K600" t="n">
        <v>0</v>
      </c>
      <c r="L600" t="n">
        <v>0</v>
      </c>
      <c r="M600" t="n">
        <v>0</v>
      </c>
      <c r="N600" t="n">
        <v>0</v>
      </c>
      <c r="O600" t="n">
        <v>0</v>
      </c>
      <c r="P600" t="n">
        <v>0</v>
      </c>
      <c r="Q600" t="n">
        <v>0</v>
      </c>
      <c r="R600" s="2" t="inlineStr"/>
    </row>
    <row r="601" ht="15" customHeight="1">
      <c r="A601" t="inlineStr">
        <is>
          <t>A 12317-2025</t>
        </is>
      </c>
      <c r="B601" s="1" t="n">
        <v>45729.8487037037</v>
      </c>
      <c r="C601" s="1" t="n">
        <v>46065</v>
      </c>
      <c r="D601" t="inlineStr">
        <is>
          <t>ÖSTERGÖTLANDS LÄN</t>
        </is>
      </c>
      <c r="E601" t="inlineStr">
        <is>
          <t>LINKÖPING</t>
        </is>
      </c>
      <c r="G601" t="n">
        <v>8</v>
      </c>
      <c r="H601" t="n">
        <v>0</v>
      </c>
      <c r="I601" t="n">
        <v>0</v>
      </c>
      <c r="J601" t="n">
        <v>0</v>
      </c>
      <c r="K601" t="n">
        <v>0</v>
      </c>
      <c r="L601" t="n">
        <v>0</v>
      </c>
      <c r="M601" t="n">
        <v>0</v>
      </c>
      <c r="N601" t="n">
        <v>0</v>
      </c>
      <c r="O601" t="n">
        <v>0</v>
      </c>
      <c r="P601" t="n">
        <v>0</v>
      </c>
      <c r="Q601" t="n">
        <v>0</v>
      </c>
      <c r="R601" s="2" t="inlineStr"/>
    </row>
    <row r="602" ht="15" customHeight="1">
      <c r="A602" t="inlineStr">
        <is>
          <t>A 14528-2025</t>
        </is>
      </c>
      <c r="B602" s="1" t="n">
        <v>45741</v>
      </c>
      <c r="C602" s="1" t="n">
        <v>46065</v>
      </c>
      <c r="D602" t="inlineStr">
        <is>
          <t>ÖSTERGÖTLANDS LÄN</t>
        </is>
      </c>
      <c r="E602" t="inlineStr">
        <is>
          <t>LINKÖPING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42623-2025</t>
        </is>
      </c>
      <c r="B603" s="1" t="n">
        <v>45905</v>
      </c>
      <c r="C603" s="1" t="n">
        <v>46065</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61649-2023</t>
        </is>
      </c>
      <c r="B604" s="1" t="n">
        <v>45265</v>
      </c>
      <c r="C604" s="1" t="n">
        <v>46065</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60985-2023</t>
        </is>
      </c>
      <c r="B605" s="1" t="n">
        <v>45261.48429398148</v>
      </c>
      <c r="C605" s="1" t="n">
        <v>46065</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421-2024</t>
        </is>
      </c>
      <c r="B606" s="1" t="n">
        <v>45296.51877314815</v>
      </c>
      <c r="C606" s="1" t="n">
        <v>46065</v>
      </c>
      <c r="D606" t="inlineStr">
        <is>
          <t>ÖSTERGÖTLANDS LÄN</t>
        </is>
      </c>
      <c r="E606" t="inlineStr">
        <is>
          <t>LINKÖPING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42624-2025</t>
        </is>
      </c>
      <c r="B607" s="1" t="n">
        <v>45905</v>
      </c>
      <c r="C607" s="1" t="n">
        <v>46065</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42626-2025</t>
        </is>
      </c>
      <c r="B608" s="1" t="n">
        <v>45905</v>
      </c>
      <c r="C608" s="1" t="n">
        <v>46065</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51405-2023</t>
        </is>
      </c>
      <c r="B609" s="1" t="n">
        <v>45219</v>
      </c>
      <c r="C609" s="1" t="n">
        <v>46065</v>
      </c>
      <c r="D609" t="inlineStr">
        <is>
          <t>ÖSTERGÖTLANDS LÄN</t>
        </is>
      </c>
      <c r="E609" t="inlineStr">
        <is>
          <t>LINKÖPING</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53639-2023</t>
        </is>
      </c>
      <c r="B610" s="1" t="n">
        <v>45230.59686342593</v>
      </c>
      <c r="C610" s="1" t="n">
        <v>46065</v>
      </c>
      <c r="D610" t="inlineStr">
        <is>
          <t>ÖSTERGÖTLANDS LÄN</t>
        </is>
      </c>
      <c r="E610" t="inlineStr">
        <is>
          <t>LINKÖPING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24467-2023</t>
        </is>
      </c>
      <c r="B611" s="1" t="n">
        <v>45082</v>
      </c>
      <c r="C611" s="1" t="n">
        <v>46065</v>
      </c>
      <c r="D611" t="inlineStr">
        <is>
          <t>ÖSTERGÖTLANDS LÄN</t>
        </is>
      </c>
      <c r="E611" t="inlineStr">
        <is>
          <t>LINKÖPING</t>
        </is>
      </c>
      <c r="G611" t="n">
        <v>2.4</v>
      </c>
      <c r="H611" t="n">
        <v>0</v>
      </c>
      <c r="I611" t="n">
        <v>0</v>
      </c>
      <c r="J611" t="n">
        <v>0</v>
      </c>
      <c r="K611" t="n">
        <v>0</v>
      </c>
      <c r="L611" t="n">
        <v>0</v>
      </c>
      <c r="M611" t="n">
        <v>0</v>
      </c>
      <c r="N611" t="n">
        <v>0</v>
      </c>
      <c r="O611" t="n">
        <v>0</v>
      </c>
      <c r="P611" t="n">
        <v>0</v>
      </c>
      <c r="Q611" t="n">
        <v>0</v>
      </c>
      <c r="R611" s="2" t="inlineStr"/>
    </row>
    <row r="612" ht="15" customHeight="1">
      <c r="A612" t="inlineStr">
        <is>
          <t>A 62488-2023</t>
        </is>
      </c>
      <c r="B612" s="1" t="n">
        <v>45268.5847337963</v>
      </c>
      <c r="C612" s="1" t="n">
        <v>46065</v>
      </c>
      <c r="D612" t="inlineStr">
        <is>
          <t>ÖSTERGÖTLANDS LÄN</t>
        </is>
      </c>
      <c r="E612" t="inlineStr">
        <is>
          <t>LINKÖPING</t>
        </is>
      </c>
      <c r="G612" t="n">
        <v>4.1</v>
      </c>
      <c r="H612" t="n">
        <v>0</v>
      </c>
      <c r="I612" t="n">
        <v>0</v>
      </c>
      <c r="J612" t="n">
        <v>0</v>
      </c>
      <c r="K612" t="n">
        <v>0</v>
      </c>
      <c r="L612" t="n">
        <v>0</v>
      </c>
      <c r="M612" t="n">
        <v>0</v>
      </c>
      <c r="N612" t="n">
        <v>0</v>
      </c>
      <c r="O612" t="n">
        <v>0</v>
      </c>
      <c r="P612" t="n">
        <v>0</v>
      </c>
      <c r="Q612" t="n">
        <v>0</v>
      </c>
      <c r="R612" s="2" t="inlineStr"/>
    </row>
    <row r="613" ht="15" customHeight="1">
      <c r="A613" t="inlineStr">
        <is>
          <t>A 62495-2023</t>
        </is>
      </c>
      <c r="B613" s="1" t="n">
        <v>45268.59717592593</v>
      </c>
      <c r="C613" s="1" t="n">
        <v>46065</v>
      </c>
      <c r="D613" t="inlineStr">
        <is>
          <t>ÖSTERGÖTLANDS LÄN</t>
        </is>
      </c>
      <c r="E613" t="inlineStr">
        <is>
          <t>LINKÖPING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10198-2023</t>
        </is>
      </c>
      <c r="B614" s="1" t="n">
        <v>44986.54665509259</v>
      </c>
      <c r="C614" s="1" t="n">
        <v>46065</v>
      </c>
      <c r="D614" t="inlineStr">
        <is>
          <t>ÖSTERGÖTLANDS LÄN</t>
        </is>
      </c>
      <c r="E614" t="inlineStr">
        <is>
          <t>LINKÖPING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22771-2024</t>
        </is>
      </c>
      <c r="B615" s="1" t="n">
        <v>45448.46574074074</v>
      </c>
      <c r="C615" s="1" t="n">
        <v>46065</v>
      </c>
      <c r="D615" t="inlineStr">
        <is>
          <t>ÖSTERGÖTLANDS LÄN</t>
        </is>
      </c>
      <c r="E615" t="inlineStr">
        <is>
          <t>LINKÖPING</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17128-2025</t>
        </is>
      </c>
      <c r="B616" s="1" t="n">
        <v>45755.72622685185</v>
      </c>
      <c r="C616" s="1" t="n">
        <v>46065</v>
      </c>
      <c r="D616" t="inlineStr">
        <is>
          <t>ÖSTERGÖTLANDS LÄN</t>
        </is>
      </c>
      <c r="E616" t="inlineStr">
        <is>
          <t>LINKÖPING</t>
        </is>
      </c>
      <c r="G616" t="n">
        <v>2.9</v>
      </c>
      <c r="H616" t="n">
        <v>0</v>
      </c>
      <c r="I616" t="n">
        <v>0</v>
      </c>
      <c r="J616" t="n">
        <v>0</v>
      </c>
      <c r="K616" t="n">
        <v>0</v>
      </c>
      <c r="L616" t="n">
        <v>0</v>
      </c>
      <c r="M616" t="n">
        <v>0</v>
      </c>
      <c r="N616" t="n">
        <v>0</v>
      </c>
      <c r="O616" t="n">
        <v>0</v>
      </c>
      <c r="P616" t="n">
        <v>0</v>
      </c>
      <c r="Q616" t="n">
        <v>0</v>
      </c>
      <c r="R616" s="2" t="inlineStr"/>
    </row>
    <row r="617" ht="15" customHeight="1">
      <c r="A617" t="inlineStr">
        <is>
          <t>A 43755-2025</t>
        </is>
      </c>
      <c r="B617" s="1" t="n">
        <v>45912.47329861111</v>
      </c>
      <c r="C617" s="1" t="n">
        <v>46065</v>
      </c>
      <c r="D617" t="inlineStr">
        <is>
          <t>ÖSTERGÖTLANDS LÄN</t>
        </is>
      </c>
      <c r="E617" t="inlineStr">
        <is>
          <t>LINKÖPING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43753-2025</t>
        </is>
      </c>
      <c r="B618" s="1" t="n">
        <v>45912.4715625</v>
      </c>
      <c r="C618" s="1" t="n">
        <v>46065</v>
      </c>
      <c r="D618" t="inlineStr">
        <is>
          <t>ÖSTERGÖTLANDS LÄN</t>
        </is>
      </c>
      <c r="E618" t="inlineStr">
        <is>
          <t>LINKÖPING</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43758-2025</t>
        </is>
      </c>
      <c r="B619" s="1" t="n">
        <v>45912.47711805555</v>
      </c>
      <c r="C619" s="1" t="n">
        <v>46065</v>
      </c>
      <c r="D619" t="inlineStr">
        <is>
          <t>ÖSTERGÖTLANDS LÄN</t>
        </is>
      </c>
      <c r="E619" t="inlineStr">
        <is>
          <t>LINKÖPING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44170-2025</t>
        </is>
      </c>
      <c r="B620" s="1" t="n">
        <v>45915.59864583334</v>
      </c>
      <c r="C620" s="1" t="n">
        <v>46065</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62018-2024</t>
        </is>
      </c>
      <c r="B621" s="1" t="n">
        <v>45655.81387731482</v>
      </c>
      <c r="C621" s="1" t="n">
        <v>46065</v>
      </c>
      <c r="D621" t="inlineStr">
        <is>
          <t>ÖSTERGÖTLANDS LÄN</t>
        </is>
      </c>
      <c r="E621" t="inlineStr">
        <is>
          <t>LINKÖPING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62073-2023</t>
        </is>
      </c>
      <c r="B622" s="1" t="n">
        <v>45266.73844907407</v>
      </c>
      <c r="C622" s="1" t="n">
        <v>46065</v>
      </c>
      <c r="D622" t="inlineStr">
        <is>
          <t>ÖSTERGÖTLANDS LÄN</t>
        </is>
      </c>
      <c r="E622" t="inlineStr">
        <is>
          <t>LINKÖPING</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672-2024</t>
        </is>
      </c>
      <c r="B623" s="1" t="n">
        <v>45300</v>
      </c>
      <c r="C623" s="1" t="n">
        <v>46065</v>
      </c>
      <c r="D623" t="inlineStr">
        <is>
          <t>ÖSTERGÖTLANDS LÄN</t>
        </is>
      </c>
      <c r="E623" t="inlineStr">
        <is>
          <t>LINKÖPING</t>
        </is>
      </c>
      <c r="F623" t="inlineStr">
        <is>
          <t>Sveaskog</t>
        </is>
      </c>
      <c r="G623" t="n">
        <v>4.5</v>
      </c>
      <c r="H623" t="n">
        <v>0</v>
      </c>
      <c r="I623" t="n">
        <v>0</v>
      </c>
      <c r="J623" t="n">
        <v>0</v>
      </c>
      <c r="K623" t="n">
        <v>0</v>
      </c>
      <c r="L623" t="n">
        <v>0</v>
      </c>
      <c r="M623" t="n">
        <v>0</v>
      </c>
      <c r="N623" t="n">
        <v>0</v>
      </c>
      <c r="O623" t="n">
        <v>0</v>
      </c>
      <c r="P623" t="n">
        <v>0</v>
      </c>
      <c r="Q623" t="n">
        <v>0</v>
      </c>
      <c r="R623" s="2" t="inlineStr"/>
    </row>
    <row r="624" ht="15" customHeight="1">
      <c r="A624" t="inlineStr">
        <is>
          <t>A 42832-2023</t>
        </is>
      </c>
      <c r="B624" s="1" t="n">
        <v>45182.38091435185</v>
      </c>
      <c r="C624" s="1" t="n">
        <v>46065</v>
      </c>
      <c r="D624" t="inlineStr">
        <is>
          <t>ÖSTERGÖTLANDS LÄN</t>
        </is>
      </c>
      <c r="E624" t="inlineStr">
        <is>
          <t>LINKÖPING</t>
        </is>
      </c>
      <c r="G624" t="n">
        <v>2.5</v>
      </c>
      <c r="H624" t="n">
        <v>0</v>
      </c>
      <c r="I624" t="n">
        <v>0</v>
      </c>
      <c r="J624" t="n">
        <v>0</v>
      </c>
      <c r="K624" t="n">
        <v>0</v>
      </c>
      <c r="L624" t="n">
        <v>0</v>
      </c>
      <c r="M624" t="n">
        <v>0</v>
      </c>
      <c r="N624" t="n">
        <v>0</v>
      </c>
      <c r="O624" t="n">
        <v>0</v>
      </c>
      <c r="P624" t="n">
        <v>0</v>
      </c>
      <c r="Q624" t="n">
        <v>0</v>
      </c>
      <c r="R624" s="2" t="inlineStr"/>
    </row>
    <row r="625" ht="15" customHeight="1">
      <c r="A625" t="inlineStr">
        <is>
          <t>A 44759-2025</t>
        </is>
      </c>
      <c r="B625" s="1" t="n">
        <v>45917.7152662037</v>
      </c>
      <c r="C625" s="1" t="n">
        <v>46065</v>
      </c>
      <c r="D625" t="inlineStr">
        <is>
          <t>ÖSTERGÖTLANDS LÄN</t>
        </is>
      </c>
      <c r="E625" t="inlineStr">
        <is>
          <t>LINKÖPING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44764-2025</t>
        </is>
      </c>
      <c r="B626" s="1" t="n">
        <v>45917.72821759259</v>
      </c>
      <c r="C626" s="1" t="n">
        <v>46065</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5872-2025</t>
        </is>
      </c>
      <c r="B627" s="1" t="n">
        <v>45695.36659722222</v>
      </c>
      <c r="C627" s="1" t="n">
        <v>46065</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59674-2024</t>
        </is>
      </c>
      <c r="B628" s="1" t="n">
        <v>45639</v>
      </c>
      <c r="C628" s="1" t="n">
        <v>46065</v>
      </c>
      <c r="D628" t="inlineStr">
        <is>
          <t>ÖSTERGÖTLANDS LÄN</t>
        </is>
      </c>
      <c r="E628" t="inlineStr">
        <is>
          <t>LINKÖPING</t>
        </is>
      </c>
      <c r="G628" t="n">
        <v>6.3</v>
      </c>
      <c r="H628" t="n">
        <v>0</v>
      </c>
      <c r="I628" t="n">
        <v>0</v>
      </c>
      <c r="J628" t="n">
        <v>0</v>
      </c>
      <c r="K628" t="n">
        <v>0</v>
      </c>
      <c r="L628" t="n">
        <v>0</v>
      </c>
      <c r="M628" t="n">
        <v>0</v>
      </c>
      <c r="N628" t="n">
        <v>0</v>
      </c>
      <c r="O628" t="n">
        <v>0</v>
      </c>
      <c r="P628" t="n">
        <v>0</v>
      </c>
      <c r="Q628" t="n">
        <v>0</v>
      </c>
      <c r="R628" s="2" t="inlineStr"/>
    </row>
    <row r="629" ht="15" customHeight="1">
      <c r="A629" t="inlineStr">
        <is>
          <t>A 59576-2024</t>
        </is>
      </c>
      <c r="B629" s="1" t="n">
        <v>45638.66378472222</v>
      </c>
      <c r="C629" s="1" t="n">
        <v>46065</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51583-2024</t>
        </is>
      </c>
      <c r="B630" s="1" t="n">
        <v>45604.6397337963</v>
      </c>
      <c r="C630" s="1" t="n">
        <v>46065</v>
      </c>
      <c r="D630" t="inlineStr">
        <is>
          <t>ÖSTERGÖTLANDS LÄN</t>
        </is>
      </c>
      <c r="E630" t="inlineStr">
        <is>
          <t>LINKÖPING</t>
        </is>
      </c>
      <c r="F630" t="inlineStr">
        <is>
          <t>Övriga Aktiebolag</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62019-2024</t>
        </is>
      </c>
      <c r="B631" s="1" t="n">
        <v>45655.82</v>
      </c>
      <c r="C631" s="1" t="n">
        <v>46065</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38317-2024</t>
        </is>
      </c>
      <c r="B632" s="1" t="n">
        <v>45545.65766203704</v>
      </c>
      <c r="C632" s="1" t="n">
        <v>46065</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45112-2025</t>
        </is>
      </c>
      <c r="B633" s="1" t="n">
        <v>45919</v>
      </c>
      <c r="C633" s="1" t="n">
        <v>46065</v>
      </c>
      <c r="D633" t="inlineStr">
        <is>
          <t>ÖSTERGÖTLANDS LÄN</t>
        </is>
      </c>
      <c r="E633" t="inlineStr">
        <is>
          <t>LINKÖPING</t>
        </is>
      </c>
      <c r="G633" t="n">
        <v>3.5</v>
      </c>
      <c r="H633" t="n">
        <v>0</v>
      </c>
      <c r="I633" t="n">
        <v>0</v>
      </c>
      <c r="J633" t="n">
        <v>0</v>
      </c>
      <c r="K633" t="n">
        <v>0</v>
      </c>
      <c r="L633" t="n">
        <v>0</v>
      </c>
      <c r="M633" t="n">
        <v>0</v>
      </c>
      <c r="N633" t="n">
        <v>0</v>
      </c>
      <c r="O633" t="n">
        <v>0</v>
      </c>
      <c r="P633" t="n">
        <v>0</v>
      </c>
      <c r="Q633" t="n">
        <v>0</v>
      </c>
      <c r="R633" s="2" t="inlineStr"/>
    </row>
    <row r="634" ht="15" customHeight="1">
      <c r="A634" t="inlineStr">
        <is>
          <t>A 50182-2023</t>
        </is>
      </c>
      <c r="B634" s="1" t="n">
        <v>45208</v>
      </c>
      <c r="C634" s="1" t="n">
        <v>46065</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45634-2025</t>
        </is>
      </c>
      <c r="B635" s="1" t="n">
        <v>45922.85089120371</v>
      </c>
      <c r="C635" s="1" t="n">
        <v>46065</v>
      </c>
      <c r="D635" t="inlineStr">
        <is>
          <t>ÖSTERGÖTLANDS LÄN</t>
        </is>
      </c>
      <c r="E635" t="inlineStr">
        <is>
          <t>LINKÖPING</t>
        </is>
      </c>
      <c r="F635" t="inlineStr">
        <is>
          <t>Övriga Aktiebolag</t>
        </is>
      </c>
      <c r="G635" t="n">
        <v>0.3</v>
      </c>
      <c r="H635" t="n">
        <v>0</v>
      </c>
      <c r="I635" t="n">
        <v>0</v>
      </c>
      <c r="J635" t="n">
        <v>0</v>
      </c>
      <c r="K635" t="n">
        <v>0</v>
      </c>
      <c r="L635" t="n">
        <v>0</v>
      </c>
      <c r="M635" t="n">
        <v>0</v>
      </c>
      <c r="N635" t="n">
        <v>0</v>
      </c>
      <c r="O635" t="n">
        <v>0</v>
      </c>
      <c r="P635" t="n">
        <v>0</v>
      </c>
      <c r="Q635" t="n">
        <v>0</v>
      </c>
      <c r="R635" s="2" t="inlineStr"/>
    </row>
    <row r="636" ht="15" customHeight="1">
      <c r="A636" t="inlineStr">
        <is>
          <t>A 1844-2025</t>
        </is>
      </c>
      <c r="B636" s="1" t="n">
        <v>45671.57730324074</v>
      </c>
      <c r="C636" s="1" t="n">
        <v>46065</v>
      </c>
      <c r="D636" t="inlineStr">
        <is>
          <t>ÖSTERGÖTLANDS LÄN</t>
        </is>
      </c>
      <c r="E636" t="inlineStr">
        <is>
          <t>LINKÖPING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45792-2025</t>
        </is>
      </c>
      <c r="B637" s="1" t="n">
        <v>45923.56998842592</v>
      </c>
      <c r="C637" s="1" t="n">
        <v>46065</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45804-2025</t>
        </is>
      </c>
      <c r="B638" s="1" t="n">
        <v>45923.5819675926</v>
      </c>
      <c r="C638" s="1" t="n">
        <v>46065</v>
      </c>
      <c r="D638" t="inlineStr">
        <is>
          <t>ÖSTERGÖTLANDS LÄN</t>
        </is>
      </c>
      <c r="E638" t="inlineStr">
        <is>
          <t>LINKÖPING</t>
        </is>
      </c>
      <c r="G638" t="n">
        <v>3.3</v>
      </c>
      <c r="H638" t="n">
        <v>0</v>
      </c>
      <c r="I638" t="n">
        <v>0</v>
      </c>
      <c r="J638" t="n">
        <v>0</v>
      </c>
      <c r="K638" t="n">
        <v>0</v>
      </c>
      <c r="L638" t="n">
        <v>0</v>
      </c>
      <c r="M638" t="n">
        <v>0</v>
      </c>
      <c r="N638" t="n">
        <v>0</v>
      </c>
      <c r="O638" t="n">
        <v>0</v>
      </c>
      <c r="P638" t="n">
        <v>0</v>
      </c>
      <c r="Q638" t="n">
        <v>0</v>
      </c>
      <c r="R638" s="2" t="inlineStr"/>
    </row>
    <row r="639" ht="15" customHeight="1">
      <c r="A639" t="inlineStr">
        <is>
          <t>A 46428-2025</t>
        </is>
      </c>
      <c r="B639" s="1" t="n">
        <v>45925.60758101852</v>
      </c>
      <c r="C639" s="1" t="n">
        <v>46065</v>
      </c>
      <c r="D639" t="inlineStr">
        <is>
          <t>ÖSTERGÖTLANDS LÄN</t>
        </is>
      </c>
      <c r="E639" t="inlineStr">
        <is>
          <t>LINKÖPING</t>
        </is>
      </c>
      <c r="G639" t="n">
        <v>3</v>
      </c>
      <c r="H639" t="n">
        <v>0</v>
      </c>
      <c r="I639" t="n">
        <v>0</v>
      </c>
      <c r="J639" t="n">
        <v>0</v>
      </c>
      <c r="K639" t="n">
        <v>0</v>
      </c>
      <c r="L639" t="n">
        <v>0</v>
      </c>
      <c r="M639" t="n">
        <v>0</v>
      </c>
      <c r="N639" t="n">
        <v>0</v>
      </c>
      <c r="O639" t="n">
        <v>0</v>
      </c>
      <c r="P639" t="n">
        <v>0</v>
      </c>
      <c r="Q639" t="n">
        <v>0</v>
      </c>
      <c r="R639" s="2" t="inlineStr"/>
    </row>
    <row r="640" ht="15" customHeight="1">
      <c r="A640" t="inlineStr">
        <is>
          <t>A 46426-2025</t>
        </is>
      </c>
      <c r="B640" s="1" t="n">
        <v>45925.6012962963</v>
      </c>
      <c r="C640" s="1" t="n">
        <v>46065</v>
      </c>
      <c r="D640" t="inlineStr">
        <is>
          <t>ÖSTERGÖTLANDS LÄN</t>
        </is>
      </c>
      <c r="E640" t="inlineStr">
        <is>
          <t>LINKÖPING</t>
        </is>
      </c>
      <c r="G640" t="n">
        <v>4.4</v>
      </c>
      <c r="H640" t="n">
        <v>0</v>
      </c>
      <c r="I640" t="n">
        <v>0</v>
      </c>
      <c r="J640" t="n">
        <v>0</v>
      </c>
      <c r="K640" t="n">
        <v>0</v>
      </c>
      <c r="L640" t="n">
        <v>0</v>
      </c>
      <c r="M640" t="n">
        <v>0</v>
      </c>
      <c r="N640" t="n">
        <v>0</v>
      </c>
      <c r="O640" t="n">
        <v>0</v>
      </c>
      <c r="P640" t="n">
        <v>0</v>
      </c>
      <c r="Q640" t="n">
        <v>0</v>
      </c>
      <c r="R640" s="2" t="inlineStr"/>
    </row>
    <row r="641" ht="15" customHeight="1">
      <c r="A641" t="inlineStr">
        <is>
          <t>A 21155-2025</t>
        </is>
      </c>
      <c r="B641" s="1" t="n">
        <v>45779.37586805555</v>
      </c>
      <c r="C641" s="1" t="n">
        <v>46065</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46377-2025</t>
        </is>
      </c>
      <c r="B642" s="1" t="n">
        <v>45925.51773148148</v>
      </c>
      <c r="C642" s="1" t="n">
        <v>46065</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21165-2025</t>
        </is>
      </c>
      <c r="B643" s="1" t="n">
        <v>45779.39417824074</v>
      </c>
      <c r="C643" s="1" t="n">
        <v>46065</v>
      </c>
      <c r="D643" t="inlineStr">
        <is>
          <t>ÖSTERGÖTLANDS LÄN</t>
        </is>
      </c>
      <c r="E643" t="inlineStr">
        <is>
          <t>LINKÖPING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47304-2025</t>
        </is>
      </c>
      <c r="B644" s="1" t="n">
        <v>45930.52037037037</v>
      </c>
      <c r="C644" s="1" t="n">
        <v>46065</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47233-2025</t>
        </is>
      </c>
      <c r="B645" s="1" t="n">
        <v>45930.40612268518</v>
      </c>
      <c r="C645" s="1" t="n">
        <v>46065</v>
      </c>
      <c r="D645" t="inlineStr">
        <is>
          <t>ÖSTERGÖTLANDS LÄN</t>
        </is>
      </c>
      <c r="E645" t="inlineStr">
        <is>
          <t>LINKÖPING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46847-2025</t>
        </is>
      </c>
      <c r="B646" s="1" t="n">
        <v>45928.69971064815</v>
      </c>
      <c r="C646" s="1" t="n">
        <v>46065</v>
      </c>
      <c r="D646" t="inlineStr">
        <is>
          <t>ÖSTERGÖTLANDS LÄN</t>
        </is>
      </c>
      <c r="E646" t="inlineStr">
        <is>
          <t>LINKÖPING</t>
        </is>
      </c>
      <c r="G646" t="n">
        <v>4.6</v>
      </c>
      <c r="H646" t="n">
        <v>0</v>
      </c>
      <c r="I646" t="n">
        <v>0</v>
      </c>
      <c r="J646" t="n">
        <v>0</v>
      </c>
      <c r="K646" t="n">
        <v>0</v>
      </c>
      <c r="L646" t="n">
        <v>0</v>
      </c>
      <c r="M646" t="n">
        <v>0</v>
      </c>
      <c r="N646" t="n">
        <v>0</v>
      </c>
      <c r="O646" t="n">
        <v>0</v>
      </c>
      <c r="P646" t="n">
        <v>0</v>
      </c>
      <c r="Q646" t="n">
        <v>0</v>
      </c>
      <c r="R646" s="2" t="inlineStr"/>
    </row>
    <row r="647" ht="15" customHeight="1">
      <c r="A647" t="inlineStr">
        <is>
          <t>A 48343-2025</t>
        </is>
      </c>
      <c r="B647" s="1" t="n">
        <v>45932</v>
      </c>
      <c r="C647" s="1" t="n">
        <v>46065</v>
      </c>
      <c r="D647" t="inlineStr">
        <is>
          <t>ÖSTERGÖTLANDS LÄN</t>
        </is>
      </c>
      <c r="E647" t="inlineStr">
        <is>
          <t>LINKÖPING</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47606-2025</t>
        </is>
      </c>
      <c r="B648" s="1" t="n">
        <v>45931.46402777778</v>
      </c>
      <c r="C648" s="1" t="n">
        <v>46065</v>
      </c>
      <c r="D648" t="inlineStr">
        <is>
          <t>ÖSTERGÖTLANDS LÄN</t>
        </is>
      </c>
      <c r="E648" t="inlineStr">
        <is>
          <t>LINKÖPING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48254-2025</t>
        </is>
      </c>
      <c r="B649" s="1" t="n">
        <v>45932</v>
      </c>
      <c r="C649" s="1" t="n">
        <v>46065</v>
      </c>
      <c r="D649" t="inlineStr">
        <is>
          <t>ÖSTERGÖTLANDS LÄN</t>
        </is>
      </c>
      <c r="E649" t="inlineStr">
        <is>
          <t>LINKÖPING</t>
        </is>
      </c>
      <c r="F649" t="inlineStr">
        <is>
          <t>Övriga Aktiebolag</t>
        </is>
      </c>
      <c r="G649" t="n">
        <v>0.8</v>
      </c>
      <c r="H649" t="n">
        <v>0</v>
      </c>
      <c r="I649" t="n">
        <v>0</v>
      </c>
      <c r="J649" t="n">
        <v>0</v>
      </c>
      <c r="K649" t="n">
        <v>0</v>
      </c>
      <c r="L649" t="n">
        <v>0</v>
      </c>
      <c r="M649" t="n">
        <v>0</v>
      </c>
      <c r="N649" t="n">
        <v>0</v>
      </c>
      <c r="O649" t="n">
        <v>0</v>
      </c>
      <c r="P649" t="n">
        <v>0</v>
      </c>
      <c r="Q649" t="n">
        <v>0</v>
      </c>
      <c r="R649" s="2" t="inlineStr"/>
    </row>
    <row r="650" ht="15" customHeight="1">
      <c r="A650" t="inlineStr">
        <is>
          <t>A 48266-2025</t>
        </is>
      </c>
      <c r="B650" s="1" t="n">
        <v>45932</v>
      </c>
      <c r="C650" s="1" t="n">
        <v>46065</v>
      </c>
      <c r="D650" t="inlineStr">
        <is>
          <t>ÖSTERGÖTLANDS LÄN</t>
        </is>
      </c>
      <c r="E650" t="inlineStr">
        <is>
          <t>LINKÖPING</t>
        </is>
      </c>
      <c r="F650" t="inlineStr">
        <is>
          <t>Övriga Aktiebolag</t>
        </is>
      </c>
      <c r="G650" t="n">
        <v>0.5</v>
      </c>
      <c r="H650" t="n">
        <v>0</v>
      </c>
      <c r="I650" t="n">
        <v>0</v>
      </c>
      <c r="J650" t="n">
        <v>0</v>
      </c>
      <c r="K650" t="n">
        <v>0</v>
      </c>
      <c r="L650" t="n">
        <v>0</v>
      </c>
      <c r="M650" t="n">
        <v>0</v>
      </c>
      <c r="N650" t="n">
        <v>0</v>
      </c>
      <c r="O650" t="n">
        <v>0</v>
      </c>
      <c r="P650" t="n">
        <v>0</v>
      </c>
      <c r="Q650" t="n">
        <v>0</v>
      </c>
      <c r="R650" s="2" t="inlineStr"/>
    </row>
    <row r="651" ht="15" customHeight="1">
      <c r="A651" t="inlineStr">
        <is>
          <t>A 57752-2023</t>
        </is>
      </c>
      <c r="B651" s="1" t="n">
        <v>45246.78474537037</v>
      </c>
      <c r="C651" s="1" t="n">
        <v>46065</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9473-2024</t>
        </is>
      </c>
      <c r="B652" s="1" t="n">
        <v>45359.55474537037</v>
      </c>
      <c r="C652" s="1" t="n">
        <v>46065</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49605-2025</t>
        </is>
      </c>
      <c r="B653" s="1" t="n">
        <v>45938</v>
      </c>
      <c r="C653" s="1" t="n">
        <v>46065</v>
      </c>
      <c r="D653" t="inlineStr">
        <is>
          <t>ÖSTERGÖTLANDS LÄN</t>
        </is>
      </c>
      <c r="E653" t="inlineStr">
        <is>
          <t>LINKÖPING</t>
        </is>
      </c>
      <c r="F653" t="inlineStr">
        <is>
          <t>Övriga Aktiebolag</t>
        </is>
      </c>
      <c r="G653" t="n">
        <v>3.3</v>
      </c>
      <c r="H653" t="n">
        <v>0</v>
      </c>
      <c r="I653" t="n">
        <v>0</v>
      </c>
      <c r="J653" t="n">
        <v>0</v>
      </c>
      <c r="K653" t="n">
        <v>0</v>
      </c>
      <c r="L653" t="n">
        <v>0</v>
      </c>
      <c r="M653" t="n">
        <v>0</v>
      </c>
      <c r="N653" t="n">
        <v>0</v>
      </c>
      <c r="O653" t="n">
        <v>0</v>
      </c>
      <c r="P653" t="n">
        <v>0</v>
      </c>
      <c r="Q653" t="n">
        <v>0</v>
      </c>
      <c r="R653" s="2" t="inlineStr"/>
    </row>
    <row r="654" ht="15" customHeight="1">
      <c r="A654" t="inlineStr">
        <is>
          <t>A 49647-2025</t>
        </is>
      </c>
      <c r="B654" s="1" t="n">
        <v>45938</v>
      </c>
      <c r="C654" s="1" t="n">
        <v>46065</v>
      </c>
      <c r="D654" t="inlineStr">
        <is>
          <t>ÖSTERGÖTLANDS LÄN</t>
        </is>
      </c>
      <c r="E654" t="inlineStr">
        <is>
          <t>LINKÖPING</t>
        </is>
      </c>
      <c r="F654" t="inlineStr">
        <is>
          <t>Övriga Aktiebolag</t>
        </is>
      </c>
      <c r="G654" t="n">
        <v>0.6</v>
      </c>
      <c r="H654" t="n">
        <v>0</v>
      </c>
      <c r="I654" t="n">
        <v>0</v>
      </c>
      <c r="J654" t="n">
        <v>0</v>
      </c>
      <c r="K654" t="n">
        <v>0</v>
      </c>
      <c r="L654" t="n">
        <v>0</v>
      </c>
      <c r="M654" t="n">
        <v>0</v>
      </c>
      <c r="N654" t="n">
        <v>0</v>
      </c>
      <c r="O654" t="n">
        <v>0</v>
      </c>
      <c r="P654" t="n">
        <v>0</v>
      </c>
      <c r="Q654" t="n">
        <v>0</v>
      </c>
      <c r="R654" s="2" t="inlineStr"/>
    </row>
    <row r="655" ht="15" customHeight="1">
      <c r="A655" t="inlineStr">
        <is>
          <t>A 10797-2024</t>
        </is>
      </c>
      <c r="B655" s="1" t="n">
        <v>45369.6190162037</v>
      </c>
      <c r="C655" s="1" t="n">
        <v>46065</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22264-2025</t>
        </is>
      </c>
      <c r="B656" s="1" t="n">
        <v>45785</v>
      </c>
      <c r="C656" s="1" t="n">
        <v>46065</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49633-2025</t>
        </is>
      </c>
      <c r="B657" s="1" t="n">
        <v>45938</v>
      </c>
      <c r="C657" s="1" t="n">
        <v>46065</v>
      </c>
      <c r="D657" t="inlineStr">
        <is>
          <t>ÖSTERGÖTLANDS LÄN</t>
        </is>
      </c>
      <c r="E657" t="inlineStr">
        <is>
          <t>LINKÖPING</t>
        </is>
      </c>
      <c r="F657" t="inlineStr">
        <is>
          <t>Övriga Aktiebolag</t>
        </is>
      </c>
      <c r="G657" t="n">
        <v>0.7</v>
      </c>
      <c r="H657" t="n">
        <v>0</v>
      </c>
      <c r="I657" t="n">
        <v>0</v>
      </c>
      <c r="J657" t="n">
        <v>0</v>
      </c>
      <c r="K657" t="n">
        <v>0</v>
      </c>
      <c r="L657" t="n">
        <v>0</v>
      </c>
      <c r="M657" t="n">
        <v>0</v>
      </c>
      <c r="N657" t="n">
        <v>0</v>
      </c>
      <c r="O657" t="n">
        <v>0</v>
      </c>
      <c r="P657" t="n">
        <v>0</v>
      </c>
      <c r="Q657" t="n">
        <v>0</v>
      </c>
      <c r="R657" s="2" t="inlineStr"/>
    </row>
    <row r="658" ht="15" customHeight="1">
      <c r="A658" t="inlineStr">
        <is>
          <t>A 49663-2025</t>
        </is>
      </c>
      <c r="B658" s="1" t="n">
        <v>45938</v>
      </c>
      <c r="C658" s="1" t="n">
        <v>46065</v>
      </c>
      <c r="D658" t="inlineStr">
        <is>
          <t>ÖSTERGÖTLANDS LÄN</t>
        </is>
      </c>
      <c r="E658" t="inlineStr">
        <is>
          <t>LINKÖPING</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49455-2025</t>
        </is>
      </c>
      <c r="B659" s="1" t="n">
        <v>45938</v>
      </c>
      <c r="C659" s="1" t="n">
        <v>46065</v>
      </c>
      <c r="D659" t="inlineStr">
        <is>
          <t>ÖSTERGÖTLANDS LÄN</t>
        </is>
      </c>
      <c r="E659" t="inlineStr">
        <is>
          <t>LINKÖPING</t>
        </is>
      </c>
      <c r="F659" t="inlineStr">
        <is>
          <t>Övriga Aktiebolag</t>
        </is>
      </c>
      <c r="G659" t="n">
        <v>5.9</v>
      </c>
      <c r="H659" t="n">
        <v>0</v>
      </c>
      <c r="I659" t="n">
        <v>0</v>
      </c>
      <c r="J659" t="n">
        <v>0</v>
      </c>
      <c r="K659" t="n">
        <v>0</v>
      </c>
      <c r="L659" t="n">
        <v>0</v>
      </c>
      <c r="M659" t="n">
        <v>0</v>
      </c>
      <c r="N659" t="n">
        <v>0</v>
      </c>
      <c r="O659" t="n">
        <v>0</v>
      </c>
      <c r="P659" t="n">
        <v>0</v>
      </c>
      <c r="Q659" t="n">
        <v>0</v>
      </c>
      <c r="R659" s="2" t="inlineStr"/>
    </row>
    <row r="660" ht="15" customHeight="1">
      <c r="A660" t="inlineStr">
        <is>
          <t>A 49652-2025</t>
        </is>
      </c>
      <c r="B660" s="1" t="n">
        <v>45938</v>
      </c>
      <c r="C660" s="1" t="n">
        <v>46065</v>
      </c>
      <c r="D660" t="inlineStr">
        <is>
          <t>ÖSTERGÖTLANDS LÄN</t>
        </is>
      </c>
      <c r="E660" t="inlineStr">
        <is>
          <t>LINKÖPING</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49654-2025</t>
        </is>
      </c>
      <c r="B661" s="1" t="n">
        <v>45938</v>
      </c>
      <c r="C661" s="1" t="n">
        <v>46065</v>
      </c>
      <c r="D661" t="inlineStr">
        <is>
          <t>ÖSTERGÖTLANDS LÄN</t>
        </is>
      </c>
      <c r="E661" t="inlineStr">
        <is>
          <t>LINKÖPING</t>
        </is>
      </c>
      <c r="F661" t="inlineStr">
        <is>
          <t>Övriga Aktiebolag</t>
        </is>
      </c>
      <c r="G661" t="n">
        <v>3.1</v>
      </c>
      <c r="H661" t="n">
        <v>0</v>
      </c>
      <c r="I661" t="n">
        <v>0</v>
      </c>
      <c r="J661" t="n">
        <v>0</v>
      </c>
      <c r="K661" t="n">
        <v>0</v>
      </c>
      <c r="L661" t="n">
        <v>0</v>
      </c>
      <c r="M661" t="n">
        <v>0</v>
      </c>
      <c r="N661" t="n">
        <v>0</v>
      </c>
      <c r="O661" t="n">
        <v>0</v>
      </c>
      <c r="P661" t="n">
        <v>0</v>
      </c>
      <c r="Q661" t="n">
        <v>0</v>
      </c>
      <c r="R661" s="2" t="inlineStr"/>
    </row>
    <row r="662" ht="15" customHeight="1">
      <c r="A662" t="inlineStr">
        <is>
          <t>A 49619-2025</t>
        </is>
      </c>
      <c r="B662" s="1" t="n">
        <v>45938</v>
      </c>
      <c r="C662" s="1" t="n">
        <v>46065</v>
      </c>
      <c r="D662" t="inlineStr">
        <is>
          <t>ÖSTERGÖTLANDS LÄN</t>
        </is>
      </c>
      <c r="E662" t="inlineStr">
        <is>
          <t>LINKÖPING</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49629-2025</t>
        </is>
      </c>
      <c r="B663" s="1" t="n">
        <v>45938</v>
      </c>
      <c r="C663" s="1" t="n">
        <v>46065</v>
      </c>
      <c r="D663" t="inlineStr">
        <is>
          <t>ÖSTERGÖTLANDS LÄN</t>
        </is>
      </c>
      <c r="E663" t="inlineStr">
        <is>
          <t>LINKÖPING</t>
        </is>
      </c>
      <c r="F663" t="inlineStr">
        <is>
          <t>Övriga Aktiebolag</t>
        </is>
      </c>
      <c r="G663" t="n">
        <v>4.5</v>
      </c>
      <c r="H663" t="n">
        <v>0</v>
      </c>
      <c r="I663" t="n">
        <v>0</v>
      </c>
      <c r="J663" t="n">
        <v>0</v>
      </c>
      <c r="K663" t="n">
        <v>0</v>
      </c>
      <c r="L663" t="n">
        <v>0</v>
      </c>
      <c r="M663" t="n">
        <v>0</v>
      </c>
      <c r="N663" t="n">
        <v>0</v>
      </c>
      <c r="O663" t="n">
        <v>0</v>
      </c>
      <c r="P663" t="n">
        <v>0</v>
      </c>
      <c r="Q663" t="n">
        <v>0</v>
      </c>
      <c r="R663" s="2" t="inlineStr"/>
    </row>
    <row r="664" ht="15" customHeight="1">
      <c r="A664" t="inlineStr">
        <is>
          <t>A 49650-2025</t>
        </is>
      </c>
      <c r="B664" s="1" t="n">
        <v>45938</v>
      </c>
      <c r="C664" s="1" t="n">
        <v>46065</v>
      </c>
      <c r="D664" t="inlineStr">
        <is>
          <t>ÖSTERGÖTLANDS LÄN</t>
        </is>
      </c>
      <c r="E664" t="inlineStr">
        <is>
          <t>LINKÖPING</t>
        </is>
      </c>
      <c r="F664" t="inlineStr">
        <is>
          <t>Övriga Aktiebolag</t>
        </is>
      </c>
      <c r="G664" t="n">
        <v>1.5</v>
      </c>
      <c r="H664" t="n">
        <v>0</v>
      </c>
      <c r="I664" t="n">
        <v>0</v>
      </c>
      <c r="J664" t="n">
        <v>0</v>
      </c>
      <c r="K664" t="n">
        <v>0</v>
      </c>
      <c r="L664" t="n">
        <v>0</v>
      </c>
      <c r="M664" t="n">
        <v>0</v>
      </c>
      <c r="N664" t="n">
        <v>0</v>
      </c>
      <c r="O664" t="n">
        <v>0</v>
      </c>
      <c r="P664" t="n">
        <v>0</v>
      </c>
      <c r="Q664" t="n">
        <v>0</v>
      </c>
      <c r="R664" s="2" t="inlineStr"/>
    </row>
    <row r="665" ht="15" customHeight="1">
      <c r="A665" t="inlineStr">
        <is>
          <t>A 49632-2025</t>
        </is>
      </c>
      <c r="B665" s="1" t="n">
        <v>45938</v>
      </c>
      <c r="C665" s="1" t="n">
        <v>46065</v>
      </c>
      <c r="D665" t="inlineStr">
        <is>
          <t>ÖSTERGÖTLANDS LÄN</t>
        </is>
      </c>
      <c r="E665" t="inlineStr">
        <is>
          <t>LINKÖPING</t>
        </is>
      </c>
      <c r="F665" t="inlineStr">
        <is>
          <t>Övriga Aktiebolag</t>
        </is>
      </c>
      <c r="G665" t="n">
        <v>1.6</v>
      </c>
      <c r="H665" t="n">
        <v>0</v>
      </c>
      <c r="I665" t="n">
        <v>0</v>
      </c>
      <c r="J665" t="n">
        <v>0</v>
      </c>
      <c r="K665" t="n">
        <v>0</v>
      </c>
      <c r="L665" t="n">
        <v>0</v>
      </c>
      <c r="M665" t="n">
        <v>0</v>
      </c>
      <c r="N665" t="n">
        <v>0</v>
      </c>
      <c r="O665" t="n">
        <v>0</v>
      </c>
      <c r="P665" t="n">
        <v>0</v>
      </c>
      <c r="Q665" t="n">
        <v>0</v>
      </c>
      <c r="R665" s="2" t="inlineStr"/>
    </row>
    <row r="666" ht="15" customHeight="1">
      <c r="A666" t="inlineStr">
        <is>
          <t>A 49615-2025</t>
        </is>
      </c>
      <c r="B666" s="1" t="n">
        <v>45938</v>
      </c>
      <c r="C666" s="1" t="n">
        <v>46065</v>
      </c>
      <c r="D666" t="inlineStr">
        <is>
          <t>ÖSTERGÖTLANDS LÄN</t>
        </is>
      </c>
      <c r="E666" t="inlineStr">
        <is>
          <t>LINKÖPING</t>
        </is>
      </c>
      <c r="F666" t="inlineStr">
        <is>
          <t>Övriga Aktiebolag</t>
        </is>
      </c>
      <c r="G666" t="n">
        <v>1.6</v>
      </c>
      <c r="H666" t="n">
        <v>0</v>
      </c>
      <c r="I666" t="n">
        <v>0</v>
      </c>
      <c r="J666" t="n">
        <v>0</v>
      </c>
      <c r="K666" t="n">
        <v>0</v>
      </c>
      <c r="L666" t="n">
        <v>0</v>
      </c>
      <c r="M666" t="n">
        <v>0</v>
      </c>
      <c r="N666" t="n">
        <v>0</v>
      </c>
      <c r="O666" t="n">
        <v>0</v>
      </c>
      <c r="P666" t="n">
        <v>0</v>
      </c>
      <c r="Q666" t="n">
        <v>0</v>
      </c>
      <c r="R666" s="2" t="inlineStr"/>
    </row>
    <row r="667" ht="15" customHeight="1">
      <c r="A667" t="inlineStr">
        <is>
          <t>A 6859-2024</t>
        </is>
      </c>
      <c r="B667" s="1" t="n">
        <v>45342</v>
      </c>
      <c r="C667" s="1" t="n">
        <v>46065</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38580-2024</t>
        </is>
      </c>
      <c r="B668" s="1" t="n">
        <v>45546.64825231482</v>
      </c>
      <c r="C668" s="1" t="n">
        <v>46065</v>
      </c>
      <c r="D668" t="inlineStr">
        <is>
          <t>ÖSTERGÖTLANDS LÄN</t>
        </is>
      </c>
      <c r="E668" t="inlineStr">
        <is>
          <t>LINKÖPING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572-2025</t>
        </is>
      </c>
      <c r="B669" s="1" t="n">
        <v>45664.56349537037</v>
      </c>
      <c r="C669" s="1" t="n">
        <v>46065</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22364-2025</t>
        </is>
      </c>
      <c r="B670" s="1" t="n">
        <v>45786.46930555555</v>
      </c>
      <c r="C670" s="1" t="n">
        <v>46065</v>
      </c>
      <c r="D670" t="inlineStr">
        <is>
          <t>ÖSTERGÖTLANDS LÄN</t>
        </is>
      </c>
      <c r="E670" t="inlineStr">
        <is>
          <t>LINKÖPING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44287-2024</t>
        </is>
      </c>
      <c r="B671" s="1" t="n">
        <v>45573.50582175926</v>
      </c>
      <c r="C671" s="1" t="n">
        <v>46065</v>
      </c>
      <c r="D671" t="inlineStr">
        <is>
          <t>ÖSTERGÖTLANDS LÄN</t>
        </is>
      </c>
      <c r="E671" t="inlineStr">
        <is>
          <t>LINKÖPING</t>
        </is>
      </c>
      <c r="G671" t="n">
        <v>12.7</v>
      </c>
      <c r="H671" t="n">
        <v>0</v>
      </c>
      <c r="I671" t="n">
        <v>0</v>
      </c>
      <c r="J671" t="n">
        <v>0</v>
      </c>
      <c r="K671" t="n">
        <v>0</v>
      </c>
      <c r="L671" t="n">
        <v>0</v>
      </c>
      <c r="M671" t="n">
        <v>0</v>
      </c>
      <c r="N671" t="n">
        <v>0</v>
      </c>
      <c r="O671" t="n">
        <v>0</v>
      </c>
      <c r="P671" t="n">
        <v>0</v>
      </c>
      <c r="Q671" t="n">
        <v>0</v>
      </c>
      <c r="R671" s="2" t="inlineStr"/>
    </row>
    <row r="672" ht="15" customHeight="1">
      <c r="A672" t="inlineStr">
        <is>
          <t>A 40983-2025</t>
        </is>
      </c>
      <c r="B672" s="1" t="n">
        <v>45898</v>
      </c>
      <c r="C672" s="1" t="n">
        <v>46065</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29312-2024</t>
        </is>
      </c>
      <c r="B673" s="1" t="n">
        <v>45483</v>
      </c>
      <c r="C673" s="1" t="n">
        <v>46065</v>
      </c>
      <c r="D673" t="inlineStr">
        <is>
          <t>ÖSTERGÖTLANDS LÄN</t>
        </is>
      </c>
      <c r="E673" t="inlineStr">
        <is>
          <t>LINKÖPING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50056-2025</t>
        </is>
      </c>
      <c r="B674" s="1" t="n">
        <v>45941</v>
      </c>
      <c r="C674" s="1" t="n">
        <v>46065</v>
      </c>
      <c r="D674" t="inlineStr">
        <is>
          <t>ÖSTERGÖTLANDS LÄN</t>
        </is>
      </c>
      <c r="E674" t="inlineStr">
        <is>
          <t>LINKÖPING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50667-2025</t>
        </is>
      </c>
      <c r="B675" s="1" t="n">
        <v>45945</v>
      </c>
      <c r="C675" s="1" t="n">
        <v>46065</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23120-2025</t>
        </is>
      </c>
      <c r="B676" s="1" t="n">
        <v>45791.37481481482</v>
      </c>
      <c r="C676" s="1" t="n">
        <v>46065</v>
      </c>
      <c r="D676" t="inlineStr">
        <is>
          <t>ÖSTERGÖTLANDS LÄN</t>
        </is>
      </c>
      <c r="E676" t="inlineStr">
        <is>
          <t>LINKÖPING</t>
        </is>
      </c>
      <c r="G676" t="n">
        <v>2.9</v>
      </c>
      <c r="H676" t="n">
        <v>0</v>
      </c>
      <c r="I676" t="n">
        <v>0</v>
      </c>
      <c r="J676" t="n">
        <v>0</v>
      </c>
      <c r="K676" t="n">
        <v>0</v>
      </c>
      <c r="L676" t="n">
        <v>0</v>
      </c>
      <c r="M676" t="n">
        <v>0</v>
      </c>
      <c r="N676" t="n">
        <v>0</v>
      </c>
      <c r="O676" t="n">
        <v>0</v>
      </c>
      <c r="P676" t="n">
        <v>0</v>
      </c>
      <c r="Q676" t="n">
        <v>0</v>
      </c>
      <c r="R676" s="2" t="inlineStr"/>
    </row>
    <row r="677" ht="15" customHeight="1">
      <c r="A677" t="inlineStr">
        <is>
          <t>A 51802-2025</t>
        </is>
      </c>
      <c r="B677" s="1" t="n">
        <v>45950</v>
      </c>
      <c r="C677" s="1" t="n">
        <v>46065</v>
      </c>
      <c r="D677" t="inlineStr">
        <is>
          <t>ÖSTERGÖTLANDS LÄN</t>
        </is>
      </c>
      <c r="E677" t="inlineStr">
        <is>
          <t>LINKÖPING</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52111-2025</t>
        </is>
      </c>
      <c r="B678" s="1" t="n">
        <v>45952.69527777778</v>
      </c>
      <c r="C678" s="1" t="n">
        <v>46065</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48699-2024</t>
        </is>
      </c>
      <c r="B679" s="1" t="n">
        <v>45593.52091435185</v>
      </c>
      <c r="C679" s="1" t="n">
        <v>46065</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52800-2025</t>
        </is>
      </c>
      <c r="B680" s="1" t="n">
        <v>45957.44152777778</v>
      </c>
      <c r="C680" s="1" t="n">
        <v>46065</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52802-2025</t>
        </is>
      </c>
      <c r="B681" s="1" t="n">
        <v>45957.44295138889</v>
      </c>
      <c r="C681" s="1" t="n">
        <v>46065</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13911-2025</t>
        </is>
      </c>
      <c r="B682" s="1" t="n">
        <v>45737.64784722222</v>
      </c>
      <c r="C682" s="1" t="n">
        <v>46065</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23768-2025</t>
        </is>
      </c>
      <c r="B683" s="1" t="n">
        <v>45793.47493055555</v>
      </c>
      <c r="C683" s="1" t="n">
        <v>46065</v>
      </c>
      <c r="D683" t="inlineStr">
        <is>
          <t>ÖSTERGÖTLANDS LÄN</t>
        </is>
      </c>
      <c r="E683" t="inlineStr">
        <is>
          <t>LINKÖPING</t>
        </is>
      </c>
      <c r="G683" t="n">
        <v>3.4</v>
      </c>
      <c r="H683" t="n">
        <v>0</v>
      </c>
      <c r="I683" t="n">
        <v>0</v>
      </c>
      <c r="J683" t="n">
        <v>0</v>
      </c>
      <c r="K683" t="n">
        <v>0</v>
      </c>
      <c r="L683" t="n">
        <v>0</v>
      </c>
      <c r="M683" t="n">
        <v>0</v>
      </c>
      <c r="N683" t="n">
        <v>0</v>
      </c>
      <c r="O683" t="n">
        <v>0</v>
      </c>
      <c r="P683" t="n">
        <v>0</v>
      </c>
      <c r="Q683" t="n">
        <v>0</v>
      </c>
      <c r="R683" s="2" t="inlineStr"/>
    </row>
    <row r="684" ht="15" customHeight="1">
      <c r="A684" t="inlineStr">
        <is>
          <t>A 52740-2025</t>
        </is>
      </c>
      <c r="B684" s="1" t="n">
        <v>45957.37747685185</v>
      </c>
      <c r="C684" s="1" t="n">
        <v>46065</v>
      </c>
      <c r="D684" t="inlineStr">
        <is>
          <t>ÖSTERGÖTLANDS LÄN</t>
        </is>
      </c>
      <c r="E684" t="inlineStr">
        <is>
          <t>LINKÖPING</t>
        </is>
      </c>
      <c r="G684" t="n">
        <v>3.7</v>
      </c>
      <c r="H684" t="n">
        <v>0</v>
      </c>
      <c r="I684" t="n">
        <v>0</v>
      </c>
      <c r="J684" t="n">
        <v>0</v>
      </c>
      <c r="K684" t="n">
        <v>0</v>
      </c>
      <c r="L684" t="n">
        <v>0</v>
      </c>
      <c r="M684" t="n">
        <v>0</v>
      </c>
      <c r="N684" t="n">
        <v>0</v>
      </c>
      <c r="O684" t="n">
        <v>0</v>
      </c>
      <c r="P684" t="n">
        <v>0</v>
      </c>
      <c r="Q684" t="n">
        <v>0</v>
      </c>
      <c r="R684" s="2" t="inlineStr"/>
    </row>
    <row r="685" ht="15" customHeight="1">
      <c r="A685" t="inlineStr">
        <is>
          <t>A 52743-2025</t>
        </is>
      </c>
      <c r="B685" s="1" t="n">
        <v>45957.38039351852</v>
      </c>
      <c r="C685" s="1" t="n">
        <v>46065</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52807-2025</t>
        </is>
      </c>
      <c r="B686" s="1" t="n">
        <v>45957.44837962963</v>
      </c>
      <c r="C686" s="1" t="n">
        <v>46065</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44280-2024</t>
        </is>
      </c>
      <c r="B687" s="1" t="n">
        <v>45573.49461805556</v>
      </c>
      <c r="C687" s="1" t="n">
        <v>46065</v>
      </c>
      <c r="D687" t="inlineStr">
        <is>
          <t>ÖSTERGÖTLANDS LÄN</t>
        </is>
      </c>
      <c r="E687" t="inlineStr">
        <is>
          <t>LINKÖPING</t>
        </is>
      </c>
      <c r="G687" t="n">
        <v>5.3</v>
      </c>
      <c r="H687" t="n">
        <v>0</v>
      </c>
      <c r="I687" t="n">
        <v>0</v>
      </c>
      <c r="J687" t="n">
        <v>0</v>
      </c>
      <c r="K687" t="n">
        <v>0</v>
      </c>
      <c r="L687" t="n">
        <v>0</v>
      </c>
      <c r="M687" t="n">
        <v>0</v>
      </c>
      <c r="N687" t="n">
        <v>0</v>
      </c>
      <c r="O687" t="n">
        <v>0</v>
      </c>
      <c r="P687" t="n">
        <v>0</v>
      </c>
      <c r="Q687" t="n">
        <v>0</v>
      </c>
      <c r="R687" s="2" t="inlineStr"/>
    </row>
    <row r="688" ht="15" customHeight="1">
      <c r="A688" t="inlineStr">
        <is>
          <t>A 54333-2025</t>
        </is>
      </c>
      <c r="B688" s="1" t="n">
        <v>45965.35090277778</v>
      </c>
      <c r="C688" s="1" t="n">
        <v>46065</v>
      </c>
      <c r="D688" t="inlineStr">
        <is>
          <t>ÖSTERGÖTLANDS LÄN</t>
        </is>
      </c>
      <c r="E688" t="inlineStr">
        <is>
          <t>LINKÖPING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54332-2025</t>
        </is>
      </c>
      <c r="B689" s="1" t="n">
        <v>45965.34915509259</v>
      </c>
      <c r="C689" s="1" t="n">
        <v>46065</v>
      </c>
      <c r="D689" t="inlineStr">
        <is>
          <t>ÖSTERGÖTLANDS LÄN</t>
        </is>
      </c>
      <c r="E689" t="inlineStr">
        <is>
          <t>LINKÖPING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54329-2025</t>
        </is>
      </c>
      <c r="B690" s="1" t="n">
        <v>45965.34706018519</v>
      </c>
      <c r="C690" s="1" t="n">
        <v>46065</v>
      </c>
      <c r="D690" t="inlineStr">
        <is>
          <t>ÖSTERGÖTLANDS LÄN</t>
        </is>
      </c>
      <c r="E690" t="inlineStr">
        <is>
          <t>LINKÖPING</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25996-2025</t>
        </is>
      </c>
      <c r="B691" s="1" t="n">
        <v>45804.65851851852</v>
      </c>
      <c r="C691" s="1" t="n">
        <v>46065</v>
      </c>
      <c r="D691" t="inlineStr">
        <is>
          <t>ÖSTERGÖTLANDS LÄN</t>
        </is>
      </c>
      <c r="E691" t="inlineStr">
        <is>
          <t>LINKÖPING</t>
        </is>
      </c>
      <c r="G691" t="n">
        <v>3.2</v>
      </c>
      <c r="H691" t="n">
        <v>0</v>
      </c>
      <c r="I691" t="n">
        <v>0</v>
      </c>
      <c r="J691" t="n">
        <v>0</v>
      </c>
      <c r="K691" t="n">
        <v>0</v>
      </c>
      <c r="L691" t="n">
        <v>0</v>
      </c>
      <c r="M691" t="n">
        <v>0</v>
      </c>
      <c r="N691" t="n">
        <v>0</v>
      </c>
      <c r="O691" t="n">
        <v>0</v>
      </c>
      <c r="P691" t="n">
        <v>0</v>
      </c>
      <c r="Q691" t="n">
        <v>0</v>
      </c>
      <c r="R691" s="2" t="inlineStr"/>
    </row>
    <row r="692" ht="15" customHeight="1">
      <c r="A692" t="inlineStr">
        <is>
          <t>A 55109-2025</t>
        </is>
      </c>
      <c r="B692" s="1" t="n">
        <v>45968.37731481482</v>
      </c>
      <c r="C692" s="1" t="n">
        <v>46065</v>
      </c>
      <c r="D692" t="inlineStr">
        <is>
          <t>ÖSTERGÖTLANDS LÄN</t>
        </is>
      </c>
      <c r="E692" t="inlineStr">
        <is>
          <t>LINKÖPING</t>
        </is>
      </c>
      <c r="G692" t="n">
        <v>3.2</v>
      </c>
      <c r="H692" t="n">
        <v>0</v>
      </c>
      <c r="I692" t="n">
        <v>0</v>
      </c>
      <c r="J692" t="n">
        <v>0</v>
      </c>
      <c r="K692" t="n">
        <v>0</v>
      </c>
      <c r="L692" t="n">
        <v>0</v>
      </c>
      <c r="M692" t="n">
        <v>0</v>
      </c>
      <c r="N692" t="n">
        <v>0</v>
      </c>
      <c r="O692" t="n">
        <v>0</v>
      </c>
      <c r="P692" t="n">
        <v>0</v>
      </c>
      <c r="Q692" t="n">
        <v>0</v>
      </c>
      <c r="R692" s="2" t="inlineStr"/>
    </row>
    <row r="693" ht="15" customHeight="1">
      <c r="A693" t="inlineStr">
        <is>
          <t>A 55165-2025</t>
        </is>
      </c>
      <c r="B693" s="1" t="n">
        <v>45968.48194444444</v>
      </c>
      <c r="C693" s="1" t="n">
        <v>46065</v>
      </c>
      <c r="D693" t="inlineStr">
        <is>
          <t>ÖSTERGÖTLANDS LÄN</t>
        </is>
      </c>
      <c r="E693" t="inlineStr">
        <is>
          <t>LINKÖPING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55102-2025</t>
        </is>
      </c>
      <c r="B694" s="1" t="n">
        <v>45968.35410879629</v>
      </c>
      <c r="C694" s="1" t="n">
        <v>46065</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55132-2025</t>
        </is>
      </c>
      <c r="B695" s="1" t="n">
        <v>45968.41912037037</v>
      </c>
      <c r="C695" s="1" t="n">
        <v>46065</v>
      </c>
      <c r="D695" t="inlineStr">
        <is>
          <t>ÖSTERGÖTLANDS LÄN</t>
        </is>
      </c>
      <c r="E695" t="inlineStr">
        <is>
          <t>LINKÖPING</t>
        </is>
      </c>
      <c r="G695" t="n">
        <v>2.4</v>
      </c>
      <c r="H695" t="n">
        <v>0</v>
      </c>
      <c r="I695" t="n">
        <v>0</v>
      </c>
      <c r="J695" t="n">
        <v>0</v>
      </c>
      <c r="K695" t="n">
        <v>0</v>
      </c>
      <c r="L695" t="n">
        <v>0</v>
      </c>
      <c r="M695" t="n">
        <v>0</v>
      </c>
      <c r="N695" t="n">
        <v>0</v>
      </c>
      <c r="O695" t="n">
        <v>0</v>
      </c>
      <c r="P695" t="n">
        <v>0</v>
      </c>
      <c r="Q695" t="n">
        <v>0</v>
      </c>
      <c r="R695" s="2" t="inlineStr"/>
    </row>
    <row r="696" ht="15" customHeight="1">
      <c r="A696" t="inlineStr">
        <is>
          <t>A 56105-2025</t>
        </is>
      </c>
      <c r="B696" s="1" t="n">
        <v>45973.72855324074</v>
      </c>
      <c r="C696" s="1" t="n">
        <v>46065</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56403-2025</t>
        </is>
      </c>
      <c r="B697" s="1" t="n">
        <v>45974</v>
      </c>
      <c r="C697" s="1" t="n">
        <v>46065</v>
      </c>
      <c r="D697" t="inlineStr">
        <is>
          <t>ÖSTERGÖTLANDS LÄN</t>
        </is>
      </c>
      <c r="E697" t="inlineStr">
        <is>
          <t>LINKÖPING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56113-2025</t>
        </is>
      </c>
      <c r="B698" s="1" t="n">
        <v>45973.73924768518</v>
      </c>
      <c r="C698" s="1" t="n">
        <v>46065</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56704-2025</t>
        </is>
      </c>
      <c r="B699" s="1" t="n">
        <v>45977.50608796296</v>
      </c>
      <c r="C699" s="1" t="n">
        <v>46065</v>
      </c>
      <c r="D699" t="inlineStr">
        <is>
          <t>ÖSTERGÖTLANDS LÄN</t>
        </is>
      </c>
      <c r="E699" t="inlineStr">
        <is>
          <t>LINKÖPING</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55004-2025</t>
        </is>
      </c>
      <c r="B700" s="1" t="n">
        <v>45967</v>
      </c>
      <c r="C700" s="1" t="n">
        <v>46065</v>
      </c>
      <c r="D700" t="inlineStr">
        <is>
          <t>ÖSTERGÖTLANDS LÄN</t>
        </is>
      </c>
      <c r="E700" t="inlineStr">
        <is>
          <t>LINKÖPING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856-2026</t>
        </is>
      </c>
      <c r="B701" s="1" t="n">
        <v>46030.40644675926</v>
      </c>
      <c r="C701" s="1" t="n">
        <v>46065</v>
      </c>
      <c r="D701" t="inlineStr">
        <is>
          <t>ÖSTERGÖTLANDS LÄN</t>
        </is>
      </c>
      <c r="E701" t="inlineStr">
        <is>
          <t>LINKÖPING</t>
        </is>
      </c>
      <c r="G701" t="n">
        <v>6.4</v>
      </c>
      <c r="H701" t="n">
        <v>0</v>
      </c>
      <c r="I701" t="n">
        <v>0</v>
      </c>
      <c r="J701" t="n">
        <v>0</v>
      </c>
      <c r="K701" t="n">
        <v>0</v>
      </c>
      <c r="L701" t="n">
        <v>0</v>
      </c>
      <c r="M701" t="n">
        <v>0</v>
      </c>
      <c r="N701" t="n">
        <v>0</v>
      </c>
      <c r="O701" t="n">
        <v>0</v>
      </c>
      <c r="P701" t="n">
        <v>0</v>
      </c>
      <c r="Q701" t="n">
        <v>0</v>
      </c>
      <c r="R701" s="2" t="inlineStr"/>
    </row>
    <row r="702" ht="15" customHeight="1">
      <c r="A702" t="inlineStr">
        <is>
          <t>A 859-2026</t>
        </is>
      </c>
      <c r="B702" s="1" t="n">
        <v>46030.41450231482</v>
      </c>
      <c r="C702" s="1" t="n">
        <v>46065</v>
      </c>
      <c r="D702" t="inlineStr">
        <is>
          <t>ÖSTERGÖTLANDS LÄN</t>
        </is>
      </c>
      <c r="E702" t="inlineStr">
        <is>
          <t>LINKÖPING</t>
        </is>
      </c>
      <c r="G702" t="n">
        <v>0.2</v>
      </c>
      <c r="H702" t="n">
        <v>0</v>
      </c>
      <c r="I702" t="n">
        <v>0</v>
      </c>
      <c r="J702" t="n">
        <v>0</v>
      </c>
      <c r="K702" t="n">
        <v>0</v>
      </c>
      <c r="L702" t="n">
        <v>0</v>
      </c>
      <c r="M702" t="n">
        <v>0</v>
      </c>
      <c r="N702" t="n">
        <v>0</v>
      </c>
      <c r="O702" t="n">
        <v>0</v>
      </c>
      <c r="P702" t="n">
        <v>0</v>
      </c>
      <c r="Q702" t="n">
        <v>0</v>
      </c>
      <c r="R702" s="2" t="inlineStr"/>
    </row>
    <row r="703" ht="15" customHeight="1">
      <c r="A703" t="inlineStr">
        <is>
          <t>A 59205-2025</t>
        </is>
      </c>
      <c r="B703" s="1" t="n">
        <v>45988.60721064815</v>
      </c>
      <c r="C703" s="1" t="n">
        <v>46065</v>
      </c>
      <c r="D703" t="inlineStr">
        <is>
          <t>ÖSTERGÖTLANDS LÄN</t>
        </is>
      </c>
      <c r="E703" t="inlineStr">
        <is>
          <t>LINKÖPING</t>
        </is>
      </c>
      <c r="F703" t="inlineStr">
        <is>
          <t>Sveaskog</t>
        </is>
      </c>
      <c r="G703" t="n">
        <v>11.3</v>
      </c>
      <c r="H703" t="n">
        <v>0</v>
      </c>
      <c r="I703" t="n">
        <v>0</v>
      </c>
      <c r="J703" t="n">
        <v>0</v>
      </c>
      <c r="K703" t="n">
        <v>0</v>
      </c>
      <c r="L703" t="n">
        <v>0</v>
      </c>
      <c r="M703" t="n">
        <v>0</v>
      </c>
      <c r="N703" t="n">
        <v>0</v>
      </c>
      <c r="O703" t="n">
        <v>0</v>
      </c>
      <c r="P703" t="n">
        <v>0</v>
      </c>
      <c r="Q703" t="n">
        <v>0</v>
      </c>
      <c r="R703" s="2" t="inlineStr"/>
    </row>
    <row r="704" ht="15" customHeight="1">
      <c r="A704" t="inlineStr">
        <is>
          <t>A 873-2026</t>
        </is>
      </c>
      <c r="B704" s="1" t="n">
        <v>46030.43818287037</v>
      </c>
      <c r="C704" s="1" t="n">
        <v>46065</v>
      </c>
      <c r="D704" t="inlineStr">
        <is>
          <t>ÖSTERGÖTLANDS LÄN</t>
        </is>
      </c>
      <c r="E704" t="inlineStr">
        <is>
          <t>LINKÖPING</t>
        </is>
      </c>
      <c r="G704" t="n">
        <v>4.1</v>
      </c>
      <c r="H704" t="n">
        <v>0</v>
      </c>
      <c r="I704" t="n">
        <v>0</v>
      </c>
      <c r="J704" t="n">
        <v>0</v>
      </c>
      <c r="K704" t="n">
        <v>0</v>
      </c>
      <c r="L704" t="n">
        <v>0</v>
      </c>
      <c r="M704" t="n">
        <v>0</v>
      </c>
      <c r="N704" t="n">
        <v>0</v>
      </c>
      <c r="O704" t="n">
        <v>0</v>
      </c>
      <c r="P704" t="n">
        <v>0</v>
      </c>
      <c r="Q704" t="n">
        <v>0</v>
      </c>
      <c r="R704" s="2" t="inlineStr"/>
    </row>
    <row r="705" ht="15" customHeight="1">
      <c r="A705" t="inlineStr">
        <is>
          <t>A 58802-2025</t>
        </is>
      </c>
      <c r="B705" s="1" t="n">
        <v>45986.8768287037</v>
      </c>
      <c r="C705" s="1" t="n">
        <v>46065</v>
      </c>
      <c r="D705" t="inlineStr">
        <is>
          <t>ÖSTERGÖTLANDS LÄN</t>
        </is>
      </c>
      <c r="E705" t="inlineStr">
        <is>
          <t>LINKÖPING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858-2026</t>
        </is>
      </c>
      <c r="B706" s="1" t="n">
        <v>46030.41200231481</v>
      </c>
      <c r="C706" s="1" t="n">
        <v>46065</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860-2026</t>
        </is>
      </c>
      <c r="B707" s="1" t="n">
        <v>46030.41974537037</v>
      </c>
      <c r="C707" s="1" t="n">
        <v>46065</v>
      </c>
      <c r="D707" t="inlineStr">
        <is>
          <t>ÖSTERGÖTLANDS LÄN</t>
        </is>
      </c>
      <c r="E707" t="inlineStr">
        <is>
          <t>LINKÖPING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940-2026</t>
        </is>
      </c>
      <c r="B708" s="1" t="n">
        <v>46030.53052083333</v>
      </c>
      <c r="C708" s="1" t="n">
        <v>46065</v>
      </c>
      <c r="D708" t="inlineStr">
        <is>
          <t>ÖSTERGÖTLANDS LÄN</t>
        </is>
      </c>
      <c r="E708" t="inlineStr">
        <is>
          <t>LINKÖPING</t>
        </is>
      </c>
      <c r="F708" t="inlineStr">
        <is>
          <t>Allmännings- och besparingsskogar</t>
        </is>
      </c>
      <c r="G708" t="n">
        <v>2.9</v>
      </c>
      <c r="H708" t="n">
        <v>0</v>
      </c>
      <c r="I708" t="n">
        <v>0</v>
      </c>
      <c r="J708" t="n">
        <v>0</v>
      </c>
      <c r="K708" t="n">
        <v>0</v>
      </c>
      <c r="L708" t="n">
        <v>0</v>
      </c>
      <c r="M708" t="n">
        <v>0</v>
      </c>
      <c r="N708" t="n">
        <v>0</v>
      </c>
      <c r="O708" t="n">
        <v>0</v>
      </c>
      <c r="P708" t="n">
        <v>0</v>
      </c>
      <c r="Q708" t="n">
        <v>0</v>
      </c>
      <c r="R708" s="2" t="inlineStr"/>
    </row>
    <row r="709" ht="15" customHeight="1">
      <c r="A709" t="inlineStr">
        <is>
          <t>A 944-2026</t>
        </is>
      </c>
      <c r="B709" s="1" t="n">
        <v>46030.53461805556</v>
      </c>
      <c r="C709" s="1" t="n">
        <v>46065</v>
      </c>
      <c r="D709" t="inlineStr">
        <is>
          <t>ÖSTERGÖTLANDS LÄN</t>
        </is>
      </c>
      <c r="E709" t="inlineStr">
        <is>
          <t>LINKÖPING</t>
        </is>
      </c>
      <c r="F709" t="inlineStr">
        <is>
          <t>Allmännings- och besparingsskogar</t>
        </is>
      </c>
      <c r="G709" t="n">
        <v>0.9</v>
      </c>
      <c r="H709" t="n">
        <v>0</v>
      </c>
      <c r="I709" t="n">
        <v>0</v>
      </c>
      <c r="J709" t="n">
        <v>0</v>
      </c>
      <c r="K709" t="n">
        <v>0</v>
      </c>
      <c r="L709" t="n">
        <v>0</v>
      </c>
      <c r="M709" t="n">
        <v>0</v>
      </c>
      <c r="N709" t="n">
        <v>0</v>
      </c>
      <c r="O709" t="n">
        <v>0</v>
      </c>
      <c r="P709" t="n">
        <v>0</v>
      </c>
      <c r="Q709" t="n">
        <v>0</v>
      </c>
      <c r="R709" s="2" t="inlineStr"/>
    </row>
    <row r="710" ht="15" customHeight="1">
      <c r="A710" t="inlineStr">
        <is>
          <t>A 59472-2025</t>
        </is>
      </c>
      <c r="B710" s="1" t="n">
        <v>45989.58321759259</v>
      </c>
      <c r="C710" s="1" t="n">
        <v>46065</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1223-2026</t>
        </is>
      </c>
      <c r="B711" s="1" t="n">
        <v>46031.40233796297</v>
      </c>
      <c r="C711" s="1" t="n">
        <v>46065</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60087-2025</t>
        </is>
      </c>
      <c r="B712" s="1" t="n">
        <v>45993.71726851852</v>
      </c>
      <c r="C712" s="1" t="n">
        <v>46065</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60284-2025</t>
        </is>
      </c>
      <c r="B713" s="1" t="n">
        <v>45994.64373842593</v>
      </c>
      <c r="C713" s="1" t="n">
        <v>46065</v>
      </c>
      <c r="D713" t="inlineStr">
        <is>
          <t>ÖSTERGÖTLANDS LÄN</t>
        </is>
      </c>
      <c r="E713" t="inlineStr">
        <is>
          <t>LINKÖPING</t>
        </is>
      </c>
      <c r="G713" t="n">
        <v>3.5</v>
      </c>
      <c r="H713" t="n">
        <v>0</v>
      </c>
      <c r="I713" t="n">
        <v>0</v>
      </c>
      <c r="J713" t="n">
        <v>0</v>
      </c>
      <c r="K713" t="n">
        <v>0</v>
      </c>
      <c r="L713" t="n">
        <v>0</v>
      </c>
      <c r="M713" t="n">
        <v>0</v>
      </c>
      <c r="N713" t="n">
        <v>0</v>
      </c>
      <c r="O713" t="n">
        <v>0</v>
      </c>
      <c r="P713" t="n">
        <v>0</v>
      </c>
      <c r="Q713" t="n">
        <v>0</v>
      </c>
      <c r="R713" s="2" t="inlineStr"/>
    </row>
    <row r="714" ht="15" customHeight="1">
      <c r="A714" t="inlineStr">
        <is>
          <t>A 60306-2025</t>
        </is>
      </c>
      <c r="B714" s="1" t="n">
        <v>45994.68326388889</v>
      </c>
      <c r="C714" s="1" t="n">
        <v>46065</v>
      </c>
      <c r="D714" t="inlineStr">
        <is>
          <t>ÖSTERGÖTLANDS LÄN</t>
        </is>
      </c>
      <c r="E714" t="inlineStr">
        <is>
          <t>LINKÖPING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2030-2026</t>
        </is>
      </c>
      <c r="B715" s="1" t="n">
        <v>46035.73590277778</v>
      </c>
      <c r="C715" s="1" t="n">
        <v>46065</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2031-2026</t>
        </is>
      </c>
      <c r="B716" s="1" t="n">
        <v>46035.74182870371</v>
      </c>
      <c r="C716" s="1" t="n">
        <v>46065</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3044-2026</t>
        </is>
      </c>
      <c r="B717" s="1" t="n">
        <v>46038.73855324074</v>
      </c>
      <c r="C717" s="1" t="n">
        <v>46065</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3045-2026</t>
        </is>
      </c>
      <c r="B718" s="1" t="n">
        <v>46038.74047453704</v>
      </c>
      <c r="C718" s="1" t="n">
        <v>46065</v>
      </c>
      <c r="D718" t="inlineStr">
        <is>
          <t>ÖSTERGÖTLANDS LÄN</t>
        </is>
      </c>
      <c r="E718" t="inlineStr">
        <is>
          <t>LINKÖPING</t>
        </is>
      </c>
      <c r="G718" t="n">
        <v>2</v>
      </c>
      <c r="H718" t="n">
        <v>0</v>
      </c>
      <c r="I718" t="n">
        <v>0</v>
      </c>
      <c r="J718" t="n">
        <v>0</v>
      </c>
      <c r="K718" t="n">
        <v>0</v>
      </c>
      <c r="L718" t="n">
        <v>0</v>
      </c>
      <c r="M718" t="n">
        <v>0</v>
      </c>
      <c r="N718" t="n">
        <v>0</v>
      </c>
      <c r="O718" t="n">
        <v>0</v>
      </c>
      <c r="P718" t="n">
        <v>0</v>
      </c>
      <c r="Q718" t="n">
        <v>0</v>
      </c>
      <c r="R718" s="2" t="inlineStr"/>
    </row>
    <row r="719" ht="15" customHeight="1">
      <c r="A719" t="inlineStr">
        <is>
          <t>A 60703-2025</t>
        </is>
      </c>
      <c r="B719" s="1" t="n">
        <v>45996.6052662037</v>
      </c>
      <c r="C719" s="1" t="n">
        <v>46065</v>
      </c>
      <c r="D719" t="inlineStr">
        <is>
          <t>ÖSTERGÖTLANDS LÄN</t>
        </is>
      </c>
      <c r="E719" t="inlineStr">
        <is>
          <t>LINKÖPING</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3043-2026</t>
        </is>
      </c>
      <c r="B720" s="1" t="n">
        <v>46038.73675925926</v>
      </c>
      <c r="C720" s="1" t="n">
        <v>46065</v>
      </c>
      <c r="D720" t="inlineStr">
        <is>
          <t>ÖSTERGÖTLANDS LÄN</t>
        </is>
      </c>
      <c r="E720" t="inlineStr">
        <is>
          <t>LINKÖPING</t>
        </is>
      </c>
      <c r="G720" t="n">
        <v>2.5</v>
      </c>
      <c r="H720" t="n">
        <v>0</v>
      </c>
      <c r="I720" t="n">
        <v>0</v>
      </c>
      <c r="J720" t="n">
        <v>0</v>
      </c>
      <c r="K720" t="n">
        <v>0</v>
      </c>
      <c r="L720" t="n">
        <v>0</v>
      </c>
      <c r="M720" t="n">
        <v>0</v>
      </c>
      <c r="N720" t="n">
        <v>0</v>
      </c>
      <c r="O720" t="n">
        <v>0</v>
      </c>
      <c r="P720" t="n">
        <v>0</v>
      </c>
      <c r="Q720" t="n">
        <v>0</v>
      </c>
      <c r="R720" s="2" t="inlineStr"/>
    </row>
    <row r="721" ht="15" customHeight="1">
      <c r="A721" t="inlineStr">
        <is>
          <t>A 3046-2026</t>
        </is>
      </c>
      <c r="B721" s="1" t="n">
        <v>46038.74182870371</v>
      </c>
      <c r="C721" s="1" t="n">
        <v>46065</v>
      </c>
      <c r="D721" t="inlineStr">
        <is>
          <t>ÖSTERGÖTLANDS LÄN</t>
        </is>
      </c>
      <c r="E721" t="inlineStr">
        <is>
          <t>LINKÖPING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61230-2025</t>
        </is>
      </c>
      <c r="B722" s="1" t="n">
        <v>46000.63111111111</v>
      </c>
      <c r="C722" s="1" t="n">
        <v>46065</v>
      </c>
      <c r="D722" t="inlineStr">
        <is>
          <t>ÖSTERGÖTLANDS LÄN</t>
        </is>
      </c>
      <c r="E722" t="inlineStr">
        <is>
          <t>LINKÖPING</t>
        </is>
      </c>
      <c r="F722" t="inlineStr">
        <is>
          <t>Kyrkan</t>
        </is>
      </c>
      <c r="G722" t="n">
        <v>2.1</v>
      </c>
      <c r="H722" t="n">
        <v>0</v>
      </c>
      <c r="I722" t="n">
        <v>0</v>
      </c>
      <c r="J722" t="n">
        <v>0</v>
      </c>
      <c r="K722" t="n">
        <v>0</v>
      </c>
      <c r="L722" t="n">
        <v>0</v>
      </c>
      <c r="M722" t="n">
        <v>0</v>
      </c>
      <c r="N722" t="n">
        <v>0</v>
      </c>
      <c r="O722" t="n">
        <v>0</v>
      </c>
      <c r="P722" t="n">
        <v>0</v>
      </c>
      <c r="Q722" t="n">
        <v>0</v>
      </c>
      <c r="R722" s="2" t="inlineStr"/>
    </row>
    <row r="723" ht="15" customHeight="1">
      <c r="A723" t="inlineStr">
        <is>
          <t>A 60866-2025</t>
        </is>
      </c>
      <c r="B723" s="1" t="n">
        <v>45999</v>
      </c>
      <c r="C723" s="1" t="n">
        <v>46065</v>
      </c>
      <c r="D723" t="inlineStr">
        <is>
          <t>ÖSTERGÖTLANDS LÄN</t>
        </is>
      </c>
      <c r="E723" t="inlineStr">
        <is>
          <t>LINKÖPING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61643-2025</t>
        </is>
      </c>
      <c r="B724" s="1" t="n">
        <v>46002.43575231481</v>
      </c>
      <c r="C724" s="1" t="n">
        <v>46065</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61447-2025</t>
        </is>
      </c>
      <c r="B725" s="1" t="n">
        <v>46001.57554398148</v>
      </c>
      <c r="C725" s="1" t="n">
        <v>46065</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61645-2025</t>
        </is>
      </c>
      <c r="B726" s="1" t="n">
        <v>46002.43697916667</v>
      </c>
      <c r="C726" s="1" t="n">
        <v>46065</v>
      </c>
      <c r="D726" t="inlineStr">
        <is>
          <t>ÖSTERGÖTLANDS LÄN</t>
        </is>
      </c>
      <c r="E726" t="inlineStr">
        <is>
          <t>LINKÖPING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4469-2026</t>
        </is>
      </c>
      <c r="B727" s="1" t="n">
        <v>46045.65662037037</v>
      </c>
      <c r="C727" s="1" t="n">
        <v>46065</v>
      </c>
      <c r="D727" t="inlineStr">
        <is>
          <t>ÖSTERGÖTLANDS LÄN</t>
        </is>
      </c>
      <c r="E727" t="inlineStr">
        <is>
          <t>LINKÖPING</t>
        </is>
      </c>
      <c r="F727" t="inlineStr">
        <is>
          <t>Övriga Aktiebolag</t>
        </is>
      </c>
      <c r="G727" t="n">
        <v>3.8</v>
      </c>
      <c r="H727" t="n">
        <v>0</v>
      </c>
      <c r="I727" t="n">
        <v>0</v>
      </c>
      <c r="J727" t="n">
        <v>0</v>
      </c>
      <c r="K727" t="n">
        <v>0</v>
      </c>
      <c r="L727" t="n">
        <v>0</v>
      </c>
      <c r="M727" t="n">
        <v>0</v>
      </c>
      <c r="N727" t="n">
        <v>0</v>
      </c>
      <c r="O727" t="n">
        <v>0</v>
      </c>
      <c r="P727" t="n">
        <v>0</v>
      </c>
      <c r="Q727" t="n">
        <v>0</v>
      </c>
      <c r="R727" s="2" t="inlineStr"/>
    </row>
    <row r="728" ht="15" customHeight="1">
      <c r="A728" t="inlineStr">
        <is>
          <t>A 61899-2025</t>
        </is>
      </c>
      <c r="B728" s="1" t="n">
        <v>46003.46635416667</v>
      </c>
      <c r="C728" s="1" t="n">
        <v>46065</v>
      </c>
      <c r="D728" t="inlineStr">
        <is>
          <t>ÖSTERGÖTLANDS LÄN</t>
        </is>
      </c>
      <c r="E728" t="inlineStr">
        <is>
          <t>LINKÖPING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62791-2025</t>
        </is>
      </c>
      <c r="B729" s="1" t="n">
        <v>46008.63266203704</v>
      </c>
      <c r="C729" s="1" t="n">
        <v>46065</v>
      </c>
      <c r="D729" t="inlineStr">
        <is>
          <t>ÖSTERGÖTLANDS LÄN</t>
        </is>
      </c>
      <c r="E729" t="inlineStr">
        <is>
          <t>LINKÖPING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5099-2026</t>
        </is>
      </c>
      <c r="B730" s="1" t="n">
        <v>46049.56158564815</v>
      </c>
      <c r="C730" s="1" t="n">
        <v>46065</v>
      </c>
      <c r="D730" t="inlineStr">
        <is>
          <t>ÖSTERGÖTLANDS LÄN</t>
        </is>
      </c>
      <c r="E730" t="inlineStr">
        <is>
          <t>LINKÖPING</t>
        </is>
      </c>
      <c r="G730" t="n">
        <v>5</v>
      </c>
      <c r="H730" t="n">
        <v>0</v>
      </c>
      <c r="I730" t="n">
        <v>0</v>
      </c>
      <c r="J730" t="n">
        <v>0</v>
      </c>
      <c r="K730" t="n">
        <v>0</v>
      </c>
      <c r="L730" t="n">
        <v>0</v>
      </c>
      <c r="M730" t="n">
        <v>0</v>
      </c>
      <c r="N730" t="n">
        <v>0</v>
      </c>
      <c r="O730" t="n">
        <v>0</v>
      </c>
      <c r="P730" t="n">
        <v>0</v>
      </c>
      <c r="Q730" t="n">
        <v>0</v>
      </c>
      <c r="R730" s="2" t="inlineStr"/>
    </row>
    <row r="731" ht="15" customHeight="1">
      <c r="A731" t="inlineStr">
        <is>
          <t>A 62686-2025</t>
        </is>
      </c>
      <c r="B731" s="1" t="n">
        <v>46008.46769675926</v>
      </c>
      <c r="C731" s="1" t="n">
        <v>46065</v>
      </c>
      <c r="D731" t="inlineStr">
        <is>
          <t>ÖSTERGÖTLANDS LÄN</t>
        </is>
      </c>
      <c r="E731" t="inlineStr">
        <is>
          <t>LINKÖPING</t>
        </is>
      </c>
      <c r="G731" t="n">
        <v>7.6</v>
      </c>
      <c r="H731" t="n">
        <v>0</v>
      </c>
      <c r="I731" t="n">
        <v>0</v>
      </c>
      <c r="J731" t="n">
        <v>0</v>
      </c>
      <c r="K731" t="n">
        <v>0</v>
      </c>
      <c r="L731" t="n">
        <v>0</v>
      </c>
      <c r="M731" t="n">
        <v>0</v>
      </c>
      <c r="N731" t="n">
        <v>0</v>
      </c>
      <c r="O731" t="n">
        <v>0</v>
      </c>
      <c r="P731" t="n">
        <v>0</v>
      </c>
      <c r="Q731" t="n">
        <v>0</v>
      </c>
      <c r="R731" s="2" t="inlineStr"/>
    </row>
    <row r="732" ht="15" customHeight="1">
      <c r="A732" t="inlineStr">
        <is>
          <t>A 62515-2025</t>
        </is>
      </c>
      <c r="B732" s="1" t="n">
        <v>46007.60548611111</v>
      </c>
      <c r="C732" s="1" t="n">
        <v>46065</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927-2026</t>
        </is>
      </c>
      <c r="B733" s="1" t="n">
        <v>46030.50560185185</v>
      </c>
      <c r="C733" s="1" t="n">
        <v>46065</v>
      </c>
      <c r="D733" t="inlineStr">
        <is>
          <t>ÖSTERGÖTLANDS LÄN</t>
        </is>
      </c>
      <c r="E733" t="inlineStr">
        <is>
          <t>LINKÖPING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5545-2026</t>
        </is>
      </c>
      <c r="B734" s="1" t="n">
        <v>46050.70089120371</v>
      </c>
      <c r="C734" s="1" t="n">
        <v>46065</v>
      </c>
      <c r="D734" t="inlineStr">
        <is>
          <t>ÖSTERGÖTLANDS LÄN</t>
        </is>
      </c>
      <c r="E734" t="inlineStr">
        <is>
          <t>LINKÖPING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63147-2025</t>
        </is>
      </c>
      <c r="B735" s="1" t="n">
        <v>46010.35003472222</v>
      </c>
      <c r="C735" s="1" t="n">
        <v>46065</v>
      </c>
      <c r="D735" t="inlineStr">
        <is>
          <t>ÖSTERGÖTLANDS LÄN</t>
        </is>
      </c>
      <c r="E735" t="inlineStr">
        <is>
          <t>LINKÖPING</t>
        </is>
      </c>
      <c r="G735" t="n">
        <v>4</v>
      </c>
      <c r="H735" t="n">
        <v>0</v>
      </c>
      <c r="I735" t="n">
        <v>0</v>
      </c>
      <c r="J735" t="n">
        <v>0</v>
      </c>
      <c r="K735" t="n">
        <v>0</v>
      </c>
      <c r="L735" t="n">
        <v>0</v>
      </c>
      <c r="M735" t="n">
        <v>0</v>
      </c>
      <c r="N735" t="n">
        <v>0</v>
      </c>
      <c r="O735" t="n">
        <v>0</v>
      </c>
      <c r="P735" t="n">
        <v>0</v>
      </c>
      <c r="Q735" t="n">
        <v>0</v>
      </c>
      <c r="R735" s="2" t="inlineStr"/>
    </row>
    <row r="736" ht="15" customHeight="1">
      <c r="A736" t="inlineStr">
        <is>
          <t>A 63144-2025</t>
        </is>
      </c>
      <c r="B736" s="1" t="n">
        <v>46010.34716435185</v>
      </c>
      <c r="C736" s="1" t="n">
        <v>46065</v>
      </c>
      <c r="D736" t="inlineStr">
        <is>
          <t>ÖSTERGÖTLANDS LÄN</t>
        </is>
      </c>
      <c r="E736" t="inlineStr">
        <is>
          <t>LINKÖPING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6384-2026</t>
        </is>
      </c>
      <c r="B737" s="1" t="n">
        <v>46055.63732638889</v>
      </c>
      <c r="C737" s="1" t="n">
        <v>46065</v>
      </c>
      <c r="D737" t="inlineStr">
        <is>
          <t>ÖSTERGÖTLANDS LÄN</t>
        </is>
      </c>
      <c r="E737" t="inlineStr">
        <is>
          <t>LINKÖPING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6164-2026</t>
        </is>
      </c>
      <c r="B738" s="1" t="n">
        <v>46055.32596064815</v>
      </c>
      <c r="C738" s="1" t="n">
        <v>46065</v>
      </c>
      <c r="D738" t="inlineStr">
        <is>
          <t>ÖSTERGÖTLANDS LÄN</t>
        </is>
      </c>
      <c r="E738" t="inlineStr">
        <is>
          <t>LINKÖPING</t>
        </is>
      </c>
      <c r="G738" t="n">
        <v>0.4</v>
      </c>
      <c r="H738" t="n">
        <v>0</v>
      </c>
      <c r="I738" t="n">
        <v>0</v>
      </c>
      <c r="J738" t="n">
        <v>0</v>
      </c>
      <c r="K738" t="n">
        <v>0</v>
      </c>
      <c r="L738" t="n">
        <v>0</v>
      </c>
      <c r="M738" t="n">
        <v>0</v>
      </c>
      <c r="N738" t="n">
        <v>0</v>
      </c>
      <c r="O738" t="n">
        <v>0</v>
      </c>
      <c r="P738" t="n">
        <v>0</v>
      </c>
      <c r="Q738" t="n">
        <v>0</v>
      </c>
      <c r="R738" s="2" t="inlineStr"/>
    </row>
    <row r="739">
      <c r="A739" t="inlineStr">
        <is>
          <t>A 7133-2026</t>
        </is>
      </c>
      <c r="B739" s="1" t="n">
        <v>46057</v>
      </c>
      <c r="C739" s="1" t="n">
        <v>46065</v>
      </c>
      <c r="D739" t="inlineStr">
        <is>
          <t>ÖSTERGÖTLANDS LÄN</t>
        </is>
      </c>
      <c r="E739" t="inlineStr">
        <is>
          <t>LINKÖPING</t>
        </is>
      </c>
      <c r="G739" t="n">
        <v>2.4</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2026-02-12T11:06:46Z</dcterms:created>
  <dcterms:modified xmlns:dcterms="http://purl.org/dc/terms/" xmlns:xsi="http://www.w3.org/2001/XMLSchema-instance" xsi:type="dcterms:W3CDTF">2026-02-12T11:06:47Z</dcterms:modified>
</cp:coreProperties>
</file>