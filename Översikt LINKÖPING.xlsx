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46011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46011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46011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46011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46011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46011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46011</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46011</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46011</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48329-2025</t>
        </is>
      </c>
      <c r="B12" s="1" t="n">
        <v>45932</v>
      </c>
      <c r="C12" s="1" t="n">
        <v>46011</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15475-2021</t>
        </is>
      </c>
      <c r="B13" s="1" t="n">
        <v>44285</v>
      </c>
      <c r="C13" s="1" t="n">
        <v>46011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46011</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46011</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17275-2025</t>
        </is>
      </c>
      <c r="B16" s="1" t="n">
        <v>45756.55734953703</v>
      </c>
      <c r="C16" s="1" t="n">
        <v>46011</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49999-2025</t>
        </is>
      </c>
      <c r="B17" s="1" t="n">
        <v>45943.30185185185</v>
      </c>
      <c r="C17" s="1" t="n">
        <v>46011</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55341-2024</t>
        </is>
      </c>
      <c r="B18" s="1" t="n">
        <v>45621.71255787037</v>
      </c>
      <c r="C18" s="1" t="n">
        <v>46011</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46011</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38137-2021</t>
        </is>
      </c>
      <c r="B20" s="1" t="n">
        <v>44405.38357638889</v>
      </c>
      <c r="C20" s="1" t="n">
        <v>46011</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17520-2022</t>
        </is>
      </c>
      <c r="B21" s="1" t="n">
        <v>44679</v>
      </c>
      <c r="C21" s="1" t="n">
        <v>46011</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20297-2025</t>
        </is>
      </c>
      <c r="B22" s="1" t="n">
        <v>45774.74971064815</v>
      </c>
      <c r="C22" s="1" t="n">
        <v>46011</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49188-2024</t>
        </is>
      </c>
      <c r="B23" s="1" t="n">
        <v>45595</v>
      </c>
      <c r="C23" s="1" t="n">
        <v>46011</v>
      </c>
      <c r="D23" t="inlineStr">
        <is>
          <t>ÖSTERGÖTLANDS LÄN</t>
        </is>
      </c>
      <c r="E23" t="inlineStr">
        <is>
          <t>LINKÖPING</t>
        </is>
      </c>
      <c r="G23" t="n">
        <v>3.1</v>
      </c>
      <c r="H23" t="n">
        <v>0</v>
      </c>
      <c r="I23" t="n">
        <v>0</v>
      </c>
      <c r="J23" t="n">
        <v>0</v>
      </c>
      <c r="K23" t="n">
        <v>0</v>
      </c>
      <c r="L23" t="n">
        <v>1</v>
      </c>
      <c r="M23" t="n">
        <v>1</v>
      </c>
      <c r="N23" t="n">
        <v>0</v>
      </c>
      <c r="O23" t="n">
        <v>2</v>
      </c>
      <c r="P23" t="n">
        <v>2</v>
      </c>
      <c r="Q23" t="n">
        <v>2</v>
      </c>
      <c r="R23" s="2" t="inlineStr">
        <is>
          <t>Skogsalm
Ask</t>
        </is>
      </c>
      <c r="S23">
        <f>HYPERLINK("https://klasma.github.io/Logging_0580/artfynd/A 49188-2024 artfynd.xlsx", "A 49188-2024")</f>
        <v/>
      </c>
      <c r="T23">
        <f>HYPERLINK("https://klasma.github.io/Logging_0580/kartor/A 49188-2024 karta.png", "A 49188-2024")</f>
        <v/>
      </c>
      <c r="V23">
        <f>HYPERLINK("https://klasma.github.io/Logging_0580/klagomål/A 49188-2024 FSC-klagomål.docx", "A 49188-2024")</f>
        <v/>
      </c>
      <c r="W23">
        <f>HYPERLINK("https://klasma.github.io/Logging_0580/klagomålsmail/A 49188-2024 FSC-klagomål mail.docx", "A 49188-2024")</f>
        <v/>
      </c>
      <c r="X23">
        <f>HYPERLINK("https://klasma.github.io/Logging_0580/tillsyn/A 49188-2024 tillsynsbegäran.docx", "A 49188-2024")</f>
        <v/>
      </c>
      <c r="Y23">
        <f>HYPERLINK("https://klasma.github.io/Logging_0580/tillsynsmail/A 49188-2024 tillsynsbegäran mail.docx", "A 49188-2024")</f>
        <v/>
      </c>
    </row>
    <row r="24" ht="15" customHeight="1">
      <c r="A24" t="inlineStr">
        <is>
          <t>A 58068-2021</t>
        </is>
      </c>
      <c r="B24" s="1" t="n">
        <v>44487</v>
      </c>
      <c r="C24" s="1" t="n">
        <v>46011</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27795-2025</t>
        </is>
      </c>
      <c r="B25" s="1" t="n">
        <v>45816.7908912037</v>
      </c>
      <c r="C25" s="1" t="n">
        <v>46011</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27981-2022</t>
        </is>
      </c>
      <c r="B26" s="1" t="n">
        <v>44745</v>
      </c>
      <c r="C26" s="1" t="n">
        <v>46011</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25985-2025</t>
        </is>
      </c>
      <c r="B27" s="1" t="n">
        <v>45804.64479166667</v>
      </c>
      <c r="C27" s="1" t="n">
        <v>46011</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50048-2025</t>
        </is>
      </c>
      <c r="B28" s="1" t="n">
        <v>45941</v>
      </c>
      <c r="C28" s="1" t="n">
        <v>46011</v>
      </c>
      <c r="D28" t="inlineStr">
        <is>
          <t>ÖSTERGÖTLANDS LÄN</t>
        </is>
      </c>
      <c r="E28" t="inlineStr">
        <is>
          <t>LINKÖPING</t>
        </is>
      </c>
      <c r="G28" t="n">
        <v>2.4</v>
      </c>
      <c r="H28" t="n">
        <v>2</v>
      </c>
      <c r="I28" t="n">
        <v>0</v>
      </c>
      <c r="J28" t="n">
        <v>1</v>
      </c>
      <c r="K28" t="n">
        <v>0</v>
      </c>
      <c r="L28" t="n">
        <v>0</v>
      </c>
      <c r="M28" t="n">
        <v>0</v>
      </c>
      <c r="N28" t="n">
        <v>0</v>
      </c>
      <c r="O28" t="n">
        <v>1</v>
      </c>
      <c r="P28" t="n">
        <v>0</v>
      </c>
      <c r="Q28" t="n">
        <v>2</v>
      </c>
      <c r="R28" s="2" t="inlineStr">
        <is>
          <t>Gulsparv
Trädlärka</t>
        </is>
      </c>
      <c r="S28">
        <f>HYPERLINK("https://klasma.github.io/Logging_0580/artfynd/A 50048-2025 artfynd.xlsx", "A 50048-2025")</f>
        <v/>
      </c>
      <c r="T28">
        <f>HYPERLINK("https://klasma.github.io/Logging_0580/kartor/A 50048-2025 karta.png", "A 50048-2025")</f>
        <v/>
      </c>
      <c r="V28">
        <f>HYPERLINK("https://klasma.github.io/Logging_0580/klagomål/A 50048-2025 FSC-klagomål.docx", "A 50048-2025")</f>
        <v/>
      </c>
      <c r="W28">
        <f>HYPERLINK("https://klasma.github.io/Logging_0580/klagomålsmail/A 50048-2025 FSC-klagomål mail.docx", "A 50048-2025")</f>
        <v/>
      </c>
      <c r="X28">
        <f>HYPERLINK("https://klasma.github.io/Logging_0580/tillsyn/A 50048-2025 tillsynsbegäran.docx", "A 50048-2025")</f>
        <v/>
      </c>
      <c r="Y28">
        <f>HYPERLINK("https://klasma.github.io/Logging_0580/tillsynsmail/A 50048-2025 tillsynsbegäran mail.docx", "A 50048-2025")</f>
        <v/>
      </c>
      <c r="Z28">
        <f>HYPERLINK("https://klasma.github.io/Logging_0580/fåglar/A 50048-2025 prioriterade fågelarter.docx", "A 50048-2025")</f>
        <v/>
      </c>
    </row>
    <row r="29" ht="15" customHeight="1">
      <c r="A29" t="inlineStr">
        <is>
          <t>A 58068-2021</t>
        </is>
      </c>
      <c r="B29" s="1" t="n">
        <v>44487</v>
      </c>
      <c r="C29" s="1" t="n">
        <v>46011</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38913-2023</t>
        </is>
      </c>
      <c r="B30" s="1" t="n">
        <v>45163</v>
      </c>
      <c r="C30" s="1" t="n">
        <v>46011</v>
      </c>
      <c r="D30" t="inlineStr">
        <is>
          <t>ÖSTERGÖTLANDS LÄN</t>
        </is>
      </c>
      <c r="E30" t="inlineStr">
        <is>
          <t>LINKÖPING</t>
        </is>
      </c>
      <c r="G30" t="n">
        <v>2.7</v>
      </c>
      <c r="H30" t="n">
        <v>1</v>
      </c>
      <c r="I30" t="n">
        <v>1</v>
      </c>
      <c r="J30" t="n">
        <v>0</v>
      </c>
      <c r="K30" t="n">
        <v>0</v>
      </c>
      <c r="L30" t="n">
        <v>0</v>
      </c>
      <c r="M30" t="n">
        <v>0</v>
      </c>
      <c r="N30" t="n">
        <v>0</v>
      </c>
      <c r="O30" t="n">
        <v>0</v>
      </c>
      <c r="P30" t="n">
        <v>0</v>
      </c>
      <c r="Q30" t="n">
        <v>2</v>
      </c>
      <c r="R30" s="2" t="inlineStr">
        <is>
          <t>Skogsbräsma
Revlummer</t>
        </is>
      </c>
      <c r="S30">
        <f>HYPERLINK("https://klasma.github.io/Logging_0580/artfynd/A 38913-2023 artfynd.xlsx", "A 38913-2023")</f>
        <v/>
      </c>
      <c r="T30">
        <f>HYPERLINK("https://klasma.github.io/Logging_0580/kartor/A 38913-2023 karta.png", "A 38913-2023")</f>
        <v/>
      </c>
      <c r="V30">
        <f>HYPERLINK("https://klasma.github.io/Logging_0580/klagomål/A 38913-2023 FSC-klagomål.docx", "A 38913-2023")</f>
        <v/>
      </c>
      <c r="W30">
        <f>HYPERLINK("https://klasma.github.io/Logging_0580/klagomålsmail/A 38913-2023 FSC-klagomål mail.docx", "A 38913-2023")</f>
        <v/>
      </c>
      <c r="X30">
        <f>HYPERLINK("https://klasma.github.io/Logging_0580/tillsyn/A 38913-2023 tillsynsbegäran.docx", "A 38913-2023")</f>
        <v/>
      </c>
      <c r="Y30">
        <f>HYPERLINK("https://klasma.github.io/Logging_0580/tillsynsmail/A 38913-2023 tillsynsbegäran mail.docx", "A 38913-2023")</f>
        <v/>
      </c>
    </row>
    <row r="31" ht="15" customHeight="1">
      <c r="A31" t="inlineStr">
        <is>
          <t>A 42858-2023</t>
        </is>
      </c>
      <c r="B31" s="1" t="n">
        <v>45177</v>
      </c>
      <c r="C31" s="1" t="n">
        <v>46011</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46011</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46011</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46011</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46011</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46011</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46011</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22040-2023</t>
        </is>
      </c>
      <c r="B38" s="1" t="n">
        <v>45068</v>
      </c>
      <c r="C38" s="1" t="n">
        <v>46011</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50404-2023</t>
        </is>
      </c>
      <c r="B39" s="1" t="n">
        <v>45216</v>
      </c>
      <c r="C39" s="1" t="n">
        <v>46011</v>
      </c>
      <c r="D39" t="inlineStr">
        <is>
          <t>ÖSTERGÖTLANDS LÄN</t>
        </is>
      </c>
      <c r="E39" t="inlineStr">
        <is>
          <t>LINKÖPING</t>
        </is>
      </c>
      <c r="G39" t="n">
        <v>1.2</v>
      </c>
      <c r="H39" t="n">
        <v>1</v>
      </c>
      <c r="I39" t="n">
        <v>1</v>
      </c>
      <c r="J39" t="n">
        <v>0</v>
      </c>
      <c r="K39" t="n">
        <v>0</v>
      </c>
      <c r="L39" t="n">
        <v>0</v>
      </c>
      <c r="M39" t="n">
        <v>0</v>
      </c>
      <c r="N39" t="n">
        <v>0</v>
      </c>
      <c r="O39" t="n">
        <v>0</v>
      </c>
      <c r="P39" t="n">
        <v>0</v>
      </c>
      <c r="Q39" t="n">
        <v>2</v>
      </c>
      <c r="R39" s="2" t="inlineStr">
        <is>
          <t>Hasselticka
Gullviva</t>
        </is>
      </c>
      <c r="S39">
        <f>HYPERLINK("https://klasma.github.io/Logging_0580/artfynd/A 50404-2023 artfynd.xlsx", "A 50404-2023")</f>
        <v/>
      </c>
      <c r="T39">
        <f>HYPERLINK("https://klasma.github.io/Logging_0580/kartor/A 50404-2023 karta.png", "A 50404-2023")</f>
        <v/>
      </c>
      <c r="V39">
        <f>HYPERLINK("https://klasma.github.io/Logging_0580/klagomål/A 50404-2023 FSC-klagomål.docx", "A 50404-2023")</f>
        <v/>
      </c>
      <c r="W39">
        <f>HYPERLINK("https://klasma.github.io/Logging_0580/klagomålsmail/A 50404-2023 FSC-klagomål mail.docx", "A 50404-2023")</f>
        <v/>
      </c>
      <c r="X39">
        <f>HYPERLINK("https://klasma.github.io/Logging_0580/tillsyn/A 50404-2023 tillsynsbegäran.docx", "A 50404-2023")</f>
        <v/>
      </c>
      <c r="Y39">
        <f>HYPERLINK("https://klasma.github.io/Logging_0580/tillsynsmail/A 50404-2023 tillsynsbegäran mail.docx", "A 50404-2023")</f>
        <v/>
      </c>
    </row>
    <row r="40" ht="15" customHeight="1">
      <c r="A40" t="inlineStr">
        <is>
          <t>A 21326-2025</t>
        </is>
      </c>
      <c r="B40" s="1" t="n">
        <v>45782.35407407407</v>
      </c>
      <c r="C40" s="1" t="n">
        <v>46011</v>
      </c>
      <c r="D40" t="inlineStr">
        <is>
          <t>ÖSTERGÖTLANDS LÄN</t>
        </is>
      </c>
      <c r="E40" t="inlineStr">
        <is>
          <t>LINKÖPING</t>
        </is>
      </c>
      <c r="G40" t="n">
        <v>4.9</v>
      </c>
      <c r="H40" t="n">
        <v>2</v>
      </c>
      <c r="I40" t="n">
        <v>0</v>
      </c>
      <c r="J40" t="n">
        <v>0</v>
      </c>
      <c r="K40" t="n">
        <v>0</v>
      </c>
      <c r="L40" t="n">
        <v>0</v>
      </c>
      <c r="M40" t="n">
        <v>0</v>
      </c>
      <c r="N40" t="n">
        <v>0</v>
      </c>
      <c r="O40" t="n">
        <v>0</v>
      </c>
      <c r="P40" t="n">
        <v>0</v>
      </c>
      <c r="Q40" t="n">
        <v>2</v>
      </c>
      <c r="R40" s="2" t="inlineStr">
        <is>
          <t>Blåsippa
Revlummer</t>
        </is>
      </c>
      <c r="S40">
        <f>HYPERLINK("https://klasma.github.io/Logging_0580/artfynd/A 21326-2025 artfynd.xlsx", "A 21326-2025")</f>
        <v/>
      </c>
      <c r="T40">
        <f>HYPERLINK("https://klasma.github.io/Logging_0580/kartor/A 21326-2025 karta.png", "A 21326-2025")</f>
        <v/>
      </c>
      <c r="V40">
        <f>HYPERLINK("https://klasma.github.io/Logging_0580/klagomål/A 21326-2025 FSC-klagomål.docx", "A 21326-2025")</f>
        <v/>
      </c>
      <c r="W40">
        <f>HYPERLINK("https://klasma.github.io/Logging_0580/klagomålsmail/A 21326-2025 FSC-klagomål mail.docx", "A 21326-2025")</f>
        <v/>
      </c>
      <c r="X40">
        <f>HYPERLINK("https://klasma.github.io/Logging_0580/tillsyn/A 21326-2025 tillsynsbegäran.docx", "A 21326-2025")</f>
        <v/>
      </c>
      <c r="Y40">
        <f>HYPERLINK("https://klasma.github.io/Logging_0580/tillsynsmail/A 21326-2025 tillsynsbegäran mail.docx", "A 21326-2025")</f>
        <v/>
      </c>
    </row>
    <row r="41" ht="15" customHeight="1">
      <c r="A41" t="inlineStr">
        <is>
          <t>A 38129-2021</t>
        </is>
      </c>
      <c r="B41" s="1" t="n">
        <v>44405.37199074074</v>
      </c>
      <c r="C41" s="1" t="n">
        <v>46011</v>
      </c>
      <c r="D41" t="inlineStr">
        <is>
          <t>ÖSTERGÖTLANDS LÄN</t>
        </is>
      </c>
      <c r="E41" t="inlineStr">
        <is>
          <t>LINKÖPING</t>
        </is>
      </c>
      <c r="G41" t="n">
        <v>1.8</v>
      </c>
      <c r="H41" t="n">
        <v>1</v>
      </c>
      <c r="I41" t="n">
        <v>0</v>
      </c>
      <c r="J41" t="n">
        <v>1</v>
      </c>
      <c r="K41" t="n">
        <v>0</v>
      </c>
      <c r="L41" t="n">
        <v>0</v>
      </c>
      <c r="M41" t="n">
        <v>0</v>
      </c>
      <c r="N41" t="n">
        <v>0</v>
      </c>
      <c r="O41" t="n">
        <v>1</v>
      </c>
      <c r="P41" t="n">
        <v>0</v>
      </c>
      <c r="Q41" t="n">
        <v>1</v>
      </c>
      <c r="R41" s="2" t="inlineStr">
        <is>
          <t>Spillkråka</t>
        </is>
      </c>
      <c r="S41">
        <f>HYPERLINK("https://klasma.github.io/Logging_0580/artfynd/A 38129-2021 artfynd.xlsx", "A 38129-2021")</f>
        <v/>
      </c>
      <c r="T41">
        <f>HYPERLINK("https://klasma.github.io/Logging_0580/kartor/A 38129-2021 karta.png", "A 38129-2021")</f>
        <v/>
      </c>
      <c r="V41">
        <f>HYPERLINK("https://klasma.github.io/Logging_0580/klagomål/A 38129-2021 FSC-klagomål.docx", "A 38129-2021")</f>
        <v/>
      </c>
      <c r="W41">
        <f>HYPERLINK("https://klasma.github.io/Logging_0580/klagomålsmail/A 38129-2021 FSC-klagomål mail.docx", "A 38129-2021")</f>
        <v/>
      </c>
      <c r="X41">
        <f>HYPERLINK("https://klasma.github.io/Logging_0580/tillsyn/A 38129-2021 tillsynsbegäran.docx", "A 38129-2021")</f>
        <v/>
      </c>
      <c r="Y41">
        <f>HYPERLINK("https://klasma.github.io/Logging_0580/tillsynsmail/A 38129-2021 tillsynsbegäran mail.docx", "A 38129-2021")</f>
        <v/>
      </c>
      <c r="Z41">
        <f>HYPERLINK("https://klasma.github.io/Logging_0580/fåglar/A 38129-2021 prioriterade fågelarter.docx", "A 38129-2021")</f>
        <v/>
      </c>
    </row>
    <row r="42" ht="15" customHeight="1">
      <c r="A42" t="inlineStr">
        <is>
          <t>A 14096-2021</t>
        </is>
      </c>
      <c r="B42" s="1" t="n">
        <v>44278</v>
      </c>
      <c r="C42" s="1" t="n">
        <v>46011</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46011</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43017-2021</t>
        </is>
      </c>
      <c r="B44" s="1" t="n">
        <v>44431</v>
      </c>
      <c r="C44" s="1" t="n">
        <v>46011</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46496-2022</t>
        </is>
      </c>
      <c r="B45" s="1" t="n">
        <v>44848</v>
      </c>
      <c r="C45" s="1" t="n">
        <v>46011</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56250-2021</t>
        </is>
      </c>
      <c r="B46" s="1" t="n">
        <v>44479</v>
      </c>
      <c r="C46" s="1" t="n">
        <v>46011</v>
      </c>
      <c r="D46" t="inlineStr">
        <is>
          <t>ÖSTERGÖTLANDS LÄN</t>
        </is>
      </c>
      <c r="E46" t="inlineStr">
        <is>
          <t>LINKÖPING</t>
        </is>
      </c>
      <c r="F46" t="inlineStr">
        <is>
          <t>Övriga Aktiebolag</t>
        </is>
      </c>
      <c r="G46" t="n">
        <v>3.2</v>
      </c>
      <c r="H46" t="n">
        <v>0</v>
      </c>
      <c r="I46" t="n">
        <v>1</v>
      </c>
      <c r="J46" t="n">
        <v>0</v>
      </c>
      <c r="K46" t="n">
        <v>0</v>
      </c>
      <c r="L46" t="n">
        <v>0</v>
      </c>
      <c r="M46" t="n">
        <v>0</v>
      </c>
      <c r="N46" t="n">
        <v>0</v>
      </c>
      <c r="O46" t="n">
        <v>0</v>
      </c>
      <c r="P46" t="n">
        <v>0</v>
      </c>
      <c r="Q46" t="n">
        <v>1</v>
      </c>
      <c r="R46" s="2" t="inlineStr">
        <is>
          <t>Strutbräken</t>
        </is>
      </c>
      <c r="S46">
        <f>HYPERLINK("https://klasma.github.io/Logging_0580/artfynd/A 56250-2021 artfynd.xlsx", "A 56250-2021")</f>
        <v/>
      </c>
      <c r="T46">
        <f>HYPERLINK("https://klasma.github.io/Logging_0580/kartor/A 56250-2021 karta.png", "A 56250-2021")</f>
        <v/>
      </c>
      <c r="V46">
        <f>HYPERLINK("https://klasma.github.io/Logging_0580/klagomål/A 56250-2021 FSC-klagomål.docx", "A 56250-2021")</f>
        <v/>
      </c>
      <c r="W46">
        <f>HYPERLINK("https://klasma.github.io/Logging_0580/klagomålsmail/A 56250-2021 FSC-klagomål mail.docx", "A 56250-2021")</f>
        <v/>
      </c>
      <c r="X46">
        <f>HYPERLINK("https://klasma.github.io/Logging_0580/tillsyn/A 56250-2021 tillsynsbegäran.docx", "A 56250-2021")</f>
        <v/>
      </c>
      <c r="Y46">
        <f>HYPERLINK("https://klasma.github.io/Logging_0580/tillsynsmail/A 56250-2021 tillsynsbegäran mail.docx", "A 56250-2021")</f>
        <v/>
      </c>
    </row>
    <row r="47" ht="15" customHeight="1">
      <c r="A47" t="inlineStr">
        <is>
          <t>A 71127-2021</t>
        </is>
      </c>
      <c r="B47" s="1" t="n">
        <v>44537</v>
      </c>
      <c r="C47" s="1" t="n">
        <v>46011</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17389-2021</t>
        </is>
      </c>
      <c r="B48" s="1" t="n">
        <v>44298.96792824074</v>
      </c>
      <c r="C48" s="1" t="n">
        <v>46011</v>
      </c>
      <c r="D48" t="inlineStr">
        <is>
          <t>ÖSTERGÖTLANDS LÄN</t>
        </is>
      </c>
      <c r="E48" t="inlineStr">
        <is>
          <t>LINKÖPING</t>
        </is>
      </c>
      <c r="G48" t="n">
        <v>5.1</v>
      </c>
      <c r="H48" t="n">
        <v>0</v>
      </c>
      <c r="I48" t="n">
        <v>1</v>
      </c>
      <c r="J48" t="n">
        <v>0</v>
      </c>
      <c r="K48" t="n">
        <v>0</v>
      </c>
      <c r="L48" t="n">
        <v>0</v>
      </c>
      <c r="M48" t="n">
        <v>0</v>
      </c>
      <c r="N48" t="n">
        <v>0</v>
      </c>
      <c r="O48" t="n">
        <v>0</v>
      </c>
      <c r="P48" t="n">
        <v>0</v>
      </c>
      <c r="Q48" t="n">
        <v>1</v>
      </c>
      <c r="R48" s="2" t="inlineStr">
        <is>
          <t>Blomkålssvamp</t>
        </is>
      </c>
      <c r="S48">
        <f>HYPERLINK("https://klasma.github.io/Logging_0580/artfynd/A 17389-2021 artfynd.xlsx", "A 17389-2021")</f>
        <v/>
      </c>
      <c r="T48">
        <f>HYPERLINK("https://klasma.github.io/Logging_0580/kartor/A 17389-2021 karta.png", "A 17389-2021")</f>
        <v/>
      </c>
      <c r="V48">
        <f>HYPERLINK("https://klasma.github.io/Logging_0580/klagomål/A 17389-2021 FSC-klagomål.docx", "A 17389-2021")</f>
        <v/>
      </c>
      <c r="W48">
        <f>HYPERLINK("https://klasma.github.io/Logging_0580/klagomålsmail/A 17389-2021 FSC-klagomål mail.docx", "A 17389-2021")</f>
        <v/>
      </c>
      <c r="X48">
        <f>HYPERLINK("https://klasma.github.io/Logging_0580/tillsyn/A 17389-2021 tillsynsbegäran.docx", "A 17389-2021")</f>
        <v/>
      </c>
      <c r="Y48">
        <f>HYPERLINK("https://klasma.github.io/Logging_0580/tillsynsmail/A 17389-2021 tillsynsbegäran mail.docx", "A 17389-2021")</f>
        <v/>
      </c>
    </row>
    <row r="49" ht="15" customHeight="1">
      <c r="A49" t="inlineStr">
        <is>
          <t>A 40315-2024</t>
        </is>
      </c>
      <c r="B49" s="1" t="n">
        <v>45554.7571875</v>
      </c>
      <c r="C49" s="1" t="n">
        <v>46011</v>
      </c>
      <c r="D49" t="inlineStr">
        <is>
          <t>ÖSTERGÖTLANDS LÄN</t>
        </is>
      </c>
      <c r="E49" t="inlineStr">
        <is>
          <t>LINKÖPING</t>
        </is>
      </c>
      <c r="F49" t="inlineStr">
        <is>
          <t>Allmännings- och besparingsskogar</t>
        </is>
      </c>
      <c r="G49" t="n">
        <v>15.8</v>
      </c>
      <c r="H49" t="n">
        <v>0</v>
      </c>
      <c r="I49" t="n">
        <v>0</v>
      </c>
      <c r="J49" t="n">
        <v>0</v>
      </c>
      <c r="K49" t="n">
        <v>0</v>
      </c>
      <c r="L49" t="n">
        <v>0</v>
      </c>
      <c r="M49" t="n">
        <v>1</v>
      </c>
      <c r="N49" t="n">
        <v>0</v>
      </c>
      <c r="O49" t="n">
        <v>1</v>
      </c>
      <c r="P49" t="n">
        <v>1</v>
      </c>
      <c r="Q49" t="n">
        <v>1</v>
      </c>
      <c r="R49" s="2" t="inlineStr">
        <is>
          <t>Skogsalm</t>
        </is>
      </c>
      <c r="S49">
        <f>HYPERLINK("https://klasma.github.io/Logging_0580/artfynd/A 40315-2024 artfynd.xlsx", "A 40315-2024")</f>
        <v/>
      </c>
      <c r="T49">
        <f>HYPERLINK("https://klasma.github.io/Logging_0580/kartor/A 40315-2024 karta.png", "A 40315-2024")</f>
        <v/>
      </c>
      <c r="V49">
        <f>HYPERLINK("https://klasma.github.io/Logging_0580/klagomål/A 40315-2024 FSC-klagomål.docx", "A 40315-2024")</f>
        <v/>
      </c>
      <c r="W49">
        <f>HYPERLINK("https://klasma.github.io/Logging_0580/klagomålsmail/A 40315-2024 FSC-klagomål mail.docx", "A 40315-2024")</f>
        <v/>
      </c>
      <c r="X49">
        <f>HYPERLINK("https://klasma.github.io/Logging_0580/tillsyn/A 40315-2024 tillsynsbegäran.docx", "A 40315-2024")</f>
        <v/>
      </c>
      <c r="Y49">
        <f>HYPERLINK("https://klasma.github.io/Logging_0580/tillsynsmail/A 40315-2024 tillsynsbegäran mail.docx", "A 40315-2024")</f>
        <v/>
      </c>
    </row>
    <row r="50" ht="15" customHeight="1">
      <c r="A50" t="inlineStr">
        <is>
          <t>A 22526-2025</t>
        </is>
      </c>
      <c r="B50" s="1" t="n">
        <v>45786.78096064815</v>
      </c>
      <c r="C50" s="1" t="n">
        <v>46011</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Röd skogslilja</t>
        </is>
      </c>
      <c r="S50">
        <f>HYPERLINK("https://klasma.github.io/Logging_0580/artfynd/A 22526-2025 artfynd.xlsx", "A 22526-2025")</f>
        <v/>
      </c>
      <c r="T50">
        <f>HYPERLINK("https://klasma.github.io/Logging_0580/kartor/A 22526-2025 karta.png", "A 22526-2025")</f>
        <v/>
      </c>
      <c r="V50">
        <f>HYPERLINK("https://klasma.github.io/Logging_0580/klagomål/A 22526-2025 FSC-klagomål.docx", "A 22526-2025")</f>
        <v/>
      </c>
      <c r="W50">
        <f>HYPERLINK("https://klasma.github.io/Logging_0580/klagomålsmail/A 22526-2025 FSC-klagomål mail.docx", "A 22526-2025")</f>
        <v/>
      </c>
      <c r="X50">
        <f>HYPERLINK("https://klasma.github.io/Logging_0580/tillsyn/A 22526-2025 tillsynsbegäran.docx", "A 22526-2025")</f>
        <v/>
      </c>
      <c r="Y50">
        <f>HYPERLINK("https://klasma.github.io/Logging_0580/tillsynsmail/A 22526-2025 tillsynsbegäran mail.docx", "A 22526-2025")</f>
        <v/>
      </c>
    </row>
    <row r="51" ht="15" customHeight="1">
      <c r="A51" t="inlineStr">
        <is>
          <t>A 27403-2025</t>
        </is>
      </c>
      <c r="B51" s="1" t="n">
        <v>45812.72518518518</v>
      </c>
      <c r="C51" s="1" t="n">
        <v>46011</v>
      </c>
      <c r="D51" t="inlineStr">
        <is>
          <t>ÖSTERGÖTLANDS LÄN</t>
        </is>
      </c>
      <c r="E51" t="inlineStr">
        <is>
          <t>LINKÖPING</t>
        </is>
      </c>
      <c r="G51" t="n">
        <v>1.4</v>
      </c>
      <c r="H51" t="n">
        <v>0</v>
      </c>
      <c r="I51" t="n">
        <v>0</v>
      </c>
      <c r="J51" t="n">
        <v>1</v>
      </c>
      <c r="K51" t="n">
        <v>0</v>
      </c>
      <c r="L51" t="n">
        <v>0</v>
      </c>
      <c r="M51" t="n">
        <v>0</v>
      </c>
      <c r="N51" t="n">
        <v>0</v>
      </c>
      <c r="O51" t="n">
        <v>1</v>
      </c>
      <c r="P51" t="n">
        <v>0</v>
      </c>
      <c r="Q51" t="n">
        <v>1</v>
      </c>
      <c r="R51" s="2" t="inlineStr">
        <is>
          <t>Tallticka</t>
        </is>
      </c>
      <c r="S51">
        <f>HYPERLINK("https://klasma.github.io/Logging_0580/artfynd/A 27403-2025 artfynd.xlsx", "A 27403-2025")</f>
        <v/>
      </c>
      <c r="T51">
        <f>HYPERLINK("https://klasma.github.io/Logging_0580/kartor/A 27403-2025 karta.png", "A 27403-2025")</f>
        <v/>
      </c>
      <c r="V51">
        <f>HYPERLINK("https://klasma.github.io/Logging_0580/klagomål/A 27403-2025 FSC-klagomål.docx", "A 27403-2025")</f>
        <v/>
      </c>
      <c r="W51">
        <f>HYPERLINK("https://klasma.github.io/Logging_0580/klagomålsmail/A 27403-2025 FSC-klagomål mail.docx", "A 27403-2025")</f>
        <v/>
      </c>
      <c r="X51">
        <f>HYPERLINK("https://klasma.github.io/Logging_0580/tillsyn/A 27403-2025 tillsynsbegäran.docx", "A 27403-2025")</f>
        <v/>
      </c>
      <c r="Y51">
        <f>HYPERLINK("https://klasma.github.io/Logging_0580/tillsynsmail/A 27403-2025 tillsynsbegäran mail.docx", "A 27403-2025")</f>
        <v/>
      </c>
    </row>
    <row r="52" ht="15" customHeight="1">
      <c r="A52" t="inlineStr">
        <is>
          <t>A 1213-2023</t>
        </is>
      </c>
      <c r="B52" s="1" t="n">
        <v>44930</v>
      </c>
      <c r="C52" s="1" t="n">
        <v>46011</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50471-2024</t>
        </is>
      </c>
      <c r="B53" s="1" t="n">
        <v>45601.47166666666</v>
      </c>
      <c r="C53" s="1" t="n">
        <v>46011</v>
      </c>
      <c r="D53" t="inlineStr">
        <is>
          <t>ÖSTERGÖTLANDS LÄN</t>
        </is>
      </c>
      <c r="E53" t="inlineStr">
        <is>
          <t>LINKÖPING</t>
        </is>
      </c>
      <c r="F53" t="inlineStr">
        <is>
          <t>Övriga Aktiebolag</t>
        </is>
      </c>
      <c r="G53" t="n">
        <v>2</v>
      </c>
      <c r="H53" t="n">
        <v>0</v>
      </c>
      <c r="I53" t="n">
        <v>1</v>
      </c>
      <c r="J53" t="n">
        <v>0</v>
      </c>
      <c r="K53" t="n">
        <v>0</v>
      </c>
      <c r="L53" t="n">
        <v>0</v>
      </c>
      <c r="M53" t="n">
        <v>0</v>
      </c>
      <c r="N53" t="n">
        <v>0</v>
      </c>
      <c r="O53" t="n">
        <v>0</v>
      </c>
      <c r="P53" t="n">
        <v>0</v>
      </c>
      <c r="Q53" t="n">
        <v>1</v>
      </c>
      <c r="R53" s="2" t="inlineStr">
        <is>
          <t>Västlig hakmossa</t>
        </is>
      </c>
      <c r="S53">
        <f>HYPERLINK("https://klasma.github.io/Logging_0580/artfynd/A 50471-2024 artfynd.xlsx", "A 50471-2024")</f>
        <v/>
      </c>
      <c r="T53">
        <f>HYPERLINK("https://klasma.github.io/Logging_0580/kartor/A 50471-2024 karta.png", "A 50471-2024")</f>
        <v/>
      </c>
      <c r="V53">
        <f>HYPERLINK("https://klasma.github.io/Logging_0580/klagomål/A 50471-2024 FSC-klagomål.docx", "A 50471-2024")</f>
        <v/>
      </c>
      <c r="W53">
        <f>HYPERLINK("https://klasma.github.io/Logging_0580/klagomålsmail/A 50471-2024 FSC-klagomål mail.docx", "A 50471-2024")</f>
        <v/>
      </c>
      <c r="X53">
        <f>HYPERLINK("https://klasma.github.io/Logging_0580/tillsyn/A 50471-2024 tillsynsbegäran.docx", "A 50471-2024")</f>
        <v/>
      </c>
      <c r="Y53">
        <f>HYPERLINK("https://klasma.github.io/Logging_0580/tillsynsmail/A 50471-2024 tillsynsbegäran mail.docx", "A 50471-2024")</f>
        <v/>
      </c>
    </row>
    <row r="54" ht="15" customHeight="1">
      <c r="A54" t="inlineStr">
        <is>
          <t>A 43989-2025</t>
        </is>
      </c>
      <c r="B54" s="1" t="n">
        <v>45915.44128472222</v>
      </c>
      <c r="C54" s="1" t="n">
        <v>46011</v>
      </c>
      <c r="D54" t="inlineStr">
        <is>
          <t>ÖSTERGÖTLANDS LÄN</t>
        </is>
      </c>
      <c r="E54" t="inlineStr">
        <is>
          <t>LINKÖPING</t>
        </is>
      </c>
      <c r="F54" t="inlineStr">
        <is>
          <t>Allmännings- och besparingsskogar</t>
        </is>
      </c>
      <c r="G54" t="n">
        <v>3.5</v>
      </c>
      <c r="H54" t="n">
        <v>0</v>
      </c>
      <c r="I54" t="n">
        <v>0</v>
      </c>
      <c r="J54" t="n">
        <v>1</v>
      </c>
      <c r="K54" t="n">
        <v>0</v>
      </c>
      <c r="L54" t="n">
        <v>0</v>
      </c>
      <c r="M54" t="n">
        <v>0</v>
      </c>
      <c r="N54" t="n">
        <v>0</v>
      </c>
      <c r="O54" t="n">
        <v>1</v>
      </c>
      <c r="P54" t="n">
        <v>0</v>
      </c>
      <c r="Q54" t="n">
        <v>1</v>
      </c>
      <c r="R54" s="2" t="inlineStr">
        <is>
          <t>Kavelhirs</t>
        </is>
      </c>
      <c r="S54">
        <f>HYPERLINK("https://klasma.github.io/Logging_0580/artfynd/A 43989-2025 artfynd.xlsx", "A 43989-2025")</f>
        <v/>
      </c>
      <c r="T54">
        <f>HYPERLINK("https://klasma.github.io/Logging_0580/kartor/A 43989-2025 karta.png", "A 43989-2025")</f>
        <v/>
      </c>
      <c r="V54">
        <f>HYPERLINK("https://klasma.github.io/Logging_0580/klagomål/A 43989-2025 FSC-klagomål.docx", "A 43989-2025")</f>
        <v/>
      </c>
      <c r="W54">
        <f>HYPERLINK("https://klasma.github.io/Logging_0580/klagomålsmail/A 43989-2025 FSC-klagomål mail.docx", "A 43989-2025")</f>
        <v/>
      </c>
      <c r="X54">
        <f>HYPERLINK("https://klasma.github.io/Logging_0580/tillsyn/A 43989-2025 tillsynsbegäran.docx", "A 43989-2025")</f>
        <v/>
      </c>
      <c r="Y54">
        <f>HYPERLINK("https://klasma.github.io/Logging_0580/tillsynsmail/A 43989-2025 tillsynsbegäran mail.docx", "A 43989-2025")</f>
        <v/>
      </c>
    </row>
    <row r="55" ht="15" customHeight="1">
      <c r="A55" t="inlineStr">
        <is>
          <t>A 44760-2025</t>
        </is>
      </c>
      <c r="B55" s="1" t="n">
        <v>45917.71873842592</v>
      </c>
      <c r="C55" s="1" t="n">
        <v>46011</v>
      </c>
      <c r="D55" t="inlineStr">
        <is>
          <t>ÖSTERGÖTLANDS LÄN</t>
        </is>
      </c>
      <c r="E55" t="inlineStr">
        <is>
          <t>LINKÖPING</t>
        </is>
      </c>
      <c r="G55" t="n">
        <v>0.9</v>
      </c>
      <c r="H55" t="n">
        <v>0</v>
      </c>
      <c r="I55" t="n">
        <v>0</v>
      </c>
      <c r="J55" t="n">
        <v>1</v>
      </c>
      <c r="K55" t="n">
        <v>0</v>
      </c>
      <c r="L55" t="n">
        <v>0</v>
      </c>
      <c r="M55" t="n">
        <v>0</v>
      </c>
      <c r="N55" t="n">
        <v>0</v>
      </c>
      <c r="O55" t="n">
        <v>1</v>
      </c>
      <c r="P55" t="n">
        <v>0</v>
      </c>
      <c r="Q55" t="n">
        <v>1</v>
      </c>
      <c r="R55" s="2" t="inlineStr">
        <is>
          <t>Tallticka</t>
        </is>
      </c>
      <c r="S55">
        <f>HYPERLINK("https://klasma.github.io/Logging_0580/artfynd/A 44760-2025 artfynd.xlsx", "A 44760-2025")</f>
        <v/>
      </c>
      <c r="T55">
        <f>HYPERLINK("https://klasma.github.io/Logging_0580/kartor/A 44760-2025 karta.png", "A 44760-2025")</f>
        <v/>
      </c>
      <c r="V55">
        <f>HYPERLINK("https://klasma.github.io/Logging_0580/klagomål/A 44760-2025 FSC-klagomål.docx", "A 44760-2025")</f>
        <v/>
      </c>
      <c r="W55">
        <f>HYPERLINK("https://klasma.github.io/Logging_0580/klagomålsmail/A 44760-2025 FSC-klagomål mail.docx", "A 44760-2025")</f>
        <v/>
      </c>
      <c r="X55">
        <f>HYPERLINK("https://klasma.github.io/Logging_0580/tillsyn/A 44760-2025 tillsynsbegäran.docx", "A 44760-2025")</f>
        <v/>
      </c>
      <c r="Y55">
        <f>HYPERLINK("https://klasma.github.io/Logging_0580/tillsynsmail/A 44760-2025 tillsynsbegäran mail.docx", "A 44760-2025")</f>
        <v/>
      </c>
    </row>
    <row r="56" ht="15" customHeight="1">
      <c r="A56" t="inlineStr">
        <is>
          <t>A 50806-2023</t>
        </is>
      </c>
      <c r="B56" s="1" t="n">
        <v>45217</v>
      </c>
      <c r="C56" s="1" t="n">
        <v>46011</v>
      </c>
      <c r="D56" t="inlineStr">
        <is>
          <t>ÖSTERGÖTLANDS LÄN</t>
        </is>
      </c>
      <c r="E56" t="inlineStr">
        <is>
          <t>LINKÖPING</t>
        </is>
      </c>
      <c r="F56" t="inlineStr">
        <is>
          <t>Övriga Aktiebolag</t>
        </is>
      </c>
      <c r="G56" t="n">
        <v>0.7</v>
      </c>
      <c r="H56" t="n">
        <v>1</v>
      </c>
      <c r="I56" t="n">
        <v>0</v>
      </c>
      <c r="J56" t="n">
        <v>0</v>
      </c>
      <c r="K56" t="n">
        <v>0</v>
      </c>
      <c r="L56" t="n">
        <v>0</v>
      </c>
      <c r="M56" t="n">
        <v>0</v>
      </c>
      <c r="N56" t="n">
        <v>0</v>
      </c>
      <c r="O56" t="n">
        <v>0</v>
      </c>
      <c r="P56" t="n">
        <v>0</v>
      </c>
      <c r="Q56" t="n">
        <v>1</v>
      </c>
      <c r="R56" s="2" t="inlineStr">
        <is>
          <t>Gullviva</t>
        </is>
      </c>
      <c r="S56">
        <f>HYPERLINK("https://klasma.github.io/Logging_0580/artfynd/A 50806-2023 artfynd.xlsx", "A 50806-2023")</f>
        <v/>
      </c>
      <c r="T56">
        <f>HYPERLINK("https://klasma.github.io/Logging_0580/kartor/A 50806-2023 karta.png", "A 50806-2023")</f>
        <v/>
      </c>
      <c r="V56">
        <f>HYPERLINK("https://klasma.github.io/Logging_0580/klagomål/A 50806-2023 FSC-klagomål.docx", "A 50806-2023")</f>
        <v/>
      </c>
      <c r="W56">
        <f>HYPERLINK("https://klasma.github.io/Logging_0580/klagomålsmail/A 50806-2023 FSC-klagomål mail.docx", "A 50806-2023")</f>
        <v/>
      </c>
      <c r="X56">
        <f>HYPERLINK("https://klasma.github.io/Logging_0580/tillsyn/A 50806-2023 tillsynsbegäran.docx", "A 50806-2023")</f>
        <v/>
      </c>
      <c r="Y56">
        <f>HYPERLINK("https://klasma.github.io/Logging_0580/tillsynsmail/A 50806-2023 tillsynsbegäran mail.docx", "A 50806-2023")</f>
        <v/>
      </c>
    </row>
    <row r="57" ht="15" customHeight="1">
      <c r="A57" t="inlineStr">
        <is>
          <t>A 36723-2023</t>
        </is>
      </c>
      <c r="B57" s="1" t="n">
        <v>45153</v>
      </c>
      <c r="C57" s="1" t="n">
        <v>46011</v>
      </c>
      <c r="D57" t="inlineStr">
        <is>
          <t>ÖSTERGÖTLANDS LÄN</t>
        </is>
      </c>
      <c r="E57" t="inlineStr">
        <is>
          <t>LINKÖPING</t>
        </is>
      </c>
      <c r="F57" t="inlineStr">
        <is>
          <t>Allmännings- och besparingsskogar</t>
        </is>
      </c>
      <c r="G57" t="n">
        <v>9.9</v>
      </c>
      <c r="H57" t="n">
        <v>0</v>
      </c>
      <c r="I57" t="n">
        <v>0</v>
      </c>
      <c r="J57" t="n">
        <v>0</v>
      </c>
      <c r="K57" t="n">
        <v>1</v>
      </c>
      <c r="L57" t="n">
        <v>0</v>
      </c>
      <c r="M57" t="n">
        <v>0</v>
      </c>
      <c r="N57" t="n">
        <v>0</v>
      </c>
      <c r="O57" t="n">
        <v>1</v>
      </c>
      <c r="P57" t="n">
        <v>1</v>
      </c>
      <c r="Q57" t="n">
        <v>1</v>
      </c>
      <c r="R57" s="2" t="inlineStr">
        <is>
          <t>Bitter taggsvamp</t>
        </is>
      </c>
      <c r="S57">
        <f>HYPERLINK("https://klasma.github.io/Logging_0580/artfynd/A 36723-2023 artfynd.xlsx", "A 36723-2023")</f>
        <v/>
      </c>
      <c r="T57">
        <f>HYPERLINK("https://klasma.github.io/Logging_0580/kartor/A 36723-2023 karta.png", "A 36723-2023")</f>
        <v/>
      </c>
      <c r="V57">
        <f>HYPERLINK("https://klasma.github.io/Logging_0580/klagomål/A 36723-2023 FSC-klagomål.docx", "A 36723-2023")</f>
        <v/>
      </c>
      <c r="W57">
        <f>HYPERLINK("https://klasma.github.io/Logging_0580/klagomålsmail/A 36723-2023 FSC-klagomål mail.docx", "A 36723-2023")</f>
        <v/>
      </c>
      <c r="X57">
        <f>HYPERLINK("https://klasma.github.io/Logging_0580/tillsyn/A 36723-2023 tillsynsbegäran.docx", "A 36723-2023")</f>
        <v/>
      </c>
      <c r="Y57">
        <f>HYPERLINK("https://klasma.github.io/Logging_0580/tillsynsmail/A 36723-2023 tillsynsbegäran mail.docx", "A 36723-2023")</f>
        <v/>
      </c>
    </row>
    <row r="58" ht="15" customHeight="1">
      <c r="A58" t="inlineStr">
        <is>
          <t>A 48273-2025</t>
        </is>
      </c>
      <c r="B58" s="1" t="n">
        <v>45932</v>
      </c>
      <c r="C58" s="1" t="n">
        <v>46011</v>
      </c>
      <c r="D58" t="inlineStr">
        <is>
          <t>ÖSTERGÖTLANDS LÄN</t>
        </is>
      </c>
      <c r="E58" t="inlineStr">
        <is>
          <t>LINKÖPING</t>
        </is>
      </c>
      <c r="F58" t="inlineStr">
        <is>
          <t>Övriga Aktiebolag</t>
        </is>
      </c>
      <c r="G58" t="n">
        <v>4.6</v>
      </c>
      <c r="H58" t="n">
        <v>0</v>
      </c>
      <c r="I58" t="n">
        <v>0</v>
      </c>
      <c r="J58" t="n">
        <v>1</v>
      </c>
      <c r="K58" t="n">
        <v>0</v>
      </c>
      <c r="L58" t="n">
        <v>0</v>
      </c>
      <c r="M58" t="n">
        <v>0</v>
      </c>
      <c r="N58" t="n">
        <v>0</v>
      </c>
      <c r="O58" t="n">
        <v>1</v>
      </c>
      <c r="P58" t="n">
        <v>0</v>
      </c>
      <c r="Q58" t="n">
        <v>1</v>
      </c>
      <c r="R58" s="2" t="inlineStr">
        <is>
          <t>Barrviolspindling</t>
        </is>
      </c>
      <c r="S58">
        <f>HYPERLINK("https://klasma.github.io/Logging_0580/artfynd/A 48273-2025 artfynd.xlsx", "A 48273-2025")</f>
        <v/>
      </c>
      <c r="T58">
        <f>HYPERLINK("https://klasma.github.io/Logging_0580/kartor/A 48273-2025 karta.png", "A 48273-2025")</f>
        <v/>
      </c>
      <c r="V58">
        <f>HYPERLINK("https://klasma.github.io/Logging_0580/klagomål/A 48273-2025 FSC-klagomål.docx", "A 48273-2025")</f>
        <v/>
      </c>
      <c r="W58">
        <f>HYPERLINK("https://klasma.github.io/Logging_0580/klagomålsmail/A 48273-2025 FSC-klagomål mail.docx", "A 48273-2025")</f>
        <v/>
      </c>
      <c r="X58">
        <f>HYPERLINK("https://klasma.github.io/Logging_0580/tillsyn/A 48273-2025 tillsynsbegäran.docx", "A 48273-2025")</f>
        <v/>
      </c>
      <c r="Y58">
        <f>HYPERLINK("https://klasma.github.io/Logging_0580/tillsynsmail/A 48273-2025 tillsynsbegäran mail.docx", "A 48273-2025")</f>
        <v/>
      </c>
    </row>
    <row r="59" ht="15" customHeight="1">
      <c r="A59" t="inlineStr">
        <is>
          <t>A 48298-2025</t>
        </is>
      </c>
      <c r="B59" s="1" t="n">
        <v>45932</v>
      </c>
      <c r="C59" s="1" t="n">
        <v>46011</v>
      </c>
      <c r="D59" t="inlineStr">
        <is>
          <t>ÖSTERGÖTLANDS LÄN</t>
        </is>
      </c>
      <c r="E59" t="inlineStr">
        <is>
          <t>LINKÖPING</t>
        </is>
      </c>
      <c r="F59" t="inlineStr">
        <is>
          <t>Övriga Aktiebolag</t>
        </is>
      </c>
      <c r="G59" t="n">
        <v>1.7</v>
      </c>
      <c r="H59" t="n">
        <v>0</v>
      </c>
      <c r="I59" t="n">
        <v>1</v>
      </c>
      <c r="J59" t="n">
        <v>0</v>
      </c>
      <c r="K59" t="n">
        <v>0</v>
      </c>
      <c r="L59" t="n">
        <v>0</v>
      </c>
      <c r="M59" t="n">
        <v>0</v>
      </c>
      <c r="N59" t="n">
        <v>0</v>
      </c>
      <c r="O59" t="n">
        <v>0</v>
      </c>
      <c r="P59" t="n">
        <v>0</v>
      </c>
      <c r="Q59" t="n">
        <v>1</v>
      </c>
      <c r="R59" s="2" t="inlineStr">
        <is>
          <t>Västlig hakmossa</t>
        </is>
      </c>
      <c r="S59">
        <f>HYPERLINK("https://klasma.github.io/Logging_0580/artfynd/A 48298-2025 artfynd.xlsx", "A 48298-2025")</f>
        <v/>
      </c>
      <c r="T59">
        <f>HYPERLINK("https://klasma.github.io/Logging_0580/kartor/A 48298-2025 karta.png", "A 48298-2025")</f>
        <v/>
      </c>
      <c r="V59">
        <f>HYPERLINK("https://klasma.github.io/Logging_0580/klagomål/A 48298-2025 FSC-klagomål.docx", "A 48298-2025")</f>
        <v/>
      </c>
      <c r="W59">
        <f>HYPERLINK("https://klasma.github.io/Logging_0580/klagomålsmail/A 48298-2025 FSC-klagomål mail.docx", "A 48298-2025")</f>
        <v/>
      </c>
      <c r="X59">
        <f>HYPERLINK("https://klasma.github.io/Logging_0580/tillsyn/A 48298-2025 tillsynsbegäran.docx", "A 48298-2025")</f>
        <v/>
      </c>
      <c r="Y59">
        <f>HYPERLINK("https://klasma.github.io/Logging_0580/tillsynsmail/A 48298-2025 tillsynsbegäran mail.docx", "A 48298-2025")</f>
        <v/>
      </c>
    </row>
    <row r="60" ht="15" customHeight="1">
      <c r="A60" t="inlineStr">
        <is>
          <t>A 48353-2025</t>
        </is>
      </c>
      <c r="B60" s="1" t="n">
        <v>45932</v>
      </c>
      <c r="C60" s="1" t="n">
        <v>46011</v>
      </c>
      <c r="D60" t="inlineStr">
        <is>
          <t>ÖSTERGÖTLANDS LÄN</t>
        </is>
      </c>
      <c r="E60" t="inlineStr">
        <is>
          <t>LINKÖPING</t>
        </is>
      </c>
      <c r="F60" t="inlineStr">
        <is>
          <t>Övriga Aktiebolag</t>
        </is>
      </c>
      <c r="G60" t="n">
        <v>4.5</v>
      </c>
      <c r="H60" t="n">
        <v>1</v>
      </c>
      <c r="I60" t="n">
        <v>0</v>
      </c>
      <c r="J60" t="n">
        <v>1</v>
      </c>
      <c r="K60" t="n">
        <v>0</v>
      </c>
      <c r="L60" t="n">
        <v>0</v>
      </c>
      <c r="M60" t="n">
        <v>0</v>
      </c>
      <c r="N60" t="n">
        <v>0</v>
      </c>
      <c r="O60" t="n">
        <v>1</v>
      </c>
      <c r="P60" t="n">
        <v>0</v>
      </c>
      <c r="Q60" t="n">
        <v>1</v>
      </c>
      <c r="R60" s="2" t="inlineStr">
        <is>
          <t>Entita</t>
        </is>
      </c>
      <c r="S60">
        <f>HYPERLINK("https://klasma.github.io/Logging_0580/artfynd/A 48353-2025 artfynd.xlsx", "A 48353-2025")</f>
        <v/>
      </c>
      <c r="T60">
        <f>HYPERLINK("https://klasma.github.io/Logging_0580/kartor/A 48353-2025 karta.png", "A 48353-2025")</f>
        <v/>
      </c>
      <c r="V60">
        <f>HYPERLINK("https://klasma.github.io/Logging_0580/klagomål/A 48353-2025 FSC-klagomål.docx", "A 48353-2025")</f>
        <v/>
      </c>
      <c r="W60">
        <f>HYPERLINK("https://klasma.github.io/Logging_0580/klagomålsmail/A 48353-2025 FSC-klagomål mail.docx", "A 48353-2025")</f>
        <v/>
      </c>
      <c r="X60">
        <f>HYPERLINK("https://klasma.github.io/Logging_0580/tillsyn/A 48353-2025 tillsynsbegäran.docx", "A 48353-2025")</f>
        <v/>
      </c>
      <c r="Y60">
        <f>HYPERLINK("https://klasma.github.io/Logging_0580/tillsynsmail/A 48353-2025 tillsynsbegäran mail.docx", "A 48353-2025")</f>
        <v/>
      </c>
      <c r="Z60">
        <f>HYPERLINK("https://klasma.github.io/Logging_0580/fåglar/A 48353-2025 prioriterade fågelarter.docx", "A 48353-2025")</f>
        <v/>
      </c>
    </row>
    <row r="61" ht="15" customHeight="1">
      <c r="A61" t="inlineStr">
        <is>
          <t>A 56112-2025</t>
        </is>
      </c>
      <c r="B61" s="1" t="n">
        <v>45973.73625</v>
      </c>
      <c r="C61" s="1" t="n">
        <v>46011</v>
      </c>
      <c r="D61" t="inlineStr">
        <is>
          <t>ÖSTERGÖTLANDS LÄN</t>
        </is>
      </c>
      <c r="E61" t="inlineStr">
        <is>
          <t>LINKÖPING</t>
        </is>
      </c>
      <c r="G61" t="n">
        <v>0.6</v>
      </c>
      <c r="H61" t="n">
        <v>0</v>
      </c>
      <c r="I61" t="n">
        <v>0</v>
      </c>
      <c r="J61" t="n">
        <v>1</v>
      </c>
      <c r="K61" t="n">
        <v>0</v>
      </c>
      <c r="L61" t="n">
        <v>0</v>
      </c>
      <c r="M61" t="n">
        <v>0</v>
      </c>
      <c r="N61" t="n">
        <v>0</v>
      </c>
      <c r="O61" t="n">
        <v>1</v>
      </c>
      <c r="P61" t="n">
        <v>0</v>
      </c>
      <c r="Q61" t="n">
        <v>1</v>
      </c>
      <c r="R61" s="2" t="inlineStr">
        <is>
          <t>Solvända</t>
        </is>
      </c>
      <c r="S61">
        <f>HYPERLINK("https://klasma.github.io/Logging_0580/artfynd/A 56112-2025 artfynd.xlsx", "A 56112-2025")</f>
        <v/>
      </c>
      <c r="T61">
        <f>HYPERLINK("https://klasma.github.io/Logging_0580/kartor/A 56112-2025 karta.png", "A 56112-2025")</f>
        <v/>
      </c>
      <c r="V61">
        <f>HYPERLINK("https://klasma.github.io/Logging_0580/klagomål/A 56112-2025 FSC-klagomål.docx", "A 56112-2025")</f>
        <v/>
      </c>
      <c r="W61">
        <f>HYPERLINK("https://klasma.github.io/Logging_0580/klagomålsmail/A 56112-2025 FSC-klagomål mail.docx", "A 56112-2025")</f>
        <v/>
      </c>
      <c r="X61">
        <f>HYPERLINK("https://klasma.github.io/Logging_0580/tillsyn/A 56112-2025 tillsynsbegäran.docx", "A 56112-2025")</f>
        <v/>
      </c>
      <c r="Y61">
        <f>HYPERLINK("https://klasma.github.io/Logging_0580/tillsynsmail/A 56112-2025 tillsynsbegäran mail.docx", "A 56112-2025")</f>
        <v/>
      </c>
    </row>
    <row r="62" ht="15" customHeight="1">
      <c r="A62" t="inlineStr">
        <is>
          <t>A 48347-2025</t>
        </is>
      </c>
      <c r="B62" s="1" t="n">
        <v>45932</v>
      </c>
      <c r="C62" s="1" t="n">
        <v>46011</v>
      </c>
      <c r="D62" t="inlineStr">
        <is>
          <t>ÖSTERGÖTLANDS LÄN</t>
        </is>
      </c>
      <c r="E62" t="inlineStr">
        <is>
          <t>LINKÖPING</t>
        </is>
      </c>
      <c r="F62" t="inlineStr">
        <is>
          <t>Övriga Aktiebolag</t>
        </is>
      </c>
      <c r="G62" t="n">
        <v>0.9</v>
      </c>
      <c r="H62" t="n">
        <v>0</v>
      </c>
      <c r="I62" t="n">
        <v>0</v>
      </c>
      <c r="J62" t="n">
        <v>1</v>
      </c>
      <c r="K62" t="n">
        <v>0</v>
      </c>
      <c r="L62" t="n">
        <v>0</v>
      </c>
      <c r="M62" t="n">
        <v>0</v>
      </c>
      <c r="N62" t="n">
        <v>0</v>
      </c>
      <c r="O62" t="n">
        <v>1</v>
      </c>
      <c r="P62" t="n">
        <v>0</v>
      </c>
      <c r="Q62" t="n">
        <v>1</v>
      </c>
      <c r="R62" s="2" t="inlineStr">
        <is>
          <t>Igelkott</t>
        </is>
      </c>
      <c r="S62">
        <f>HYPERLINK("https://klasma.github.io/Logging_0580/artfynd/A 48347-2025 artfynd.xlsx", "A 48347-2025")</f>
        <v/>
      </c>
      <c r="T62">
        <f>HYPERLINK("https://klasma.github.io/Logging_0580/kartor/A 48347-2025 karta.png", "A 48347-2025")</f>
        <v/>
      </c>
      <c r="V62">
        <f>HYPERLINK("https://klasma.github.io/Logging_0580/klagomål/A 48347-2025 FSC-klagomål.docx", "A 48347-2025")</f>
        <v/>
      </c>
      <c r="W62">
        <f>HYPERLINK("https://klasma.github.io/Logging_0580/klagomålsmail/A 48347-2025 FSC-klagomål mail.docx", "A 48347-2025")</f>
        <v/>
      </c>
      <c r="X62">
        <f>HYPERLINK("https://klasma.github.io/Logging_0580/tillsyn/A 48347-2025 tillsynsbegäran.docx", "A 48347-2025")</f>
        <v/>
      </c>
      <c r="Y62">
        <f>HYPERLINK("https://klasma.github.io/Logging_0580/tillsynsmail/A 48347-2025 tillsynsbegäran mail.docx", "A 48347-2025")</f>
        <v/>
      </c>
    </row>
    <row r="63" ht="15" customHeight="1">
      <c r="A63" t="inlineStr">
        <is>
          <t>A 60573-2021</t>
        </is>
      </c>
      <c r="B63" s="1" t="n">
        <v>44496</v>
      </c>
      <c r="C63" s="1" t="n">
        <v>46011</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50034-2025</t>
        </is>
      </c>
      <c r="B64" s="1" t="n">
        <v>45941</v>
      </c>
      <c r="C64" s="1" t="n">
        <v>46011</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59474-2025</t>
        </is>
      </c>
      <c r="B65" s="1" t="n">
        <v>45989.58512731481</v>
      </c>
      <c r="C65" s="1" t="n">
        <v>46011</v>
      </c>
      <c r="D65" t="inlineStr">
        <is>
          <t>ÖSTERGÖTLANDS LÄN</t>
        </is>
      </c>
      <c r="E65" t="inlineStr">
        <is>
          <t>LINKÖPING</t>
        </is>
      </c>
      <c r="G65" t="n">
        <v>8</v>
      </c>
      <c r="H65" t="n">
        <v>0</v>
      </c>
      <c r="I65" t="n">
        <v>1</v>
      </c>
      <c r="J65" t="n">
        <v>0</v>
      </c>
      <c r="K65" t="n">
        <v>0</v>
      </c>
      <c r="L65" t="n">
        <v>0</v>
      </c>
      <c r="M65" t="n">
        <v>0</v>
      </c>
      <c r="N65" t="n">
        <v>0</v>
      </c>
      <c r="O65" t="n">
        <v>0</v>
      </c>
      <c r="P65" t="n">
        <v>0</v>
      </c>
      <c r="Q65" t="n">
        <v>1</v>
      </c>
      <c r="R65" s="2" t="inlineStr">
        <is>
          <t>Fällmossa</t>
        </is>
      </c>
      <c r="S65">
        <f>HYPERLINK("https://klasma.github.io/Logging_0580/artfynd/A 59474-2025 artfynd.xlsx", "A 59474-2025")</f>
        <v/>
      </c>
      <c r="T65">
        <f>HYPERLINK("https://klasma.github.io/Logging_0580/kartor/A 59474-2025 karta.png", "A 59474-2025")</f>
        <v/>
      </c>
      <c r="V65">
        <f>HYPERLINK("https://klasma.github.io/Logging_0580/klagomål/A 59474-2025 FSC-klagomål.docx", "A 59474-2025")</f>
        <v/>
      </c>
      <c r="W65">
        <f>HYPERLINK("https://klasma.github.io/Logging_0580/klagomålsmail/A 59474-2025 FSC-klagomål mail.docx", "A 59474-2025")</f>
        <v/>
      </c>
      <c r="X65">
        <f>HYPERLINK("https://klasma.github.io/Logging_0580/tillsyn/A 59474-2025 tillsynsbegäran.docx", "A 59474-2025")</f>
        <v/>
      </c>
      <c r="Y65">
        <f>HYPERLINK("https://klasma.github.io/Logging_0580/tillsynsmail/A 59474-2025 tillsynsbegäran mail.docx", "A 59474-2025")</f>
        <v/>
      </c>
    </row>
    <row r="66" ht="15" customHeight="1">
      <c r="A66" t="inlineStr">
        <is>
          <t>A 5911-2022</t>
        </is>
      </c>
      <c r="B66" s="1" t="n">
        <v>44597</v>
      </c>
      <c r="C66" s="1" t="n">
        <v>46011</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56128-2022</t>
        </is>
      </c>
      <c r="B67" s="1" t="n">
        <v>44889</v>
      </c>
      <c r="C67" s="1" t="n">
        <v>46011</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60311-2025</t>
        </is>
      </c>
      <c r="B68" s="1" t="n">
        <v>45994</v>
      </c>
      <c r="C68" s="1" t="n">
        <v>46011</v>
      </c>
      <c r="D68" t="inlineStr">
        <is>
          <t>ÖSTERGÖTLANDS LÄN</t>
        </is>
      </c>
      <c r="E68" t="inlineStr">
        <is>
          <t>LINKÖPING</t>
        </is>
      </c>
      <c r="G68" t="n">
        <v>1.9</v>
      </c>
      <c r="H68" t="n">
        <v>0</v>
      </c>
      <c r="I68" t="n">
        <v>0</v>
      </c>
      <c r="J68" t="n">
        <v>1</v>
      </c>
      <c r="K68" t="n">
        <v>0</v>
      </c>
      <c r="L68" t="n">
        <v>0</v>
      </c>
      <c r="M68" t="n">
        <v>0</v>
      </c>
      <c r="N68" t="n">
        <v>0</v>
      </c>
      <c r="O68" t="n">
        <v>1</v>
      </c>
      <c r="P68" t="n">
        <v>0</v>
      </c>
      <c r="Q68" t="n">
        <v>1</v>
      </c>
      <c r="R68" s="2" t="inlineStr">
        <is>
          <t>Gammelekslav</t>
        </is>
      </c>
      <c r="S68">
        <f>HYPERLINK("https://klasma.github.io/Logging_0580/artfynd/A 60311-2025 artfynd.xlsx", "A 60311-2025")</f>
        <v/>
      </c>
      <c r="T68">
        <f>HYPERLINK("https://klasma.github.io/Logging_0580/kartor/A 60311-2025 karta.png", "A 60311-2025")</f>
        <v/>
      </c>
      <c r="V68">
        <f>HYPERLINK("https://klasma.github.io/Logging_0580/klagomål/A 60311-2025 FSC-klagomål.docx", "A 60311-2025")</f>
        <v/>
      </c>
      <c r="W68">
        <f>HYPERLINK("https://klasma.github.io/Logging_0580/klagomålsmail/A 60311-2025 FSC-klagomål mail.docx", "A 60311-2025")</f>
        <v/>
      </c>
      <c r="X68">
        <f>HYPERLINK("https://klasma.github.io/Logging_0580/tillsyn/A 60311-2025 tillsynsbegäran.docx", "A 60311-2025")</f>
        <v/>
      </c>
      <c r="Y68">
        <f>HYPERLINK("https://klasma.github.io/Logging_0580/tillsynsmail/A 60311-2025 tillsynsbegäran mail.docx", "A 60311-2025")</f>
        <v/>
      </c>
    </row>
    <row r="69" ht="15" customHeight="1">
      <c r="A69" t="inlineStr">
        <is>
          <t>A 54835-2023</t>
        </is>
      </c>
      <c r="B69" s="1" t="n">
        <v>45236</v>
      </c>
      <c r="C69" s="1" t="n">
        <v>46011</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46011</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19103-2021</t>
        </is>
      </c>
      <c r="B71" s="1" t="n">
        <v>44308</v>
      </c>
      <c r="C71" s="1" t="n">
        <v>46011</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45317-2023</t>
        </is>
      </c>
      <c r="B72" s="1" t="n">
        <v>45191.74868055555</v>
      </c>
      <c r="C72" s="1" t="n">
        <v>46011</v>
      </c>
      <c r="D72" t="inlineStr">
        <is>
          <t>ÖSTERGÖTLANDS LÄN</t>
        </is>
      </c>
      <c r="E72" t="inlineStr">
        <is>
          <t>LINKÖPING</t>
        </is>
      </c>
      <c r="F72" t="inlineStr">
        <is>
          <t>Allmännings- och besparingsskogar</t>
        </is>
      </c>
      <c r="G72" t="n">
        <v>29.3</v>
      </c>
      <c r="H72" t="n">
        <v>0</v>
      </c>
      <c r="I72" t="n">
        <v>0</v>
      </c>
      <c r="J72" t="n">
        <v>1</v>
      </c>
      <c r="K72" t="n">
        <v>0</v>
      </c>
      <c r="L72" t="n">
        <v>0</v>
      </c>
      <c r="M72" t="n">
        <v>0</v>
      </c>
      <c r="N72" t="n">
        <v>0</v>
      </c>
      <c r="O72" t="n">
        <v>1</v>
      </c>
      <c r="P72" t="n">
        <v>0</v>
      </c>
      <c r="Q72" t="n">
        <v>1</v>
      </c>
      <c r="R72" s="2" t="inlineStr">
        <is>
          <t>Svinrot</t>
        </is>
      </c>
      <c r="S72">
        <f>HYPERLINK("https://klasma.github.io/Logging_0580/artfynd/A 45317-2023 artfynd.xlsx", "A 45317-2023")</f>
        <v/>
      </c>
      <c r="T72">
        <f>HYPERLINK("https://klasma.github.io/Logging_0580/kartor/A 45317-2023 karta.png", "A 45317-2023")</f>
        <v/>
      </c>
      <c r="V72">
        <f>HYPERLINK("https://klasma.github.io/Logging_0580/klagomål/A 45317-2023 FSC-klagomål.docx", "A 45317-2023")</f>
        <v/>
      </c>
      <c r="W72">
        <f>HYPERLINK("https://klasma.github.io/Logging_0580/klagomålsmail/A 45317-2023 FSC-klagomål mail.docx", "A 45317-2023")</f>
        <v/>
      </c>
      <c r="X72">
        <f>HYPERLINK("https://klasma.github.io/Logging_0580/tillsyn/A 45317-2023 tillsynsbegäran.docx", "A 45317-2023")</f>
        <v/>
      </c>
      <c r="Y72">
        <f>HYPERLINK("https://klasma.github.io/Logging_0580/tillsynsmail/A 45317-2023 tillsynsbegäran mail.docx", "A 45317-2023")</f>
        <v/>
      </c>
    </row>
    <row r="73" ht="15" customHeight="1">
      <c r="A73" t="inlineStr">
        <is>
          <t>A 20295-2025</t>
        </is>
      </c>
      <c r="B73" s="1" t="n">
        <v>45774.74846064814</v>
      </c>
      <c r="C73" s="1" t="n">
        <v>46011</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37683-2024</t>
        </is>
      </c>
      <c r="B74" s="1" t="n">
        <v>45541.59120370371</v>
      </c>
      <c r="C74" s="1" t="n">
        <v>46011</v>
      </c>
      <c r="D74" t="inlineStr">
        <is>
          <t>ÖSTERGÖTLANDS LÄN</t>
        </is>
      </c>
      <c r="E74" t="inlineStr">
        <is>
          <t>LINKÖPING</t>
        </is>
      </c>
      <c r="G74" t="n">
        <v>0.6</v>
      </c>
      <c r="H74" t="n">
        <v>0</v>
      </c>
      <c r="I74" t="n">
        <v>1</v>
      </c>
      <c r="J74" t="n">
        <v>0</v>
      </c>
      <c r="K74" t="n">
        <v>0</v>
      </c>
      <c r="L74" t="n">
        <v>0</v>
      </c>
      <c r="M74" t="n">
        <v>0</v>
      </c>
      <c r="N74" t="n">
        <v>0</v>
      </c>
      <c r="O74" t="n">
        <v>0</v>
      </c>
      <c r="P74" t="n">
        <v>0</v>
      </c>
      <c r="Q74" t="n">
        <v>1</v>
      </c>
      <c r="R74" s="2" t="inlineStr">
        <is>
          <t>Tibast</t>
        </is>
      </c>
      <c r="S74">
        <f>HYPERLINK("https://klasma.github.io/Logging_0580/artfynd/A 37683-2024 artfynd.xlsx", "A 37683-2024")</f>
        <v/>
      </c>
      <c r="T74">
        <f>HYPERLINK("https://klasma.github.io/Logging_0580/kartor/A 37683-2024 karta.png", "A 37683-2024")</f>
        <v/>
      </c>
      <c r="V74">
        <f>HYPERLINK("https://klasma.github.io/Logging_0580/klagomål/A 37683-2024 FSC-klagomål.docx", "A 37683-2024")</f>
        <v/>
      </c>
      <c r="W74">
        <f>HYPERLINK("https://klasma.github.io/Logging_0580/klagomålsmail/A 37683-2024 FSC-klagomål mail.docx", "A 37683-2024")</f>
        <v/>
      </c>
      <c r="X74">
        <f>HYPERLINK("https://klasma.github.io/Logging_0580/tillsyn/A 37683-2024 tillsynsbegäran.docx", "A 37683-2024")</f>
        <v/>
      </c>
      <c r="Y74">
        <f>HYPERLINK("https://klasma.github.io/Logging_0580/tillsynsmail/A 37683-2024 tillsynsbegäran mail.docx", "A 37683-2024")</f>
        <v/>
      </c>
    </row>
    <row r="75" ht="15" customHeight="1">
      <c r="A75" t="inlineStr">
        <is>
          <t>A 35948-2023</t>
        </is>
      </c>
      <c r="B75" s="1" t="n">
        <v>45148</v>
      </c>
      <c r="C75" s="1" t="n">
        <v>46011</v>
      </c>
      <c r="D75" t="inlineStr">
        <is>
          <t>ÖSTERGÖTLANDS LÄN</t>
        </is>
      </c>
      <c r="E75" t="inlineStr">
        <is>
          <t>LINKÖPING</t>
        </is>
      </c>
      <c r="G75" t="n">
        <v>1.9</v>
      </c>
      <c r="H75" t="n">
        <v>0</v>
      </c>
      <c r="I75" t="n">
        <v>1</v>
      </c>
      <c r="J75" t="n">
        <v>0</v>
      </c>
      <c r="K75" t="n">
        <v>0</v>
      </c>
      <c r="L75" t="n">
        <v>0</v>
      </c>
      <c r="M75" t="n">
        <v>0</v>
      </c>
      <c r="N75" t="n">
        <v>0</v>
      </c>
      <c r="O75" t="n">
        <v>0</v>
      </c>
      <c r="P75" t="n">
        <v>0</v>
      </c>
      <c r="Q75" t="n">
        <v>1</v>
      </c>
      <c r="R75" s="2" t="inlineStr">
        <is>
          <t>Brun nållav</t>
        </is>
      </c>
      <c r="S75">
        <f>HYPERLINK("https://klasma.github.io/Logging_0580/artfynd/A 35948-2023 artfynd.xlsx", "A 35948-2023")</f>
        <v/>
      </c>
      <c r="T75">
        <f>HYPERLINK("https://klasma.github.io/Logging_0580/kartor/A 35948-2023 karta.png", "A 35948-2023")</f>
        <v/>
      </c>
      <c r="V75">
        <f>HYPERLINK("https://klasma.github.io/Logging_0580/klagomål/A 35948-2023 FSC-klagomål.docx", "A 35948-2023")</f>
        <v/>
      </c>
      <c r="W75">
        <f>HYPERLINK("https://klasma.github.io/Logging_0580/klagomålsmail/A 35948-2023 FSC-klagomål mail.docx", "A 35948-2023")</f>
        <v/>
      </c>
      <c r="X75">
        <f>HYPERLINK("https://klasma.github.io/Logging_0580/tillsyn/A 35948-2023 tillsynsbegäran.docx", "A 35948-2023")</f>
        <v/>
      </c>
      <c r="Y75">
        <f>HYPERLINK("https://klasma.github.io/Logging_0580/tillsynsmail/A 35948-2023 tillsynsbegäran mail.docx", "A 35948-2023")</f>
        <v/>
      </c>
    </row>
    <row r="76" ht="15" customHeight="1">
      <c r="A76" t="inlineStr">
        <is>
          <t>A 56651-2023</t>
        </is>
      </c>
      <c r="B76" s="1" t="n">
        <v>45243</v>
      </c>
      <c r="C76" s="1" t="n">
        <v>46011</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46011</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39457-2023</t>
        </is>
      </c>
      <c r="B78" s="1" t="n">
        <v>45166</v>
      </c>
      <c r="C78" s="1" t="n">
        <v>46011</v>
      </c>
      <c r="D78" t="inlineStr">
        <is>
          <t>ÖSTERGÖTLANDS LÄN</t>
        </is>
      </c>
      <c r="E78" t="inlineStr">
        <is>
          <t>LINKÖPING</t>
        </is>
      </c>
      <c r="G78" t="n">
        <v>2.1</v>
      </c>
      <c r="H78" t="n">
        <v>1</v>
      </c>
      <c r="I78" t="n">
        <v>0</v>
      </c>
      <c r="J78" t="n">
        <v>0</v>
      </c>
      <c r="K78" t="n">
        <v>0</v>
      </c>
      <c r="L78" t="n">
        <v>0</v>
      </c>
      <c r="M78" t="n">
        <v>0</v>
      </c>
      <c r="N78" t="n">
        <v>0</v>
      </c>
      <c r="O78" t="n">
        <v>0</v>
      </c>
      <c r="P78" t="n">
        <v>0</v>
      </c>
      <c r="Q78" t="n">
        <v>1</v>
      </c>
      <c r="R78" s="2" t="inlineStr">
        <is>
          <t>Sparvuggla</t>
        </is>
      </c>
      <c r="S78">
        <f>HYPERLINK("https://klasma.github.io/Logging_0580/artfynd/A 39457-2023 artfynd.xlsx", "A 39457-2023")</f>
        <v/>
      </c>
      <c r="T78">
        <f>HYPERLINK("https://klasma.github.io/Logging_0580/kartor/A 39457-2023 karta.png", "A 39457-2023")</f>
        <v/>
      </c>
      <c r="V78">
        <f>HYPERLINK("https://klasma.github.io/Logging_0580/klagomål/A 39457-2023 FSC-klagomål.docx", "A 39457-2023")</f>
        <v/>
      </c>
      <c r="W78">
        <f>HYPERLINK("https://klasma.github.io/Logging_0580/klagomålsmail/A 39457-2023 FSC-klagomål mail.docx", "A 39457-2023")</f>
        <v/>
      </c>
      <c r="X78">
        <f>HYPERLINK("https://klasma.github.io/Logging_0580/tillsyn/A 39457-2023 tillsynsbegäran.docx", "A 39457-2023")</f>
        <v/>
      </c>
      <c r="Y78">
        <f>HYPERLINK("https://klasma.github.io/Logging_0580/tillsynsmail/A 39457-2023 tillsynsbegäran mail.docx", "A 39457-2023")</f>
        <v/>
      </c>
      <c r="Z78">
        <f>HYPERLINK("https://klasma.github.io/Logging_0580/fåglar/A 39457-2023 prioriterade fågelarter.docx", "A 39457-2023")</f>
        <v/>
      </c>
    </row>
    <row r="79" ht="15" customHeight="1">
      <c r="A79" t="inlineStr">
        <is>
          <t>A 62071-2023</t>
        </is>
      </c>
      <c r="B79" s="1" t="n">
        <v>45266.73542824074</v>
      </c>
      <c r="C79" s="1" t="n">
        <v>46011</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90-2024</t>
        </is>
      </c>
      <c r="B80" s="1" t="n">
        <v>45293</v>
      </c>
      <c r="C80" s="1" t="n">
        <v>46011</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17444-2025</t>
        </is>
      </c>
      <c r="B81" s="1" t="n">
        <v>45757.43452546297</v>
      </c>
      <c r="C81" s="1" t="n">
        <v>46011</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40309-2024</t>
        </is>
      </c>
      <c r="B82" s="1" t="n">
        <v>45554.724375</v>
      </c>
      <c r="C82" s="1" t="n">
        <v>46011</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15290-2025</t>
        </is>
      </c>
      <c r="B83" s="1" t="n">
        <v>45745.45288194445</v>
      </c>
      <c r="C83" s="1" t="n">
        <v>46011</v>
      </c>
      <c r="D83" t="inlineStr">
        <is>
          <t>ÖSTERGÖTLANDS LÄN</t>
        </is>
      </c>
      <c r="E83" t="inlineStr">
        <is>
          <t>LINKÖPING</t>
        </is>
      </c>
      <c r="G83" t="n">
        <v>18.4</v>
      </c>
      <c r="H83" t="n">
        <v>1</v>
      </c>
      <c r="I83" t="n">
        <v>0</v>
      </c>
      <c r="J83" t="n">
        <v>1</v>
      </c>
      <c r="K83" t="n">
        <v>0</v>
      </c>
      <c r="L83" t="n">
        <v>0</v>
      </c>
      <c r="M83" t="n">
        <v>0</v>
      </c>
      <c r="N83" t="n">
        <v>0</v>
      </c>
      <c r="O83" t="n">
        <v>1</v>
      </c>
      <c r="P83" t="n">
        <v>0</v>
      </c>
      <c r="Q83" t="n">
        <v>1</v>
      </c>
      <c r="R83" s="2" t="inlineStr">
        <is>
          <t>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1716-2023</t>
        </is>
      </c>
      <c r="B84" s="1" t="n">
        <v>44938</v>
      </c>
      <c r="C84" s="1" t="n">
        <v>46011</v>
      </c>
      <c r="D84" t="inlineStr">
        <is>
          <t>ÖSTERGÖTLANDS LÄN</t>
        </is>
      </c>
      <c r="E84" t="inlineStr">
        <is>
          <t>LINKÖPING</t>
        </is>
      </c>
      <c r="G84" t="n">
        <v>3.6</v>
      </c>
      <c r="H84" t="n">
        <v>0</v>
      </c>
      <c r="I84" t="n">
        <v>0</v>
      </c>
      <c r="J84" t="n">
        <v>1</v>
      </c>
      <c r="K84" t="n">
        <v>0</v>
      </c>
      <c r="L84" t="n">
        <v>0</v>
      </c>
      <c r="M84" t="n">
        <v>0</v>
      </c>
      <c r="N84" t="n">
        <v>0</v>
      </c>
      <c r="O84" t="n">
        <v>1</v>
      </c>
      <c r="P84" t="n">
        <v>0</v>
      </c>
      <c r="Q84" t="n">
        <v>1</v>
      </c>
      <c r="R84" s="2" t="inlineStr">
        <is>
          <t>Svinrot</t>
        </is>
      </c>
      <c r="S84">
        <f>HYPERLINK("https://klasma.github.io/Logging_0580/artfynd/A 1716-2023 artfynd.xlsx", "A 1716-2023")</f>
        <v/>
      </c>
      <c r="T84">
        <f>HYPERLINK("https://klasma.github.io/Logging_0580/kartor/A 1716-2023 karta.png", "A 1716-2023")</f>
        <v/>
      </c>
      <c r="V84">
        <f>HYPERLINK("https://klasma.github.io/Logging_0580/klagomål/A 1716-2023 FSC-klagomål.docx", "A 1716-2023")</f>
        <v/>
      </c>
      <c r="W84">
        <f>HYPERLINK("https://klasma.github.io/Logging_0580/klagomålsmail/A 1716-2023 FSC-klagomål mail.docx", "A 1716-2023")</f>
        <v/>
      </c>
      <c r="X84">
        <f>HYPERLINK("https://klasma.github.io/Logging_0580/tillsyn/A 1716-2023 tillsynsbegäran.docx", "A 1716-2023")</f>
        <v/>
      </c>
      <c r="Y84">
        <f>HYPERLINK("https://klasma.github.io/Logging_0580/tillsynsmail/A 1716-2023 tillsynsbegäran mail.docx", "A 1716-2023")</f>
        <v/>
      </c>
    </row>
    <row r="85" ht="15" customHeight="1">
      <c r="A85" t="inlineStr">
        <is>
          <t>A 931-2025</t>
        </is>
      </c>
      <c r="B85" s="1" t="n">
        <v>45665.88498842593</v>
      </c>
      <c r="C85" s="1" t="n">
        <v>46011</v>
      </c>
      <c r="D85" t="inlineStr">
        <is>
          <t>ÖSTERGÖTLANDS LÄN</t>
        </is>
      </c>
      <c r="E85" t="inlineStr">
        <is>
          <t>LINKÖPING</t>
        </is>
      </c>
      <c r="F85" t="inlineStr">
        <is>
          <t>Övriga Aktiebolag</t>
        </is>
      </c>
      <c r="G85" t="n">
        <v>0.8</v>
      </c>
      <c r="H85" t="n">
        <v>0</v>
      </c>
      <c r="I85" t="n">
        <v>0</v>
      </c>
      <c r="J85" t="n">
        <v>1</v>
      </c>
      <c r="K85" t="n">
        <v>0</v>
      </c>
      <c r="L85" t="n">
        <v>0</v>
      </c>
      <c r="M85" t="n">
        <v>0</v>
      </c>
      <c r="N85" t="n">
        <v>0</v>
      </c>
      <c r="O85" t="n">
        <v>1</v>
      </c>
      <c r="P85" t="n">
        <v>0</v>
      </c>
      <c r="Q85" t="n">
        <v>1</v>
      </c>
      <c r="R85" s="2" t="inlineStr">
        <is>
          <t>Tallticka</t>
        </is>
      </c>
      <c r="S85">
        <f>HYPERLINK("https://klasma.github.io/Logging_0580/artfynd/A 931-2025 artfynd.xlsx", "A 931-2025")</f>
        <v/>
      </c>
      <c r="T85">
        <f>HYPERLINK("https://klasma.github.io/Logging_0580/kartor/A 931-2025 karta.png", "A 931-2025")</f>
        <v/>
      </c>
      <c r="V85">
        <f>HYPERLINK("https://klasma.github.io/Logging_0580/klagomål/A 931-2025 FSC-klagomål.docx", "A 931-2025")</f>
        <v/>
      </c>
      <c r="W85">
        <f>HYPERLINK("https://klasma.github.io/Logging_0580/klagomålsmail/A 931-2025 FSC-klagomål mail.docx", "A 931-2025")</f>
        <v/>
      </c>
      <c r="X85">
        <f>HYPERLINK("https://klasma.github.io/Logging_0580/tillsyn/A 931-2025 tillsynsbegäran.docx", "A 931-2025")</f>
        <v/>
      </c>
      <c r="Y85">
        <f>HYPERLINK("https://klasma.github.io/Logging_0580/tillsynsmail/A 931-2025 tillsynsbegäran mail.docx", "A 931-2025")</f>
        <v/>
      </c>
    </row>
    <row r="86" ht="15" customHeight="1">
      <c r="A86" t="inlineStr">
        <is>
          <t>A 126-2024</t>
        </is>
      </c>
      <c r="B86" s="1" t="n">
        <v>45294</v>
      </c>
      <c r="C86" s="1" t="n">
        <v>46011</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3395-2023</t>
        </is>
      </c>
      <c r="B87" s="1" t="n">
        <v>44949</v>
      </c>
      <c r="C87" s="1" t="n">
        <v>46011</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3397-2023</t>
        </is>
      </c>
      <c r="B88" s="1" t="n">
        <v>44949</v>
      </c>
      <c r="C88" s="1" t="n">
        <v>46011</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41749-2023</t>
        </is>
      </c>
      <c r="B89" s="1" t="n">
        <v>45176</v>
      </c>
      <c r="C89" s="1" t="n">
        <v>46011</v>
      </c>
      <c r="D89" t="inlineStr">
        <is>
          <t>ÖSTERGÖTLANDS LÄN</t>
        </is>
      </c>
      <c r="E89" t="inlineStr">
        <is>
          <t>LINKÖPING</t>
        </is>
      </c>
      <c r="G89" t="n">
        <v>3.6</v>
      </c>
      <c r="H89" t="n">
        <v>0</v>
      </c>
      <c r="I89" t="n">
        <v>0</v>
      </c>
      <c r="J89" t="n">
        <v>1</v>
      </c>
      <c r="K89" t="n">
        <v>0</v>
      </c>
      <c r="L89" t="n">
        <v>0</v>
      </c>
      <c r="M89" t="n">
        <v>0</v>
      </c>
      <c r="N89" t="n">
        <v>0</v>
      </c>
      <c r="O89" t="n">
        <v>1</v>
      </c>
      <c r="P89" t="n">
        <v>0</v>
      </c>
      <c r="Q89" t="n">
        <v>1</v>
      </c>
      <c r="R89" s="2" t="inlineStr">
        <is>
          <t>Svinrot</t>
        </is>
      </c>
      <c r="S89">
        <f>HYPERLINK("https://klasma.github.io/Logging_0580/artfynd/A 41749-2023 artfynd.xlsx", "A 41749-2023")</f>
        <v/>
      </c>
      <c r="T89">
        <f>HYPERLINK("https://klasma.github.io/Logging_0580/kartor/A 41749-2023 karta.png", "A 41749-2023")</f>
        <v/>
      </c>
      <c r="V89">
        <f>HYPERLINK("https://klasma.github.io/Logging_0580/klagomål/A 41749-2023 FSC-klagomål.docx", "A 41749-2023")</f>
        <v/>
      </c>
      <c r="W89">
        <f>HYPERLINK("https://klasma.github.io/Logging_0580/klagomålsmail/A 41749-2023 FSC-klagomål mail.docx", "A 41749-2023")</f>
        <v/>
      </c>
      <c r="X89">
        <f>HYPERLINK("https://klasma.github.io/Logging_0580/tillsyn/A 41749-2023 tillsynsbegäran.docx", "A 41749-2023")</f>
        <v/>
      </c>
      <c r="Y89">
        <f>HYPERLINK("https://klasma.github.io/Logging_0580/tillsynsmail/A 41749-2023 tillsynsbegäran mail.docx", "A 41749-2023")</f>
        <v/>
      </c>
    </row>
    <row r="90" ht="15" customHeight="1">
      <c r="A90" t="inlineStr">
        <is>
          <t>A 38881-2021</t>
        </is>
      </c>
      <c r="B90" s="1" t="n">
        <v>44411.46893518518</v>
      </c>
      <c r="C90" s="1" t="n">
        <v>46011</v>
      </c>
      <c r="D90" t="inlineStr">
        <is>
          <t>ÖSTERGÖTLANDS LÄN</t>
        </is>
      </c>
      <c r="E90" t="inlineStr">
        <is>
          <t>LINKÖPING</t>
        </is>
      </c>
      <c r="G90" t="n">
        <v>2.2</v>
      </c>
      <c r="H90" t="n">
        <v>0</v>
      </c>
      <c r="I90" t="n">
        <v>0</v>
      </c>
      <c r="J90" t="n">
        <v>0</v>
      </c>
      <c r="K90" t="n">
        <v>0</v>
      </c>
      <c r="L90" t="n">
        <v>0</v>
      </c>
      <c r="M90" t="n">
        <v>0</v>
      </c>
      <c r="N90" t="n">
        <v>0</v>
      </c>
      <c r="O90" t="n">
        <v>0</v>
      </c>
      <c r="P90" t="n">
        <v>0</v>
      </c>
      <c r="Q90" t="n">
        <v>0</v>
      </c>
      <c r="R90" s="2" t="inlineStr"/>
    </row>
    <row r="91" ht="15" customHeight="1">
      <c r="A91" t="inlineStr">
        <is>
          <t>A 38887-2021</t>
        </is>
      </c>
      <c r="B91" s="1" t="n">
        <v>44411</v>
      </c>
      <c r="C91" s="1" t="n">
        <v>46011</v>
      </c>
      <c r="D91" t="inlineStr">
        <is>
          <t>ÖSTERGÖTLANDS LÄN</t>
        </is>
      </c>
      <c r="E91" t="inlineStr">
        <is>
          <t>LINKÖPING</t>
        </is>
      </c>
      <c r="G91" t="n">
        <v>1.6</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46011</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46011</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46011</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46011</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46011</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46011</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46011</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46011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46011</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46011</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46011</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46011</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46011</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46011</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46011</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46011</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46011</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46011</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46011</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46011</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46011</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46011</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46011</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46011</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46011</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46011</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46011</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46011</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46011</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46011</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46011</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46011</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46011</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46011</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46011</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46011</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46011</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46011</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46011</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46011</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46011</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46011</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46011</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46011</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46011</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46011</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46011</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46011</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46011</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46011</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46011</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46011</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46011</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46011</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46011</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46011</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46011</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46011</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46011</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46011</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46011</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46011</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46011</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31705-2022</t>
        </is>
      </c>
      <c r="B155" s="1" t="n">
        <v>44776.43607638889</v>
      </c>
      <c r="C155" s="1" t="n">
        <v>46011</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46011</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46011</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46011</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46011</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46011</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46011</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46011</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46011</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46011</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46011</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46011</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46011</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46011</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46011</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46011</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46011</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46011</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46011</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46011</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46011</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46011</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46011</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46011</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46011</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46011</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46011</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46011</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46011</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46011</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46011</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46011</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46011</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46011</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46011</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46011</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46011</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46011</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46011</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46011</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46011</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46011</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46011</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46011</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46011</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46011</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46011</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46011</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46011</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46011</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46011</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39021-2021</t>
        </is>
      </c>
      <c r="B206" s="1" t="n">
        <v>44412</v>
      </c>
      <c r="C206" s="1" t="n">
        <v>46011</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12035-2025</t>
        </is>
      </c>
      <c r="B207" s="1" t="n">
        <v>45728.64946759259</v>
      </c>
      <c r="C207" s="1" t="n">
        <v>46011</v>
      </c>
      <c r="D207" t="inlineStr">
        <is>
          <t>ÖSTERGÖTLANDS LÄN</t>
        </is>
      </c>
      <c r="E207" t="inlineStr">
        <is>
          <t>LINKÖPING</t>
        </is>
      </c>
      <c r="G207" t="n">
        <v>3.7</v>
      </c>
      <c r="H207" t="n">
        <v>0</v>
      </c>
      <c r="I207" t="n">
        <v>0</v>
      </c>
      <c r="J207" t="n">
        <v>0</v>
      </c>
      <c r="K207" t="n">
        <v>0</v>
      </c>
      <c r="L207" t="n">
        <v>0</v>
      </c>
      <c r="M207" t="n">
        <v>0</v>
      </c>
      <c r="N207" t="n">
        <v>0</v>
      </c>
      <c r="O207" t="n">
        <v>0</v>
      </c>
      <c r="P207" t="n">
        <v>0</v>
      </c>
      <c r="Q207" t="n">
        <v>0</v>
      </c>
      <c r="R207" s="2" t="inlineStr"/>
    </row>
    <row r="208" ht="15" customHeight="1">
      <c r="A208" t="inlineStr">
        <is>
          <t>A 10407-2025</t>
        </is>
      </c>
      <c r="B208" s="1" t="n">
        <v>45720.62863425926</v>
      </c>
      <c r="C208" s="1" t="n">
        <v>46011</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51484-2023</t>
        </is>
      </c>
      <c r="B209" s="1" t="n">
        <v>45222</v>
      </c>
      <c r="C209" s="1" t="n">
        <v>46011</v>
      </c>
      <c r="D209" t="inlineStr">
        <is>
          <t>ÖSTERGÖTLANDS LÄN</t>
        </is>
      </c>
      <c r="E209" t="inlineStr">
        <is>
          <t>LINKÖPING</t>
        </is>
      </c>
      <c r="F209" t="inlineStr">
        <is>
          <t>Övriga Aktiebolag</t>
        </is>
      </c>
      <c r="G209" t="n">
        <v>7.7</v>
      </c>
      <c r="H209" t="n">
        <v>0</v>
      </c>
      <c r="I209" t="n">
        <v>0</v>
      </c>
      <c r="J209" t="n">
        <v>0</v>
      </c>
      <c r="K209" t="n">
        <v>0</v>
      </c>
      <c r="L209" t="n">
        <v>0</v>
      </c>
      <c r="M209" t="n">
        <v>0</v>
      </c>
      <c r="N209" t="n">
        <v>0</v>
      </c>
      <c r="O209" t="n">
        <v>0</v>
      </c>
      <c r="P209" t="n">
        <v>0</v>
      </c>
      <c r="Q209" t="n">
        <v>0</v>
      </c>
      <c r="R209" s="2" t="inlineStr"/>
    </row>
    <row r="210" ht="15" customHeight="1">
      <c r="A210" t="inlineStr">
        <is>
          <t>A 63678-2023</t>
        </is>
      </c>
      <c r="B210" s="1" t="n">
        <v>45275.64769675926</v>
      </c>
      <c r="C210" s="1" t="n">
        <v>46011</v>
      </c>
      <c r="D210" t="inlineStr">
        <is>
          <t>ÖSTERGÖTLANDS LÄN</t>
        </is>
      </c>
      <c r="E210" t="inlineStr">
        <is>
          <t>LINKÖPING</t>
        </is>
      </c>
      <c r="F210" t="inlineStr">
        <is>
          <t>Övriga Aktiebolag</t>
        </is>
      </c>
      <c r="G210" t="n">
        <v>0.4</v>
      </c>
      <c r="H210" t="n">
        <v>0</v>
      </c>
      <c r="I210" t="n">
        <v>0</v>
      </c>
      <c r="J210" t="n">
        <v>0</v>
      </c>
      <c r="K210" t="n">
        <v>0</v>
      </c>
      <c r="L210" t="n">
        <v>0</v>
      </c>
      <c r="M210" t="n">
        <v>0</v>
      </c>
      <c r="N210" t="n">
        <v>0</v>
      </c>
      <c r="O210" t="n">
        <v>0</v>
      </c>
      <c r="P210" t="n">
        <v>0</v>
      </c>
      <c r="Q210" t="n">
        <v>0</v>
      </c>
      <c r="R210" s="2" t="inlineStr"/>
    </row>
    <row r="211" ht="15" customHeight="1">
      <c r="A211" t="inlineStr">
        <is>
          <t>A 63688-2023</t>
        </is>
      </c>
      <c r="B211" s="1" t="n">
        <v>45275</v>
      </c>
      <c r="C211" s="1" t="n">
        <v>46011</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63691-2023</t>
        </is>
      </c>
      <c r="B212" s="1" t="n">
        <v>45275</v>
      </c>
      <c r="C212" s="1" t="n">
        <v>46011</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34557-2022</t>
        </is>
      </c>
      <c r="B213" s="1" t="n">
        <v>44794.57074074074</v>
      </c>
      <c r="C213" s="1" t="n">
        <v>46011</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17157-2024</t>
        </is>
      </c>
      <c r="B214" s="1" t="n">
        <v>45412.70567129629</v>
      </c>
      <c r="C214" s="1" t="n">
        <v>46011</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13689-2025</t>
        </is>
      </c>
      <c r="B215" s="1" t="n">
        <v>45737.31590277778</v>
      </c>
      <c r="C215" s="1" t="n">
        <v>46011</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13696-2025</t>
        </is>
      </c>
      <c r="B216" s="1" t="n">
        <v>45737.32273148148</v>
      </c>
      <c r="C216" s="1" t="n">
        <v>46011</v>
      </c>
      <c r="D216" t="inlineStr">
        <is>
          <t>ÖSTERGÖTLANDS LÄN</t>
        </is>
      </c>
      <c r="E216" t="inlineStr">
        <is>
          <t>LINKÖPING</t>
        </is>
      </c>
      <c r="G216" t="n">
        <v>3.5</v>
      </c>
      <c r="H216" t="n">
        <v>0</v>
      </c>
      <c r="I216" t="n">
        <v>0</v>
      </c>
      <c r="J216" t="n">
        <v>0</v>
      </c>
      <c r="K216" t="n">
        <v>0</v>
      </c>
      <c r="L216" t="n">
        <v>0</v>
      </c>
      <c r="M216" t="n">
        <v>0</v>
      </c>
      <c r="N216" t="n">
        <v>0</v>
      </c>
      <c r="O216" t="n">
        <v>0</v>
      </c>
      <c r="P216" t="n">
        <v>0</v>
      </c>
      <c r="Q216" t="n">
        <v>0</v>
      </c>
      <c r="R216" s="2" t="inlineStr"/>
    </row>
    <row r="217" ht="15" customHeight="1">
      <c r="A217" t="inlineStr">
        <is>
          <t>A 9434-2024</t>
        </is>
      </c>
      <c r="B217" s="1" t="n">
        <v>45359</v>
      </c>
      <c r="C217" s="1" t="n">
        <v>46011</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46011</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46225-2021</t>
        </is>
      </c>
      <c r="B219" s="1" t="n">
        <v>44442</v>
      </c>
      <c r="C219" s="1" t="n">
        <v>46011</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48962-2022</t>
        </is>
      </c>
      <c r="B220" s="1" t="n">
        <v>44860.31635416667</v>
      </c>
      <c r="C220" s="1" t="n">
        <v>46011</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54428-2022</t>
        </is>
      </c>
      <c r="B221" s="1" t="n">
        <v>44882.57643518518</v>
      </c>
      <c r="C221" s="1" t="n">
        <v>46011</v>
      </c>
      <c r="D221" t="inlineStr">
        <is>
          <t>ÖSTERGÖTLANDS LÄN</t>
        </is>
      </c>
      <c r="E221" t="inlineStr">
        <is>
          <t>LINKÖPING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53647-2021</t>
        </is>
      </c>
      <c r="B222" s="1" t="n">
        <v>44469</v>
      </c>
      <c r="C222" s="1" t="n">
        <v>46011</v>
      </c>
      <c r="D222" t="inlineStr">
        <is>
          <t>ÖSTERGÖTLANDS LÄN</t>
        </is>
      </c>
      <c r="E222" t="inlineStr">
        <is>
          <t>LINKÖPING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22772-2024</t>
        </is>
      </c>
      <c r="B223" s="1" t="n">
        <v>45448.46712962963</v>
      </c>
      <c r="C223" s="1" t="n">
        <v>46011</v>
      </c>
      <c r="D223" t="inlineStr">
        <is>
          <t>ÖSTERGÖTLANDS LÄN</t>
        </is>
      </c>
      <c r="E223" t="inlineStr">
        <is>
          <t>LINKÖPING</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18916-2024</t>
        </is>
      </c>
      <c r="B224" s="1" t="n">
        <v>45427.39541666667</v>
      </c>
      <c r="C224" s="1" t="n">
        <v>46011</v>
      </c>
      <c r="D224" t="inlineStr">
        <is>
          <t>ÖSTERGÖTLANDS LÄN</t>
        </is>
      </c>
      <c r="E224" t="inlineStr">
        <is>
          <t>LINKÖPING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11790-2024</t>
        </is>
      </c>
      <c r="B225" s="1" t="n">
        <v>45374</v>
      </c>
      <c r="C225" s="1" t="n">
        <v>46011</v>
      </c>
      <c r="D225" t="inlineStr">
        <is>
          <t>ÖSTERGÖTLANDS LÄN</t>
        </is>
      </c>
      <c r="E225" t="inlineStr">
        <is>
          <t>LINKÖPING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24586-2024</t>
        </is>
      </c>
      <c r="B226" s="1" t="n">
        <v>45460.46664351852</v>
      </c>
      <c r="C226" s="1" t="n">
        <v>46011</v>
      </c>
      <c r="D226" t="inlineStr">
        <is>
          <t>ÖSTERGÖTLANDS LÄN</t>
        </is>
      </c>
      <c r="E226" t="inlineStr">
        <is>
          <t>LINKÖPING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17124-2025</t>
        </is>
      </c>
      <c r="B227" s="1" t="n">
        <v>45755.69678240741</v>
      </c>
      <c r="C227" s="1" t="n">
        <v>46011</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17126-2025</t>
        </is>
      </c>
      <c r="B228" s="1" t="n">
        <v>45755.70814814815</v>
      </c>
      <c r="C228" s="1" t="n">
        <v>46011</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17143-2025</t>
        </is>
      </c>
      <c r="B229" s="1" t="n">
        <v>45755.92731481481</v>
      </c>
      <c r="C229" s="1" t="n">
        <v>46011</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16820-2024</t>
        </is>
      </c>
      <c r="B230" s="1" t="n">
        <v>45411.46809027778</v>
      </c>
      <c r="C230" s="1" t="n">
        <v>46011</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39017-2021</t>
        </is>
      </c>
      <c r="B231" s="1" t="n">
        <v>44412</v>
      </c>
      <c r="C231" s="1" t="n">
        <v>46011</v>
      </c>
      <c r="D231" t="inlineStr">
        <is>
          <t>ÖSTERGÖTLANDS LÄN</t>
        </is>
      </c>
      <c r="E231" t="inlineStr">
        <is>
          <t>LINKÖPING</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30980-2022</t>
        </is>
      </c>
      <c r="B232" s="1" t="n">
        <v>44768</v>
      </c>
      <c r="C232" s="1" t="n">
        <v>46011</v>
      </c>
      <c r="D232" t="inlineStr">
        <is>
          <t>ÖSTERGÖTLANDS LÄN</t>
        </is>
      </c>
      <c r="E232" t="inlineStr">
        <is>
          <t>LINKÖPING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49979-2022</t>
        </is>
      </c>
      <c r="B233" s="1" t="n">
        <v>44865</v>
      </c>
      <c r="C233" s="1" t="n">
        <v>46011</v>
      </c>
      <c r="D233" t="inlineStr">
        <is>
          <t>ÖSTERGÖTLANDS LÄN</t>
        </is>
      </c>
      <c r="E233" t="inlineStr">
        <is>
          <t>LINKÖPING</t>
        </is>
      </c>
      <c r="F233" t="inlineStr">
        <is>
          <t>Övriga Aktiebolag</t>
        </is>
      </c>
      <c r="G233" t="n">
        <v>11.4</v>
      </c>
      <c r="H233" t="n">
        <v>0</v>
      </c>
      <c r="I233" t="n">
        <v>0</v>
      </c>
      <c r="J233" t="n">
        <v>0</v>
      </c>
      <c r="K233" t="n">
        <v>0</v>
      </c>
      <c r="L233" t="n">
        <v>0</v>
      </c>
      <c r="M233" t="n">
        <v>0</v>
      </c>
      <c r="N233" t="n">
        <v>0</v>
      </c>
      <c r="O233" t="n">
        <v>0</v>
      </c>
      <c r="P233" t="n">
        <v>0</v>
      </c>
      <c r="Q233" t="n">
        <v>0</v>
      </c>
      <c r="R233" s="2" t="inlineStr"/>
    </row>
    <row r="234" ht="15" customHeight="1">
      <c r="A234" t="inlineStr">
        <is>
          <t>A 53827-2023</t>
        </is>
      </c>
      <c r="B234" s="1" t="n">
        <v>45230</v>
      </c>
      <c r="C234" s="1" t="n">
        <v>46011</v>
      </c>
      <c r="D234" t="inlineStr">
        <is>
          <t>ÖSTERGÖTLANDS LÄN</t>
        </is>
      </c>
      <c r="E234" t="inlineStr">
        <is>
          <t>LINKÖPING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45819-2024</t>
        </is>
      </c>
      <c r="B235" s="1" t="n">
        <v>45579.7454050926</v>
      </c>
      <c r="C235" s="1" t="n">
        <v>46011</v>
      </c>
      <c r="D235" t="inlineStr">
        <is>
          <t>ÖSTERGÖTLANDS LÄN</t>
        </is>
      </c>
      <c r="E235" t="inlineStr">
        <is>
          <t>LINKÖPING</t>
        </is>
      </c>
      <c r="G235" t="n">
        <v>5</v>
      </c>
      <c r="H235" t="n">
        <v>0</v>
      </c>
      <c r="I235" t="n">
        <v>0</v>
      </c>
      <c r="J235" t="n">
        <v>0</v>
      </c>
      <c r="K235" t="n">
        <v>0</v>
      </c>
      <c r="L235" t="n">
        <v>0</v>
      </c>
      <c r="M235" t="n">
        <v>0</v>
      </c>
      <c r="N235" t="n">
        <v>0</v>
      </c>
      <c r="O235" t="n">
        <v>0</v>
      </c>
      <c r="P235" t="n">
        <v>0</v>
      </c>
      <c r="Q235" t="n">
        <v>0</v>
      </c>
      <c r="R235" s="2" t="inlineStr"/>
    </row>
    <row r="236" ht="15" customHeight="1">
      <c r="A236" t="inlineStr">
        <is>
          <t>A 940-2023</t>
        </is>
      </c>
      <c r="B236" s="1" t="n">
        <v>44933</v>
      </c>
      <c r="C236" s="1" t="n">
        <v>46011</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3041-2024</t>
        </is>
      </c>
      <c r="B237" s="1" t="n">
        <v>45316.34875</v>
      </c>
      <c r="C237" s="1" t="n">
        <v>46011</v>
      </c>
      <c r="D237" t="inlineStr">
        <is>
          <t>ÖSTERGÖTLANDS LÄN</t>
        </is>
      </c>
      <c r="E237" t="inlineStr">
        <is>
          <t>LINKÖPING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24351-2024</t>
        </is>
      </c>
      <c r="B238" s="1" t="n">
        <v>45457.59011574074</v>
      </c>
      <c r="C238" s="1" t="n">
        <v>46011</v>
      </c>
      <c r="D238" t="inlineStr">
        <is>
          <t>ÖSTERGÖTLANDS LÄN</t>
        </is>
      </c>
      <c r="E238" t="inlineStr">
        <is>
          <t>LINKÖPING</t>
        </is>
      </c>
      <c r="G238" t="n">
        <v>11.9</v>
      </c>
      <c r="H238" t="n">
        <v>0</v>
      </c>
      <c r="I238" t="n">
        <v>0</v>
      </c>
      <c r="J238" t="n">
        <v>0</v>
      </c>
      <c r="K238" t="n">
        <v>0</v>
      </c>
      <c r="L238" t="n">
        <v>0</v>
      </c>
      <c r="M238" t="n">
        <v>0</v>
      </c>
      <c r="N238" t="n">
        <v>0</v>
      </c>
      <c r="O238" t="n">
        <v>0</v>
      </c>
      <c r="P238" t="n">
        <v>0</v>
      </c>
      <c r="Q238" t="n">
        <v>0</v>
      </c>
      <c r="R238" s="2" t="inlineStr"/>
    </row>
    <row r="239" ht="15" customHeight="1">
      <c r="A239" t="inlineStr">
        <is>
          <t>A 3530-2024</t>
        </is>
      </c>
      <c r="B239" s="1" t="n">
        <v>45320.54717592592</v>
      </c>
      <c r="C239" s="1" t="n">
        <v>46011</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7992-2023</t>
        </is>
      </c>
      <c r="B240" s="1" t="n">
        <v>44970</v>
      </c>
      <c r="C240" s="1" t="n">
        <v>46011</v>
      </c>
      <c r="D240" t="inlineStr">
        <is>
          <t>ÖSTERGÖTLANDS LÄN</t>
        </is>
      </c>
      <c r="E240" t="inlineStr">
        <is>
          <t>LINKÖPING</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48699-2024</t>
        </is>
      </c>
      <c r="B241" s="1" t="n">
        <v>45593.52091435185</v>
      </c>
      <c r="C241" s="1" t="n">
        <v>46011</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62501-2023</t>
        </is>
      </c>
      <c r="B242" s="1" t="n">
        <v>45268</v>
      </c>
      <c r="C242" s="1" t="n">
        <v>46011</v>
      </c>
      <c r="D242" t="inlineStr">
        <is>
          <t>ÖSTERGÖTLANDS LÄN</t>
        </is>
      </c>
      <c r="E242" t="inlineStr">
        <is>
          <t>LINKÖPING</t>
        </is>
      </c>
      <c r="G242" t="n">
        <v>7.4</v>
      </c>
      <c r="H242" t="n">
        <v>0</v>
      </c>
      <c r="I242" t="n">
        <v>0</v>
      </c>
      <c r="J242" t="n">
        <v>0</v>
      </c>
      <c r="K242" t="n">
        <v>0</v>
      </c>
      <c r="L242" t="n">
        <v>0</v>
      </c>
      <c r="M242" t="n">
        <v>0</v>
      </c>
      <c r="N242" t="n">
        <v>0</v>
      </c>
      <c r="O242" t="n">
        <v>0</v>
      </c>
      <c r="P242" t="n">
        <v>0</v>
      </c>
      <c r="Q242" t="n">
        <v>0</v>
      </c>
      <c r="R242" s="2" t="inlineStr"/>
    </row>
    <row r="243" ht="15" customHeight="1">
      <c r="A243" t="inlineStr">
        <is>
          <t>A 58947-2022</t>
        </is>
      </c>
      <c r="B243" s="1" t="n">
        <v>44903.64769675926</v>
      </c>
      <c r="C243" s="1" t="n">
        <v>46011</v>
      </c>
      <c r="D243" t="inlineStr">
        <is>
          <t>ÖSTERGÖTLANDS LÄN</t>
        </is>
      </c>
      <c r="E243" t="inlineStr">
        <is>
          <t>LINKÖPING</t>
        </is>
      </c>
      <c r="G243" t="n">
        <v>4</v>
      </c>
      <c r="H243" t="n">
        <v>0</v>
      </c>
      <c r="I243" t="n">
        <v>0</v>
      </c>
      <c r="J243" t="n">
        <v>0</v>
      </c>
      <c r="K243" t="n">
        <v>0</v>
      </c>
      <c r="L243" t="n">
        <v>0</v>
      </c>
      <c r="M243" t="n">
        <v>0</v>
      </c>
      <c r="N243" t="n">
        <v>0</v>
      </c>
      <c r="O243" t="n">
        <v>0</v>
      </c>
      <c r="P243" t="n">
        <v>0</v>
      </c>
      <c r="Q243" t="n">
        <v>0</v>
      </c>
      <c r="R243" s="2" t="inlineStr"/>
    </row>
    <row r="244" ht="15" customHeight="1">
      <c r="A244" t="inlineStr">
        <is>
          <t>A 3008-2023</t>
        </is>
      </c>
      <c r="B244" s="1" t="n">
        <v>44945.79784722222</v>
      </c>
      <c r="C244" s="1" t="n">
        <v>46011</v>
      </c>
      <c r="D244" t="inlineStr">
        <is>
          <t>ÖSTERGÖTLANDS LÄN</t>
        </is>
      </c>
      <c r="E244" t="inlineStr">
        <is>
          <t>LINKÖPING</t>
        </is>
      </c>
      <c r="G244" t="n">
        <v>19.3</v>
      </c>
      <c r="H244" t="n">
        <v>0</v>
      </c>
      <c r="I244" t="n">
        <v>0</v>
      </c>
      <c r="J244" t="n">
        <v>0</v>
      </c>
      <c r="K244" t="n">
        <v>0</v>
      </c>
      <c r="L244" t="n">
        <v>0</v>
      </c>
      <c r="M244" t="n">
        <v>0</v>
      </c>
      <c r="N244" t="n">
        <v>0</v>
      </c>
      <c r="O244" t="n">
        <v>0</v>
      </c>
      <c r="P244" t="n">
        <v>0</v>
      </c>
      <c r="Q244" t="n">
        <v>0</v>
      </c>
      <c r="R244" s="2" t="inlineStr"/>
    </row>
    <row r="245" ht="15" customHeight="1">
      <c r="A245" t="inlineStr">
        <is>
          <t>A 62686-2023</t>
        </is>
      </c>
      <c r="B245" s="1" t="n">
        <v>45271</v>
      </c>
      <c r="C245" s="1" t="n">
        <v>46011</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55345-2021</t>
        </is>
      </c>
      <c r="B246" s="1" t="n">
        <v>44475</v>
      </c>
      <c r="C246" s="1" t="n">
        <v>46011</v>
      </c>
      <c r="D246" t="inlineStr">
        <is>
          <t>ÖSTERGÖTLANDS LÄN</t>
        </is>
      </c>
      <c r="E246" t="inlineStr">
        <is>
          <t>LINKÖPING</t>
        </is>
      </c>
      <c r="G246" t="n">
        <v>5.7</v>
      </c>
      <c r="H246" t="n">
        <v>0</v>
      </c>
      <c r="I246" t="n">
        <v>0</v>
      </c>
      <c r="J246" t="n">
        <v>0</v>
      </c>
      <c r="K246" t="n">
        <v>0</v>
      </c>
      <c r="L246" t="n">
        <v>0</v>
      </c>
      <c r="M246" t="n">
        <v>0</v>
      </c>
      <c r="N246" t="n">
        <v>0</v>
      </c>
      <c r="O246" t="n">
        <v>0</v>
      </c>
      <c r="P246" t="n">
        <v>0</v>
      </c>
      <c r="Q246" t="n">
        <v>0</v>
      </c>
      <c r="R246" s="2" t="inlineStr"/>
    </row>
    <row r="247" ht="15" customHeight="1">
      <c r="A247" t="inlineStr">
        <is>
          <t>A 63489-2023</t>
        </is>
      </c>
      <c r="B247" s="1" t="n">
        <v>45274.66761574074</v>
      </c>
      <c r="C247" s="1" t="n">
        <v>46011</v>
      </c>
      <c r="D247" t="inlineStr">
        <is>
          <t>ÖSTERGÖTLANDS LÄN</t>
        </is>
      </c>
      <c r="E247" t="inlineStr">
        <is>
          <t>LINKÖPING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13911-2025</t>
        </is>
      </c>
      <c r="B248" s="1" t="n">
        <v>45737.64784722222</v>
      </c>
      <c r="C248" s="1" t="n">
        <v>46011</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55345-2021</t>
        </is>
      </c>
      <c r="B249" s="1" t="n">
        <v>44475</v>
      </c>
      <c r="C249" s="1" t="n">
        <v>46011</v>
      </c>
      <c r="D249" t="inlineStr">
        <is>
          <t>ÖSTERGÖTLANDS LÄN</t>
        </is>
      </c>
      <c r="E249" t="inlineStr">
        <is>
          <t>LINKÖPING</t>
        </is>
      </c>
      <c r="G249" t="n">
        <v>5.7</v>
      </c>
      <c r="H249" t="n">
        <v>0</v>
      </c>
      <c r="I249" t="n">
        <v>0</v>
      </c>
      <c r="J249" t="n">
        <v>0</v>
      </c>
      <c r="K249" t="n">
        <v>0</v>
      </c>
      <c r="L249" t="n">
        <v>0</v>
      </c>
      <c r="M249" t="n">
        <v>0</v>
      </c>
      <c r="N249" t="n">
        <v>0</v>
      </c>
      <c r="O249" t="n">
        <v>0</v>
      </c>
      <c r="P249" t="n">
        <v>0</v>
      </c>
      <c r="Q249" t="n">
        <v>0</v>
      </c>
      <c r="R249" s="2" t="inlineStr"/>
    </row>
    <row r="250" ht="15" customHeight="1">
      <c r="A250" t="inlineStr">
        <is>
          <t>A 70-2024</t>
        </is>
      </c>
      <c r="B250" s="1" t="n">
        <v>45293</v>
      </c>
      <c r="C250" s="1" t="n">
        <v>46011</v>
      </c>
      <c r="D250" t="inlineStr">
        <is>
          <t>ÖSTERGÖTLANDS LÄN</t>
        </is>
      </c>
      <c r="E250" t="inlineStr">
        <is>
          <t>LINKÖPING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23768-2025</t>
        </is>
      </c>
      <c r="B251" s="1" t="n">
        <v>45793.47493055555</v>
      </c>
      <c r="C251" s="1" t="n">
        <v>46011</v>
      </c>
      <c r="D251" t="inlineStr">
        <is>
          <t>ÖSTERGÖTLANDS LÄN</t>
        </is>
      </c>
      <c r="E251" t="inlineStr">
        <is>
          <t>LINKÖPING</t>
        </is>
      </c>
      <c r="G251" t="n">
        <v>3.4</v>
      </c>
      <c r="H251" t="n">
        <v>0</v>
      </c>
      <c r="I251" t="n">
        <v>0</v>
      </c>
      <c r="J251" t="n">
        <v>0</v>
      </c>
      <c r="K251" t="n">
        <v>0</v>
      </c>
      <c r="L251" t="n">
        <v>0</v>
      </c>
      <c r="M251" t="n">
        <v>0</v>
      </c>
      <c r="N251" t="n">
        <v>0</v>
      </c>
      <c r="O251" t="n">
        <v>0</v>
      </c>
      <c r="P251" t="n">
        <v>0</v>
      </c>
      <c r="Q251" t="n">
        <v>0</v>
      </c>
      <c r="R251" s="2" t="inlineStr"/>
    </row>
    <row r="252" ht="15" customHeight="1">
      <c r="A252" t="inlineStr">
        <is>
          <t>A 6782-2024</t>
        </is>
      </c>
      <c r="B252" s="1" t="n">
        <v>45342</v>
      </c>
      <c r="C252" s="1" t="n">
        <v>46011</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617-2024</t>
        </is>
      </c>
      <c r="B253" s="1" t="n">
        <v>45299.66028935185</v>
      </c>
      <c r="C253" s="1" t="n">
        <v>46011</v>
      </c>
      <c r="D253" t="inlineStr">
        <is>
          <t>ÖSTERGÖTLANDS LÄN</t>
        </is>
      </c>
      <c r="E253" t="inlineStr">
        <is>
          <t>LINKÖPING</t>
        </is>
      </c>
      <c r="G253" t="n">
        <v>1.4</v>
      </c>
      <c r="H253" t="n">
        <v>0</v>
      </c>
      <c r="I253" t="n">
        <v>0</v>
      </c>
      <c r="J253" t="n">
        <v>0</v>
      </c>
      <c r="K253" t="n">
        <v>0</v>
      </c>
      <c r="L253" t="n">
        <v>0</v>
      </c>
      <c r="M253" t="n">
        <v>0</v>
      </c>
      <c r="N253" t="n">
        <v>0</v>
      </c>
      <c r="O253" t="n">
        <v>0</v>
      </c>
      <c r="P253" t="n">
        <v>0</v>
      </c>
      <c r="Q253" t="n">
        <v>0</v>
      </c>
      <c r="R253" s="2" t="inlineStr"/>
    </row>
    <row r="254" ht="15" customHeight="1">
      <c r="A254" t="inlineStr">
        <is>
          <t>A 670-2024</t>
        </is>
      </c>
      <c r="B254" s="1" t="n">
        <v>45300.3408912037</v>
      </c>
      <c r="C254" s="1" t="n">
        <v>46011</v>
      </c>
      <c r="D254" t="inlineStr">
        <is>
          <t>ÖSTERGÖTLANDS LÄN</t>
        </is>
      </c>
      <c r="E254" t="inlineStr">
        <is>
          <t>LINKÖPING</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52125-2022</t>
        </is>
      </c>
      <c r="B255" s="1" t="n">
        <v>44873</v>
      </c>
      <c r="C255" s="1" t="n">
        <v>46011</v>
      </c>
      <c r="D255" t="inlineStr">
        <is>
          <t>ÖSTERGÖTLANDS LÄN</t>
        </is>
      </c>
      <c r="E255" t="inlineStr">
        <is>
          <t>LINKÖPING</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61281-2021</t>
        </is>
      </c>
      <c r="B256" s="1" t="n">
        <v>44498.60736111111</v>
      </c>
      <c r="C256" s="1" t="n">
        <v>46011</v>
      </c>
      <c r="D256" t="inlineStr">
        <is>
          <t>ÖSTERGÖTLANDS LÄN</t>
        </is>
      </c>
      <c r="E256" t="inlineStr">
        <is>
          <t>LINKÖPING</t>
        </is>
      </c>
      <c r="G256" t="n">
        <v>4.5</v>
      </c>
      <c r="H256" t="n">
        <v>0</v>
      </c>
      <c r="I256" t="n">
        <v>0</v>
      </c>
      <c r="J256" t="n">
        <v>0</v>
      </c>
      <c r="K256" t="n">
        <v>0</v>
      </c>
      <c r="L256" t="n">
        <v>0</v>
      </c>
      <c r="M256" t="n">
        <v>0</v>
      </c>
      <c r="N256" t="n">
        <v>0</v>
      </c>
      <c r="O256" t="n">
        <v>0</v>
      </c>
      <c r="P256" t="n">
        <v>0</v>
      </c>
      <c r="Q256" t="n">
        <v>0</v>
      </c>
      <c r="R256" s="2" t="inlineStr"/>
    </row>
    <row r="257" ht="15" customHeight="1">
      <c r="A257" t="inlineStr">
        <is>
          <t>A 1084-2023</t>
        </is>
      </c>
      <c r="B257" s="1" t="n">
        <v>44929</v>
      </c>
      <c r="C257" s="1" t="n">
        <v>46011</v>
      </c>
      <c r="D257" t="inlineStr">
        <is>
          <t>ÖSTERGÖTLANDS LÄN</t>
        </is>
      </c>
      <c r="E257" t="inlineStr">
        <is>
          <t>LINKÖPING</t>
        </is>
      </c>
      <c r="G257" t="n">
        <v>10.4</v>
      </c>
      <c r="H257" t="n">
        <v>0</v>
      </c>
      <c r="I257" t="n">
        <v>0</v>
      </c>
      <c r="J257" t="n">
        <v>0</v>
      </c>
      <c r="K257" t="n">
        <v>0</v>
      </c>
      <c r="L257" t="n">
        <v>0</v>
      </c>
      <c r="M257" t="n">
        <v>0</v>
      </c>
      <c r="N257" t="n">
        <v>0</v>
      </c>
      <c r="O257" t="n">
        <v>0</v>
      </c>
      <c r="P257" t="n">
        <v>0</v>
      </c>
      <c r="Q257" t="n">
        <v>0</v>
      </c>
      <c r="R257" s="2" t="inlineStr"/>
    </row>
    <row r="258" ht="15" customHeight="1">
      <c r="A258" t="inlineStr">
        <is>
          <t>A 63935-2021</t>
        </is>
      </c>
      <c r="B258" s="1" t="n">
        <v>44509</v>
      </c>
      <c r="C258" s="1" t="n">
        <v>46011</v>
      </c>
      <c r="D258" t="inlineStr">
        <is>
          <t>ÖSTERGÖTLANDS LÄN</t>
        </is>
      </c>
      <c r="E258" t="inlineStr">
        <is>
          <t>LINKÖPING</t>
        </is>
      </c>
      <c r="F258" t="inlineStr">
        <is>
          <t>Övriga statliga verk och myndigheter</t>
        </is>
      </c>
      <c r="G258" t="n">
        <v>2.8</v>
      </c>
      <c r="H258" t="n">
        <v>0</v>
      </c>
      <c r="I258" t="n">
        <v>0</v>
      </c>
      <c r="J258" t="n">
        <v>0</v>
      </c>
      <c r="K258" t="n">
        <v>0</v>
      </c>
      <c r="L258" t="n">
        <v>0</v>
      </c>
      <c r="M258" t="n">
        <v>0</v>
      </c>
      <c r="N258" t="n">
        <v>0</v>
      </c>
      <c r="O258" t="n">
        <v>0</v>
      </c>
      <c r="P258" t="n">
        <v>0</v>
      </c>
      <c r="Q258" t="n">
        <v>0</v>
      </c>
      <c r="R258" s="2" t="inlineStr"/>
    </row>
    <row r="259" ht="15" customHeight="1">
      <c r="A259" t="inlineStr">
        <is>
          <t>A 25292-2021</t>
        </is>
      </c>
      <c r="B259" s="1" t="n">
        <v>44342</v>
      </c>
      <c r="C259" s="1" t="n">
        <v>46011</v>
      </c>
      <c r="D259" t="inlineStr">
        <is>
          <t>ÖSTERGÖTLANDS LÄN</t>
        </is>
      </c>
      <c r="E259" t="inlineStr">
        <is>
          <t>LINKÖPING</t>
        </is>
      </c>
      <c r="F259" t="inlineStr">
        <is>
          <t>Övriga Aktiebolag</t>
        </is>
      </c>
      <c r="G259" t="n">
        <v>12.8</v>
      </c>
      <c r="H259" t="n">
        <v>0</v>
      </c>
      <c r="I259" t="n">
        <v>0</v>
      </c>
      <c r="J259" t="n">
        <v>0</v>
      </c>
      <c r="K259" t="n">
        <v>0</v>
      </c>
      <c r="L259" t="n">
        <v>0</v>
      </c>
      <c r="M259" t="n">
        <v>0</v>
      </c>
      <c r="N259" t="n">
        <v>0</v>
      </c>
      <c r="O259" t="n">
        <v>0</v>
      </c>
      <c r="P259" t="n">
        <v>0</v>
      </c>
      <c r="Q259" t="n">
        <v>0</v>
      </c>
      <c r="R259" s="2" t="inlineStr"/>
    </row>
    <row r="260" ht="15" customHeight="1">
      <c r="A260" t="inlineStr">
        <is>
          <t>A 29859-2024</t>
        </is>
      </c>
      <c r="B260" s="1" t="n">
        <v>45485.6846412037</v>
      </c>
      <c r="C260" s="1" t="n">
        <v>46011</v>
      </c>
      <c r="D260" t="inlineStr">
        <is>
          <t>ÖSTERGÖTLANDS LÄN</t>
        </is>
      </c>
      <c r="E260" t="inlineStr">
        <is>
          <t>LINKÖPING</t>
        </is>
      </c>
      <c r="G260" t="n">
        <v>0.4</v>
      </c>
      <c r="H260" t="n">
        <v>0</v>
      </c>
      <c r="I260" t="n">
        <v>0</v>
      </c>
      <c r="J260" t="n">
        <v>0</v>
      </c>
      <c r="K260" t="n">
        <v>0</v>
      </c>
      <c r="L260" t="n">
        <v>0</v>
      </c>
      <c r="M260" t="n">
        <v>0</v>
      </c>
      <c r="N260" t="n">
        <v>0</v>
      </c>
      <c r="O260" t="n">
        <v>0</v>
      </c>
      <c r="P260" t="n">
        <v>0</v>
      </c>
      <c r="Q260" t="n">
        <v>0</v>
      </c>
      <c r="R260" s="2" t="inlineStr"/>
    </row>
    <row r="261" ht="15" customHeight="1">
      <c r="A261" t="inlineStr">
        <is>
          <t>A 51571-2024</t>
        </is>
      </c>
      <c r="B261" s="1" t="n">
        <v>45604</v>
      </c>
      <c r="C261" s="1" t="n">
        <v>46011</v>
      </c>
      <c r="D261" t="inlineStr">
        <is>
          <t>ÖSTERGÖTLANDS LÄN</t>
        </is>
      </c>
      <c r="E261" t="inlineStr">
        <is>
          <t>LINKÖPING</t>
        </is>
      </c>
      <c r="F261" t="inlineStr">
        <is>
          <t>Övriga Aktiebolag</t>
        </is>
      </c>
      <c r="G261" t="n">
        <v>1.4</v>
      </c>
      <c r="H261" t="n">
        <v>0</v>
      </c>
      <c r="I261" t="n">
        <v>0</v>
      </c>
      <c r="J261" t="n">
        <v>0</v>
      </c>
      <c r="K261" t="n">
        <v>0</v>
      </c>
      <c r="L261" t="n">
        <v>0</v>
      </c>
      <c r="M261" t="n">
        <v>0</v>
      </c>
      <c r="N261" t="n">
        <v>0</v>
      </c>
      <c r="O261" t="n">
        <v>0</v>
      </c>
      <c r="P261" t="n">
        <v>0</v>
      </c>
      <c r="Q261" t="n">
        <v>0</v>
      </c>
      <c r="R261" s="2" t="inlineStr"/>
    </row>
    <row r="262" ht="15" customHeight="1">
      <c r="A262" t="inlineStr">
        <is>
          <t>A 223-2024</t>
        </is>
      </c>
      <c r="B262" s="1" t="n">
        <v>45294.72739583333</v>
      </c>
      <c r="C262" s="1" t="n">
        <v>46011</v>
      </c>
      <c r="D262" t="inlineStr">
        <is>
          <t>ÖSTERGÖTLANDS LÄN</t>
        </is>
      </c>
      <c r="E262" t="inlineStr">
        <is>
          <t>LINKÖPING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227-2024</t>
        </is>
      </c>
      <c r="B263" s="1" t="n">
        <v>45294.73603009259</v>
      </c>
      <c r="C263" s="1" t="n">
        <v>46011</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44280-2024</t>
        </is>
      </c>
      <c r="B264" s="1" t="n">
        <v>45573.49461805556</v>
      </c>
      <c r="C264" s="1" t="n">
        <v>46011</v>
      </c>
      <c r="D264" t="inlineStr">
        <is>
          <t>ÖSTERGÖTLANDS LÄN</t>
        </is>
      </c>
      <c r="E264" t="inlineStr">
        <is>
          <t>LINKÖPING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56917-2022</t>
        </is>
      </c>
      <c r="B265" s="1" t="n">
        <v>44894</v>
      </c>
      <c r="C265" s="1" t="n">
        <v>46011</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39074-2025</t>
        </is>
      </c>
      <c r="B266" s="1" t="n">
        <v>45888</v>
      </c>
      <c r="C266" s="1" t="n">
        <v>46011</v>
      </c>
      <c r="D266" t="inlineStr">
        <is>
          <t>ÖSTERGÖTLANDS LÄN</t>
        </is>
      </c>
      <c r="E266" t="inlineStr">
        <is>
          <t>LINKÖPING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1265-2023</t>
        </is>
      </c>
      <c r="B267" s="1" t="n">
        <v>44936</v>
      </c>
      <c r="C267" s="1" t="n">
        <v>46011</v>
      </c>
      <c r="D267" t="inlineStr">
        <is>
          <t>ÖSTERGÖTLANDS LÄN</t>
        </is>
      </c>
      <c r="E267" t="inlineStr">
        <is>
          <t>LINKÖPING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1362-2023</t>
        </is>
      </c>
      <c r="B268" s="1" t="n">
        <v>44931</v>
      </c>
      <c r="C268" s="1" t="n">
        <v>46011</v>
      </c>
      <c r="D268" t="inlineStr">
        <is>
          <t>ÖSTERGÖTLANDS LÄN</t>
        </is>
      </c>
      <c r="E268" t="inlineStr">
        <is>
          <t>LINKÖPING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54034-2022</t>
        </is>
      </c>
      <c r="B269" s="1" t="n">
        <v>44881</v>
      </c>
      <c r="C269" s="1" t="n">
        <v>46011</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55493-2021</t>
        </is>
      </c>
      <c r="B270" s="1" t="n">
        <v>44475.61988425926</v>
      </c>
      <c r="C270" s="1" t="n">
        <v>46011</v>
      </c>
      <c r="D270" t="inlineStr">
        <is>
          <t>ÖSTERGÖTLANDS LÄN</t>
        </is>
      </c>
      <c r="E270" t="inlineStr">
        <is>
          <t>LINKÖPING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25996-2025</t>
        </is>
      </c>
      <c r="B271" s="1" t="n">
        <v>45804.65851851852</v>
      </c>
      <c r="C271" s="1" t="n">
        <v>46011</v>
      </c>
      <c r="D271" t="inlineStr">
        <is>
          <t>ÖSTERGÖTLANDS LÄN</t>
        </is>
      </c>
      <c r="E271" t="inlineStr">
        <is>
          <t>LINKÖPING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38971-2025</t>
        </is>
      </c>
      <c r="B272" s="1" t="n">
        <v>45887.71827546296</v>
      </c>
      <c r="C272" s="1" t="n">
        <v>46011</v>
      </c>
      <c r="D272" t="inlineStr">
        <is>
          <t>ÖSTERGÖTLANDS LÄN</t>
        </is>
      </c>
      <c r="E272" t="inlineStr">
        <is>
          <t>LINKÖPING</t>
        </is>
      </c>
      <c r="G272" t="n">
        <v>3.9</v>
      </c>
      <c r="H272" t="n">
        <v>0</v>
      </c>
      <c r="I272" t="n">
        <v>0</v>
      </c>
      <c r="J272" t="n">
        <v>0</v>
      </c>
      <c r="K272" t="n">
        <v>0</v>
      </c>
      <c r="L272" t="n">
        <v>0</v>
      </c>
      <c r="M272" t="n">
        <v>0</v>
      </c>
      <c r="N272" t="n">
        <v>0</v>
      </c>
      <c r="O272" t="n">
        <v>0</v>
      </c>
      <c r="P272" t="n">
        <v>0</v>
      </c>
      <c r="Q272" t="n">
        <v>0</v>
      </c>
      <c r="R272" s="2" t="inlineStr"/>
    </row>
    <row r="273" ht="15" customHeight="1">
      <c r="A273" t="inlineStr">
        <is>
          <t>A 6054-2022</t>
        </is>
      </c>
      <c r="B273" s="1" t="n">
        <v>44599.53623842593</v>
      </c>
      <c r="C273" s="1" t="n">
        <v>46011</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72567-2021</t>
        </is>
      </c>
      <c r="B274" s="1" t="n">
        <v>44546.45023148148</v>
      </c>
      <c r="C274" s="1" t="n">
        <v>46011</v>
      </c>
      <c r="D274" t="inlineStr">
        <is>
          <t>ÖSTERGÖTLANDS LÄN</t>
        </is>
      </c>
      <c r="E274" t="inlineStr">
        <is>
          <t>LINKÖPING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25119-2023</t>
        </is>
      </c>
      <c r="B275" s="1" t="n">
        <v>45086.42326388889</v>
      </c>
      <c r="C275" s="1" t="n">
        <v>46011</v>
      </c>
      <c r="D275" t="inlineStr">
        <is>
          <t>ÖSTERGÖTLANDS LÄN</t>
        </is>
      </c>
      <c r="E275" t="inlineStr">
        <is>
          <t>LINKÖPING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26002-2025</t>
        </is>
      </c>
      <c r="B276" s="1" t="n">
        <v>45804.66534722222</v>
      </c>
      <c r="C276" s="1" t="n">
        <v>46011</v>
      </c>
      <c r="D276" t="inlineStr">
        <is>
          <t>ÖSTERGÖTLANDS LÄN</t>
        </is>
      </c>
      <c r="E276" t="inlineStr">
        <is>
          <t>LINKÖPING</t>
        </is>
      </c>
      <c r="G276" t="n">
        <v>2.5</v>
      </c>
      <c r="H276" t="n">
        <v>0</v>
      </c>
      <c r="I276" t="n">
        <v>0</v>
      </c>
      <c r="J276" t="n">
        <v>0</v>
      </c>
      <c r="K276" t="n">
        <v>0</v>
      </c>
      <c r="L276" t="n">
        <v>0</v>
      </c>
      <c r="M276" t="n">
        <v>0</v>
      </c>
      <c r="N276" t="n">
        <v>0</v>
      </c>
      <c r="O276" t="n">
        <v>0</v>
      </c>
      <c r="P276" t="n">
        <v>0</v>
      </c>
      <c r="Q276" t="n">
        <v>0</v>
      </c>
      <c r="R276" s="2" t="inlineStr"/>
    </row>
    <row r="277" ht="15" customHeight="1">
      <c r="A277" t="inlineStr">
        <is>
          <t>A 4456-2024</t>
        </is>
      </c>
      <c r="B277" s="1" t="n">
        <v>45327.52847222222</v>
      </c>
      <c r="C277" s="1" t="n">
        <v>46011</v>
      </c>
      <c r="D277" t="inlineStr">
        <is>
          <t>ÖSTERGÖTLANDS LÄN</t>
        </is>
      </c>
      <c r="E277" t="inlineStr">
        <is>
          <t>LINKÖPING</t>
        </is>
      </c>
      <c r="G277" t="n">
        <v>2.7</v>
      </c>
      <c r="H277" t="n">
        <v>0</v>
      </c>
      <c r="I277" t="n">
        <v>0</v>
      </c>
      <c r="J277" t="n">
        <v>0</v>
      </c>
      <c r="K277" t="n">
        <v>0</v>
      </c>
      <c r="L277" t="n">
        <v>0</v>
      </c>
      <c r="M277" t="n">
        <v>0</v>
      </c>
      <c r="N277" t="n">
        <v>0</v>
      </c>
      <c r="O277" t="n">
        <v>0</v>
      </c>
      <c r="P277" t="n">
        <v>0</v>
      </c>
      <c r="Q277" t="n">
        <v>0</v>
      </c>
      <c r="R277" s="2" t="inlineStr"/>
    </row>
    <row r="278" ht="15" customHeight="1">
      <c r="A278" t="inlineStr">
        <is>
          <t>A 27264-2025</t>
        </is>
      </c>
      <c r="B278" s="1" t="n">
        <v>45812.4794212963</v>
      </c>
      <c r="C278" s="1" t="n">
        <v>46011</v>
      </c>
      <c r="D278" t="inlineStr">
        <is>
          <t>ÖSTERGÖTLANDS LÄN</t>
        </is>
      </c>
      <c r="E278" t="inlineStr">
        <is>
          <t>LINKÖPING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58114-2021</t>
        </is>
      </c>
      <c r="B279" s="1" t="n">
        <v>44487</v>
      </c>
      <c r="C279" s="1" t="n">
        <v>46011</v>
      </c>
      <c r="D279" t="inlineStr">
        <is>
          <t>ÖSTERGÖTLANDS LÄN</t>
        </is>
      </c>
      <c r="E279" t="inlineStr">
        <is>
          <t>LINKÖPING</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39438-2025</t>
        </is>
      </c>
      <c r="B280" s="1" t="n">
        <v>45889.68641203704</v>
      </c>
      <c r="C280" s="1" t="n">
        <v>46011</v>
      </c>
      <c r="D280" t="inlineStr">
        <is>
          <t>ÖSTERGÖTLANDS LÄN</t>
        </is>
      </c>
      <c r="E280" t="inlineStr">
        <is>
          <t>LINKÖPING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52892-2024</t>
        </is>
      </c>
      <c r="B281" s="1" t="n">
        <v>45610</v>
      </c>
      <c r="C281" s="1" t="n">
        <v>46011</v>
      </c>
      <c r="D281" t="inlineStr">
        <is>
          <t>ÖSTERGÖTLANDS LÄN</t>
        </is>
      </c>
      <c r="E281" t="inlineStr">
        <is>
          <t>LINKÖPING</t>
        </is>
      </c>
      <c r="G281" t="n">
        <v>4.2</v>
      </c>
      <c r="H281" t="n">
        <v>0</v>
      </c>
      <c r="I281" t="n">
        <v>0</v>
      </c>
      <c r="J281" t="n">
        <v>0</v>
      </c>
      <c r="K281" t="n">
        <v>0</v>
      </c>
      <c r="L281" t="n">
        <v>0</v>
      </c>
      <c r="M281" t="n">
        <v>0</v>
      </c>
      <c r="N281" t="n">
        <v>0</v>
      </c>
      <c r="O281" t="n">
        <v>0</v>
      </c>
      <c r="P281" t="n">
        <v>0</v>
      </c>
      <c r="Q281" t="n">
        <v>0</v>
      </c>
      <c r="R281" s="2" t="inlineStr"/>
    </row>
    <row r="282" ht="15" customHeight="1">
      <c r="A282" t="inlineStr">
        <is>
          <t>A 3008-2023</t>
        </is>
      </c>
      <c r="B282" s="1" t="n">
        <v>44945.79784722222</v>
      </c>
      <c r="C282" s="1" t="n">
        <v>46011</v>
      </c>
      <c r="D282" t="inlineStr">
        <is>
          <t>ÖSTERGÖTLANDS LÄN</t>
        </is>
      </c>
      <c r="E282" t="inlineStr">
        <is>
          <t>LINKÖPING</t>
        </is>
      </c>
      <c r="G282" t="n">
        <v>19.3</v>
      </c>
      <c r="H282" t="n">
        <v>0</v>
      </c>
      <c r="I282" t="n">
        <v>0</v>
      </c>
      <c r="J282" t="n">
        <v>0</v>
      </c>
      <c r="K282" t="n">
        <v>0</v>
      </c>
      <c r="L282" t="n">
        <v>0</v>
      </c>
      <c r="M282" t="n">
        <v>0</v>
      </c>
      <c r="N282" t="n">
        <v>0</v>
      </c>
      <c r="O282" t="n">
        <v>0</v>
      </c>
      <c r="P282" t="n">
        <v>0</v>
      </c>
      <c r="Q282" t="n">
        <v>0</v>
      </c>
      <c r="R282" s="2" t="inlineStr"/>
    </row>
    <row r="283" ht="15" customHeight="1">
      <c r="A283" t="inlineStr">
        <is>
          <t>A 40169-2025</t>
        </is>
      </c>
      <c r="B283" s="1" t="n">
        <v>45894.62824074074</v>
      </c>
      <c r="C283" s="1" t="n">
        <v>46011</v>
      </c>
      <c r="D283" t="inlineStr">
        <is>
          <t>ÖSTERGÖTLANDS LÄN</t>
        </is>
      </c>
      <c r="E283" t="inlineStr">
        <is>
          <t>LINKÖPING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55736-2022</t>
        </is>
      </c>
      <c r="B284" s="1" t="n">
        <v>44888</v>
      </c>
      <c r="C284" s="1" t="n">
        <v>46011</v>
      </c>
      <c r="D284" t="inlineStr">
        <is>
          <t>ÖSTERGÖTLANDS LÄN</t>
        </is>
      </c>
      <c r="E284" t="inlineStr">
        <is>
          <t>LINKÖPING</t>
        </is>
      </c>
      <c r="G284" t="n">
        <v>5.5</v>
      </c>
      <c r="H284" t="n">
        <v>0</v>
      </c>
      <c r="I284" t="n">
        <v>0</v>
      </c>
      <c r="J284" t="n">
        <v>0</v>
      </c>
      <c r="K284" t="n">
        <v>0</v>
      </c>
      <c r="L284" t="n">
        <v>0</v>
      </c>
      <c r="M284" t="n">
        <v>0</v>
      </c>
      <c r="N284" t="n">
        <v>0</v>
      </c>
      <c r="O284" t="n">
        <v>0</v>
      </c>
      <c r="P284" t="n">
        <v>0</v>
      </c>
      <c r="Q284" t="n">
        <v>0</v>
      </c>
      <c r="R284" s="2" t="inlineStr"/>
    </row>
    <row r="285" ht="15" customHeight="1">
      <c r="A285" t="inlineStr">
        <is>
          <t>A 30434-2024</t>
        </is>
      </c>
      <c r="B285" s="1" t="n">
        <v>45491.69811342593</v>
      </c>
      <c r="C285" s="1" t="n">
        <v>46011</v>
      </c>
      <c r="D285" t="inlineStr">
        <is>
          <t>ÖSTERGÖTLANDS LÄN</t>
        </is>
      </c>
      <c r="E285" t="inlineStr">
        <is>
          <t>LINKÖPING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11084-2022</t>
        </is>
      </c>
      <c r="B286" s="1" t="n">
        <v>44628</v>
      </c>
      <c r="C286" s="1" t="n">
        <v>46011</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57745-2022</t>
        </is>
      </c>
      <c r="B287" s="1" t="n">
        <v>44897.58119212963</v>
      </c>
      <c r="C287" s="1" t="n">
        <v>46011</v>
      </c>
      <c r="D287" t="inlineStr">
        <is>
          <t>ÖSTERGÖTLANDS LÄN</t>
        </is>
      </c>
      <c r="E287" t="inlineStr">
        <is>
          <t>LINKÖPING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28200-2025</t>
        </is>
      </c>
      <c r="B288" s="1" t="n">
        <v>45818.4428125</v>
      </c>
      <c r="C288" s="1" t="n">
        <v>46011</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14520-2025</t>
        </is>
      </c>
      <c r="B289" s="1" t="n">
        <v>45741</v>
      </c>
      <c r="C289" s="1" t="n">
        <v>46011</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41706-2025</t>
        </is>
      </c>
      <c r="B290" s="1" t="n">
        <v>45902.42209490741</v>
      </c>
      <c r="C290" s="1" t="n">
        <v>46011</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27950-2025</t>
        </is>
      </c>
      <c r="B291" s="1" t="n">
        <v>45817.52960648148</v>
      </c>
      <c r="C291" s="1" t="n">
        <v>46011</v>
      </c>
      <c r="D291" t="inlineStr">
        <is>
          <t>ÖSTERGÖTLANDS LÄN</t>
        </is>
      </c>
      <c r="E291" t="inlineStr">
        <is>
          <t>LINKÖPING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27797-2025</t>
        </is>
      </c>
      <c r="B292" s="1" t="n">
        <v>45816.80521990741</v>
      </c>
      <c r="C292" s="1" t="n">
        <v>46011</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27798-2025</t>
        </is>
      </c>
      <c r="B293" s="1" t="n">
        <v>45816.81532407407</v>
      </c>
      <c r="C293" s="1" t="n">
        <v>46011</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28209-2025</t>
        </is>
      </c>
      <c r="B294" s="1" t="n">
        <v>45818.45112268518</v>
      </c>
      <c r="C294" s="1" t="n">
        <v>46011</v>
      </c>
      <c r="D294" t="inlineStr">
        <is>
          <t>ÖSTERGÖTLANDS LÄN</t>
        </is>
      </c>
      <c r="E294" t="inlineStr">
        <is>
          <t>LINKÖPING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56064-2022</t>
        </is>
      </c>
      <c r="B295" s="1" t="n">
        <v>44889.59107638889</v>
      </c>
      <c r="C295" s="1" t="n">
        <v>46011</v>
      </c>
      <c r="D295" t="inlineStr">
        <is>
          <t>ÖSTERGÖTLANDS LÄN</t>
        </is>
      </c>
      <c r="E295" t="inlineStr">
        <is>
          <t>LINKÖPING</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28204-2025</t>
        </is>
      </c>
      <c r="B296" s="1" t="n">
        <v>45818.4477662037</v>
      </c>
      <c r="C296" s="1" t="n">
        <v>46011</v>
      </c>
      <c r="D296" t="inlineStr">
        <is>
          <t>ÖSTERGÖTLANDS LÄN</t>
        </is>
      </c>
      <c r="E296" t="inlineStr">
        <is>
          <t>LINKÖPING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40502-2024</t>
        </is>
      </c>
      <c r="B297" s="1" t="n">
        <v>45555.57263888889</v>
      </c>
      <c r="C297" s="1" t="n">
        <v>46011</v>
      </c>
      <c r="D297" t="inlineStr">
        <is>
          <t>ÖSTERGÖTLANDS LÄN</t>
        </is>
      </c>
      <c r="E297" t="inlineStr">
        <is>
          <t>LINKÖPING</t>
        </is>
      </c>
      <c r="F297" t="inlineStr">
        <is>
          <t>Allmännings- och besparingsskogar</t>
        </is>
      </c>
      <c r="G297" t="n">
        <v>17.5</v>
      </c>
      <c r="H297" t="n">
        <v>0</v>
      </c>
      <c r="I297" t="n">
        <v>0</v>
      </c>
      <c r="J297" t="n">
        <v>0</v>
      </c>
      <c r="K297" t="n">
        <v>0</v>
      </c>
      <c r="L297" t="n">
        <v>0</v>
      </c>
      <c r="M297" t="n">
        <v>0</v>
      </c>
      <c r="N297" t="n">
        <v>0</v>
      </c>
      <c r="O297" t="n">
        <v>0</v>
      </c>
      <c r="P297" t="n">
        <v>0</v>
      </c>
      <c r="Q297" t="n">
        <v>0</v>
      </c>
      <c r="R297" s="2" t="inlineStr"/>
    </row>
    <row r="298" ht="15" customHeight="1">
      <c r="A298" t="inlineStr">
        <is>
          <t>A 41511-2025</t>
        </is>
      </c>
      <c r="B298" s="1" t="n">
        <v>45901.53839120371</v>
      </c>
      <c r="C298" s="1" t="n">
        <v>46011</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28398-2025</t>
        </is>
      </c>
      <c r="B299" s="1" t="n">
        <v>45819.34208333334</v>
      </c>
      <c r="C299" s="1" t="n">
        <v>46011</v>
      </c>
      <c r="D299" t="inlineStr">
        <is>
          <t>ÖSTERGÖTLANDS LÄN</t>
        </is>
      </c>
      <c r="E299" t="inlineStr">
        <is>
          <t>LINKÖPING</t>
        </is>
      </c>
      <c r="F299" t="inlineStr">
        <is>
          <t>Sveaskog</t>
        </is>
      </c>
      <c r="G299" t="n">
        <v>7.9</v>
      </c>
      <c r="H299" t="n">
        <v>0</v>
      </c>
      <c r="I299" t="n">
        <v>0</v>
      </c>
      <c r="J299" t="n">
        <v>0</v>
      </c>
      <c r="K299" t="n">
        <v>0</v>
      </c>
      <c r="L299" t="n">
        <v>0</v>
      </c>
      <c r="M299" t="n">
        <v>0</v>
      </c>
      <c r="N299" t="n">
        <v>0</v>
      </c>
      <c r="O299" t="n">
        <v>0</v>
      </c>
      <c r="P299" t="n">
        <v>0</v>
      </c>
      <c r="Q299" t="n">
        <v>0</v>
      </c>
      <c r="R299" s="2" t="inlineStr"/>
    </row>
    <row r="300" ht="15" customHeight="1">
      <c r="A300" t="inlineStr">
        <is>
          <t>A 3042-2024</t>
        </is>
      </c>
      <c r="B300" s="1" t="n">
        <v>45316.35028935185</v>
      </c>
      <c r="C300" s="1" t="n">
        <v>46011</v>
      </c>
      <c r="D300" t="inlineStr">
        <is>
          <t>ÖSTERGÖTLANDS LÄN</t>
        </is>
      </c>
      <c r="E300" t="inlineStr">
        <is>
          <t>LINKÖPING</t>
        </is>
      </c>
      <c r="G300" t="n">
        <v>3.1</v>
      </c>
      <c r="H300" t="n">
        <v>0</v>
      </c>
      <c r="I300" t="n">
        <v>0</v>
      </c>
      <c r="J300" t="n">
        <v>0</v>
      </c>
      <c r="K300" t="n">
        <v>0</v>
      </c>
      <c r="L300" t="n">
        <v>0</v>
      </c>
      <c r="M300" t="n">
        <v>0</v>
      </c>
      <c r="N300" t="n">
        <v>0</v>
      </c>
      <c r="O300" t="n">
        <v>0</v>
      </c>
      <c r="P300" t="n">
        <v>0</v>
      </c>
      <c r="Q300" t="n">
        <v>0</v>
      </c>
      <c r="R300" s="2" t="inlineStr"/>
    </row>
    <row r="301" ht="15" customHeight="1">
      <c r="A301" t="inlineStr">
        <is>
          <t>A 29293-2025</t>
        </is>
      </c>
      <c r="B301" s="1" t="n">
        <v>45824</v>
      </c>
      <c r="C301" s="1" t="n">
        <v>46011</v>
      </c>
      <c r="D301" t="inlineStr">
        <is>
          <t>ÖSTERGÖTLANDS LÄN</t>
        </is>
      </c>
      <c r="E301" t="inlineStr">
        <is>
          <t>LINKÖPING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28416-2025</t>
        </is>
      </c>
      <c r="B302" s="1" t="n">
        <v>45819.35346064815</v>
      </c>
      <c r="C302" s="1" t="n">
        <v>46011</v>
      </c>
      <c r="D302" t="inlineStr">
        <is>
          <t>ÖSTERGÖTLANDS LÄN</t>
        </is>
      </c>
      <c r="E302" t="inlineStr">
        <is>
          <t>LINKÖPING</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44155-2024</t>
        </is>
      </c>
      <c r="B303" s="1" t="n">
        <v>45572.68226851852</v>
      </c>
      <c r="C303" s="1" t="n">
        <v>46011</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29027-2025</t>
        </is>
      </c>
      <c r="B304" s="1" t="n">
        <v>45821.4375462963</v>
      </c>
      <c r="C304" s="1" t="n">
        <v>46011</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29393-2025</t>
        </is>
      </c>
      <c r="B305" s="1" t="n">
        <v>45824.6057175926</v>
      </c>
      <c r="C305" s="1" t="n">
        <v>46011</v>
      </c>
      <c r="D305" t="inlineStr">
        <is>
          <t>ÖSTERGÖTLANDS LÄN</t>
        </is>
      </c>
      <c r="E305" t="inlineStr">
        <is>
          <t>LINKÖPING</t>
        </is>
      </c>
      <c r="F305" t="inlineStr">
        <is>
          <t>Sveaskog</t>
        </is>
      </c>
      <c r="G305" t="n">
        <v>24.6</v>
      </c>
      <c r="H305" t="n">
        <v>0</v>
      </c>
      <c r="I305" t="n">
        <v>0</v>
      </c>
      <c r="J305" t="n">
        <v>0</v>
      </c>
      <c r="K305" t="n">
        <v>0</v>
      </c>
      <c r="L305" t="n">
        <v>0</v>
      </c>
      <c r="M305" t="n">
        <v>0</v>
      </c>
      <c r="N305" t="n">
        <v>0</v>
      </c>
      <c r="O305" t="n">
        <v>0</v>
      </c>
      <c r="P305" t="n">
        <v>0</v>
      </c>
      <c r="Q305" t="n">
        <v>0</v>
      </c>
      <c r="R305" s="2" t="inlineStr"/>
    </row>
    <row r="306" ht="15" customHeight="1">
      <c r="A306" t="inlineStr">
        <is>
          <t>A 29411-2025</t>
        </is>
      </c>
      <c r="B306" s="1" t="n">
        <v>45824.6219212963</v>
      </c>
      <c r="C306" s="1" t="n">
        <v>46011</v>
      </c>
      <c r="D306" t="inlineStr">
        <is>
          <t>ÖSTERGÖTLANDS LÄN</t>
        </is>
      </c>
      <c r="E306" t="inlineStr">
        <is>
          <t>LINKÖPING</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42997-2021</t>
        </is>
      </c>
      <c r="B307" s="1" t="n">
        <v>44431.45556712963</v>
      </c>
      <c r="C307" s="1" t="n">
        <v>46011</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42623-2025</t>
        </is>
      </c>
      <c r="B308" s="1" t="n">
        <v>45905</v>
      </c>
      <c r="C308" s="1" t="n">
        <v>46011</v>
      </c>
      <c r="D308" t="inlineStr">
        <is>
          <t>ÖSTERGÖTLANDS LÄN</t>
        </is>
      </c>
      <c r="E308" t="inlineStr">
        <is>
          <t>LINKÖPING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46011</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42624-2025</t>
        </is>
      </c>
      <c r="B310" s="1" t="n">
        <v>45905</v>
      </c>
      <c r="C310" s="1" t="n">
        <v>46011</v>
      </c>
      <c r="D310" t="inlineStr">
        <is>
          <t>ÖSTERGÖTLANDS LÄN</t>
        </is>
      </c>
      <c r="E310" t="inlineStr">
        <is>
          <t>LINKÖPING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42626-2025</t>
        </is>
      </c>
      <c r="B311" s="1" t="n">
        <v>45905</v>
      </c>
      <c r="C311" s="1" t="n">
        <v>46011</v>
      </c>
      <c r="D311" t="inlineStr">
        <is>
          <t>ÖSTERGÖTLANDS LÄN</t>
        </is>
      </c>
      <c r="E311" t="inlineStr">
        <is>
          <t>LINKÖPING</t>
        </is>
      </c>
      <c r="G311" t="n">
        <v>3.6</v>
      </c>
      <c r="H311" t="n">
        <v>0</v>
      </c>
      <c r="I311" t="n">
        <v>0</v>
      </c>
      <c r="J311" t="n">
        <v>0</v>
      </c>
      <c r="K311" t="n">
        <v>0</v>
      </c>
      <c r="L311" t="n">
        <v>0</v>
      </c>
      <c r="M311" t="n">
        <v>0</v>
      </c>
      <c r="N311" t="n">
        <v>0</v>
      </c>
      <c r="O311" t="n">
        <v>0</v>
      </c>
      <c r="P311" t="n">
        <v>0</v>
      </c>
      <c r="Q311" t="n">
        <v>0</v>
      </c>
      <c r="R311" s="2" t="inlineStr"/>
    </row>
    <row r="312" ht="15" customHeight="1">
      <c r="A312" t="inlineStr">
        <is>
          <t>A 30355-2025</t>
        </is>
      </c>
      <c r="B312" s="1" t="n">
        <v>45827</v>
      </c>
      <c r="C312" s="1" t="n">
        <v>46011</v>
      </c>
      <c r="D312" t="inlineStr">
        <is>
          <t>ÖSTERGÖTLANDS LÄN</t>
        </is>
      </c>
      <c r="E312" t="inlineStr">
        <is>
          <t>LINKÖPING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30353-2025</t>
        </is>
      </c>
      <c r="B313" s="1" t="n">
        <v>45827</v>
      </c>
      <c r="C313" s="1" t="n">
        <v>46011</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14028-2024</t>
        </is>
      </c>
      <c r="B314" s="1" t="n">
        <v>45392</v>
      </c>
      <c r="C314" s="1" t="n">
        <v>46011</v>
      </c>
      <c r="D314" t="inlineStr">
        <is>
          <t>ÖSTERGÖTLANDS LÄN</t>
        </is>
      </c>
      <c r="E314" t="inlineStr">
        <is>
          <t>LINKÖPING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43755-2025</t>
        </is>
      </c>
      <c r="B315" s="1" t="n">
        <v>45912.47329861111</v>
      </c>
      <c r="C315" s="1" t="n">
        <v>46011</v>
      </c>
      <c r="D315" t="inlineStr">
        <is>
          <t>ÖSTERGÖTLANDS LÄN</t>
        </is>
      </c>
      <c r="E315" t="inlineStr">
        <is>
          <t>LINKÖPING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43753-2025</t>
        </is>
      </c>
      <c r="B316" s="1" t="n">
        <v>45912.4715625</v>
      </c>
      <c r="C316" s="1" t="n">
        <v>46011</v>
      </c>
      <c r="D316" t="inlineStr">
        <is>
          <t>ÖSTERGÖTLANDS LÄN</t>
        </is>
      </c>
      <c r="E316" t="inlineStr">
        <is>
          <t>LINKÖPING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43758-2025</t>
        </is>
      </c>
      <c r="B317" s="1" t="n">
        <v>45912.47711805555</v>
      </c>
      <c r="C317" s="1" t="n">
        <v>46011</v>
      </c>
      <c r="D317" t="inlineStr">
        <is>
          <t>ÖSTERGÖTLANDS LÄN</t>
        </is>
      </c>
      <c r="E317" t="inlineStr">
        <is>
          <t>LINKÖPING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14667-2024</t>
        </is>
      </c>
      <c r="B318" s="1" t="n">
        <v>45397.42005787037</v>
      </c>
      <c r="C318" s="1" t="n">
        <v>46011</v>
      </c>
      <c r="D318" t="inlineStr">
        <is>
          <t>ÖSTERGÖTLANDS LÄN</t>
        </is>
      </c>
      <c r="E318" t="inlineStr">
        <is>
          <t>LINKÖPING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2697-2023</t>
        </is>
      </c>
      <c r="B319" s="1" t="n">
        <v>44944</v>
      </c>
      <c r="C319" s="1" t="n">
        <v>46011</v>
      </c>
      <c r="D319" t="inlineStr">
        <is>
          <t>ÖSTERGÖTLANDS LÄN</t>
        </is>
      </c>
      <c r="E319" t="inlineStr">
        <is>
          <t>LINKÖPING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44170-2025</t>
        </is>
      </c>
      <c r="B320" s="1" t="n">
        <v>45915.59864583334</v>
      </c>
      <c r="C320" s="1" t="n">
        <v>46011</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31581-2025</t>
        </is>
      </c>
      <c r="B321" s="1" t="n">
        <v>45833.6840162037</v>
      </c>
      <c r="C321" s="1" t="n">
        <v>46011</v>
      </c>
      <c r="D321" t="inlineStr">
        <is>
          <t>ÖSTERGÖTLANDS LÄN</t>
        </is>
      </c>
      <c r="E321" t="inlineStr">
        <is>
          <t>LINKÖPING</t>
        </is>
      </c>
      <c r="G321" t="n">
        <v>2.6</v>
      </c>
      <c r="H321" t="n">
        <v>0</v>
      </c>
      <c r="I321" t="n">
        <v>0</v>
      </c>
      <c r="J321" t="n">
        <v>0</v>
      </c>
      <c r="K321" t="n">
        <v>0</v>
      </c>
      <c r="L321" t="n">
        <v>0</v>
      </c>
      <c r="M321" t="n">
        <v>0</v>
      </c>
      <c r="N321" t="n">
        <v>0</v>
      </c>
      <c r="O321" t="n">
        <v>0</v>
      </c>
      <c r="P321" t="n">
        <v>0</v>
      </c>
      <c r="Q321" t="n">
        <v>0</v>
      </c>
      <c r="R321" s="2" t="inlineStr"/>
    </row>
    <row r="322" ht="15" customHeight="1">
      <c r="A322" t="inlineStr">
        <is>
          <t>A 31585-2025</t>
        </is>
      </c>
      <c r="B322" s="1" t="n">
        <v>45833.68815972222</v>
      </c>
      <c r="C322" s="1" t="n">
        <v>46011</v>
      </c>
      <c r="D322" t="inlineStr">
        <is>
          <t>ÖSTERGÖTLANDS LÄN</t>
        </is>
      </c>
      <c r="E322" t="inlineStr">
        <is>
          <t>LINKÖPING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53641-2023</t>
        </is>
      </c>
      <c r="B323" s="1" t="n">
        <v>45230</v>
      </c>
      <c r="C323" s="1" t="n">
        <v>46011</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48707-2023</t>
        </is>
      </c>
      <c r="B324" s="1" t="n">
        <v>45202</v>
      </c>
      <c r="C324" s="1" t="n">
        <v>46011</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53411-2023</t>
        </is>
      </c>
      <c r="B325" s="1" t="n">
        <v>45229.81049768518</v>
      </c>
      <c r="C325" s="1" t="n">
        <v>46011</v>
      </c>
      <c r="D325" t="inlineStr">
        <is>
          <t>ÖSTERGÖTLANDS LÄN</t>
        </is>
      </c>
      <c r="E325" t="inlineStr">
        <is>
          <t>LINKÖPING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56741-2023</t>
        </is>
      </c>
      <c r="B326" s="1" t="n">
        <v>45244</v>
      </c>
      <c r="C326" s="1" t="n">
        <v>46011</v>
      </c>
      <c r="D326" t="inlineStr">
        <is>
          <t>ÖSTERGÖTLANDS LÄN</t>
        </is>
      </c>
      <c r="E326" t="inlineStr">
        <is>
          <t>LINKÖPING</t>
        </is>
      </c>
      <c r="F326" t="inlineStr">
        <is>
          <t>Övriga Aktiebolag</t>
        </is>
      </c>
      <c r="G326" t="n">
        <v>1.1</v>
      </c>
      <c r="H326" t="n">
        <v>0</v>
      </c>
      <c r="I326" t="n">
        <v>0</v>
      </c>
      <c r="J326" t="n">
        <v>0</v>
      </c>
      <c r="K326" t="n">
        <v>0</v>
      </c>
      <c r="L326" t="n">
        <v>0</v>
      </c>
      <c r="M326" t="n">
        <v>0</v>
      </c>
      <c r="N326" t="n">
        <v>0</v>
      </c>
      <c r="O326" t="n">
        <v>0</v>
      </c>
      <c r="P326" t="n">
        <v>0</v>
      </c>
      <c r="Q326" t="n">
        <v>0</v>
      </c>
      <c r="R326" s="2" t="inlineStr"/>
    </row>
    <row r="327" ht="15" customHeight="1">
      <c r="A327" t="inlineStr">
        <is>
          <t>A 56792-2023</t>
        </is>
      </c>
      <c r="B327" s="1" t="n">
        <v>45244</v>
      </c>
      <c r="C327" s="1" t="n">
        <v>46011</v>
      </c>
      <c r="D327" t="inlineStr">
        <is>
          <t>ÖSTERGÖTLANDS LÄN</t>
        </is>
      </c>
      <c r="E327" t="inlineStr">
        <is>
          <t>LINKÖPING</t>
        </is>
      </c>
      <c r="F327" t="inlineStr">
        <is>
          <t>Övriga Aktiebolag</t>
        </is>
      </c>
      <c r="G327" t="n">
        <v>0.9</v>
      </c>
      <c r="H327" t="n">
        <v>0</v>
      </c>
      <c r="I327" t="n">
        <v>0</v>
      </c>
      <c r="J327" t="n">
        <v>0</v>
      </c>
      <c r="K327" t="n">
        <v>0</v>
      </c>
      <c r="L327" t="n">
        <v>0</v>
      </c>
      <c r="M327" t="n">
        <v>0</v>
      </c>
      <c r="N327" t="n">
        <v>0</v>
      </c>
      <c r="O327" t="n">
        <v>0</v>
      </c>
      <c r="P327" t="n">
        <v>0</v>
      </c>
      <c r="Q327" t="n">
        <v>0</v>
      </c>
      <c r="R327" s="2" t="inlineStr"/>
    </row>
    <row r="328" ht="15" customHeight="1">
      <c r="A328" t="inlineStr">
        <is>
          <t>A 32723-2025</t>
        </is>
      </c>
      <c r="B328" s="1" t="n">
        <v>45838</v>
      </c>
      <c r="C328" s="1" t="n">
        <v>46011</v>
      </c>
      <c r="D328" t="inlineStr">
        <is>
          <t>ÖSTERGÖTLANDS LÄN</t>
        </is>
      </c>
      <c r="E328" t="inlineStr">
        <is>
          <t>LINKÖPING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3007-2023</t>
        </is>
      </c>
      <c r="B329" s="1" t="n">
        <v>44945</v>
      </c>
      <c r="C329" s="1" t="n">
        <v>46011</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40338-2024</t>
        </is>
      </c>
      <c r="B330" s="1" t="n">
        <v>45555.32940972222</v>
      </c>
      <c r="C330" s="1" t="n">
        <v>46011</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3013-2023</t>
        </is>
      </c>
      <c r="B331" s="1" t="n">
        <v>44945.8092824074</v>
      </c>
      <c r="C331" s="1" t="n">
        <v>46011</v>
      </c>
      <c r="D331" t="inlineStr">
        <is>
          <t>ÖSTERGÖTLANDS LÄN</t>
        </is>
      </c>
      <c r="E331" t="inlineStr">
        <is>
          <t>LINKÖPING</t>
        </is>
      </c>
      <c r="G331" t="n">
        <v>5.2</v>
      </c>
      <c r="H331" t="n">
        <v>0</v>
      </c>
      <c r="I331" t="n">
        <v>0</v>
      </c>
      <c r="J331" t="n">
        <v>0</v>
      </c>
      <c r="K331" t="n">
        <v>0</v>
      </c>
      <c r="L331" t="n">
        <v>0</v>
      </c>
      <c r="M331" t="n">
        <v>0</v>
      </c>
      <c r="N331" t="n">
        <v>0</v>
      </c>
      <c r="O331" t="n">
        <v>0</v>
      </c>
      <c r="P331" t="n">
        <v>0</v>
      </c>
      <c r="Q331" t="n">
        <v>0</v>
      </c>
      <c r="R331" s="2" t="inlineStr"/>
    </row>
    <row r="332" ht="15" customHeight="1">
      <c r="A332" t="inlineStr">
        <is>
          <t>A 55945-2024</t>
        </is>
      </c>
      <c r="B332" s="1" t="n">
        <v>45623.61754629629</v>
      </c>
      <c r="C332" s="1" t="n">
        <v>46011</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44759-2025</t>
        </is>
      </c>
      <c r="B333" s="1" t="n">
        <v>45917.7152662037</v>
      </c>
      <c r="C333" s="1" t="n">
        <v>46011</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1993-2023</t>
        </is>
      </c>
      <c r="B334" s="1" t="n">
        <v>44939</v>
      </c>
      <c r="C334" s="1" t="n">
        <v>46011</v>
      </c>
      <c r="D334" t="inlineStr">
        <is>
          <t>ÖSTERGÖTLANDS LÄN</t>
        </is>
      </c>
      <c r="E334" t="inlineStr">
        <is>
          <t>LINKÖPING</t>
        </is>
      </c>
      <c r="G334" t="n">
        <v>3.7</v>
      </c>
      <c r="H334" t="n">
        <v>0</v>
      </c>
      <c r="I334" t="n">
        <v>0</v>
      </c>
      <c r="J334" t="n">
        <v>0</v>
      </c>
      <c r="K334" t="n">
        <v>0</v>
      </c>
      <c r="L334" t="n">
        <v>0</v>
      </c>
      <c r="M334" t="n">
        <v>0</v>
      </c>
      <c r="N334" t="n">
        <v>0</v>
      </c>
      <c r="O334" t="n">
        <v>0</v>
      </c>
      <c r="P334" t="n">
        <v>0</v>
      </c>
      <c r="Q334" t="n">
        <v>0</v>
      </c>
      <c r="R334" s="2" t="inlineStr"/>
    </row>
    <row r="335" ht="15" customHeight="1">
      <c r="A335" t="inlineStr">
        <is>
          <t>A 2618-2023</t>
        </is>
      </c>
      <c r="B335" s="1" t="n">
        <v>44944.35847222222</v>
      </c>
      <c r="C335" s="1" t="n">
        <v>46011</v>
      </c>
      <c r="D335" t="inlineStr">
        <is>
          <t>ÖSTERGÖTLANDS LÄN</t>
        </is>
      </c>
      <c r="E335" t="inlineStr">
        <is>
          <t>LINKÖPING</t>
        </is>
      </c>
      <c r="G335" t="n">
        <v>4.3</v>
      </c>
      <c r="H335" t="n">
        <v>0</v>
      </c>
      <c r="I335" t="n">
        <v>0</v>
      </c>
      <c r="J335" t="n">
        <v>0</v>
      </c>
      <c r="K335" t="n">
        <v>0</v>
      </c>
      <c r="L335" t="n">
        <v>0</v>
      </c>
      <c r="M335" t="n">
        <v>0</v>
      </c>
      <c r="N335" t="n">
        <v>0</v>
      </c>
      <c r="O335" t="n">
        <v>0</v>
      </c>
      <c r="P335" t="n">
        <v>0</v>
      </c>
      <c r="Q335" t="n">
        <v>0</v>
      </c>
      <c r="R335" s="2" t="inlineStr"/>
    </row>
    <row r="336" ht="15" customHeight="1">
      <c r="A336" t="inlineStr">
        <is>
          <t>A 10203-2023</t>
        </is>
      </c>
      <c r="B336" s="1" t="n">
        <v>44986.55711805556</v>
      </c>
      <c r="C336" s="1" t="n">
        <v>46011</v>
      </c>
      <c r="D336" t="inlineStr">
        <is>
          <t>ÖSTERGÖTLANDS LÄN</t>
        </is>
      </c>
      <c r="E336" t="inlineStr">
        <is>
          <t>LINKÖPING</t>
        </is>
      </c>
      <c r="G336" t="n">
        <v>3.3</v>
      </c>
      <c r="H336" t="n">
        <v>0</v>
      </c>
      <c r="I336" t="n">
        <v>0</v>
      </c>
      <c r="J336" t="n">
        <v>0</v>
      </c>
      <c r="K336" t="n">
        <v>0</v>
      </c>
      <c r="L336" t="n">
        <v>0</v>
      </c>
      <c r="M336" t="n">
        <v>0</v>
      </c>
      <c r="N336" t="n">
        <v>0</v>
      </c>
      <c r="O336" t="n">
        <v>0</v>
      </c>
      <c r="P336" t="n">
        <v>0</v>
      </c>
      <c r="Q336" t="n">
        <v>0</v>
      </c>
      <c r="R336" s="2" t="inlineStr"/>
    </row>
    <row r="337" ht="15" customHeight="1">
      <c r="A337" t="inlineStr">
        <is>
          <t>A 44764-2025</t>
        </is>
      </c>
      <c r="B337" s="1" t="n">
        <v>45917.72821759259</v>
      </c>
      <c r="C337" s="1" t="n">
        <v>46011</v>
      </c>
      <c r="D337" t="inlineStr">
        <is>
          <t>ÖSTERGÖTLANDS LÄN</t>
        </is>
      </c>
      <c r="E337" t="inlineStr">
        <is>
          <t>LINKÖPING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34889-2023</t>
        </is>
      </c>
      <c r="B338" s="1" t="n">
        <v>45140</v>
      </c>
      <c r="C338" s="1" t="n">
        <v>46011</v>
      </c>
      <c r="D338" t="inlineStr">
        <is>
          <t>ÖSTERGÖTLANDS LÄN</t>
        </is>
      </c>
      <c r="E338" t="inlineStr">
        <is>
          <t>LINKÖPING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34928-2023</t>
        </is>
      </c>
      <c r="B339" s="1" t="n">
        <v>45142</v>
      </c>
      <c r="C339" s="1" t="n">
        <v>46011</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1268-2023</t>
        </is>
      </c>
      <c r="B340" s="1" t="n">
        <v>44936</v>
      </c>
      <c r="C340" s="1" t="n">
        <v>46011</v>
      </c>
      <c r="D340" t="inlineStr">
        <is>
          <t>ÖSTERGÖTLANDS LÄN</t>
        </is>
      </c>
      <c r="E340" t="inlineStr">
        <is>
          <t>LINKÖPING</t>
        </is>
      </c>
      <c r="G340" t="n">
        <v>4.6</v>
      </c>
      <c r="H340" t="n">
        <v>0</v>
      </c>
      <c r="I340" t="n">
        <v>0</v>
      </c>
      <c r="J340" t="n">
        <v>0</v>
      </c>
      <c r="K340" t="n">
        <v>0</v>
      </c>
      <c r="L340" t="n">
        <v>0</v>
      </c>
      <c r="M340" t="n">
        <v>0</v>
      </c>
      <c r="N340" t="n">
        <v>0</v>
      </c>
      <c r="O340" t="n">
        <v>0</v>
      </c>
      <c r="P340" t="n">
        <v>0</v>
      </c>
      <c r="Q340" t="n">
        <v>0</v>
      </c>
      <c r="R340" s="2" t="inlineStr"/>
    </row>
    <row r="341" ht="15" customHeight="1">
      <c r="A341" t="inlineStr">
        <is>
          <t>A 5314-2021</t>
        </is>
      </c>
      <c r="B341" s="1" t="n">
        <v>44229</v>
      </c>
      <c r="C341" s="1" t="n">
        <v>46011</v>
      </c>
      <c r="D341" t="inlineStr">
        <is>
          <t>ÖSTERGÖTLANDS LÄN</t>
        </is>
      </c>
      <c r="E341" t="inlineStr">
        <is>
          <t>LINKÖPING</t>
        </is>
      </c>
      <c r="G341" t="n">
        <v>6.2</v>
      </c>
      <c r="H341" t="n">
        <v>0</v>
      </c>
      <c r="I341" t="n">
        <v>0</v>
      </c>
      <c r="J341" t="n">
        <v>0</v>
      </c>
      <c r="K341" t="n">
        <v>0</v>
      </c>
      <c r="L341" t="n">
        <v>0</v>
      </c>
      <c r="M341" t="n">
        <v>0</v>
      </c>
      <c r="N341" t="n">
        <v>0</v>
      </c>
      <c r="O341" t="n">
        <v>0</v>
      </c>
      <c r="P341" t="n">
        <v>0</v>
      </c>
      <c r="Q341" t="n">
        <v>0</v>
      </c>
      <c r="R341" s="2" t="inlineStr"/>
    </row>
    <row r="342" ht="15" customHeight="1">
      <c r="A342" t="inlineStr">
        <is>
          <t>A 45112-2025</t>
        </is>
      </c>
      <c r="B342" s="1" t="n">
        <v>45919</v>
      </c>
      <c r="C342" s="1" t="n">
        <v>46011</v>
      </c>
      <c r="D342" t="inlineStr">
        <is>
          <t>ÖSTERGÖTLANDS LÄN</t>
        </is>
      </c>
      <c r="E342" t="inlineStr">
        <is>
          <t>LINKÖPING</t>
        </is>
      </c>
      <c r="G342" t="n">
        <v>3.5</v>
      </c>
      <c r="H342" t="n">
        <v>0</v>
      </c>
      <c r="I342" t="n">
        <v>0</v>
      </c>
      <c r="J342" t="n">
        <v>0</v>
      </c>
      <c r="K342" t="n">
        <v>0</v>
      </c>
      <c r="L342" t="n">
        <v>0</v>
      </c>
      <c r="M342" t="n">
        <v>0</v>
      </c>
      <c r="N342" t="n">
        <v>0</v>
      </c>
      <c r="O342" t="n">
        <v>0</v>
      </c>
      <c r="P342" t="n">
        <v>0</v>
      </c>
      <c r="Q342" t="n">
        <v>0</v>
      </c>
      <c r="R342" s="2" t="inlineStr"/>
    </row>
    <row r="343" ht="15" customHeight="1">
      <c r="A343" t="inlineStr">
        <is>
          <t>A 33947-2025</t>
        </is>
      </c>
      <c r="B343" s="1" t="n">
        <v>45842.65444444444</v>
      </c>
      <c r="C343" s="1" t="n">
        <v>46011</v>
      </c>
      <c r="D343" t="inlineStr">
        <is>
          <t>ÖSTERGÖTLANDS LÄN</t>
        </is>
      </c>
      <c r="E343" t="inlineStr">
        <is>
          <t>LINKÖPING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49747-2024</t>
        </is>
      </c>
      <c r="B344" s="1" t="n">
        <v>45596</v>
      </c>
      <c r="C344" s="1" t="n">
        <v>46011</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45634-2025</t>
        </is>
      </c>
      <c r="B345" s="1" t="n">
        <v>45922.85089120371</v>
      </c>
      <c r="C345" s="1" t="n">
        <v>46011</v>
      </c>
      <c r="D345" t="inlineStr">
        <is>
          <t>ÖSTERGÖTLANDS LÄN</t>
        </is>
      </c>
      <c r="E345" t="inlineStr">
        <is>
          <t>LINKÖPING</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45792-2025</t>
        </is>
      </c>
      <c r="B346" s="1" t="n">
        <v>45923.56998842592</v>
      </c>
      <c r="C346" s="1" t="n">
        <v>46011</v>
      </c>
      <c r="D346" t="inlineStr">
        <is>
          <t>ÖSTERGÖTLANDS LÄN</t>
        </is>
      </c>
      <c r="E346" t="inlineStr">
        <is>
          <t>LINKÖPING</t>
        </is>
      </c>
      <c r="G346" t="n">
        <v>2.6</v>
      </c>
      <c r="H346" t="n">
        <v>0</v>
      </c>
      <c r="I346" t="n">
        <v>0</v>
      </c>
      <c r="J346" t="n">
        <v>0</v>
      </c>
      <c r="K346" t="n">
        <v>0</v>
      </c>
      <c r="L346" t="n">
        <v>0</v>
      </c>
      <c r="M346" t="n">
        <v>0</v>
      </c>
      <c r="N346" t="n">
        <v>0</v>
      </c>
      <c r="O346" t="n">
        <v>0</v>
      </c>
      <c r="P346" t="n">
        <v>0</v>
      </c>
      <c r="Q346" t="n">
        <v>0</v>
      </c>
      <c r="R346" s="2" t="inlineStr"/>
    </row>
    <row r="347" ht="15" customHeight="1">
      <c r="A347" t="inlineStr">
        <is>
          <t>A 31725-2022</t>
        </is>
      </c>
      <c r="B347" s="1" t="n">
        <v>44776.48541666667</v>
      </c>
      <c r="C347" s="1" t="n">
        <v>46011</v>
      </c>
      <c r="D347" t="inlineStr">
        <is>
          <t>ÖSTERGÖTLANDS LÄN</t>
        </is>
      </c>
      <c r="E347" t="inlineStr">
        <is>
          <t>LINKÖPING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45804-2025</t>
        </is>
      </c>
      <c r="B348" s="1" t="n">
        <v>45923.5819675926</v>
      </c>
      <c r="C348" s="1" t="n">
        <v>46011</v>
      </c>
      <c r="D348" t="inlineStr">
        <is>
          <t>ÖSTERGÖTLANDS LÄN</t>
        </is>
      </c>
      <c r="E348" t="inlineStr">
        <is>
          <t>LINKÖPING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62012-2024</t>
        </is>
      </c>
      <c r="B349" s="1" t="n">
        <v>45655.79679398148</v>
      </c>
      <c r="C349" s="1" t="n">
        <v>46011</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46428-2025</t>
        </is>
      </c>
      <c r="B350" s="1" t="n">
        <v>45925.60758101852</v>
      </c>
      <c r="C350" s="1" t="n">
        <v>46011</v>
      </c>
      <c r="D350" t="inlineStr">
        <is>
          <t>ÖSTERGÖTLANDS LÄN</t>
        </is>
      </c>
      <c r="E350" t="inlineStr">
        <is>
          <t>LINKÖPING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46426-2025</t>
        </is>
      </c>
      <c r="B351" s="1" t="n">
        <v>45925.6012962963</v>
      </c>
      <c r="C351" s="1" t="n">
        <v>46011</v>
      </c>
      <c r="D351" t="inlineStr">
        <is>
          <t>ÖSTERGÖTLANDS LÄN</t>
        </is>
      </c>
      <c r="E351" t="inlineStr">
        <is>
          <t>LINKÖPING</t>
        </is>
      </c>
      <c r="G351" t="n">
        <v>4.4</v>
      </c>
      <c r="H351" t="n">
        <v>0</v>
      </c>
      <c r="I351" t="n">
        <v>0</v>
      </c>
      <c r="J351" t="n">
        <v>0</v>
      </c>
      <c r="K351" t="n">
        <v>0</v>
      </c>
      <c r="L351" t="n">
        <v>0</v>
      </c>
      <c r="M351" t="n">
        <v>0</v>
      </c>
      <c r="N351" t="n">
        <v>0</v>
      </c>
      <c r="O351" t="n">
        <v>0</v>
      </c>
      <c r="P351" t="n">
        <v>0</v>
      </c>
      <c r="Q351" t="n">
        <v>0</v>
      </c>
      <c r="R351" s="2" t="inlineStr"/>
    </row>
    <row r="352" ht="15" customHeight="1">
      <c r="A352" t="inlineStr">
        <is>
          <t>A 2389-2023</t>
        </is>
      </c>
      <c r="B352" s="1" t="n">
        <v>44942</v>
      </c>
      <c r="C352" s="1" t="n">
        <v>46011</v>
      </c>
      <c r="D352" t="inlineStr">
        <is>
          <t>ÖSTERGÖTLANDS LÄN</t>
        </is>
      </c>
      <c r="E352" t="inlineStr">
        <is>
          <t>LINKÖPING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53529-2024</t>
        </is>
      </c>
      <c r="B353" s="1" t="n">
        <v>45614</v>
      </c>
      <c r="C353" s="1" t="n">
        <v>46011</v>
      </c>
      <c r="D353" t="inlineStr">
        <is>
          <t>ÖSTERGÖTLANDS LÄN</t>
        </is>
      </c>
      <c r="E353" t="inlineStr">
        <is>
          <t>LINKÖPING</t>
        </is>
      </c>
      <c r="G353" t="n">
        <v>6.7</v>
      </c>
      <c r="H353" t="n">
        <v>0</v>
      </c>
      <c r="I353" t="n">
        <v>0</v>
      </c>
      <c r="J353" t="n">
        <v>0</v>
      </c>
      <c r="K353" t="n">
        <v>0</v>
      </c>
      <c r="L353" t="n">
        <v>0</v>
      </c>
      <c r="M353" t="n">
        <v>0</v>
      </c>
      <c r="N353" t="n">
        <v>0</v>
      </c>
      <c r="O353" t="n">
        <v>0</v>
      </c>
      <c r="P353" t="n">
        <v>0</v>
      </c>
      <c r="Q353" t="n">
        <v>0</v>
      </c>
      <c r="R353" s="2" t="inlineStr"/>
    </row>
    <row r="354" ht="15" customHeight="1">
      <c r="A354" t="inlineStr">
        <is>
          <t>A 3627-2023</t>
        </is>
      </c>
      <c r="B354" s="1" t="n">
        <v>44950.64782407408</v>
      </c>
      <c r="C354" s="1" t="n">
        <v>46011</v>
      </c>
      <c r="D354" t="inlineStr">
        <is>
          <t>ÖSTERGÖTLANDS LÄN</t>
        </is>
      </c>
      <c r="E354" t="inlineStr">
        <is>
          <t>LINKÖPING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62687-2023</t>
        </is>
      </c>
      <c r="B355" s="1" t="n">
        <v>45271</v>
      </c>
      <c r="C355" s="1" t="n">
        <v>46011</v>
      </c>
      <c r="D355" t="inlineStr">
        <is>
          <t>ÖSTERGÖTLANDS LÄN</t>
        </is>
      </c>
      <c r="E355" t="inlineStr">
        <is>
          <t>LINKÖPING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46377-2025</t>
        </is>
      </c>
      <c r="B356" s="1" t="n">
        <v>45925.51773148148</v>
      </c>
      <c r="C356" s="1" t="n">
        <v>46011</v>
      </c>
      <c r="D356" t="inlineStr">
        <is>
          <t>ÖSTERGÖTLANDS LÄN</t>
        </is>
      </c>
      <c r="E356" t="inlineStr">
        <is>
          <t>LINKÖPING</t>
        </is>
      </c>
      <c r="G356" t="n">
        <v>3.1</v>
      </c>
      <c r="H356" t="n">
        <v>0</v>
      </c>
      <c r="I356" t="n">
        <v>0</v>
      </c>
      <c r="J356" t="n">
        <v>0</v>
      </c>
      <c r="K356" t="n">
        <v>0</v>
      </c>
      <c r="L356" t="n">
        <v>0</v>
      </c>
      <c r="M356" t="n">
        <v>0</v>
      </c>
      <c r="N356" t="n">
        <v>0</v>
      </c>
      <c r="O356" t="n">
        <v>0</v>
      </c>
      <c r="P356" t="n">
        <v>0</v>
      </c>
      <c r="Q356" t="n">
        <v>0</v>
      </c>
      <c r="R356" s="2" t="inlineStr"/>
    </row>
    <row r="357" ht="15" customHeight="1">
      <c r="A357" t="inlineStr">
        <is>
          <t>A 20469-2025</t>
        </is>
      </c>
      <c r="B357" s="1" t="n">
        <v>45775</v>
      </c>
      <c r="C357" s="1" t="n">
        <v>46011</v>
      </c>
      <c r="D357" t="inlineStr">
        <is>
          <t>ÖSTERGÖTLANDS LÄN</t>
        </is>
      </c>
      <c r="E357" t="inlineStr">
        <is>
          <t>LINKÖPING</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18891-2022</t>
        </is>
      </c>
      <c r="B358" s="1" t="n">
        <v>44690</v>
      </c>
      <c r="C358" s="1" t="n">
        <v>46011</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47304-2025</t>
        </is>
      </c>
      <c r="B359" s="1" t="n">
        <v>45930.52037037037</v>
      </c>
      <c r="C359" s="1" t="n">
        <v>46011</v>
      </c>
      <c r="D359" t="inlineStr">
        <is>
          <t>ÖSTERGÖTLANDS LÄN</t>
        </is>
      </c>
      <c r="E359" t="inlineStr">
        <is>
          <t>LINKÖPING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47233-2025</t>
        </is>
      </c>
      <c r="B360" s="1" t="n">
        <v>45930.40612268518</v>
      </c>
      <c r="C360" s="1" t="n">
        <v>46011</v>
      </c>
      <c r="D360" t="inlineStr">
        <is>
          <t>ÖSTERGÖTLANDS LÄN</t>
        </is>
      </c>
      <c r="E360" t="inlineStr">
        <is>
          <t>LINKÖPING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33800-2023</t>
        </is>
      </c>
      <c r="B361" s="1" t="n">
        <v>45121</v>
      </c>
      <c r="C361" s="1" t="n">
        <v>46011</v>
      </c>
      <c r="D361" t="inlineStr">
        <is>
          <t>ÖSTERGÖTLANDS LÄN</t>
        </is>
      </c>
      <c r="E361" t="inlineStr">
        <is>
          <t>LINKÖPING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47991-2023</t>
        </is>
      </c>
      <c r="B362" s="1" t="n">
        <v>45204.62655092592</v>
      </c>
      <c r="C362" s="1" t="n">
        <v>46011</v>
      </c>
      <c r="D362" t="inlineStr">
        <is>
          <t>ÖSTERGÖTLANDS LÄN</t>
        </is>
      </c>
      <c r="E362" t="inlineStr">
        <is>
          <t>LINKÖPING</t>
        </is>
      </c>
      <c r="F362" t="inlineStr">
        <is>
          <t>Allmännings- och besparingsskogar</t>
        </is>
      </c>
      <c r="G362" t="n">
        <v>7.3</v>
      </c>
      <c r="H362" t="n">
        <v>0</v>
      </c>
      <c r="I362" t="n">
        <v>0</v>
      </c>
      <c r="J362" t="n">
        <v>0</v>
      </c>
      <c r="K362" t="n">
        <v>0</v>
      </c>
      <c r="L362" t="n">
        <v>0</v>
      </c>
      <c r="M362" t="n">
        <v>0</v>
      </c>
      <c r="N362" t="n">
        <v>0</v>
      </c>
      <c r="O362" t="n">
        <v>0</v>
      </c>
      <c r="P362" t="n">
        <v>0</v>
      </c>
      <c r="Q362" t="n">
        <v>0</v>
      </c>
      <c r="R362" s="2" t="inlineStr"/>
    </row>
    <row r="363" ht="15" customHeight="1">
      <c r="A363" t="inlineStr">
        <is>
          <t>A 26620-2023</t>
        </is>
      </c>
      <c r="B363" s="1" t="n">
        <v>45092.70390046296</v>
      </c>
      <c r="C363" s="1" t="n">
        <v>46011</v>
      </c>
      <c r="D363" t="inlineStr">
        <is>
          <t>ÖSTERGÖTLANDS LÄN</t>
        </is>
      </c>
      <c r="E363" t="inlineStr">
        <is>
          <t>LINKÖPING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55683-2025</t>
        </is>
      </c>
      <c r="B364" s="1" t="n">
        <v>45972.4255324074</v>
      </c>
      <c r="C364" s="1" t="n">
        <v>46011</v>
      </c>
      <c r="D364" t="inlineStr">
        <is>
          <t>ÖSTERGÖTLANDS LÄN</t>
        </is>
      </c>
      <c r="E364" t="inlineStr">
        <is>
          <t>LINKÖPING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35178-2025</t>
        </is>
      </c>
      <c r="B365" s="1" t="n">
        <v>45852.91939814815</v>
      </c>
      <c r="C365" s="1" t="n">
        <v>46011</v>
      </c>
      <c r="D365" t="inlineStr">
        <is>
          <t>ÖSTERGÖTLANDS LÄN</t>
        </is>
      </c>
      <c r="E365" t="inlineStr">
        <is>
          <t>LINKÖPING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35174-2025</t>
        </is>
      </c>
      <c r="B366" s="1" t="n">
        <v>45852.90648148148</v>
      </c>
      <c r="C366" s="1" t="n">
        <v>46011</v>
      </c>
      <c r="D366" t="inlineStr">
        <is>
          <t>ÖSTERGÖTLANDS LÄN</t>
        </is>
      </c>
      <c r="E366" t="inlineStr">
        <is>
          <t>LINKÖPING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56180-2024</t>
        </is>
      </c>
      <c r="B367" s="1" t="n">
        <v>45624.56611111111</v>
      </c>
      <c r="C367" s="1" t="n">
        <v>46011</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46847-2025</t>
        </is>
      </c>
      <c r="B368" s="1" t="n">
        <v>45928.69971064815</v>
      </c>
      <c r="C368" s="1" t="n">
        <v>46011</v>
      </c>
      <c r="D368" t="inlineStr">
        <is>
          <t>ÖSTERGÖTLANDS LÄN</t>
        </is>
      </c>
      <c r="E368" t="inlineStr">
        <is>
          <t>LINKÖPING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26007-2025</t>
        </is>
      </c>
      <c r="B369" s="1" t="n">
        <v>45804.67081018518</v>
      </c>
      <c r="C369" s="1" t="n">
        <v>46011</v>
      </c>
      <c r="D369" t="inlineStr">
        <is>
          <t>ÖSTERGÖTLANDS LÄN</t>
        </is>
      </c>
      <c r="E369" t="inlineStr">
        <is>
          <t>LINKÖPING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35179-2025</t>
        </is>
      </c>
      <c r="B370" s="1" t="n">
        <v>45852.93737268518</v>
      </c>
      <c r="C370" s="1" t="n">
        <v>46011</v>
      </c>
      <c r="D370" t="inlineStr">
        <is>
          <t>ÖSTERGÖTLANDS LÄN</t>
        </is>
      </c>
      <c r="E370" t="inlineStr">
        <is>
          <t>LINKÖPING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35180-2025</t>
        </is>
      </c>
      <c r="B371" s="1" t="n">
        <v>45852.9413425926</v>
      </c>
      <c r="C371" s="1" t="n">
        <v>46011</v>
      </c>
      <c r="D371" t="inlineStr">
        <is>
          <t>ÖSTERGÖTLANDS LÄN</t>
        </is>
      </c>
      <c r="E371" t="inlineStr">
        <is>
          <t>LINKÖPING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938-2023</t>
        </is>
      </c>
      <c r="B372" s="1" t="n">
        <v>44933</v>
      </c>
      <c r="C372" s="1" t="n">
        <v>46011</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25418-2023</t>
        </is>
      </c>
      <c r="B373" s="1" t="n">
        <v>45089</v>
      </c>
      <c r="C373" s="1" t="n">
        <v>46011</v>
      </c>
      <c r="D373" t="inlineStr">
        <is>
          <t>ÖSTERGÖTLANDS LÄN</t>
        </is>
      </c>
      <c r="E373" t="inlineStr">
        <is>
          <t>LINKÖPING</t>
        </is>
      </c>
      <c r="F373" t="inlineStr">
        <is>
          <t>Övriga Aktiebolag</t>
        </is>
      </c>
      <c r="G373" t="n">
        <v>2.4</v>
      </c>
      <c r="H373" t="n">
        <v>0</v>
      </c>
      <c r="I373" t="n">
        <v>0</v>
      </c>
      <c r="J373" t="n">
        <v>0</v>
      </c>
      <c r="K373" t="n">
        <v>0</v>
      </c>
      <c r="L373" t="n">
        <v>0</v>
      </c>
      <c r="M373" t="n">
        <v>0</v>
      </c>
      <c r="N373" t="n">
        <v>0</v>
      </c>
      <c r="O373" t="n">
        <v>0</v>
      </c>
      <c r="P373" t="n">
        <v>0</v>
      </c>
      <c r="Q373" t="n">
        <v>0</v>
      </c>
      <c r="R373" s="2" t="inlineStr"/>
    </row>
    <row r="374" ht="15" customHeight="1">
      <c r="A374" t="inlineStr">
        <is>
          <t>A 60007-2022</t>
        </is>
      </c>
      <c r="B374" s="1" t="n">
        <v>44909.47282407407</v>
      </c>
      <c r="C374" s="1" t="n">
        <v>46011</v>
      </c>
      <c r="D374" t="inlineStr">
        <is>
          <t>ÖSTERGÖTLANDS LÄN</t>
        </is>
      </c>
      <c r="E374" t="inlineStr">
        <is>
          <t>LINKÖPING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56113-2025</t>
        </is>
      </c>
      <c r="B375" s="1" t="n">
        <v>45973.73924768518</v>
      </c>
      <c r="C375" s="1" t="n">
        <v>46011</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48343-2025</t>
        </is>
      </c>
      <c r="B376" s="1" t="n">
        <v>45932</v>
      </c>
      <c r="C376" s="1" t="n">
        <v>46011</v>
      </c>
      <c r="D376" t="inlineStr">
        <is>
          <t>ÖSTERGÖTLANDS LÄN</t>
        </is>
      </c>
      <c r="E376" t="inlineStr">
        <is>
          <t>LINKÖPING</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47606-2025</t>
        </is>
      </c>
      <c r="B377" s="1" t="n">
        <v>45931.46402777778</v>
      </c>
      <c r="C377" s="1" t="n">
        <v>46011</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35747-2025</t>
        </is>
      </c>
      <c r="B378" s="1" t="n">
        <v>45860.56385416666</v>
      </c>
      <c r="C378" s="1" t="n">
        <v>46011</v>
      </c>
      <c r="D378" t="inlineStr">
        <is>
          <t>ÖSTERGÖTLANDS LÄN</t>
        </is>
      </c>
      <c r="E378" t="inlineStr">
        <is>
          <t>LINKÖPING</t>
        </is>
      </c>
      <c r="G378" t="n">
        <v>2.4</v>
      </c>
      <c r="H378" t="n">
        <v>0</v>
      </c>
      <c r="I378" t="n">
        <v>0</v>
      </c>
      <c r="J378" t="n">
        <v>0</v>
      </c>
      <c r="K378" t="n">
        <v>0</v>
      </c>
      <c r="L378" t="n">
        <v>0</v>
      </c>
      <c r="M378" t="n">
        <v>0</v>
      </c>
      <c r="N378" t="n">
        <v>0</v>
      </c>
      <c r="O378" t="n">
        <v>0</v>
      </c>
      <c r="P378" t="n">
        <v>0</v>
      </c>
      <c r="Q378" t="n">
        <v>0</v>
      </c>
      <c r="R378" s="2" t="inlineStr"/>
    </row>
    <row r="379" ht="15" customHeight="1">
      <c r="A379" t="inlineStr">
        <is>
          <t>A 11601-2023</t>
        </is>
      </c>
      <c r="B379" s="1" t="n">
        <v>44994</v>
      </c>
      <c r="C379" s="1" t="n">
        <v>46011</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35745-2025</t>
        </is>
      </c>
      <c r="B380" s="1" t="n">
        <v>45860.54739583333</v>
      </c>
      <c r="C380" s="1" t="n">
        <v>46011</v>
      </c>
      <c r="D380" t="inlineStr">
        <is>
          <t>ÖSTERGÖTLANDS LÄN</t>
        </is>
      </c>
      <c r="E380" t="inlineStr">
        <is>
          <t>LINKÖPING</t>
        </is>
      </c>
      <c r="G380" t="n">
        <v>4.4</v>
      </c>
      <c r="H380" t="n">
        <v>0</v>
      </c>
      <c r="I380" t="n">
        <v>0</v>
      </c>
      <c r="J380" t="n">
        <v>0</v>
      </c>
      <c r="K380" t="n">
        <v>0</v>
      </c>
      <c r="L380" t="n">
        <v>0</v>
      </c>
      <c r="M380" t="n">
        <v>0</v>
      </c>
      <c r="N380" t="n">
        <v>0</v>
      </c>
      <c r="O380" t="n">
        <v>0</v>
      </c>
      <c r="P380" t="n">
        <v>0</v>
      </c>
      <c r="Q380" t="n">
        <v>0</v>
      </c>
      <c r="R380" s="2" t="inlineStr"/>
    </row>
    <row r="381" ht="15" customHeight="1">
      <c r="A381" t="inlineStr">
        <is>
          <t>A 35757-2025</t>
        </is>
      </c>
      <c r="B381" s="1" t="n">
        <v>45860.59876157407</v>
      </c>
      <c r="C381" s="1" t="n">
        <v>46011</v>
      </c>
      <c r="D381" t="inlineStr">
        <is>
          <t>ÖSTERGÖTLANDS LÄN</t>
        </is>
      </c>
      <c r="E381" t="inlineStr">
        <is>
          <t>LINKÖPING</t>
        </is>
      </c>
      <c r="G381" t="n">
        <v>5.7</v>
      </c>
      <c r="H381" t="n">
        <v>0</v>
      </c>
      <c r="I381" t="n">
        <v>0</v>
      </c>
      <c r="J381" t="n">
        <v>0</v>
      </c>
      <c r="K381" t="n">
        <v>0</v>
      </c>
      <c r="L381" t="n">
        <v>0</v>
      </c>
      <c r="M381" t="n">
        <v>0</v>
      </c>
      <c r="N381" t="n">
        <v>0</v>
      </c>
      <c r="O381" t="n">
        <v>0</v>
      </c>
      <c r="P381" t="n">
        <v>0</v>
      </c>
      <c r="Q381" t="n">
        <v>0</v>
      </c>
      <c r="R381" s="2" t="inlineStr"/>
    </row>
    <row r="382" ht="15" customHeight="1">
      <c r="A382" t="inlineStr">
        <is>
          <t>A 35759-2025</t>
        </is>
      </c>
      <c r="B382" s="1" t="n">
        <v>45860</v>
      </c>
      <c r="C382" s="1" t="n">
        <v>46011</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48254-2025</t>
        </is>
      </c>
      <c r="B383" s="1" t="n">
        <v>45932</v>
      </c>
      <c r="C383" s="1" t="n">
        <v>46011</v>
      </c>
      <c r="D383" t="inlineStr">
        <is>
          <t>ÖSTERGÖTLANDS LÄN</t>
        </is>
      </c>
      <c r="E383" t="inlineStr">
        <is>
          <t>LINKÖPING</t>
        </is>
      </c>
      <c r="F383" t="inlineStr">
        <is>
          <t>Övriga Aktiebolag</t>
        </is>
      </c>
      <c r="G383" t="n">
        <v>0.8</v>
      </c>
      <c r="H383" t="n">
        <v>0</v>
      </c>
      <c r="I383" t="n">
        <v>0</v>
      </c>
      <c r="J383" t="n">
        <v>0</v>
      </c>
      <c r="K383" t="n">
        <v>0</v>
      </c>
      <c r="L383" t="n">
        <v>0</v>
      </c>
      <c r="M383" t="n">
        <v>0</v>
      </c>
      <c r="N383" t="n">
        <v>0</v>
      </c>
      <c r="O383" t="n">
        <v>0</v>
      </c>
      <c r="P383" t="n">
        <v>0</v>
      </c>
      <c r="Q383" t="n">
        <v>0</v>
      </c>
      <c r="R383" s="2" t="inlineStr"/>
    </row>
    <row r="384" ht="15" customHeight="1">
      <c r="A384" t="inlineStr">
        <is>
          <t>A 48266-2025</t>
        </is>
      </c>
      <c r="B384" s="1" t="n">
        <v>45932</v>
      </c>
      <c r="C384" s="1" t="n">
        <v>46011</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56105-2025</t>
        </is>
      </c>
      <c r="B385" s="1" t="n">
        <v>45973.72855324074</v>
      </c>
      <c r="C385" s="1" t="n">
        <v>46011</v>
      </c>
      <c r="D385" t="inlineStr">
        <is>
          <t>ÖSTERGÖTLANDS LÄN</t>
        </is>
      </c>
      <c r="E385" t="inlineStr">
        <is>
          <t>LINKÖPING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1260-2023</t>
        </is>
      </c>
      <c r="B386" s="1" t="n">
        <v>44936</v>
      </c>
      <c r="C386" s="1" t="n">
        <v>46011</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7702-2023</t>
        </is>
      </c>
      <c r="B387" s="1" t="n">
        <v>44967</v>
      </c>
      <c r="C387" s="1" t="n">
        <v>46011</v>
      </c>
      <c r="D387" t="inlineStr">
        <is>
          <t>ÖSTERGÖTLANDS LÄN</t>
        </is>
      </c>
      <c r="E387" t="inlineStr">
        <is>
          <t>LINKÖPING</t>
        </is>
      </c>
      <c r="F387" t="inlineStr">
        <is>
          <t>Övriga statliga verk och myndigheter</t>
        </is>
      </c>
      <c r="G387" t="n">
        <v>8</v>
      </c>
      <c r="H387" t="n">
        <v>0</v>
      </c>
      <c r="I387" t="n">
        <v>0</v>
      </c>
      <c r="J387" t="n">
        <v>0</v>
      </c>
      <c r="K387" t="n">
        <v>0</v>
      </c>
      <c r="L387" t="n">
        <v>0</v>
      </c>
      <c r="M387" t="n">
        <v>0</v>
      </c>
      <c r="N387" t="n">
        <v>0</v>
      </c>
      <c r="O387" t="n">
        <v>0</v>
      </c>
      <c r="P387" t="n">
        <v>0</v>
      </c>
      <c r="Q387" t="n">
        <v>0</v>
      </c>
      <c r="R387" s="2" t="inlineStr"/>
    </row>
    <row r="388" ht="15" customHeight="1">
      <c r="A388" t="inlineStr">
        <is>
          <t>A 674-2024</t>
        </is>
      </c>
      <c r="B388" s="1" t="n">
        <v>45300.34408564815</v>
      </c>
      <c r="C388" s="1" t="n">
        <v>46011</v>
      </c>
      <c r="D388" t="inlineStr">
        <is>
          <t>ÖSTERGÖTLANDS LÄN</t>
        </is>
      </c>
      <c r="E388" t="inlineStr">
        <is>
          <t>LINKÖPING</t>
        </is>
      </c>
      <c r="F388" t="inlineStr">
        <is>
          <t>Sveaskog</t>
        </is>
      </c>
      <c r="G388" t="n">
        <v>2.9</v>
      </c>
      <c r="H388" t="n">
        <v>0</v>
      </c>
      <c r="I388" t="n">
        <v>0</v>
      </c>
      <c r="J388" t="n">
        <v>0</v>
      </c>
      <c r="K388" t="n">
        <v>0</v>
      </c>
      <c r="L388" t="n">
        <v>0</v>
      </c>
      <c r="M388" t="n">
        <v>0</v>
      </c>
      <c r="N388" t="n">
        <v>0</v>
      </c>
      <c r="O388" t="n">
        <v>0</v>
      </c>
      <c r="P388" t="n">
        <v>0</v>
      </c>
      <c r="Q388" t="n">
        <v>0</v>
      </c>
      <c r="R388" s="2" t="inlineStr"/>
    </row>
    <row r="389" ht="15" customHeight="1">
      <c r="A389" t="inlineStr">
        <is>
          <t>A 63684-2023</t>
        </is>
      </c>
      <c r="B389" s="1" t="n">
        <v>45275</v>
      </c>
      <c r="C389" s="1" t="n">
        <v>46011</v>
      </c>
      <c r="D389" t="inlineStr">
        <is>
          <t>ÖSTERGÖTLANDS LÄN</t>
        </is>
      </c>
      <c r="E389" t="inlineStr">
        <is>
          <t>LINKÖPING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167-2024</t>
        </is>
      </c>
      <c r="B390" s="1" t="n">
        <v>45294</v>
      </c>
      <c r="C390" s="1" t="n">
        <v>46011</v>
      </c>
      <c r="D390" t="inlineStr">
        <is>
          <t>ÖSTERGÖTLANDS LÄN</t>
        </is>
      </c>
      <c r="E390" t="inlineStr">
        <is>
          <t>LINKÖPING</t>
        </is>
      </c>
      <c r="F390" t="inlineStr">
        <is>
          <t>Allmännings- och besparingsskogar</t>
        </is>
      </c>
      <c r="G390" t="n">
        <v>11.6</v>
      </c>
      <c r="H390" t="n">
        <v>0</v>
      </c>
      <c r="I390" t="n">
        <v>0</v>
      </c>
      <c r="J390" t="n">
        <v>0</v>
      </c>
      <c r="K390" t="n">
        <v>0</v>
      </c>
      <c r="L390" t="n">
        <v>0</v>
      </c>
      <c r="M390" t="n">
        <v>0</v>
      </c>
      <c r="N390" t="n">
        <v>0</v>
      </c>
      <c r="O390" t="n">
        <v>0</v>
      </c>
      <c r="P390" t="n">
        <v>0</v>
      </c>
      <c r="Q390" t="n">
        <v>0</v>
      </c>
      <c r="R390" s="2" t="inlineStr"/>
    </row>
    <row r="391" ht="15" customHeight="1">
      <c r="A391" t="inlineStr">
        <is>
          <t>A 36725-2023</t>
        </is>
      </c>
      <c r="B391" s="1" t="n">
        <v>45153.68471064815</v>
      </c>
      <c r="C391" s="1" t="n">
        <v>46011</v>
      </c>
      <c r="D391" t="inlineStr">
        <is>
          <t>ÖSTERGÖTLANDS LÄN</t>
        </is>
      </c>
      <c r="E391" t="inlineStr">
        <is>
          <t>LINKÖPING</t>
        </is>
      </c>
      <c r="F391" t="inlineStr">
        <is>
          <t>Allmännings- och besparingsskogar</t>
        </is>
      </c>
      <c r="G391" t="n">
        <v>2.6</v>
      </c>
      <c r="H391" t="n">
        <v>0</v>
      </c>
      <c r="I391" t="n">
        <v>0</v>
      </c>
      <c r="J391" t="n">
        <v>0</v>
      </c>
      <c r="K391" t="n">
        <v>0</v>
      </c>
      <c r="L391" t="n">
        <v>0</v>
      </c>
      <c r="M391" t="n">
        <v>0</v>
      </c>
      <c r="N391" t="n">
        <v>0</v>
      </c>
      <c r="O391" t="n">
        <v>0</v>
      </c>
      <c r="P391" t="n">
        <v>0</v>
      </c>
      <c r="Q391" t="n">
        <v>0</v>
      </c>
      <c r="R391" s="2" t="inlineStr"/>
    </row>
    <row r="392" ht="15" customHeight="1">
      <c r="A392" t="inlineStr">
        <is>
          <t>A 56704-2025</t>
        </is>
      </c>
      <c r="B392" s="1" t="n">
        <v>45977.50608796296</v>
      </c>
      <c r="C392" s="1" t="n">
        <v>46011</v>
      </c>
      <c r="D392" t="inlineStr">
        <is>
          <t>ÖSTERGÖTLANDS LÄN</t>
        </is>
      </c>
      <c r="E392" t="inlineStr">
        <is>
          <t>LINKÖPING</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27343-2023</t>
        </is>
      </c>
      <c r="B393" s="1" t="n">
        <v>45096</v>
      </c>
      <c r="C393" s="1" t="n">
        <v>46011</v>
      </c>
      <c r="D393" t="inlineStr">
        <is>
          <t>ÖSTERGÖTLANDS LÄN</t>
        </is>
      </c>
      <c r="E393" t="inlineStr">
        <is>
          <t>LINKÖPING</t>
        </is>
      </c>
      <c r="F393" t="inlineStr">
        <is>
          <t>Allmännings- och besparingsskogar</t>
        </is>
      </c>
      <c r="G393" t="n">
        <v>6.9</v>
      </c>
      <c r="H393" t="n">
        <v>0</v>
      </c>
      <c r="I393" t="n">
        <v>0</v>
      </c>
      <c r="J393" t="n">
        <v>0</v>
      </c>
      <c r="K393" t="n">
        <v>0</v>
      </c>
      <c r="L393" t="n">
        <v>0</v>
      </c>
      <c r="M393" t="n">
        <v>0</v>
      </c>
      <c r="N393" t="n">
        <v>0</v>
      </c>
      <c r="O393" t="n">
        <v>0</v>
      </c>
      <c r="P393" t="n">
        <v>0</v>
      </c>
      <c r="Q393" t="n">
        <v>0</v>
      </c>
      <c r="R393" s="2" t="inlineStr"/>
    </row>
    <row r="394" ht="15" customHeight="1">
      <c r="A394" t="inlineStr">
        <is>
          <t>A 22774-2024</t>
        </is>
      </c>
      <c r="B394" s="1" t="n">
        <v>45448.46924768519</v>
      </c>
      <c r="C394" s="1" t="n">
        <v>46011</v>
      </c>
      <c r="D394" t="inlineStr">
        <is>
          <t>ÖSTERGÖTLANDS LÄN</t>
        </is>
      </c>
      <c r="E394" t="inlineStr">
        <is>
          <t>LINKÖPING</t>
        </is>
      </c>
      <c r="F394" t="inlineStr">
        <is>
          <t>Sveaskog</t>
        </is>
      </c>
      <c r="G394" t="n">
        <v>3.3</v>
      </c>
      <c r="H394" t="n">
        <v>0</v>
      </c>
      <c r="I394" t="n">
        <v>0</v>
      </c>
      <c r="J394" t="n">
        <v>0</v>
      </c>
      <c r="K394" t="n">
        <v>0</v>
      </c>
      <c r="L394" t="n">
        <v>0</v>
      </c>
      <c r="M394" t="n">
        <v>0</v>
      </c>
      <c r="N394" t="n">
        <v>0</v>
      </c>
      <c r="O394" t="n">
        <v>0</v>
      </c>
      <c r="P394" t="n">
        <v>0</v>
      </c>
      <c r="Q394" t="n">
        <v>0</v>
      </c>
      <c r="R394" s="2" t="inlineStr"/>
    </row>
    <row r="395" ht="15" customHeight="1">
      <c r="A395" t="inlineStr">
        <is>
          <t>A 22778-2024</t>
        </is>
      </c>
      <c r="B395" s="1" t="n">
        <v>45448.47233796296</v>
      </c>
      <c r="C395" s="1" t="n">
        <v>46011</v>
      </c>
      <c r="D395" t="inlineStr">
        <is>
          <t>ÖSTERGÖTLANDS LÄN</t>
        </is>
      </c>
      <c r="E395" t="inlineStr">
        <is>
          <t>LINKÖPING</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34864-2023</t>
        </is>
      </c>
      <c r="B396" s="1" t="n">
        <v>45141</v>
      </c>
      <c r="C396" s="1" t="n">
        <v>46011</v>
      </c>
      <c r="D396" t="inlineStr">
        <is>
          <t>ÖSTERGÖTLANDS LÄN</t>
        </is>
      </c>
      <c r="E396" t="inlineStr">
        <is>
          <t>LINKÖPING</t>
        </is>
      </c>
      <c r="G396" t="n">
        <v>3.3</v>
      </c>
      <c r="H396" t="n">
        <v>0</v>
      </c>
      <c r="I396" t="n">
        <v>0</v>
      </c>
      <c r="J396" t="n">
        <v>0</v>
      </c>
      <c r="K396" t="n">
        <v>0</v>
      </c>
      <c r="L396" t="n">
        <v>0</v>
      </c>
      <c r="M396" t="n">
        <v>0</v>
      </c>
      <c r="N396" t="n">
        <v>0</v>
      </c>
      <c r="O396" t="n">
        <v>0</v>
      </c>
      <c r="P396" t="n">
        <v>0</v>
      </c>
      <c r="Q396" t="n">
        <v>0</v>
      </c>
      <c r="R396" s="2" t="inlineStr"/>
    </row>
    <row r="397" ht="15" customHeight="1">
      <c r="A397" t="inlineStr">
        <is>
          <t>A 52531-2023</t>
        </is>
      </c>
      <c r="B397" s="1" t="n">
        <v>45225</v>
      </c>
      <c r="C397" s="1" t="n">
        <v>46011</v>
      </c>
      <c r="D397" t="inlineStr">
        <is>
          <t>ÖSTERGÖTLANDS LÄN</t>
        </is>
      </c>
      <c r="E397" t="inlineStr">
        <is>
          <t>LINKÖPING</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34930-2023</t>
        </is>
      </c>
      <c r="B398" s="1" t="n">
        <v>45142</v>
      </c>
      <c r="C398" s="1" t="n">
        <v>46011</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30985-2022</t>
        </is>
      </c>
      <c r="B399" s="1" t="n">
        <v>44768</v>
      </c>
      <c r="C399" s="1" t="n">
        <v>46011</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56403-2025</t>
        </is>
      </c>
      <c r="B400" s="1" t="n">
        <v>45974</v>
      </c>
      <c r="C400" s="1" t="n">
        <v>46011</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49605-2025</t>
        </is>
      </c>
      <c r="B401" s="1" t="n">
        <v>45938</v>
      </c>
      <c r="C401" s="1" t="n">
        <v>46011</v>
      </c>
      <c r="D401" t="inlineStr">
        <is>
          <t>ÖSTERGÖTLANDS LÄN</t>
        </is>
      </c>
      <c r="E401" t="inlineStr">
        <is>
          <t>LINKÖPING</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37057-2025</t>
        </is>
      </c>
      <c r="B402" s="1" t="n">
        <v>45875.37489583333</v>
      </c>
      <c r="C402" s="1" t="n">
        <v>46011</v>
      </c>
      <c r="D402" t="inlineStr">
        <is>
          <t>ÖSTERGÖTLANDS LÄN</t>
        </is>
      </c>
      <c r="E402" t="inlineStr">
        <is>
          <t>LINKÖPING</t>
        </is>
      </c>
      <c r="G402" t="n">
        <v>3.3</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46011</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46011</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46011</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46011</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49652-2025</t>
        </is>
      </c>
      <c r="B407" s="1" t="n">
        <v>45938</v>
      </c>
      <c r="C407" s="1" t="n">
        <v>46011</v>
      </c>
      <c r="D407" t="inlineStr">
        <is>
          <t>ÖSTERGÖTLANDS LÄN</t>
        </is>
      </c>
      <c r="E407" t="inlineStr">
        <is>
          <t>LINKÖPING</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49654-2025</t>
        </is>
      </c>
      <c r="B408" s="1" t="n">
        <v>45938</v>
      </c>
      <c r="C408" s="1" t="n">
        <v>46011</v>
      </c>
      <c r="D408" t="inlineStr">
        <is>
          <t>ÖSTERGÖTLANDS LÄN</t>
        </is>
      </c>
      <c r="E408" t="inlineStr">
        <is>
          <t>LINKÖPING</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59642-2024</t>
        </is>
      </c>
      <c r="B409" s="1" t="n">
        <v>45639.31511574074</v>
      </c>
      <c r="C409" s="1" t="n">
        <v>46011</v>
      </c>
      <c r="D409" t="inlineStr">
        <is>
          <t>ÖSTERGÖTLANDS LÄN</t>
        </is>
      </c>
      <c r="E409" t="inlineStr">
        <is>
          <t>LINKÖPING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49619-2025</t>
        </is>
      </c>
      <c r="B410" s="1" t="n">
        <v>45938</v>
      </c>
      <c r="C410" s="1" t="n">
        <v>46011</v>
      </c>
      <c r="D410" t="inlineStr">
        <is>
          <t>ÖSTERGÖTLANDS LÄN</t>
        </is>
      </c>
      <c r="E410" t="inlineStr">
        <is>
          <t>LINKÖPING</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49629-2025</t>
        </is>
      </c>
      <c r="B411" s="1" t="n">
        <v>45938</v>
      </c>
      <c r="C411" s="1" t="n">
        <v>46011</v>
      </c>
      <c r="D411" t="inlineStr">
        <is>
          <t>ÖSTERGÖTLANDS LÄN</t>
        </is>
      </c>
      <c r="E411" t="inlineStr">
        <is>
          <t>LINKÖPING</t>
        </is>
      </c>
      <c r="F411" t="inlineStr">
        <is>
          <t>Övriga Aktiebolag</t>
        </is>
      </c>
      <c r="G411" t="n">
        <v>4.5</v>
      </c>
      <c r="H411" t="n">
        <v>0</v>
      </c>
      <c r="I411" t="n">
        <v>0</v>
      </c>
      <c r="J411" t="n">
        <v>0</v>
      </c>
      <c r="K411" t="n">
        <v>0</v>
      </c>
      <c r="L411" t="n">
        <v>0</v>
      </c>
      <c r="M411" t="n">
        <v>0</v>
      </c>
      <c r="N411" t="n">
        <v>0</v>
      </c>
      <c r="O411" t="n">
        <v>0</v>
      </c>
      <c r="P411" t="n">
        <v>0</v>
      </c>
      <c r="Q411" t="n">
        <v>0</v>
      </c>
      <c r="R411" s="2" t="inlineStr"/>
    </row>
    <row r="412" ht="15" customHeight="1">
      <c r="A412" t="inlineStr">
        <is>
          <t>A 49650-2025</t>
        </is>
      </c>
      <c r="B412" s="1" t="n">
        <v>45938</v>
      </c>
      <c r="C412" s="1" t="n">
        <v>46011</v>
      </c>
      <c r="D412" t="inlineStr">
        <is>
          <t>ÖSTERGÖTLANDS LÄN</t>
        </is>
      </c>
      <c r="E412" t="inlineStr">
        <is>
          <t>LINKÖPING</t>
        </is>
      </c>
      <c r="F412" t="inlineStr">
        <is>
          <t>Övriga Aktiebolag</t>
        </is>
      </c>
      <c r="G412" t="n">
        <v>1.5</v>
      </c>
      <c r="H412" t="n">
        <v>0</v>
      </c>
      <c r="I412" t="n">
        <v>0</v>
      </c>
      <c r="J412" t="n">
        <v>0</v>
      </c>
      <c r="K412" t="n">
        <v>0</v>
      </c>
      <c r="L412" t="n">
        <v>0</v>
      </c>
      <c r="M412" t="n">
        <v>0</v>
      </c>
      <c r="N412" t="n">
        <v>0</v>
      </c>
      <c r="O412" t="n">
        <v>0</v>
      </c>
      <c r="P412" t="n">
        <v>0</v>
      </c>
      <c r="Q412" t="n">
        <v>0</v>
      </c>
      <c r="R412" s="2" t="inlineStr"/>
    </row>
    <row r="413" ht="15" customHeight="1">
      <c r="A413" t="inlineStr">
        <is>
          <t>A 15748-2025</t>
        </is>
      </c>
      <c r="B413" s="1" t="n">
        <v>45748.55282407408</v>
      </c>
      <c r="C413" s="1" t="n">
        <v>46011</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25829-2025</t>
        </is>
      </c>
      <c r="B414" s="1" t="n">
        <v>45804.44505787037</v>
      </c>
      <c r="C414" s="1" t="n">
        <v>46011</v>
      </c>
      <c r="D414" t="inlineStr">
        <is>
          <t>ÖSTERGÖTLANDS LÄN</t>
        </is>
      </c>
      <c r="E414" t="inlineStr">
        <is>
          <t>LINKÖPING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49632-2025</t>
        </is>
      </c>
      <c r="B415" s="1" t="n">
        <v>45938</v>
      </c>
      <c r="C415" s="1" t="n">
        <v>46011</v>
      </c>
      <c r="D415" t="inlineStr">
        <is>
          <t>ÖSTERGÖTLANDS LÄN</t>
        </is>
      </c>
      <c r="E415" t="inlineStr">
        <is>
          <t>LINKÖPING</t>
        </is>
      </c>
      <c r="F415" t="inlineStr">
        <is>
          <t>Övriga Aktiebolag</t>
        </is>
      </c>
      <c r="G415" t="n">
        <v>1.6</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46011</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25097-2023</t>
        </is>
      </c>
      <c r="B417" s="1" t="n">
        <v>45086</v>
      </c>
      <c r="C417" s="1" t="n">
        <v>46011</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49615-2025</t>
        </is>
      </c>
      <c r="B418" s="1" t="n">
        <v>45938</v>
      </c>
      <c r="C418" s="1" t="n">
        <v>46011</v>
      </c>
      <c r="D418" t="inlineStr">
        <is>
          <t>ÖSTERGÖTLANDS LÄN</t>
        </is>
      </c>
      <c r="E418" t="inlineStr">
        <is>
          <t>LINKÖPING</t>
        </is>
      </c>
      <c r="F418" t="inlineStr">
        <is>
          <t>Övriga Aktiebolag</t>
        </is>
      </c>
      <c r="G418" t="n">
        <v>1.6</v>
      </c>
      <c r="H418" t="n">
        <v>0</v>
      </c>
      <c r="I418" t="n">
        <v>0</v>
      </c>
      <c r="J418" t="n">
        <v>0</v>
      </c>
      <c r="K418" t="n">
        <v>0</v>
      </c>
      <c r="L418" t="n">
        <v>0</v>
      </c>
      <c r="M418" t="n">
        <v>0</v>
      </c>
      <c r="N418" t="n">
        <v>0</v>
      </c>
      <c r="O418" t="n">
        <v>0</v>
      </c>
      <c r="P418" t="n">
        <v>0</v>
      </c>
      <c r="Q418" t="n">
        <v>0</v>
      </c>
      <c r="R418" s="2" t="inlineStr"/>
    </row>
    <row r="419" ht="15" customHeight="1">
      <c r="A419" t="inlineStr">
        <is>
          <t>A 35735-2023</t>
        </is>
      </c>
      <c r="B419" s="1" t="n">
        <v>45147</v>
      </c>
      <c r="C419" s="1" t="n">
        <v>46011</v>
      </c>
      <c r="D419" t="inlineStr">
        <is>
          <t>ÖSTERGÖTLANDS LÄN</t>
        </is>
      </c>
      <c r="E419" t="inlineStr">
        <is>
          <t>LINKÖPING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16462-2021</t>
        </is>
      </c>
      <c r="B420" s="1" t="n">
        <v>44293</v>
      </c>
      <c r="C420" s="1" t="n">
        <v>46011</v>
      </c>
      <c r="D420" t="inlineStr">
        <is>
          <t>ÖSTERGÖTLANDS LÄN</t>
        </is>
      </c>
      <c r="E420" t="inlineStr">
        <is>
          <t>LINKÖPING</t>
        </is>
      </c>
      <c r="F420" t="inlineStr">
        <is>
          <t>Allmännings- och besparingsskogar</t>
        </is>
      </c>
      <c r="G420" t="n">
        <v>24.7</v>
      </c>
      <c r="H420" t="n">
        <v>0</v>
      </c>
      <c r="I420" t="n">
        <v>0</v>
      </c>
      <c r="J420" t="n">
        <v>0</v>
      </c>
      <c r="K420" t="n">
        <v>0</v>
      </c>
      <c r="L420" t="n">
        <v>0</v>
      </c>
      <c r="M420" t="n">
        <v>0</v>
      </c>
      <c r="N420" t="n">
        <v>0</v>
      </c>
      <c r="O420" t="n">
        <v>0</v>
      </c>
      <c r="P420" t="n">
        <v>0</v>
      </c>
      <c r="Q420" t="n">
        <v>0</v>
      </c>
      <c r="R420" s="2" t="inlineStr"/>
    </row>
    <row r="421" ht="15" customHeight="1">
      <c r="A421" t="inlineStr">
        <is>
          <t>A 25776-2021</t>
        </is>
      </c>
      <c r="B421" s="1" t="n">
        <v>44343</v>
      </c>
      <c r="C421" s="1" t="n">
        <v>46011</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30856-2022</t>
        </is>
      </c>
      <c r="B422" s="1" t="n">
        <v>44767</v>
      </c>
      <c r="C422" s="1" t="n">
        <v>46011</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19187-2021</t>
        </is>
      </c>
      <c r="B423" s="1" t="n">
        <v>44308</v>
      </c>
      <c r="C423" s="1" t="n">
        <v>46011</v>
      </c>
      <c r="D423" t="inlineStr">
        <is>
          <t>ÖSTERGÖTLANDS LÄN</t>
        </is>
      </c>
      <c r="E423" t="inlineStr">
        <is>
          <t>LINKÖPING</t>
        </is>
      </c>
      <c r="F423" t="inlineStr">
        <is>
          <t>Allmännings- och besparingsskogar</t>
        </is>
      </c>
      <c r="G423" t="n">
        <v>20</v>
      </c>
      <c r="H423" t="n">
        <v>0</v>
      </c>
      <c r="I423" t="n">
        <v>0</v>
      </c>
      <c r="J423" t="n">
        <v>0</v>
      </c>
      <c r="K423" t="n">
        <v>0</v>
      </c>
      <c r="L423" t="n">
        <v>0</v>
      </c>
      <c r="M423" t="n">
        <v>0</v>
      </c>
      <c r="N423" t="n">
        <v>0</v>
      </c>
      <c r="O423" t="n">
        <v>0</v>
      </c>
      <c r="P423" t="n">
        <v>0</v>
      </c>
      <c r="Q423" t="n">
        <v>0</v>
      </c>
      <c r="R423" s="2" t="inlineStr"/>
    </row>
    <row r="424" ht="15" customHeight="1">
      <c r="A424" t="inlineStr">
        <is>
          <t>A 39219-2021</t>
        </is>
      </c>
      <c r="B424" s="1" t="n">
        <v>44413</v>
      </c>
      <c r="C424" s="1" t="n">
        <v>46011</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39224-2021</t>
        </is>
      </c>
      <c r="B425" s="1" t="n">
        <v>44413</v>
      </c>
      <c r="C425" s="1" t="n">
        <v>46011</v>
      </c>
      <c r="D425" t="inlineStr">
        <is>
          <t>ÖSTERGÖTLANDS LÄN</t>
        </is>
      </c>
      <c r="E425" t="inlineStr">
        <is>
          <t>LINKÖPING</t>
        </is>
      </c>
      <c r="G425" t="n">
        <v>2.1</v>
      </c>
      <c r="H425" t="n">
        <v>0</v>
      </c>
      <c r="I425" t="n">
        <v>0</v>
      </c>
      <c r="J425" t="n">
        <v>0</v>
      </c>
      <c r="K425" t="n">
        <v>0</v>
      </c>
      <c r="L425" t="n">
        <v>0</v>
      </c>
      <c r="M425" t="n">
        <v>0</v>
      </c>
      <c r="N425" t="n">
        <v>0</v>
      </c>
      <c r="O425" t="n">
        <v>0</v>
      </c>
      <c r="P425" t="n">
        <v>0</v>
      </c>
      <c r="Q425" t="n">
        <v>0</v>
      </c>
      <c r="R425" s="2" t="inlineStr"/>
    </row>
    <row r="426" ht="15" customHeight="1">
      <c r="A426" t="inlineStr">
        <is>
          <t>A 43934-2023</t>
        </is>
      </c>
      <c r="B426" s="1" t="n">
        <v>45187</v>
      </c>
      <c r="C426" s="1" t="n">
        <v>46011</v>
      </c>
      <c r="D426" t="inlineStr">
        <is>
          <t>ÖSTERGÖTLANDS LÄN</t>
        </is>
      </c>
      <c r="E426" t="inlineStr">
        <is>
          <t>LINKÖPING</t>
        </is>
      </c>
      <c r="F426" t="inlineStr">
        <is>
          <t>Övriga Aktiebolag</t>
        </is>
      </c>
      <c r="G426" t="n">
        <v>3.8</v>
      </c>
      <c r="H426" t="n">
        <v>0</v>
      </c>
      <c r="I426" t="n">
        <v>0</v>
      </c>
      <c r="J426" t="n">
        <v>0</v>
      </c>
      <c r="K426" t="n">
        <v>0</v>
      </c>
      <c r="L426" t="n">
        <v>0</v>
      </c>
      <c r="M426" t="n">
        <v>0</v>
      </c>
      <c r="N426" t="n">
        <v>0</v>
      </c>
      <c r="O426" t="n">
        <v>0</v>
      </c>
      <c r="P426" t="n">
        <v>0</v>
      </c>
      <c r="Q426" t="n">
        <v>0</v>
      </c>
      <c r="R426" s="2" t="inlineStr"/>
    </row>
    <row r="427" ht="15" customHeight="1">
      <c r="A427" t="inlineStr">
        <is>
          <t>A 40983-2025</t>
        </is>
      </c>
      <c r="B427" s="1" t="n">
        <v>45898</v>
      </c>
      <c r="C427" s="1" t="n">
        <v>46011</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38046-2025</t>
        </is>
      </c>
      <c r="B428" s="1" t="n">
        <v>45882.39939814815</v>
      </c>
      <c r="C428" s="1" t="n">
        <v>46011</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50056-2025</t>
        </is>
      </c>
      <c r="B429" s="1" t="n">
        <v>45941</v>
      </c>
      <c r="C429" s="1" t="n">
        <v>46011</v>
      </c>
      <c r="D429" t="inlineStr">
        <is>
          <t>ÖSTERGÖTLANDS LÄN</t>
        </is>
      </c>
      <c r="E429" t="inlineStr">
        <is>
          <t>LINKÖPING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55004-2025</t>
        </is>
      </c>
      <c r="B430" s="1" t="n">
        <v>45967</v>
      </c>
      <c r="C430" s="1" t="n">
        <v>46011</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58802-2025</t>
        </is>
      </c>
      <c r="B431" s="1" t="n">
        <v>45986.8768287037</v>
      </c>
      <c r="C431" s="1" t="n">
        <v>46011</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50667-2025</t>
        </is>
      </c>
      <c r="B432" s="1" t="n">
        <v>45945</v>
      </c>
      <c r="C432" s="1" t="n">
        <v>46011</v>
      </c>
      <c r="D432" t="inlineStr">
        <is>
          <t>ÖSTERGÖTLANDS LÄN</t>
        </is>
      </c>
      <c r="E432" t="inlineStr">
        <is>
          <t>LINKÖPING</t>
        </is>
      </c>
      <c r="G432" t="n">
        <v>3.3</v>
      </c>
      <c r="H432" t="n">
        <v>0</v>
      </c>
      <c r="I432" t="n">
        <v>0</v>
      </c>
      <c r="J432" t="n">
        <v>0</v>
      </c>
      <c r="K432" t="n">
        <v>0</v>
      </c>
      <c r="L432" t="n">
        <v>0</v>
      </c>
      <c r="M432" t="n">
        <v>0</v>
      </c>
      <c r="N432" t="n">
        <v>0</v>
      </c>
      <c r="O432" t="n">
        <v>0</v>
      </c>
      <c r="P432" t="n">
        <v>0</v>
      </c>
      <c r="Q432" t="n">
        <v>0</v>
      </c>
      <c r="R432" s="2" t="inlineStr"/>
    </row>
    <row r="433" ht="15" customHeight="1">
      <c r="A433" t="inlineStr">
        <is>
          <t>A 7354-2025</t>
        </is>
      </c>
      <c r="B433" s="1" t="n">
        <v>45704.41174768518</v>
      </c>
      <c r="C433" s="1" t="n">
        <v>46011</v>
      </c>
      <c r="D433" t="inlineStr">
        <is>
          <t>ÖSTERGÖTLANDS LÄN</t>
        </is>
      </c>
      <c r="E433" t="inlineStr">
        <is>
          <t>LINKÖPING</t>
        </is>
      </c>
      <c r="G433" t="n">
        <v>4.8</v>
      </c>
      <c r="H433" t="n">
        <v>0</v>
      </c>
      <c r="I433" t="n">
        <v>0</v>
      </c>
      <c r="J433" t="n">
        <v>0</v>
      </c>
      <c r="K433" t="n">
        <v>0</v>
      </c>
      <c r="L433" t="n">
        <v>0</v>
      </c>
      <c r="M433" t="n">
        <v>0</v>
      </c>
      <c r="N433" t="n">
        <v>0</v>
      </c>
      <c r="O433" t="n">
        <v>0</v>
      </c>
      <c r="P433" t="n">
        <v>0</v>
      </c>
      <c r="Q433" t="n">
        <v>0</v>
      </c>
      <c r="R433" s="2" t="inlineStr"/>
    </row>
    <row r="434" ht="15" customHeight="1">
      <c r="A434" t="inlineStr">
        <is>
          <t>A 63935-2021</t>
        </is>
      </c>
      <c r="B434" s="1" t="n">
        <v>44509</v>
      </c>
      <c r="C434" s="1" t="n">
        <v>46011</v>
      </c>
      <c r="D434" t="inlineStr">
        <is>
          <t>ÖSTERGÖTLANDS LÄN</t>
        </is>
      </c>
      <c r="E434" t="inlineStr">
        <is>
          <t>LINKÖPING</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40810-2022</t>
        </is>
      </c>
      <c r="B435" s="1" t="n">
        <v>44824</v>
      </c>
      <c r="C435" s="1" t="n">
        <v>46011</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59472-2025</t>
        </is>
      </c>
      <c r="B436" s="1" t="n">
        <v>45989.58321759259</v>
      </c>
      <c r="C436" s="1" t="n">
        <v>46011</v>
      </c>
      <c r="D436" t="inlineStr">
        <is>
          <t>ÖSTERGÖTLANDS LÄN</t>
        </is>
      </c>
      <c r="E436" t="inlineStr">
        <is>
          <t>LINKÖPING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20298-2025</t>
        </is>
      </c>
      <c r="B437" s="1" t="n">
        <v>45774.75024305555</v>
      </c>
      <c r="C437" s="1" t="n">
        <v>46011</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51802-2025</t>
        </is>
      </c>
      <c r="B438" s="1" t="n">
        <v>45950</v>
      </c>
      <c r="C438" s="1" t="n">
        <v>46011</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14576-2023</t>
        </is>
      </c>
      <c r="B439" s="1" t="n">
        <v>45013</v>
      </c>
      <c r="C439" s="1" t="n">
        <v>46011</v>
      </c>
      <c r="D439" t="inlineStr">
        <is>
          <t>ÖSTERGÖTLANDS LÄN</t>
        </is>
      </c>
      <c r="E439" t="inlineStr">
        <is>
          <t>LINKÖPING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10253-2022</t>
        </is>
      </c>
      <c r="B440" s="1" t="n">
        <v>44622</v>
      </c>
      <c r="C440" s="1" t="n">
        <v>46011</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12089-2025</t>
        </is>
      </c>
      <c r="B441" s="1" t="n">
        <v>45729</v>
      </c>
      <c r="C441" s="1" t="n">
        <v>46011</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60087-2025</t>
        </is>
      </c>
      <c r="B442" s="1" t="n">
        <v>45993.71726851852</v>
      </c>
      <c r="C442" s="1" t="n">
        <v>46011</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60284-2025</t>
        </is>
      </c>
      <c r="B443" s="1" t="n">
        <v>45994.64373842593</v>
      </c>
      <c r="C443" s="1" t="n">
        <v>46011</v>
      </c>
      <c r="D443" t="inlineStr">
        <is>
          <t>ÖSTERGÖTLANDS LÄN</t>
        </is>
      </c>
      <c r="E443" t="inlineStr">
        <is>
          <t>LINKÖPING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60306-2025</t>
        </is>
      </c>
      <c r="B444" s="1" t="n">
        <v>45994.68326388889</v>
      </c>
      <c r="C444" s="1" t="n">
        <v>46011</v>
      </c>
      <c r="D444" t="inlineStr">
        <is>
          <t>ÖSTERGÖTLANDS LÄN</t>
        </is>
      </c>
      <c r="E444" t="inlineStr">
        <is>
          <t>LINKÖPING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52111-2025</t>
        </is>
      </c>
      <c r="B445" s="1" t="n">
        <v>45952.69527777778</v>
      </c>
      <c r="C445" s="1" t="n">
        <v>46011</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62321-2022</t>
        </is>
      </c>
      <c r="B446" s="1" t="n">
        <v>44916</v>
      </c>
      <c r="C446" s="1" t="n">
        <v>46011</v>
      </c>
      <c r="D446" t="inlineStr">
        <is>
          <t>ÖSTERGÖTLANDS LÄN</t>
        </is>
      </c>
      <c r="E446" t="inlineStr">
        <is>
          <t>LINKÖPING</t>
        </is>
      </c>
      <c r="F446" t="inlineStr">
        <is>
          <t>Kommuner</t>
        </is>
      </c>
      <c r="G446" t="n">
        <v>5.3</v>
      </c>
      <c r="H446" t="n">
        <v>0</v>
      </c>
      <c r="I446" t="n">
        <v>0</v>
      </c>
      <c r="J446" t="n">
        <v>0</v>
      </c>
      <c r="K446" t="n">
        <v>0</v>
      </c>
      <c r="L446" t="n">
        <v>0</v>
      </c>
      <c r="M446" t="n">
        <v>0</v>
      </c>
      <c r="N446" t="n">
        <v>0</v>
      </c>
      <c r="O446" t="n">
        <v>0</v>
      </c>
      <c r="P446" t="n">
        <v>0</v>
      </c>
      <c r="Q446" t="n">
        <v>0</v>
      </c>
      <c r="R446" s="2" t="inlineStr"/>
    </row>
    <row r="447" ht="15" customHeight="1">
      <c r="A447" t="inlineStr">
        <is>
          <t>A 43475-2024</t>
        </is>
      </c>
      <c r="B447" s="1" t="n">
        <v>45568</v>
      </c>
      <c r="C447" s="1" t="n">
        <v>46011</v>
      </c>
      <c r="D447" t="inlineStr">
        <is>
          <t>ÖSTERGÖTLANDS LÄN</t>
        </is>
      </c>
      <c r="E447" t="inlineStr">
        <is>
          <t>LINKÖPING</t>
        </is>
      </c>
      <c r="G447" t="n">
        <v>3.2</v>
      </c>
      <c r="H447" t="n">
        <v>0</v>
      </c>
      <c r="I447" t="n">
        <v>0</v>
      </c>
      <c r="J447" t="n">
        <v>0</v>
      </c>
      <c r="K447" t="n">
        <v>0</v>
      </c>
      <c r="L447" t="n">
        <v>0</v>
      </c>
      <c r="M447" t="n">
        <v>0</v>
      </c>
      <c r="N447" t="n">
        <v>0</v>
      </c>
      <c r="O447" t="n">
        <v>0</v>
      </c>
      <c r="P447" t="n">
        <v>0</v>
      </c>
      <c r="Q447" t="n">
        <v>0</v>
      </c>
      <c r="R447" s="2" t="inlineStr"/>
    </row>
    <row r="448" ht="15" customHeight="1">
      <c r="A448" t="inlineStr">
        <is>
          <t>A 17103-2025</t>
        </is>
      </c>
      <c r="B448" s="1" t="n">
        <v>45755.66143518518</v>
      </c>
      <c r="C448" s="1" t="n">
        <v>46011</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30551-2023</t>
        </is>
      </c>
      <c r="B449" s="1" t="n">
        <v>45111</v>
      </c>
      <c r="C449" s="1" t="n">
        <v>46011</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50784-2022</t>
        </is>
      </c>
      <c r="B450" s="1" t="n">
        <v>44862</v>
      </c>
      <c r="C450" s="1" t="n">
        <v>46011</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22043-2023</t>
        </is>
      </c>
      <c r="B451" s="1" t="n">
        <v>45069.39050925926</v>
      </c>
      <c r="C451" s="1" t="n">
        <v>46011</v>
      </c>
      <c r="D451" t="inlineStr">
        <is>
          <t>ÖSTERGÖTLANDS LÄN</t>
        </is>
      </c>
      <c r="E451" t="inlineStr">
        <is>
          <t>LINKÖPING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49656-2021</t>
        </is>
      </c>
      <c r="B452" s="1" t="n">
        <v>44454</v>
      </c>
      <c r="C452" s="1" t="n">
        <v>46011</v>
      </c>
      <c r="D452" t="inlineStr">
        <is>
          <t>ÖSTERGÖTLANDS LÄN</t>
        </is>
      </c>
      <c r="E452" t="inlineStr">
        <is>
          <t>LINKÖPING</t>
        </is>
      </c>
      <c r="G452" t="n">
        <v>2.3</v>
      </c>
      <c r="H452" t="n">
        <v>0</v>
      </c>
      <c r="I452" t="n">
        <v>0</v>
      </c>
      <c r="J452" t="n">
        <v>0</v>
      </c>
      <c r="K452" t="n">
        <v>0</v>
      </c>
      <c r="L452" t="n">
        <v>0</v>
      </c>
      <c r="M452" t="n">
        <v>0</v>
      </c>
      <c r="N452" t="n">
        <v>0</v>
      </c>
      <c r="O452" t="n">
        <v>0</v>
      </c>
      <c r="P452" t="n">
        <v>0</v>
      </c>
      <c r="Q452" t="n">
        <v>0</v>
      </c>
      <c r="R452" s="2" t="inlineStr"/>
    </row>
    <row r="453" ht="15" customHeight="1">
      <c r="A453" t="inlineStr">
        <is>
          <t>A 30465-2023</t>
        </is>
      </c>
      <c r="B453" s="1" t="n">
        <v>45111</v>
      </c>
      <c r="C453" s="1" t="n">
        <v>46011</v>
      </c>
      <c r="D453" t="inlineStr">
        <is>
          <t>ÖSTERGÖTLANDS LÄN</t>
        </is>
      </c>
      <c r="E453" t="inlineStr">
        <is>
          <t>LINKÖPING</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60703-2025</t>
        </is>
      </c>
      <c r="B454" s="1" t="n">
        <v>45996.6052662037</v>
      </c>
      <c r="C454" s="1" t="n">
        <v>46011</v>
      </c>
      <c r="D454" t="inlineStr">
        <is>
          <t>ÖSTERGÖTLANDS LÄN</t>
        </is>
      </c>
      <c r="E454" t="inlineStr">
        <is>
          <t>LINKÖPING</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30521-2024</t>
        </is>
      </c>
      <c r="B455" s="1" t="n">
        <v>45492</v>
      </c>
      <c r="C455" s="1" t="n">
        <v>46011</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40618-2021</t>
        </is>
      </c>
      <c r="B456" s="1" t="n">
        <v>44420.49575231481</v>
      </c>
      <c r="C456" s="1" t="n">
        <v>46011</v>
      </c>
      <c r="D456" t="inlineStr">
        <is>
          <t>ÖSTERGÖTLANDS LÄN</t>
        </is>
      </c>
      <c r="E456" t="inlineStr">
        <is>
          <t>LINKÖPING</t>
        </is>
      </c>
      <c r="G456" t="n">
        <v>2.3</v>
      </c>
      <c r="H456" t="n">
        <v>0</v>
      </c>
      <c r="I456" t="n">
        <v>0</v>
      </c>
      <c r="J456" t="n">
        <v>0</v>
      </c>
      <c r="K456" t="n">
        <v>0</v>
      </c>
      <c r="L456" t="n">
        <v>0</v>
      </c>
      <c r="M456" t="n">
        <v>0</v>
      </c>
      <c r="N456" t="n">
        <v>0</v>
      </c>
      <c r="O456" t="n">
        <v>0</v>
      </c>
      <c r="P456" t="n">
        <v>0</v>
      </c>
      <c r="Q456" t="n">
        <v>0</v>
      </c>
      <c r="R456" s="2" t="inlineStr"/>
    </row>
    <row r="457" ht="15" customHeight="1">
      <c r="A457" t="inlineStr">
        <is>
          <t>A 23735-2023</t>
        </is>
      </c>
      <c r="B457" s="1" t="n">
        <v>45077</v>
      </c>
      <c r="C457" s="1" t="n">
        <v>46011</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350-2022</t>
        </is>
      </c>
      <c r="B458" s="1" t="n">
        <v>44565</v>
      </c>
      <c r="C458" s="1" t="n">
        <v>46011</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4256-2022</t>
        </is>
      </c>
      <c r="B459" s="1" t="n">
        <v>44588</v>
      </c>
      <c r="C459" s="1" t="n">
        <v>46011</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52800-2025</t>
        </is>
      </c>
      <c r="B460" s="1" t="n">
        <v>45957.44152777778</v>
      </c>
      <c r="C460" s="1" t="n">
        <v>46011</v>
      </c>
      <c r="D460" t="inlineStr">
        <is>
          <t>ÖSTERGÖTLANDS LÄN</t>
        </is>
      </c>
      <c r="E460" t="inlineStr">
        <is>
          <t>LINKÖPING</t>
        </is>
      </c>
      <c r="G460" t="n">
        <v>2.5</v>
      </c>
      <c r="H460" t="n">
        <v>0</v>
      </c>
      <c r="I460" t="n">
        <v>0</v>
      </c>
      <c r="J460" t="n">
        <v>0</v>
      </c>
      <c r="K460" t="n">
        <v>0</v>
      </c>
      <c r="L460" t="n">
        <v>0</v>
      </c>
      <c r="M460" t="n">
        <v>0</v>
      </c>
      <c r="N460" t="n">
        <v>0</v>
      </c>
      <c r="O460" t="n">
        <v>0</v>
      </c>
      <c r="P460" t="n">
        <v>0</v>
      </c>
      <c r="Q460" t="n">
        <v>0</v>
      </c>
      <c r="R460" s="2" t="inlineStr"/>
    </row>
    <row r="461" ht="15" customHeight="1">
      <c r="A461" t="inlineStr">
        <is>
          <t>A 52802-2025</t>
        </is>
      </c>
      <c r="B461" s="1" t="n">
        <v>45957.44295138889</v>
      </c>
      <c r="C461" s="1" t="n">
        <v>46011</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25948-2023</t>
        </is>
      </c>
      <c r="B462" s="1" t="n">
        <v>45090</v>
      </c>
      <c r="C462" s="1" t="n">
        <v>46011</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33867-2023</t>
        </is>
      </c>
      <c r="B463" s="1" t="n">
        <v>45133.94640046296</v>
      </c>
      <c r="C463" s="1" t="n">
        <v>46011</v>
      </c>
      <c r="D463" t="inlineStr">
        <is>
          <t>ÖSTERGÖTLANDS LÄN</t>
        </is>
      </c>
      <c r="E463" t="inlineStr">
        <is>
          <t>LINKÖPING</t>
        </is>
      </c>
      <c r="G463" t="n">
        <v>2.3</v>
      </c>
      <c r="H463" t="n">
        <v>0</v>
      </c>
      <c r="I463" t="n">
        <v>0</v>
      </c>
      <c r="J463" t="n">
        <v>0</v>
      </c>
      <c r="K463" t="n">
        <v>0</v>
      </c>
      <c r="L463" t="n">
        <v>0</v>
      </c>
      <c r="M463" t="n">
        <v>0</v>
      </c>
      <c r="N463" t="n">
        <v>0</v>
      </c>
      <c r="O463" t="n">
        <v>0</v>
      </c>
      <c r="P463" t="n">
        <v>0</v>
      </c>
      <c r="Q463" t="n">
        <v>0</v>
      </c>
      <c r="R463" s="2" t="inlineStr"/>
    </row>
    <row r="464" ht="15" customHeight="1">
      <c r="A464" t="inlineStr">
        <is>
          <t>A 52740-2025</t>
        </is>
      </c>
      <c r="B464" s="1" t="n">
        <v>45957.37747685185</v>
      </c>
      <c r="C464" s="1" t="n">
        <v>46011</v>
      </c>
      <c r="D464" t="inlineStr">
        <is>
          <t>ÖSTERGÖTLANDS LÄN</t>
        </is>
      </c>
      <c r="E464" t="inlineStr">
        <is>
          <t>LINKÖPING</t>
        </is>
      </c>
      <c r="G464" t="n">
        <v>3.7</v>
      </c>
      <c r="H464" t="n">
        <v>0</v>
      </c>
      <c r="I464" t="n">
        <v>0</v>
      </c>
      <c r="J464" t="n">
        <v>0</v>
      </c>
      <c r="K464" t="n">
        <v>0</v>
      </c>
      <c r="L464" t="n">
        <v>0</v>
      </c>
      <c r="M464" t="n">
        <v>0</v>
      </c>
      <c r="N464" t="n">
        <v>0</v>
      </c>
      <c r="O464" t="n">
        <v>0</v>
      </c>
      <c r="P464" t="n">
        <v>0</v>
      </c>
      <c r="Q464" t="n">
        <v>0</v>
      </c>
      <c r="R464" s="2" t="inlineStr"/>
    </row>
    <row r="465" ht="15" customHeight="1">
      <c r="A465" t="inlineStr">
        <is>
          <t>A 52743-2025</t>
        </is>
      </c>
      <c r="B465" s="1" t="n">
        <v>45957.38039351852</v>
      </c>
      <c r="C465" s="1" t="n">
        <v>46011</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52807-2025</t>
        </is>
      </c>
      <c r="B466" s="1" t="n">
        <v>45957.44837962963</v>
      </c>
      <c r="C466" s="1" t="n">
        <v>46011</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24462-2023</t>
        </is>
      </c>
      <c r="B467" s="1" t="n">
        <v>45082</v>
      </c>
      <c r="C467" s="1" t="n">
        <v>46011</v>
      </c>
      <c r="D467" t="inlineStr">
        <is>
          <t>ÖSTERGÖTLANDS LÄN</t>
        </is>
      </c>
      <c r="E467" t="inlineStr">
        <is>
          <t>LINKÖPING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48829-2023</t>
        </is>
      </c>
      <c r="B468" s="1" t="n">
        <v>45209.38177083333</v>
      </c>
      <c r="C468" s="1" t="n">
        <v>46011</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38231-2022</t>
        </is>
      </c>
      <c r="B469" s="1" t="n">
        <v>44812</v>
      </c>
      <c r="C469" s="1" t="n">
        <v>46011</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50799-2022</t>
        </is>
      </c>
      <c r="B470" s="1" t="n">
        <v>44862</v>
      </c>
      <c r="C470" s="1" t="n">
        <v>46011</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40431-2024</t>
        </is>
      </c>
      <c r="B471" s="1" t="n">
        <v>45555.47070601852</v>
      </c>
      <c r="C471" s="1" t="n">
        <v>46011</v>
      </c>
      <c r="D471" t="inlineStr">
        <is>
          <t>ÖSTERGÖTLANDS LÄN</t>
        </is>
      </c>
      <c r="E471" t="inlineStr">
        <is>
          <t>LINKÖPING</t>
        </is>
      </c>
      <c r="F471" t="inlineStr">
        <is>
          <t>Allmännings- och besparingsskogar</t>
        </is>
      </c>
      <c r="G471" t="n">
        <v>2.9</v>
      </c>
      <c r="H471" t="n">
        <v>0</v>
      </c>
      <c r="I471" t="n">
        <v>0</v>
      </c>
      <c r="J471" t="n">
        <v>0</v>
      </c>
      <c r="K471" t="n">
        <v>0</v>
      </c>
      <c r="L471" t="n">
        <v>0</v>
      </c>
      <c r="M471" t="n">
        <v>0</v>
      </c>
      <c r="N471" t="n">
        <v>0</v>
      </c>
      <c r="O471" t="n">
        <v>0</v>
      </c>
      <c r="P471" t="n">
        <v>0</v>
      </c>
      <c r="Q471" t="n">
        <v>0</v>
      </c>
      <c r="R471" s="2" t="inlineStr"/>
    </row>
    <row r="472" ht="15" customHeight="1">
      <c r="A472" t="inlineStr">
        <is>
          <t>A 267-2023</t>
        </is>
      </c>
      <c r="B472" s="1" t="n">
        <v>44928.80907407407</v>
      </c>
      <c r="C472" s="1" t="n">
        <v>46011</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26618-2023</t>
        </is>
      </c>
      <c r="B473" s="1" t="n">
        <v>45092.70306712963</v>
      </c>
      <c r="C473" s="1" t="n">
        <v>46011</v>
      </c>
      <c r="D473" t="inlineStr">
        <is>
          <t>ÖSTERGÖTLANDS LÄN</t>
        </is>
      </c>
      <c r="E473" t="inlineStr">
        <is>
          <t>LINKÖPING</t>
        </is>
      </c>
      <c r="G473" t="n">
        <v>6.9</v>
      </c>
      <c r="H473" t="n">
        <v>0</v>
      </c>
      <c r="I473" t="n">
        <v>0</v>
      </c>
      <c r="J473" t="n">
        <v>0</v>
      </c>
      <c r="K473" t="n">
        <v>0</v>
      </c>
      <c r="L473" t="n">
        <v>0</v>
      </c>
      <c r="M473" t="n">
        <v>0</v>
      </c>
      <c r="N473" t="n">
        <v>0</v>
      </c>
      <c r="O473" t="n">
        <v>0</v>
      </c>
      <c r="P473" t="n">
        <v>0</v>
      </c>
      <c r="Q473" t="n">
        <v>0</v>
      </c>
      <c r="R473" s="2" t="inlineStr"/>
    </row>
    <row r="474" ht="15" customHeight="1">
      <c r="A474" t="inlineStr">
        <is>
          <t>A 63665-2023</t>
        </is>
      </c>
      <c r="B474" s="1" t="n">
        <v>45275</v>
      </c>
      <c r="C474" s="1" t="n">
        <v>46011</v>
      </c>
      <c r="D474" t="inlineStr">
        <is>
          <t>ÖSTERGÖTLANDS LÄN</t>
        </is>
      </c>
      <c r="E474" t="inlineStr">
        <is>
          <t>LINKÖPING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61447-2025</t>
        </is>
      </c>
      <c r="B475" s="1" t="n">
        <v>46001.57554398148</v>
      </c>
      <c r="C475" s="1" t="n">
        <v>46011</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61643-2025</t>
        </is>
      </c>
      <c r="B476" s="1" t="n">
        <v>46002.43575231481</v>
      </c>
      <c r="C476" s="1" t="n">
        <v>46011</v>
      </c>
      <c r="D476" t="inlineStr">
        <is>
          <t>ÖSTERGÖTLANDS LÄN</t>
        </is>
      </c>
      <c r="E476" t="inlineStr">
        <is>
          <t>LINKÖPING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61645-2025</t>
        </is>
      </c>
      <c r="B477" s="1" t="n">
        <v>46002.43697916667</v>
      </c>
      <c r="C477" s="1" t="n">
        <v>46011</v>
      </c>
      <c r="D477" t="inlineStr">
        <is>
          <t>ÖSTERGÖTLANDS LÄN</t>
        </is>
      </c>
      <c r="E477" t="inlineStr">
        <is>
          <t>LINKÖPING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30429-2024</t>
        </is>
      </c>
      <c r="B478" s="1" t="n">
        <v>45491.68972222223</v>
      </c>
      <c r="C478" s="1" t="n">
        <v>46011</v>
      </c>
      <c r="D478" t="inlineStr">
        <is>
          <t>ÖSTERGÖTLANDS LÄN</t>
        </is>
      </c>
      <c r="E478" t="inlineStr">
        <is>
          <t>LINKÖPING</t>
        </is>
      </c>
      <c r="G478" t="n">
        <v>2.2</v>
      </c>
      <c r="H478" t="n">
        <v>0</v>
      </c>
      <c r="I478" t="n">
        <v>0</v>
      </c>
      <c r="J478" t="n">
        <v>0</v>
      </c>
      <c r="K478" t="n">
        <v>0</v>
      </c>
      <c r="L478" t="n">
        <v>0</v>
      </c>
      <c r="M478" t="n">
        <v>0</v>
      </c>
      <c r="N478" t="n">
        <v>0</v>
      </c>
      <c r="O478" t="n">
        <v>0</v>
      </c>
      <c r="P478" t="n">
        <v>0</v>
      </c>
      <c r="Q478" t="n">
        <v>0</v>
      </c>
      <c r="R478" s="2" t="inlineStr"/>
    </row>
    <row r="479" ht="15" customHeight="1">
      <c r="A479" t="inlineStr">
        <is>
          <t>A 30435-2024</t>
        </is>
      </c>
      <c r="B479" s="1" t="n">
        <v>45491.69962962963</v>
      </c>
      <c r="C479" s="1" t="n">
        <v>46011</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53816-2023</t>
        </is>
      </c>
      <c r="B480" s="1" t="n">
        <v>45231.40012731482</v>
      </c>
      <c r="C480" s="1" t="n">
        <v>46011</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61899-2025</t>
        </is>
      </c>
      <c r="B481" s="1" t="n">
        <v>46003.46635416667</v>
      </c>
      <c r="C481" s="1" t="n">
        <v>46011</v>
      </c>
      <c r="D481" t="inlineStr">
        <is>
          <t>ÖSTERGÖTLANDS LÄN</t>
        </is>
      </c>
      <c r="E481" t="inlineStr">
        <is>
          <t>LINKÖPING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36557-2023</t>
        </is>
      </c>
      <c r="B482" s="1" t="n">
        <v>45153</v>
      </c>
      <c r="C482" s="1" t="n">
        <v>46011</v>
      </c>
      <c r="D482" t="inlineStr">
        <is>
          <t>ÖSTERGÖTLANDS LÄN</t>
        </is>
      </c>
      <c r="E482" t="inlineStr">
        <is>
          <t>LINKÖPING</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6599-2023</t>
        </is>
      </c>
      <c r="B483" s="1" t="n">
        <v>44966.52603009259</v>
      </c>
      <c r="C483" s="1" t="n">
        <v>46011</v>
      </c>
      <c r="D483" t="inlineStr">
        <is>
          <t>ÖSTERGÖTLANDS LÄN</t>
        </is>
      </c>
      <c r="E483" t="inlineStr">
        <is>
          <t>LINKÖPING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43473-2024</t>
        </is>
      </c>
      <c r="B484" s="1" t="n">
        <v>45568</v>
      </c>
      <c r="C484" s="1" t="n">
        <v>46011</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61230-2025</t>
        </is>
      </c>
      <c r="B485" s="1" t="n">
        <v>46000.63111111111</v>
      </c>
      <c r="C485" s="1" t="n">
        <v>46011</v>
      </c>
      <c r="D485" t="inlineStr">
        <is>
          <t>ÖSTERGÖTLANDS LÄN</t>
        </is>
      </c>
      <c r="E485" t="inlineStr">
        <is>
          <t>LINKÖPING</t>
        </is>
      </c>
      <c r="F485" t="inlineStr">
        <is>
          <t>Kyrkan</t>
        </is>
      </c>
      <c r="G485" t="n">
        <v>2.1</v>
      </c>
      <c r="H485" t="n">
        <v>0</v>
      </c>
      <c r="I485" t="n">
        <v>0</v>
      </c>
      <c r="J485" t="n">
        <v>0</v>
      </c>
      <c r="K485" t="n">
        <v>0</v>
      </c>
      <c r="L485" t="n">
        <v>0</v>
      </c>
      <c r="M485" t="n">
        <v>0</v>
      </c>
      <c r="N485" t="n">
        <v>0</v>
      </c>
      <c r="O485" t="n">
        <v>0</v>
      </c>
      <c r="P485" t="n">
        <v>0</v>
      </c>
      <c r="Q485" t="n">
        <v>0</v>
      </c>
      <c r="R485" s="2" t="inlineStr"/>
    </row>
    <row r="486" ht="15" customHeight="1">
      <c r="A486" t="inlineStr">
        <is>
          <t>A 61532-2021</t>
        </is>
      </c>
      <c r="B486" s="1" t="n">
        <v>44501</v>
      </c>
      <c r="C486" s="1" t="n">
        <v>46011</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62686-2025</t>
        </is>
      </c>
      <c r="B487" s="1" t="n">
        <v>46008.46769675926</v>
      </c>
      <c r="C487" s="1" t="n">
        <v>46011</v>
      </c>
      <c r="D487" t="inlineStr">
        <is>
          <t>ÖSTERGÖTLANDS LÄN</t>
        </is>
      </c>
      <c r="E487" t="inlineStr">
        <is>
          <t>LINKÖPING</t>
        </is>
      </c>
      <c r="G487" t="n">
        <v>7.6</v>
      </c>
      <c r="H487" t="n">
        <v>0</v>
      </c>
      <c r="I487" t="n">
        <v>0</v>
      </c>
      <c r="J487" t="n">
        <v>0</v>
      </c>
      <c r="K487" t="n">
        <v>0</v>
      </c>
      <c r="L487" t="n">
        <v>0</v>
      </c>
      <c r="M487" t="n">
        <v>0</v>
      </c>
      <c r="N487" t="n">
        <v>0</v>
      </c>
      <c r="O487" t="n">
        <v>0</v>
      </c>
      <c r="P487" t="n">
        <v>0</v>
      </c>
      <c r="Q487" t="n">
        <v>0</v>
      </c>
      <c r="R487" s="2" t="inlineStr"/>
    </row>
    <row r="488" ht="15" customHeight="1">
      <c r="A488" t="inlineStr">
        <is>
          <t>A 3374-2023</t>
        </is>
      </c>
      <c r="B488" s="1" t="n">
        <v>44949</v>
      </c>
      <c r="C488" s="1" t="n">
        <v>46011</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224-2024</t>
        </is>
      </c>
      <c r="B489" s="1" t="n">
        <v>45294</v>
      </c>
      <c r="C489" s="1" t="n">
        <v>46011</v>
      </c>
      <c r="D489" t="inlineStr">
        <is>
          <t>ÖSTERGÖTLANDS LÄN</t>
        </is>
      </c>
      <c r="E489" t="inlineStr">
        <is>
          <t>LINKÖPING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6726-2024</t>
        </is>
      </c>
      <c r="B490" s="1" t="n">
        <v>45341</v>
      </c>
      <c r="C490" s="1" t="n">
        <v>46011</v>
      </c>
      <c r="D490" t="inlineStr">
        <is>
          <t>ÖSTERGÖTLANDS LÄN</t>
        </is>
      </c>
      <c r="E490" t="inlineStr">
        <is>
          <t>LINKÖPING</t>
        </is>
      </c>
      <c r="G490" t="n">
        <v>2.7</v>
      </c>
      <c r="H490" t="n">
        <v>0</v>
      </c>
      <c r="I490" t="n">
        <v>0</v>
      </c>
      <c r="J490" t="n">
        <v>0</v>
      </c>
      <c r="K490" t="n">
        <v>0</v>
      </c>
      <c r="L490" t="n">
        <v>0</v>
      </c>
      <c r="M490" t="n">
        <v>0</v>
      </c>
      <c r="N490" t="n">
        <v>0</v>
      </c>
      <c r="O490" t="n">
        <v>0</v>
      </c>
      <c r="P490" t="n">
        <v>0</v>
      </c>
      <c r="Q490" t="n">
        <v>0</v>
      </c>
      <c r="R490" s="2" t="inlineStr"/>
    </row>
    <row r="491" ht="15" customHeight="1">
      <c r="A491" t="inlineStr">
        <is>
          <t>A 54333-2025</t>
        </is>
      </c>
      <c r="B491" s="1" t="n">
        <v>45965.35090277778</v>
      </c>
      <c r="C491" s="1" t="n">
        <v>46011</v>
      </c>
      <c r="D491" t="inlineStr">
        <is>
          <t>ÖSTERGÖTLANDS LÄN</t>
        </is>
      </c>
      <c r="E491" t="inlineStr">
        <is>
          <t>LINKÖPING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54332-2025</t>
        </is>
      </c>
      <c r="B492" s="1" t="n">
        <v>45965.34915509259</v>
      </c>
      <c r="C492" s="1" t="n">
        <v>46011</v>
      </c>
      <c r="D492" t="inlineStr">
        <is>
          <t>ÖSTERGÖTLANDS LÄN</t>
        </is>
      </c>
      <c r="E492" t="inlineStr">
        <is>
          <t>LINKÖPING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53814-2023</t>
        </is>
      </c>
      <c r="B493" s="1" t="n">
        <v>45231</v>
      </c>
      <c r="C493" s="1" t="n">
        <v>46011</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62515-2025</t>
        </is>
      </c>
      <c r="B494" s="1" t="n">
        <v>46007.60548611111</v>
      </c>
      <c r="C494" s="1" t="n">
        <v>46011</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62791-2025</t>
        </is>
      </c>
      <c r="B495" s="1" t="n">
        <v>46008.63266203704</v>
      </c>
      <c r="C495" s="1" t="n">
        <v>46011</v>
      </c>
      <c r="D495" t="inlineStr">
        <is>
          <t>ÖSTERGÖTLANDS LÄN</t>
        </is>
      </c>
      <c r="E495" t="inlineStr">
        <is>
          <t>LINKÖPING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54329-2025</t>
        </is>
      </c>
      <c r="B496" s="1" t="n">
        <v>45965.34706018519</v>
      </c>
      <c r="C496" s="1" t="n">
        <v>46011</v>
      </c>
      <c r="D496" t="inlineStr">
        <is>
          <t>ÖSTERGÖTLANDS LÄN</t>
        </is>
      </c>
      <c r="E496" t="inlineStr">
        <is>
          <t>LINKÖPING</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59205-2025</t>
        </is>
      </c>
      <c r="B497" s="1" t="n">
        <v>45988.60721064815</v>
      </c>
      <c r="C497" s="1" t="n">
        <v>46011</v>
      </c>
      <c r="D497" t="inlineStr">
        <is>
          <t>ÖSTERGÖTLANDS LÄN</t>
        </is>
      </c>
      <c r="E497" t="inlineStr">
        <is>
          <t>LINKÖPING</t>
        </is>
      </c>
      <c r="F497" t="inlineStr">
        <is>
          <t>Sveaskog</t>
        </is>
      </c>
      <c r="G497" t="n">
        <v>11.3</v>
      </c>
      <c r="H497" t="n">
        <v>0</v>
      </c>
      <c r="I497" t="n">
        <v>0</v>
      </c>
      <c r="J497" t="n">
        <v>0</v>
      </c>
      <c r="K497" t="n">
        <v>0</v>
      </c>
      <c r="L497" t="n">
        <v>0</v>
      </c>
      <c r="M497" t="n">
        <v>0</v>
      </c>
      <c r="N497" t="n">
        <v>0</v>
      </c>
      <c r="O497" t="n">
        <v>0</v>
      </c>
      <c r="P497" t="n">
        <v>0</v>
      </c>
      <c r="Q497" t="n">
        <v>0</v>
      </c>
      <c r="R497" s="2" t="inlineStr"/>
    </row>
    <row r="498" ht="15" customHeight="1">
      <c r="A498" t="inlineStr">
        <is>
          <t>A 60866-2025</t>
        </is>
      </c>
      <c r="B498" s="1" t="n">
        <v>45999</v>
      </c>
      <c r="C498" s="1" t="n">
        <v>46011</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60004-2022</t>
        </is>
      </c>
      <c r="B499" s="1" t="n">
        <v>44909.47206018519</v>
      </c>
      <c r="C499" s="1" t="n">
        <v>46011</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52796-2023</t>
        </is>
      </c>
      <c r="B500" s="1" t="n">
        <v>45219</v>
      </c>
      <c r="C500" s="1" t="n">
        <v>46011</v>
      </c>
      <c r="D500" t="inlineStr">
        <is>
          <t>ÖSTERGÖTLANDS LÄN</t>
        </is>
      </c>
      <c r="E500" t="inlineStr">
        <is>
          <t>LINKÖPING</t>
        </is>
      </c>
      <c r="F500" t="inlineStr">
        <is>
          <t>Övriga statliga verk och myndigheter</t>
        </is>
      </c>
      <c r="G500" t="n">
        <v>3.9</v>
      </c>
      <c r="H500" t="n">
        <v>0</v>
      </c>
      <c r="I500" t="n">
        <v>0</v>
      </c>
      <c r="J500" t="n">
        <v>0</v>
      </c>
      <c r="K500" t="n">
        <v>0</v>
      </c>
      <c r="L500" t="n">
        <v>0</v>
      </c>
      <c r="M500" t="n">
        <v>0</v>
      </c>
      <c r="N500" t="n">
        <v>0</v>
      </c>
      <c r="O500" t="n">
        <v>0</v>
      </c>
      <c r="P500" t="n">
        <v>0</v>
      </c>
      <c r="Q500" t="n">
        <v>0</v>
      </c>
      <c r="R500" s="2" t="inlineStr"/>
    </row>
    <row r="501" ht="15" customHeight="1">
      <c r="A501" t="inlineStr">
        <is>
          <t>A 50743-2023</t>
        </is>
      </c>
      <c r="B501" s="1" t="n">
        <v>45217</v>
      </c>
      <c r="C501" s="1" t="n">
        <v>46011</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45771-2023</t>
        </is>
      </c>
      <c r="B502" s="1" t="n">
        <v>45195.4384375</v>
      </c>
      <c r="C502" s="1" t="n">
        <v>46011</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63554-2023</t>
        </is>
      </c>
      <c r="B503" s="1" t="n">
        <v>45275</v>
      </c>
      <c r="C503" s="1" t="n">
        <v>46011</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30111-2024</t>
        </is>
      </c>
      <c r="B504" s="1" t="n">
        <v>45489.46947916667</v>
      </c>
      <c r="C504" s="1" t="n">
        <v>46011</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30119-2024</t>
        </is>
      </c>
      <c r="B505" s="1" t="n">
        <v>45489</v>
      </c>
      <c r="C505" s="1" t="n">
        <v>46011</v>
      </c>
      <c r="D505" t="inlineStr">
        <is>
          <t>ÖSTERGÖTLANDS LÄN</t>
        </is>
      </c>
      <c r="E505" t="inlineStr">
        <is>
          <t>LINKÖPING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55109-2025</t>
        </is>
      </c>
      <c r="B506" s="1" t="n">
        <v>45968.37731481482</v>
      </c>
      <c r="C506" s="1" t="n">
        <v>46011</v>
      </c>
      <c r="D506" t="inlineStr">
        <is>
          <t>ÖSTERGÖTLANDS LÄN</t>
        </is>
      </c>
      <c r="E506" t="inlineStr">
        <is>
          <t>LINKÖPING</t>
        </is>
      </c>
      <c r="G506" t="n">
        <v>3.2</v>
      </c>
      <c r="H506" t="n">
        <v>0</v>
      </c>
      <c r="I506" t="n">
        <v>0</v>
      </c>
      <c r="J506" t="n">
        <v>0</v>
      </c>
      <c r="K506" t="n">
        <v>0</v>
      </c>
      <c r="L506" t="n">
        <v>0</v>
      </c>
      <c r="M506" t="n">
        <v>0</v>
      </c>
      <c r="N506" t="n">
        <v>0</v>
      </c>
      <c r="O506" t="n">
        <v>0</v>
      </c>
      <c r="P506" t="n">
        <v>0</v>
      </c>
      <c r="Q506" t="n">
        <v>0</v>
      </c>
      <c r="R506" s="2" t="inlineStr"/>
    </row>
    <row r="507" ht="15" customHeight="1">
      <c r="A507" t="inlineStr">
        <is>
          <t>A 6206-2024</t>
        </is>
      </c>
      <c r="B507" s="1" t="n">
        <v>45337.5977662037</v>
      </c>
      <c r="C507" s="1" t="n">
        <v>46011</v>
      </c>
      <c r="D507" t="inlineStr">
        <is>
          <t>ÖSTERGÖTLANDS LÄN</t>
        </is>
      </c>
      <c r="E507" t="inlineStr">
        <is>
          <t>LINKÖPING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55165-2025</t>
        </is>
      </c>
      <c r="B508" s="1" t="n">
        <v>45968.48194444444</v>
      </c>
      <c r="C508" s="1" t="n">
        <v>46011</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63144-2025</t>
        </is>
      </c>
      <c r="B509" s="1" t="n">
        <v>46010.34716435185</v>
      </c>
      <c r="C509" s="1" t="n">
        <v>46011</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63147-2025</t>
        </is>
      </c>
      <c r="B510" s="1" t="n">
        <v>46010.35003472222</v>
      </c>
      <c r="C510" s="1" t="n">
        <v>46011</v>
      </c>
      <c r="D510" t="inlineStr">
        <is>
          <t>ÖSTERGÖTLANDS LÄN</t>
        </is>
      </c>
      <c r="E510" t="inlineStr">
        <is>
          <t>LINKÖPING</t>
        </is>
      </c>
      <c r="G510" t="n">
        <v>4</v>
      </c>
      <c r="H510" t="n">
        <v>0</v>
      </c>
      <c r="I510" t="n">
        <v>0</v>
      </c>
      <c r="J510" t="n">
        <v>0</v>
      </c>
      <c r="K510" t="n">
        <v>0</v>
      </c>
      <c r="L510" t="n">
        <v>0</v>
      </c>
      <c r="M510" t="n">
        <v>0</v>
      </c>
      <c r="N510" t="n">
        <v>0</v>
      </c>
      <c r="O510" t="n">
        <v>0</v>
      </c>
      <c r="P510" t="n">
        <v>0</v>
      </c>
      <c r="Q510" t="n">
        <v>0</v>
      </c>
      <c r="R510" s="2" t="inlineStr"/>
    </row>
    <row r="511" ht="15" customHeight="1">
      <c r="A511" t="inlineStr">
        <is>
          <t>A 15714-2024</t>
        </is>
      </c>
      <c r="B511" s="1" t="n">
        <v>45404.48288194444</v>
      </c>
      <c r="C511" s="1" t="n">
        <v>46011</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55102-2025</t>
        </is>
      </c>
      <c r="B512" s="1" t="n">
        <v>45968.35410879629</v>
      </c>
      <c r="C512" s="1" t="n">
        <v>46011</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55132-2025</t>
        </is>
      </c>
      <c r="B513" s="1" t="n">
        <v>45968.41912037037</v>
      </c>
      <c r="C513" s="1" t="n">
        <v>46011</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30481-2023</t>
        </is>
      </c>
      <c r="B514" s="1" t="n">
        <v>45111</v>
      </c>
      <c r="C514" s="1" t="n">
        <v>46011</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74160-2021</t>
        </is>
      </c>
      <c r="B515" s="1" t="n">
        <v>44558</v>
      </c>
      <c r="C515" s="1" t="n">
        <v>46011</v>
      </c>
      <c r="D515" t="inlineStr">
        <is>
          <t>ÖSTERGÖTLANDS LÄN</t>
        </is>
      </c>
      <c r="E515" t="inlineStr">
        <is>
          <t>LINKÖPING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63559-2023</t>
        </is>
      </c>
      <c r="B516" s="1" t="n">
        <v>45275.35924768518</v>
      </c>
      <c r="C516" s="1" t="n">
        <v>46011</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23491-2024</t>
        </is>
      </c>
      <c r="B517" s="1" t="n">
        <v>45453</v>
      </c>
      <c r="C517" s="1" t="n">
        <v>46011</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29309-2024</t>
        </is>
      </c>
      <c r="B518" s="1" t="n">
        <v>45483</v>
      </c>
      <c r="C518" s="1" t="n">
        <v>46011</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29411-2023</t>
        </is>
      </c>
      <c r="B519" s="1" t="n">
        <v>45106.46225694445</v>
      </c>
      <c r="C519" s="1" t="n">
        <v>46011</v>
      </c>
      <c r="D519" t="inlineStr">
        <is>
          <t>ÖSTERGÖTLANDS LÄN</t>
        </is>
      </c>
      <c r="E519" t="inlineStr">
        <is>
          <t>LINKÖPING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29412-2023</t>
        </is>
      </c>
      <c r="B520" s="1" t="n">
        <v>45106.46359953703</v>
      </c>
      <c r="C520" s="1" t="n">
        <v>46011</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29413-2023</t>
        </is>
      </c>
      <c r="B521" s="1" t="n">
        <v>45106.46465277778</v>
      </c>
      <c r="C521" s="1" t="n">
        <v>46011</v>
      </c>
      <c r="D521" t="inlineStr">
        <is>
          <t>ÖSTERGÖTLANDS LÄN</t>
        </is>
      </c>
      <c r="E521" t="inlineStr">
        <is>
          <t>LINKÖPING</t>
        </is>
      </c>
      <c r="G521" t="n">
        <v>8</v>
      </c>
      <c r="H521" t="n">
        <v>0</v>
      </c>
      <c r="I521" t="n">
        <v>0</v>
      </c>
      <c r="J521" t="n">
        <v>0</v>
      </c>
      <c r="K521" t="n">
        <v>0</v>
      </c>
      <c r="L521" t="n">
        <v>0</v>
      </c>
      <c r="M521" t="n">
        <v>0</v>
      </c>
      <c r="N521" t="n">
        <v>0</v>
      </c>
      <c r="O521" t="n">
        <v>0</v>
      </c>
      <c r="P521" t="n">
        <v>0</v>
      </c>
      <c r="Q521" t="n">
        <v>0</v>
      </c>
      <c r="R521" s="2" t="inlineStr"/>
    </row>
    <row r="522" ht="15" customHeight="1">
      <c r="A522" t="inlineStr">
        <is>
          <t>A 24151-2024</t>
        </is>
      </c>
      <c r="B522" s="1" t="n">
        <v>45456.67717592593</v>
      </c>
      <c r="C522" s="1" t="n">
        <v>46011</v>
      </c>
      <c r="D522" t="inlineStr">
        <is>
          <t>ÖSTERGÖTLANDS LÄN</t>
        </is>
      </c>
      <c r="E522" t="inlineStr">
        <is>
          <t>LINKÖPING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63845-2021</t>
        </is>
      </c>
      <c r="B523" s="1" t="n">
        <v>44509</v>
      </c>
      <c r="C523" s="1" t="n">
        <v>46011</v>
      </c>
      <c r="D523" t="inlineStr">
        <is>
          <t>ÖSTERGÖTLANDS LÄN</t>
        </is>
      </c>
      <c r="E523" t="inlineStr">
        <is>
          <t>LINKÖPING</t>
        </is>
      </c>
      <c r="G523" t="n">
        <v>5</v>
      </c>
      <c r="H523" t="n">
        <v>0</v>
      </c>
      <c r="I523" t="n">
        <v>0</v>
      </c>
      <c r="J523" t="n">
        <v>0</v>
      </c>
      <c r="K523" t="n">
        <v>0</v>
      </c>
      <c r="L523" t="n">
        <v>0</v>
      </c>
      <c r="M523" t="n">
        <v>0</v>
      </c>
      <c r="N523" t="n">
        <v>0</v>
      </c>
      <c r="O523" t="n">
        <v>0</v>
      </c>
      <c r="P523" t="n">
        <v>0</v>
      </c>
      <c r="Q523" t="n">
        <v>0</v>
      </c>
      <c r="R523" s="2" t="inlineStr"/>
    </row>
    <row r="524" ht="15" customHeight="1">
      <c r="A524" t="inlineStr">
        <is>
          <t>A 17785-2023</t>
        </is>
      </c>
      <c r="B524" s="1" t="n">
        <v>45037.55094907407</v>
      </c>
      <c r="C524" s="1" t="n">
        <v>46011</v>
      </c>
      <c r="D524" t="inlineStr">
        <is>
          <t>ÖSTERGÖTLANDS LÄN</t>
        </is>
      </c>
      <c r="E524" t="inlineStr">
        <is>
          <t>LINKÖPING</t>
        </is>
      </c>
      <c r="F524" t="inlineStr">
        <is>
          <t>Allmännings- och besparingsskogar</t>
        </is>
      </c>
      <c r="G524" t="n">
        <v>3.1</v>
      </c>
      <c r="H524" t="n">
        <v>0</v>
      </c>
      <c r="I524" t="n">
        <v>0</v>
      </c>
      <c r="J524" t="n">
        <v>0</v>
      </c>
      <c r="K524" t="n">
        <v>0</v>
      </c>
      <c r="L524" t="n">
        <v>0</v>
      </c>
      <c r="M524" t="n">
        <v>0</v>
      </c>
      <c r="N524" t="n">
        <v>0</v>
      </c>
      <c r="O524" t="n">
        <v>0</v>
      </c>
      <c r="P524" t="n">
        <v>0</v>
      </c>
      <c r="Q524" t="n">
        <v>0</v>
      </c>
      <c r="R524" s="2" t="inlineStr"/>
    </row>
    <row r="525" ht="15" customHeight="1">
      <c r="A525" t="inlineStr">
        <is>
          <t>A 32346-2023</t>
        </is>
      </c>
      <c r="B525" s="1" t="n">
        <v>45120</v>
      </c>
      <c r="C525" s="1" t="n">
        <v>46011</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1627-2023</t>
        </is>
      </c>
      <c r="B526" s="1" t="n">
        <v>44937</v>
      </c>
      <c r="C526" s="1" t="n">
        <v>46011</v>
      </c>
      <c r="D526" t="inlineStr">
        <is>
          <t>ÖSTERGÖTLANDS LÄN</t>
        </is>
      </c>
      <c r="E526" t="inlineStr">
        <is>
          <t>LINKÖPING</t>
        </is>
      </c>
      <c r="G526" t="n">
        <v>10.8</v>
      </c>
      <c r="H526" t="n">
        <v>0</v>
      </c>
      <c r="I526" t="n">
        <v>0</v>
      </c>
      <c r="J526" t="n">
        <v>0</v>
      </c>
      <c r="K526" t="n">
        <v>0</v>
      </c>
      <c r="L526" t="n">
        <v>0</v>
      </c>
      <c r="M526" t="n">
        <v>0</v>
      </c>
      <c r="N526" t="n">
        <v>0</v>
      </c>
      <c r="O526" t="n">
        <v>0</v>
      </c>
      <c r="P526" t="n">
        <v>0</v>
      </c>
      <c r="Q526" t="n">
        <v>0</v>
      </c>
      <c r="R526" s="2" t="inlineStr"/>
    </row>
    <row r="527" ht="15" customHeight="1">
      <c r="A527" t="inlineStr">
        <is>
          <t>A 16665-2023</t>
        </is>
      </c>
      <c r="B527" s="1" t="n">
        <v>45030.5583912037</v>
      </c>
      <c r="C527" s="1" t="n">
        <v>46011</v>
      </c>
      <c r="D527" t="inlineStr">
        <is>
          <t>ÖSTERGÖTLANDS LÄN</t>
        </is>
      </c>
      <c r="E527" t="inlineStr">
        <is>
          <t>LINKÖPING</t>
        </is>
      </c>
      <c r="G527" t="n">
        <v>1.2</v>
      </c>
      <c r="H527" t="n">
        <v>0</v>
      </c>
      <c r="I527" t="n">
        <v>0</v>
      </c>
      <c r="J527" t="n">
        <v>0</v>
      </c>
      <c r="K527" t="n">
        <v>0</v>
      </c>
      <c r="L527" t="n">
        <v>0</v>
      </c>
      <c r="M527" t="n">
        <v>0</v>
      </c>
      <c r="N527" t="n">
        <v>0</v>
      </c>
      <c r="O527" t="n">
        <v>0</v>
      </c>
      <c r="P527" t="n">
        <v>0</v>
      </c>
      <c r="Q527" t="n">
        <v>0</v>
      </c>
      <c r="R527" s="2" t="inlineStr"/>
    </row>
    <row r="528" ht="15" customHeight="1">
      <c r="A528" t="inlineStr">
        <is>
          <t>A 60860-2024</t>
        </is>
      </c>
      <c r="B528" s="1" t="n">
        <v>45644.6893287037</v>
      </c>
      <c r="C528" s="1" t="n">
        <v>46011</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31640-2023</t>
        </is>
      </c>
      <c r="B529" s="1" t="n">
        <v>45117</v>
      </c>
      <c r="C529" s="1" t="n">
        <v>46011</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16213-2025</t>
        </is>
      </c>
      <c r="B530" s="1" t="n">
        <v>45750.62740740741</v>
      </c>
      <c r="C530" s="1" t="n">
        <v>46011</v>
      </c>
      <c r="D530" t="inlineStr">
        <is>
          <t>ÖSTERGÖTLANDS LÄN</t>
        </is>
      </c>
      <c r="E530" t="inlineStr">
        <is>
          <t>LINKÖPING</t>
        </is>
      </c>
      <c r="G530" t="n">
        <v>3.4</v>
      </c>
      <c r="H530" t="n">
        <v>0</v>
      </c>
      <c r="I530" t="n">
        <v>0</v>
      </c>
      <c r="J530" t="n">
        <v>0</v>
      </c>
      <c r="K530" t="n">
        <v>0</v>
      </c>
      <c r="L530" t="n">
        <v>0</v>
      </c>
      <c r="M530" t="n">
        <v>0</v>
      </c>
      <c r="N530" t="n">
        <v>0</v>
      </c>
      <c r="O530" t="n">
        <v>0</v>
      </c>
      <c r="P530" t="n">
        <v>0</v>
      </c>
      <c r="Q530" t="n">
        <v>0</v>
      </c>
      <c r="R530" s="2" t="inlineStr"/>
    </row>
    <row r="531" ht="15" customHeight="1">
      <c r="A531" t="inlineStr">
        <is>
          <t>A 34872-2023</t>
        </is>
      </c>
      <c r="B531" s="1" t="n">
        <v>45140</v>
      </c>
      <c r="C531" s="1" t="n">
        <v>46011</v>
      </c>
      <c r="D531" t="inlineStr">
        <is>
          <t>ÖSTERGÖTLANDS LÄN</t>
        </is>
      </c>
      <c r="E531" t="inlineStr">
        <is>
          <t>LINKÖPING</t>
        </is>
      </c>
      <c r="G531" t="n">
        <v>4.8</v>
      </c>
      <c r="H531" t="n">
        <v>0</v>
      </c>
      <c r="I531" t="n">
        <v>0</v>
      </c>
      <c r="J531" t="n">
        <v>0</v>
      </c>
      <c r="K531" t="n">
        <v>0</v>
      </c>
      <c r="L531" t="n">
        <v>0</v>
      </c>
      <c r="M531" t="n">
        <v>0</v>
      </c>
      <c r="N531" t="n">
        <v>0</v>
      </c>
      <c r="O531" t="n">
        <v>0</v>
      </c>
      <c r="P531" t="n">
        <v>0</v>
      </c>
      <c r="Q531" t="n">
        <v>0</v>
      </c>
      <c r="R531" s="2" t="inlineStr"/>
    </row>
    <row r="532" ht="15" customHeight="1">
      <c r="A532" t="inlineStr">
        <is>
          <t>A 33000-2023</t>
        </is>
      </c>
      <c r="B532" s="1" t="n">
        <v>45125</v>
      </c>
      <c r="C532" s="1" t="n">
        <v>46011</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2997-2025</t>
        </is>
      </c>
      <c r="B533" s="1" t="n">
        <v>45678.54631944445</v>
      </c>
      <c r="C533" s="1" t="n">
        <v>46011</v>
      </c>
      <c r="D533" t="inlineStr">
        <is>
          <t>ÖSTERGÖTLANDS LÄN</t>
        </is>
      </c>
      <c r="E533" t="inlineStr">
        <is>
          <t>LINKÖPING</t>
        </is>
      </c>
      <c r="G533" t="n">
        <v>2.7</v>
      </c>
      <c r="H533" t="n">
        <v>0</v>
      </c>
      <c r="I533" t="n">
        <v>0</v>
      </c>
      <c r="J533" t="n">
        <v>0</v>
      </c>
      <c r="K533" t="n">
        <v>0</v>
      </c>
      <c r="L533" t="n">
        <v>0</v>
      </c>
      <c r="M533" t="n">
        <v>0</v>
      </c>
      <c r="N533" t="n">
        <v>0</v>
      </c>
      <c r="O533" t="n">
        <v>0</v>
      </c>
      <c r="P533" t="n">
        <v>0</v>
      </c>
      <c r="Q533" t="n">
        <v>0</v>
      </c>
      <c r="R533" s="2" t="inlineStr"/>
    </row>
    <row r="534" ht="15" customHeight="1">
      <c r="A534" t="inlineStr">
        <is>
          <t>A 31534-2023</t>
        </is>
      </c>
      <c r="B534" s="1" t="n">
        <v>45116</v>
      </c>
      <c r="C534" s="1" t="n">
        <v>46011</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26803-2024</t>
        </is>
      </c>
      <c r="B535" s="1" t="n">
        <v>45470</v>
      </c>
      <c r="C535" s="1" t="n">
        <v>46011</v>
      </c>
      <c r="D535" t="inlineStr">
        <is>
          <t>ÖSTERGÖTLANDS LÄN</t>
        </is>
      </c>
      <c r="E535" t="inlineStr">
        <is>
          <t>LINKÖPING</t>
        </is>
      </c>
      <c r="F535" t="inlineStr">
        <is>
          <t>Allmännings- och besparingsskogar</t>
        </is>
      </c>
      <c r="G535" t="n">
        <v>4.5</v>
      </c>
      <c r="H535" t="n">
        <v>0</v>
      </c>
      <c r="I535" t="n">
        <v>0</v>
      </c>
      <c r="J535" t="n">
        <v>0</v>
      </c>
      <c r="K535" t="n">
        <v>0</v>
      </c>
      <c r="L535" t="n">
        <v>0</v>
      </c>
      <c r="M535" t="n">
        <v>0</v>
      </c>
      <c r="N535" t="n">
        <v>0</v>
      </c>
      <c r="O535" t="n">
        <v>0</v>
      </c>
      <c r="P535" t="n">
        <v>0</v>
      </c>
      <c r="Q535" t="n">
        <v>0</v>
      </c>
      <c r="R535" s="2" t="inlineStr"/>
    </row>
    <row r="536" ht="15" customHeight="1">
      <c r="A536" t="inlineStr">
        <is>
          <t>A 45806-2024</t>
        </is>
      </c>
      <c r="B536" s="1" t="n">
        <v>45579.69619212963</v>
      </c>
      <c r="C536" s="1" t="n">
        <v>46011</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37154-2023</t>
        </is>
      </c>
      <c r="B537" s="1" t="n">
        <v>45155</v>
      </c>
      <c r="C537" s="1" t="n">
        <v>46011</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11330-2023</t>
        </is>
      </c>
      <c r="B538" s="1" t="n">
        <v>44993.24648148148</v>
      </c>
      <c r="C538" s="1" t="n">
        <v>46011</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42000-2023</t>
        </is>
      </c>
      <c r="B539" s="1" t="n">
        <v>45177</v>
      </c>
      <c r="C539" s="1" t="n">
        <v>46011</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32602-2022</t>
        </is>
      </c>
      <c r="B540" s="1" t="n">
        <v>44783.43192129629</v>
      </c>
      <c r="C540" s="1" t="n">
        <v>46011</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13413-2023</t>
        </is>
      </c>
      <c r="B541" s="1" t="n">
        <v>45005.58341435185</v>
      </c>
      <c r="C541" s="1" t="n">
        <v>46011</v>
      </c>
      <c r="D541" t="inlineStr">
        <is>
          <t>ÖSTERGÖTLANDS LÄN</t>
        </is>
      </c>
      <c r="E541" t="inlineStr">
        <is>
          <t>LINKÖPING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63528-2023</t>
        </is>
      </c>
      <c r="B542" s="1" t="n">
        <v>45274.94810185185</v>
      </c>
      <c r="C542" s="1" t="n">
        <v>46011</v>
      </c>
      <c r="D542" t="inlineStr">
        <is>
          <t>ÖSTERGÖTLANDS LÄN</t>
        </is>
      </c>
      <c r="E542" t="inlineStr">
        <is>
          <t>LINKÖPING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63638-2023</t>
        </is>
      </c>
      <c r="B543" s="1" t="n">
        <v>45275</v>
      </c>
      <c r="C543" s="1" t="n">
        <v>46011</v>
      </c>
      <c r="D543" t="inlineStr">
        <is>
          <t>ÖSTERGÖTLANDS LÄN</t>
        </is>
      </c>
      <c r="E543" t="inlineStr">
        <is>
          <t>LINKÖPING</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63658-2023</t>
        </is>
      </c>
      <c r="B544" s="1" t="n">
        <v>45275</v>
      </c>
      <c r="C544" s="1" t="n">
        <v>46011</v>
      </c>
      <c r="D544" t="inlineStr">
        <is>
          <t>ÖSTERGÖTLANDS LÄN</t>
        </is>
      </c>
      <c r="E544" t="inlineStr">
        <is>
          <t>LINKÖPING</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7808-2022</t>
        </is>
      </c>
      <c r="B545" s="1" t="n">
        <v>44608</v>
      </c>
      <c r="C545" s="1" t="n">
        <v>46011</v>
      </c>
      <c r="D545" t="inlineStr">
        <is>
          <t>ÖSTERGÖTLANDS LÄN</t>
        </is>
      </c>
      <c r="E545" t="inlineStr">
        <is>
          <t>LINKÖPING</t>
        </is>
      </c>
      <c r="F545" t="inlineStr">
        <is>
          <t>Sveaskog</t>
        </is>
      </c>
      <c r="G545" t="n">
        <v>1.7</v>
      </c>
      <c r="H545" t="n">
        <v>0</v>
      </c>
      <c r="I545" t="n">
        <v>0</v>
      </c>
      <c r="J545" t="n">
        <v>0</v>
      </c>
      <c r="K545" t="n">
        <v>0</v>
      </c>
      <c r="L545" t="n">
        <v>0</v>
      </c>
      <c r="M545" t="n">
        <v>0</v>
      </c>
      <c r="N545" t="n">
        <v>0</v>
      </c>
      <c r="O545" t="n">
        <v>0</v>
      </c>
      <c r="P545" t="n">
        <v>0</v>
      </c>
      <c r="Q545" t="n">
        <v>0</v>
      </c>
      <c r="R545" s="2" t="inlineStr"/>
    </row>
    <row r="546" ht="15" customHeight="1">
      <c r="A546" t="inlineStr">
        <is>
          <t>A 36336-2023</t>
        </is>
      </c>
      <c r="B546" s="1" t="n">
        <v>45152.45078703704</v>
      </c>
      <c r="C546" s="1" t="n">
        <v>46011</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56623-2024</t>
        </is>
      </c>
      <c r="B547" s="1" t="n">
        <v>45625</v>
      </c>
      <c r="C547" s="1" t="n">
        <v>46011</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13011-2022</t>
        </is>
      </c>
      <c r="B548" s="1" t="n">
        <v>44643</v>
      </c>
      <c r="C548" s="1" t="n">
        <v>46011</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11595-2025</t>
        </is>
      </c>
      <c r="B549" s="1" t="n">
        <v>45727.41893518518</v>
      </c>
      <c r="C549" s="1" t="n">
        <v>46011</v>
      </c>
      <c r="D549" t="inlineStr">
        <is>
          <t>ÖSTERGÖTLANDS LÄN</t>
        </is>
      </c>
      <c r="E549" t="inlineStr">
        <is>
          <t>LINKÖPING</t>
        </is>
      </c>
      <c r="G549" t="n">
        <v>6.6</v>
      </c>
      <c r="H549" t="n">
        <v>0</v>
      </c>
      <c r="I549" t="n">
        <v>0</v>
      </c>
      <c r="J549" t="n">
        <v>0</v>
      </c>
      <c r="K549" t="n">
        <v>0</v>
      </c>
      <c r="L549" t="n">
        <v>0</v>
      </c>
      <c r="M549" t="n">
        <v>0</v>
      </c>
      <c r="N549" t="n">
        <v>0</v>
      </c>
      <c r="O549" t="n">
        <v>0</v>
      </c>
      <c r="P549" t="n">
        <v>0</v>
      </c>
      <c r="Q549" t="n">
        <v>0</v>
      </c>
      <c r="R549" s="2" t="inlineStr"/>
    </row>
    <row r="550" ht="15" customHeight="1">
      <c r="A550" t="inlineStr">
        <is>
          <t>A 50508-2024</t>
        </is>
      </c>
      <c r="B550" s="1" t="n">
        <v>45601.53907407408</v>
      </c>
      <c r="C550" s="1" t="n">
        <v>46011</v>
      </c>
      <c r="D550" t="inlineStr">
        <is>
          <t>ÖSTERGÖTLANDS LÄN</t>
        </is>
      </c>
      <c r="E550" t="inlineStr">
        <is>
          <t>LINKÖPING</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36336-2022</t>
        </is>
      </c>
      <c r="B551" s="1" t="n">
        <v>44803</v>
      </c>
      <c r="C551" s="1" t="n">
        <v>46011</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48839-2022</t>
        </is>
      </c>
      <c r="B552" s="1" t="n">
        <v>44859</v>
      </c>
      <c r="C552" s="1" t="n">
        <v>46011</v>
      </c>
      <c r="D552" t="inlineStr">
        <is>
          <t>ÖSTERGÖTLANDS LÄN</t>
        </is>
      </c>
      <c r="E552" t="inlineStr">
        <is>
          <t>LINKÖPING</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6387-2022</t>
        </is>
      </c>
      <c r="B553" s="1" t="n">
        <v>44600</v>
      </c>
      <c r="C553" s="1" t="n">
        <v>46011</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34641-2022</t>
        </is>
      </c>
      <c r="B554" s="1" t="n">
        <v>44795</v>
      </c>
      <c r="C554" s="1" t="n">
        <v>46011</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13687-2025</t>
        </is>
      </c>
      <c r="B555" s="1" t="n">
        <v>45737.31425925926</v>
      </c>
      <c r="C555" s="1" t="n">
        <v>46011</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13695-2025</t>
        </is>
      </c>
      <c r="B556" s="1" t="n">
        <v>45737.32219907407</v>
      </c>
      <c r="C556" s="1" t="n">
        <v>46011</v>
      </c>
      <c r="D556" t="inlineStr">
        <is>
          <t>ÖSTERGÖTLANDS LÄN</t>
        </is>
      </c>
      <c r="E556" t="inlineStr">
        <is>
          <t>LINKÖPING</t>
        </is>
      </c>
      <c r="G556" t="n">
        <v>5.3</v>
      </c>
      <c r="H556" t="n">
        <v>0</v>
      </c>
      <c r="I556" t="n">
        <v>0</v>
      </c>
      <c r="J556" t="n">
        <v>0</v>
      </c>
      <c r="K556" t="n">
        <v>0</v>
      </c>
      <c r="L556" t="n">
        <v>0</v>
      </c>
      <c r="M556" t="n">
        <v>0</v>
      </c>
      <c r="N556" t="n">
        <v>0</v>
      </c>
      <c r="O556" t="n">
        <v>0</v>
      </c>
      <c r="P556" t="n">
        <v>0</v>
      </c>
      <c r="Q556" t="n">
        <v>0</v>
      </c>
      <c r="R556" s="2" t="inlineStr"/>
    </row>
    <row r="557" ht="15" customHeight="1">
      <c r="A557" t="inlineStr">
        <is>
          <t>A 52413-2023</t>
        </is>
      </c>
      <c r="B557" s="1" t="n">
        <v>45225.27950231481</v>
      </c>
      <c r="C557" s="1" t="n">
        <v>46011</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42054-2022</t>
        </is>
      </c>
      <c r="B558" s="1" t="n">
        <v>44830</v>
      </c>
      <c r="C558" s="1" t="n">
        <v>46011</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53797-2023</t>
        </is>
      </c>
      <c r="B559" s="1" t="n">
        <v>45230</v>
      </c>
      <c r="C559" s="1" t="n">
        <v>46011</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22833-2023</t>
        </is>
      </c>
      <c r="B560" s="1" t="n">
        <v>45071</v>
      </c>
      <c r="C560" s="1" t="n">
        <v>46011</v>
      </c>
      <c r="D560" t="inlineStr">
        <is>
          <t>ÖSTERGÖTLANDS LÄN</t>
        </is>
      </c>
      <c r="E560" t="inlineStr">
        <is>
          <t>LINKÖPING</t>
        </is>
      </c>
      <c r="F560" t="inlineStr">
        <is>
          <t>Kommuner</t>
        </is>
      </c>
      <c r="G560" t="n">
        <v>1</v>
      </c>
      <c r="H560" t="n">
        <v>0</v>
      </c>
      <c r="I560" t="n">
        <v>0</v>
      </c>
      <c r="J560" t="n">
        <v>0</v>
      </c>
      <c r="K560" t="n">
        <v>0</v>
      </c>
      <c r="L560" t="n">
        <v>0</v>
      </c>
      <c r="M560" t="n">
        <v>0</v>
      </c>
      <c r="N560" t="n">
        <v>0</v>
      </c>
      <c r="O560" t="n">
        <v>0</v>
      </c>
      <c r="P560" t="n">
        <v>0</v>
      </c>
      <c r="Q560" t="n">
        <v>0</v>
      </c>
      <c r="R560" s="2" t="inlineStr"/>
    </row>
    <row r="561" ht="15" customHeight="1">
      <c r="A561" t="inlineStr">
        <is>
          <t>A 17898-2022</t>
        </is>
      </c>
      <c r="B561" s="1" t="n">
        <v>44683</v>
      </c>
      <c r="C561" s="1" t="n">
        <v>46011</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62017-2024</t>
        </is>
      </c>
      <c r="B562" s="1" t="n">
        <v>45655.81140046296</v>
      </c>
      <c r="C562" s="1" t="n">
        <v>46011</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12411-2022</t>
        </is>
      </c>
      <c r="B563" s="1" t="n">
        <v>44638.21601851852</v>
      </c>
      <c r="C563" s="1" t="n">
        <v>46011</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10492-2022</t>
        </is>
      </c>
      <c r="B564" s="1" t="n">
        <v>44623.6377199074</v>
      </c>
      <c r="C564" s="1" t="n">
        <v>46011</v>
      </c>
      <c r="D564" t="inlineStr">
        <is>
          <t>ÖSTERGÖTLANDS LÄN</t>
        </is>
      </c>
      <c r="E564" t="inlineStr">
        <is>
          <t>LINKÖPING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7343-2025</t>
        </is>
      </c>
      <c r="B565" s="1" t="n">
        <v>45703.67853009259</v>
      </c>
      <c r="C565" s="1" t="n">
        <v>46011</v>
      </c>
      <c r="D565" t="inlineStr">
        <is>
          <t>ÖSTERGÖTLANDS LÄN</t>
        </is>
      </c>
      <c r="E565" t="inlineStr">
        <is>
          <t>LINKÖPING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8967-2025</t>
        </is>
      </c>
      <c r="B566" s="1" t="n">
        <v>45712</v>
      </c>
      <c r="C566" s="1" t="n">
        <v>46011</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35427-2023</t>
        </is>
      </c>
      <c r="B567" s="1" t="n">
        <v>45146</v>
      </c>
      <c r="C567" s="1" t="n">
        <v>46011</v>
      </c>
      <c r="D567" t="inlineStr">
        <is>
          <t>ÖSTERGÖTLANDS LÄN</t>
        </is>
      </c>
      <c r="E567" t="inlineStr">
        <is>
          <t>LINKÖPING</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30468-2023</t>
        </is>
      </c>
      <c r="B568" s="1" t="n">
        <v>45111.58732638889</v>
      </c>
      <c r="C568" s="1" t="n">
        <v>46011</v>
      </c>
      <c r="D568" t="inlineStr">
        <is>
          <t>ÖSTERGÖTLANDS LÄN</t>
        </is>
      </c>
      <c r="E568" t="inlineStr">
        <is>
          <t>LINKÖPING</t>
        </is>
      </c>
      <c r="G568" t="n">
        <v>10.1</v>
      </c>
      <c r="H568" t="n">
        <v>0</v>
      </c>
      <c r="I568" t="n">
        <v>0</v>
      </c>
      <c r="J568" t="n">
        <v>0</v>
      </c>
      <c r="K568" t="n">
        <v>0</v>
      </c>
      <c r="L568" t="n">
        <v>0</v>
      </c>
      <c r="M568" t="n">
        <v>0</v>
      </c>
      <c r="N568" t="n">
        <v>0</v>
      </c>
      <c r="O568" t="n">
        <v>0</v>
      </c>
      <c r="P568" t="n">
        <v>0</v>
      </c>
      <c r="Q568" t="n">
        <v>0</v>
      </c>
      <c r="R568" s="2" t="inlineStr"/>
    </row>
    <row r="569" ht="15" customHeight="1">
      <c r="A569" t="inlineStr">
        <is>
          <t>A 20296-2025</t>
        </is>
      </c>
      <c r="B569" s="1" t="n">
        <v>45774.74922453704</v>
      </c>
      <c r="C569" s="1" t="n">
        <v>46011</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56841-2023</t>
        </is>
      </c>
      <c r="B570" s="1" t="n">
        <v>45244</v>
      </c>
      <c r="C570" s="1" t="n">
        <v>46011</v>
      </c>
      <c r="D570" t="inlineStr">
        <is>
          <t>ÖSTERGÖTLANDS LÄN</t>
        </is>
      </c>
      <c r="E570" t="inlineStr">
        <is>
          <t>LINKÖPING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53812-2023</t>
        </is>
      </c>
      <c r="B571" s="1" t="n">
        <v>45231.39583333334</v>
      </c>
      <c r="C571" s="1" t="n">
        <v>46011</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53830-2023</t>
        </is>
      </c>
      <c r="B572" s="1" t="n">
        <v>45230</v>
      </c>
      <c r="C572" s="1" t="n">
        <v>46011</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38715-2023</t>
        </is>
      </c>
      <c r="B573" s="1" t="n">
        <v>45160</v>
      </c>
      <c r="C573" s="1" t="n">
        <v>46011</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27766-2022</t>
        </is>
      </c>
      <c r="B574" s="1" t="n">
        <v>44743.53112268518</v>
      </c>
      <c r="C574" s="1" t="n">
        <v>46011</v>
      </c>
      <c r="D574" t="inlineStr">
        <is>
          <t>ÖSTERGÖTLANDS LÄN</t>
        </is>
      </c>
      <c r="E574" t="inlineStr">
        <is>
          <t>LINKÖPING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48271-2023</t>
        </is>
      </c>
      <c r="B575" s="1" t="n">
        <v>45205</v>
      </c>
      <c r="C575" s="1" t="n">
        <v>46011</v>
      </c>
      <c r="D575" t="inlineStr">
        <is>
          <t>ÖSTERGÖTLANDS LÄN</t>
        </is>
      </c>
      <c r="E575" t="inlineStr">
        <is>
          <t>LINKÖPING</t>
        </is>
      </c>
      <c r="G575" t="n">
        <v>3</v>
      </c>
      <c r="H575" t="n">
        <v>0</v>
      </c>
      <c r="I575" t="n">
        <v>0</v>
      </c>
      <c r="J575" t="n">
        <v>0</v>
      </c>
      <c r="K575" t="n">
        <v>0</v>
      </c>
      <c r="L575" t="n">
        <v>0</v>
      </c>
      <c r="M575" t="n">
        <v>0</v>
      </c>
      <c r="N575" t="n">
        <v>0</v>
      </c>
      <c r="O575" t="n">
        <v>0</v>
      </c>
      <c r="P575" t="n">
        <v>0</v>
      </c>
      <c r="Q575" t="n">
        <v>0</v>
      </c>
      <c r="R575" s="2" t="inlineStr"/>
    </row>
    <row r="576" ht="15" customHeight="1">
      <c r="A576" t="inlineStr">
        <is>
          <t>A 13266-2025</t>
        </is>
      </c>
      <c r="B576" s="1" t="n">
        <v>45735.53318287037</v>
      </c>
      <c r="C576" s="1" t="n">
        <v>46011</v>
      </c>
      <c r="D576" t="inlineStr">
        <is>
          <t>ÖSTERGÖTLANDS LÄN</t>
        </is>
      </c>
      <c r="E576" t="inlineStr">
        <is>
          <t>LINKÖPING</t>
        </is>
      </c>
      <c r="G576" t="n">
        <v>3.1</v>
      </c>
      <c r="H576" t="n">
        <v>0</v>
      </c>
      <c r="I576" t="n">
        <v>0</v>
      </c>
      <c r="J576" t="n">
        <v>0</v>
      </c>
      <c r="K576" t="n">
        <v>0</v>
      </c>
      <c r="L576" t="n">
        <v>0</v>
      </c>
      <c r="M576" t="n">
        <v>0</v>
      </c>
      <c r="N576" t="n">
        <v>0</v>
      </c>
      <c r="O576" t="n">
        <v>0</v>
      </c>
      <c r="P576" t="n">
        <v>0</v>
      </c>
      <c r="Q576" t="n">
        <v>0</v>
      </c>
      <c r="R576" s="2" t="inlineStr"/>
    </row>
    <row r="577" ht="15" customHeight="1">
      <c r="A577" t="inlineStr">
        <is>
          <t>A 60001-2022</t>
        </is>
      </c>
      <c r="B577" s="1" t="n">
        <v>44909.47087962963</v>
      </c>
      <c r="C577" s="1" t="n">
        <v>46011</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1657-2024</t>
        </is>
      </c>
      <c r="B578" s="1" t="n">
        <v>45306.82501157407</v>
      </c>
      <c r="C578" s="1" t="n">
        <v>46011</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30976-2022</t>
        </is>
      </c>
      <c r="B579" s="1" t="n">
        <v>44768</v>
      </c>
      <c r="C579" s="1" t="n">
        <v>46011</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30860-2022</t>
        </is>
      </c>
      <c r="B580" s="1" t="n">
        <v>44767</v>
      </c>
      <c r="C580" s="1" t="n">
        <v>46011</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48186-2022</t>
        </is>
      </c>
      <c r="B581" s="1" t="n">
        <v>44858</v>
      </c>
      <c r="C581" s="1" t="n">
        <v>46011</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28266-2024</t>
        </is>
      </c>
      <c r="B582" s="1" t="n">
        <v>45477.43600694444</v>
      </c>
      <c r="C582" s="1" t="n">
        <v>46011</v>
      </c>
      <c r="D582" t="inlineStr">
        <is>
          <t>ÖSTERGÖTLANDS LÄN</t>
        </is>
      </c>
      <c r="E582" t="inlineStr">
        <is>
          <t>LINKÖPING</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31548-2022</t>
        </is>
      </c>
      <c r="B583" s="1" t="n">
        <v>44775.39832175926</v>
      </c>
      <c r="C583" s="1" t="n">
        <v>46011</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1211-2023</t>
        </is>
      </c>
      <c r="B584" s="1" t="n">
        <v>44930</v>
      </c>
      <c r="C584" s="1" t="n">
        <v>46011</v>
      </c>
      <c r="D584" t="inlineStr">
        <is>
          <t>ÖSTERGÖTLANDS LÄN</t>
        </is>
      </c>
      <c r="E584" t="inlineStr">
        <is>
          <t>LINKÖPING</t>
        </is>
      </c>
      <c r="F584" t="inlineStr">
        <is>
          <t>Övriga statliga verk och myndigheter</t>
        </is>
      </c>
      <c r="G584" t="n">
        <v>7.9</v>
      </c>
      <c r="H584" t="n">
        <v>0</v>
      </c>
      <c r="I584" t="n">
        <v>0</v>
      </c>
      <c r="J584" t="n">
        <v>0</v>
      </c>
      <c r="K584" t="n">
        <v>0</v>
      </c>
      <c r="L584" t="n">
        <v>0</v>
      </c>
      <c r="M584" t="n">
        <v>0</v>
      </c>
      <c r="N584" t="n">
        <v>0</v>
      </c>
      <c r="O584" t="n">
        <v>0</v>
      </c>
      <c r="P584" t="n">
        <v>0</v>
      </c>
      <c r="Q584" t="n">
        <v>0</v>
      </c>
      <c r="R584" s="2" t="inlineStr"/>
    </row>
    <row r="585" ht="15" customHeight="1">
      <c r="A585" t="inlineStr">
        <is>
          <t>A 51191-2022</t>
        </is>
      </c>
      <c r="B585" s="1" t="n">
        <v>44865</v>
      </c>
      <c r="C585" s="1" t="n">
        <v>46011</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55632-2022</t>
        </is>
      </c>
      <c r="B586" s="1" t="n">
        <v>44888</v>
      </c>
      <c r="C586" s="1" t="n">
        <v>46011</v>
      </c>
      <c r="D586" t="inlineStr">
        <is>
          <t>ÖSTERGÖTLANDS LÄN</t>
        </is>
      </c>
      <c r="E586" t="inlineStr">
        <is>
          <t>LINKÖPING</t>
        </is>
      </c>
      <c r="G586" t="n">
        <v>1.8</v>
      </c>
      <c r="H586" t="n">
        <v>0</v>
      </c>
      <c r="I586" t="n">
        <v>0</v>
      </c>
      <c r="J586" t="n">
        <v>0</v>
      </c>
      <c r="K586" t="n">
        <v>0</v>
      </c>
      <c r="L586" t="n">
        <v>0</v>
      </c>
      <c r="M586" t="n">
        <v>0</v>
      </c>
      <c r="N586" t="n">
        <v>0</v>
      </c>
      <c r="O586" t="n">
        <v>0</v>
      </c>
      <c r="P586" t="n">
        <v>0</v>
      </c>
      <c r="Q586" t="n">
        <v>0</v>
      </c>
      <c r="R586" s="2" t="inlineStr"/>
    </row>
    <row r="587" ht="15" customHeight="1">
      <c r="A587" t="inlineStr">
        <is>
          <t>A 63669-2023</t>
        </is>
      </c>
      <c r="B587" s="1" t="n">
        <v>45275</v>
      </c>
      <c r="C587" s="1" t="n">
        <v>46011</v>
      </c>
      <c r="D587" t="inlineStr">
        <is>
          <t>ÖSTERGÖTLANDS LÄN</t>
        </is>
      </c>
      <c r="E587" t="inlineStr">
        <is>
          <t>LINKÖPING</t>
        </is>
      </c>
      <c r="F587" t="inlineStr">
        <is>
          <t>Övriga Aktiebolag</t>
        </is>
      </c>
      <c r="G587" t="n">
        <v>3</v>
      </c>
      <c r="H587" t="n">
        <v>0</v>
      </c>
      <c r="I587" t="n">
        <v>0</v>
      </c>
      <c r="J587" t="n">
        <v>0</v>
      </c>
      <c r="K587" t="n">
        <v>0</v>
      </c>
      <c r="L587" t="n">
        <v>0</v>
      </c>
      <c r="M587" t="n">
        <v>0</v>
      </c>
      <c r="N587" t="n">
        <v>0</v>
      </c>
      <c r="O587" t="n">
        <v>0</v>
      </c>
      <c r="P587" t="n">
        <v>0</v>
      </c>
      <c r="Q587" t="n">
        <v>0</v>
      </c>
      <c r="R587" s="2" t="inlineStr"/>
    </row>
    <row r="588" ht="15" customHeight="1">
      <c r="A588" t="inlineStr">
        <is>
          <t>A 12289-2025</t>
        </is>
      </c>
      <c r="B588" s="1" t="n">
        <v>45729</v>
      </c>
      <c r="C588" s="1" t="n">
        <v>46011</v>
      </c>
      <c r="D588" t="inlineStr">
        <is>
          <t>ÖSTERGÖTLANDS LÄN</t>
        </is>
      </c>
      <c r="E588" t="inlineStr">
        <is>
          <t>LINKÖPING</t>
        </is>
      </c>
      <c r="F588" t="inlineStr">
        <is>
          <t>Övriga statliga verk och myndigheter</t>
        </is>
      </c>
      <c r="G588" t="n">
        <v>6.5</v>
      </c>
      <c r="H588" t="n">
        <v>0</v>
      </c>
      <c r="I588" t="n">
        <v>0</v>
      </c>
      <c r="J588" t="n">
        <v>0</v>
      </c>
      <c r="K588" t="n">
        <v>0</v>
      </c>
      <c r="L588" t="n">
        <v>0</v>
      </c>
      <c r="M588" t="n">
        <v>0</v>
      </c>
      <c r="N588" t="n">
        <v>0</v>
      </c>
      <c r="O588" t="n">
        <v>0</v>
      </c>
      <c r="P588" t="n">
        <v>0</v>
      </c>
      <c r="Q588" t="n">
        <v>0</v>
      </c>
      <c r="R588" s="2" t="inlineStr"/>
    </row>
    <row r="589" ht="15" customHeight="1">
      <c r="A589" t="inlineStr">
        <is>
          <t>A 36657-2023</t>
        </is>
      </c>
      <c r="B589" s="1" t="n">
        <v>45153.5702662037</v>
      </c>
      <c r="C589" s="1" t="n">
        <v>46011</v>
      </c>
      <c r="D589" t="inlineStr">
        <is>
          <t>ÖSTERGÖTLANDS LÄN</t>
        </is>
      </c>
      <c r="E589" t="inlineStr">
        <is>
          <t>LINKÖPING</t>
        </is>
      </c>
      <c r="F589" t="inlineStr">
        <is>
          <t>Allmännings- och besparingsskogar</t>
        </is>
      </c>
      <c r="G589" t="n">
        <v>2</v>
      </c>
      <c r="H589" t="n">
        <v>0</v>
      </c>
      <c r="I589" t="n">
        <v>0</v>
      </c>
      <c r="J589" t="n">
        <v>0</v>
      </c>
      <c r="K589" t="n">
        <v>0</v>
      </c>
      <c r="L589" t="n">
        <v>0</v>
      </c>
      <c r="M589" t="n">
        <v>0</v>
      </c>
      <c r="N589" t="n">
        <v>0</v>
      </c>
      <c r="O589" t="n">
        <v>0</v>
      </c>
      <c r="P589" t="n">
        <v>0</v>
      </c>
      <c r="Q589" t="n">
        <v>0</v>
      </c>
      <c r="R589" s="2" t="inlineStr"/>
    </row>
    <row r="590" ht="15" customHeight="1">
      <c r="A590" t="inlineStr">
        <is>
          <t>A 19169-2023</t>
        </is>
      </c>
      <c r="B590" s="1" t="n">
        <v>45044</v>
      </c>
      <c r="C590" s="1" t="n">
        <v>46011</v>
      </c>
      <c r="D590" t="inlineStr">
        <is>
          <t>ÖSTERGÖTLANDS LÄN</t>
        </is>
      </c>
      <c r="E590" t="inlineStr">
        <is>
          <t>LINKÖPING</t>
        </is>
      </c>
      <c r="G590" t="n">
        <v>2.7</v>
      </c>
      <c r="H590" t="n">
        <v>0</v>
      </c>
      <c r="I590" t="n">
        <v>0</v>
      </c>
      <c r="J590" t="n">
        <v>0</v>
      </c>
      <c r="K590" t="n">
        <v>0</v>
      </c>
      <c r="L590" t="n">
        <v>0</v>
      </c>
      <c r="M590" t="n">
        <v>0</v>
      </c>
      <c r="N590" t="n">
        <v>0</v>
      </c>
      <c r="O590" t="n">
        <v>0</v>
      </c>
      <c r="P590" t="n">
        <v>0</v>
      </c>
      <c r="Q590" t="n">
        <v>0</v>
      </c>
      <c r="R590" s="2" t="inlineStr"/>
    </row>
    <row r="591" ht="15" customHeight="1">
      <c r="A591" t="inlineStr">
        <is>
          <t>A 1209-2023</t>
        </is>
      </c>
      <c r="B591" s="1" t="n">
        <v>44930</v>
      </c>
      <c r="C591" s="1" t="n">
        <v>46011</v>
      </c>
      <c r="D591" t="inlineStr">
        <is>
          <t>ÖSTERGÖTLANDS LÄN</t>
        </is>
      </c>
      <c r="E591" t="inlineStr">
        <is>
          <t>LINKÖPING</t>
        </is>
      </c>
      <c r="F591" t="inlineStr">
        <is>
          <t>Övriga statliga verk och myndigheter</t>
        </is>
      </c>
      <c r="G591" t="n">
        <v>25.8</v>
      </c>
      <c r="H591" t="n">
        <v>0</v>
      </c>
      <c r="I591" t="n">
        <v>0</v>
      </c>
      <c r="J591" t="n">
        <v>0</v>
      </c>
      <c r="K591" t="n">
        <v>0</v>
      </c>
      <c r="L591" t="n">
        <v>0</v>
      </c>
      <c r="M591" t="n">
        <v>0</v>
      </c>
      <c r="N591" t="n">
        <v>0</v>
      </c>
      <c r="O591" t="n">
        <v>0</v>
      </c>
      <c r="P591" t="n">
        <v>0</v>
      </c>
      <c r="Q591" t="n">
        <v>0</v>
      </c>
      <c r="R591" s="2" t="inlineStr"/>
    </row>
    <row r="592" ht="15" customHeight="1">
      <c r="A592" t="inlineStr">
        <is>
          <t>A 2085-2024</t>
        </is>
      </c>
      <c r="B592" s="1" t="n">
        <v>45309</v>
      </c>
      <c r="C592" s="1" t="n">
        <v>46011</v>
      </c>
      <c r="D592" t="inlineStr">
        <is>
          <t>ÖSTERGÖTLANDS LÄN</t>
        </is>
      </c>
      <c r="E592" t="inlineStr">
        <is>
          <t>LINKÖPING</t>
        </is>
      </c>
      <c r="G592" t="n">
        <v>4.5</v>
      </c>
      <c r="H592" t="n">
        <v>0</v>
      </c>
      <c r="I592" t="n">
        <v>0</v>
      </c>
      <c r="J592" t="n">
        <v>0</v>
      </c>
      <c r="K592" t="n">
        <v>0</v>
      </c>
      <c r="L592" t="n">
        <v>0</v>
      </c>
      <c r="M592" t="n">
        <v>0</v>
      </c>
      <c r="N592" t="n">
        <v>0</v>
      </c>
      <c r="O592" t="n">
        <v>0</v>
      </c>
      <c r="P592" t="n">
        <v>0</v>
      </c>
      <c r="Q592" t="n">
        <v>0</v>
      </c>
      <c r="R592" s="2" t="inlineStr"/>
    </row>
    <row r="593" ht="15" customHeight="1">
      <c r="A593" t="inlineStr">
        <is>
          <t>A 48-2024</t>
        </is>
      </c>
      <c r="B593" s="1" t="n">
        <v>45293</v>
      </c>
      <c r="C593" s="1" t="n">
        <v>46011</v>
      </c>
      <c r="D593" t="inlineStr">
        <is>
          <t>ÖSTERGÖTLANDS LÄN</t>
        </is>
      </c>
      <c r="E593" t="inlineStr">
        <is>
          <t>LINKÖPING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56560-2023</t>
        </is>
      </c>
      <c r="B594" s="1" t="n">
        <v>45238</v>
      </c>
      <c r="C594" s="1" t="n">
        <v>46011</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19132-2023</t>
        </is>
      </c>
      <c r="B595" s="1" t="n">
        <v>45048.54754629629</v>
      </c>
      <c r="C595" s="1" t="n">
        <v>46011</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52412-2023</t>
        </is>
      </c>
      <c r="B596" s="1" t="n">
        <v>45225.27888888889</v>
      </c>
      <c r="C596" s="1" t="n">
        <v>46011</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62492-2023</t>
        </is>
      </c>
      <c r="B597" s="1" t="n">
        <v>45268.58987268519</v>
      </c>
      <c r="C597" s="1" t="n">
        <v>46011</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38230-2023</t>
        </is>
      </c>
      <c r="B598" s="1" t="n">
        <v>45161.55373842592</v>
      </c>
      <c r="C598" s="1" t="n">
        <v>46011</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56756-2023</t>
        </is>
      </c>
      <c r="B599" s="1" t="n">
        <v>45244</v>
      </c>
      <c r="C599" s="1" t="n">
        <v>46011</v>
      </c>
      <c r="D599" t="inlineStr">
        <is>
          <t>ÖSTERGÖTLANDS LÄN</t>
        </is>
      </c>
      <c r="E599" t="inlineStr">
        <is>
          <t>LINKÖPING</t>
        </is>
      </c>
      <c r="F599" t="inlineStr">
        <is>
          <t>Övriga Aktiebolag</t>
        </is>
      </c>
      <c r="G599" t="n">
        <v>0.8</v>
      </c>
      <c r="H599" t="n">
        <v>0</v>
      </c>
      <c r="I599" t="n">
        <v>0</v>
      </c>
      <c r="J599" t="n">
        <v>0</v>
      </c>
      <c r="K599" t="n">
        <v>0</v>
      </c>
      <c r="L599" t="n">
        <v>0</v>
      </c>
      <c r="M599" t="n">
        <v>0</v>
      </c>
      <c r="N599" t="n">
        <v>0</v>
      </c>
      <c r="O599" t="n">
        <v>0</v>
      </c>
      <c r="P599" t="n">
        <v>0</v>
      </c>
      <c r="Q599" t="n">
        <v>0</v>
      </c>
      <c r="R599" s="2" t="inlineStr"/>
    </row>
    <row r="600" ht="15" customHeight="1">
      <c r="A600" t="inlineStr">
        <is>
          <t>A 38886-2024</t>
        </is>
      </c>
      <c r="B600" s="1" t="n">
        <v>45547.66443287037</v>
      </c>
      <c r="C600" s="1" t="n">
        <v>46011</v>
      </c>
      <c r="D600" t="inlineStr">
        <is>
          <t>ÖSTERGÖTLANDS LÄN</t>
        </is>
      </c>
      <c r="E600" t="inlineStr">
        <is>
          <t>LINKÖPING</t>
        </is>
      </c>
      <c r="G600" t="n">
        <v>5.3</v>
      </c>
      <c r="H600" t="n">
        <v>0</v>
      </c>
      <c r="I600" t="n">
        <v>0</v>
      </c>
      <c r="J600" t="n">
        <v>0</v>
      </c>
      <c r="K600" t="n">
        <v>0</v>
      </c>
      <c r="L600" t="n">
        <v>0</v>
      </c>
      <c r="M600" t="n">
        <v>0</v>
      </c>
      <c r="N600" t="n">
        <v>0</v>
      </c>
      <c r="O600" t="n">
        <v>0</v>
      </c>
      <c r="P600" t="n">
        <v>0</v>
      </c>
      <c r="Q600" t="n">
        <v>0</v>
      </c>
      <c r="R600" s="2" t="inlineStr"/>
    </row>
    <row r="601" ht="15" customHeight="1">
      <c r="A601" t="inlineStr">
        <is>
          <t>A 11590-2023</t>
        </is>
      </c>
      <c r="B601" s="1" t="n">
        <v>44994.36689814815</v>
      </c>
      <c r="C601" s="1" t="n">
        <v>46011</v>
      </c>
      <c r="D601" t="inlineStr">
        <is>
          <t>ÖSTERGÖTLANDS LÄN</t>
        </is>
      </c>
      <c r="E601" t="inlineStr">
        <is>
          <t>LINKÖPING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10461-2023</t>
        </is>
      </c>
      <c r="B602" s="1" t="n">
        <v>44987.5969212963</v>
      </c>
      <c r="C602" s="1" t="n">
        <v>46011</v>
      </c>
      <c r="D602" t="inlineStr">
        <is>
          <t>ÖSTERGÖTLANDS LÄN</t>
        </is>
      </c>
      <c r="E602" t="inlineStr">
        <is>
          <t>LINKÖPING</t>
        </is>
      </c>
      <c r="G602" t="n">
        <v>7.8</v>
      </c>
      <c r="H602" t="n">
        <v>0</v>
      </c>
      <c r="I602" t="n">
        <v>0</v>
      </c>
      <c r="J602" t="n">
        <v>0</v>
      </c>
      <c r="K602" t="n">
        <v>0</v>
      </c>
      <c r="L602" t="n">
        <v>0</v>
      </c>
      <c r="M602" t="n">
        <v>0</v>
      </c>
      <c r="N602" t="n">
        <v>0</v>
      </c>
      <c r="O602" t="n">
        <v>0</v>
      </c>
      <c r="P602" t="n">
        <v>0</v>
      </c>
      <c r="Q602" t="n">
        <v>0</v>
      </c>
      <c r="R602" s="2" t="inlineStr"/>
    </row>
    <row r="603" ht="15" customHeight="1">
      <c r="A603" t="inlineStr">
        <is>
          <t>A 41345-2021</t>
        </is>
      </c>
      <c r="B603" s="1" t="n">
        <v>44424.61851851852</v>
      </c>
      <c r="C603" s="1" t="n">
        <v>46011</v>
      </c>
      <c r="D603" t="inlineStr">
        <is>
          <t>ÖSTERGÖTLANDS LÄN</t>
        </is>
      </c>
      <c r="E603" t="inlineStr">
        <is>
          <t>LINKÖPING</t>
        </is>
      </c>
      <c r="F603" t="inlineStr">
        <is>
          <t>Sveaskog</t>
        </is>
      </c>
      <c r="G603" t="n">
        <v>6.3</v>
      </c>
      <c r="H603" t="n">
        <v>0</v>
      </c>
      <c r="I603" t="n">
        <v>0</v>
      </c>
      <c r="J603" t="n">
        <v>0</v>
      </c>
      <c r="K603" t="n">
        <v>0</v>
      </c>
      <c r="L603" t="n">
        <v>0</v>
      </c>
      <c r="M603" t="n">
        <v>0</v>
      </c>
      <c r="N603" t="n">
        <v>0</v>
      </c>
      <c r="O603" t="n">
        <v>0</v>
      </c>
      <c r="P603" t="n">
        <v>0</v>
      </c>
      <c r="Q603" t="n">
        <v>0</v>
      </c>
      <c r="R603" s="2" t="inlineStr"/>
    </row>
    <row r="604" ht="15" customHeight="1">
      <c r="A604" t="inlineStr">
        <is>
          <t>A 61307-2021</t>
        </is>
      </c>
      <c r="B604" s="1" t="n">
        <v>44498.63928240741</v>
      </c>
      <c r="C604" s="1" t="n">
        <v>46011</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61325-2021</t>
        </is>
      </c>
      <c r="B605" s="1" t="n">
        <v>44498.66814814815</v>
      </c>
      <c r="C605" s="1" t="n">
        <v>46011</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60010-2022</t>
        </is>
      </c>
      <c r="B606" s="1" t="n">
        <v>44909.4740625</v>
      </c>
      <c r="C606" s="1" t="n">
        <v>46011</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30518-2024</t>
        </is>
      </c>
      <c r="B607" s="1" t="n">
        <v>45492</v>
      </c>
      <c r="C607" s="1" t="n">
        <v>46011</v>
      </c>
      <c r="D607" t="inlineStr">
        <is>
          <t>ÖSTERGÖTLANDS LÄN</t>
        </is>
      </c>
      <c r="E607" t="inlineStr">
        <is>
          <t>LINKÖPING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4908-2023</t>
        </is>
      </c>
      <c r="B608" s="1" t="n">
        <v>44958</v>
      </c>
      <c r="C608" s="1" t="n">
        <v>46011</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37715-2022</t>
        </is>
      </c>
      <c r="B609" s="1" t="n">
        <v>44810</v>
      </c>
      <c r="C609" s="1" t="n">
        <v>46011</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3742-2021</t>
        </is>
      </c>
      <c r="B610" s="1" t="n">
        <v>44221</v>
      </c>
      <c r="C610" s="1" t="n">
        <v>46011</v>
      </c>
      <c r="D610" t="inlineStr">
        <is>
          <t>ÖSTERGÖTLANDS LÄN</t>
        </is>
      </c>
      <c r="E610" t="inlineStr">
        <is>
          <t>LINKÖPING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3011-2023</t>
        </is>
      </c>
      <c r="B611" s="1" t="n">
        <v>44945</v>
      </c>
      <c r="C611" s="1" t="n">
        <v>46011</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45442-2024</t>
        </is>
      </c>
      <c r="B612" s="1" t="n">
        <v>45576.64189814815</v>
      </c>
      <c r="C612" s="1" t="n">
        <v>46011</v>
      </c>
      <c r="D612" t="inlineStr">
        <is>
          <t>ÖSTERGÖTLANDS LÄN</t>
        </is>
      </c>
      <c r="E612" t="inlineStr">
        <is>
          <t>LINKÖPING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3432-2023</t>
        </is>
      </c>
      <c r="B613" s="1" t="n">
        <v>44949</v>
      </c>
      <c r="C613" s="1" t="n">
        <v>46011</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1440-2021</t>
        </is>
      </c>
      <c r="B614" s="1" t="n">
        <v>44208</v>
      </c>
      <c r="C614" s="1" t="n">
        <v>46011</v>
      </c>
      <c r="D614" t="inlineStr">
        <is>
          <t>ÖSTERGÖTLANDS LÄN</t>
        </is>
      </c>
      <c r="E614" t="inlineStr">
        <is>
          <t>LINKÖPING</t>
        </is>
      </c>
      <c r="G614" t="n">
        <v>8.4</v>
      </c>
      <c r="H614" t="n">
        <v>0</v>
      </c>
      <c r="I614" t="n">
        <v>0</v>
      </c>
      <c r="J614" t="n">
        <v>0</v>
      </c>
      <c r="K614" t="n">
        <v>0</v>
      </c>
      <c r="L614" t="n">
        <v>0</v>
      </c>
      <c r="M614" t="n">
        <v>0</v>
      </c>
      <c r="N614" t="n">
        <v>0</v>
      </c>
      <c r="O614" t="n">
        <v>0</v>
      </c>
      <c r="P614" t="n">
        <v>0</v>
      </c>
      <c r="Q614" t="n">
        <v>0</v>
      </c>
      <c r="R614" s="2" t="inlineStr"/>
    </row>
    <row r="615" ht="15" customHeight="1">
      <c r="A615" t="inlineStr">
        <is>
          <t>A 60472-2022</t>
        </is>
      </c>
      <c r="B615" s="1" t="n">
        <v>44911.41037037037</v>
      </c>
      <c r="C615" s="1" t="n">
        <v>46011</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12720-2022</t>
        </is>
      </c>
      <c r="B616" s="1" t="n">
        <v>44641</v>
      </c>
      <c r="C616" s="1" t="n">
        <v>46011</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45831-2024</t>
        </is>
      </c>
      <c r="B617" s="1" t="n">
        <v>45579.90508101852</v>
      </c>
      <c r="C617" s="1" t="n">
        <v>46011</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57396-2021</t>
        </is>
      </c>
      <c r="B618" s="1" t="n">
        <v>44483.56151620371</v>
      </c>
      <c r="C618" s="1" t="n">
        <v>46011</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22842-2023</t>
        </is>
      </c>
      <c r="B619" s="1" t="n">
        <v>45071</v>
      </c>
      <c r="C619" s="1" t="n">
        <v>46011</v>
      </c>
      <c r="D619" t="inlineStr">
        <is>
          <t>ÖSTERGÖTLANDS LÄN</t>
        </is>
      </c>
      <c r="E619" t="inlineStr">
        <is>
          <t>LINKÖPING</t>
        </is>
      </c>
      <c r="F619" t="inlineStr">
        <is>
          <t>Kommuner</t>
        </is>
      </c>
      <c r="G619" t="n">
        <v>1.3</v>
      </c>
      <c r="H619" t="n">
        <v>0</v>
      </c>
      <c r="I619" t="n">
        <v>0</v>
      </c>
      <c r="J619" t="n">
        <v>0</v>
      </c>
      <c r="K619" t="n">
        <v>0</v>
      </c>
      <c r="L619" t="n">
        <v>0</v>
      </c>
      <c r="M619" t="n">
        <v>0</v>
      </c>
      <c r="N619" t="n">
        <v>0</v>
      </c>
      <c r="O619" t="n">
        <v>0</v>
      </c>
      <c r="P619" t="n">
        <v>0</v>
      </c>
      <c r="Q619" t="n">
        <v>0</v>
      </c>
      <c r="R619" s="2" t="inlineStr"/>
    </row>
    <row r="620" ht="15" customHeight="1">
      <c r="A620" t="inlineStr">
        <is>
          <t>A 50386-2021</t>
        </is>
      </c>
      <c r="B620" s="1" t="n">
        <v>44459</v>
      </c>
      <c r="C620" s="1" t="n">
        <v>46011</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35781-2023</t>
        </is>
      </c>
      <c r="B621" s="1" t="n">
        <v>45147</v>
      </c>
      <c r="C621" s="1" t="n">
        <v>46011</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22770-2024</t>
        </is>
      </c>
      <c r="B622" s="1" t="n">
        <v>45448.4634375</v>
      </c>
      <c r="C622" s="1" t="n">
        <v>46011</v>
      </c>
      <c r="D622" t="inlineStr">
        <is>
          <t>ÖSTERGÖTLANDS LÄN</t>
        </is>
      </c>
      <c r="E622" t="inlineStr">
        <is>
          <t>LINKÖPING</t>
        </is>
      </c>
      <c r="F622" t="inlineStr">
        <is>
          <t>Sveaskog</t>
        </is>
      </c>
      <c r="G622" t="n">
        <v>3.4</v>
      </c>
      <c r="H622" t="n">
        <v>0</v>
      </c>
      <c r="I622" t="n">
        <v>0</v>
      </c>
      <c r="J622" t="n">
        <v>0</v>
      </c>
      <c r="K622" t="n">
        <v>0</v>
      </c>
      <c r="L622" t="n">
        <v>0</v>
      </c>
      <c r="M622" t="n">
        <v>0</v>
      </c>
      <c r="N622" t="n">
        <v>0</v>
      </c>
      <c r="O622" t="n">
        <v>0</v>
      </c>
      <c r="P622" t="n">
        <v>0</v>
      </c>
      <c r="Q622" t="n">
        <v>0</v>
      </c>
      <c r="R622" s="2" t="inlineStr"/>
    </row>
    <row r="623" ht="15" customHeight="1">
      <c r="A623" t="inlineStr">
        <is>
          <t>A 11671-2023</t>
        </is>
      </c>
      <c r="B623" s="1" t="n">
        <v>44994.48125</v>
      </c>
      <c r="C623" s="1" t="n">
        <v>46011</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54425-2022</t>
        </is>
      </c>
      <c r="B624" s="1" t="n">
        <v>44882.57453703704</v>
      </c>
      <c r="C624" s="1" t="n">
        <v>46011</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4927-2021</t>
        </is>
      </c>
      <c r="B625" s="1" t="n">
        <v>44227.57215277778</v>
      </c>
      <c r="C625" s="1" t="n">
        <v>46011</v>
      </c>
      <c r="D625" t="inlineStr">
        <is>
          <t>ÖSTERGÖTLANDS LÄN</t>
        </is>
      </c>
      <c r="E625" t="inlineStr">
        <is>
          <t>LINKÖPING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30547-2023</t>
        </is>
      </c>
      <c r="B626" s="1" t="n">
        <v>45111.75905092592</v>
      </c>
      <c r="C626" s="1" t="n">
        <v>46011</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24904-2024</t>
        </is>
      </c>
      <c r="B627" s="1" t="n">
        <v>45461</v>
      </c>
      <c r="C627" s="1" t="n">
        <v>46011</v>
      </c>
      <c r="D627" t="inlineStr">
        <is>
          <t>ÖSTERGÖTLANDS LÄN</t>
        </is>
      </c>
      <c r="E627" t="inlineStr">
        <is>
          <t>LINKÖPING</t>
        </is>
      </c>
      <c r="G627" t="n">
        <v>3.8</v>
      </c>
      <c r="H627" t="n">
        <v>0</v>
      </c>
      <c r="I627" t="n">
        <v>0</v>
      </c>
      <c r="J627" t="n">
        <v>0</v>
      </c>
      <c r="K627" t="n">
        <v>0</v>
      </c>
      <c r="L627" t="n">
        <v>0</v>
      </c>
      <c r="M627" t="n">
        <v>0</v>
      </c>
      <c r="N627" t="n">
        <v>0</v>
      </c>
      <c r="O627" t="n">
        <v>0</v>
      </c>
      <c r="P627" t="n">
        <v>0</v>
      </c>
      <c r="Q627" t="n">
        <v>0</v>
      </c>
      <c r="R627" s="2" t="inlineStr"/>
    </row>
    <row r="628" ht="15" customHeight="1">
      <c r="A628" t="inlineStr">
        <is>
          <t>A 26788-2022</t>
        </is>
      </c>
      <c r="B628" s="1" t="n">
        <v>44740</v>
      </c>
      <c r="C628" s="1" t="n">
        <v>46011</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15121-2022</t>
        </is>
      </c>
      <c r="B629" s="1" t="n">
        <v>44658</v>
      </c>
      <c r="C629" s="1" t="n">
        <v>46011</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51919-2024</t>
        </is>
      </c>
      <c r="B630" s="1" t="n">
        <v>45607.60791666667</v>
      </c>
      <c r="C630" s="1" t="n">
        <v>46011</v>
      </c>
      <c r="D630" t="inlineStr">
        <is>
          <t>ÖSTERGÖTLANDS LÄN</t>
        </is>
      </c>
      <c r="E630" t="inlineStr">
        <is>
          <t>LINKÖPING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55009-2023</t>
        </is>
      </c>
      <c r="B631" s="1" t="n">
        <v>45237</v>
      </c>
      <c r="C631" s="1" t="n">
        <v>46011</v>
      </c>
      <c r="D631" t="inlineStr">
        <is>
          <t>ÖSTERGÖTLANDS LÄN</t>
        </is>
      </c>
      <c r="E631" t="inlineStr">
        <is>
          <t>LINKÖPING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20291-2025</t>
        </is>
      </c>
      <c r="B632" s="1" t="n">
        <v>45774.74288194445</v>
      </c>
      <c r="C632" s="1" t="n">
        <v>46011</v>
      </c>
      <c r="D632" t="inlineStr">
        <is>
          <t>ÖSTERGÖTLANDS LÄN</t>
        </is>
      </c>
      <c r="E632" t="inlineStr">
        <is>
          <t>LINKÖPING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20293-2025</t>
        </is>
      </c>
      <c r="B633" s="1" t="n">
        <v>45774.74611111111</v>
      </c>
      <c r="C633" s="1" t="n">
        <v>46011</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660-2023</t>
        </is>
      </c>
      <c r="B634" s="1" t="n">
        <v>44930</v>
      </c>
      <c r="C634" s="1" t="n">
        <v>46011</v>
      </c>
      <c r="D634" t="inlineStr">
        <is>
          <t>ÖSTERGÖTLANDS LÄN</t>
        </is>
      </c>
      <c r="E634" t="inlineStr">
        <is>
          <t>LINKÖPING</t>
        </is>
      </c>
      <c r="F634" t="inlineStr">
        <is>
          <t>Kyrkan</t>
        </is>
      </c>
      <c r="G634" t="n">
        <v>1.6</v>
      </c>
      <c r="H634" t="n">
        <v>0</v>
      </c>
      <c r="I634" t="n">
        <v>0</v>
      </c>
      <c r="J634" t="n">
        <v>0</v>
      </c>
      <c r="K634" t="n">
        <v>0</v>
      </c>
      <c r="L634" t="n">
        <v>0</v>
      </c>
      <c r="M634" t="n">
        <v>0</v>
      </c>
      <c r="N634" t="n">
        <v>0</v>
      </c>
      <c r="O634" t="n">
        <v>0</v>
      </c>
      <c r="P634" t="n">
        <v>0</v>
      </c>
      <c r="Q634" t="n">
        <v>0</v>
      </c>
      <c r="R634" s="2" t="inlineStr"/>
    </row>
    <row r="635" ht="15" customHeight="1">
      <c r="A635" t="inlineStr">
        <is>
          <t>A 64694-2023</t>
        </is>
      </c>
      <c r="B635" s="1" t="n">
        <v>45281</v>
      </c>
      <c r="C635" s="1" t="n">
        <v>46011</v>
      </c>
      <c r="D635" t="inlineStr">
        <is>
          <t>ÖSTERGÖTLANDS LÄN</t>
        </is>
      </c>
      <c r="E635" t="inlineStr">
        <is>
          <t>LINKÖPING</t>
        </is>
      </c>
      <c r="F635" t="inlineStr">
        <is>
          <t>Övriga statliga verk och myndigheter</t>
        </is>
      </c>
      <c r="G635" t="n">
        <v>4.9</v>
      </c>
      <c r="H635" t="n">
        <v>0</v>
      </c>
      <c r="I635" t="n">
        <v>0</v>
      </c>
      <c r="J635" t="n">
        <v>0</v>
      </c>
      <c r="K635" t="n">
        <v>0</v>
      </c>
      <c r="L635" t="n">
        <v>0</v>
      </c>
      <c r="M635" t="n">
        <v>0</v>
      </c>
      <c r="N635" t="n">
        <v>0</v>
      </c>
      <c r="O635" t="n">
        <v>0</v>
      </c>
      <c r="P635" t="n">
        <v>0</v>
      </c>
      <c r="Q635" t="n">
        <v>0</v>
      </c>
      <c r="R635" s="2" t="inlineStr"/>
    </row>
    <row r="636" ht="15" customHeight="1">
      <c r="A636" t="inlineStr">
        <is>
          <t>A 63487-2023</t>
        </is>
      </c>
      <c r="B636" s="1" t="n">
        <v>45274.66712962963</v>
      </c>
      <c r="C636" s="1" t="n">
        <v>46011</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20455-2024</t>
        </is>
      </c>
      <c r="B637" s="1" t="n">
        <v>45435.65314814815</v>
      </c>
      <c r="C637" s="1" t="n">
        <v>46011</v>
      </c>
      <c r="D637" t="inlineStr">
        <is>
          <t>ÖSTERGÖTLANDS LÄN</t>
        </is>
      </c>
      <c r="E637" t="inlineStr">
        <is>
          <t>LINKÖPING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30471-2023</t>
        </is>
      </c>
      <c r="B638" s="1" t="n">
        <v>45111.58931712963</v>
      </c>
      <c r="C638" s="1" t="n">
        <v>46011</v>
      </c>
      <c r="D638" t="inlineStr">
        <is>
          <t>ÖSTERGÖTLANDS LÄN</t>
        </is>
      </c>
      <c r="E638" t="inlineStr">
        <is>
          <t>LINKÖPING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14093-2024</t>
        </is>
      </c>
      <c r="B639" s="1" t="n">
        <v>45392.60278935185</v>
      </c>
      <c r="C639" s="1" t="n">
        <v>46011</v>
      </c>
      <c r="D639" t="inlineStr">
        <is>
          <t>ÖSTERGÖTLANDS LÄN</t>
        </is>
      </c>
      <c r="E639" t="inlineStr">
        <is>
          <t>LINKÖPING</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63304-2021</t>
        </is>
      </c>
      <c r="B640" s="1" t="n">
        <v>44508.4396412037</v>
      </c>
      <c r="C640" s="1" t="n">
        <v>46011</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19362-2023</t>
        </is>
      </c>
      <c r="B641" s="1" t="n">
        <v>45049</v>
      </c>
      <c r="C641" s="1" t="n">
        <v>46011</v>
      </c>
      <c r="D641" t="inlineStr">
        <is>
          <t>ÖSTERGÖTLANDS LÄN</t>
        </is>
      </c>
      <c r="E641" t="inlineStr">
        <is>
          <t>LINKÖPING</t>
        </is>
      </c>
      <c r="G641" t="n">
        <v>0.1</v>
      </c>
      <c r="H641" t="n">
        <v>0</v>
      </c>
      <c r="I641" t="n">
        <v>0</v>
      </c>
      <c r="J641" t="n">
        <v>0</v>
      </c>
      <c r="K641" t="n">
        <v>0</v>
      </c>
      <c r="L641" t="n">
        <v>0</v>
      </c>
      <c r="M641" t="n">
        <v>0</v>
      </c>
      <c r="N641" t="n">
        <v>0</v>
      </c>
      <c r="O641" t="n">
        <v>0</v>
      </c>
      <c r="P641" t="n">
        <v>0</v>
      </c>
      <c r="Q641" t="n">
        <v>0</v>
      </c>
      <c r="R641" s="2" t="inlineStr"/>
    </row>
    <row r="642" ht="15" customHeight="1">
      <c r="A642" t="inlineStr">
        <is>
          <t>A 35463-2023</t>
        </is>
      </c>
      <c r="B642" s="1" t="n">
        <v>45146</v>
      </c>
      <c r="C642" s="1" t="n">
        <v>46011</v>
      </c>
      <c r="D642" t="inlineStr">
        <is>
          <t>ÖSTERGÖTLANDS LÄN</t>
        </is>
      </c>
      <c r="E642" t="inlineStr">
        <is>
          <t>LINKÖPING</t>
        </is>
      </c>
      <c r="F642" t="inlineStr">
        <is>
          <t>Övriga Aktiebolag</t>
        </is>
      </c>
      <c r="G642" t="n">
        <v>1.8</v>
      </c>
      <c r="H642" t="n">
        <v>0</v>
      </c>
      <c r="I642" t="n">
        <v>0</v>
      </c>
      <c r="J642" t="n">
        <v>0</v>
      </c>
      <c r="K642" t="n">
        <v>0</v>
      </c>
      <c r="L642" t="n">
        <v>0</v>
      </c>
      <c r="M642" t="n">
        <v>0</v>
      </c>
      <c r="N642" t="n">
        <v>0</v>
      </c>
      <c r="O642" t="n">
        <v>0</v>
      </c>
      <c r="P642" t="n">
        <v>0</v>
      </c>
      <c r="Q642" t="n">
        <v>0</v>
      </c>
      <c r="R642" s="2" t="inlineStr"/>
    </row>
    <row r="643" ht="15" customHeight="1">
      <c r="A643" t="inlineStr">
        <is>
          <t>A 16111-2022</t>
        </is>
      </c>
      <c r="B643" s="1" t="n">
        <v>44665</v>
      </c>
      <c r="C643" s="1" t="n">
        <v>46011</v>
      </c>
      <c r="D643" t="inlineStr">
        <is>
          <t>ÖSTERGÖTLANDS LÄN</t>
        </is>
      </c>
      <c r="E643" t="inlineStr">
        <is>
          <t>LINKÖPING</t>
        </is>
      </c>
      <c r="F643" t="inlineStr">
        <is>
          <t>Övriga Aktiebolag</t>
        </is>
      </c>
      <c r="G643" t="n">
        <v>2.9</v>
      </c>
      <c r="H643" t="n">
        <v>0</v>
      </c>
      <c r="I643" t="n">
        <v>0</v>
      </c>
      <c r="J643" t="n">
        <v>0</v>
      </c>
      <c r="K643" t="n">
        <v>0</v>
      </c>
      <c r="L643" t="n">
        <v>0</v>
      </c>
      <c r="M643" t="n">
        <v>0</v>
      </c>
      <c r="N643" t="n">
        <v>0</v>
      </c>
      <c r="O643" t="n">
        <v>0</v>
      </c>
      <c r="P643" t="n">
        <v>0</v>
      </c>
      <c r="Q643" t="n">
        <v>0</v>
      </c>
      <c r="R643" s="2" t="inlineStr"/>
    </row>
    <row r="644" ht="15" customHeight="1">
      <c r="A644" t="inlineStr">
        <is>
          <t>A 31635-2023</t>
        </is>
      </c>
      <c r="B644" s="1" t="n">
        <v>45105</v>
      </c>
      <c r="C644" s="1" t="n">
        <v>46011</v>
      </c>
      <c r="D644" t="inlineStr">
        <is>
          <t>ÖSTERGÖTLANDS LÄN</t>
        </is>
      </c>
      <c r="E644" t="inlineStr">
        <is>
          <t>LINKÖPING</t>
        </is>
      </c>
      <c r="F644" t="inlineStr">
        <is>
          <t>Övriga statliga verk och myndigheter</t>
        </is>
      </c>
      <c r="G644" t="n">
        <v>4.6</v>
      </c>
      <c r="H644" t="n">
        <v>0</v>
      </c>
      <c r="I644" t="n">
        <v>0</v>
      </c>
      <c r="J644" t="n">
        <v>0</v>
      </c>
      <c r="K644" t="n">
        <v>0</v>
      </c>
      <c r="L644" t="n">
        <v>0</v>
      </c>
      <c r="M644" t="n">
        <v>0</v>
      </c>
      <c r="N644" t="n">
        <v>0</v>
      </c>
      <c r="O644" t="n">
        <v>0</v>
      </c>
      <c r="P644" t="n">
        <v>0</v>
      </c>
      <c r="Q644" t="n">
        <v>0</v>
      </c>
      <c r="R644" s="2" t="inlineStr"/>
    </row>
    <row r="645" ht="15" customHeight="1">
      <c r="A645" t="inlineStr">
        <is>
          <t>A 49928-2024</t>
        </is>
      </c>
      <c r="B645" s="1" t="n">
        <v>45597.57811342592</v>
      </c>
      <c r="C645" s="1" t="n">
        <v>46011</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54845-2023</t>
        </is>
      </c>
      <c r="B646" s="1" t="n">
        <v>45236</v>
      </c>
      <c r="C646" s="1" t="n">
        <v>46011</v>
      </c>
      <c r="D646" t="inlineStr">
        <is>
          <t>ÖSTERGÖTLANDS LÄN</t>
        </is>
      </c>
      <c r="E646" t="inlineStr">
        <is>
          <t>LINKÖPING</t>
        </is>
      </c>
      <c r="F646" t="inlineStr">
        <is>
          <t>Övriga Aktiebolag</t>
        </is>
      </c>
      <c r="G646" t="n">
        <v>5.7</v>
      </c>
      <c r="H646" t="n">
        <v>0</v>
      </c>
      <c r="I646" t="n">
        <v>0</v>
      </c>
      <c r="J646" t="n">
        <v>0</v>
      </c>
      <c r="K646" t="n">
        <v>0</v>
      </c>
      <c r="L646" t="n">
        <v>0</v>
      </c>
      <c r="M646" t="n">
        <v>0</v>
      </c>
      <c r="N646" t="n">
        <v>0</v>
      </c>
      <c r="O646" t="n">
        <v>0</v>
      </c>
      <c r="P646" t="n">
        <v>0</v>
      </c>
      <c r="Q646" t="n">
        <v>0</v>
      </c>
      <c r="R646" s="2" t="inlineStr"/>
    </row>
    <row r="647" ht="15" customHeight="1">
      <c r="A647" t="inlineStr">
        <is>
          <t>A 46687-2021</t>
        </is>
      </c>
      <c r="B647" s="1" t="n">
        <v>44445</v>
      </c>
      <c r="C647" s="1" t="n">
        <v>46011</v>
      </c>
      <c r="D647" t="inlineStr">
        <is>
          <t>ÖSTERGÖTLANDS LÄN</t>
        </is>
      </c>
      <c r="E647" t="inlineStr">
        <is>
          <t>LINKÖPING</t>
        </is>
      </c>
      <c r="F647" t="inlineStr">
        <is>
          <t>Övriga statliga verk och myndigheter</t>
        </is>
      </c>
      <c r="G647" t="n">
        <v>2.3</v>
      </c>
      <c r="H647" t="n">
        <v>0</v>
      </c>
      <c r="I647" t="n">
        <v>0</v>
      </c>
      <c r="J647" t="n">
        <v>0</v>
      </c>
      <c r="K647" t="n">
        <v>0</v>
      </c>
      <c r="L647" t="n">
        <v>0</v>
      </c>
      <c r="M647" t="n">
        <v>0</v>
      </c>
      <c r="N647" t="n">
        <v>0</v>
      </c>
      <c r="O647" t="n">
        <v>0</v>
      </c>
      <c r="P647" t="n">
        <v>0</v>
      </c>
      <c r="Q647" t="n">
        <v>0</v>
      </c>
      <c r="R647" s="2" t="inlineStr"/>
    </row>
    <row r="648" ht="15" customHeight="1">
      <c r="A648" t="inlineStr">
        <is>
          <t>A 30855-2022</t>
        </is>
      </c>
      <c r="B648" s="1" t="n">
        <v>44767</v>
      </c>
      <c r="C648" s="1" t="n">
        <v>46011</v>
      </c>
      <c r="D648" t="inlineStr">
        <is>
          <t>ÖSTERGÖTLANDS LÄN</t>
        </is>
      </c>
      <c r="E648" t="inlineStr">
        <is>
          <t>LINKÖPING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1355-2023</t>
        </is>
      </c>
      <c r="B649" s="1" t="n">
        <v>44931</v>
      </c>
      <c r="C649" s="1" t="n">
        <v>46011</v>
      </c>
      <c r="D649" t="inlineStr">
        <is>
          <t>ÖSTERGÖTLANDS LÄN</t>
        </is>
      </c>
      <c r="E649" t="inlineStr">
        <is>
          <t>LINKÖPING</t>
        </is>
      </c>
      <c r="G649" t="n">
        <v>4</v>
      </c>
      <c r="H649" t="n">
        <v>0</v>
      </c>
      <c r="I649" t="n">
        <v>0</v>
      </c>
      <c r="J649" t="n">
        <v>0</v>
      </c>
      <c r="K649" t="n">
        <v>0</v>
      </c>
      <c r="L649" t="n">
        <v>0</v>
      </c>
      <c r="M649" t="n">
        <v>0</v>
      </c>
      <c r="N649" t="n">
        <v>0</v>
      </c>
      <c r="O649" t="n">
        <v>0</v>
      </c>
      <c r="P649" t="n">
        <v>0</v>
      </c>
      <c r="Q649" t="n">
        <v>0</v>
      </c>
      <c r="R649" s="2" t="inlineStr"/>
    </row>
    <row r="650" ht="15" customHeight="1">
      <c r="A650" t="inlineStr">
        <is>
          <t>A 27844-2024</t>
        </is>
      </c>
      <c r="B650" s="1" t="n">
        <v>45475.63047453704</v>
      </c>
      <c r="C650" s="1" t="n">
        <v>46011</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10741-2023</t>
        </is>
      </c>
      <c r="B651" s="1" t="n">
        <v>44988.70084490741</v>
      </c>
      <c r="C651" s="1" t="n">
        <v>46011</v>
      </c>
      <c r="D651" t="inlineStr">
        <is>
          <t>ÖSTERGÖTLANDS LÄN</t>
        </is>
      </c>
      <c r="E651" t="inlineStr">
        <is>
          <t>LINKÖPING</t>
        </is>
      </c>
      <c r="F651" t="inlineStr">
        <is>
          <t>Allmännings- och besparingsskogar</t>
        </is>
      </c>
      <c r="G651" t="n">
        <v>11.2</v>
      </c>
      <c r="H651" t="n">
        <v>0</v>
      </c>
      <c r="I651" t="n">
        <v>0</v>
      </c>
      <c r="J651" t="n">
        <v>0</v>
      </c>
      <c r="K651" t="n">
        <v>0</v>
      </c>
      <c r="L651" t="n">
        <v>0</v>
      </c>
      <c r="M651" t="n">
        <v>0</v>
      </c>
      <c r="N651" t="n">
        <v>0</v>
      </c>
      <c r="O651" t="n">
        <v>0</v>
      </c>
      <c r="P651" t="n">
        <v>0</v>
      </c>
      <c r="Q651" t="n">
        <v>0</v>
      </c>
      <c r="R651" s="2" t="inlineStr"/>
    </row>
    <row r="652" ht="15" customHeight="1">
      <c r="A652" t="inlineStr">
        <is>
          <t>A 50963-2021</t>
        </is>
      </c>
      <c r="B652" s="1" t="n">
        <v>44460</v>
      </c>
      <c r="C652" s="1" t="n">
        <v>46011</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45821-2024</t>
        </is>
      </c>
      <c r="B653" s="1" t="n">
        <v>45579.75803240741</v>
      </c>
      <c r="C653" s="1" t="n">
        <v>46011</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61936-2023</t>
        </is>
      </c>
      <c r="B654" s="1" t="n">
        <v>45266.54534722222</v>
      </c>
      <c r="C654" s="1" t="n">
        <v>46011</v>
      </c>
      <c r="D654" t="inlineStr">
        <is>
          <t>ÖSTERGÖTLANDS LÄN</t>
        </is>
      </c>
      <c r="E654" t="inlineStr">
        <is>
          <t>LINKÖPING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1263-2024</t>
        </is>
      </c>
      <c r="B655" s="1" t="n">
        <v>45302</v>
      </c>
      <c r="C655" s="1" t="n">
        <v>46011</v>
      </c>
      <c r="D655" t="inlineStr">
        <is>
          <t>ÖSTERGÖTLANDS LÄN</t>
        </is>
      </c>
      <c r="E655" t="inlineStr">
        <is>
          <t>LINKÖPING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24464-2023</t>
        </is>
      </c>
      <c r="B656" s="1" t="n">
        <v>45082.58068287037</v>
      </c>
      <c r="C656" s="1" t="n">
        <v>46011</v>
      </c>
      <c r="D656" t="inlineStr">
        <is>
          <t>ÖSTERGÖTLANDS LÄN</t>
        </is>
      </c>
      <c r="E656" t="inlineStr">
        <is>
          <t>LINKÖPING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48389-2024</t>
        </is>
      </c>
      <c r="B657" s="1" t="n">
        <v>45590.59991898148</v>
      </c>
      <c r="C657" s="1" t="n">
        <v>46011</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61281-2021</t>
        </is>
      </c>
      <c r="B658" s="1" t="n">
        <v>44498.60736111111</v>
      </c>
      <c r="C658" s="1" t="n">
        <v>46011</v>
      </c>
      <c r="D658" t="inlineStr">
        <is>
          <t>ÖSTERGÖTLANDS LÄN</t>
        </is>
      </c>
      <c r="E658" t="inlineStr">
        <is>
          <t>LINKÖPING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6369-2023</t>
        </is>
      </c>
      <c r="B659" s="1" t="n">
        <v>44965.61106481482</v>
      </c>
      <c r="C659" s="1" t="n">
        <v>46011</v>
      </c>
      <c r="D659" t="inlineStr">
        <is>
          <t>ÖSTERGÖTLANDS LÄN</t>
        </is>
      </c>
      <c r="E659" t="inlineStr">
        <is>
          <t>LINKÖPING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10094-2024</t>
        </is>
      </c>
      <c r="B660" s="1" t="n">
        <v>45364</v>
      </c>
      <c r="C660" s="1" t="n">
        <v>46011</v>
      </c>
      <c r="D660" t="inlineStr">
        <is>
          <t>ÖSTERGÖTLANDS LÄN</t>
        </is>
      </c>
      <c r="E660" t="inlineStr">
        <is>
          <t>LINKÖPING</t>
        </is>
      </c>
      <c r="F660" t="inlineStr">
        <is>
          <t>Övriga Aktiebolag</t>
        </is>
      </c>
      <c r="G660" t="n">
        <v>1.9</v>
      </c>
      <c r="H660" t="n">
        <v>0</v>
      </c>
      <c r="I660" t="n">
        <v>0</v>
      </c>
      <c r="J660" t="n">
        <v>0</v>
      </c>
      <c r="K660" t="n">
        <v>0</v>
      </c>
      <c r="L660" t="n">
        <v>0</v>
      </c>
      <c r="M660" t="n">
        <v>0</v>
      </c>
      <c r="N660" t="n">
        <v>0</v>
      </c>
      <c r="O660" t="n">
        <v>0</v>
      </c>
      <c r="P660" t="n">
        <v>0</v>
      </c>
      <c r="Q660" t="n">
        <v>0</v>
      </c>
      <c r="R660" s="2" t="inlineStr"/>
    </row>
    <row r="661" ht="15" customHeight="1">
      <c r="A661" t="inlineStr">
        <is>
          <t>A 1207-2023</t>
        </is>
      </c>
      <c r="B661" s="1" t="n">
        <v>44930</v>
      </c>
      <c r="C661" s="1" t="n">
        <v>46011</v>
      </c>
      <c r="D661" t="inlineStr">
        <is>
          <t>ÖSTERGÖTLANDS LÄN</t>
        </is>
      </c>
      <c r="E661" t="inlineStr">
        <is>
          <t>LINKÖPING</t>
        </is>
      </c>
      <c r="F661" t="inlineStr">
        <is>
          <t>Övriga statliga verk och myndigheter</t>
        </is>
      </c>
      <c r="G661" t="n">
        <v>32.8</v>
      </c>
      <c r="H661" t="n">
        <v>0</v>
      </c>
      <c r="I661" t="n">
        <v>0</v>
      </c>
      <c r="J661" t="n">
        <v>0</v>
      </c>
      <c r="K661" t="n">
        <v>0</v>
      </c>
      <c r="L661" t="n">
        <v>0</v>
      </c>
      <c r="M661" t="n">
        <v>0</v>
      </c>
      <c r="N661" t="n">
        <v>0</v>
      </c>
      <c r="O661" t="n">
        <v>0</v>
      </c>
      <c r="P661" t="n">
        <v>0</v>
      </c>
      <c r="Q661" t="n">
        <v>0</v>
      </c>
      <c r="R661" s="2" t="inlineStr"/>
    </row>
    <row r="662" ht="15" customHeight="1">
      <c r="A662" t="inlineStr">
        <is>
          <t>A 62015-2024</t>
        </is>
      </c>
      <c r="B662" s="1" t="n">
        <v>45655.80457175926</v>
      </c>
      <c r="C662" s="1" t="n">
        <v>46011</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62020-2024</t>
        </is>
      </c>
      <c r="B663" s="1" t="n">
        <v>45655.83563657408</v>
      </c>
      <c r="C663" s="1" t="n">
        <v>46011</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62021-2024</t>
        </is>
      </c>
      <c r="B664" s="1" t="n">
        <v>45655.84232638889</v>
      </c>
      <c r="C664" s="1" t="n">
        <v>46011</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27891-2021</t>
        </is>
      </c>
      <c r="B665" s="1" t="n">
        <v>44354.65108796296</v>
      </c>
      <c r="C665" s="1" t="n">
        <v>46011</v>
      </c>
      <c r="D665" t="inlineStr">
        <is>
          <t>ÖSTERGÖTLANDS LÄN</t>
        </is>
      </c>
      <c r="E665" t="inlineStr">
        <is>
          <t>LINKÖPING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57391-2023</t>
        </is>
      </c>
      <c r="B666" s="1" t="n">
        <v>45245</v>
      </c>
      <c r="C666" s="1" t="n">
        <v>46011</v>
      </c>
      <c r="D666" t="inlineStr">
        <is>
          <t>ÖSTERGÖTLANDS LÄN</t>
        </is>
      </c>
      <c r="E666" t="inlineStr">
        <is>
          <t>LINKÖPING</t>
        </is>
      </c>
      <c r="F666" t="inlineStr">
        <is>
          <t>Övriga Aktiebolag</t>
        </is>
      </c>
      <c r="G666" t="n">
        <v>1.7</v>
      </c>
      <c r="H666" t="n">
        <v>0</v>
      </c>
      <c r="I666" t="n">
        <v>0</v>
      </c>
      <c r="J666" t="n">
        <v>0</v>
      </c>
      <c r="K666" t="n">
        <v>0</v>
      </c>
      <c r="L666" t="n">
        <v>0</v>
      </c>
      <c r="M666" t="n">
        <v>0</v>
      </c>
      <c r="N666" t="n">
        <v>0</v>
      </c>
      <c r="O666" t="n">
        <v>0</v>
      </c>
      <c r="P666" t="n">
        <v>0</v>
      </c>
      <c r="Q666" t="n">
        <v>0</v>
      </c>
      <c r="R666" s="2" t="inlineStr"/>
    </row>
    <row r="667" ht="15" customHeight="1">
      <c r="A667" t="inlineStr">
        <is>
          <t>A 20294-2025</t>
        </is>
      </c>
      <c r="B667" s="1" t="n">
        <v>45774.74667824074</v>
      </c>
      <c r="C667" s="1" t="n">
        <v>46011</v>
      </c>
      <c r="D667" t="inlineStr">
        <is>
          <t>ÖSTERGÖTLANDS LÄN</t>
        </is>
      </c>
      <c r="E667" t="inlineStr">
        <is>
          <t>LINKÖPING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60013-2022</t>
        </is>
      </c>
      <c r="B668" s="1" t="n">
        <v>44909.47482638889</v>
      </c>
      <c r="C668" s="1" t="n">
        <v>46011</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3007-2025</t>
        </is>
      </c>
      <c r="B669" s="1" t="n">
        <v>45678.56328703704</v>
      </c>
      <c r="C669" s="1" t="n">
        <v>46011</v>
      </c>
      <c r="D669" t="inlineStr">
        <is>
          <t>ÖSTERGÖTLANDS LÄN</t>
        </is>
      </c>
      <c r="E669" t="inlineStr">
        <is>
          <t>LINKÖPING</t>
        </is>
      </c>
      <c r="G669" t="n">
        <v>3.1</v>
      </c>
      <c r="H669" t="n">
        <v>0</v>
      </c>
      <c r="I669" t="n">
        <v>0</v>
      </c>
      <c r="J669" t="n">
        <v>0</v>
      </c>
      <c r="K669" t="n">
        <v>0</v>
      </c>
      <c r="L669" t="n">
        <v>0</v>
      </c>
      <c r="M669" t="n">
        <v>0</v>
      </c>
      <c r="N669" t="n">
        <v>0</v>
      </c>
      <c r="O669" t="n">
        <v>0</v>
      </c>
      <c r="P669" t="n">
        <v>0</v>
      </c>
      <c r="Q669" t="n">
        <v>0</v>
      </c>
      <c r="R669" s="2" t="inlineStr"/>
    </row>
    <row r="670" ht="15" customHeight="1">
      <c r="A670" t="inlineStr">
        <is>
          <t>A 34877-2023</t>
        </is>
      </c>
      <c r="B670" s="1" t="n">
        <v>45140</v>
      </c>
      <c r="C670" s="1" t="n">
        <v>46011</v>
      </c>
      <c r="D670" t="inlineStr">
        <is>
          <t>ÖSTERGÖTLANDS LÄN</t>
        </is>
      </c>
      <c r="E670" t="inlineStr">
        <is>
          <t>LINKÖPING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1924-2024</t>
        </is>
      </c>
      <c r="B671" s="1" t="n">
        <v>45308</v>
      </c>
      <c r="C671" s="1" t="n">
        <v>46011</v>
      </c>
      <c r="D671" t="inlineStr">
        <is>
          <t>ÖSTERGÖTLANDS LÄN</t>
        </is>
      </c>
      <c r="E671" t="inlineStr">
        <is>
          <t>LINKÖPING</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34558-2022</t>
        </is>
      </c>
      <c r="B672" s="1" t="n">
        <v>44794.57594907407</v>
      </c>
      <c r="C672" s="1" t="n">
        <v>46011</v>
      </c>
      <c r="D672" t="inlineStr">
        <is>
          <t>ÖSTERGÖTLANDS LÄN</t>
        </is>
      </c>
      <c r="E672" t="inlineStr">
        <is>
          <t>LINKÖPING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168-2024</t>
        </is>
      </c>
      <c r="B673" s="1" t="n">
        <v>45294</v>
      </c>
      <c r="C673" s="1" t="n">
        <v>46011</v>
      </c>
      <c r="D673" t="inlineStr">
        <is>
          <t>ÖSTERGÖTLANDS LÄN</t>
        </is>
      </c>
      <c r="E673" t="inlineStr">
        <is>
          <t>LINKÖPING</t>
        </is>
      </c>
      <c r="F673" t="inlineStr">
        <is>
          <t>Allmännings- och besparingsskogar</t>
        </is>
      </c>
      <c r="G673" t="n">
        <v>8.9</v>
      </c>
      <c r="H673" t="n">
        <v>0</v>
      </c>
      <c r="I673" t="n">
        <v>0</v>
      </c>
      <c r="J673" t="n">
        <v>0</v>
      </c>
      <c r="K673" t="n">
        <v>0</v>
      </c>
      <c r="L673" t="n">
        <v>0</v>
      </c>
      <c r="M673" t="n">
        <v>0</v>
      </c>
      <c r="N673" t="n">
        <v>0</v>
      </c>
      <c r="O673" t="n">
        <v>0</v>
      </c>
      <c r="P673" t="n">
        <v>0</v>
      </c>
      <c r="Q673" t="n">
        <v>0</v>
      </c>
      <c r="R673" s="2" t="inlineStr"/>
    </row>
    <row r="674" ht="15" customHeight="1">
      <c r="A674" t="inlineStr">
        <is>
          <t>A 15658-2023</t>
        </is>
      </c>
      <c r="B674" s="1" t="n">
        <v>45021.41194444444</v>
      </c>
      <c r="C674" s="1" t="n">
        <v>46011</v>
      </c>
      <c r="D674" t="inlineStr">
        <is>
          <t>ÖSTERGÖTLANDS LÄN</t>
        </is>
      </c>
      <c r="E674" t="inlineStr">
        <is>
          <t>LINKÖPING</t>
        </is>
      </c>
      <c r="G674" t="n">
        <v>1.4</v>
      </c>
      <c r="H674" t="n">
        <v>0</v>
      </c>
      <c r="I674" t="n">
        <v>0</v>
      </c>
      <c r="J674" t="n">
        <v>0</v>
      </c>
      <c r="K674" t="n">
        <v>0</v>
      </c>
      <c r="L674" t="n">
        <v>0</v>
      </c>
      <c r="M674" t="n">
        <v>0</v>
      </c>
      <c r="N674" t="n">
        <v>0</v>
      </c>
      <c r="O674" t="n">
        <v>0</v>
      </c>
      <c r="P674" t="n">
        <v>0</v>
      </c>
      <c r="Q674" t="n">
        <v>0</v>
      </c>
      <c r="R674" s="2" t="inlineStr"/>
    </row>
    <row r="675" ht="15" customHeight="1">
      <c r="A675" t="inlineStr">
        <is>
          <t>A 30433-2024</t>
        </is>
      </c>
      <c r="B675" s="1" t="n">
        <v>45491.69741898148</v>
      </c>
      <c r="C675" s="1" t="n">
        <v>46011</v>
      </c>
      <c r="D675" t="inlineStr">
        <is>
          <t>ÖSTERGÖTLANDS LÄN</t>
        </is>
      </c>
      <c r="E675" t="inlineStr">
        <is>
          <t>LINKÖPING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52220-2023</t>
        </is>
      </c>
      <c r="B676" s="1" t="n">
        <v>45217</v>
      </c>
      <c r="C676" s="1" t="n">
        <v>46011</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52225-2023</t>
        </is>
      </c>
      <c r="B677" s="1" t="n">
        <v>45217</v>
      </c>
      <c r="C677" s="1" t="n">
        <v>46011</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19464-2024</t>
        </is>
      </c>
      <c r="B678" s="1" t="n">
        <v>45429</v>
      </c>
      <c r="C678" s="1" t="n">
        <v>46011</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42044-2023</t>
        </is>
      </c>
      <c r="B679" s="1" t="n">
        <v>45177</v>
      </c>
      <c r="C679" s="1" t="n">
        <v>46011</v>
      </c>
      <c r="D679" t="inlineStr">
        <is>
          <t>ÖSTERGÖTLANDS LÄN</t>
        </is>
      </c>
      <c r="E679" t="inlineStr">
        <is>
          <t>LINKÖPING</t>
        </is>
      </c>
      <c r="G679" t="n">
        <v>3.9</v>
      </c>
      <c r="H679" t="n">
        <v>0</v>
      </c>
      <c r="I679" t="n">
        <v>0</v>
      </c>
      <c r="J679" t="n">
        <v>0</v>
      </c>
      <c r="K679" t="n">
        <v>0</v>
      </c>
      <c r="L679" t="n">
        <v>0</v>
      </c>
      <c r="M679" t="n">
        <v>0</v>
      </c>
      <c r="N679" t="n">
        <v>0</v>
      </c>
      <c r="O679" t="n">
        <v>0</v>
      </c>
      <c r="P679" t="n">
        <v>0</v>
      </c>
      <c r="Q679" t="n">
        <v>0</v>
      </c>
      <c r="R679" s="2" t="inlineStr"/>
    </row>
    <row r="680" ht="15" customHeight="1">
      <c r="A680" t="inlineStr">
        <is>
          <t>A 630-2024</t>
        </is>
      </c>
      <c r="B680" s="1" t="n">
        <v>45299.67736111111</v>
      </c>
      <c r="C680" s="1" t="n">
        <v>46011</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21782-2024</t>
        </is>
      </c>
      <c r="B681" s="1" t="n">
        <v>45442.63368055555</v>
      </c>
      <c r="C681" s="1" t="n">
        <v>46011</v>
      </c>
      <c r="D681" t="inlineStr">
        <is>
          <t>ÖSTERGÖTLANDS LÄN</t>
        </is>
      </c>
      <c r="E681" t="inlineStr">
        <is>
          <t>LINKÖPING</t>
        </is>
      </c>
      <c r="G681" t="n">
        <v>1.4</v>
      </c>
      <c r="H681" t="n">
        <v>0</v>
      </c>
      <c r="I681" t="n">
        <v>0</v>
      </c>
      <c r="J681" t="n">
        <v>0</v>
      </c>
      <c r="K681" t="n">
        <v>0</v>
      </c>
      <c r="L681" t="n">
        <v>0</v>
      </c>
      <c r="M681" t="n">
        <v>0</v>
      </c>
      <c r="N681" t="n">
        <v>0</v>
      </c>
      <c r="O681" t="n">
        <v>0</v>
      </c>
      <c r="P681" t="n">
        <v>0</v>
      </c>
      <c r="Q681" t="n">
        <v>0</v>
      </c>
      <c r="R681" s="2" t="inlineStr"/>
    </row>
    <row r="682" ht="15" customHeight="1">
      <c r="A682" t="inlineStr">
        <is>
          <t>A 57766-2023</t>
        </is>
      </c>
      <c r="B682" s="1" t="n">
        <v>45246</v>
      </c>
      <c r="C682" s="1" t="n">
        <v>46011</v>
      </c>
      <c r="D682" t="inlineStr">
        <is>
          <t>ÖSTERGÖTLANDS LÄN</t>
        </is>
      </c>
      <c r="E682" t="inlineStr">
        <is>
          <t>LINKÖPING</t>
        </is>
      </c>
      <c r="F682" t="inlineStr">
        <is>
          <t>Allmännings- och besparingsskogar</t>
        </is>
      </c>
      <c r="G682" t="n">
        <v>12.8</v>
      </c>
      <c r="H682" t="n">
        <v>0</v>
      </c>
      <c r="I682" t="n">
        <v>0</v>
      </c>
      <c r="J682" t="n">
        <v>0</v>
      </c>
      <c r="K682" t="n">
        <v>0</v>
      </c>
      <c r="L682" t="n">
        <v>0</v>
      </c>
      <c r="M682" t="n">
        <v>0</v>
      </c>
      <c r="N682" t="n">
        <v>0</v>
      </c>
      <c r="O682" t="n">
        <v>0</v>
      </c>
      <c r="P682" t="n">
        <v>0</v>
      </c>
      <c r="Q682" t="n">
        <v>0</v>
      </c>
      <c r="R682" s="2" t="inlineStr"/>
    </row>
    <row r="683" ht="15" customHeight="1">
      <c r="A683" t="inlineStr">
        <is>
          <t>A 27186-2021</t>
        </is>
      </c>
      <c r="B683" s="1" t="n">
        <v>44350.67715277777</v>
      </c>
      <c r="C683" s="1" t="n">
        <v>46011</v>
      </c>
      <c r="D683" t="inlineStr">
        <is>
          <t>ÖSTERGÖTLANDS LÄN</t>
        </is>
      </c>
      <c r="E683" t="inlineStr">
        <is>
          <t>LINKÖPING</t>
        </is>
      </c>
      <c r="F683" t="inlineStr">
        <is>
          <t>Allmännings- och besparingsskogar</t>
        </is>
      </c>
      <c r="G683" t="n">
        <v>1.4</v>
      </c>
      <c r="H683" t="n">
        <v>0</v>
      </c>
      <c r="I683" t="n">
        <v>0</v>
      </c>
      <c r="J683" t="n">
        <v>0</v>
      </c>
      <c r="K683" t="n">
        <v>0</v>
      </c>
      <c r="L683" t="n">
        <v>0</v>
      </c>
      <c r="M683" t="n">
        <v>0</v>
      </c>
      <c r="N683" t="n">
        <v>0</v>
      </c>
      <c r="O683" t="n">
        <v>0</v>
      </c>
      <c r="P683" t="n">
        <v>0</v>
      </c>
      <c r="Q683" t="n">
        <v>0</v>
      </c>
      <c r="R683" s="2" t="inlineStr"/>
    </row>
    <row r="684" ht="15" customHeight="1">
      <c r="A684" t="inlineStr">
        <is>
          <t>A 10194-2023</t>
        </is>
      </c>
      <c r="B684" s="1" t="n">
        <v>44986.52277777778</v>
      </c>
      <c r="C684" s="1" t="n">
        <v>46011</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55944-2024</t>
        </is>
      </c>
      <c r="B685" s="1" t="n">
        <v>45623.61640046296</v>
      </c>
      <c r="C685" s="1" t="n">
        <v>46011</v>
      </c>
      <c r="D685" t="inlineStr">
        <is>
          <t>ÖSTERGÖTLANDS LÄN</t>
        </is>
      </c>
      <c r="E685" t="inlineStr">
        <is>
          <t>LINKÖPING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55947-2024</t>
        </is>
      </c>
      <c r="B686" s="1" t="n">
        <v>45623</v>
      </c>
      <c r="C686" s="1" t="n">
        <v>46011</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47703-2023</t>
        </is>
      </c>
      <c r="B687" s="1" t="n">
        <v>45203</v>
      </c>
      <c r="C687" s="1" t="n">
        <v>46011</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51559-2024</t>
        </is>
      </c>
      <c r="B688" s="1" t="n">
        <v>45604.61431712963</v>
      </c>
      <c r="C688" s="1" t="n">
        <v>46011</v>
      </c>
      <c r="D688" t="inlineStr">
        <is>
          <t>ÖSTERGÖTLANDS LÄN</t>
        </is>
      </c>
      <c r="E688" t="inlineStr">
        <is>
          <t>LINKÖPING</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62353-2022</t>
        </is>
      </c>
      <c r="B689" s="1" t="n">
        <v>44923</v>
      </c>
      <c r="C689" s="1" t="n">
        <v>46011</v>
      </c>
      <c r="D689" t="inlineStr">
        <is>
          <t>ÖSTERGÖTLANDS LÄN</t>
        </is>
      </c>
      <c r="E689" t="inlineStr">
        <is>
          <t>LINKÖPING</t>
        </is>
      </c>
      <c r="F689" t="inlineStr">
        <is>
          <t>Allmännings- och besparingsskogar</t>
        </is>
      </c>
      <c r="G689" t="n">
        <v>1.7</v>
      </c>
      <c r="H689" t="n">
        <v>0</v>
      </c>
      <c r="I689" t="n">
        <v>0</v>
      </c>
      <c r="J689" t="n">
        <v>0</v>
      </c>
      <c r="K689" t="n">
        <v>0</v>
      </c>
      <c r="L689" t="n">
        <v>0</v>
      </c>
      <c r="M689" t="n">
        <v>0</v>
      </c>
      <c r="N689" t="n">
        <v>0</v>
      </c>
      <c r="O689" t="n">
        <v>0</v>
      </c>
      <c r="P689" t="n">
        <v>0</v>
      </c>
      <c r="Q689" t="n">
        <v>0</v>
      </c>
      <c r="R689" s="2" t="inlineStr"/>
    </row>
    <row r="690" ht="15" customHeight="1">
      <c r="A690" t="inlineStr">
        <is>
          <t>A 15754-2025</t>
        </is>
      </c>
      <c r="B690" s="1" t="n">
        <v>45748.56105324074</v>
      </c>
      <c r="C690" s="1" t="n">
        <v>46011</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4298-2023</t>
        </is>
      </c>
      <c r="B691" s="1" t="n">
        <v>44953</v>
      </c>
      <c r="C691" s="1" t="n">
        <v>46011</v>
      </c>
      <c r="D691" t="inlineStr">
        <is>
          <t>ÖSTERGÖTLANDS LÄN</t>
        </is>
      </c>
      <c r="E691" t="inlineStr">
        <is>
          <t>LINKÖPING</t>
        </is>
      </c>
      <c r="G691" t="n">
        <v>2.8</v>
      </c>
      <c r="H691" t="n">
        <v>0</v>
      </c>
      <c r="I691" t="n">
        <v>0</v>
      </c>
      <c r="J691" t="n">
        <v>0</v>
      </c>
      <c r="K691" t="n">
        <v>0</v>
      </c>
      <c r="L691" t="n">
        <v>0</v>
      </c>
      <c r="M691" t="n">
        <v>0</v>
      </c>
      <c r="N691" t="n">
        <v>0</v>
      </c>
      <c r="O691" t="n">
        <v>0</v>
      </c>
      <c r="P691" t="n">
        <v>0</v>
      </c>
      <c r="Q691" t="n">
        <v>0</v>
      </c>
      <c r="R691" s="2" t="inlineStr"/>
    </row>
    <row r="692" ht="15" customHeight="1">
      <c r="A692" t="inlineStr">
        <is>
          <t>A 18145-2021</t>
        </is>
      </c>
      <c r="B692" s="1" t="n">
        <v>44302</v>
      </c>
      <c r="C692" s="1" t="n">
        <v>46011</v>
      </c>
      <c r="D692" t="inlineStr">
        <is>
          <t>ÖSTERGÖTLANDS LÄN</t>
        </is>
      </c>
      <c r="E692" t="inlineStr">
        <is>
          <t>LINKÖPING</t>
        </is>
      </c>
      <c r="G692" t="n">
        <v>2.4</v>
      </c>
      <c r="H692" t="n">
        <v>0</v>
      </c>
      <c r="I692" t="n">
        <v>0</v>
      </c>
      <c r="J692" t="n">
        <v>0</v>
      </c>
      <c r="K692" t="n">
        <v>0</v>
      </c>
      <c r="L692" t="n">
        <v>0</v>
      </c>
      <c r="M692" t="n">
        <v>0</v>
      </c>
      <c r="N692" t="n">
        <v>0</v>
      </c>
      <c r="O692" t="n">
        <v>0</v>
      </c>
      <c r="P692" t="n">
        <v>0</v>
      </c>
      <c r="Q692" t="n">
        <v>0</v>
      </c>
      <c r="R692" s="2" t="inlineStr"/>
    </row>
    <row r="693" ht="15" customHeight="1">
      <c r="A693" t="inlineStr">
        <is>
          <t>A 25568-2024</t>
        </is>
      </c>
      <c r="B693" s="1" t="n">
        <v>45463.58699074074</v>
      </c>
      <c r="C693" s="1" t="n">
        <v>46011</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38136-2023</t>
        </is>
      </c>
      <c r="B694" s="1" t="n">
        <v>45161.37310185185</v>
      </c>
      <c r="C694" s="1" t="n">
        <v>46011</v>
      </c>
      <c r="D694" t="inlineStr">
        <is>
          <t>ÖSTERGÖTLANDS LÄN</t>
        </is>
      </c>
      <c r="E694" t="inlineStr">
        <is>
          <t>LINKÖPING</t>
        </is>
      </c>
      <c r="G694" t="n">
        <v>5.6</v>
      </c>
      <c r="H694" t="n">
        <v>0</v>
      </c>
      <c r="I694" t="n">
        <v>0</v>
      </c>
      <c r="J694" t="n">
        <v>0</v>
      </c>
      <c r="K694" t="n">
        <v>0</v>
      </c>
      <c r="L694" t="n">
        <v>0</v>
      </c>
      <c r="M694" t="n">
        <v>0</v>
      </c>
      <c r="N694" t="n">
        <v>0</v>
      </c>
      <c r="O694" t="n">
        <v>0</v>
      </c>
      <c r="P694" t="n">
        <v>0</v>
      </c>
      <c r="Q694" t="n">
        <v>0</v>
      </c>
      <c r="R694" s="2" t="inlineStr"/>
    </row>
    <row r="695" ht="15" customHeight="1">
      <c r="A695" t="inlineStr">
        <is>
          <t>A 12317-2025</t>
        </is>
      </c>
      <c r="B695" s="1" t="n">
        <v>45729.8487037037</v>
      </c>
      <c r="C695" s="1" t="n">
        <v>46011</v>
      </c>
      <c r="D695" t="inlineStr">
        <is>
          <t>ÖSTERGÖTLANDS LÄN</t>
        </is>
      </c>
      <c r="E695" t="inlineStr">
        <is>
          <t>LINKÖPING</t>
        </is>
      </c>
      <c r="G695" t="n">
        <v>8</v>
      </c>
      <c r="H695" t="n">
        <v>0</v>
      </c>
      <c r="I695" t="n">
        <v>0</v>
      </c>
      <c r="J695" t="n">
        <v>0</v>
      </c>
      <c r="K695" t="n">
        <v>0</v>
      </c>
      <c r="L695" t="n">
        <v>0</v>
      </c>
      <c r="M695" t="n">
        <v>0</v>
      </c>
      <c r="N695" t="n">
        <v>0</v>
      </c>
      <c r="O695" t="n">
        <v>0</v>
      </c>
      <c r="P695" t="n">
        <v>0</v>
      </c>
      <c r="Q695" t="n">
        <v>0</v>
      </c>
      <c r="R695" s="2" t="inlineStr"/>
    </row>
    <row r="696" ht="15" customHeight="1">
      <c r="A696" t="inlineStr">
        <is>
          <t>A 14528-2025</t>
        </is>
      </c>
      <c r="B696" s="1" t="n">
        <v>45741</v>
      </c>
      <c r="C696" s="1" t="n">
        <v>46011</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46011</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60985-2023</t>
        </is>
      </c>
      <c r="B698" s="1" t="n">
        <v>45261.48429398148</v>
      </c>
      <c r="C698" s="1" t="n">
        <v>46011</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421-2024</t>
        </is>
      </c>
      <c r="B699" s="1" t="n">
        <v>45296.51877314815</v>
      </c>
      <c r="C699" s="1" t="n">
        <v>46011</v>
      </c>
      <c r="D699" t="inlineStr">
        <is>
          <t>ÖSTERGÖTLANDS LÄN</t>
        </is>
      </c>
      <c r="E699" t="inlineStr">
        <is>
          <t>LINKÖPING</t>
        </is>
      </c>
      <c r="G699" t="n">
        <v>3.7</v>
      </c>
      <c r="H699" t="n">
        <v>0</v>
      </c>
      <c r="I699" t="n">
        <v>0</v>
      </c>
      <c r="J699" t="n">
        <v>0</v>
      </c>
      <c r="K699" t="n">
        <v>0</v>
      </c>
      <c r="L699" t="n">
        <v>0</v>
      </c>
      <c r="M699" t="n">
        <v>0</v>
      </c>
      <c r="N699" t="n">
        <v>0</v>
      </c>
      <c r="O699" t="n">
        <v>0</v>
      </c>
      <c r="P699" t="n">
        <v>0</v>
      </c>
      <c r="Q699" t="n">
        <v>0</v>
      </c>
      <c r="R699" s="2" t="inlineStr"/>
    </row>
    <row r="700" ht="15" customHeight="1">
      <c r="A700" t="inlineStr">
        <is>
          <t>A 51405-2023</t>
        </is>
      </c>
      <c r="B700" s="1" t="n">
        <v>45219</v>
      </c>
      <c r="C700" s="1" t="n">
        <v>46011</v>
      </c>
      <c r="D700" t="inlineStr">
        <is>
          <t>ÖSTERGÖTLANDS LÄN</t>
        </is>
      </c>
      <c r="E700" t="inlineStr">
        <is>
          <t>LINKÖPING</t>
        </is>
      </c>
      <c r="F700" t="inlineStr">
        <is>
          <t>Övriga Aktiebolag</t>
        </is>
      </c>
      <c r="G700" t="n">
        <v>3</v>
      </c>
      <c r="H700" t="n">
        <v>0</v>
      </c>
      <c r="I700" t="n">
        <v>0</v>
      </c>
      <c r="J700" t="n">
        <v>0</v>
      </c>
      <c r="K700" t="n">
        <v>0</v>
      </c>
      <c r="L700" t="n">
        <v>0</v>
      </c>
      <c r="M700" t="n">
        <v>0</v>
      </c>
      <c r="N700" t="n">
        <v>0</v>
      </c>
      <c r="O700" t="n">
        <v>0</v>
      </c>
      <c r="P700" t="n">
        <v>0</v>
      </c>
      <c r="Q700" t="n">
        <v>0</v>
      </c>
      <c r="R700" s="2" t="inlineStr"/>
    </row>
    <row r="701" ht="15" customHeight="1">
      <c r="A701" t="inlineStr">
        <is>
          <t>A 53639-2023</t>
        </is>
      </c>
      <c r="B701" s="1" t="n">
        <v>45230.59686342593</v>
      </c>
      <c r="C701" s="1" t="n">
        <v>46011</v>
      </c>
      <c r="D701" t="inlineStr">
        <is>
          <t>ÖSTERGÖTLANDS LÄN</t>
        </is>
      </c>
      <c r="E701" t="inlineStr">
        <is>
          <t>LINKÖPING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24467-2023</t>
        </is>
      </c>
      <c r="B702" s="1" t="n">
        <v>45082</v>
      </c>
      <c r="C702" s="1" t="n">
        <v>46011</v>
      </c>
      <c r="D702" t="inlineStr">
        <is>
          <t>ÖSTERGÖTLANDS LÄN</t>
        </is>
      </c>
      <c r="E702" t="inlineStr">
        <is>
          <t>LINKÖPING</t>
        </is>
      </c>
      <c r="G702" t="n">
        <v>2.4</v>
      </c>
      <c r="H702" t="n">
        <v>0</v>
      </c>
      <c r="I702" t="n">
        <v>0</v>
      </c>
      <c r="J702" t="n">
        <v>0</v>
      </c>
      <c r="K702" t="n">
        <v>0</v>
      </c>
      <c r="L702" t="n">
        <v>0</v>
      </c>
      <c r="M702" t="n">
        <v>0</v>
      </c>
      <c r="N702" t="n">
        <v>0</v>
      </c>
      <c r="O702" t="n">
        <v>0</v>
      </c>
      <c r="P702" t="n">
        <v>0</v>
      </c>
      <c r="Q702" t="n">
        <v>0</v>
      </c>
      <c r="R702" s="2" t="inlineStr"/>
    </row>
    <row r="703" ht="15" customHeight="1">
      <c r="A703" t="inlineStr">
        <is>
          <t>A 62488-2023</t>
        </is>
      </c>
      <c r="B703" s="1" t="n">
        <v>45268.5847337963</v>
      </c>
      <c r="C703" s="1" t="n">
        <v>46011</v>
      </c>
      <c r="D703" t="inlineStr">
        <is>
          <t>ÖSTERGÖTLANDS LÄN</t>
        </is>
      </c>
      <c r="E703" t="inlineStr">
        <is>
          <t>LINKÖPING</t>
        </is>
      </c>
      <c r="G703" t="n">
        <v>4.1</v>
      </c>
      <c r="H703" t="n">
        <v>0</v>
      </c>
      <c r="I703" t="n">
        <v>0</v>
      </c>
      <c r="J703" t="n">
        <v>0</v>
      </c>
      <c r="K703" t="n">
        <v>0</v>
      </c>
      <c r="L703" t="n">
        <v>0</v>
      </c>
      <c r="M703" t="n">
        <v>0</v>
      </c>
      <c r="N703" t="n">
        <v>0</v>
      </c>
      <c r="O703" t="n">
        <v>0</v>
      </c>
      <c r="P703" t="n">
        <v>0</v>
      </c>
      <c r="Q703" t="n">
        <v>0</v>
      </c>
      <c r="R703" s="2" t="inlineStr"/>
    </row>
    <row r="704" ht="15" customHeight="1">
      <c r="A704" t="inlineStr">
        <is>
          <t>A 62495-2023</t>
        </is>
      </c>
      <c r="B704" s="1" t="n">
        <v>45268.59717592593</v>
      </c>
      <c r="C704" s="1" t="n">
        <v>46011</v>
      </c>
      <c r="D704" t="inlineStr">
        <is>
          <t>ÖSTERGÖTLANDS LÄN</t>
        </is>
      </c>
      <c r="E704" t="inlineStr">
        <is>
          <t>LINKÖPING</t>
        </is>
      </c>
      <c r="G704" t="n">
        <v>4.1</v>
      </c>
      <c r="H704" t="n">
        <v>0</v>
      </c>
      <c r="I704" t="n">
        <v>0</v>
      </c>
      <c r="J704" t="n">
        <v>0</v>
      </c>
      <c r="K704" t="n">
        <v>0</v>
      </c>
      <c r="L704" t="n">
        <v>0</v>
      </c>
      <c r="M704" t="n">
        <v>0</v>
      </c>
      <c r="N704" t="n">
        <v>0</v>
      </c>
      <c r="O704" t="n">
        <v>0</v>
      </c>
      <c r="P704" t="n">
        <v>0</v>
      </c>
      <c r="Q704" t="n">
        <v>0</v>
      </c>
      <c r="R704" s="2" t="inlineStr"/>
    </row>
    <row r="705" ht="15" customHeight="1">
      <c r="A705" t="inlineStr">
        <is>
          <t>A 10198-2023</t>
        </is>
      </c>
      <c r="B705" s="1" t="n">
        <v>44986.54665509259</v>
      </c>
      <c r="C705" s="1" t="n">
        <v>46011</v>
      </c>
      <c r="D705" t="inlineStr">
        <is>
          <t>ÖSTERGÖTLANDS LÄN</t>
        </is>
      </c>
      <c r="E705" t="inlineStr">
        <is>
          <t>LINKÖPING</t>
        </is>
      </c>
      <c r="G705" t="n">
        <v>4.6</v>
      </c>
      <c r="H705" t="n">
        <v>0</v>
      </c>
      <c r="I705" t="n">
        <v>0</v>
      </c>
      <c r="J705" t="n">
        <v>0</v>
      </c>
      <c r="K705" t="n">
        <v>0</v>
      </c>
      <c r="L705" t="n">
        <v>0</v>
      </c>
      <c r="M705" t="n">
        <v>0</v>
      </c>
      <c r="N705" t="n">
        <v>0</v>
      </c>
      <c r="O705" t="n">
        <v>0</v>
      </c>
      <c r="P705" t="n">
        <v>0</v>
      </c>
      <c r="Q705" t="n">
        <v>0</v>
      </c>
      <c r="R705" s="2" t="inlineStr"/>
    </row>
    <row r="706" ht="15" customHeight="1">
      <c r="A706" t="inlineStr">
        <is>
          <t>A 22771-2024</t>
        </is>
      </c>
      <c r="B706" s="1" t="n">
        <v>45448.46574074074</v>
      </c>
      <c r="C706" s="1" t="n">
        <v>46011</v>
      </c>
      <c r="D706" t="inlineStr">
        <is>
          <t>ÖSTERGÖTLANDS LÄN</t>
        </is>
      </c>
      <c r="E706" t="inlineStr">
        <is>
          <t>LINKÖPING</t>
        </is>
      </c>
      <c r="F706" t="inlineStr">
        <is>
          <t>Sveaskog</t>
        </is>
      </c>
      <c r="G706" t="n">
        <v>2.7</v>
      </c>
      <c r="H706" t="n">
        <v>0</v>
      </c>
      <c r="I706" t="n">
        <v>0</v>
      </c>
      <c r="J706" t="n">
        <v>0</v>
      </c>
      <c r="K706" t="n">
        <v>0</v>
      </c>
      <c r="L706" t="n">
        <v>0</v>
      </c>
      <c r="M706" t="n">
        <v>0</v>
      </c>
      <c r="N706" t="n">
        <v>0</v>
      </c>
      <c r="O706" t="n">
        <v>0</v>
      </c>
      <c r="P706" t="n">
        <v>0</v>
      </c>
      <c r="Q706" t="n">
        <v>0</v>
      </c>
      <c r="R706" s="2" t="inlineStr"/>
    </row>
    <row r="707" ht="15" customHeight="1">
      <c r="A707" t="inlineStr">
        <is>
          <t>A 17128-2025</t>
        </is>
      </c>
      <c r="B707" s="1" t="n">
        <v>45755.72622685185</v>
      </c>
      <c r="C707" s="1" t="n">
        <v>46011</v>
      </c>
      <c r="D707" t="inlineStr">
        <is>
          <t>ÖSTERGÖTLANDS LÄN</t>
        </is>
      </c>
      <c r="E707" t="inlineStr">
        <is>
          <t>LINKÖPING</t>
        </is>
      </c>
      <c r="G707" t="n">
        <v>2.9</v>
      </c>
      <c r="H707" t="n">
        <v>0</v>
      </c>
      <c r="I707" t="n">
        <v>0</v>
      </c>
      <c r="J707" t="n">
        <v>0</v>
      </c>
      <c r="K707" t="n">
        <v>0</v>
      </c>
      <c r="L707" t="n">
        <v>0</v>
      </c>
      <c r="M707" t="n">
        <v>0</v>
      </c>
      <c r="N707" t="n">
        <v>0</v>
      </c>
      <c r="O707" t="n">
        <v>0</v>
      </c>
      <c r="P707" t="n">
        <v>0</v>
      </c>
      <c r="Q707" t="n">
        <v>0</v>
      </c>
      <c r="R707" s="2" t="inlineStr"/>
    </row>
    <row r="708" ht="15" customHeight="1">
      <c r="A708" t="inlineStr">
        <is>
          <t>A 62018-2024</t>
        </is>
      </c>
      <c r="B708" s="1" t="n">
        <v>45655.81387731482</v>
      </c>
      <c r="C708" s="1" t="n">
        <v>46011</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62073-2023</t>
        </is>
      </c>
      <c r="B709" s="1" t="n">
        <v>45266.73844907407</v>
      </c>
      <c r="C709" s="1" t="n">
        <v>46011</v>
      </c>
      <c r="D709" t="inlineStr">
        <is>
          <t>ÖSTERGÖTLANDS LÄN</t>
        </is>
      </c>
      <c r="E709" t="inlineStr">
        <is>
          <t>LINKÖPING</t>
        </is>
      </c>
      <c r="F709" t="inlineStr">
        <is>
          <t>Allmännings- och besparingsskogar</t>
        </is>
      </c>
      <c r="G709" t="n">
        <v>1.8</v>
      </c>
      <c r="H709" t="n">
        <v>0</v>
      </c>
      <c r="I709" t="n">
        <v>0</v>
      </c>
      <c r="J709" t="n">
        <v>0</v>
      </c>
      <c r="K709" t="n">
        <v>0</v>
      </c>
      <c r="L709" t="n">
        <v>0</v>
      </c>
      <c r="M709" t="n">
        <v>0</v>
      </c>
      <c r="N709" t="n">
        <v>0</v>
      </c>
      <c r="O709" t="n">
        <v>0</v>
      </c>
      <c r="P709" t="n">
        <v>0</v>
      </c>
      <c r="Q709" t="n">
        <v>0</v>
      </c>
      <c r="R709" s="2" t="inlineStr"/>
    </row>
    <row r="710" ht="15" customHeight="1">
      <c r="A710" t="inlineStr">
        <is>
          <t>A 672-2024</t>
        </is>
      </c>
      <c r="B710" s="1" t="n">
        <v>45300</v>
      </c>
      <c r="C710" s="1" t="n">
        <v>46011</v>
      </c>
      <c r="D710" t="inlineStr">
        <is>
          <t>ÖSTERGÖTLANDS LÄN</t>
        </is>
      </c>
      <c r="E710" t="inlineStr">
        <is>
          <t>LINKÖPING</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42832-2023</t>
        </is>
      </c>
      <c r="B711" s="1" t="n">
        <v>45182.38091435185</v>
      </c>
      <c r="C711" s="1" t="n">
        <v>46011</v>
      </c>
      <c r="D711" t="inlineStr">
        <is>
          <t>ÖSTERGÖTLANDS LÄN</t>
        </is>
      </c>
      <c r="E711" t="inlineStr">
        <is>
          <t>LINKÖPING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5872-2025</t>
        </is>
      </c>
      <c r="B712" s="1" t="n">
        <v>45695.36659722222</v>
      </c>
      <c r="C712" s="1" t="n">
        <v>46011</v>
      </c>
      <c r="D712" t="inlineStr">
        <is>
          <t>ÖSTERGÖTLANDS LÄN</t>
        </is>
      </c>
      <c r="E712" t="inlineStr">
        <is>
          <t>LINKÖPING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59674-2024</t>
        </is>
      </c>
      <c r="B713" s="1" t="n">
        <v>45639</v>
      </c>
      <c r="C713" s="1" t="n">
        <v>46011</v>
      </c>
      <c r="D713" t="inlineStr">
        <is>
          <t>ÖSTERGÖTLANDS LÄN</t>
        </is>
      </c>
      <c r="E713" t="inlineStr">
        <is>
          <t>LINKÖPING</t>
        </is>
      </c>
      <c r="G713" t="n">
        <v>6.3</v>
      </c>
      <c r="H713" t="n">
        <v>0</v>
      </c>
      <c r="I713" t="n">
        <v>0</v>
      </c>
      <c r="J713" t="n">
        <v>0</v>
      </c>
      <c r="K713" t="n">
        <v>0</v>
      </c>
      <c r="L713" t="n">
        <v>0</v>
      </c>
      <c r="M713" t="n">
        <v>0</v>
      </c>
      <c r="N713" t="n">
        <v>0</v>
      </c>
      <c r="O713" t="n">
        <v>0</v>
      </c>
      <c r="P713" t="n">
        <v>0</v>
      </c>
      <c r="Q713" t="n">
        <v>0</v>
      </c>
      <c r="R713" s="2" t="inlineStr"/>
    </row>
    <row r="714" ht="15" customHeight="1">
      <c r="A714" t="inlineStr">
        <is>
          <t>A 59576-2024</t>
        </is>
      </c>
      <c r="B714" s="1" t="n">
        <v>45638.66378472222</v>
      </c>
      <c r="C714" s="1" t="n">
        <v>46011</v>
      </c>
      <c r="D714" t="inlineStr">
        <is>
          <t>ÖSTERGÖTLANDS LÄN</t>
        </is>
      </c>
      <c r="E714" t="inlineStr">
        <is>
          <t>LINKÖPING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51583-2024</t>
        </is>
      </c>
      <c r="B715" s="1" t="n">
        <v>45604.6397337963</v>
      </c>
      <c r="C715" s="1" t="n">
        <v>46011</v>
      </c>
      <c r="D715" t="inlineStr">
        <is>
          <t>ÖSTERGÖTLANDS LÄN</t>
        </is>
      </c>
      <c r="E715" t="inlineStr">
        <is>
          <t>LINKÖPING</t>
        </is>
      </c>
      <c r="F715" t="inlineStr">
        <is>
          <t>Övriga Aktiebolag</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62019-2024</t>
        </is>
      </c>
      <c r="B716" s="1" t="n">
        <v>45655.82</v>
      </c>
      <c r="C716" s="1" t="n">
        <v>46011</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38317-2024</t>
        </is>
      </c>
      <c r="B717" s="1" t="n">
        <v>45545.65766203704</v>
      </c>
      <c r="C717" s="1" t="n">
        <v>46011</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50182-2023</t>
        </is>
      </c>
      <c r="B718" s="1" t="n">
        <v>45208</v>
      </c>
      <c r="C718" s="1" t="n">
        <v>46011</v>
      </c>
      <c r="D718" t="inlineStr">
        <is>
          <t>ÖSTERGÖTLANDS LÄN</t>
        </is>
      </c>
      <c r="E718" t="inlineStr">
        <is>
          <t>LINKÖPING</t>
        </is>
      </c>
      <c r="G718" t="n">
        <v>2.5</v>
      </c>
      <c r="H718" t="n">
        <v>0</v>
      </c>
      <c r="I718" t="n">
        <v>0</v>
      </c>
      <c r="J718" t="n">
        <v>0</v>
      </c>
      <c r="K718" t="n">
        <v>0</v>
      </c>
      <c r="L718" t="n">
        <v>0</v>
      </c>
      <c r="M718" t="n">
        <v>0</v>
      </c>
      <c r="N718" t="n">
        <v>0</v>
      </c>
      <c r="O718" t="n">
        <v>0</v>
      </c>
      <c r="P718" t="n">
        <v>0</v>
      </c>
      <c r="Q718" t="n">
        <v>0</v>
      </c>
      <c r="R718" s="2" t="inlineStr"/>
    </row>
    <row r="719" ht="15" customHeight="1">
      <c r="A719" t="inlineStr">
        <is>
          <t>A 1844-2025</t>
        </is>
      </c>
      <c r="B719" s="1" t="n">
        <v>45671.57730324074</v>
      </c>
      <c r="C719" s="1" t="n">
        <v>46011</v>
      </c>
      <c r="D719" t="inlineStr">
        <is>
          <t>ÖSTERGÖTLANDS LÄN</t>
        </is>
      </c>
      <c r="E719" t="inlineStr">
        <is>
          <t>LINKÖPING</t>
        </is>
      </c>
      <c r="G719" t="n">
        <v>2</v>
      </c>
      <c r="H719" t="n">
        <v>0</v>
      </c>
      <c r="I719" t="n">
        <v>0</v>
      </c>
      <c r="J719" t="n">
        <v>0</v>
      </c>
      <c r="K719" t="n">
        <v>0</v>
      </c>
      <c r="L719" t="n">
        <v>0</v>
      </c>
      <c r="M719" t="n">
        <v>0</v>
      </c>
      <c r="N719" t="n">
        <v>0</v>
      </c>
      <c r="O719" t="n">
        <v>0</v>
      </c>
      <c r="P719" t="n">
        <v>0</v>
      </c>
      <c r="Q719" t="n">
        <v>0</v>
      </c>
      <c r="R719" s="2" t="inlineStr"/>
    </row>
    <row r="720" ht="15" customHeight="1">
      <c r="A720" t="inlineStr">
        <is>
          <t>A 21155-2025</t>
        </is>
      </c>
      <c r="B720" s="1" t="n">
        <v>45779.37586805555</v>
      </c>
      <c r="C720" s="1" t="n">
        <v>46011</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21165-2025</t>
        </is>
      </c>
      <c r="B721" s="1" t="n">
        <v>45779.39417824074</v>
      </c>
      <c r="C721" s="1" t="n">
        <v>46011</v>
      </c>
      <c r="D721" t="inlineStr">
        <is>
          <t>ÖSTERGÖTLANDS LÄN</t>
        </is>
      </c>
      <c r="E721" t="inlineStr">
        <is>
          <t>LINKÖPING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57752-2023</t>
        </is>
      </c>
      <c r="B722" s="1" t="n">
        <v>45246.78474537037</v>
      </c>
      <c r="C722" s="1" t="n">
        <v>46011</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9473-2024</t>
        </is>
      </c>
      <c r="B723" s="1" t="n">
        <v>45359.55474537037</v>
      </c>
      <c r="C723" s="1" t="n">
        <v>46011</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10797-2024</t>
        </is>
      </c>
      <c r="B724" s="1" t="n">
        <v>45369.6190162037</v>
      </c>
      <c r="C724" s="1" t="n">
        <v>46011</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22264-2025</t>
        </is>
      </c>
      <c r="B725" s="1" t="n">
        <v>45785</v>
      </c>
      <c r="C725" s="1" t="n">
        <v>46011</v>
      </c>
      <c r="D725" t="inlineStr">
        <is>
          <t>ÖSTERGÖTLANDS LÄN</t>
        </is>
      </c>
      <c r="E725" t="inlineStr">
        <is>
          <t>LINKÖPING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46011</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38580-2024</t>
        </is>
      </c>
      <c r="B727" s="1" t="n">
        <v>45546.64825231482</v>
      </c>
      <c r="C727" s="1" t="n">
        <v>46011</v>
      </c>
      <c r="D727" t="inlineStr">
        <is>
          <t>ÖSTERGÖTLANDS LÄN</t>
        </is>
      </c>
      <c r="E727" t="inlineStr">
        <is>
          <t>LINKÖPING</t>
        </is>
      </c>
      <c r="G727" t="n">
        <v>4.8</v>
      </c>
      <c r="H727" t="n">
        <v>0</v>
      </c>
      <c r="I727" t="n">
        <v>0</v>
      </c>
      <c r="J727" t="n">
        <v>0</v>
      </c>
      <c r="K727" t="n">
        <v>0</v>
      </c>
      <c r="L727" t="n">
        <v>0</v>
      </c>
      <c r="M727" t="n">
        <v>0</v>
      </c>
      <c r="N727" t="n">
        <v>0</v>
      </c>
      <c r="O727" t="n">
        <v>0</v>
      </c>
      <c r="P727" t="n">
        <v>0</v>
      </c>
      <c r="Q727" t="n">
        <v>0</v>
      </c>
      <c r="R727" s="2" t="inlineStr"/>
    </row>
    <row r="728" ht="15" customHeight="1">
      <c r="A728" t="inlineStr">
        <is>
          <t>A 572-2025</t>
        </is>
      </c>
      <c r="B728" s="1" t="n">
        <v>45664.56349537037</v>
      </c>
      <c r="C728" s="1" t="n">
        <v>46011</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22364-2025</t>
        </is>
      </c>
      <c r="B729" s="1" t="n">
        <v>45786.46930555555</v>
      </c>
      <c r="C729" s="1" t="n">
        <v>46011</v>
      </c>
      <c r="D729" t="inlineStr">
        <is>
          <t>ÖSTERGÖTLANDS LÄN</t>
        </is>
      </c>
      <c r="E729" t="inlineStr">
        <is>
          <t>LINKÖPING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44287-2024</t>
        </is>
      </c>
      <c r="B730" s="1" t="n">
        <v>45573.50582175926</v>
      </c>
      <c r="C730" s="1" t="n">
        <v>46011</v>
      </c>
      <c r="D730" t="inlineStr">
        <is>
          <t>ÖSTERGÖTLANDS LÄN</t>
        </is>
      </c>
      <c r="E730" t="inlineStr">
        <is>
          <t>LINKÖPING</t>
        </is>
      </c>
      <c r="G730" t="n">
        <v>12.7</v>
      </c>
      <c r="H730" t="n">
        <v>0</v>
      </c>
      <c r="I730" t="n">
        <v>0</v>
      </c>
      <c r="J730" t="n">
        <v>0</v>
      </c>
      <c r="K730" t="n">
        <v>0</v>
      </c>
      <c r="L730" t="n">
        <v>0</v>
      </c>
      <c r="M730" t="n">
        <v>0</v>
      </c>
      <c r="N730" t="n">
        <v>0</v>
      </c>
      <c r="O730" t="n">
        <v>0</v>
      </c>
      <c r="P730" t="n">
        <v>0</v>
      </c>
      <c r="Q730" t="n">
        <v>0</v>
      </c>
      <c r="R730" s="2" t="inlineStr"/>
    </row>
    <row r="731" ht="15" customHeight="1">
      <c r="A731" t="inlineStr">
        <is>
          <t>A 29312-2024</t>
        </is>
      </c>
      <c r="B731" s="1" t="n">
        <v>45483</v>
      </c>
      <c r="C731" s="1" t="n">
        <v>46011</v>
      </c>
      <c r="D731" t="inlineStr">
        <is>
          <t>ÖSTERGÖTLANDS LÄN</t>
        </is>
      </c>
      <c r="E731" t="inlineStr">
        <is>
          <t>LINKÖPING</t>
        </is>
      </c>
      <c r="G731" t="n">
        <v>2.1</v>
      </c>
      <c r="H731" t="n">
        <v>0</v>
      </c>
      <c r="I731" t="n">
        <v>0</v>
      </c>
      <c r="J731" t="n">
        <v>0</v>
      </c>
      <c r="K731" t="n">
        <v>0</v>
      </c>
      <c r="L731" t="n">
        <v>0</v>
      </c>
      <c r="M731" t="n">
        <v>0</v>
      </c>
      <c r="N731" t="n">
        <v>0</v>
      </c>
      <c r="O731" t="n">
        <v>0</v>
      </c>
      <c r="P731" t="n">
        <v>0</v>
      </c>
      <c r="Q731" t="n">
        <v>0</v>
      </c>
      <c r="R731" s="2" t="inlineStr"/>
    </row>
    <row r="732">
      <c r="A732" t="inlineStr">
        <is>
          <t>A 23120-2025</t>
        </is>
      </c>
      <c r="B732" s="1" t="n">
        <v>45791.37481481482</v>
      </c>
      <c r="C732" s="1" t="n">
        <v>46011</v>
      </c>
      <c r="D732" t="inlineStr">
        <is>
          <t>ÖSTERGÖTLANDS LÄN</t>
        </is>
      </c>
      <c r="E732" t="inlineStr">
        <is>
          <t>LINKÖPING</t>
        </is>
      </c>
      <c r="G732" t="n">
        <v>2.9</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2025-12-20T14:11:18Z</dcterms:created>
  <dcterms:modified xmlns:dcterms="http://purl.org/dc/terms/" xmlns:xsi="http://www.w3.org/2001/XMLSchema-instance" xsi:type="dcterms:W3CDTF">2025-12-20T14:11:19Z</dcterms:modified>
</cp:coreProperties>
</file>