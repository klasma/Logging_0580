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46051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46051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46051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46051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46051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46051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46051</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46051</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46051</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46051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46051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46051</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9192-2025</t>
        </is>
      </c>
      <c r="B15" s="1" t="n">
        <v>45714.45943287037</v>
      </c>
      <c r="C15" s="1" t="n">
        <v>46051</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46051</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49999-2025</t>
        </is>
      </c>
      <c r="B17" s="1" t="n">
        <v>45943.30185185185</v>
      </c>
      <c r="C17" s="1" t="n">
        <v>46051</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46051</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38913-2023</t>
        </is>
      </c>
      <c r="B19" s="1" t="n">
        <v>45163</v>
      </c>
      <c r="C19" s="1" t="n">
        <v>46051</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55341-2024</t>
        </is>
      </c>
      <c r="B20" s="1" t="n">
        <v>45621.71255787037</v>
      </c>
      <c r="C20" s="1" t="n">
        <v>46051</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577-2025</t>
        </is>
      </c>
      <c r="B21" s="1" t="n">
        <v>45664.56525462963</v>
      </c>
      <c r="C21" s="1" t="n">
        <v>46051</v>
      </c>
      <c r="D21" t="inlineStr">
        <is>
          <t>ÖSTERGÖTLANDS LÄN</t>
        </is>
      </c>
      <c r="E21" t="inlineStr">
        <is>
          <t>LINKÖPING</t>
        </is>
      </c>
      <c r="G21" t="n">
        <v>3.7</v>
      </c>
      <c r="H21" t="n">
        <v>3</v>
      </c>
      <c r="I21" t="n">
        <v>0</v>
      </c>
      <c r="J21" t="n">
        <v>1</v>
      </c>
      <c r="K21" t="n">
        <v>0</v>
      </c>
      <c r="L21" t="n">
        <v>0</v>
      </c>
      <c r="M21" t="n">
        <v>0</v>
      </c>
      <c r="N21" t="n">
        <v>0</v>
      </c>
      <c r="O21" t="n">
        <v>1</v>
      </c>
      <c r="P21" t="n">
        <v>0</v>
      </c>
      <c r="Q21" t="n">
        <v>3</v>
      </c>
      <c r="R21" s="2" t="inlineStr">
        <is>
          <t>Brunlångöra
Dvärgpipistrell
Större brunfladdermus</t>
        </is>
      </c>
      <c r="S21">
        <f>HYPERLINK("https://klasma.github.io/Logging_0580/artfynd/A 577-2025 artfynd.xlsx", "A 577-2025")</f>
        <v/>
      </c>
      <c r="T21">
        <f>HYPERLINK("https://klasma.github.io/Logging_0580/kartor/A 577-2025 karta.png", "A 577-2025")</f>
        <v/>
      </c>
      <c r="V21">
        <f>HYPERLINK("https://klasma.github.io/Logging_0580/klagomål/A 577-2025 FSC-klagomål.docx", "A 577-2025")</f>
        <v/>
      </c>
      <c r="W21">
        <f>HYPERLINK("https://klasma.github.io/Logging_0580/klagomålsmail/A 577-2025 FSC-klagomål mail.docx", "A 577-2025")</f>
        <v/>
      </c>
      <c r="X21">
        <f>HYPERLINK("https://klasma.github.io/Logging_0580/tillsyn/A 577-2025 tillsynsbegäran.docx", "A 577-2025")</f>
        <v/>
      </c>
      <c r="Y21">
        <f>HYPERLINK("https://klasma.github.io/Logging_0580/tillsynsmail/A 577-2025 tillsynsbegäran mail.docx", "A 577-2025")</f>
        <v/>
      </c>
    </row>
    <row r="22" ht="15" customHeight="1">
      <c r="A22" t="inlineStr">
        <is>
          <t>A 38137-2021</t>
        </is>
      </c>
      <c r="B22" s="1" t="n">
        <v>44405.38357638889</v>
      </c>
      <c r="C22" s="1" t="n">
        <v>46051</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46051</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20297-2025</t>
        </is>
      </c>
      <c r="B24" s="1" t="n">
        <v>45774.74971064815</v>
      </c>
      <c r="C24" s="1" t="n">
        <v>46051</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46051</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58068-2021</t>
        </is>
      </c>
      <c r="B26" s="1" t="n">
        <v>44487</v>
      </c>
      <c r="C26" s="1" t="n">
        <v>46051</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46051</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25985-2025</t>
        </is>
      </c>
      <c r="B28" s="1" t="n">
        <v>45804.64479166667</v>
      </c>
      <c r="C28" s="1" t="n">
        <v>46051</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27981-2022</t>
        </is>
      </c>
      <c r="B29" s="1" t="n">
        <v>44745</v>
      </c>
      <c r="C29" s="1" t="n">
        <v>46051</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50048-2025</t>
        </is>
      </c>
      <c r="B30" s="1" t="n">
        <v>45941</v>
      </c>
      <c r="C30" s="1" t="n">
        <v>46051</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46051</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3912-2026</t>
        </is>
      </c>
      <c r="B32" s="1" t="n">
        <v>46043.71958333333</v>
      </c>
      <c r="C32" s="1" t="n">
        <v>46051</v>
      </c>
      <c r="D32" t="inlineStr">
        <is>
          <t>ÖSTERGÖTLANDS LÄN</t>
        </is>
      </c>
      <c r="E32" t="inlineStr">
        <is>
          <t>LINKÖPING</t>
        </is>
      </c>
      <c r="F32" t="inlineStr">
        <is>
          <t>Kyrkan</t>
        </is>
      </c>
      <c r="G32" t="n">
        <v>6.8</v>
      </c>
      <c r="H32" t="n">
        <v>1</v>
      </c>
      <c r="I32" t="n">
        <v>1</v>
      </c>
      <c r="J32" t="n">
        <v>0</v>
      </c>
      <c r="K32" t="n">
        <v>1</v>
      </c>
      <c r="L32" t="n">
        <v>0</v>
      </c>
      <c r="M32" t="n">
        <v>0</v>
      </c>
      <c r="N32" t="n">
        <v>0</v>
      </c>
      <c r="O32" t="n">
        <v>1</v>
      </c>
      <c r="P32" t="n">
        <v>1</v>
      </c>
      <c r="Q32" t="n">
        <v>2</v>
      </c>
      <c r="R32" s="2" t="inlineStr">
        <is>
          <t>Knärot
Grönpyrola</t>
        </is>
      </c>
      <c r="S32">
        <f>HYPERLINK("https://klasma.github.io/Logging_0580/artfynd/A 3912-2026 artfynd.xlsx", "A 3912-2026")</f>
        <v/>
      </c>
      <c r="T32">
        <f>HYPERLINK("https://klasma.github.io/Logging_0580/kartor/A 3912-2026 karta.png", "A 3912-2026")</f>
        <v/>
      </c>
      <c r="U32">
        <f>HYPERLINK("https://klasma.github.io/Logging_0580/knärot/A 3912-2026 karta knärot.png", "A 3912-2026")</f>
        <v/>
      </c>
      <c r="V32">
        <f>HYPERLINK("https://klasma.github.io/Logging_0580/klagomål/A 3912-2026 FSC-klagomål.docx", "A 3912-2026")</f>
        <v/>
      </c>
      <c r="W32">
        <f>HYPERLINK("https://klasma.github.io/Logging_0580/klagomålsmail/A 3912-2026 FSC-klagomål mail.docx", "A 3912-2026")</f>
        <v/>
      </c>
      <c r="X32">
        <f>HYPERLINK("https://klasma.github.io/Logging_0580/tillsyn/A 3912-2026 tillsynsbegäran.docx", "A 3912-2026")</f>
        <v/>
      </c>
      <c r="Y32">
        <f>HYPERLINK("https://klasma.github.io/Logging_0580/tillsynsmail/A 3912-2026 tillsynsbegäran mail.docx", "A 3912-2026")</f>
        <v/>
      </c>
    </row>
    <row r="33" ht="15" customHeight="1">
      <c r="A33" t="inlineStr">
        <is>
          <t>A 42858-2023</t>
        </is>
      </c>
      <c r="B33" s="1" t="n">
        <v>45177</v>
      </c>
      <c r="C33" s="1" t="n">
        <v>46051</v>
      </c>
      <c r="D33" t="inlineStr">
        <is>
          <t>ÖSTERGÖTLANDS LÄN</t>
        </is>
      </c>
      <c r="E33" t="inlineStr">
        <is>
          <t>LINKÖPING</t>
        </is>
      </c>
      <c r="G33" t="n">
        <v>5.3</v>
      </c>
      <c r="H33" t="n">
        <v>1</v>
      </c>
      <c r="I33" t="n">
        <v>0</v>
      </c>
      <c r="J33" t="n">
        <v>1</v>
      </c>
      <c r="K33" t="n">
        <v>0</v>
      </c>
      <c r="L33" t="n">
        <v>0</v>
      </c>
      <c r="M33" t="n">
        <v>0</v>
      </c>
      <c r="N33" t="n">
        <v>0</v>
      </c>
      <c r="O33" t="n">
        <v>1</v>
      </c>
      <c r="P33" t="n">
        <v>0</v>
      </c>
      <c r="Q33" t="n">
        <v>2</v>
      </c>
      <c r="R33" s="2" t="inlineStr">
        <is>
          <t>Svinrot
Skogsödla</t>
        </is>
      </c>
      <c r="S33">
        <f>HYPERLINK("https://klasma.github.io/Logging_0580/artfynd/A 42858-2023 artfynd.xlsx", "A 42858-2023")</f>
        <v/>
      </c>
      <c r="T33">
        <f>HYPERLINK("https://klasma.github.io/Logging_0580/kartor/A 42858-2023 karta.png", "A 42858-2023")</f>
        <v/>
      </c>
      <c r="V33">
        <f>HYPERLINK("https://klasma.github.io/Logging_0580/klagomål/A 42858-2023 FSC-klagomål.docx", "A 42858-2023")</f>
        <v/>
      </c>
      <c r="W33">
        <f>HYPERLINK("https://klasma.github.io/Logging_0580/klagomålsmail/A 42858-2023 FSC-klagomål mail.docx", "A 42858-2023")</f>
        <v/>
      </c>
      <c r="X33">
        <f>HYPERLINK("https://klasma.github.io/Logging_0580/tillsyn/A 42858-2023 tillsynsbegäran.docx", "A 42858-2023")</f>
        <v/>
      </c>
      <c r="Y33">
        <f>HYPERLINK("https://klasma.github.io/Logging_0580/tillsynsmail/A 42858-2023 tillsynsbegäran mail.docx", "A 42858-2023")</f>
        <v/>
      </c>
    </row>
    <row r="34" ht="15" customHeight="1">
      <c r="A34" t="inlineStr">
        <is>
          <t>A 11613-2025</t>
        </is>
      </c>
      <c r="B34" s="1" t="n">
        <v>45727.44623842592</v>
      </c>
      <c r="C34" s="1" t="n">
        <v>46051</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41751-2023</t>
        </is>
      </c>
      <c r="B35" s="1" t="n">
        <v>45176</v>
      </c>
      <c r="C35" s="1" t="n">
        <v>46051</v>
      </c>
      <c r="D35" t="inlineStr">
        <is>
          <t>ÖSTERGÖTLANDS LÄN</t>
        </is>
      </c>
      <c r="E35" t="inlineStr">
        <is>
          <t>LINKÖPING</t>
        </is>
      </c>
      <c r="G35" t="n">
        <v>1.5</v>
      </c>
      <c r="H35" t="n">
        <v>1</v>
      </c>
      <c r="I35" t="n">
        <v>0</v>
      </c>
      <c r="J35" t="n">
        <v>1</v>
      </c>
      <c r="K35" t="n">
        <v>0</v>
      </c>
      <c r="L35" t="n">
        <v>0</v>
      </c>
      <c r="M35" t="n">
        <v>0</v>
      </c>
      <c r="N35" t="n">
        <v>0</v>
      </c>
      <c r="O35" t="n">
        <v>1</v>
      </c>
      <c r="P35" t="n">
        <v>0</v>
      </c>
      <c r="Q35" t="n">
        <v>2</v>
      </c>
      <c r="R35" s="2" t="inlineStr">
        <is>
          <t>Svinrot
Grönvit nattviol</t>
        </is>
      </c>
      <c r="S35">
        <f>HYPERLINK("https://klasma.github.io/Logging_0580/artfynd/A 41751-2023 artfynd.xlsx", "A 41751-2023")</f>
        <v/>
      </c>
      <c r="T35">
        <f>HYPERLINK("https://klasma.github.io/Logging_0580/kartor/A 41751-2023 karta.png", "A 41751-2023")</f>
        <v/>
      </c>
      <c r="V35">
        <f>HYPERLINK("https://klasma.github.io/Logging_0580/klagomål/A 41751-2023 FSC-klagomål.docx", "A 41751-2023")</f>
        <v/>
      </c>
      <c r="W35">
        <f>HYPERLINK("https://klasma.github.io/Logging_0580/klagomålsmail/A 41751-2023 FSC-klagomål mail.docx", "A 41751-2023")</f>
        <v/>
      </c>
      <c r="X35">
        <f>HYPERLINK("https://klasma.github.io/Logging_0580/tillsyn/A 41751-2023 tillsynsbegäran.docx", "A 41751-2023")</f>
        <v/>
      </c>
      <c r="Y35">
        <f>HYPERLINK("https://klasma.github.io/Logging_0580/tillsynsmail/A 41751-2023 tillsynsbegäran mail.docx", "A 41751-2023")</f>
        <v/>
      </c>
    </row>
    <row r="36" ht="15" customHeight="1">
      <c r="A36" t="inlineStr">
        <is>
          <t>A 8818-2025</t>
        </is>
      </c>
      <c r="B36" s="1" t="n">
        <v>45712</v>
      </c>
      <c r="C36" s="1" t="n">
        <v>46051</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14879-2024</t>
        </is>
      </c>
      <c r="B37" s="1" t="n">
        <v>45398</v>
      </c>
      <c r="C37" s="1" t="n">
        <v>46051</v>
      </c>
      <c r="D37" t="inlineStr">
        <is>
          <t>ÖSTERGÖTLANDS LÄN</t>
        </is>
      </c>
      <c r="E37" t="inlineStr">
        <is>
          <t>LINKÖPING</t>
        </is>
      </c>
      <c r="F37" t="inlineStr">
        <is>
          <t>Övriga Aktiebolag</t>
        </is>
      </c>
      <c r="G37" t="n">
        <v>1.7</v>
      </c>
      <c r="H37" t="n">
        <v>1</v>
      </c>
      <c r="I37" t="n">
        <v>1</v>
      </c>
      <c r="J37" t="n">
        <v>0</v>
      </c>
      <c r="K37" t="n">
        <v>0</v>
      </c>
      <c r="L37" t="n">
        <v>0</v>
      </c>
      <c r="M37" t="n">
        <v>0</v>
      </c>
      <c r="N37" t="n">
        <v>0</v>
      </c>
      <c r="O37" t="n">
        <v>0</v>
      </c>
      <c r="P37" t="n">
        <v>0</v>
      </c>
      <c r="Q37" t="n">
        <v>2</v>
      </c>
      <c r="R37" s="2" t="inlineStr">
        <is>
          <t>Svart trolldruva
Grönvit nattviol</t>
        </is>
      </c>
      <c r="S37">
        <f>HYPERLINK("https://klasma.github.io/Logging_0580/artfynd/A 14879-2024 artfynd.xlsx", "A 14879-2024")</f>
        <v/>
      </c>
      <c r="T37">
        <f>HYPERLINK("https://klasma.github.io/Logging_0580/kartor/A 14879-2024 karta.png", "A 14879-2024")</f>
        <v/>
      </c>
      <c r="V37">
        <f>HYPERLINK("https://klasma.github.io/Logging_0580/klagomål/A 14879-2024 FSC-klagomål.docx", "A 14879-2024")</f>
        <v/>
      </c>
      <c r="W37">
        <f>HYPERLINK("https://klasma.github.io/Logging_0580/klagomålsmail/A 14879-2024 FSC-klagomål mail.docx", "A 14879-2024")</f>
        <v/>
      </c>
      <c r="X37">
        <f>HYPERLINK("https://klasma.github.io/Logging_0580/tillsyn/A 14879-2024 tillsynsbegäran.docx", "A 14879-2024")</f>
        <v/>
      </c>
      <c r="Y37">
        <f>HYPERLINK("https://klasma.github.io/Logging_0580/tillsynsmail/A 14879-2024 tillsynsbegäran mail.docx", "A 14879-2024")</f>
        <v/>
      </c>
    </row>
    <row r="38" ht="15" customHeight="1">
      <c r="A38" t="inlineStr">
        <is>
          <t>A 55344-2024</t>
        </is>
      </c>
      <c r="B38" s="1" t="n">
        <v>45621.7202662037</v>
      </c>
      <c r="C38" s="1" t="n">
        <v>46051</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20292-2025</t>
        </is>
      </c>
      <c r="B39" s="1" t="n">
        <v>45774.7449537037</v>
      </c>
      <c r="C39" s="1" t="n">
        <v>46051</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22040-2023</t>
        </is>
      </c>
      <c r="B40" s="1" t="n">
        <v>45068</v>
      </c>
      <c r="C40" s="1" t="n">
        <v>46051</v>
      </c>
      <c r="D40" t="inlineStr">
        <is>
          <t>ÖSTERGÖTLANDS LÄN</t>
        </is>
      </c>
      <c r="E40" t="inlineStr">
        <is>
          <t>LINKÖPING</t>
        </is>
      </c>
      <c r="F40" t="inlineStr">
        <is>
          <t>Kommuner</t>
        </is>
      </c>
      <c r="G40" t="n">
        <v>1</v>
      </c>
      <c r="H40" t="n">
        <v>1</v>
      </c>
      <c r="I40" t="n">
        <v>1</v>
      </c>
      <c r="J40" t="n">
        <v>0</v>
      </c>
      <c r="K40" t="n">
        <v>1</v>
      </c>
      <c r="L40" t="n">
        <v>0</v>
      </c>
      <c r="M40" t="n">
        <v>0</v>
      </c>
      <c r="N40" t="n">
        <v>0</v>
      </c>
      <c r="O40" t="n">
        <v>1</v>
      </c>
      <c r="P40" t="n">
        <v>1</v>
      </c>
      <c r="Q40" t="n">
        <v>2</v>
      </c>
      <c r="R40" s="2" t="inlineStr">
        <is>
          <t>Bombmurkla
Skarp dropptaggsvamp</t>
        </is>
      </c>
      <c r="S40">
        <f>HYPERLINK("https://klasma.github.io/Logging_0580/artfynd/A 22040-2023 artfynd.xlsx", "A 22040-2023")</f>
        <v/>
      </c>
      <c r="T40">
        <f>HYPERLINK("https://klasma.github.io/Logging_0580/kartor/A 22040-2023 karta.png", "A 22040-2023")</f>
        <v/>
      </c>
      <c r="V40">
        <f>HYPERLINK("https://klasma.github.io/Logging_0580/klagomål/A 22040-2023 FSC-klagomål.docx", "A 22040-2023")</f>
        <v/>
      </c>
      <c r="W40">
        <f>HYPERLINK("https://klasma.github.io/Logging_0580/klagomålsmail/A 22040-2023 FSC-klagomål mail.docx", "A 22040-2023")</f>
        <v/>
      </c>
      <c r="X40">
        <f>HYPERLINK("https://klasma.github.io/Logging_0580/tillsyn/A 22040-2023 tillsynsbegäran.docx", "A 22040-2023")</f>
        <v/>
      </c>
      <c r="Y40">
        <f>HYPERLINK("https://klasma.github.io/Logging_0580/tillsynsmail/A 22040-2023 tillsynsbegäran mail.docx", "A 22040-2023")</f>
        <v/>
      </c>
    </row>
    <row r="41" ht="15" customHeight="1">
      <c r="A41" t="inlineStr">
        <is>
          <t>A 50404-2023</t>
        </is>
      </c>
      <c r="B41" s="1" t="n">
        <v>45216</v>
      </c>
      <c r="C41" s="1" t="n">
        <v>46051</v>
      </c>
      <c r="D41" t="inlineStr">
        <is>
          <t>ÖSTERGÖTLANDS LÄN</t>
        </is>
      </c>
      <c r="E41" t="inlineStr">
        <is>
          <t>LINKÖPING</t>
        </is>
      </c>
      <c r="G41" t="n">
        <v>1.2</v>
      </c>
      <c r="H41" t="n">
        <v>1</v>
      </c>
      <c r="I41" t="n">
        <v>1</v>
      </c>
      <c r="J41" t="n">
        <v>0</v>
      </c>
      <c r="K41" t="n">
        <v>0</v>
      </c>
      <c r="L41" t="n">
        <v>0</v>
      </c>
      <c r="M41" t="n">
        <v>0</v>
      </c>
      <c r="N41" t="n">
        <v>0</v>
      </c>
      <c r="O41" t="n">
        <v>0</v>
      </c>
      <c r="P41" t="n">
        <v>0</v>
      </c>
      <c r="Q41" t="n">
        <v>2</v>
      </c>
      <c r="R41" s="2" t="inlineStr">
        <is>
          <t>Hasselticka
Gullviva</t>
        </is>
      </c>
      <c r="S41">
        <f>HYPERLINK("https://klasma.github.io/Logging_0580/artfynd/A 50404-2023 artfynd.xlsx", "A 50404-2023")</f>
        <v/>
      </c>
      <c r="T41">
        <f>HYPERLINK("https://klasma.github.io/Logging_0580/kartor/A 50404-2023 karta.png", "A 50404-2023")</f>
        <v/>
      </c>
      <c r="V41">
        <f>HYPERLINK("https://klasma.github.io/Logging_0580/klagomål/A 50404-2023 FSC-klagomål.docx", "A 50404-2023")</f>
        <v/>
      </c>
      <c r="W41">
        <f>HYPERLINK("https://klasma.github.io/Logging_0580/klagomålsmail/A 50404-2023 FSC-klagomål mail.docx", "A 50404-2023")</f>
        <v/>
      </c>
      <c r="X41">
        <f>HYPERLINK("https://klasma.github.io/Logging_0580/tillsyn/A 50404-2023 tillsynsbegäran.docx", "A 50404-2023")</f>
        <v/>
      </c>
      <c r="Y41">
        <f>HYPERLINK("https://klasma.github.io/Logging_0580/tillsynsmail/A 50404-2023 tillsynsbegäran mail.docx", "A 50404-2023")</f>
        <v/>
      </c>
    </row>
    <row r="42" ht="15" customHeight="1">
      <c r="A42" t="inlineStr">
        <is>
          <t>A 21326-2025</t>
        </is>
      </c>
      <c r="B42" s="1" t="n">
        <v>45782.35407407407</v>
      </c>
      <c r="C42" s="1" t="n">
        <v>46051</v>
      </c>
      <c r="D42" t="inlineStr">
        <is>
          <t>ÖSTERGÖTLANDS LÄN</t>
        </is>
      </c>
      <c r="E42" t="inlineStr">
        <is>
          <t>LINKÖPING</t>
        </is>
      </c>
      <c r="G42" t="n">
        <v>4.9</v>
      </c>
      <c r="H42" t="n">
        <v>2</v>
      </c>
      <c r="I42" t="n">
        <v>0</v>
      </c>
      <c r="J42" t="n">
        <v>0</v>
      </c>
      <c r="K42" t="n">
        <v>0</v>
      </c>
      <c r="L42" t="n">
        <v>0</v>
      </c>
      <c r="M42" t="n">
        <v>0</v>
      </c>
      <c r="N42" t="n">
        <v>0</v>
      </c>
      <c r="O42" t="n">
        <v>0</v>
      </c>
      <c r="P42" t="n">
        <v>0</v>
      </c>
      <c r="Q42" t="n">
        <v>2</v>
      </c>
      <c r="R42" s="2" t="inlineStr">
        <is>
          <t>Blåsippa
Revlummer</t>
        </is>
      </c>
      <c r="S42">
        <f>HYPERLINK("https://klasma.github.io/Logging_0580/artfynd/A 21326-2025 artfynd.xlsx", "A 21326-2025")</f>
        <v/>
      </c>
      <c r="T42">
        <f>HYPERLINK("https://klasma.github.io/Logging_0580/kartor/A 21326-2025 karta.png", "A 21326-2025")</f>
        <v/>
      </c>
      <c r="V42">
        <f>HYPERLINK("https://klasma.github.io/Logging_0580/klagomål/A 21326-2025 FSC-klagomål.docx", "A 21326-2025")</f>
        <v/>
      </c>
      <c r="W42">
        <f>HYPERLINK("https://klasma.github.io/Logging_0580/klagomålsmail/A 21326-2025 FSC-klagomål mail.docx", "A 21326-2025")</f>
        <v/>
      </c>
      <c r="X42">
        <f>HYPERLINK("https://klasma.github.io/Logging_0580/tillsyn/A 21326-2025 tillsynsbegäran.docx", "A 21326-2025")</f>
        <v/>
      </c>
      <c r="Y42">
        <f>HYPERLINK("https://klasma.github.io/Logging_0580/tillsynsmail/A 21326-2025 tillsynsbegäran mail.docx", "A 21326-2025")</f>
        <v/>
      </c>
    </row>
    <row r="43" ht="15" customHeight="1">
      <c r="A43" t="inlineStr">
        <is>
          <t>A 38129-2021</t>
        </is>
      </c>
      <c r="B43" s="1" t="n">
        <v>44405.37199074074</v>
      </c>
      <c r="C43" s="1" t="n">
        <v>46051</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46051</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46051</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43017-2021</t>
        </is>
      </c>
      <c r="B46" s="1" t="n">
        <v>44431</v>
      </c>
      <c r="C46" s="1" t="n">
        <v>46051</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46496-2022</t>
        </is>
      </c>
      <c r="B47" s="1" t="n">
        <v>44848</v>
      </c>
      <c r="C47" s="1" t="n">
        <v>46051</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46051</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71127-2021</t>
        </is>
      </c>
      <c r="B49" s="1" t="n">
        <v>44537</v>
      </c>
      <c r="C49" s="1" t="n">
        <v>46051</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17389-2021</t>
        </is>
      </c>
      <c r="B50" s="1" t="n">
        <v>44298.96792824074</v>
      </c>
      <c r="C50" s="1" t="n">
        <v>46051</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40315-2024</t>
        </is>
      </c>
      <c r="B51" s="1" t="n">
        <v>45554.7571875</v>
      </c>
      <c r="C51" s="1" t="n">
        <v>46051</v>
      </c>
      <c r="D51" t="inlineStr">
        <is>
          <t>ÖSTERGÖTLANDS LÄN</t>
        </is>
      </c>
      <c r="E51" t="inlineStr">
        <is>
          <t>LINKÖPING</t>
        </is>
      </c>
      <c r="F51" t="inlineStr">
        <is>
          <t>Allmännings- och besparingsskogar</t>
        </is>
      </c>
      <c r="G51" t="n">
        <v>15.8</v>
      </c>
      <c r="H51" t="n">
        <v>0</v>
      </c>
      <c r="I51" t="n">
        <v>0</v>
      </c>
      <c r="J51" t="n">
        <v>0</v>
      </c>
      <c r="K51" t="n">
        <v>0</v>
      </c>
      <c r="L51" t="n">
        <v>0</v>
      </c>
      <c r="M51" t="n">
        <v>1</v>
      </c>
      <c r="N51" t="n">
        <v>0</v>
      </c>
      <c r="O51" t="n">
        <v>1</v>
      </c>
      <c r="P51" t="n">
        <v>1</v>
      </c>
      <c r="Q51" t="n">
        <v>1</v>
      </c>
      <c r="R51" s="2" t="inlineStr">
        <is>
          <t>Skogsalm</t>
        </is>
      </c>
      <c r="S51">
        <f>HYPERLINK("https://klasma.github.io/Logging_0580/artfynd/A 40315-2024 artfynd.xlsx", "A 40315-2024")</f>
        <v/>
      </c>
      <c r="T51">
        <f>HYPERLINK("https://klasma.github.io/Logging_0580/kartor/A 40315-2024 karta.png", "A 40315-2024")</f>
        <v/>
      </c>
      <c r="V51">
        <f>HYPERLINK("https://klasma.github.io/Logging_0580/klagomål/A 40315-2024 FSC-klagomål.docx", "A 40315-2024")</f>
        <v/>
      </c>
      <c r="W51">
        <f>HYPERLINK("https://klasma.github.io/Logging_0580/klagomålsmail/A 40315-2024 FSC-klagomål mail.docx", "A 40315-2024")</f>
        <v/>
      </c>
      <c r="X51">
        <f>HYPERLINK("https://klasma.github.io/Logging_0580/tillsyn/A 40315-2024 tillsynsbegäran.docx", "A 40315-2024")</f>
        <v/>
      </c>
      <c r="Y51">
        <f>HYPERLINK("https://klasma.github.io/Logging_0580/tillsynsmail/A 40315-2024 tillsynsbegäran mail.docx", "A 40315-2024")</f>
        <v/>
      </c>
    </row>
    <row r="52" ht="15" customHeight="1">
      <c r="A52" t="inlineStr">
        <is>
          <t>A 27403-2025</t>
        </is>
      </c>
      <c r="B52" s="1" t="n">
        <v>45812.72518518518</v>
      </c>
      <c r="C52" s="1" t="n">
        <v>46051</v>
      </c>
      <c r="D52" t="inlineStr">
        <is>
          <t>ÖSTERGÖTLANDS LÄN</t>
        </is>
      </c>
      <c r="E52" t="inlineStr">
        <is>
          <t>LINKÖPING</t>
        </is>
      </c>
      <c r="G52" t="n">
        <v>1.4</v>
      </c>
      <c r="H52" t="n">
        <v>0</v>
      </c>
      <c r="I52" t="n">
        <v>0</v>
      </c>
      <c r="J52" t="n">
        <v>1</v>
      </c>
      <c r="K52" t="n">
        <v>0</v>
      </c>
      <c r="L52" t="n">
        <v>0</v>
      </c>
      <c r="M52" t="n">
        <v>0</v>
      </c>
      <c r="N52" t="n">
        <v>0</v>
      </c>
      <c r="O52" t="n">
        <v>1</v>
      </c>
      <c r="P52" t="n">
        <v>0</v>
      </c>
      <c r="Q52" t="n">
        <v>1</v>
      </c>
      <c r="R52" s="2" t="inlineStr">
        <is>
          <t>Tallticka</t>
        </is>
      </c>
      <c r="S52">
        <f>HYPERLINK("https://klasma.github.io/Logging_0580/artfynd/A 27403-2025 artfynd.xlsx", "A 27403-2025")</f>
        <v/>
      </c>
      <c r="T52">
        <f>HYPERLINK("https://klasma.github.io/Logging_0580/kartor/A 27403-2025 karta.png", "A 27403-2025")</f>
        <v/>
      </c>
      <c r="V52">
        <f>HYPERLINK("https://klasma.github.io/Logging_0580/klagomål/A 27403-2025 FSC-klagomål.docx", "A 27403-2025")</f>
        <v/>
      </c>
      <c r="W52">
        <f>HYPERLINK("https://klasma.github.io/Logging_0580/klagomålsmail/A 27403-2025 FSC-klagomål mail.docx", "A 27403-2025")</f>
        <v/>
      </c>
      <c r="X52">
        <f>HYPERLINK("https://klasma.github.io/Logging_0580/tillsyn/A 27403-2025 tillsynsbegäran.docx", "A 27403-2025")</f>
        <v/>
      </c>
      <c r="Y52">
        <f>HYPERLINK("https://klasma.github.io/Logging_0580/tillsynsmail/A 27403-2025 tillsynsbegäran mail.docx", "A 27403-2025")</f>
        <v/>
      </c>
    </row>
    <row r="53" ht="15" customHeight="1">
      <c r="A53" t="inlineStr">
        <is>
          <t>A 22526-2025</t>
        </is>
      </c>
      <c r="B53" s="1" t="n">
        <v>45786.78096064815</v>
      </c>
      <c r="C53" s="1" t="n">
        <v>46051</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1213-2023</t>
        </is>
      </c>
      <c r="B54" s="1" t="n">
        <v>44930</v>
      </c>
      <c r="C54" s="1" t="n">
        <v>46051</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43989-2025</t>
        </is>
      </c>
      <c r="B55" s="1" t="n">
        <v>45915.44128472222</v>
      </c>
      <c r="C55" s="1" t="n">
        <v>46051</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44760-2025</t>
        </is>
      </c>
      <c r="B56" s="1" t="n">
        <v>45917.71873842592</v>
      </c>
      <c r="C56" s="1" t="n">
        <v>46051</v>
      </c>
      <c r="D56" t="inlineStr">
        <is>
          <t>ÖSTERGÖTLANDS LÄN</t>
        </is>
      </c>
      <c r="E56" t="inlineStr">
        <is>
          <t>LINKÖPING</t>
        </is>
      </c>
      <c r="G56" t="n">
        <v>0.9</v>
      </c>
      <c r="H56" t="n">
        <v>0</v>
      </c>
      <c r="I56" t="n">
        <v>0</v>
      </c>
      <c r="J56" t="n">
        <v>1</v>
      </c>
      <c r="K56" t="n">
        <v>0</v>
      </c>
      <c r="L56" t="n">
        <v>0</v>
      </c>
      <c r="M56" t="n">
        <v>0</v>
      </c>
      <c r="N56" t="n">
        <v>0</v>
      </c>
      <c r="O56" t="n">
        <v>1</v>
      </c>
      <c r="P56" t="n">
        <v>0</v>
      </c>
      <c r="Q56" t="n">
        <v>1</v>
      </c>
      <c r="R56" s="2" t="inlineStr">
        <is>
          <t>Tallticka</t>
        </is>
      </c>
      <c r="S56">
        <f>HYPERLINK("https://klasma.github.io/Logging_0580/artfynd/A 44760-2025 artfynd.xlsx", "A 44760-2025")</f>
        <v/>
      </c>
      <c r="T56">
        <f>HYPERLINK("https://klasma.github.io/Logging_0580/kartor/A 44760-2025 karta.png", "A 44760-2025")</f>
        <v/>
      </c>
      <c r="V56">
        <f>HYPERLINK("https://klasma.github.io/Logging_0580/klagomål/A 44760-2025 FSC-klagomål.docx", "A 44760-2025")</f>
        <v/>
      </c>
      <c r="W56">
        <f>HYPERLINK("https://klasma.github.io/Logging_0580/klagomålsmail/A 44760-2025 FSC-klagomål mail.docx", "A 44760-2025")</f>
        <v/>
      </c>
      <c r="X56">
        <f>HYPERLINK("https://klasma.github.io/Logging_0580/tillsyn/A 44760-2025 tillsynsbegäran.docx", "A 44760-2025")</f>
        <v/>
      </c>
      <c r="Y56">
        <f>HYPERLINK("https://klasma.github.io/Logging_0580/tillsynsmail/A 44760-2025 tillsynsbegäran mail.docx", "A 44760-2025")</f>
        <v/>
      </c>
    </row>
    <row r="57" ht="15" customHeight="1">
      <c r="A57" t="inlineStr">
        <is>
          <t>A 36723-2023</t>
        </is>
      </c>
      <c r="B57" s="1" t="n">
        <v>45153</v>
      </c>
      <c r="C57" s="1" t="n">
        <v>46051</v>
      </c>
      <c r="D57" t="inlineStr">
        <is>
          <t>ÖSTERGÖTLANDS LÄN</t>
        </is>
      </c>
      <c r="E57" t="inlineStr">
        <is>
          <t>LINKÖPING</t>
        </is>
      </c>
      <c r="F57" t="inlineStr">
        <is>
          <t>Allmännings- och besparingsskogar</t>
        </is>
      </c>
      <c r="G57" t="n">
        <v>9.9</v>
      </c>
      <c r="H57" t="n">
        <v>0</v>
      </c>
      <c r="I57" t="n">
        <v>0</v>
      </c>
      <c r="J57" t="n">
        <v>0</v>
      </c>
      <c r="K57" t="n">
        <v>1</v>
      </c>
      <c r="L57" t="n">
        <v>0</v>
      </c>
      <c r="M57" t="n">
        <v>0</v>
      </c>
      <c r="N57" t="n">
        <v>0</v>
      </c>
      <c r="O57" t="n">
        <v>1</v>
      </c>
      <c r="P57" t="n">
        <v>1</v>
      </c>
      <c r="Q57" t="n">
        <v>1</v>
      </c>
      <c r="R57" s="2" t="inlineStr">
        <is>
          <t>Bitter taggsvamp</t>
        </is>
      </c>
      <c r="S57">
        <f>HYPERLINK("https://klasma.github.io/Logging_0580/artfynd/A 36723-2023 artfynd.xlsx", "A 36723-2023")</f>
        <v/>
      </c>
      <c r="T57">
        <f>HYPERLINK("https://klasma.github.io/Logging_0580/kartor/A 36723-2023 karta.png", "A 36723-2023")</f>
        <v/>
      </c>
      <c r="V57">
        <f>HYPERLINK("https://klasma.github.io/Logging_0580/klagomål/A 36723-2023 FSC-klagomål.docx", "A 36723-2023")</f>
        <v/>
      </c>
      <c r="W57">
        <f>HYPERLINK("https://klasma.github.io/Logging_0580/klagomålsmail/A 36723-2023 FSC-klagomål mail.docx", "A 36723-2023")</f>
        <v/>
      </c>
      <c r="X57">
        <f>HYPERLINK("https://klasma.github.io/Logging_0580/tillsyn/A 36723-2023 tillsynsbegäran.docx", "A 36723-2023")</f>
        <v/>
      </c>
      <c r="Y57">
        <f>HYPERLINK("https://klasma.github.io/Logging_0580/tillsynsmail/A 36723-2023 tillsynsbegäran mail.docx", "A 36723-2023")</f>
        <v/>
      </c>
    </row>
    <row r="58" ht="15" customHeight="1">
      <c r="A58" t="inlineStr">
        <is>
          <t>A 50471-2024</t>
        </is>
      </c>
      <c r="B58" s="1" t="n">
        <v>45601.47166666666</v>
      </c>
      <c r="C58" s="1" t="n">
        <v>46051</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48273-2025</t>
        </is>
      </c>
      <c r="B59" s="1" t="n">
        <v>45932</v>
      </c>
      <c r="C59" s="1" t="n">
        <v>46051</v>
      </c>
      <c r="D59" t="inlineStr">
        <is>
          <t>ÖSTERGÖTLANDS LÄN</t>
        </is>
      </c>
      <c r="E59" t="inlineStr">
        <is>
          <t>LINKÖPING</t>
        </is>
      </c>
      <c r="F59" t="inlineStr">
        <is>
          <t>Övriga Aktiebolag</t>
        </is>
      </c>
      <c r="G59" t="n">
        <v>4.6</v>
      </c>
      <c r="H59" t="n">
        <v>0</v>
      </c>
      <c r="I59" t="n">
        <v>0</v>
      </c>
      <c r="J59" t="n">
        <v>1</v>
      </c>
      <c r="K59" t="n">
        <v>0</v>
      </c>
      <c r="L59" t="n">
        <v>0</v>
      </c>
      <c r="M59" t="n">
        <v>0</v>
      </c>
      <c r="N59" t="n">
        <v>0</v>
      </c>
      <c r="O59" t="n">
        <v>1</v>
      </c>
      <c r="P59" t="n">
        <v>0</v>
      </c>
      <c r="Q59" t="n">
        <v>1</v>
      </c>
      <c r="R59" s="2" t="inlineStr">
        <is>
          <t>Barrviolspindling</t>
        </is>
      </c>
      <c r="S59">
        <f>HYPERLINK("https://klasma.github.io/Logging_0580/artfynd/A 48273-2025 artfynd.xlsx", "A 48273-2025")</f>
        <v/>
      </c>
      <c r="T59">
        <f>HYPERLINK("https://klasma.github.io/Logging_0580/kartor/A 48273-2025 karta.png", "A 48273-2025")</f>
        <v/>
      </c>
      <c r="V59">
        <f>HYPERLINK("https://klasma.github.io/Logging_0580/klagomål/A 48273-2025 FSC-klagomål.docx", "A 48273-2025")</f>
        <v/>
      </c>
      <c r="W59">
        <f>HYPERLINK("https://klasma.github.io/Logging_0580/klagomålsmail/A 48273-2025 FSC-klagomål mail.docx", "A 48273-2025")</f>
        <v/>
      </c>
      <c r="X59">
        <f>HYPERLINK("https://klasma.github.io/Logging_0580/tillsyn/A 48273-2025 tillsynsbegäran.docx", "A 48273-2025")</f>
        <v/>
      </c>
      <c r="Y59">
        <f>HYPERLINK("https://klasma.github.io/Logging_0580/tillsynsmail/A 48273-2025 tillsynsbegäran mail.docx", "A 48273-2025")</f>
        <v/>
      </c>
    </row>
    <row r="60" ht="15" customHeight="1">
      <c r="A60" t="inlineStr">
        <is>
          <t>A 48298-2025</t>
        </is>
      </c>
      <c r="B60" s="1" t="n">
        <v>45932</v>
      </c>
      <c r="C60" s="1" t="n">
        <v>46051</v>
      </c>
      <c r="D60" t="inlineStr">
        <is>
          <t>ÖSTERGÖTLANDS LÄN</t>
        </is>
      </c>
      <c r="E60" t="inlineStr">
        <is>
          <t>LINKÖPING</t>
        </is>
      </c>
      <c r="F60" t="inlineStr">
        <is>
          <t>Övriga Aktiebolag</t>
        </is>
      </c>
      <c r="G60" t="n">
        <v>1.7</v>
      </c>
      <c r="H60" t="n">
        <v>0</v>
      </c>
      <c r="I60" t="n">
        <v>1</v>
      </c>
      <c r="J60" t="n">
        <v>0</v>
      </c>
      <c r="K60" t="n">
        <v>0</v>
      </c>
      <c r="L60" t="n">
        <v>0</v>
      </c>
      <c r="M60" t="n">
        <v>0</v>
      </c>
      <c r="N60" t="n">
        <v>0</v>
      </c>
      <c r="O60" t="n">
        <v>0</v>
      </c>
      <c r="P60" t="n">
        <v>0</v>
      </c>
      <c r="Q60" t="n">
        <v>1</v>
      </c>
      <c r="R60" s="2" t="inlineStr">
        <is>
          <t>Västlig hakmossa</t>
        </is>
      </c>
      <c r="S60">
        <f>HYPERLINK("https://klasma.github.io/Logging_0580/artfynd/A 48298-2025 artfynd.xlsx", "A 48298-2025")</f>
        <v/>
      </c>
      <c r="T60">
        <f>HYPERLINK("https://klasma.github.io/Logging_0580/kartor/A 48298-2025 karta.png", "A 48298-2025")</f>
        <v/>
      </c>
      <c r="V60">
        <f>HYPERLINK("https://klasma.github.io/Logging_0580/klagomål/A 48298-2025 FSC-klagomål.docx", "A 48298-2025")</f>
        <v/>
      </c>
      <c r="W60">
        <f>HYPERLINK("https://klasma.github.io/Logging_0580/klagomålsmail/A 48298-2025 FSC-klagomål mail.docx", "A 48298-2025")</f>
        <v/>
      </c>
      <c r="X60">
        <f>HYPERLINK("https://klasma.github.io/Logging_0580/tillsyn/A 48298-2025 tillsynsbegäran.docx", "A 48298-2025")</f>
        <v/>
      </c>
      <c r="Y60">
        <f>HYPERLINK("https://klasma.github.io/Logging_0580/tillsynsmail/A 48298-2025 tillsynsbegäran mail.docx", "A 48298-2025")</f>
        <v/>
      </c>
    </row>
    <row r="61" ht="15" customHeight="1">
      <c r="A61" t="inlineStr">
        <is>
          <t>A 48353-2025</t>
        </is>
      </c>
      <c r="B61" s="1" t="n">
        <v>45932</v>
      </c>
      <c r="C61" s="1" t="n">
        <v>46051</v>
      </c>
      <c r="D61" t="inlineStr">
        <is>
          <t>ÖSTERGÖTLANDS LÄN</t>
        </is>
      </c>
      <c r="E61" t="inlineStr">
        <is>
          <t>LINKÖPING</t>
        </is>
      </c>
      <c r="F61" t="inlineStr">
        <is>
          <t>Övriga Aktiebolag</t>
        </is>
      </c>
      <c r="G61" t="n">
        <v>4.5</v>
      </c>
      <c r="H61" t="n">
        <v>1</v>
      </c>
      <c r="I61" t="n">
        <v>0</v>
      </c>
      <c r="J61" t="n">
        <v>1</v>
      </c>
      <c r="K61" t="n">
        <v>0</v>
      </c>
      <c r="L61" t="n">
        <v>0</v>
      </c>
      <c r="M61" t="n">
        <v>0</v>
      </c>
      <c r="N61" t="n">
        <v>0</v>
      </c>
      <c r="O61" t="n">
        <v>1</v>
      </c>
      <c r="P61" t="n">
        <v>0</v>
      </c>
      <c r="Q61" t="n">
        <v>1</v>
      </c>
      <c r="R61" s="2" t="inlineStr">
        <is>
          <t>Entita</t>
        </is>
      </c>
      <c r="S61">
        <f>HYPERLINK("https://klasma.github.io/Logging_0580/artfynd/A 48353-2025 artfynd.xlsx", "A 48353-2025")</f>
        <v/>
      </c>
      <c r="T61">
        <f>HYPERLINK("https://klasma.github.io/Logging_0580/kartor/A 48353-2025 karta.png", "A 48353-2025")</f>
        <v/>
      </c>
      <c r="V61">
        <f>HYPERLINK("https://klasma.github.io/Logging_0580/klagomål/A 48353-2025 FSC-klagomål.docx", "A 48353-2025")</f>
        <v/>
      </c>
      <c r="W61">
        <f>HYPERLINK("https://klasma.github.io/Logging_0580/klagomålsmail/A 48353-2025 FSC-klagomål mail.docx", "A 48353-2025")</f>
        <v/>
      </c>
      <c r="X61">
        <f>HYPERLINK("https://klasma.github.io/Logging_0580/tillsyn/A 48353-2025 tillsynsbegäran.docx", "A 48353-2025")</f>
        <v/>
      </c>
      <c r="Y61">
        <f>HYPERLINK("https://klasma.github.io/Logging_0580/tillsynsmail/A 48353-2025 tillsynsbegäran mail.docx", "A 48353-2025")</f>
        <v/>
      </c>
      <c r="Z61">
        <f>HYPERLINK("https://klasma.github.io/Logging_0580/fåglar/A 48353-2025 prioriterade fågelarter.docx", "A 48353-2025")</f>
        <v/>
      </c>
    </row>
    <row r="62" ht="15" customHeight="1">
      <c r="A62" t="inlineStr">
        <is>
          <t>A 48347-2025</t>
        </is>
      </c>
      <c r="B62" s="1" t="n">
        <v>45932</v>
      </c>
      <c r="C62" s="1" t="n">
        <v>46051</v>
      </c>
      <c r="D62" t="inlineStr">
        <is>
          <t>ÖSTERGÖTLANDS LÄN</t>
        </is>
      </c>
      <c r="E62" t="inlineStr">
        <is>
          <t>LINKÖPING</t>
        </is>
      </c>
      <c r="F62" t="inlineStr">
        <is>
          <t>Övriga Aktiebolag</t>
        </is>
      </c>
      <c r="G62" t="n">
        <v>0.9</v>
      </c>
      <c r="H62" t="n">
        <v>0</v>
      </c>
      <c r="I62" t="n">
        <v>0</v>
      </c>
      <c r="J62" t="n">
        <v>1</v>
      </c>
      <c r="K62" t="n">
        <v>0</v>
      </c>
      <c r="L62" t="n">
        <v>0</v>
      </c>
      <c r="M62" t="n">
        <v>0</v>
      </c>
      <c r="N62" t="n">
        <v>0</v>
      </c>
      <c r="O62" t="n">
        <v>1</v>
      </c>
      <c r="P62" t="n">
        <v>0</v>
      </c>
      <c r="Q62" t="n">
        <v>1</v>
      </c>
      <c r="R62" s="2" t="inlineStr">
        <is>
          <t>Igelkott</t>
        </is>
      </c>
      <c r="S62">
        <f>HYPERLINK("https://klasma.github.io/Logging_0580/artfynd/A 48347-2025 artfynd.xlsx", "A 48347-2025")</f>
        <v/>
      </c>
      <c r="T62">
        <f>HYPERLINK("https://klasma.github.io/Logging_0580/kartor/A 48347-2025 karta.png", "A 48347-2025")</f>
        <v/>
      </c>
      <c r="V62">
        <f>HYPERLINK("https://klasma.github.io/Logging_0580/klagomål/A 48347-2025 FSC-klagomål.docx", "A 48347-2025")</f>
        <v/>
      </c>
      <c r="W62">
        <f>HYPERLINK("https://klasma.github.io/Logging_0580/klagomålsmail/A 48347-2025 FSC-klagomål mail.docx", "A 48347-2025")</f>
        <v/>
      </c>
      <c r="X62">
        <f>HYPERLINK("https://klasma.github.io/Logging_0580/tillsyn/A 48347-2025 tillsynsbegäran.docx", "A 48347-2025")</f>
        <v/>
      </c>
      <c r="Y62">
        <f>HYPERLINK("https://klasma.github.io/Logging_0580/tillsynsmail/A 48347-2025 tillsynsbegäran mail.docx", "A 48347-2025")</f>
        <v/>
      </c>
    </row>
    <row r="63" ht="15" customHeight="1">
      <c r="A63" t="inlineStr">
        <is>
          <t>A 50806-2023</t>
        </is>
      </c>
      <c r="B63" s="1" t="n">
        <v>45217</v>
      </c>
      <c r="C63" s="1" t="n">
        <v>46051</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50034-2025</t>
        </is>
      </c>
      <c r="B64" s="1" t="n">
        <v>45941</v>
      </c>
      <c r="C64" s="1" t="n">
        <v>46051</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60573-2021</t>
        </is>
      </c>
      <c r="B65" s="1" t="n">
        <v>44496</v>
      </c>
      <c r="C65" s="1" t="n">
        <v>46051</v>
      </c>
      <c r="D65" t="inlineStr">
        <is>
          <t>ÖSTERGÖTLANDS LÄN</t>
        </is>
      </c>
      <c r="E65" t="inlineStr">
        <is>
          <t>LINKÖPING</t>
        </is>
      </c>
      <c r="F65" t="inlineStr">
        <is>
          <t>Övriga Aktiebolag</t>
        </is>
      </c>
      <c r="G65" t="n">
        <v>5.6</v>
      </c>
      <c r="H65" t="n">
        <v>0</v>
      </c>
      <c r="I65" t="n">
        <v>0</v>
      </c>
      <c r="J65" t="n">
        <v>1</v>
      </c>
      <c r="K65" t="n">
        <v>0</v>
      </c>
      <c r="L65" t="n">
        <v>0</v>
      </c>
      <c r="M65" t="n">
        <v>0</v>
      </c>
      <c r="N65" t="n">
        <v>0</v>
      </c>
      <c r="O65" t="n">
        <v>1</v>
      </c>
      <c r="P65" t="n">
        <v>0</v>
      </c>
      <c r="Q65" t="n">
        <v>1</v>
      </c>
      <c r="R65" s="2" t="inlineStr">
        <is>
          <t>Sommarfibbla</t>
        </is>
      </c>
      <c r="S65">
        <f>HYPERLINK("https://klasma.github.io/Logging_0580/artfynd/A 60573-2021 artfynd.xlsx", "A 60573-2021")</f>
        <v/>
      </c>
      <c r="T65">
        <f>HYPERLINK("https://klasma.github.io/Logging_0580/kartor/A 60573-2021 karta.png", "A 60573-2021")</f>
        <v/>
      </c>
      <c r="V65">
        <f>HYPERLINK("https://klasma.github.io/Logging_0580/klagomål/A 60573-2021 FSC-klagomål.docx", "A 60573-2021")</f>
        <v/>
      </c>
      <c r="W65">
        <f>HYPERLINK("https://klasma.github.io/Logging_0580/klagomålsmail/A 60573-2021 FSC-klagomål mail.docx", "A 60573-2021")</f>
        <v/>
      </c>
      <c r="X65">
        <f>HYPERLINK("https://klasma.github.io/Logging_0580/tillsyn/A 60573-2021 tillsynsbegäran.docx", "A 60573-2021")</f>
        <v/>
      </c>
      <c r="Y65">
        <f>HYPERLINK("https://klasma.github.io/Logging_0580/tillsynsmail/A 60573-2021 tillsynsbegäran mail.docx", "A 60573-2021")</f>
        <v/>
      </c>
    </row>
    <row r="66" ht="15" customHeight="1">
      <c r="A66" t="inlineStr">
        <is>
          <t>A 56112-2025</t>
        </is>
      </c>
      <c r="B66" s="1" t="n">
        <v>45973.73625</v>
      </c>
      <c r="C66" s="1" t="n">
        <v>46051</v>
      </c>
      <c r="D66" t="inlineStr">
        <is>
          <t>ÖSTERGÖTLANDS LÄN</t>
        </is>
      </c>
      <c r="E66" t="inlineStr">
        <is>
          <t>LINKÖPING</t>
        </is>
      </c>
      <c r="G66" t="n">
        <v>0.6</v>
      </c>
      <c r="H66" t="n">
        <v>0</v>
      </c>
      <c r="I66" t="n">
        <v>0</v>
      </c>
      <c r="J66" t="n">
        <v>1</v>
      </c>
      <c r="K66" t="n">
        <v>0</v>
      </c>
      <c r="L66" t="n">
        <v>0</v>
      </c>
      <c r="M66" t="n">
        <v>0</v>
      </c>
      <c r="N66" t="n">
        <v>0</v>
      </c>
      <c r="O66" t="n">
        <v>1</v>
      </c>
      <c r="P66" t="n">
        <v>0</v>
      </c>
      <c r="Q66" t="n">
        <v>1</v>
      </c>
      <c r="R66" s="2" t="inlineStr">
        <is>
          <t>Solvända</t>
        </is>
      </c>
      <c r="S66">
        <f>HYPERLINK("https://klasma.github.io/Logging_0580/artfynd/A 56112-2025 artfynd.xlsx", "A 56112-2025")</f>
        <v/>
      </c>
      <c r="T66">
        <f>HYPERLINK("https://klasma.github.io/Logging_0580/kartor/A 56112-2025 karta.png", "A 56112-2025")</f>
        <v/>
      </c>
      <c r="V66">
        <f>HYPERLINK("https://klasma.github.io/Logging_0580/klagomål/A 56112-2025 FSC-klagomål.docx", "A 56112-2025")</f>
        <v/>
      </c>
      <c r="W66">
        <f>HYPERLINK("https://klasma.github.io/Logging_0580/klagomålsmail/A 56112-2025 FSC-klagomål mail.docx", "A 56112-2025")</f>
        <v/>
      </c>
      <c r="X66">
        <f>HYPERLINK("https://klasma.github.io/Logging_0580/tillsyn/A 56112-2025 tillsynsbegäran.docx", "A 56112-2025")</f>
        <v/>
      </c>
      <c r="Y66">
        <f>HYPERLINK("https://klasma.github.io/Logging_0580/tillsynsmail/A 56112-2025 tillsynsbegäran mail.docx", "A 56112-2025")</f>
        <v/>
      </c>
    </row>
    <row r="67" ht="15" customHeight="1">
      <c r="A67" t="inlineStr">
        <is>
          <t>A 5911-2022</t>
        </is>
      </c>
      <c r="B67" s="1" t="n">
        <v>44597</v>
      </c>
      <c r="C67" s="1" t="n">
        <v>46051</v>
      </c>
      <c r="D67" t="inlineStr">
        <is>
          <t>ÖSTERGÖTLANDS LÄN</t>
        </is>
      </c>
      <c r="E67" t="inlineStr">
        <is>
          <t>LINKÖPING</t>
        </is>
      </c>
      <c r="G67" t="n">
        <v>3.5</v>
      </c>
      <c r="H67" t="n">
        <v>0</v>
      </c>
      <c r="I67" t="n">
        <v>0</v>
      </c>
      <c r="J67" t="n">
        <v>1</v>
      </c>
      <c r="K67" t="n">
        <v>0</v>
      </c>
      <c r="L67" t="n">
        <v>0</v>
      </c>
      <c r="M67" t="n">
        <v>0</v>
      </c>
      <c r="N67" t="n">
        <v>0</v>
      </c>
      <c r="O67" t="n">
        <v>1</v>
      </c>
      <c r="P67" t="n">
        <v>0</v>
      </c>
      <c r="Q67" t="n">
        <v>1</v>
      </c>
      <c r="R67" s="2" t="inlineStr">
        <is>
          <t>Spindelört</t>
        </is>
      </c>
      <c r="S67">
        <f>HYPERLINK("https://klasma.github.io/Logging_0580/artfynd/A 5911-2022 artfynd.xlsx", "A 5911-2022")</f>
        <v/>
      </c>
      <c r="T67">
        <f>HYPERLINK("https://klasma.github.io/Logging_0580/kartor/A 5911-2022 karta.png", "A 5911-2022")</f>
        <v/>
      </c>
      <c r="V67">
        <f>HYPERLINK("https://klasma.github.io/Logging_0580/klagomål/A 5911-2022 FSC-klagomål.docx", "A 5911-2022")</f>
        <v/>
      </c>
      <c r="W67">
        <f>HYPERLINK("https://klasma.github.io/Logging_0580/klagomålsmail/A 5911-2022 FSC-klagomål mail.docx", "A 5911-2022")</f>
        <v/>
      </c>
      <c r="X67">
        <f>HYPERLINK("https://klasma.github.io/Logging_0580/tillsyn/A 5911-2022 tillsynsbegäran.docx", "A 5911-2022")</f>
        <v/>
      </c>
      <c r="Y67">
        <f>HYPERLINK("https://klasma.github.io/Logging_0580/tillsynsmail/A 5911-2022 tillsynsbegäran mail.docx", "A 5911-2022")</f>
        <v/>
      </c>
    </row>
    <row r="68" ht="15" customHeight="1">
      <c r="A68" t="inlineStr">
        <is>
          <t>A 59474-2025</t>
        </is>
      </c>
      <c r="B68" s="1" t="n">
        <v>45989.58512731481</v>
      </c>
      <c r="C68" s="1" t="n">
        <v>46051</v>
      </c>
      <c r="D68" t="inlineStr">
        <is>
          <t>ÖSTERGÖTLANDS LÄN</t>
        </is>
      </c>
      <c r="E68" t="inlineStr">
        <is>
          <t>LINKÖPING</t>
        </is>
      </c>
      <c r="G68" t="n">
        <v>8</v>
      </c>
      <c r="H68" t="n">
        <v>0</v>
      </c>
      <c r="I68" t="n">
        <v>1</v>
      </c>
      <c r="J68" t="n">
        <v>0</v>
      </c>
      <c r="K68" t="n">
        <v>0</v>
      </c>
      <c r="L68" t="n">
        <v>0</v>
      </c>
      <c r="M68" t="n">
        <v>0</v>
      </c>
      <c r="N68" t="n">
        <v>0</v>
      </c>
      <c r="O68" t="n">
        <v>0</v>
      </c>
      <c r="P68" t="n">
        <v>0</v>
      </c>
      <c r="Q68" t="n">
        <v>1</v>
      </c>
      <c r="R68" s="2" t="inlineStr">
        <is>
          <t>Fällmossa</t>
        </is>
      </c>
      <c r="S68">
        <f>HYPERLINK("https://klasma.github.io/Logging_0580/artfynd/A 59474-2025 artfynd.xlsx", "A 59474-2025")</f>
        <v/>
      </c>
      <c r="T68">
        <f>HYPERLINK("https://klasma.github.io/Logging_0580/kartor/A 59474-2025 karta.png", "A 59474-2025")</f>
        <v/>
      </c>
      <c r="V68">
        <f>HYPERLINK("https://klasma.github.io/Logging_0580/klagomål/A 59474-2025 FSC-klagomål.docx", "A 59474-2025")</f>
        <v/>
      </c>
      <c r="W68">
        <f>HYPERLINK("https://klasma.github.io/Logging_0580/klagomålsmail/A 59474-2025 FSC-klagomål mail.docx", "A 59474-2025")</f>
        <v/>
      </c>
      <c r="X68">
        <f>HYPERLINK("https://klasma.github.io/Logging_0580/tillsyn/A 59474-2025 tillsynsbegäran.docx", "A 59474-2025")</f>
        <v/>
      </c>
      <c r="Y68">
        <f>HYPERLINK("https://klasma.github.io/Logging_0580/tillsynsmail/A 59474-2025 tillsynsbegäran mail.docx", "A 59474-2025")</f>
        <v/>
      </c>
    </row>
    <row r="69" ht="15" customHeight="1">
      <c r="A69" t="inlineStr">
        <is>
          <t>A 60311-2025</t>
        </is>
      </c>
      <c r="B69" s="1" t="n">
        <v>45994</v>
      </c>
      <c r="C69" s="1" t="n">
        <v>46051</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Gammelekslav</t>
        </is>
      </c>
      <c r="S69">
        <f>HYPERLINK("https://klasma.github.io/Logging_0580/artfynd/A 60311-2025 artfynd.xlsx", "A 60311-2025")</f>
        <v/>
      </c>
      <c r="T69">
        <f>HYPERLINK("https://klasma.github.io/Logging_0580/kartor/A 60311-2025 karta.png", "A 60311-2025")</f>
        <v/>
      </c>
      <c r="V69">
        <f>HYPERLINK("https://klasma.github.io/Logging_0580/klagomål/A 60311-2025 FSC-klagomål.docx", "A 60311-2025")</f>
        <v/>
      </c>
      <c r="W69">
        <f>HYPERLINK("https://klasma.github.io/Logging_0580/klagomålsmail/A 60311-2025 FSC-klagomål mail.docx", "A 60311-2025")</f>
        <v/>
      </c>
      <c r="X69">
        <f>HYPERLINK("https://klasma.github.io/Logging_0580/tillsyn/A 60311-2025 tillsynsbegäran.docx", "A 60311-2025")</f>
        <v/>
      </c>
      <c r="Y69">
        <f>HYPERLINK("https://klasma.github.io/Logging_0580/tillsynsmail/A 60311-2025 tillsynsbegäran mail.docx", "A 60311-2025")</f>
        <v/>
      </c>
    </row>
    <row r="70" ht="15" customHeight="1">
      <c r="A70" t="inlineStr">
        <is>
          <t>A 56128-2022</t>
        </is>
      </c>
      <c r="B70" s="1" t="n">
        <v>44889</v>
      </c>
      <c r="C70" s="1" t="n">
        <v>46051</v>
      </c>
      <c r="D70" t="inlineStr">
        <is>
          <t>ÖSTERGÖTLANDS LÄN</t>
        </is>
      </c>
      <c r="E70" t="inlineStr">
        <is>
          <t>LINKÖPING</t>
        </is>
      </c>
      <c r="G70" t="n">
        <v>2</v>
      </c>
      <c r="H70" t="n">
        <v>0</v>
      </c>
      <c r="I70" t="n">
        <v>1</v>
      </c>
      <c r="J70" t="n">
        <v>0</v>
      </c>
      <c r="K70" t="n">
        <v>0</v>
      </c>
      <c r="L70" t="n">
        <v>0</v>
      </c>
      <c r="M70" t="n">
        <v>0</v>
      </c>
      <c r="N70" t="n">
        <v>0</v>
      </c>
      <c r="O70" t="n">
        <v>0</v>
      </c>
      <c r="P70" t="n">
        <v>0</v>
      </c>
      <c r="Q70" t="n">
        <v>1</v>
      </c>
      <c r="R70" s="2" t="inlineStr">
        <is>
          <t>Tibast</t>
        </is>
      </c>
      <c r="S70">
        <f>HYPERLINK("https://klasma.github.io/Logging_0580/artfynd/A 56128-2022 artfynd.xlsx", "A 56128-2022")</f>
        <v/>
      </c>
      <c r="T70">
        <f>HYPERLINK("https://klasma.github.io/Logging_0580/kartor/A 56128-2022 karta.png", "A 56128-2022")</f>
        <v/>
      </c>
      <c r="V70">
        <f>HYPERLINK("https://klasma.github.io/Logging_0580/klagomål/A 56128-2022 FSC-klagomål.docx", "A 56128-2022")</f>
        <v/>
      </c>
      <c r="W70">
        <f>HYPERLINK("https://klasma.github.io/Logging_0580/klagomålsmail/A 56128-2022 FSC-klagomål mail.docx", "A 56128-2022")</f>
        <v/>
      </c>
      <c r="X70">
        <f>HYPERLINK("https://klasma.github.io/Logging_0580/tillsyn/A 56128-2022 tillsynsbegäran.docx", "A 56128-2022")</f>
        <v/>
      </c>
      <c r="Y70">
        <f>HYPERLINK("https://klasma.github.io/Logging_0580/tillsynsmail/A 56128-2022 tillsynsbegäran mail.docx", "A 56128-2022")</f>
        <v/>
      </c>
    </row>
    <row r="71" ht="15" customHeight="1">
      <c r="A71" t="inlineStr">
        <is>
          <t>A 54835-2023</t>
        </is>
      </c>
      <c r="B71" s="1" t="n">
        <v>45236</v>
      </c>
      <c r="C71" s="1" t="n">
        <v>46051</v>
      </c>
      <c r="D71" t="inlineStr">
        <is>
          <t>ÖSTERGÖTLANDS LÄN</t>
        </is>
      </c>
      <c r="E71" t="inlineStr">
        <is>
          <t>LINKÖPING</t>
        </is>
      </c>
      <c r="G71" t="n">
        <v>2</v>
      </c>
      <c r="H71" t="n">
        <v>1</v>
      </c>
      <c r="I71" t="n">
        <v>0</v>
      </c>
      <c r="J71" t="n">
        <v>0</v>
      </c>
      <c r="K71" t="n">
        <v>0</v>
      </c>
      <c r="L71" t="n">
        <v>0</v>
      </c>
      <c r="M71" t="n">
        <v>0</v>
      </c>
      <c r="N71" t="n">
        <v>0</v>
      </c>
      <c r="O71" t="n">
        <v>0</v>
      </c>
      <c r="P71" t="n">
        <v>0</v>
      </c>
      <c r="Q71" t="n">
        <v>1</v>
      </c>
      <c r="R71" s="2" t="inlineStr">
        <is>
          <t>Sparvuggla</t>
        </is>
      </c>
      <c r="S71">
        <f>HYPERLINK("https://klasma.github.io/Logging_0580/artfynd/A 54835-2023 artfynd.xlsx", "A 54835-2023")</f>
        <v/>
      </c>
      <c r="T71">
        <f>HYPERLINK("https://klasma.github.io/Logging_0580/kartor/A 54835-2023 karta.png", "A 54835-2023")</f>
        <v/>
      </c>
      <c r="V71">
        <f>HYPERLINK("https://klasma.github.io/Logging_0580/klagomål/A 54835-2023 FSC-klagomål.docx", "A 54835-2023")</f>
        <v/>
      </c>
      <c r="W71">
        <f>HYPERLINK("https://klasma.github.io/Logging_0580/klagomålsmail/A 54835-2023 FSC-klagomål mail.docx", "A 54835-2023")</f>
        <v/>
      </c>
      <c r="X71">
        <f>HYPERLINK("https://klasma.github.io/Logging_0580/tillsyn/A 54835-2023 tillsynsbegäran.docx", "A 54835-2023")</f>
        <v/>
      </c>
      <c r="Y71">
        <f>HYPERLINK("https://klasma.github.io/Logging_0580/tillsynsmail/A 54835-2023 tillsynsbegäran mail.docx", "A 54835-2023")</f>
        <v/>
      </c>
      <c r="Z71">
        <f>HYPERLINK("https://klasma.github.io/Logging_0580/fåglar/A 54835-2023 prioriterade fågelarter.docx", "A 54835-2023")</f>
        <v/>
      </c>
    </row>
    <row r="72" ht="15" customHeight="1">
      <c r="A72" t="inlineStr">
        <is>
          <t>A 34881-2023</t>
        </is>
      </c>
      <c r="B72" s="1" t="n">
        <v>45140</v>
      </c>
      <c r="C72" s="1" t="n">
        <v>46051</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19103-2021</t>
        </is>
      </c>
      <c r="B73" s="1" t="n">
        <v>44308</v>
      </c>
      <c r="C73" s="1" t="n">
        <v>46051</v>
      </c>
      <c r="D73" t="inlineStr">
        <is>
          <t>ÖSTERGÖTLANDS LÄN</t>
        </is>
      </c>
      <c r="E73" t="inlineStr">
        <is>
          <t>LINKÖPING</t>
        </is>
      </c>
      <c r="G73" t="n">
        <v>4.7</v>
      </c>
      <c r="H73" t="n">
        <v>0</v>
      </c>
      <c r="I73" t="n">
        <v>0</v>
      </c>
      <c r="J73" t="n">
        <v>1</v>
      </c>
      <c r="K73" t="n">
        <v>0</v>
      </c>
      <c r="L73" t="n">
        <v>0</v>
      </c>
      <c r="M73" t="n">
        <v>0</v>
      </c>
      <c r="N73" t="n">
        <v>0</v>
      </c>
      <c r="O73" t="n">
        <v>1</v>
      </c>
      <c r="P73" t="n">
        <v>0</v>
      </c>
      <c r="Q73" t="n">
        <v>1</v>
      </c>
      <c r="R73" s="2" t="inlineStr">
        <is>
          <t>Tallticka</t>
        </is>
      </c>
      <c r="S73">
        <f>HYPERLINK("https://klasma.github.io/Logging_0580/artfynd/A 19103-2021 artfynd.xlsx", "A 19103-2021")</f>
        <v/>
      </c>
      <c r="T73">
        <f>HYPERLINK("https://klasma.github.io/Logging_0580/kartor/A 19103-2021 karta.png", "A 19103-2021")</f>
        <v/>
      </c>
      <c r="V73">
        <f>HYPERLINK("https://klasma.github.io/Logging_0580/klagomål/A 19103-2021 FSC-klagomål.docx", "A 19103-2021")</f>
        <v/>
      </c>
      <c r="W73">
        <f>HYPERLINK("https://klasma.github.io/Logging_0580/klagomålsmail/A 19103-2021 FSC-klagomål mail.docx", "A 19103-2021")</f>
        <v/>
      </c>
      <c r="X73">
        <f>HYPERLINK("https://klasma.github.io/Logging_0580/tillsyn/A 19103-2021 tillsynsbegäran.docx", "A 19103-2021")</f>
        <v/>
      </c>
      <c r="Y73">
        <f>HYPERLINK("https://klasma.github.io/Logging_0580/tillsynsmail/A 19103-2021 tillsynsbegäran mail.docx", "A 19103-2021")</f>
        <v/>
      </c>
    </row>
    <row r="74" ht="15" customHeight="1">
      <c r="A74" t="inlineStr">
        <is>
          <t>A 45317-2023</t>
        </is>
      </c>
      <c r="B74" s="1" t="n">
        <v>45191.74868055555</v>
      </c>
      <c r="C74" s="1" t="n">
        <v>46051</v>
      </c>
      <c r="D74" t="inlineStr">
        <is>
          <t>ÖSTERGÖTLANDS LÄN</t>
        </is>
      </c>
      <c r="E74" t="inlineStr">
        <is>
          <t>LINKÖPING</t>
        </is>
      </c>
      <c r="F74" t="inlineStr">
        <is>
          <t>Allmännings- och besparingsskogar</t>
        </is>
      </c>
      <c r="G74" t="n">
        <v>29.3</v>
      </c>
      <c r="H74" t="n">
        <v>0</v>
      </c>
      <c r="I74" t="n">
        <v>0</v>
      </c>
      <c r="J74" t="n">
        <v>1</v>
      </c>
      <c r="K74" t="n">
        <v>0</v>
      </c>
      <c r="L74" t="n">
        <v>0</v>
      </c>
      <c r="M74" t="n">
        <v>0</v>
      </c>
      <c r="N74" t="n">
        <v>0</v>
      </c>
      <c r="O74" t="n">
        <v>1</v>
      </c>
      <c r="P74" t="n">
        <v>0</v>
      </c>
      <c r="Q74" t="n">
        <v>1</v>
      </c>
      <c r="R74" s="2" t="inlineStr">
        <is>
          <t>Svinrot</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45774.74846064814</v>
      </c>
      <c r="C75" s="1" t="n">
        <v>46051</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37683-2024</t>
        </is>
      </c>
      <c r="B76" s="1" t="n">
        <v>45541.59120370371</v>
      </c>
      <c r="C76" s="1" t="n">
        <v>46051</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35948-2023</t>
        </is>
      </c>
      <c r="B77" s="1" t="n">
        <v>45148</v>
      </c>
      <c r="C77" s="1" t="n">
        <v>46051</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56651-2023</t>
        </is>
      </c>
      <c r="B78" s="1" t="n">
        <v>45243</v>
      </c>
      <c r="C78" s="1" t="n">
        <v>46051</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46051</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46051</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46051</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46051</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17444-2025</t>
        </is>
      </c>
      <c r="B83" s="1" t="n">
        <v>45757.43452546297</v>
      </c>
      <c r="C83" s="1" t="n">
        <v>46051</v>
      </c>
      <c r="D83" t="inlineStr">
        <is>
          <t>ÖSTERGÖTLANDS LÄN</t>
        </is>
      </c>
      <c r="E83" t="inlineStr">
        <is>
          <t>LINKÖPING</t>
        </is>
      </c>
      <c r="G83" t="n">
        <v>1.3</v>
      </c>
      <c r="H83" t="n">
        <v>1</v>
      </c>
      <c r="I83" t="n">
        <v>0</v>
      </c>
      <c r="J83" t="n">
        <v>1</v>
      </c>
      <c r="K83" t="n">
        <v>0</v>
      </c>
      <c r="L83" t="n">
        <v>0</v>
      </c>
      <c r="M83" t="n">
        <v>0</v>
      </c>
      <c r="N83" t="n">
        <v>0</v>
      </c>
      <c r="O83" t="n">
        <v>1</v>
      </c>
      <c r="P83" t="n">
        <v>0</v>
      </c>
      <c r="Q83" t="n">
        <v>1</v>
      </c>
      <c r="R83" s="2" t="inlineStr">
        <is>
          <t>Dårgräsfjäril</t>
        </is>
      </c>
      <c r="S83">
        <f>HYPERLINK("https://klasma.github.io/Logging_0580/artfynd/A 17444-2025 artfynd.xlsx", "A 17444-2025")</f>
        <v/>
      </c>
      <c r="T83">
        <f>HYPERLINK("https://klasma.github.io/Logging_0580/kartor/A 17444-2025 karta.png", "A 17444-2025")</f>
        <v/>
      </c>
      <c r="V83">
        <f>HYPERLINK("https://klasma.github.io/Logging_0580/klagomål/A 17444-2025 FSC-klagomål.docx", "A 17444-2025")</f>
        <v/>
      </c>
      <c r="W83">
        <f>HYPERLINK("https://klasma.github.io/Logging_0580/klagomålsmail/A 17444-2025 FSC-klagomål mail.docx", "A 17444-2025")</f>
        <v/>
      </c>
      <c r="X83">
        <f>HYPERLINK("https://klasma.github.io/Logging_0580/tillsyn/A 17444-2025 tillsynsbegäran.docx", "A 17444-2025")</f>
        <v/>
      </c>
      <c r="Y83">
        <f>HYPERLINK("https://klasma.github.io/Logging_0580/tillsynsmail/A 17444-2025 tillsynsbegäran mail.docx", "A 17444-2025")</f>
        <v/>
      </c>
    </row>
    <row r="84" ht="15" customHeight="1">
      <c r="A84" t="inlineStr">
        <is>
          <t>A 40309-2024</t>
        </is>
      </c>
      <c r="B84" s="1" t="n">
        <v>45554.724375</v>
      </c>
      <c r="C84" s="1" t="n">
        <v>46051</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15290-2025</t>
        </is>
      </c>
      <c r="B85" s="1" t="n">
        <v>45745.45288194445</v>
      </c>
      <c r="C85" s="1" t="n">
        <v>46051</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46051</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931-2025</t>
        </is>
      </c>
      <c r="B87" s="1" t="n">
        <v>45665.88498842593</v>
      </c>
      <c r="C87" s="1" t="n">
        <v>46051</v>
      </c>
      <c r="D87" t="inlineStr">
        <is>
          <t>ÖSTERGÖTLANDS LÄN</t>
        </is>
      </c>
      <c r="E87" t="inlineStr">
        <is>
          <t>LINKÖPING</t>
        </is>
      </c>
      <c r="F87" t="inlineStr">
        <is>
          <t>Övriga Aktiebolag</t>
        </is>
      </c>
      <c r="G87" t="n">
        <v>0.8</v>
      </c>
      <c r="H87" t="n">
        <v>0</v>
      </c>
      <c r="I87" t="n">
        <v>0</v>
      </c>
      <c r="J87" t="n">
        <v>1</v>
      </c>
      <c r="K87" t="n">
        <v>0</v>
      </c>
      <c r="L87" t="n">
        <v>0</v>
      </c>
      <c r="M87" t="n">
        <v>0</v>
      </c>
      <c r="N87" t="n">
        <v>0</v>
      </c>
      <c r="O87" t="n">
        <v>1</v>
      </c>
      <c r="P87" t="n">
        <v>0</v>
      </c>
      <c r="Q87" t="n">
        <v>1</v>
      </c>
      <c r="R87" s="2" t="inlineStr">
        <is>
          <t>Tallticka</t>
        </is>
      </c>
      <c r="S87">
        <f>HYPERLINK("https://klasma.github.io/Logging_0580/artfynd/A 931-2025 artfynd.xlsx", "A 931-2025")</f>
        <v/>
      </c>
      <c r="T87">
        <f>HYPERLINK("https://klasma.github.io/Logging_0580/kartor/A 931-2025 karta.png", "A 931-2025")</f>
        <v/>
      </c>
      <c r="V87">
        <f>HYPERLINK("https://klasma.github.io/Logging_0580/klagomål/A 931-2025 FSC-klagomål.docx", "A 931-2025")</f>
        <v/>
      </c>
      <c r="W87">
        <f>HYPERLINK("https://klasma.github.io/Logging_0580/klagomålsmail/A 931-2025 FSC-klagomål mail.docx", "A 931-2025")</f>
        <v/>
      </c>
      <c r="X87">
        <f>HYPERLINK("https://klasma.github.io/Logging_0580/tillsyn/A 931-2025 tillsynsbegäran.docx", "A 931-2025")</f>
        <v/>
      </c>
      <c r="Y87">
        <f>HYPERLINK("https://klasma.github.io/Logging_0580/tillsynsmail/A 931-2025 tillsynsbegäran mail.docx", "A 931-2025")</f>
        <v/>
      </c>
    </row>
    <row r="88" ht="15" customHeight="1">
      <c r="A88" t="inlineStr">
        <is>
          <t>A 126-2024</t>
        </is>
      </c>
      <c r="B88" s="1" t="n">
        <v>45294</v>
      </c>
      <c r="C88" s="1" t="n">
        <v>46051</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46051</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3397-2023</t>
        </is>
      </c>
      <c r="B90" s="1" t="n">
        <v>44949</v>
      </c>
      <c r="C90" s="1" t="n">
        <v>46051</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41749-2023</t>
        </is>
      </c>
      <c r="B91" s="1" t="n">
        <v>45176</v>
      </c>
      <c r="C91" s="1" t="n">
        <v>46051</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41749-2023 artfynd.xlsx", "A 41749-2023")</f>
        <v/>
      </c>
      <c r="T91">
        <f>HYPERLINK("https://klasma.github.io/Logging_0580/kartor/A 41749-2023 karta.png", "A 41749-2023")</f>
        <v/>
      </c>
      <c r="V91">
        <f>HYPERLINK("https://klasma.github.io/Logging_0580/klagomål/A 41749-2023 FSC-klagomål.docx", "A 41749-2023")</f>
        <v/>
      </c>
      <c r="W91">
        <f>HYPERLINK("https://klasma.github.io/Logging_0580/klagomålsmail/A 41749-2023 FSC-klagomål mail.docx", "A 41749-2023")</f>
        <v/>
      </c>
      <c r="X91">
        <f>HYPERLINK("https://klasma.github.io/Logging_0580/tillsyn/A 41749-2023 tillsynsbegäran.docx", "A 41749-2023")</f>
        <v/>
      </c>
      <c r="Y91">
        <f>HYPERLINK("https://klasma.github.io/Logging_0580/tillsynsmail/A 41749-2023 tillsynsbegäran mail.docx", "A 41749-2023")</f>
        <v/>
      </c>
    </row>
    <row r="92" ht="15" customHeight="1">
      <c r="A92" t="inlineStr">
        <is>
          <t>A 38881-2021</t>
        </is>
      </c>
      <c r="B92" s="1" t="n">
        <v>44411.46893518518</v>
      </c>
      <c r="C92" s="1" t="n">
        <v>46051</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46051</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46051</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46051</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46051</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46051</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46051</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46051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46051</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46051</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46051</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46051</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46051</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46051</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46051</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46051</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46051</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46051</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46051</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46051</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46051</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46051</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46051</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46051</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46051</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46051</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46051</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46051</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46051</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46051</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46051</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46051</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46051</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46051</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46051</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46051</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46051</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46051</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46051</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46051</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46051</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46051</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46051</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46051</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46051</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46051</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46051</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46051</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46051</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46051</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46051</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46051</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46051</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46051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46051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46051</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46051</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46051</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46051</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46051</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46051</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46051</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46051</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46051</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46051</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46051</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46051</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46051</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46051</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46051</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46051</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46051</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46051</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46051</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46051</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46051</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46051</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46051</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46051</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46051</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46051</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46051</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46051</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46051</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46051</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46051</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46051</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46051</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46051</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4929-2021</t>
        </is>
      </c>
      <c r="B181" s="1" t="n">
        <v>44227.57533564815</v>
      </c>
      <c r="C181" s="1" t="n">
        <v>46051</v>
      </c>
      <c r="D181" t="inlineStr">
        <is>
          <t>ÖSTERGÖTLANDS LÄN</t>
        </is>
      </c>
      <c r="E181" t="inlineStr">
        <is>
          <t>LINKÖPING</t>
        </is>
      </c>
      <c r="G181" t="n">
        <v>0.4</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46051</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46051</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46051</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46051</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46051</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33885-2021</t>
        </is>
      </c>
      <c r="B187" s="1" t="n">
        <v>44378</v>
      </c>
      <c r="C187" s="1" t="n">
        <v>46051</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46051</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46051</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46051</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46051</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46051</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46051</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46051</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46051</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46051</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46051</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46051</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46051</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46051</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39021-2021</t>
        </is>
      </c>
      <c r="B201" s="1" t="n">
        <v>44412</v>
      </c>
      <c r="C201" s="1" t="n">
        <v>46051</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10407-2025</t>
        </is>
      </c>
      <c r="B202" s="1" t="n">
        <v>45720.62863425926</v>
      </c>
      <c r="C202" s="1" t="n">
        <v>46051</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51484-2023</t>
        </is>
      </c>
      <c r="B203" s="1" t="n">
        <v>45222</v>
      </c>
      <c r="C203" s="1" t="n">
        <v>46051</v>
      </c>
      <c r="D203" t="inlineStr">
        <is>
          <t>ÖSTERGÖTLANDS LÄN</t>
        </is>
      </c>
      <c r="E203" t="inlineStr">
        <is>
          <t>LINKÖPING</t>
        </is>
      </c>
      <c r="F203" t="inlineStr">
        <is>
          <t>Övriga Aktiebolag</t>
        </is>
      </c>
      <c r="G203" t="n">
        <v>7.7</v>
      </c>
      <c r="H203" t="n">
        <v>0</v>
      </c>
      <c r="I203" t="n">
        <v>0</v>
      </c>
      <c r="J203" t="n">
        <v>0</v>
      </c>
      <c r="K203" t="n">
        <v>0</v>
      </c>
      <c r="L203" t="n">
        <v>0</v>
      </c>
      <c r="M203" t="n">
        <v>0</v>
      </c>
      <c r="N203" t="n">
        <v>0</v>
      </c>
      <c r="O203" t="n">
        <v>0</v>
      </c>
      <c r="P203" t="n">
        <v>0</v>
      </c>
      <c r="Q203" t="n">
        <v>0</v>
      </c>
      <c r="R203" s="2" t="inlineStr"/>
    </row>
    <row r="204" ht="15" customHeight="1">
      <c r="A204" t="inlineStr">
        <is>
          <t>A 63678-2023</t>
        </is>
      </c>
      <c r="B204" s="1" t="n">
        <v>45275.64769675926</v>
      </c>
      <c r="C204" s="1" t="n">
        <v>46051</v>
      </c>
      <c r="D204" t="inlineStr">
        <is>
          <t>ÖSTERGÖTLANDS LÄN</t>
        </is>
      </c>
      <c r="E204" t="inlineStr">
        <is>
          <t>LINKÖPING</t>
        </is>
      </c>
      <c r="F204" t="inlineStr">
        <is>
          <t>Övriga Aktiebolag</t>
        </is>
      </c>
      <c r="G204" t="n">
        <v>0.4</v>
      </c>
      <c r="H204" t="n">
        <v>0</v>
      </c>
      <c r="I204" t="n">
        <v>0</v>
      </c>
      <c r="J204" t="n">
        <v>0</v>
      </c>
      <c r="K204" t="n">
        <v>0</v>
      </c>
      <c r="L204" t="n">
        <v>0</v>
      </c>
      <c r="M204" t="n">
        <v>0</v>
      </c>
      <c r="N204" t="n">
        <v>0</v>
      </c>
      <c r="O204" t="n">
        <v>0</v>
      </c>
      <c r="P204" t="n">
        <v>0</v>
      </c>
      <c r="Q204" t="n">
        <v>0</v>
      </c>
      <c r="R204" s="2" t="inlineStr"/>
    </row>
    <row r="205" ht="15" customHeight="1">
      <c r="A205" t="inlineStr">
        <is>
          <t>A 63688-2023</t>
        </is>
      </c>
      <c r="B205" s="1" t="n">
        <v>45275</v>
      </c>
      <c r="C205" s="1" t="n">
        <v>46051</v>
      </c>
      <c r="D205" t="inlineStr">
        <is>
          <t>ÖSTERGÖTLANDS LÄN</t>
        </is>
      </c>
      <c r="E205" t="inlineStr">
        <is>
          <t>LINKÖPING</t>
        </is>
      </c>
      <c r="F205" t="inlineStr">
        <is>
          <t>Övriga Aktiebolag</t>
        </is>
      </c>
      <c r="G205" t="n">
        <v>2.4</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46051</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63691-2023</t>
        </is>
      </c>
      <c r="B207" s="1" t="n">
        <v>45275</v>
      </c>
      <c r="C207" s="1" t="n">
        <v>46051</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34557-2022</t>
        </is>
      </c>
      <c r="B208" s="1" t="n">
        <v>44794.57074074074</v>
      </c>
      <c r="C208" s="1" t="n">
        <v>46051</v>
      </c>
      <c r="D208" t="inlineStr">
        <is>
          <t>ÖSTERGÖTLANDS LÄN</t>
        </is>
      </c>
      <c r="E208" t="inlineStr">
        <is>
          <t>LINKÖPING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46051</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13689-2025</t>
        </is>
      </c>
      <c r="B210" s="1" t="n">
        <v>45737.31590277778</v>
      </c>
      <c r="C210" s="1" t="n">
        <v>46051</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13696-2025</t>
        </is>
      </c>
      <c r="B211" s="1" t="n">
        <v>45737.32273148148</v>
      </c>
      <c r="C211" s="1" t="n">
        <v>46051</v>
      </c>
      <c r="D211" t="inlineStr">
        <is>
          <t>ÖSTERGÖTLANDS LÄN</t>
        </is>
      </c>
      <c r="E211" t="inlineStr">
        <is>
          <t>LINKÖPING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12428-2024</t>
        </is>
      </c>
      <c r="B212" s="1" t="n">
        <v>45379</v>
      </c>
      <c r="C212" s="1" t="n">
        <v>46051</v>
      </c>
      <c r="D212" t="inlineStr">
        <is>
          <t>ÖSTERGÖTLANDS LÄN</t>
        </is>
      </c>
      <c r="E212" t="inlineStr">
        <is>
          <t>LINKÖPING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46051</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54428-2022</t>
        </is>
      </c>
      <c r="B214" s="1" t="n">
        <v>44882.57643518518</v>
      </c>
      <c r="C214" s="1" t="n">
        <v>46051</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48962-2022</t>
        </is>
      </c>
      <c r="B215" s="1" t="n">
        <v>44860.31635416667</v>
      </c>
      <c r="C215" s="1" t="n">
        <v>46051</v>
      </c>
      <c r="D215" t="inlineStr">
        <is>
          <t>ÖSTERGÖTLANDS LÄN</t>
        </is>
      </c>
      <c r="E215" t="inlineStr">
        <is>
          <t>LINKÖPING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53647-2021</t>
        </is>
      </c>
      <c r="B216" s="1" t="n">
        <v>44469</v>
      </c>
      <c r="C216" s="1" t="n">
        <v>46051</v>
      </c>
      <c r="D216" t="inlineStr">
        <is>
          <t>ÖSTERGÖTLANDS LÄN</t>
        </is>
      </c>
      <c r="E216" t="inlineStr">
        <is>
          <t>LINKÖPING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22772-2024</t>
        </is>
      </c>
      <c r="B217" s="1" t="n">
        <v>45448.46712962963</v>
      </c>
      <c r="C217" s="1" t="n">
        <v>46051</v>
      </c>
      <c r="D217" t="inlineStr">
        <is>
          <t>ÖSTERGÖTLANDS LÄN</t>
        </is>
      </c>
      <c r="E217" t="inlineStr">
        <is>
          <t>LINKÖPING</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18916-2024</t>
        </is>
      </c>
      <c r="B218" s="1" t="n">
        <v>45427.39541666667</v>
      </c>
      <c r="C218" s="1" t="n">
        <v>46051</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11790-2024</t>
        </is>
      </c>
      <c r="B219" s="1" t="n">
        <v>45374</v>
      </c>
      <c r="C219" s="1" t="n">
        <v>46051</v>
      </c>
      <c r="D219" t="inlineStr">
        <is>
          <t>ÖSTERGÖTLANDS LÄN</t>
        </is>
      </c>
      <c r="E219" t="inlineStr">
        <is>
          <t>LINKÖPING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24586-2024</t>
        </is>
      </c>
      <c r="B220" s="1" t="n">
        <v>45460.46664351852</v>
      </c>
      <c r="C220" s="1" t="n">
        <v>46051</v>
      </c>
      <c r="D220" t="inlineStr">
        <is>
          <t>ÖSTERGÖTLANDS LÄN</t>
        </is>
      </c>
      <c r="E220" t="inlineStr">
        <is>
          <t>LINKÖPING</t>
        </is>
      </c>
      <c r="G220" t="n">
        <v>4</v>
      </c>
      <c r="H220" t="n">
        <v>0</v>
      </c>
      <c r="I220" t="n">
        <v>0</v>
      </c>
      <c r="J220" t="n">
        <v>0</v>
      </c>
      <c r="K220" t="n">
        <v>0</v>
      </c>
      <c r="L220" t="n">
        <v>0</v>
      </c>
      <c r="M220" t="n">
        <v>0</v>
      </c>
      <c r="N220" t="n">
        <v>0</v>
      </c>
      <c r="O220" t="n">
        <v>0</v>
      </c>
      <c r="P220" t="n">
        <v>0</v>
      </c>
      <c r="Q220" t="n">
        <v>0</v>
      </c>
      <c r="R220" s="2" t="inlineStr"/>
    </row>
    <row r="221" ht="15" customHeight="1">
      <c r="A221" t="inlineStr">
        <is>
          <t>A 16820-2024</t>
        </is>
      </c>
      <c r="B221" s="1" t="n">
        <v>45411.46809027778</v>
      </c>
      <c r="C221" s="1" t="n">
        <v>46051</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17124-2025</t>
        </is>
      </c>
      <c r="B222" s="1" t="n">
        <v>45755.69678240741</v>
      </c>
      <c r="C222" s="1" t="n">
        <v>46051</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17126-2025</t>
        </is>
      </c>
      <c r="B223" s="1" t="n">
        <v>45755.70814814815</v>
      </c>
      <c r="C223" s="1" t="n">
        <v>46051</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17143-2025</t>
        </is>
      </c>
      <c r="B224" s="1" t="n">
        <v>45755.92731481481</v>
      </c>
      <c r="C224" s="1" t="n">
        <v>46051</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30980-2022</t>
        </is>
      </c>
      <c r="B225" s="1" t="n">
        <v>44768</v>
      </c>
      <c r="C225" s="1" t="n">
        <v>46051</v>
      </c>
      <c r="D225" t="inlineStr">
        <is>
          <t>ÖSTERGÖTLANDS LÄN</t>
        </is>
      </c>
      <c r="E225" t="inlineStr">
        <is>
          <t>LINKÖPING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46051</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49979-2022</t>
        </is>
      </c>
      <c r="B227" s="1" t="n">
        <v>44865</v>
      </c>
      <c r="C227" s="1" t="n">
        <v>46051</v>
      </c>
      <c r="D227" t="inlineStr">
        <is>
          <t>ÖSTERGÖTLANDS LÄN</t>
        </is>
      </c>
      <c r="E227" t="inlineStr">
        <is>
          <t>LINKÖPING</t>
        </is>
      </c>
      <c r="F227" t="inlineStr">
        <is>
          <t>Övriga Aktiebolag</t>
        </is>
      </c>
      <c r="G227" t="n">
        <v>11.4</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46051</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46051</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53827-2023</t>
        </is>
      </c>
      <c r="B230" s="1" t="n">
        <v>45230</v>
      </c>
      <c r="C230" s="1" t="n">
        <v>46051</v>
      </c>
      <c r="D230" t="inlineStr">
        <is>
          <t>ÖSTERGÖTLANDS LÄN</t>
        </is>
      </c>
      <c r="E230" t="inlineStr">
        <is>
          <t>LINKÖPING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46051</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46051</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940-2023</t>
        </is>
      </c>
      <c r="B233" s="1" t="n">
        <v>44933</v>
      </c>
      <c r="C233" s="1" t="n">
        <v>46051</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3530-2024</t>
        </is>
      </c>
      <c r="B234" s="1" t="n">
        <v>45320.54717592592</v>
      </c>
      <c r="C234" s="1" t="n">
        <v>46051</v>
      </c>
      <c r="D234" t="inlineStr">
        <is>
          <t>ÖSTERGÖTLANDS LÄN</t>
        </is>
      </c>
      <c r="E234" t="inlineStr">
        <is>
          <t>LINKÖPING</t>
        </is>
      </c>
      <c r="G234" t="n">
        <v>1.5</v>
      </c>
      <c r="H234" t="n">
        <v>0</v>
      </c>
      <c r="I234" t="n">
        <v>0</v>
      </c>
      <c r="J234" t="n">
        <v>0</v>
      </c>
      <c r="K234" t="n">
        <v>0</v>
      </c>
      <c r="L234" t="n">
        <v>0</v>
      </c>
      <c r="M234" t="n">
        <v>0</v>
      </c>
      <c r="N234" t="n">
        <v>0</v>
      </c>
      <c r="O234" t="n">
        <v>0</v>
      </c>
      <c r="P234" t="n">
        <v>0</v>
      </c>
      <c r="Q234" t="n">
        <v>0</v>
      </c>
      <c r="R234" s="2" t="inlineStr"/>
    </row>
    <row r="235" ht="15" customHeight="1">
      <c r="A235" t="inlineStr">
        <is>
          <t>A 7992-2023</t>
        </is>
      </c>
      <c r="B235" s="1" t="n">
        <v>44970</v>
      </c>
      <c r="C235" s="1" t="n">
        <v>46051</v>
      </c>
      <c r="D235" t="inlineStr">
        <is>
          <t>ÖSTERGÖTLANDS LÄN</t>
        </is>
      </c>
      <c r="E235" t="inlineStr">
        <is>
          <t>LINKÖPING</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55345-2021</t>
        </is>
      </c>
      <c r="B236" s="1" t="n">
        <v>44475</v>
      </c>
      <c r="C236" s="1" t="n">
        <v>46051</v>
      </c>
      <c r="D236" t="inlineStr">
        <is>
          <t>ÖSTERGÖTLANDS LÄN</t>
        </is>
      </c>
      <c r="E236" t="inlineStr">
        <is>
          <t>LINKÖPING</t>
        </is>
      </c>
      <c r="G236" t="n">
        <v>5.7</v>
      </c>
      <c r="H236" t="n">
        <v>0</v>
      </c>
      <c r="I236" t="n">
        <v>0</v>
      </c>
      <c r="J236" t="n">
        <v>0</v>
      </c>
      <c r="K236" t="n">
        <v>0</v>
      </c>
      <c r="L236" t="n">
        <v>0</v>
      </c>
      <c r="M236" t="n">
        <v>0</v>
      </c>
      <c r="N236" t="n">
        <v>0</v>
      </c>
      <c r="O236" t="n">
        <v>0</v>
      </c>
      <c r="P236" t="n">
        <v>0</v>
      </c>
      <c r="Q236" t="n">
        <v>0</v>
      </c>
      <c r="R236" s="2" t="inlineStr"/>
    </row>
    <row r="237" ht="15" customHeight="1">
      <c r="A237" t="inlineStr">
        <is>
          <t>A 63489-2023</t>
        </is>
      </c>
      <c r="B237" s="1" t="n">
        <v>45274.66761574074</v>
      </c>
      <c r="C237" s="1" t="n">
        <v>46051</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62686-2023</t>
        </is>
      </c>
      <c r="B238" s="1" t="n">
        <v>45271</v>
      </c>
      <c r="C238" s="1" t="n">
        <v>46051</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6782-2024</t>
        </is>
      </c>
      <c r="B239" s="1" t="n">
        <v>45342</v>
      </c>
      <c r="C239" s="1" t="n">
        <v>46051</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70-2024</t>
        </is>
      </c>
      <c r="B240" s="1" t="n">
        <v>45293</v>
      </c>
      <c r="C240" s="1" t="n">
        <v>46051</v>
      </c>
      <c r="D240" t="inlineStr">
        <is>
          <t>ÖSTERGÖTLANDS LÄN</t>
        </is>
      </c>
      <c r="E240" t="inlineStr">
        <is>
          <t>LINKÖPING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617-2024</t>
        </is>
      </c>
      <c r="B241" s="1" t="n">
        <v>45299.66028935185</v>
      </c>
      <c r="C241" s="1" t="n">
        <v>46051</v>
      </c>
      <c r="D241" t="inlineStr">
        <is>
          <t>ÖSTERGÖTLANDS LÄN</t>
        </is>
      </c>
      <c r="E241" t="inlineStr">
        <is>
          <t>LINKÖPING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670-2024</t>
        </is>
      </c>
      <c r="B242" s="1" t="n">
        <v>45300.3408912037</v>
      </c>
      <c r="C242" s="1" t="n">
        <v>46051</v>
      </c>
      <c r="D242" t="inlineStr">
        <is>
          <t>ÖSTERGÖTLANDS LÄN</t>
        </is>
      </c>
      <c r="E242" t="inlineStr">
        <is>
          <t>LINKÖPING</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52125-2022</t>
        </is>
      </c>
      <c r="B243" s="1" t="n">
        <v>44873</v>
      </c>
      <c r="C243" s="1" t="n">
        <v>46051</v>
      </c>
      <c r="D243" t="inlineStr">
        <is>
          <t>ÖSTERGÖTLANDS LÄN</t>
        </is>
      </c>
      <c r="E243" t="inlineStr">
        <is>
          <t>LINKÖPING</t>
        </is>
      </c>
      <c r="F243" t="inlineStr">
        <is>
          <t>Övriga Aktiebolag</t>
        </is>
      </c>
      <c r="G243" t="n">
        <v>0.7</v>
      </c>
      <c r="H243" t="n">
        <v>0</v>
      </c>
      <c r="I243" t="n">
        <v>0</v>
      </c>
      <c r="J243" t="n">
        <v>0</v>
      </c>
      <c r="K243" t="n">
        <v>0</v>
      </c>
      <c r="L243" t="n">
        <v>0</v>
      </c>
      <c r="M243" t="n">
        <v>0</v>
      </c>
      <c r="N243" t="n">
        <v>0</v>
      </c>
      <c r="O243" t="n">
        <v>0</v>
      </c>
      <c r="P243" t="n">
        <v>0</v>
      </c>
      <c r="Q243" t="n">
        <v>0</v>
      </c>
      <c r="R243" s="2" t="inlineStr"/>
    </row>
    <row r="244" ht="15" customHeight="1">
      <c r="A244" t="inlineStr">
        <is>
          <t>A 1084-2023</t>
        </is>
      </c>
      <c r="B244" s="1" t="n">
        <v>44929</v>
      </c>
      <c r="C244" s="1" t="n">
        <v>46051</v>
      </c>
      <c r="D244" t="inlineStr">
        <is>
          <t>ÖSTERGÖTLANDS LÄN</t>
        </is>
      </c>
      <c r="E244" t="inlineStr">
        <is>
          <t>LINKÖPING</t>
        </is>
      </c>
      <c r="G244" t="n">
        <v>10.4</v>
      </c>
      <c r="H244" t="n">
        <v>0</v>
      </c>
      <c r="I244" t="n">
        <v>0</v>
      </c>
      <c r="J244" t="n">
        <v>0</v>
      </c>
      <c r="K244" t="n">
        <v>0</v>
      </c>
      <c r="L244" t="n">
        <v>0</v>
      </c>
      <c r="M244" t="n">
        <v>0</v>
      </c>
      <c r="N244" t="n">
        <v>0</v>
      </c>
      <c r="O244" t="n">
        <v>0</v>
      </c>
      <c r="P244" t="n">
        <v>0</v>
      </c>
      <c r="Q244" t="n">
        <v>0</v>
      </c>
      <c r="R244" s="2" t="inlineStr"/>
    </row>
    <row r="245" ht="15" customHeight="1">
      <c r="A245" t="inlineStr">
        <is>
          <t>A 39017-2021</t>
        </is>
      </c>
      <c r="B245" s="1" t="n">
        <v>44412</v>
      </c>
      <c r="C245" s="1" t="n">
        <v>46051</v>
      </c>
      <c r="D245" t="inlineStr">
        <is>
          <t>ÖSTERGÖTLANDS LÄN</t>
        </is>
      </c>
      <c r="E245" t="inlineStr">
        <is>
          <t>LINKÖPING</t>
        </is>
      </c>
      <c r="F245" t="inlineStr">
        <is>
          <t>Övriga statliga verk och myndigheter</t>
        </is>
      </c>
      <c r="G245" t="n">
        <v>0.8</v>
      </c>
      <c r="H245" t="n">
        <v>0</v>
      </c>
      <c r="I245" t="n">
        <v>0</v>
      </c>
      <c r="J245" t="n">
        <v>0</v>
      </c>
      <c r="K245" t="n">
        <v>0</v>
      </c>
      <c r="L245" t="n">
        <v>0</v>
      </c>
      <c r="M245" t="n">
        <v>0</v>
      </c>
      <c r="N245" t="n">
        <v>0</v>
      </c>
      <c r="O245" t="n">
        <v>0</v>
      </c>
      <c r="P245" t="n">
        <v>0</v>
      </c>
      <c r="Q245" t="n">
        <v>0</v>
      </c>
      <c r="R245" s="2" t="inlineStr"/>
    </row>
    <row r="246" ht="15" customHeight="1">
      <c r="A246" t="inlineStr">
        <is>
          <t>A 29859-2024</t>
        </is>
      </c>
      <c r="B246" s="1" t="n">
        <v>45485.6846412037</v>
      </c>
      <c r="C246" s="1" t="n">
        <v>46051</v>
      </c>
      <c r="D246" t="inlineStr">
        <is>
          <t>ÖSTERGÖTLANDS LÄN</t>
        </is>
      </c>
      <c r="E246" t="inlineStr">
        <is>
          <t>LINKÖPING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51571-2024</t>
        </is>
      </c>
      <c r="B247" s="1" t="n">
        <v>45604</v>
      </c>
      <c r="C247" s="1" t="n">
        <v>46051</v>
      </c>
      <c r="D247" t="inlineStr">
        <is>
          <t>ÖSTERGÖTLANDS LÄN</t>
        </is>
      </c>
      <c r="E247" t="inlineStr">
        <is>
          <t>LINKÖPING</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223-2024</t>
        </is>
      </c>
      <c r="B248" s="1" t="n">
        <v>45294.72739583333</v>
      </c>
      <c r="C248" s="1" t="n">
        <v>46051</v>
      </c>
      <c r="D248" t="inlineStr">
        <is>
          <t>ÖSTERGÖTLANDS LÄN</t>
        </is>
      </c>
      <c r="E248" t="inlineStr">
        <is>
          <t>LINKÖPING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227-2024</t>
        </is>
      </c>
      <c r="B249" s="1" t="n">
        <v>45294.73603009259</v>
      </c>
      <c r="C249" s="1" t="n">
        <v>46051</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56917-2022</t>
        </is>
      </c>
      <c r="B250" s="1" t="n">
        <v>44894</v>
      </c>
      <c r="C250" s="1" t="n">
        <v>46051</v>
      </c>
      <c r="D250" t="inlineStr">
        <is>
          <t>ÖSTERGÖTLANDS LÄN</t>
        </is>
      </c>
      <c r="E250" t="inlineStr">
        <is>
          <t>LINKÖPING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25996-2025</t>
        </is>
      </c>
      <c r="B251" s="1" t="n">
        <v>45804.65851851852</v>
      </c>
      <c r="C251" s="1" t="n">
        <v>46051</v>
      </c>
      <c r="D251" t="inlineStr">
        <is>
          <t>ÖSTERGÖTLANDS LÄN</t>
        </is>
      </c>
      <c r="E251" t="inlineStr">
        <is>
          <t>LINKÖPING</t>
        </is>
      </c>
      <c r="G251" t="n">
        <v>3.2</v>
      </c>
      <c r="H251" t="n">
        <v>0</v>
      </c>
      <c r="I251" t="n">
        <v>0</v>
      </c>
      <c r="J251" t="n">
        <v>0</v>
      </c>
      <c r="K251" t="n">
        <v>0</v>
      </c>
      <c r="L251" t="n">
        <v>0</v>
      </c>
      <c r="M251" t="n">
        <v>0</v>
      </c>
      <c r="N251" t="n">
        <v>0</v>
      </c>
      <c r="O251" t="n">
        <v>0</v>
      </c>
      <c r="P251" t="n">
        <v>0</v>
      </c>
      <c r="Q251" t="n">
        <v>0</v>
      </c>
      <c r="R251" s="2" t="inlineStr"/>
    </row>
    <row r="252" ht="15" customHeight="1">
      <c r="A252" t="inlineStr">
        <is>
          <t>A 55345-2021</t>
        </is>
      </c>
      <c r="B252" s="1" t="n">
        <v>44475</v>
      </c>
      <c r="C252" s="1" t="n">
        <v>46051</v>
      </c>
      <c r="D252" t="inlineStr">
        <is>
          <t>ÖSTERGÖTLANDS LÄN</t>
        </is>
      </c>
      <c r="E252" t="inlineStr">
        <is>
          <t>LINKÖPING</t>
        </is>
      </c>
      <c r="G252" t="n">
        <v>5.7</v>
      </c>
      <c r="H252" t="n">
        <v>0</v>
      </c>
      <c r="I252" t="n">
        <v>0</v>
      </c>
      <c r="J252" t="n">
        <v>0</v>
      </c>
      <c r="K252" t="n">
        <v>0</v>
      </c>
      <c r="L252" t="n">
        <v>0</v>
      </c>
      <c r="M252" t="n">
        <v>0</v>
      </c>
      <c r="N252" t="n">
        <v>0</v>
      </c>
      <c r="O252" t="n">
        <v>0</v>
      </c>
      <c r="P252" t="n">
        <v>0</v>
      </c>
      <c r="Q252" t="n">
        <v>0</v>
      </c>
      <c r="R252" s="2" t="inlineStr"/>
    </row>
    <row r="253" ht="15" customHeight="1">
      <c r="A253" t="inlineStr">
        <is>
          <t>A 26002-2025</t>
        </is>
      </c>
      <c r="B253" s="1" t="n">
        <v>45804.66534722222</v>
      </c>
      <c r="C253" s="1" t="n">
        <v>46051</v>
      </c>
      <c r="D253" t="inlineStr">
        <is>
          <t>ÖSTERGÖTLANDS LÄN</t>
        </is>
      </c>
      <c r="E253" t="inlineStr">
        <is>
          <t>LINKÖPING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1265-2023</t>
        </is>
      </c>
      <c r="B254" s="1" t="n">
        <v>44936</v>
      </c>
      <c r="C254" s="1" t="n">
        <v>46051</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1362-2023</t>
        </is>
      </c>
      <c r="B255" s="1" t="n">
        <v>44931</v>
      </c>
      <c r="C255" s="1" t="n">
        <v>46051</v>
      </c>
      <c r="D255" t="inlineStr">
        <is>
          <t>ÖSTERGÖTLANDS LÄN</t>
        </is>
      </c>
      <c r="E255" t="inlineStr">
        <is>
          <t>LINKÖPING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54034-2022</t>
        </is>
      </c>
      <c r="B256" s="1" t="n">
        <v>44881</v>
      </c>
      <c r="C256" s="1" t="n">
        <v>46051</v>
      </c>
      <c r="D256" t="inlineStr">
        <is>
          <t>ÖSTERGÖTLANDS LÄN</t>
        </is>
      </c>
      <c r="E256" t="inlineStr">
        <is>
          <t>LINKÖPING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55493-2021</t>
        </is>
      </c>
      <c r="B257" s="1" t="n">
        <v>44475.61988425926</v>
      </c>
      <c r="C257" s="1" t="n">
        <v>46051</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61281-2021</t>
        </is>
      </c>
      <c r="B258" s="1" t="n">
        <v>44498.60736111111</v>
      </c>
      <c r="C258" s="1" t="n">
        <v>46051</v>
      </c>
      <c r="D258" t="inlineStr">
        <is>
          <t>ÖSTERGÖTLANDS LÄN</t>
        </is>
      </c>
      <c r="E258" t="inlineStr">
        <is>
          <t>LINKÖPING</t>
        </is>
      </c>
      <c r="G258" t="n">
        <v>4.5</v>
      </c>
      <c r="H258" t="n">
        <v>0</v>
      </c>
      <c r="I258" t="n">
        <v>0</v>
      </c>
      <c r="J258" t="n">
        <v>0</v>
      </c>
      <c r="K258" t="n">
        <v>0</v>
      </c>
      <c r="L258" t="n">
        <v>0</v>
      </c>
      <c r="M258" t="n">
        <v>0</v>
      </c>
      <c r="N258" t="n">
        <v>0</v>
      </c>
      <c r="O258" t="n">
        <v>0</v>
      </c>
      <c r="P258" t="n">
        <v>0</v>
      </c>
      <c r="Q258" t="n">
        <v>0</v>
      </c>
      <c r="R258" s="2" t="inlineStr"/>
    </row>
    <row r="259" ht="15" customHeight="1">
      <c r="A259" t="inlineStr">
        <is>
          <t>A 63935-2021</t>
        </is>
      </c>
      <c r="B259" s="1" t="n">
        <v>44509</v>
      </c>
      <c r="C259" s="1" t="n">
        <v>46051</v>
      </c>
      <c r="D259" t="inlineStr">
        <is>
          <t>ÖSTERGÖTLANDS LÄN</t>
        </is>
      </c>
      <c r="E259" t="inlineStr">
        <is>
          <t>LINKÖPING</t>
        </is>
      </c>
      <c r="F259" t="inlineStr">
        <is>
          <t>Övriga statliga verk och myndigheter</t>
        </is>
      </c>
      <c r="G259" t="n">
        <v>2.8</v>
      </c>
      <c r="H259" t="n">
        <v>0</v>
      </c>
      <c r="I259" t="n">
        <v>0</v>
      </c>
      <c r="J259" t="n">
        <v>0</v>
      </c>
      <c r="K259" t="n">
        <v>0</v>
      </c>
      <c r="L259" t="n">
        <v>0</v>
      </c>
      <c r="M259" t="n">
        <v>0</v>
      </c>
      <c r="N259" t="n">
        <v>0</v>
      </c>
      <c r="O259" t="n">
        <v>0</v>
      </c>
      <c r="P259" t="n">
        <v>0</v>
      </c>
      <c r="Q259" t="n">
        <v>0</v>
      </c>
      <c r="R259" s="2" t="inlineStr"/>
    </row>
    <row r="260" ht="15" customHeight="1">
      <c r="A260" t="inlineStr">
        <is>
          <t>A 25292-2021</t>
        </is>
      </c>
      <c r="B260" s="1" t="n">
        <v>44342</v>
      </c>
      <c r="C260" s="1" t="n">
        <v>46051</v>
      </c>
      <c r="D260" t="inlineStr">
        <is>
          <t>ÖSTERGÖTLANDS LÄN</t>
        </is>
      </c>
      <c r="E260" t="inlineStr">
        <is>
          <t>LINKÖPING</t>
        </is>
      </c>
      <c r="F260" t="inlineStr">
        <is>
          <t>Övriga Aktiebolag</t>
        </is>
      </c>
      <c r="G260" t="n">
        <v>12.8</v>
      </c>
      <c r="H260" t="n">
        <v>0</v>
      </c>
      <c r="I260" t="n">
        <v>0</v>
      </c>
      <c r="J260" t="n">
        <v>0</v>
      </c>
      <c r="K260" t="n">
        <v>0</v>
      </c>
      <c r="L260" t="n">
        <v>0</v>
      </c>
      <c r="M260" t="n">
        <v>0</v>
      </c>
      <c r="N260" t="n">
        <v>0</v>
      </c>
      <c r="O260" t="n">
        <v>0</v>
      </c>
      <c r="P260" t="n">
        <v>0</v>
      </c>
      <c r="Q260" t="n">
        <v>0</v>
      </c>
      <c r="R260" s="2" t="inlineStr"/>
    </row>
    <row r="261" ht="15" customHeight="1">
      <c r="A261" t="inlineStr">
        <is>
          <t>A 6054-2022</t>
        </is>
      </c>
      <c r="B261" s="1" t="n">
        <v>44599.53623842593</v>
      </c>
      <c r="C261" s="1" t="n">
        <v>46051</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25119-2023</t>
        </is>
      </c>
      <c r="B262" s="1" t="n">
        <v>45086.42326388889</v>
      </c>
      <c r="C262" s="1" t="n">
        <v>46051</v>
      </c>
      <c r="D262" t="inlineStr">
        <is>
          <t>ÖSTERGÖTLANDS LÄN</t>
        </is>
      </c>
      <c r="E262" t="inlineStr">
        <is>
          <t>LINKÖPING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4456-2024</t>
        </is>
      </c>
      <c r="B263" s="1" t="n">
        <v>45327.52847222222</v>
      </c>
      <c r="C263" s="1" t="n">
        <v>46051</v>
      </c>
      <c r="D263" t="inlineStr">
        <is>
          <t>ÖSTERGÖTLANDS LÄN</t>
        </is>
      </c>
      <c r="E263" t="inlineStr">
        <is>
          <t>LINKÖPING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58114-2021</t>
        </is>
      </c>
      <c r="B264" s="1" t="n">
        <v>44487</v>
      </c>
      <c r="C264" s="1" t="n">
        <v>46051</v>
      </c>
      <c r="D264" t="inlineStr">
        <is>
          <t>ÖSTERGÖTLANDS LÄN</t>
        </is>
      </c>
      <c r="E264" t="inlineStr">
        <is>
          <t>LINKÖPING</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39074-2025</t>
        </is>
      </c>
      <c r="B265" s="1" t="n">
        <v>45888</v>
      </c>
      <c r="C265" s="1" t="n">
        <v>46051</v>
      </c>
      <c r="D265" t="inlineStr">
        <is>
          <t>ÖSTERGÖTLANDS LÄN</t>
        </is>
      </c>
      <c r="E265" t="inlineStr">
        <is>
          <t>LINKÖPING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52892-2024</t>
        </is>
      </c>
      <c r="B266" s="1" t="n">
        <v>45610</v>
      </c>
      <c r="C266" s="1" t="n">
        <v>46051</v>
      </c>
      <c r="D266" t="inlineStr">
        <is>
          <t>ÖSTERGÖTLANDS LÄN</t>
        </is>
      </c>
      <c r="E266" t="inlineStr">
        <is>
          <t>LINKÖPING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38971-2025</t>
        </is>
      </c>
      <c r="B267" s="1" t="n">
        <v>45887.71827546296</v>
      </c>
      <c r="C267" s="1" t="n">
        <v>46051</v>
      </c>
      <c r="D267" t="inlineStr">
        <is>
          <t>ÖSTERGÖTLANDS LÄN</t>
        </is>
      </c>
      <c r="E267" t="inlineStr">
        <is>
          <t>LINKÖPING</t>
        </is>
      </c>
      <c r="G267" t="n">
        <v>3.9</v>
      </c>
      <c r="H267" t="n">
        <v>0</v>
      </c>
      <c r="I267" t="n">
        <v>0</v>
      </c>
      <c r="J267" t="n">
        <v>0</v>
      </c>
      <c r="K267" t="n">
        <v>0</v>
      </c>
      <c r="L267" t="n">
        <v>0</v>
      </c>
      <c r="M267" t="n">
        <v>0</v>
      </c>
      <c r="N267" t="n">
        <v>0</v>
      </c>
      <c r="O267" t="n">
        <v>0</v>
      </c>
      <c r="P267" t="n">
        <v>0</v>
      </c>
      <c r="Q267" t="n">
        <v>0</v>
      </c>
      <c r="R267" s="2" t="inlineStr"/>
    </row>
    <row r="268" ht="15" customHeight="1">
      <c r="A268" t="inlineStr">
        <is>
          <t>A 72567-2021</t>
        </is>
      </c>
      <c r="B268" s="1" t="n">
        <v>44546.45023148148</v>
      </c>
      <c r="C268" s="1" t="n">
        <v>46051</v>
      </c>
      <c r="D268" t="inlineStr">
        <is>
          <t>ÖSTERGÖTLANDS LÄN</t>
        </is>
      </c>
      <c r="E268" t="inlineStr">
        <is>
          <t>LINKÖPING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3008-2023</t>
        </is>
      </c>
      <c r="B269" s="1" t="n">
        <v>44945.79784722222</v>
      </c>
      <c r="C269" s="1" t="n">
        <v>46051</v>
      </c>
      <c r="D269" t="inlineStr">
        <is>
          <t>ÖSTERGÖTLANDS LÄN</t>
        </is>
      </c>
      <c r="E269" t="inlineStr">
        <is>
          <t>LINKÖPING</t>
        </is>
      </c>
      <c r="G269" t="n">
        <v>19.3</v>
      </c>
      <c r="H269" t="n">
        <v>0</v>
      </c>
      <c r="I269" t="n">
        <v>0</v>
      </c>
      <c r="J269" t="n">
        <v>0</v>
      </c>
      <c r="K269" t="n">
        <v>0</v>
      </c>
      <c r="L269" t="n">
        <v>0</v>
      </c>
      <c r="M269" t="n">
        <v>0</v>
      </c>
      <c r="N269" t="n">
        <v>0</v>
      </c>
      <c r="O269" t="n">
        <v>0</v>
      </c>
      <c r="P269" t="n">
        <v>0</v>
      </c>
      <c r="Q269" t="n">
        <v>0</v>
      </c>
      <c r="R269" s="2" t="inlineStr"/>
    </row>
    <row r="270" ht="15" customHeight="1">
      <c r="A270" t="inlineStr">
        <is>
          <t>A 27264-2025</t>
        </is>
      </c>
      <c r="B270" s="1" t="n">
        <v>45812.4794212963</v>
      </c>
      <c r="C270" s="1" t="n">
        <v>46051</v>
      </c>
      <c r="D270" t="inlineStr">
        <is>
          <t>ÖSTERGÖTLANDS LÄN</t>
        </is>
      </c>
      <c r="E270" t="inlineStr">
        <is>
          <t>LINKÖPING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39438-2025</t>
        </is>
      </c>
      <c r="B271" s="1" t="n">
        <v>45889.68641203704</v>
      </c>
      <c r="C271" s="1" t="n">
        <v>46051</v>
      </c>
      <c r="D271" t="inlineStr">
        <is>
          <t>ÖSTERGÖTLANDS LÄN</t>
        </is>
      </c>
      <c r="E271" t="inlineStr">
        <is>
          <t>LINKÖPING</t>
        </is>
      </c>
      <c r="G271" t="n">
        <v>2.4</v>
      </c>
      <c r="H271" t="n">
        <v>0</v>
      </c>
      <c r="I271" t="n">
        <v>0</v>
      </c>
      <c r="J271" t="n">
        <v>0</v>
      </c>
      <c r="K271" t="n">
        <v>0</v>
      </c>
      <c r="L271" t="n">
        <v>0</v>
      </c>
      <c r="M271" t="n">
        <v>0</v>
      </c>
      <c r="N271" t="n">
        <v>0</v>
      </c>
      <c r="O271" t="n">
        <v>0</v>
      </c>
      <c r="P271" t="n">
        <v>0</v>
      </c>
      <c r="Q271" t="n">
        <v>0</v>
      </c>
      <c r="R271" s="2" t="inlineStr"/>
    </row>
    <row r="272" ht="15" customHeight="1">
      <c r="A272" t="inlineStr">
        <is>
          <t>A 55736-2022</t>
        </is>
      </c>
      <c r="B272" s="1" t="n">
        <v>44888</v>
      </c>
      <c r="C272" s="1" t="n">
        <v>46051</v>
      </c>
      <c r="D272" t="inlineStr">
        <is>
          <t>ÖSTERGÖTLANDS LÄN</t>
        </is>
      </c>
      <c r="E272" t="inlineStr">
        <is>
          <t>LINKÖPING</t>
        </is>
      </c>
      <c r="G272" t="n">
        <v>5.5</v>
      </c>
      <c r="H272" t="n">
        <v>0</v>
      </c>
      <c r="I272" t="n">
        <v>0</v>
      </c>
      <c r="J272" t="n">
        <v>0</v>
      </c>
      <c r="K272" t="n">
        <v>0</v>
      </c>
      <c r="L272" t="n">
        <v>0</v>
      </c>
      <c r="M272" t="n">
        <v>0</v>
      </c>
      <c r="N272" t="n">
        <v>0</v>
      </c>
      <c r="O272" t="n">
        <v>0</v>
      </c>
      <c r="P272" t="n">
        <v>0</v>
      </c>
      <c r="Q272" t="n">
        <v>0</v>
      </c>
      <c r="R272" s="2" t="inlineStr"/>
    </row>
    <row r="273" ht="15" customHeight="1">
      <c r="A273" t="inlineStr">
        <is>
          <t>A 28200-2025</t>
        </is>
      </c>
      <c r="B273" s="1" t="n">
        <v>45818.4428125</v>
      </c>
      <c r="C273" s="1" t="n">
        <v>46051</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40169-2025</t>
        </is>
      </c>
      <c r="B274" s="1" t="n">
        <v>45894.62824074074</v>
      </c>
      <c r="C274" s="1" t="n">
        <v>46051</v>
      </c>
      <c r="D274" t="inlineStr">
        <is>
          <t>ÖSTERGÖTLANDS LÄN</t>
        </is>
      </c>
      <c r="E274" t="inlineStr">
        <is>
          <t>LINKÖPING</t>
        </is>
      </c>
      <c r="G274" t="n">
        <v>2.8</v>
      </c>
      <c r="H274" t="n">
        <v>0</v>
      </c>
      <c r="I274" t="n">
        <v>0</v>
      </c>
      <c r="J274" t="n">
        <v>0</v>
      </c>
      <c r="K274" t="n">
        <v>0</v>
      </c>
      <c r="L274" t="n">
        <v>0</v>
      </c>
      <c r="M274" t="n">
        <v>0</v>
      </c>
      <c r="N274" t="n">
        <v>0</v>
      </c>
      <c r="O274" t="n">
        <v>0</v>
      </c>
      <c r="P274" t="n">
        <v>0</v>
      </c>
      <c r="Q274" t="n">
        <v>0</v>
      </c>
      <c r="R274" s="2" t="inlineStr"/>
    </row>
    <row r="275" ht="15" customHeight="1">
      <c r="A275" t="inlineStr">
        <is>
          <t>A 27950-2025</t>
        </is>
      </c>
      <c r="B275" s="1" t="n">
        <v>45817.52960648148</v>
      </c>
      <c r="C275" s="1" t="n">
        <v>46051</v>
      </c>
      <c r="D275" t="inlineStr">
        <is>
          <t>ÖSTERGÖTLANDS LÄN</t>
        </is>
      </c>
      <c r="E275" t="inlineStr">
        <is>
          <t>LINKÖPING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27797-2025</t>
        </is>
      </c>
      <c r="B276" s="1" t="n">
        <v>45816.80521990741</v>
      </c>
      <c r="C276" s="1" t="n">
        <v>46051</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27798-2025</t>
        </is>
      </c>
      <c r="B277" s="1" t="n">
        <v>45816.81532407407</v>
      </c>
      <c r="C277" s="1" t="n">
        <v>46051</v>
      </c>
      <c r="D277" t="inlineStr">
        <is>
          <t>ÖSTERGÖTLANDS LÄN</t>
        </is>
      </c>
      <c r="E277" t="inlineStr">
        <is>
          <t>LINKÖPING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30434-2024</t>
        </is>
      </c>
      <c r="B278" s="1" t="n">
        <v>45491.69811342593</v>
      </c>
      <c r="C278" s="1" t="n">
        <v>46051</v>
      </c>
      <c r="D278" t="inlineStr">
        <is>
          <t>ÖSTERGÖTLANDS LÄN</t>
        </is>
      </c>
      <c r="E278" t="inlineStr">
        <is>
          <t>LINKÖPING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28209-2025</t>
        </is>
      </c>
      <c r="B279" s="1" t="n">
        <v>45818.45112268518</v>
      </c>
      <c r="C279" s="1" t="n">
        <v>46051</v>
      </c>
      <c r="D279" t="inlineStr">
        <is>
          <t>ÖSTERGÖTLANDS LÄN</t>
        </is>
      </c>
      <c r="E279" t="inlineStr">
        <is>
          <t>LINKÖPING</t>
        </is>
      </c>
      <c r="G279" t="n">
        <v>4.2</v>
      </c>
      <c r="H279" t="n">
        <v>0</v>
      </c>
      <c r="I279" t="n">
        <v>0</v>
      </c>
      <c r="J279" t="n">
        <v>0</v>
      </c>
      <c r="K279" t="n">
        <v>0</v>
      </c>
      <c r="L279" t="n">
        <v>0</v>
      </c>
      <c r="M279" t="n">
        <v>0</v>
      </c>
      <c r="N279" t="n">
        <v>0</v>
      </c>
      <c r="O279" t="n">
        <v>0</v>
      </c>
      <c r="P279" t="n">
        <v>0</v>
      </c>
      <c r="Q279" t="n">
        <v>0</v>
      </c>
      <c r="R279" s="2" t="inlineStr"/>
    </row>
    <row r="280" ht="15" customHeight="1">
      <c r="A280" t="inlineStr">
        <is>
          <t>A 28204-2025</t>
        </is>
      </c>
      <c r="B280" s="1" t="n">
        <v>45818.4477662037</v>
      </c>
      <c r="C280" s="1" t="n">
        <v>46051</v>
      </c>
      <c r="D280" t="inlineStr">
        <is>
          <t>ÖSTERGÖTLANDS LÄN</t>
        </is>
      </c>
      <c r="E280" t="inlineStr">
        <is>
          <t>LINKÖPING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28398-2025</t>
        </is>
      </c>
      <c r="B281" s="1" t="n">
        <v>45819.34208333334</v>
      </c>
      <c r="C281" s="1" t="n">
        <v>46051</v>
      </c>
      <c r="D281" t="inlineStr">
        <is>
          <t>ÖSTERGÖTLANDS LÄN</t>
        </is>
      </c>
      <c r="E281" t="inlineStr">
        <is>
          <t>LINKÖPING</t>
        </is>
      </c>
      <c r="F281" t="inlineStr">
        <is>
          <t>Sveaskog</t>
        </is>
      </c>
      <c r="G281" t="n">
        <v>7.9</v>
      </c>
      <c r="H281" t="n">
        <v>0</v>
      </c>
      <c r="I281" t="n">
        <v>0</v>
      </c>
      <c r="J281" t="n">
        <v>0</v>
      </c>
      <c r="K281" t="n">
        <v>0</v>
      </c>
      <c r="L281" t="n">
        <v>0</v>
      </c>
      <c r="M281" t="n">
        <v>0</v>
      </c>
      <c r="N281" t="n">
        <v>0</v>
      </c>
      <c r="O281" t="n">
        <v>0</v>
      </c>
      <c r="P281" t="n">
        <v>0</v>
      </c>
      <c r="Q281" t="n">
        <v>0</v>
      </c>
      <c r="R281" s="2" t="inlineStr"/>
    </row>
    <row r="282" ht="15" customHeight="1">
      <c r="A282" t="inlineStr">
        <is>
          <t>A 28416-2025</t>
        </is>
      </c>
      <c r="B282" s="1" t="n">
        <v>45819.35346064815</v>
      </c>
      <c r="C282" s="1" t="n">
        <v>46051</v>
      </c>
      <c r="D282" t="inlineStr">
        <is>
          <t>ÖSTERGÖTLANDS LÄN</t>
        </is>
      </c>
      <c r="E282" t="inlineStr">
        <is>
          <t>LINKÖPING</t>
        </is>
      </c>
      <c r="F282" t="inlineStr">
        <is>
          <t>Sveaskog</t>
        </is>
      </c>
      <c r="G282" t="n">
        <v>3.7</v>
      </c>
      <c r="H282" t="n">
        <v>0</v>
      </c>
      <c r="I282" t="n">
        <v>0</v>
      </c>
      <c r="J282" t="n">
        <v>0</v>
      </c>
      <c r="K282" t="n">
        <v>0</v>
      </c>
      <c r="L282" t="n">
        <v>0</v>
      </c>
      <c r="M282" t="n">
        <v>0</v>
      </c>
      <c r="N282" t="n">
        <v>0</v>
      </c>
      <c r="O282" t="n">
        <v>0</v>
      </c>
      <c r="P282" t="n">
        <v>0</v>
      </c>
      <c r="Q282" t="n">
        <v>0</v>
      </c>
      <c r="R282" s="2" t="inlineStr"/>
    </row>
    <row r="283" ht="15" customHeight="1">
      <c r="A283" t="inlineStr">
        <is>
          <t>A 11084-2022</t>
        </is>
      </c>
      <c r="B283" s="1" t="n">
        <v>44628</v>
      </c>
      <c r="C283" s="1" t="n">
        <v>46051</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29027-2025</t>
        </is>
      </c>
      <c r="B284" s="1" t="n">
        <v>45821.4375462963</v>
      </c>
      <c r="C284" s="1" t="n">
        <v>46051</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29393-2025</t>
        </is>
      </c>
      <c r="B285" s="1" t="n">
        <v>45824.6057175926</v>
      </c>
      <c r="C285" s="1" t="n">
        <v>46051</v>
      </c>
      <c r="D285" t="inlineStr">
        <is>
          <t>ÖSTERGÖTLANDS LÄN</t>
        </is>
      </c>
      <c r="E285" t="inlineStr">
        <is>
          <t>LINKÖPING</t>
        </is>
      </c>
      <c r="F285" t="inlineStr">
        <is>
          <t>Sveaskog</t>
        </is>
      </c>
      <c r="G285" t="n">
        <v>24.6</v>
      </c>
      <c r="H285" t="n">
        <v>0</v>
      </c>
      <c r="I285" t="n">
        <v>0</v>
      </c>
      <c r="J285" t="n">
        <v>0</v>
      </c>
      <c r="K285" t="n">
        <v>0</v>
      </c>
      <c r="L285" t="n">
        <v>0</v>
      </c>
      <c r="M285" t="n">
        <v>0</v>
      </c>
      <c r="N285" t="n">
        <v>0</v>
      </c>
      <c r="O285" t="n">
        <v>0</v>
      </c>
      <c r="P285" t="n">
        <v>0</v>
      </c>
      <c r="Q285" t="n">
        <v>0</v>
      </c>
      <c r="R285" s="2" t="inlineStr"/>
    </row>
    <row r="286" ht="15" customHeight="1">
      <c r="A286" t="inlineStr">
        <is>
          <t>A 57745-2022</t>
        </is>
      </c>
      <c r="B286" s="1" t="n">
        <v>44897.58119212963</v>
      </c>
      <c r="C286" s="1" t="n">
        <v>46051</v>
      </c>
      <c r="D286" t="inlineStr">
        <is>
          <t>ÖSTERGÖTLANDS LÄN</t>
        </is>
      </c>
      <c r="E286" t="inlineStr">
        <is>
          <t>LINKÖPING</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29411-2025</t>
        </is>
      </c>
      <c r="B287" s="1" t="n">
        <v>45824.6219212963</v>
      </c>
      <c r="C287" s="1" t="n">
        <v>46051</v>
      </c>
      <c r="D287" t="inlineStr">
        <is>
          <t>ÖSTERGÖTLANDS LÄN</t>
        </is>
      </c>
      <c r="E287" t="inlineStr">
        <is>
          <t>LINKÖPING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14520-2025</t>
        </is>
      </c>
      <c r="B288" s="1" t="n">
        <v>45741</v>
      </c>
      <c r="C288" s="1" t="n">
        <v>46051</v>
      </c>
      <c r="D288" t="inlineStr">
        <is>
          <t>ÖSTERGÖTLANDS LÄN</t>
        </is>
      </c>
      <c r="E288" t="inlineStr">
        <is>
          <t>LINKÖPING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29599-2025</t>
        </is>
      </c>
      <c r="B289" s="1" t="n">
        <v>45825.41101851852</v>
      </c>
      <c r="C289" s="1" t="n">
        <v>46051</v>
      </c>
      <c r="D289" t="inlineStr">
        <is>
          <t>ÖSTERGÖTLANDS LÄN</t>
        </is>
      </c>
      <c r="E289" t="inlineStr">
        <is>
          <t>LINKÖPING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41706-2025</t>
        </is>
      </c>
      <c r="B290" s="1" t="n">
        <v>45902.42209490741</v>
      </c>
      <c r="C290" s="1" t="n">
        <v>46051</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56064-2022</t>
        </is>
      </c>
      <c r="B291" s="1" t="n">
        <v>44889.59107638889</v>
      </c>
      <c r="C291" s="1" t="n">
        <v>46051</v>
      </c>
      <c r="D291" t="inlineStr">
        <is>
          <t>ÖSTERGÖTLANDS LÄN</t>
        </is>
      </c>
      <c r="E291" t="inlineStr">
        <is>
          <t>LINKÖPING</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40502-2024</t>
        </is>
      </c>
      <c r="B292" s="1" t="n">
        <v>45555.57263888889</v>
      </c>
      <c r="C292" s="1" t="n">
        <v>46051</v>
      </c>
      <c r="D292" t="inlineStr">
        <is>
          <t>ÖSTERGÖTLANDS LÄN</t>
        </is>
      </c>
      <c r="E292" t="inlineStr">
        <is>
          <t>LINKÖPING</t>
        </is>
      </c>
      <c r="F292" t="inlineStr">
        <is>
          <t>Allmännings- och besparingsskogar</t>
        </is>
      </c>
      <c r="G292" t="n">
        <v>17.5</v>
      </c>
      <c r="H292" t="n">
        <v>0</v>
      </c>
      <c r="I292" t="n">
        <v>0</v>
      </c>
      <c r="J292" t="n">
        <v>0</v>
      </c>
      <c r="K292" t="n">
        <v>0</v>
      </c>
      <c r="L292" t="n">
        <v>0</v>
      </c>
      <c r="M292" t="n">
        <v>0</v>
      </c>
      <c r="N292" t="n">
        <v>0</v>
      </c>
      <c r="O292" t="n">
        <v>0</v>
      </c>
      <c r="P292" t="n">
        <v>0</v>
      </c>
      <c r="Q292" t="n">
        <v>0</v>
      </c>
      <c r="R292" s="2" t="inlineStr"/>
    </row>
    <row r="293" ht="15" customHeight="1">
      <c r="A293" t="inlineStr">
        <is>
          <t>A 30355-2025</t>
        </is>
      </c>
      <c r="B293" s="1" t="n">
        <v>45827</v>
      </c>
      <c r="C293" s="1" t="n">
        <v>46051</v>
      </c>
      <c r="D293" t="inlineStr">
        <is>
          <t>ÖSTERGÖTLANDS LÄN</t>
        </is>
      </c>
      <c r="E293" t="inlineStr">
        <is>
          <t>LINKÖPING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41511-2025</t>
        </is>
      </c>
      <c r="B294" s="1" t="n">
        <v>45901.53839120371</v>
      </c>
      <c r="C294" s="1" t="n">
        <v>46051</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30353-2025</t>
        </is>
      </c>
      <c r="B295" s="1" t="n">
        <v>45827</v>
      </c>
      <c r="C295" s="1" t="n">
        <v>46051</v>
      </c>
      <c r="D295" t="inlineStr">
        <is>
          <t>ÖSTERGÖTLANDS LÄN</t>
        </is>
      </c>
      <c r="E295" t="inlineStr">
        <is>
          <t>LINKÖPING</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3042-2024</t>
        </is>
      </c>
      <c r="B296" s="1" t="n">
        <v>45316.35028935185</v>
      </c>
      <c r="C296" s="1" t="n">
        <v>46051</v>
      </c>
      <c r="D296" t="inlineStr">
        <is>
          <t>ÖSTERGÖTLANDS LÄN</t>
        </is>
      </c>
      <c r="E296" t="inlineStr">
        <is>
          <t>LINKÖPING</t>
        </is>
      </c>
      <c r="G296" t="n">
        <v>3.1</v>
      </c>
      <c r="H296" t="n">
        <v>0</v>
      </c>
      <c r="I296" t="n">
        <v>0</v>
      </c>
      <c r="J296" t="n">
        <v>0</v>
      </c>
      <c r="K296" t="n">
        <v>0</v>
      </c>
      <c r="L296" t="n">
        <v>0</v>
      </c>
      <c r="M296" t="n">
        <v>0</v>
      </c>
      <c r="N296" t="n">
        <v>0</v>
      </c>
      <c r="O296" t="n">
        <v>0</v>
      </c>
      <c r="P296" t="n">
        <v>0</v>
      </c>
      <c r="Q296" t="n">
        <v>0</v>
      </c>
      <c r="R296" s="2" t="inlineStr"/>
    </row>
    <row r="297" ht="15" customHeight="1">
      <c r="A297" t="inlineStr">
        <is>
          <t>A 29293-2025</t>
        </is>
      </c>
      <c r="B297" s="1" t="n">
        <v>45824</v>
      </c>
      <c r="C297" s="1" t="n">
        <v>46051</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44155-2024</t>
        </is>
      </c>
      <c r="B298" s="1" t="n">
        <v>45572.68226851852</v>
      </c>
      <c r="C298" s="1" t="n">
        <v>46051</v>
      </c>
      <c r="D298" t="inlineStr">
        <is>
          <t>ÖSTERGÖTLANDS LÄN</t>
        </is>
      </c>
      <c r="E298" t="inlineStr">
        <is>
          <t>LINKÖPING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42623-2025</t>
        </is>
      </c>
      <c r="B299" s="1" t="n">
        <v>45905</v>
      </c>
      <c r="C299" s="1" t="n">
        <v>46051</v>
      </c>
      <c r="D299" t="inlineStr">
        <is>
          <t>ÖSTERGÖTLANDS LÄN</t>
        </is>
      </c>
      <c r="E299" t="inlineStr">
        <is>
          <t>LINKÖPING</t>
        </is>
      </c>
      <c r="G299" t="n">
        <v>1.9</v>
      </c>
      <c r="H299" t="n">
        <v>0</v>
      </c>
      <c r="I299" t="n">
        <v>0</v>
      </c>
      <c r="J299" t="n">
        <v>0</v>
      </c>
      <c r="K299" t="n">
        <v>0</v>
      </c>
      <c r="L299" t="n">
        <v>0</v>
      </c>
      <c r="M299" t="n">
        <v>0</v>
      </c>
      <c r="N299" t="n">
        <v>0</v>
      </c>
      <c r="O299" t="n">
        <v>0</v>
      </c>
      <c r="P299" t="n">
        <v>0</v>
      </c>
      <c r="Q299" t="n">
        <v>0</v>
      </c>
      <c r="R299" s="2" t="inlineStr"/>
    </row>
    <row r="300" ht="15" customHeight="1">
      <c r="A300" t="inlineStr">
        <is>
          <t>A 31581-2025</t>
        </is>
      </c>
      <c r="B300" s="1" t="n">
        <v>45833.6840162037</v>
      </c>
      <c r="C300" s="1" t="n">
        <v>46051</v>
      </c>
      <c r="D300" t="inlineStr">
        <is>
          <t>ÖSTERGÖTLANDS LÄN</t>
        </is>
      </c>
      <c r="E300" t="inlineStr">
        <is>
          <t>LINKÖPING</t>
        </is>
      </c>
      <c r="G300" t="n">
        <v>2.6</v>
      </c>
      <c r="H300" t="n">
        <v>0</v>
      </c>
      <c r="I300" t="n">
        <v>0</v>
      </c>
      <c r="J300" t="n">
        <v>0</v>
      </c>
      <c r="K300" t="n">
        <v>0</v>
      </c>
      <c r="L300" t="n">
        <v>0</v>
      </c>
      <c r="M300" t="n">
        <v>0</v>
      </c>
      <c r="N300" t="n">
        <v>0</v>
      </c>
      <c r="O300" t="n">
        <v>0</v>
      </c>
      <c r="P300" t="n">
        <v>0</v>
      </c>
      <c r="Q300" t="n">
        <v>0</v>
      </c>
      <c r="R300" s="2" t="inlineStr"/>
    </row>
    <row r="301" ht="15" customHeight="1">
      <c r="A301" t="inlineStr">
        <is>
          <t>A 31585-2025</t>
        </is>
      </c>
      <c r="B301" s="1" t="n">
        <v>45833.68815972222</v>
      </c>
      <c r="C301" s="1" t="n">
        <v>46051</v>
      </c>
      <c r="D301" t="inlineStr">
        <is>
          <t>ÖSTERGÖTLANDS LÄN</t>
        </is>
      </c>
      <c r="E301" t="inlineStr">
        <is>
          <t>LINKÖPING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42624-2025</t>
        </is>
      </c>
      <c r="B302" s="1" t="n">
        <v>45905</v>
      </c>
      <c r="C302" s="1" t="n">
        <v>46051</v>
      </c>
      <c r="D302" t="inlineStr">
        <is>
          <t>ÖSTERGÖTLANDS LÄN</t>
        </is>
      </c>
      <c r="E302" t="inlineStr">
        <is>
          <t>LINKÖPING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42626-2025</t>
        </is>
      </c>
      <c r="B303" s="1" t="n">
        <v>45905</v>
      </c>
      <c r="C303" s="1" t="n">
        <v>46051</v>
      </c>
      <c r="D303" t="inlineStr">
        <is>
          <t>ÖSTERGÖTLANDS LÄN</t>
        </is>
      </c>
      <c r="E303" t="inlineStr">
        <is>
          <t>LINKÖPING</t>
        </is>
      </c>
      <c r="G303" t="n">
        <v>3.6</v>
      </c>
      <c r="H303" t="n">
        <v>0</v>
      </c>
      <c r="I303" t="n">
        <v>0</v>
      </c>
      <c r="J303" t="n">
        <v>0</v>
      </c>
      <c r="K303" t="n">
        <v>0</v>
      </c>
      <c r="L303" t="n">
        <v>0</v>
      </c>
      <c r="M303" t="n">
        <v>0</v>
      </c>
      <c r="N303" t="n">
        <v>0</v>
      </c>
      <c r="O303" t="n">
        <v>0</v>
      </c>
      <c r="P303" t="n">
        <v>0</v>
      </c>
      <c r="Q303" t="n">
        <v>0</v>
      </c>
      <c r="R303" s="2" t="inlineStr"/>
    </row>
    <row r="304" ht="15" customHeight="1">
      <c r="A304" t="inlineStr">
        <is>
          <t>A 32723-2025</t>
        </is>
      </c>
      <c r="B304" s="1" t="n">
        <v>45838</v>
      </c>
      <c r="C304" s="1" t="n">
        <v>46051</v>
      </c>
      <c r="D304" t="inlineStr">
        <is>
          <t>ÖSTERGÖTLANDS LÄN</t>
        </is>
      </c>
      <c r="E304" t="inlineStr">
        <is>
          <t>LINKÖPING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42997-2021</t>
        </is>
      </c>
      <c r="B305" s="1" t="n">
        <v>44431.45556712963</v>
      </c>
      <c r="C305" s="1" t="n">
        <v>46051</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43755-2025</t>
        </is>
      </c>
      <c r="B306" s="1" t="n">
        <v>45912.47329861111</v>
      </c>
      <c r="C306" s="1" t="n">
        <v>46051</v>
      </c>
      <c r="D306" t="inlineStr">
        <is>
          <t>ÖSTERGÖTLANDS LÄN</t>
        </is>
      </c>
      <c r="E306" t="inlineStr">
        <is>
          <t>LINKÖPING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33947-2025</t>
        </is>
      </c>
      <c r="B307" s="1" t="n">
        <v>45842.65444444444</v>
      </c>
      <c r="C307" s="1" t="n">
        <v>46051</v>
      </c>
      <c r="D307" t="inlineStr">
        <is>
          <t>ÖSTERGÖTLANDS LÄN</t>
        </is>
      </c>
      <c r="E307" t="inlineStr">
        <is>
          <t>LINKÖPING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43753-2025</t>
        </is>
      </c>
      <c r="B308" s="1" t="n">
        <v>45912.4715625</v>
      </c>
      <c r="C308" s="1" t="n">
        <v>46051</v>
      </c>
      <c r="D308" t="inlineStr">
        <is>
          <t>ÖSTERGÖTLANDS LÄN</t>
        </is>
      </c>
      <c r="E308" t="inlineStr">
        <is>
          <t>LINKÖPING</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43758-2025</t>
        </is>
      </c>
      <c r="B309" s="1" t="n">
        <v>45912.47711805555</v>
      </c>
      <c r="C309" s="1" t="n">
        <v>46051</v>
      </c>
      <c r="D309" t="inlineStr">
        <is>
          <t>ÖSTERGÖTLANDS LÄN</t>
        </is>
      </c>
      <c r="E309" t="inlineStr">
        <is>
          <t>LINKÖPING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44170-2025</t>
        </is>
      </c>
      <c r="B310" s="1" t="n">
        <v>45915.59864583334</v>
      </c>
      <c r="C310" s="1" t="n">
        <v>46051</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62012-2024</t>
        </is>
      </c>
      <c r="B311" s="1" t="n">
        <v>45655.79679398148</v>
      </c>
      <c r="C311" s="1" t="n">
        <v>46051</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14028-2024</t>
        </is>
      </c>
      <c r="B312" s="1" t="n">
        <v>45392</v>
      </c>
      <c r="C312" s="1" t="n">
        <v>46051</v>
      </c>
      <c r="D312" t="inlineStr">
        <is>
          <t>ÖSTERGÖTLANDS LÄN</t>
        </is>
      </c>
      <c r="E312" t="inlineStr">
        <is>
          <t>LINKÖPING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53529-2024</t>
        </is>
      </c>
      <c r="B313" s="1" t="n">
        <v>45614</v>
      </c>
      <c r="C313" s="1" t="n">
        <v>46051</v>
      </c>
      <c r="D313" t="inlineStr">
        <is>
          <t>ÖSTERGÖTLANDS LÄN</t>
        </is>
      </c>
      <c r="E313" t="inlineStr">
        <is>
          <t>LINKÖPING</t>
        </is>
      </c>
      <c r="G313" t="n">
        <v>6.7</v>
      </c>
      <c r="H313" t="n">
        <v>0</v>
      </c>
      <c r="I313" t="n">
        <v>0</v>
      </c>
      <c r="J313" t="n">
        <v>0</v>
      </c>
      <c r="K313" t="n">
        <v>0</v>
      </c>
      <c r="L313" t="n">
        <v>0</v>
      </c>
      <c r="M313" t="n">
        <v>0</v>
      </c>
      <c r="N313" t="n">
        <v>0</v>
      </c>
      <c r="O313" t="n">
        <v>0</v>
      </c>
      <c r="P313" t="n">
        <v>0</v>
      </c>
      <c r="Q313" t="n">
        <v>0</v>
      </c>
      <c r="R313" s="2" t="inlineStr"/>
    </row>
    <row r="314" ht="15" customHeight="1">
      <c r="A314" t="inlineStr">
        <is>
          <t>A 44759-2025</t>
        </is>
      </c>
      <c r="B314" s="1" t="n">
        <v>45917.7152662037</v>
      </c>
      <c r="C314" s="1" t="n">
        <v>46051</v>
      </c>
      <c r="D314" t="inlineStr">
        <is>
          <t>ÖSTERGÖTLANDS LÄN</t>
        </is>
      </c>
      <c r="E314" t="inlineStr">
        <is>
          <t>LINKÖPING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44764-2025</t>
        </is>
      </c>
      <c r="B315" s="1" t="n">
        <v>45917.72821759259</v>
      </c>
      <c r="C315" s="1" t="n">
        <v>46051</v>
      </c>
      <c r="D315" t="inlineStr">
        <is>
          <t>ÖSTERGÖTLANDS LÄN</t>
        </is>
      </c>
      <c r="E315" t="inlineStr">
        <is>
          <t>LINKÖPING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20469-2025</t>
        </is>
      </c>
      <c r="B316" s="1" t="n">
        <v>45775</v>
      </c>
      <c r="C316" s="1" t="n">
        <v>46051</v>
      </c>
      <c r="D316" t="inlineStr">
        <is>
          <t>ÖSTERGÖTLANDS LÄN</t>
        </is>
      </c>
      <c r="E316" t="inlineStr">
        <is>
          <t>LINKÖPING</t>
        </is>
      </c>
      <c r="F316" t="inlineStr">
        <is>
          <t>Kyrkan</t>
        </is>
      </c>
      <c r="G316" t="n">
        <v>6.1</v>
      </c>
      <c r="H316" t="n">
        <v>0</v>
      </c>
      <c r="I316" t="n">
        <v>0</v>
      </c>
      <c r="J316" t="n">
        <v>0</v>
      </c>
      <c r="K316" t="n">
        <v>0</v>
      </c>
      <c r="L316" t="n">
        <v>0</v>
      </c>
      <c r="M316" t="n">
        <v>0</v>
      </c>
      <c r="N316" t="n">
        <v>0</v>
      </c>
      <c r="O316" t="n">
        <v>0</v>
      </c>
      <c r="P316" t="n">
        <v>0</v>
      </c>
      <c r="Q316" t="n">
        <v>0</v>
      </c>
      <c r="R316" s="2" t="inlineStr"/>
    </row>
    <row r="317" ht="15" customHeight="1">
      <c r="A317" t="inlineStr">
        <is>
          <t>A 33800-2023</t>
        </is>
      </c>
      <c r="B317" s="1" t="n">
        <v>45121</v>
      </c>
      <c r="C317" s="1" t="n">
        <v>46051</v>
      </c>
      <c r="D317" t="inlineStr">
        <is>
          <t>ÖSTERGÖTLANDS LÄN</t>
        </is>
      </c>
      <c r="E317" t="inlineStr">
        <is>
          <t>LINKÖPING</t>
        </is>
      </c>
      <c r="G317" t="n">
        <v>1.3</v>
      </c>
      <c r="H317" t="n">
        <v>0</v>
      </c>
      <c r="I317" t="n">
        <v>0</v>
      </c>
      <c r="J317" t="n">
        <v>0</v>
      </c>
      <c r="K317" t="n">
        <v>0</v>
      </c>
      <c r="L317" t="n">
        <v>0</v>
      </c>
      <c r="M317" t="n">
        <v>0</v>
      </c>
      <c r="N317" t="n">
        <v>0</v>
      </c>
      <c r="O317" t="n">
        <v>0</v>
      </c>
      <c r="P317" t="n">
        <v>0</v>
      </c>
      <c r="Q317" t="n">
        <v>0</v>
      </c>
      <c r="R317" s="2" t="inlineStr"/>
    </row>
    <row r="318" ht="15" customHeight="1">
      <c r="A318" t="inlineStr">
        <is>
          <t>A 47991-2023</t>
        </is>
      </c>
      <c r="B318" s="1" t="n">
        <v>45204.62655092592</v>
      </c>
      <c r="C318" s="1" t="n">
        <v>46051</v>
      </c>
      <c r="D318" t="inlineStr">
        <is>
          <t>ÖSTERGÖTLANDS LÄN</t>
        </is>
      </c>
      <c r="E318" t="inlineStr">
        <is>
          <t>LINKÖPING</t>
        </is>
      </c>
      <c r="F318" t="inlineStr">
        <is>
          <t>Allmännings- och besparingsskogar</t>
        </is>
      </c>
      <c r="G318" t="n">
        <v>7.3</v>
      </c>
      <c r="H318" t="n">
        <v>0</v>
      </c>
      <c r="I318" t="n">
        <v>0</v>
      </c>
      <c r="J318" t="n">
        <v>0</v>
      </c>
      <c r="K318" t="n">
        <v>0</v>
      </c>
      <c r="L318" t="n">
        <v>0</v>
      </c>
      <c r="M318" t="n">
        <v>0</v>
      </c>
      <c r="N318" t="n">
        <v>0</v>
      </c>
      <c r="O318" t="n">
        <v>0</v>
      </c>
      <c r="P318" t="n">
        <v>0</v>
      </c>
      <c r="Q318" t="n">
        <v>0</v>
      </c>
      <c r="R318" s="2" t="inlineStr"/>
    </row>
    <row r="319" ht="15" customHeight="1">
      <c r="A319" t="inlineStr">
        <is>
          <t>A 45112-2025</t>
        </is>
      </c>
      <c r="B319" s="1" t="n">
        <v>45919</v>
      </c>
      <c r="C319" s="1" t="n">
        <v>46051</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14667-2024</t>
        </is>
      </c>
      <c r="B320" s="1" t="n">
        <v>45397.42005787037</v>
      </c>
      <c r="C320" s="1" t="n">
        <v>46051</v>
      </c>
      <c r="D320" t="inlineStr">
        <is>
          <t>ÖSTERGÖTLANDS LÄN</t>
        </is>
      </c>
      <c r="E320" t="inlineStr">
        <is>
          <t>LINKÖPING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2697-2023</t>
        </is>
      </c>
      <c r="B321" s="1" t="n">
        <v>44944</v>
      </c>
      <c r="C321" s="1" t="n">
        <v>46051</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53641-2023</t>
        </is>
      </c>
      <c r="B322" s="1" t="n">
        <v>45230</v>
      </c>
      <c r="C322" s="1" t="n">
        <v>46051</v>
      </c>
      <c r="D322" t="inlineStr">
        <is>
          <t>ÖSTERGÖTLANDS LÄN</t>
        </is>
      </c>
      <c r="E322" t="inlineStr">
        <is>
          <t>LINKÖPING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48707-2023</t>
        </is>
      </c>
      <c r="B323" s="1" t="n">
        <v>45202</v>
      </c>
      <c r="C323" s="1" t="n">
        <v>46051</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35178-2025</t>
        </is>
      </c>
      <c r="B324" s="1" t="n">
        <v>45852.91939814815</v>
      </c>
      <c r="C324" s="1" t="n">
        <v>46051</v>
      </c>
      <c r="D324" t="inlineStr">
        <is>
          <t>ÖSTERGÖTLANDS LÄN</t>
        </is>
      </c>
      <c r="E324" t="inlineStr">
        <is>
          <t>LINKÖPING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53411-2023</t>
        </is>
      </c>
      <c r="B325" s="1" t="n">
        <v>45229.81049768518</v>
      </c>
      <c r="C325" s="1" t="n">
        <v>46051</v>
      </c>
      <c r="D325" t="inlineStr">
        <is>
          <t>ÖSTERGÖTLANDS LÄN</t>
        </is>
      </c>
      <c r="E325" t="inlineStr">
        <is>
          <t>LINKÖPING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35174-2025</t>
        </is>
      </c>
      <c r="B326" s="1" t="n">
        <v>45852.90648148148</v>
      </c>
      <c r="C326" s="1" t="n">
        <v>46051</v>
      </c>
      <c r="D326" t="inlineStr">
        <is>
          <t>ÖSTERGÖTLANDS LÄN</t>
        </is>
      </c>
      <c r="E326" t="inlineStr">
        <is>
          <t>LINKÖPING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26007-2025</t>
        </is>
      </c>
      <c r="B327" s="1" t="n">
        <v>45804.67081018518</v>
      </c>
      <c r="C327" s="1" t="n">
        <v>46051</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35179-2025</t>
        </is>
      </c>
      <c r="B328" s="1" t="n">
        <v>45852.93737268518</v>
      </c>
      <c r="C328" s="1" t="n">
        <v>46051</v>
      </c>
      <c r="D328" t="inlineStr">
        <is>
          <t>ÖSTERGÖTLANDS LÄN</t>
        </is>
      </c>
      <c r="E328" t="inlineStr">
        <is>
          <t>LINKÖPING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35180-2025</t>
        </is>
      </c>
      <c r="B329" s="1" t="n">
        <v>45852.9413425926</v>
      </c>
      <c r="C329" s="1" t="n">
        <v>46051</v>
      </c>
      <c r="D329" t="inlineStr">
        <is>
          <t>ÖSTERGÖTLANDS LÄN</t>
        </is>
      </c>
      <c r="E329" t="inlineStr">
        <is>
          <t>LINKÖPING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45634-2025</t>
        </is>
      </c>
      <c r="B330" s="1" t="n">
        <v>45922.85089120371</v>
      </c>
      <c r="C330" s="1" t="n">
        <v>46051</v>
      </c>
      <c r="D330" t="inlineStr">
        <is>
          <t>ÖSTERGÖTLANDS LÄN</t>
        </is>
      </c>
      <c r="E330" t="inlineStr">
        <is>
          <t>LINKÖPING</t>
        </is>
      </c>
      <c r="F330" t="inlineStr">
        <is>
          <t>Övriga Aktiebolag</t>
        </is>
      </c>
      <c r="G330" t="n">
        <v>0.3</v>
      </c>
      <c r="H330" t="n">
        <v>0</v>
      </c>
      <c r="I330" t="n">
        <v>0</v>
      </c>
      <c r="J330" t="n">
        <v>0</v>
      </c>
      <c r="K330" t="n">
        <v>0</v>
      </c>
      <c r="L330" t="n">
        <v>0</v>
      </c>
      <c r="M330" t="n">
        <v>0</v>
      </c>
      <c r="N330" t="n">
        <v>0</v>
      </c>
      <c r="O330" t="n">
        <v>0</v>
      </c>
      <c r="P330" t="n">
        <v>0</v>
      </c>
      <c r="Q330" t="n">
        <v>0</v>
      </c>
      <c r="R330" s="2" t="inlineStr"/>
    </row>
    <row r="331" ht="15" customHeight="1">
      <c r="A331" t="inlineStr">
        <is>
          <t>A 45792-2025</t>
        </is>
      </c>
      <c r="B331" s="1" t="n">
        <v>45923.56998842592</v>
      </c>
      <c r="C331" s="1" t="n">
        <v>46051</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45804-2025</t>
        </is>
      </c>
      <c r="B332" s="1" t="n">
        <v>45923.5819675926</v>
      </c>
      <c r="C332" s="1" t="n">
        <v>46051</v>
      </c>
      <c r="D332" t="inlineStr">
        <is>
          <t>ÖSTERGÖTLANDS LÄN</t>
        </is>
      </c>
      <c r="E332" t="inlineStr">
        <is>
          <t>LINKÖPING</t>
        </is>
      </c>
      <c r="G332" t="n">
        <v>3.3</v>
      </c>
      <c r="H332" t="n">
        <v>0</v>
      </c>
      <c r="I332" t="n">
        <v>0</v>
      </c>
      <c r="J332" t="n">
        <v>0</v>
      </c>
      <c r="K332" t="n">
        <v>0</v>
      </c>
      <c r="L332" t="n">
        <v>0</v>
      </c>
      <c r="M332" t="n">
        <v>0</v>
      </c>
      <c r="N332" t="n">
        <v>0</v>
      </c>
      <c r="O332" t="n">
        <v>0</v>
      </c>
      <c r="P332" t="n">
        <v>0</v>
      </c>
      <c r="Q332" t="n">
        <v>0</v>
      </c>
      <c r="R332" s="2" t="inlineStr"/>
    </row>
    <row r="333" ht="15" customHeight="1">
      <c r="A333" t="inlineStr">
        <is>
          <t>A 56741-2023</t>
        </is>
      </c>
      <c r="B333" s="1" t="n">
        <v>45244</v>
      </c>
      <c r="C333" s="1" t="n">
        <v>46051</v>
      </c>
      <c r="D333" t="inlineStr">
        <is>
          <t>ÖSTERGÖTLANDS LÄN</t>
        </is>
      </c>
      <c r="E333" t="inlineStr">
        <is>
          <t>LINKÖPING</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56792-2023</t>
        </is>
      </c>
      <c r="B334" s="1" t="n">
        <v>45244</v>
      </c>
      <c r="C334" s="1" t="n">
        <v>46051</v>
      </c>
      <c r="D334" t="inlineStr">
        <is>
          <t>ÖSTERGÖTLANDS LÄN</t>
        </is>
      </c>
      <c r="E334" t="inlineStr">
        <is>
          <t>LINKÖPING</t>
        </is>
      </c>
      <c r="F334" t="inlineStr">
        <is>
          <t>Övriga Aktiebolag</t>
        </is>
      </c>
      <c r="G334" t="n">
        <v>0.9</v>
      </c>
      <c r="H334" t="n">
        <v>0</v>
      </c>
      <c r="I334" t="n">
        <v>0</v>
      </c>
      <c r="J334" t="n">
        <v>0</v>
      </c>
      <c r="K334" t="n">
        <v>0</v>
      </c>
      <c r="L334" t="n">
        <v>0</v>
      </c>
      <c r="M334" t="n">
        <v>0</v>
      </c>
      <c r="N334" t="n">
        <v>0</v>
      </c>
      <c r="O334" t="n">
        <v>0</v>
      </c>
      <c r="P334" t="n">
        <v>0</v>
      </c>
      <c r="Q334" t="n">
        <v>0</v>
      </c>
      <c r="R334" s="2" t="inlineStr"/>
    </row>
    <row r="335" ht="15" customHeight="1">
      <c r="A335" t="inlineStr">
        <is>
          <t>A 35747-2025</t>
        </is>
      </c>
      <c r="B335" s="1" t="n">
        <v>45860.56385416666</v>
      </c>
      <c r="C335" s="1" t="n">
        <v>46051</v>
      </c>
      <c r="D335" t="inlineStr">
        <is>
          <t>ÖSTERGÖTLANDS LÄN</t>
        </is>
      </c>
      <c r="E335" t="inlineStr">
        <is>
          <t>LINKÖPING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35745-2025</t>
        </is>
      </c>
      <c r="B336" s="1" t="n">
        <v>45860.54739583333</v>
      </c>
      <c r="C336" s="1" t="n">
        <v>46051</v>
      </c>
      <c r="D336" t="inlineStr">
        <is>
          <t>ÖSTERGÖTLANDS LÄN</t>
        </is>
      </c>
      <c r="E336" t="inlineStr">
        <is>
          <t>LINKÖPING</t>
        </is>
      </c>
      <c r="G336" t="n">
        <v>4.4</v>
      </c>
      <c r="H336" t="n">
        <v>0</v>
      </c>
      <c r="I336" t="n">
        <v>0</v>
      </c>
      <c r="J336" t="n">
        <v>0</v>
      </c>
      <c r="K336" t="n">
        <v>0</v>
      </c>
      <c r="L336" t="n">
        <v>0</v>
      </c>
      <c r="M336" t="n">
        <v>0</v>
      </c>
      <c r="N336" t="n">
        <v>0</v>
      </c>
      <c r="O336" t="n">
        <v>0</v>
      </c>
      <c r="P336" t="n">
        <v>0</v>
      </c>
      <c r="Q336" t="n">
        <v>0</v>
      </c>
      <c r="R336" s="2" t="inlineStr"/>
    </row>
    <row r="337" ht="15" customHeight="1">
      <c r="A337" t="inlineStr">
        <is>
          <t>A 46428-2025</t>
        </is>
      </c>
      <c r="B337" s="1" t="n">
        <v>45925.60758101852</v>
      </c>
      <c r="C337" s="1" t="n">
        <v>46051</v>
      </c>
      <c r="D337" t="inlineStr">
        <is>
          <t>ÖSTERGÖTLANDS LÄN</t>
        </is>
      </c>
      <c r="E337" t="inlineStr">
        <is>
          <t>LINKÖPING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35757-2025</t>
        </is>
      </c>
      <c r="B338" s="1" t="n">
        <v>45860.59876157407</v>
      </c>
      <c r="C338" s="1" t="n">
        <v>46051</v>
      </c>
      <c r="D338" t="inlineStr">
        <is>
          <t>ÖSTERGÖTLANDS LÄN</t>
        </is>
      </c>
      <c r="E338" t="inlineStr">
        <is>
          <t>LINKÖPING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35759-2025</t>
        </is>
      </c>
      <c r="B339" s="1" t="n">
        <v>45860</v>
      </c>
      <c r="C339" s="1" t="n">
        <v>46051</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46426-2025</t>
        </is>
      </c>
      <c r="B340" s="1" t="n">
        <v>45925.6012962963</v>
      </c>
      <c r="C340" s="1" t="n">
        <v>46051</v>
      </c>
      <c r="D340" t="inlineStr">
        <is>
          <t>ÖSTERGÖTLANDS LÄN</t>
        </is>
      </c>
      <c r="E340" t="inlineStr">
        <is>
          <t>LINKÖPING</t>
        </is>
      </c>
      <c r="G340" t="n">
        <v>4.4</v>
      </c>
      <c r="H340" t="n">
        <v>0</v>
      </c>
      <c r="I340" t="n">
        <v>0</v>
      </c>
      <c r="J340" t="n">
        <v>0</v>
      </c>
      <c r="K340" t="n">
        <v>0</v>
      </c>
      <c r="L340" t="n">
        <v>0</v>
      </c>
      <c r="M340" t="n">
        <v>0</v>
      </c>
      <c r="N340" t="n">
        <v>0</v>
      </c>
      <c r="O340" t="n">
        <v>0</v>
      </c>
      <c r="P340" t="n">
        <v>0</v>
      </c>
      <c r="Q340" t="n">
        <v>0</v>
      </c>
      <c r="R340" s="2" t="inlineStr"/>
    </row>
    <row r="341" ht="15" customHeight="1">
      <c r="A341" t="inlineStr">
        <is>
          <t>A 46377-2025</t>
        </is>
      </c>
      <c r="B341" s="1" t="n">
        <v>45925.51773148148</v>
      </c>
      <c r="C341" s="1" t="n">
        <v>46051</v>
      </c>
      <c r="D341" t="inlineStr">
        <is>
          <t>ÖSTERGÖTLANDS LÄN</t>
        </is>
      </c>
      <c r="E341" t="inlineStr">
        <is>
          <t>LINKÖPING</t>
        </is>
      </c>
      <c r="G341" t="n">
        <v>3.1</v>
      </c>
      <c r="H341" t="n">
        <v>0</v>
      </c>
      <c r="I341" t="n">
        <v>0</v>
      </c>
      <c r="J341" t="n">
        <v>0</v>
      </c>
      <c r="K341" t="n">
        <v>0</v>
      </c>
      <c r="L341" t="n">
        <v>0</v>
      </c>
      <c r="M341" t="n">
        <v>0</v>
      </c>
      <c r="N341" t="n">
        <v>0</v>
      </c>
      <c r="O341" t="n">
        <v>0</v>
      </c>
      <c r="P341" t="n">
        <v>0</v>
      </c>
      <c r="Q341" t="n">
        <v>0</v>
      </c>
      <c r="R341" s="2" t="inlineStr"/>
    </row>
    <row r="342" ht="15" customHeight="1">
      <c r="A342" t="inlineStr">
        <is>
          <t>A 3007-2023</t>
        </is>
      </c>
      <c r="B342" s="1" t="n">
        <v>44945</v>
      </c>
      <c r="C342" s="1" t="n">
        <v>46051</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40338-2024</t>
        </is>
      </c>
      <c r="B343" s="1" t="n">
        <v>45555.32940972222</v>
      </c>
      <c r="C343" s="1" t="n">
        <v>46051</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3013-2023</t>
        </is>
      </c>
      <c r="B344" s="1" t="n">
        <v>44945.8092824074</v>
      </c>
      <c r="C344" s="1" t="n">
        <v>46051</v>
      </c>
      <c r="D344" t="inlineStr">
        <is>
          <t>ÖSTERGÖTLANDS LÄN</t>
        </is>
      </c>
      <c r="E344" t="inlineStr">
        <is>
          <t>LINKÖPING</t>
        </is>
      </c>
      <c r="G344" t="n">
        <v>5.2</v>
      </c>
      <c r="H344" t="n">
        <v>0</v>
      </c>
      <c r="I344" t="n">
        <v>0</v>
      </c>
      <c r="J344" t="n">
        <v>0</v>
      </c>
      <c r="K344" t="n">
        <v>0</v>
      </c>
      <c r="L344" t="n">
        <v>0</v>
      </c>
      <c r="M344" t="n">
        <v>0</v>
      </c>
      <c r="N344" t="n">
        <v>0</v>
      </c>
      <c r="O344" t="n">
        <v>0</v>
      </c>
      <c r="P344" t="n">
        <v>0</v>
      </c>
      <c r="Q344" t="n">
        <v>0</v>
      </c>
      <c r="R344" s="2" t="inlineStr"/>
    </row>
    <row r="345" ht="15" customHeight="1">
      <c r="A345" t="inlineStr">
        <is>
          <t>A 55945-2024</t>
        </is>
      </c>
      <c r="B345" s="1" t="n">
        <v>45623.61754629629</v>
      </c>
      <c r="C345" s="1" t="n">
        <v>46051</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1993-2023</t>
        </is>
      </c>
      <c r="B346" s="1" t="n">
        <v>44939</v>
      </c>
      <c r="C346" s="1" t="n">
        <v>46051</v>
      </c>
      <c r="D346" t="inlineStr">
        <is>
          <t>ÖSTERGÖTLANDS LÄN</t>
        </is>
      </c>
      <c r="E346" t="inlineStr">
        <is>
          <t>LINKÖPING</t>
        </is>
      </c>
      <c r="G346" t="n">
        <v>3.7</v>
      </c>
      <c r="H346" t="n">
        <v>0</v>
      </c>
      <c r="I346" t="n">
        <v>0</v>
      </c>
      <c r="J346" t="n">
        <v>0</v>
      </c>
      <c r="K346" t="n">
        <v>0</v>
      </c>
      <c r="L346" t="n">
        <v>0</v>
      </c>
      <c r="M346" t="n">
        <v>0</v>
      </c>
      <c r="N346" t="n">
        <v>0</v>
      </c>
      <c r="O346" t="n">
        <v>0</v>
      </c>
      <c r="P346" t="n">
        <v>0</v>
      </c>
      <c r="Q346" t="n">
        <v>0</v>
      </c>
      <c r="R346" s="2" t="inlineStr"/>
    </row>
    <row r="347" ht="15" customHeight="1">
      <c r="A347" t="inlineStr">
        <is>
          <t>A 2618-2023</t>
        </is>
      </c>
      <c r="B347" s="1" t="n">
        <v>44944.35847222222</v>
      </c>
      <c r="C347" s="1" t="n">
        <v>46051</v>
      </c>
      <c r="D347" t="inlineStr">
        <is>
          <t>ÖSTERGÖTLANDS LÄN</t>
        </is>
      </c>
      <c r="E347" t="inlineStr">
        <is>
          <t>LINKÖPING</t>
        </is>
      </c>
      <c r="G347" t="n">
        <v>4.3</v>
      </c>
      <c r="H347" t="n">
        <v>0</v>
      </c>
      <c r="I347" t="n">
        <v>0</v>
      </c>
      <c r="J347" t="n">
        <v>0</v>
      </c>
      <c r="K347" t="n">
        <v>0</v>
      </c>
      <c r="L347" t="n">
        <v>0</v>
      </c>
      <c r="M347" t="n">
        <v>0</v>
      </c>
      <c r="N347" t="n">
        <v>0</v>
      </c>
      <c r="O347" t="n">
        <v>0</v>
      </c>
      <c r="P347" t="n">
        <v>0</v>
      </c>
      <c r="Q347" t="n">
        <v>0</v>
      </c>
      <c r="R347" s="2" t="inlineStr"/>
    </row>
    <row r="348" ht="15" customHeight="1">
      <c r="A348" t="inlineStr">
        <is>
          <t>A 10203-2023</t>
        </is>
      </c>
      <c r="B348" s="1" t="n">
        <v>44986.55711805556</v>
      </c>
      <c r="C348" s="1" t="n">
        <v>46051</v>
      </c>
      <c r="D348" t="inlineStr">
        <is>
          <t>ÖSTERGÖTLANDS LÄN</t>
        </is>
      </c>
      <c r="E348" t="inlineStr">
        <is>
          <t>LINKÖPING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47304-2025</t>
        </is>
      </c>
      <c r="B349" s="1" t="n">
        <v>45930.52037037037</v>
      </c>
      <c r="C349" s="1" t="n">
        <v>46051</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47233-2025</t>
        </is>
      </c>
      <c r="B350" s="1" t="n">
        <v>45930.40612268518</v>
      </c>
      <c r="C350" s="1" t="n">
        <v>46051</v>
      </c>
      <c r="D350" t="inlineStr">
        <is>
          <t>ÖSTERGÖTLANDS LÄN</t>
        </is>
      </c>
      <c r="E350" t="inlineStr">
        <is>
          <t>LINKÖPING</t>
        </is>
      </c>
      <c r="G350" t="n">
        <v>4.3</v>
      </c>
      <c r="H350" t="n">
        <v>0</v>
      </c>
      <c r="I350" t="n">
        <v>0</v>
      </c>
      <c r="J350" t="n">
        <v>0</v>
      </c>
      <c r="K350" t="n">
        <v>0</v>
      </c>
      <c r="L350" t="n">
        <v>0</v>
      </c>
      <c r="M350" t="n">
        <v>0</v>
      </c>
      <c r="N350" t="n">
        <v>0</v>
      </c>
      <c r="O350" t="n">
        <v>0</v>
      </c>
      <c r="P350" t="n">
        <v>0</v>
      </c>
      <c r="Q350" t="n">
        <v>0</v>
      </c>
      <c r="R350" s="2" t="inlineStr"/>
    </row>
    <row r="351" ht="15" customHeight="1">
      <c r="A351" t="inlineStr">
        <is>
          <t>A 34889-2023</t>
        </is>
      </c>
      <c r="B351" s="1" t="n">
        <v>45140</v>
      </c>
      <c r="C351" s="1" t="n">
        <v>46051</v>
      </c>
      <c r="D351" t="inlineStr">
        <is>
          <t>ÖSTERGÖTLANDS LÄN</t>
        </is>
      </c>
      <c r="E351" t="inlineStr">
        <is>
          <t>LINKÖPING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34928-2023</t>
        </is>
      </c>
      <c r="B352" s="1" t="n">
        <v>45142</v>
      </c>
      <c r="C352" s="1" t="n">
        <v>46051</v>
      </c>
      <c r="D352" t="inlineStr">
        <is>
          <t>ÖSTERGÖTLANDS LÄN</t>
        </is>
      </c>
      <c r="E352" t="inlineStr">
        <is>
          <t>LINKÖPING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46847-2025</t>
        </is>
      </c>
      <c r="B353" s="1" t="n">
        <v>45928.69971064815</v>
      </c>
      <c r="C353" s="1" t="n">
        <v>46051</v>
      </c>
      <c r="D353" t="inlineStr">
        <is>
          <t>ÖSTERGÖTLANDS LÄN</t>
        </is>
      </c>
      <c r="E353" t="inlineStr">
        <is>
          <t>LINKÖPING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1268-2023</t>
        </is>
      </c>
      <c r="B354" s="1" t="n">
        <v>44936</v>
      </c>
      <c r="C354" s="1" t="n">
        <v>46051</v>
      </c>
      <c r="D354" t="inlineStr">
        <is>
          <t>ÖSTERGÖTLANDS LÄN</t>
        </is>
      </c>
      <c r="E354" t="inlineStr">
        <is>
          <t>LINKÖPING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48343-2025</t>
        </is>
      </c>
      <c r="B355" s="1" t="n">
        <v>45932</v>
      </c>
      <c r="C355" s="1" t="n">
        <v>46051</v>
      </c>
      <c r="D355" t="inlineStr">
        <is>
          <t>ÖSTERGÖTLANDS LÄN</t>
        </is>
      </c>
      <c r="E355" t="inlineStr">
        <is>
          <t>LINKÖPING</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5314-2021</t>
        </is>
      </c>
      <c r="B356" s="1" t="n">
        <v>44229</v>
      </c>
      <c r="C356" s="1" t="n">
        <v>46051</v>
      </c>
      <c r="D356" t="inlineStr">
        <is>
          <t>ÖSTERGÖTLANDS LÄN</t>
        </is>
      </c>
      <c r="E356" t="inlineStr">
        <is>
          <t>LINKÖPING</t>
        </is>
      </c>
      <c r="G356" t="n">
        <v>6.2</v>
      </c>
      <c r="H356" t="n">
        <v>0</v>
      </c>
      <c r="I356" t="n">
        <v>0</v>
      </c>
      <c r="J356" t="n">
        <v>0</v>
      </c>
      <c r="K356" t="n">
        <v>0</v>
      </c>
      <c r="L356" t="n">
        <v>0</v>
      </c>
      <c r="M356" t="n">
        <v>0</v>
      </c>
      <c r="N356" t="n">
        <v>0</v>
      </c>
      <c r="O356" t="n">
        <v>0</v>
      </c>
      <c r="P356" t="n">
        <v>0</v>
      </c>
      <c r="Q356" t="n">
        <v>0</v>
      </c>
      <c r="R356" s="2" t="inlineStr"/>
    </row>
    <row r="357" ht="15" customHeight="1">
      <c r="A357" t="inlineStr">
        <is>
          <t>A 47606-2025</t>
        </is>
      </c>
      <c r="B357" s="1" t="n">
        <v>45931.46402777778</v>
      </c>
      <c r="C357" s="1" t="n">
        <v>46051</v>
      </c>
      <c r="D357" t="inlineStr">
        <is>
          <t>ÖSTERGÖTLANDS LÄN</t>
        </is>
      </c>
      <c r="E357" t="inlineStr">
        <is>
          <t>LINKÖPING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48254-2025</t>
        </is>
      </c>
      <c r="B358" s="1" t="n">
        <v>45932</v>
      </c>
      <c r="C358" s="1" t="n">
        <v>46051</v>
      </c>
      <c r="D358" t="inlineStr">
        <is>
          <t>ÖSTERGÖTLANDS LÄN</t>
        </is>
      </c>
      <c r="E358" t="inlineStr">
        <is>
          <t>LINKÖPING</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48266-2025</t>
        </is>
      </c>
      <c r="B359" s="1" t="n">
        <v>45932</v>
      </c>
      <c r="C359" s="1" t="n">
        <v>46051</v>
      </c>
      <c r="D359" t="inlineStr">
        <is>
          <t>ÖSTERGÖTLANDS LÄN</t>
        </is>
      </c>
      <c r="E359" t="inlineStr">
        <is>
          <t>LINKÖPING</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49747-2024</t>
        </is>
      </c>
      <c r="B360" s="1" t="n">
        <v>45596</v>
      </c>
      <c r="C360" s="1" t="n">
        <v>46051</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31725-2022</t>
        </is>
      </c>
      <c r="B361" s="1" t="n">
        <v>44776.48541666667</v>
      </c>
      <c r="C361" s="1" t="n">
        <v>46051</v>
      </c>
      <c r="D361" t="inlineStr">
        <is>
          <t>ÖSTERGÖTLANDS LÄN</t>
        </is>
      </c>
      <c r="E361" t="inlineStr">
        <is>
          <t>LINKÖPING</t>
        </is>
      </c>
      <c r="G361" t="n">
        <v>2.6</v>
      </c>
      <c r="H361" t="n">
        <v>0</v>
      </c>
      <c r="I361" t="n">
        <v>0</v>
      </c>
      <c r="J361" t="n">
        <v>0</v>
      </c>
      <c r="K361" t="n">
        <v>0</v>
      </c>
      <c r="L361" t="n">
        <v>0</v>
      </c>
      <c r="M361" t="n">
        <v>0</v>
      </c>
      <c r="N361" t="n">
        <v>0</v>
      </c>
      <c r="O361" t="n">
        <v>0</v>
      </c>
      <c r="P361" t="n">
        <v>0</v>
      </c>
      <c r="Q361" t="n">
        <v>0</v>
      </c>
      <c r="R361" s="2" t="inlineStr"/>
    </row>
    <row r="362" ht="15" customHeight="1">
      <c r="A362" t="inlineStr">
        <is>
          <t>A 37057-2025</t>
        </is>
      </c>
      <c r="B362" s="1" t="n">
        <v>45875.37489583333</v>
      </c>
      <c r="C362" s="1" t="n">
        <v>46051</v>
      </c>
      <c r="D362" t="inlineStr">
        <is>
          <t>ÖSTERGÖTLANDS LÄN</t>
        </is>
      </c>
      <c r="E362" t="inlineStr">
        <is>
          <t>LINKÖPING</t>
        </is>
      </c>
      <c r="G362" t="n">
        <v>3.3</v>
      </c>
      <c r="H362" t="n">
        <v>0</v>
      </c>
      <c r="I362" t="n">
        <v>0</v>
      </c>
      <c r="J362" t="n">
        <v>0</v>
      </c>
      <c r="K362" t="n">
        <v>0</v>
      </c>
      <c r="L362" t="n">
        <v>0</v>
      </c>
      <c r="M362" t="n">
        <v>0</v>
      </c>
      <c r="N362" t="n">
        <v>0</v>
      </c>
      <c r="O362" t="n">
        <v>0</v>
      </c>
      <c r="P362" t="n">
        <v>0</v>
      </c>
      <c r="Q362" t="n">
        <v>0</v>
      </c>
      <c r="R362" s="2" t="inlineStr"/>
    </row>
    <row r="363" ht="15" customHeight="1">
      <c r="A363" t="inlineStr">
        <is>
          <t>A 49605-2025</t>
        </is>
      </c>
      <c r="B363" s="1" t="n">
        <v>45938</v>
      </c>
      <c r="C363" s="1" t="n">
        <v>46051</v>
      </c>
      <c r="D363" t="inlineStr">
        <is>
          <t>ÖSTERGÖTLANDS LÄN</t>
        </is>
      </c>
      <c r="E363" t="inlineStr">
        <is>
          <t>LINKÖPING</t>
        </is>
      </c>
      <c r="F363" t="inlineStr">
        <is>
          <t>Övriga Aktiebolag</t>
        </is>
      </c>
      <c r="G363" t="n">
        <v>3.3</v>
      </c>
      <c r="H363" t="n">
        <v>0</v>
      </c>
      <c r="I363" t="n">
        <v>0</v>
      </c>
      <c r="J363" t="n">
        <v>0</v>
      </c>
      <c r="K363" t="n">
        <v>0</v>
      </c>
      <c r="L363" t="n">
        <v>0</v>
      </c>
      <c r="M363" t="n">
        <v>0</v>
      </c>
      <c r="N363" t="n">
        <v>0</v>
      </c>
      <c r="O363" t="n">
        <v>0</v>
      </c>
      <c r="P363" t="n">
        <v>0</v>
      </c>
      <c r="Q363" t="n">
        <v>0</v>
      </c>
      <c r="R363" s="2" t="inlineStr"/>
    </row>
    <row r="364" ht="15" customHeight="1">
      <c r="A364" t="inlineStr">
        <is>
          <t>A 49647-2025</t>
        </is>
      </c>
      <c r="B364" s="1" t="n">
        <v>45938</v>
      </c>
      <c r="C364" s="1" t="n">
        <v>46051</v>
      </c>
      <c r="D364" t="inlineStr">
        <is>
          <t>ÖSTERGÖTLANDS LÄN</t>
        </is>
      </c>
      <c r="E364" t="inlineStr">
        <is>
          <t>LINKÖPING</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49633-2025</t>
        </is>
      </c>
      <c r="B365" s="1" t="n">
        <v>45938</v>
      </c>
      <c r="C365" s="1" t="n">
        <v>46051</v>
      </c>
      <c r="D365" t="inlineStr">
        <is>
          <t>ÖSTERGÖTLANDS LÄN</t>
        </is>
      </c>
      <c r="E365" t="inlineStr">
        <is>
          <t>LINKÖPING</t>
        </is>
      </c>
      <c r="F365" t="inlineStr">
        <is>
          <t>Övriga Aktiebolag</t>
        </is>
      </c>
      <c r="G365" t="n">
        <v>0.7</v>
      </c>
      <c r="H365" t="n">
        <v>0</v>
      </c>
      <c r="I365" t="n">
        <v>0</v>
      </c>
      <c r="J365" t="n">
        <v>0</v>
      </c>
      <c r="K365" t="n">
        <v>0</v>
      </c>
      <c r="L365" t="n">
        <v>0</v>
      </c>
      <c r="M365" t="n">
        <v>0</v>
      </c>
      <c r="N365" t="n">
        <v>0</v>
      </c>
      <c r="O365" t="n">
        <v>0</v>
      </c>
      <c r="P365" t="n">
        <v>0</v>
      </c>
      <c r="Q365" t="n">
        <v>0</v>
      </c>
      <c r="R365" s="2" t="inlineStr"/>
    </row>
    <row r="366" ht="15" customHeight="1">
      <c r="A366" t="inlineStr">
        <is>
          <t>A 49663-2025</t>
        </is>
      </c>
      <c r="B366" s="1" t="n">
        <v>45938</v>
      </c>
      <c r="C366" s="1" t="n">
        <v>46051</v>
      </c>
      <c r="D366" t="inlineStr">
        <is>
          <t>ÖSTERGÖTLANDS LÄN</t>
        </is>
      </c>
      <c r="E366" t="inlineStr">
        <is>
          <t>LINKÖPING</t>
        </is>
      </c>
      <c r="F366" t="inlineStr">
        <is>
          <t>Övriga Aktiebolag</t>
        </is>
      </c>
      <c r="G366" t="n">
        <v>1.2</v>
      </c>
      <c r="H366" t="n">
        <v>0</v>
      </c>
      <c r="I366" t="n">
        <v>0</v>
      </c>
      <c r="J366" t="n">
        <v>0</v>
      </c>
      <c r="K366" t="n">
        <v>0</v>
      </c>
      <c r="L366" t="n">
        <v>0</v>
      </c>
      <c r="M366" t="n">
        <v>0</v>
      </c>
      <c r="N366" t="n">
        <v>0</v>
      </c>
      <c r="O366" t="n">
        <v>0</v>
      </c>
      <c r="P366" t="n">
        <v>0</v>
      </c>
      <c r="Q366" t="n">
        <v>0</v>
      </c>
      <c r="R366" s="2" t="inlineStr"/>
    </row>
    <row r="367" ht="15" customHeight="1">
      <c r="A367" t="inlineStr">
        <is>
          <t>A 49455-2025</t>
        </is>
      </c>
      <c r="B367" s="1" t="n">
        <v>45938</v>
      </c>
      <c r="C367" s="1" t="n">
        <v>46051</v>
      </c>
      <c r="D367" t="inlineStr">
        <is>
          <t>ÖSTERGÖTLANDS LÄN</t>
        </is>
      </c>
      <c r="E367" t="inlineStr">
        <is>
          <t>LINKÖPING</t>
        </is>
      </c>
      <c r="F367" t="inlineStr">
        <is>
          <t>Övriga Aktiebolag</t>
        </is>
      </c>
      <c r="G367" t="n">
        <v>5.9</v>
      </c>
      <c r="H367" t="n">
        <v>0</v>
      </c>
      <c r="I367" t="n">
        <v>0</v>
      </c>
      <c r="J367" t="n">
        <v>0</v>
      </c>
      <c r="K367" t="n">
        <v>0</v>
      </c>
      <c r="L367" t="n">
        <v>0</v>
      </c>
      <c r="M367" t="n">
        <v>0</v>
      </c>
      <c r="N367" t="n">
        <v>0</v>
      </c>
      <c r="O367" t="n">
        <v>0</v>
      </c>
      <c r="P367" t="n">
        <v>0</v>
      </c>
      <c r="Q367" t="n">
        <v>0</v>
      </c>
      <c r="R367" s="2" t="inlineStr"/>
    </row>
    <row r="368" ht="15" customHeight="1">
      <c r="A368" t="inlineStr">
        <is>
          <t>A 49652-2025</t>
        </is>
      </c>
      <c r="B368" s="1" t="n">
        <v>45938</v>
      </c>
      <c r="C368" s="1" t="n">
        <v>46051</v>
      </c>
      <c r="D368" t="inlineStr">
        <is>
          <t>ÖSTERGÖTLANDS LÄN</t>
        </is>
      </c>
      <c r="E368" t="inlineStr">
        <is>
          <t>LINKÖPING</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49654-2025</t>
        </is>
      </c>
      <c r="B369" s="1" t="n">
        <v>45938</v>
      </c>
      <c r="C369" s="1" t="n">
        <v>46051</v>
      </c>
      <c r="D369" t="inlineStr">
        <is>
          <t>ÖSTERGÖTLANDS LÄN</t>
        </is>
      </c>
      <c r="E369" t="inlineStr">
        <is>
          <t>LINKÖPING</t>
        </is>
      </c>
      <c r="F369" t="inlineStr">
        <is>
          <t>Övriga Aktiebolag</t>
        </is>
      </c>
      <c r="G369" t="n">
        <v>3.1</v>
      </c>
      <c r="H369" t="n">
        <v>0</v>
      </c>
      <c r="I369" t="n">
        <v>0</v>
      </c>
      <c r="J369" t="n">
        <v>0</v>
      </c>
      <c r="K369" t="n">
        <v>0</v>
      </c>
      <c r="L369" t="n">
        <v>0</v>
      </c>
      <c r="M369" t="n">
        <v>0</v>
      </c>
      <c r="N369" t="n">
        <v>0</v>
      </c>
      <c r="O369" t="n">
        <v>0</v>
      </c>
      <c r="P369" t="n">
        <v>0</v>
      </c>
      <c r="Q369" t="n">
        <v>0</v>
      </c>
      <c r="R369" s="2" t="inlineStr"/>
    </row>
    <row r="370" ht="15" customHeight="1">
      <c r="A370" t="inlineStr">
        <is>
          <t>A 49619-2025</t>
        </is>
      </c>
      <c r="B370" s="1" t="n">
        <v>45938</v>
      </c>
      <c r="C370" s="1" t="n">
        <v>46051</v>
      </c>
      <c r="D370" t="inlineStr">
        <is>
          <t>ÖSTERGÖTLANDS LÄN</t>
        </is>
      </c>
      <c r="E370" t="inlineStr">
        <is>
          <t>LINKÖPING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49629-2025</t>
        </is>
      </c>
      <c r="B371" s="1" t="n">
        <v>45938</v>
      </c>
      <c r="C371" s="1" t="n">
        <v>46051</v>
      </c>
      <c r="D371" t="inlineStr">
        <is>
          <t>ÖSTERGÖTLANDS LÄN</t>
        </is>
      </c>
      <c r="E371" t="inlineStr">
        <is>
          <t>LINKÖPING</t>
        </is>
      </c>
      <c r="F371" t="inlineStr">
        <is>
          <t>Övriga Aktiebolag</t>
        </is>
      </c>
      <c r="G371" t="n">
        <v>4.5</v>
      </c>
      <c r="H371" t="n">
        <v>0</v>
      </c>
      <c r="I371" t="n">
        <v>0</v>
      </c>
      <c r="J371" t="n">
        <v>0</v>
      </c>
      <c r="K371" t="n">
        <v>0</v>
      </c>
      <c r="L371" t="n">
        <v>0</v>
      </c>
      <c r="M371" t="n">
        <v>0</v>
      </c>
      <c r="N371" t="n">
        <v>0</v>
      </c>
      <c r="O371" t="n">
        <v>0</v>
      </c>
      <c r="P371" t="n">
        <v>0</v>
      </c>
      <c r="Q371" t="n">
        <v>0</v>
      </c>
      <c r="R371" s="2" t="inlineStr"/>
    </row>
    <row r="372" ht="15" customHeight="1">
      <c r="A372" t="inlineStr">
        <is>
          <t>A 49650-2025</t>
        </is>
      </c>
      <c r="B372" s="1" t="n">
        <v>45938</v>
      </c>
      <c r="C372" s="1" t="n">
        <v>46051</v>
      </c>
      <c r="D372" t="inlineStr">
        <is>
          <t>ÖSTERGÖTLANDS LÄN</t>
        </is>
      </c>
      <c r="E372" t="inlineStr">
        <is>
          <t>LINKÖPING</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49632-2025</t>
        </is>
      </c>
      <c r="B373" s="1" t="n">
        <v>45938</v>
      </c>
      <c r="C373" s="1" t="n">
        <v>46051</v>
      </c>
      <c r="D373" t="inlineStr">
        <is>
          <t>ÖSTERGÖTLANDS LÄN</t>
        </is>
      </c>
      <c r="E373" t="inlineStr">
        <is>
          <t>LINKÖPING</t>
        </is>
      </c>
      <c r="F373" t="inlineStr">
        <is>
          <t>Övriga Aktiebolag</t>
        </is>
      </c>
      <c r="G373" t="n">
        <v>1.6</v>
      </c>
      <c r="H373" t="n">
        <v>0</v>
      </c>
      <c r="I373" t="n">
        <v>0</v>
      </c>
      <c r="J373" t="n">
        <v>0</v>
      </c>
      <c r="K373" t="n">
        <v>0</v>
      </c>
      <c r="L373" t="n">
        <v>0</v>
      </c>
      <c r="M373" t="n">
        <v>0</v>
      </c>
      <c r="N373" t="n">
        <v>0</v>
      </c>
      <c r="O373" t="n">
        <v>0</v>
      </c>
      <c r="P373" t="n">
        <v>0</v>
      </c>
      <c r="Q373" t="n">
        <v>0</v>
      </c>
      <c r="R373" s="2" t="inlineStr"/>
    </row>
    <row r="374" ht="15" customHeight="1">
      <c r="A374" t="inlineStr">
        <is>
          <t>A 49615-2025</t>
        </is>
      </c>
      <c r="B374" s="1" t="n">
        <v>45938</v>
      </c>
      <c r="C374" s="1" t="n">
        <v>46051</v>
      </c>
      <c r="D374" t="inlineStr">
        <is>
          <t>ÖSTERGÖTLANDS LÄN</t>
        </is>
      </c>
      <c r="E374" t="inlineStr">
        <is>
          <t>LINKÖPING</t>
        </is>
      </c>
      <c r="F374" t="inlineStr">
        <is>
          <t>Övriga Aktiebolag</t>
        </is>
      </c>
      <c r="G374" t="n">
        <v>1.6</v>
      </c>
      <c r="H374" t="n">
        <v>0</v>
      </c>
      <c r="I374" t="n">
        <v>0</v>
      </c>
      <c r="J374" t="n">
        <v>0</v>
      </c>
      <c r="K374" t="n">
        <v>0</v>
      </c>
      <c r="L374" t="n">
        <v>0</v>
      </c>
      <c r="M374" t="n">
        <v>0</v>
      </c>
      <c r="N374" t="n">
        <v>0</v>
      </c>
      <c r="O374" t="n">
        <v>0</v>
      </c>
      <c r="P374" t="n">
        <v>0</v>
      </c>
      <c r="Q374" t="n">
        <v>0</v>
      </c>
      <c r="R374" s="2" t="inlineStr"/>
    </row>
    <row r="375" ht="15" customHeight="1">
      <c r="A375" t="inlineStr">
        <is>
          <t>A 25829-2025</t>
        </is>
      </c>
      <c r="B375" s="1" t="n">
        <v>45804.44505787037</v>
      </c>
      <c r="C375" s="1" t="n">
        <v>46051</v>
      </c>
      <c r="D375" t="inlineStr">
        <is>
          <t>ÖSTERGÖTLANDS LÄN</t>
        </is>
      </c>
      <c r="E375" t="inlineStr">
        <is>
          <t>LINKÖPING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2389-2023</t>
        </is>
      </c>
      <c r="B376" s="1" t="n">
        <v>44942</v>
      </c>
      <c r="C376" s="1" t="n">
        <v>46051</v>
      </c>
      <c r="D376" t="inlineStr">
        <is>
          <t>ÖSTERGÖTLANDS LÄN</t>
        </is>
      </c>
      <c r="E376" t="inlineStr">
        <is>
          <t>LINKÖPING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40983-2025</t>
        </is>
      </c>
      <c r="B377" s="1" t="n">
        <v>45898</v>
      </c>
      <c r="C377" s="1" t="n">
        <v>46051</v>
      </c>
      <c r="D377" t="inlineStr">
        <is>
          <t>ÖSTERGÖTLANDS LÄN</t>
        </is>
      </c>
      <c r="E377" t="inlineStr">
        <is>
          <t>LINKÖPING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3627-2023</t>
        </is>
      </c>
      <c r="B378" s="1" t="n">
        <v>44950.64782407408</v>
      </c>
      <c r="C378" s="1" t="n">
        <v>46051</v>
      </c>
      <c r="D378" t="inlineStr">
        <is>
          <t>ÖSTERGÖTLANDS LÄN</t>
        </is>
      </c>
      <c r="E378" t="inlineStr">
        <is>
          <t>LINKÖPING</t>
        </is>
      </c>
      <c r="G378" t="n">
        <v>3.1</v>
      </c>
      <c r="H378" t="n">
        <v>0</v>
      </c>
      <c r="I378" t="n">
        <v>0</v>
      </c>
      <c r="J378" t="n">
        <v>0</v>
      </c>
      <c r="K378" t="n">
        <v>0</v>
      </c>
      <c r="L378" t="n">
        <v>0</v>
      </c>
      <c r="M378" t="n">
        <v>0</v>
      </c>
      <c r="N378" t="n">
        <v>0</v>
      </c>
      <c r="O378" t="n">
        <v>0</v>
      </c>
      <c r="P378" t="n">
        <v>0</v>
      </c>
      <c r="Q378" t="n">
        <v>0</v>
      </c>
      <c r="R378" s="2" t="inlineStr"/>
    </row>
    <row r="379" ht="15" customHeight="1">
      <c r="A379" t="inlineStr">
        <is>
          <t>A 62687-2023</t>
        </is>
      </c>
      <c r="B379" s="1" t="n">
        <v>45271</v>
      </c>
      <c r="C379" s="1" t="n">
        <v>46051</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50056-2025</t>
        </is>
      </c>
      <c r="B380" s="1" t="n">
        <v>45941</v>
      </c>
      <c r="C380" s="1" t="n">
        <v>46051</v>
      </c>
      <c r="D380" t="inlineStr">
        <is>
          <t>ÖSTERGÖTLANDS LÄN</t>
        </is>
      </c>
      <c r="E380" t="inlineStr">
        <is>
          <t>LINKÖPING</t>
        </is>
      </c>
      <c r="G380" t="n">
        <v>0.3</v>
      </c>
      <c r="H380" t="n">
        <v>0</v>
      </c>
      <c r="I380" t="n">
        <v>0</v>
      </c>
      <c r="J380" t="n">
        <v>0</v>
      </c>
      <c r="K380" t="n">
        <v>0</v>
      </c>
      <c r="L380" t="n">
        <v>0</v>
      </c>
      <c r="M380" t="n">
        <v>0</v>
      </c>
      <c r="N380" t="n">
        <v>0</v>
      </c>
      <c r="O380" t="n">
        <v>0</v>
      </c>
      <c r="P380" t="n">
        <v>0</v>
      </c>
      <c r="Q380" t="n">
        <v>0</v>
      </c>
      <c r="R380" s="2" t="inlineStr"/>
    </row>
    <row r="381" ht="15" customHeight="1">
      <c r="A381" t="inlineStr">
        <is>
          <t>A 18891-2022</t>
        </is>
      </c>
      <c r="B381" s="1" t="n">
        <v>44690</v>
      </c>
      <c r="C381" s="1" t="n">
        <v>46051</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50667-2025</t>
        </is>
      </c>
      <c r="B382" s="1" t="n">
        <v>45945</v>
      </c>
      <c r="C382" s="1" t="n">
        <v>46051</v>
      </c>
      <c r="D382" t="inlineStr">
        <is>
          <t>ÖSTERGÖTLANDS LÄN</t>
        </is>
      </c>
      <c r="E382" t="inlineStr">
        <is>
          <t>LINKÖPING</t>
        </is>
      </c>
      <c r="G382" t="n">
        <v>3.3</v>
      </c>
      <c r="H382" t="n">
        <v>0</v>
      </c>
      <c r="I382" t="n">
        <v>0</v>
      </c>
      <c r="J382" t="n">
        <v>0</v>
      </c>
      <c r="K382" t="n">
        <v>0</v>
      </c>
      <c r="L382" t="n">
        <v>0</v>
      </c>
      <c r="M382" t="n">
        <v>0</v>
      </c>
      <c r="N382" t="n">
        <v>0</v>
      </c>
      <c r="O382" t="n">
        <v>0</v>
      </c>
      <c r="P382" t="n">
        <v>0</v>
      </c>
      <c r="Q382" t="n">
        <v>0</v>
      </c>
      <c r="R382" s="2" t="inlineStr"/>
    </row>
    <row r="383" ht="15" customHeight="1">
      <c r="A383" t="inlineStr">
        <is>
          <t>A 26620-2023</t>
        </is>
      </c>
      <c r="B383" s="1" t="n">
        <v>45092.70390046296</v>
      </c>
      <c r="C383" s="1" t="n">
        <v>46051</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51802-2025</t>
        </is>
      </c>
      <c r="B384" s="1" t="n">
        <v>45950</v>
      </c>
      <c r="C384" s="1" t="n">
        <v>46051</v>
      </c>
      <c r="D384" t="inlineStr">
        <is>
          <t>ÖSTERGÖTLANDS LÄN</t>
        </is>
      </c>
      <c r="E384" t="inlineStr">
        <is>
          <t>LINKÖPING</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38046-2025</t>
        </is>
      </c>
      <c r="B385" s="1" t="n">
        <v>45882.39939814815</v>
      </c>
      <c r="C385" s="1" t="n">
        <v>46051</v>
      </c>
      <c r="D385" t="inlineStr">
        <is>
          <t>ÖSTERGÖTLANDS LÄN</t>
        </is>
      </c>
      <c r="E385" t="inlineStr">
        <is>
          <t>LINKÖPING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56180-2024</t>
        </is>
      </c>
      <c r="B386" s="1" t="n">
        <v>45624.56611111111</v>
      </c>
      <c r="C386" s="1" t="n">
        <v>46051</v>
      </c>
      <c r="D386" t="inlineStr">
        <is>
          <t>ÖSTERGÖTLANDS LÄN</t>
        </is>
      </c>
      <c r="E386" t="inlineStr">
        <is>
          <t>LINKÖPING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938-2023</t>
        </is>
      </c>
      <c r="B387" s="1" t="n">
        <v>44933</v>
      </c>
      <c r="C387" s="1" t="n">
        <v>46051</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25418-2023</t>
        </is>
      </c>
      <c r="B388" s="1" t="n">
        <v>45089</v>
      </c>
      <c r="C388" s="1" t="n">
        <v>46051</v>
      </c>
      <c r="D388" t="inlineStr">
        <is>
          <t>ÖSTERGÖTLANDS LÄN</t>
        </is>
      </c>
      <c r="E388" t="inlineStr">
        <is>
          <t>LINKÖPING</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60007-2022</t>
        </is>
      </c>
      <c r="B389" s="1" t="n">
        <v>44909.47282407407</v>
      </c>
      <c r="C389" s="1" t="n">
        <v>46051</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3008-2023</t>
        </is>
      </c>
      <c r="B390" s="1" t="n">
        <v>44945.79784722222</v>
      </c>
      <c r="C390" s="1" t="n">
        <v>46051</v>
      </c>
      <c r="D390" t="inlineStr">
        <is>
          <t>ÖSTERGÖTLANDS LÄN</t>
        </is>
      </c>
      <c r="E390" t="inlineStr">
        <is>
          <t>LINKÖPING</t>
        </is>
      </c>
      <c r="G390" t="n">
        <v>19.3</v>
      </c>
      <c r="H390" t="n">
        <v>0</v>
      </c>
      <c r="I390" t="n">
        <v>0</v>
      </c>
      <c r="J390" t="n">
        <v>0</v>
      </c>
      <c r="K390" t="n">
        <v>0</v>
      </c>
      <c r="L390" t="n">
        <v>0</v>
      </c>
      <c r="M390" t="n">
        <v>0</v>
      </c>
      <c r="N390" t="n">
        <v>0</v>
      </c>
      <c r="O390" t="n">
        <v>0</v>
      </c>
      <c r="P390" t="n">
        <v>0</v>
      </c>
      <c r="Q390" t="n">
        <v>0</v>
      </c>
      <c r="R390" s="2" t="inlineStr"/>
    </row>
    <row r="391" ht="15" customHeight="1">
      <c r="A391" t="inlineStr">
        <is>
          <t>A 52111-2025</t>
        </is>
      </c>
      <c r="B391" s="1" t="n">
        <v>45952.69527777778</v>
      </c>
      <c r="C391" s="1" t="n">
        <v>46051</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11601-2023</t>
        </is>
      </c>
      <c r="B392" s="1" t="n">
        <v>44994</v>
      </c>
      <c r="C392" s="1" t="n">
        <v>46051</v>
      </c>
      <c r="D392" t="inlineStr">
        <is>
          <t>ÖSTERGÖTLANDS LÄN</t>
        </is>
      </c>
      <c r="E392" t="inlineStr">
        <is>
          <t>LINKÖPING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1260-2023</t>
        </is>
      </c>
      <c r="B393" s="1" t="n">
        <v>44936</v>
      </c>
      <c r="C393" s="1" t="n">
        <v>46051</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7702-2023</t>
        </is>
      </c>
      <c r="B394" s="1" t="n">
        <v>44967</v>
      </c>
      <c r="C394" s="1" t="n">
        <v>46051</v>
      </c>
      <c r="D394" t="inlineStr">
        <is>
          <t>ÖSTERGÖTLANDS LÄN</t>
        </is>
      </c>
      <c r="E394" t="inlineStr">
        <is>
          <t>LINKÖPING</t>
        </is>
      </c>
      <c r="F394" t="inlineStr">
        <is>
          <t>Övriga statliga verk och myndigheter</t>
        </is>
      </c>
      <c r="G394" t="n">
        <v>8</v>
      </c>
      <c r="H394" t="n">
        <v>0</v>
      </c>
      <c r="I394" t="n">
        <v>0</v>
      </c>
      <c r="J394" t="n">
        <v>0</v>
      </c>
      <c r="K394" t="n">
        <v>0</v>
      </c>
      <c r="L394" t="n">
        <v>0</v>
      </c>
      <c r="M394" t="n">
        <v>0</v>
      </c>
      <c r="N394" t="n">
        <v>0</v>
      </c>
      <c r="O394" t="n">
        <v>0</v>
      </c>
      <c r="P394" t="n">
        <v>0</v>
      </c>
      <c r="Q394" t="n">
        <v>0</v>
      </c>
      <c r="R394" s="2" t="inlineStr"/>
    </row>
    <row r="395" ht="15" customHeight="1">
      <c r="A395" t="inlineStr">
        <is>
          <t>A 52800-2025</t>
        </is>
      </c>
      <c r="B395" s="1" t="n">
        <v>45957.44152777778</v>
      </c>
      <c r="C395" s="1" t="n">
        <v>46051</v>
      </c>
      <c r="D395" t="inlineStr">
        <is>
          <t>ÖSTERGÖTLANDS LÄN</t>
        </is>
      </c>
      <c r="E395" t="inlineStr">
        <is>
          <t>LINKÖPING</t>
        </is>
      </c>
      <c r="G395" t="n">
        <v>2.5</v>
      </c>
      <c r="H395" t="n">
        <v>0</v>
      </c>
      <c r="I395" t="n">
        <v>0</v>
      </c>
      <c r="J395" t="n">
        <v>0</v>
      </c>
      <c r="K395" t="n">
        <v>0</v>
      </c>
      <c r="L395" t="n">
        <v>0</v>
      </c>
      <c r="M395" t="n">
        <v>0</v>
      </c>
      <c r="N395" t="n">
        <v>0</v>
      </c>
      <c r="O395" t="n">
        <v>0</v>
      </c>
      <c r="P395" t="n">
        <v>0</v>
      </c>
      <c r="Q395" t="n">
        <v>0</v>
      </c>
      <c r="R395" s="2" t="inlineStr"/>
    </row>
    <row r="396" ht="15" customHeight="1">
      <c r="A396" t="inlineStr">
        <is>
          <t>A 52802-2025</t>
        </is>
      </c>
      <c r="B396" s="1" t="n">
        <v>45957.44295138889</v>
      </c>
      <c r="C396" s="1" t="n">
        <v>46051</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674-2024</t>
        </is>
      </c>
      <c r="B397" s="1" t="n">
        <v>45300.34408564815</v>
      </c>
      <c r="C397" s="1" t="n">
        <v>46051</v>
      </c>
      <c r="D397" t="inlineStr">
        <is>
          <t>ÖSTERGÖTLANDS LÄN</t>
        </is>
      </c>
      <c r="E397" t="inlineStr">
        <is>
          <t>LINKÖPING</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63684-2023</t>
        </is>
      </c>
      <c r="B398" s="1" t="n">
        <v>45275</v>
      </c>
      <c r="C398" s="1" t="n">
        <v>46051</v>
      </c>
      <c r="D398" t="inlineStr">
        <is>
          <t>ÖSTERGÖTLANDS LÄN</t>
        </is>
      </c>
      <c r="E398" t="inlineStr">
        <is>
          <t>LINKÖPING</t>
        </is>
      </c>
      <c r="G398" t="n">
        <v>0.4</v>
      </c>
      <c r="H398" t="n">
        <v>0</v>
      </c>
      <c r="I398" t="n">
        <v>0</v>
      </c>
      <c r="J398" t="n">
        <v>0</v>
      </c>
      <c r="K398" t="n">
        <v>0</v>
      </c>
      <c r="L398" t="n">
        <v>0</v>
      </c>
      <c r="M398" t="n">
        <v>0</v>
      </c>
      <c r="N398" t="n">
        <v>0</v>
      </c>
      <c r="O398" t="n">
        <v>0</v>
      </c>
      <c r="P398" t="n">
        <v>0</v>
      </c>
      <c r="Q398" t="n">
        <v>0</v>
      </c>
      <c r="R398" s="2" t="inlineStr"/>
    </row>
    <row r="399" ht="15" customHeight="1">
      <c r="A399" t="inlineStr">
        <is>
          <t>A 167-2024</t>
        </is>
      </c>
      <c r="B399" s="1" t="n">
        <v>45294</v>
      </c>
      <c r="C399" s="1" t="n">
        <v>46051</v>
      </c>
      <c r="D399" t="inlineStr">
        <is>
          <t>ÖSTERGÖTLANDS LÄN</t>
        </is>
      </c>
      <c r="E399" t="inlineStr">
        <is>
          <t>LINKÖPING</t>
        </is>
      </c>
      <c r="F399" t="inlineStr">
        <is>
          <t>Allmännings- och besparingsskogar</t>
        </is>
      </c>
      <c r="G399" t="n">
        <v>11.6</v>
      </c>
      <c r="H399" t="n">
        <v>0</v>
      </c>
      <c r="I399" t="n">
        <v>0</v>
      </c>
      <c r="J399" t="n">
        <v>0</v>
      </c>
      <c r="K399" t="n">
        <v>0</v>
      </c>
      <c r="L399" t="n">
        <v>0</v>
      </c>
      <c r="M399" t="n">
        <v>0</v>
      </c>
      <c r="N399" t="n">
        <v>0</v>
      </c>
      <c r="O399" t="n">
        <v>0</v>
      </c>
      <c r="P399" t="n">
        <v>0</v>
      </c>
      <c r="Q399" t="n">
        <v>0</v>
      </c>
      <c r="R399" s="2" t="inlineStr"/>
    </row>
    <row r="400" ht="15" customHeight="1">
      <c r="A400" t="inlineStr">
        <is>
          <t>A 36725-2023</t>
        </is>
      </c>
      <c r="B400" s="1" t="n">
        <v>45153.68471064815</v>
      </c>
      <c r="C400" s="1" t="n">
        <v>46051</v>
      </c>
      <c r="D400" t="inlineStr">
        <is>
          <t>ÖSTERGÖTLANDS LÄN</t>
        </is>
      </c>
      <c r="E400" t="inlineStr">
        <is>
          <t>LINKÖPING</t>
        </is>
      </c>
      <c r="F400" t="inlineStr">
        <is>
          <t>Allmännings- och besparingsskogar</t>
        </is>
      </c>
      <c r="G400" t="n">
        <v>2.6</v>
      </c>
      <c r="H400" t="n">
        <v>0</v>
      </c>
      <c r="I400" t="n">
        <v>0</v>
      </c>
      <c r="J400" t="n">
        <v>0</v>
      </c>
      <c r="K400" t="n">
        <v>0</v>
      </c>
      <c r="L400" t="n">
        <v>0</v>
      </c>
      <c r="M400" t="n">
        <v>0</v>
      </c>
      <c r="N400" t="n">
        <v>0</v>
      </c>
      <c r="O400" t="n">
        <v>0</v>
      </c>
      <c r="P400" t="n">
        <v>0</v>
      </c>
      <c r="Q400" t="n">
        <v>0</v>
      </c>
      <c r="R400" s="2" t="inlineStr"/>
    </row>
    <row r="401" ht="15" customHeight="1">
      <c r="A401" t="inlineStr">
        <is>
          <t>A 52740-2025</t>
        </is>
      </c>
      <c r="B401" s="1" t="n">
        <v>45957.37747685185</v>
      </c>
      <c r="C401" s="1" t="n">
        <v>46051</v>
      </c>
      <c r="D401" t="inlineStr">
        <is>
          <t>ÖSTERGÖTLANDS LÄN</t>
        </is>
      </c>
      <c r="E401" t="inlineStr">
        <is>
          <t>LINKÖPING</t>
        </is>
      </c>
      <c r="G401" t="n">
        <v>3.7</v>
      </c>
      <c r="H401" t="n">
        <v>0</v>
      </c>
      <c r="I401" t="n">
        <v>0</v>
      </c>
      <c r="J401" t="n">
        <v>0</v>
      </c>
      <c r="K401" t="n">
        <v>0</v>
      </c>
      <c r="L401" t="n">
        <v>0</v>
      </c>
      <c r="M401" t="n">
        <v>0</v>
      </c>
      <c r="N401" t="n">
        <v>0</v>
      </c>
      <c r="O401" t="n">
        <v>0</v>
      </c>
      <c r="P401" t="n">
        <v>0</v>
      </c>
      <c r="Q401" t="n">
        <v>0</v>
      </c>
      <c r="R401" s="2" t="inlineStr"/>
    </row>
    <row r="402" ht="15" customHeight="1">
      <c r="A402" t="inlineStr">
        <is>
          <t>A 52743-2025</t>
        </is>
      </c>
      <c r="B402" s="1" t="n">
        <v>45957.38039351852</v>
      </c>
      <c r="C402" s="1" t="n">
        <v>46051</v>
      </c>
      <c r="D402" t="inlineStr">
        <is>
          <t>ÖSTERGÖTLANDS LÄN</t>
        </is>
      </c>
      <c r="E402" t="inlineStr">
        <is>
          <t>LINKÖPING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52807-2025</t>
        </is>
      </c>
      <c r="B403" s="1" t="n">
        <v>45957.44837962963</v>
      </c>
      <c r="C403" s="1" t="n">
        <v>46051</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27343-2023</t>
        </is>
      </c>
      <c r="B404" s="1" t="n">
        <v>45096</v>
      </c>
      <c r="C404" s="1" t="n">
        <v>46051</v>
      </c>
      <c r="D404" t="inlineStr">
        <is>
          <t>ÖSTERGÖTLANDS LÄN</t>
        </is>
      </c>
      <c r="E404" t="inlineStr">
        <is>
          <t>LINKÖPING</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22774-2024</t>
        </is>
      </c>
      <c r="B405" s="1" t="n">
        <v>45448.46924768519</v>
      </c>
      <c r="C405" s="1" t="n">
        <v>46051</v>
      </c>
      <c r="D405" t="inlineStr">
        <is>
          <t>ÖSTERGÖTLANDS LÄN</t>
        </is>
      </c>
      <c r="E405" t="inlineStr">
        <is>
          <t>LINKÖPING</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22778-2024</t>
        </is>
      </c>
      <c r="B406" s="1" t="n">
        <v>45448.47233796296</v>
      </c>
      <c r="C406" s="1" t="n">
        <v>46051</v>
      </c>
      <c r="D406" t="inlineStr">
        <is>
          <t>ÖSTERGÖTLANDS LÄN</t>
        </is>
      </c>
      <c r="E406" t="inlineStr">
        <is>
          <t>LINKÖPING</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34864-2023</t>
        </is>
      </c>
      <c r="B407" s="1" t="n">
        <v>45141</v>
      </c>
      <c r="C407" s="1" t="n">
        <v>46051</v>
      </c>
      <c r="D407" t="inlineStr">
        <is>
          <t>ÖSTERGÖTLANDS LÄN</t>
        </is>
      </c>
      <c r="E407" t="inlineStr">
        <is>
          <t>LINKÖPING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52531-2023</t>
        </is>
      </c>
      <c r="B408" s="1" t="n">
        <v>45225</v>
      </c>
      <c r="C408" s="1" t="n">
        <v>46051</v>
      </c>
      <c r="D408" t="inlineStr">
        <is>
          <t>ÖSTERGÖTLANDS LÄN</t>
        </is>
      </c>
      <c r="E408" t="inlineStr">
        <is>
          <t>LINKÖPING</t>
        </is>
      </c>
      <c r="F408" t="inlineStr">
        <is>
          <t>Övriga Aktiebolag</t>
        </is>
      </c>
      <c r="G408" t="n">
        <v>1</v>
      </c>
      <c r="H408" t="n">
        <v>0</v>
      </c>
      <c r="I408" t="n">
        <v>0</v>
      </c>
      <c r="J408" t="n">
        <v>0</v>
      </c>
      <c r="K408" t="n">
        <v>0</v>
      </c>
      <c r="L408" t="n">
        <v>0</v>
      </c>
      <c r="M408" t="n">
        <v>0</v>
      </c>
      <c r="N408" t="n">
        <v>0</v>
      </c>
      <c r="O408" t="n">
        <v>0</v>
      </c>
      <c r="P408" t="n">
        <v>0</v>
      </c>
      <c r="Q408" t="n">
        <v>0</v>
      </c>
      <c r="R408" s="2" t="inlineStr"/>
    </row>
    <row r="409" ht="15" customHeight="1">
      <c r="A409" t="inlineStr">
        <is>
          <t>A 34930-2023</t>
        </is>
      </c>
      <c r="B409" s="1" t="n">
        <v>45142</v>
      </c>
      <c r="C409" s="1" t="n">
        <v>46051</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30985-2022</t>
        </is>
      </c>
      <c r="B410" s="1" t="n">
        <v>44768</v>
      </c>
      <c r="C410" s="1" t="n">
        <v>46051</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54333-2025</t>
        </is>
      </c>
      <c r="B411" s="1" t="n">
        <v>45965.35090277778</v>
      </c>
      <c r="C411" s="1" t="n">
        <v>46051</v>
      </c>
      <c r="D411" t="inlineStr">
        <is>
          <t>ÖSTERGÖTLANDS LÄN</t>
        </is>
      </c>
      <c r="E411" t="inlineStr">
        <is>
          <t>LINKÖPING</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54332-2025</t>
        </is>
      </c>
      <c r="B412" s="1" t="n">
        <v>45965.34915509259</v>
      </c>
      <c r="C412" s="1" t="n">
        <v>46051</v>
      </c>
      <c r="D412" t="inlineStr">
        <is>
          <t>ÖSTERGÖTLANDS LÄN</t>
        </is>
      </c>
      <c r="E412" t="inlineStr">
        <is>
          <t>LINKÖPING</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54329-2025</t>
        </is>
      </c>
      <c r="B413" s="1" t="n">
        <v>45965.34706018519</v>
      </c>
      <c r="C413" s="1" t="n">
        <v>46051</v>
      </c>
      <c r="D413" t="inlineStr">
        <is>
          <t>ÖSTERGÖTLANDS LÄN</t>
        </is>
      </c>
      <c r="E413" t="inlineStr">
        <is>
          <t>LINKÖPING</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59642-2024</t>
        </is>
      </c>
      <c r="B414" s="1" t="n">
        <v>45639.31511574074</v>
      </c>
      <c r="C414" s="1" t="n">
        <v>46051</v>
      </c>
      <c r="D414" t="inlineStr">
        <is>
          <t>ÖSTERGÖTLANDS LÄN</t>
        </is>
      </c>
      <c r="E414" t="inlineStr">
        <is>
          <t>LINKÖPING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15748-2025</t>
        </is>
      </c>
      <c r="B415" s="1" t="n">
        <v>45748.55282407408</v>
      </c>
      <c r="C415" s="1" t="n">
        <v>46051</v>
      </c>
      <c r="D415" t="inlineStr">
        <is>
          <t>ÖSTERGÖTLANDS LÄN</t>
        </is>
      </c>
      <c r="E415" t="inlineStr">
        <is>
          <t>LINKÖPING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46051</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25097-2023</t>
        </is>
      </c>
      <c r="B417" s="1" t="n">
        <v>45086</v>
      </c>
      <c r="C417" s="1" t="n">
        <v>46051</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35735-2023</t>
        </is>
      </c>
      <c r="B418" s="1" t="n">
        <v>45147</v>
      </c>
      <c r="C418" s="1" t="n">
        <v>46051</v>
      </c>
      <c r="D418" t="inlineStr">
        <is>
          <t>ÖSTERGÖTLANDS LÄN</t>
        </is>
      </c>
      <c r="E418" t="inlineStr">
        <is>
          <t>LINKÖPING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16462-2021</t>
        </is>
      </c>
      <c r="B419" s="1" t="n">
        <v>44293</v>
      </c>
      <c r="C419" s="1" t="n">
        <v>46051</v>
      </c>
      <c r="D419" t="inlineStr">
        <is>
          <t>ÖSTERGÖTLANDS LÄN</t>
        </is>
      </c>
      <c r="E419" t="inlineStr">
        <is>
          <t>LINKÖPING</t>
        </is>
      </c>
      <c r="F419" t="inlineStr">
        <is>
          <t>Allmännings- och besparingsskogar</t>
        </is>
      </c>
      <c r="G419" t="n">
        <v>24.7</v>
      </c>
      <c r="H419" t="n">
        <v>0</v>
      </c>
      <c r="I419" t="n">
        <v>0</v>
      </c>
      <c r="J419" t="n">
        <v>0</v>
      </c>
      <c r="K419" t="n">
        <v>0</v>
      </c>
      <c r="L419" t="n">
        <v>0</v>
      </c>
      <c r="M419" t="n">
        <v>0</v>
      </c>
      <c r="N419" t="n">
        <v>0</v>
      </c>
      <c r="O419" t="n">
        <v>0</v>
      </c>
      <c r="P419" t="n">
        <v>0</v>
      </c>
      <c r="Q419" t="n">
        <v>0</v>
      </c>
      <c r="R419" s="2" t="inlineStr"/>
    </row>
    <row r="420" ht="15" customHeight="1">
      <c r="A420" t="inlineStr">
        <is>
          <t>A 25776-2021</t>
        </is>
      </c>
      <c r="B420" s="1" t="n">
        <v>44343</v>
      </c>
      <c r="C420" s="1" t="n">
        <v>46051</v>
      </c>
      <c r="D420" t="inlineStr">
        <is>
          <t>ÖSTERGÖTLANDS LÄN</t>
        </is>
      </c>
      <c r="E420" t="inlineStr">
        <is>
          <t>LINKÖPING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30856-2022</t>
        </is>
      </c>
      <c r="B421" s="1" t="n">
        <v>44767</v>
      </c>
      <c r="C421" s="1" t="n">
        <v>46051</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19187-2021</t>
        </is>
      </c>
      <c r="B422" s="1" t="n">
        <v>44308</v>
      </c>
      <c r="C422" s="1" t="n">
        <v>46051</v>
      </c>
      <c r="D422" t="inlineStr">
        <is>
          <t>ÖSTERGÖTLANDS LÄN</t>
        </is>
      </c>
      <c r="E422" t="inlineStr">
        <is>
          <t>LINKÖPING</t>
        </is>
      </c>
      <c r="F422" t="inlineStr">
        <is>
          <t>Allmännings- och besparingsskogar</t>
        </is>
      </c>
      <c r="G422" t="n">
        <v>20</v>
      </c>
      <c r="H422" t="n">
        <v>0</v>
      </c>
      <c r="I422" t="n">
        <v>0</v>
      </c>
      <c r="J422" t="n">
        <v>0</v>
      </c>
      <c r="K422" t="n">
        <v>0</v>
      </c>
      <c r="L422" t="n">
        <v>0</v>
      </c>
      <c r="M422" t="n">
        <v>0</v>
      </c>
      <c r="N422" t="n">
        <v>0</v>
      </c>
      <c r="O422" t="n">
        <v>0</v>
      </c>
      <c r="P422" t="n">
        <v>0</v>
      </c>
      <c r="Q422" t="n">
        <v>0</v>
      </c>
      <c r="R422" s="2" t="inlineStr"/>
    </row>
    <row r="423" ht="15" customHeight="1">
      <c r="A423" t="inlineStr">
        <is>
          <t>A 55109-2025</t>
        </is>
      </c>
      <c r="B423" s="1" t="n">
        <v>45968.37731481482</v>
      </c>
      <c r="C423" s="1" t="n">
        <v>46051</v>
      </c>
      <c r="D423" t="inlineStr">
        <is>
          <t>ÖSTERGÖTLANDS LÄN</t>
        </is>
      </c>
      <c r="E423" t="inlineStr">
        <is>
          <t>LINKÖPING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55165-2025</t>
        </is>
      </c>
      <c r="B424" s="1" t="n">
        <v>45968.48194444444</v>
      </c>
      <c r="C424" s="1" t="n">
        <v>46051</v>
      </c>
      <c r="D424" t="inlineStr">
        <is>
          <t>ÖSTERGÖTLANDS LÄN</t>
        </is>
      </c>
      <c r="E424" t="inlineStr">
        <is>
          <t>LINKÖPING</t>
        </is>
      </c>
      <c r="G424" t="n">
        <v>2.4</v>
      </c>
      <c r="H424" t="n">
        <v>0</v>
      </c>
      <c r="I424" t="n">
        <v>0</v>
      </c>
      <c r="J424" t="n">
        <v>0</v>
      </c>
      <c r="K424" t="n">
        <v>0</v>
      </c>
      <c r="L424" t="n">
        <v>0</v>
      </c>
      <c r="M424" t="n">
        <v>0</v>
      </c>
      <c r="N424" t="n">
        <v>0</v>
      </c>
      <c r="O424" t="n">
        <v>0</v>
      </c>
      <c r="P424" t="n">
        <v>0</v>
      </c>
      <c r="Q424" t="n">
        <v>0</v>
      </c>
      <c r="R424" s="2" t="inlineStr"/>
    </row>
    <row r="425" ht="15" customHeight="1">
      <c r="A425" t="inlineStr">
        <is>
          <t>A 63144-2025</t>
        </is>
      </c>
      <c r="B425" s="1" t="n">
        <v>46010.34716435185</v>
      </c>
      <c r="C425" s="1" t="n">
        <v>46051</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63147-2025</t>
        </is>
      </c>
      <c r="B426" s="1" t="n">
        <v>46010.35003472222</v>
      </c>
      <c r="C426" s="1" t="n">
        <v>46051</v>
      </c>
      <c r="D426" t="inlineStr">
        <is>
          <t>ÖSTERGÖTLANDS LÄN</t>
        </is>
      </c>
      <c r="E426" t="inlineStr">
        <is>
          <t>LINKÖPING</t>
        </is>
      </c>
      <c r="G426" t="n">
        <v>4</v>
      </c>
      <c r="H426" t="n">
        <v>0</v>
      </c>
      <c r="I426" t="n">
        <v>0</v>
      </c>
      <c r="J426" t="n">
        <v>0</v>
      </c>
      <c r="K426" t="n">
        <v>0</v>
      </c>
      <c r="L426" t="n">
        <v>0</v>
      </c>
      <c r="M426" t="n">
        <v>0</v>
      </c>
      <c r="N426" t="n">
        <v>0</v>
      </c>
      <c r="O426" t="n">
        <v>0</v>
      </c>
      <c r="P426" t="n">
        <v>0</v>
      </c>
      <c r="Q426" t="n">
        <v>0</v>
      </c>
      <c r="R426" s="2" t="inlineStr"/>
    </row>
    <row r="427" ht="15" customHeight="1">
      <c r="A427" t="inlineStr">
        <is>
          <t>A 55102-2025</t>
        </is>
      </c>
      <c r="B427" s="1" t="n">
        <v>45968.35410879629</v>
      </c>
      <c r="C427" s="1" t="n">
        <v>46051</v>
      </c>
      <c r="D427" t="inlineStr">
        <is>
          <t>ÖSTERGÖTLANDS LÄN</t>
        </is>
      </c>
      <c r="E427" t="inlineStr">
        <is>
          <t>LINKÖPING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55132-2025</t>
        </is>
      </c>
      <c r="B428" s="1" t="n">
        <v>45968.41912037037</v>
      </c>
      <c r="C428" s="1" t="n">
        <v>46051</v>
      </c>
      <c r="D428" t="inlineStr">
        <is>
          <t>ÖSTERGÖTLANDS LÄN</t>
        </is>
      </c>
      <c r="E428" t="inlineStr">
        <is>
          <t>LINKÖPING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39219-2021</t>
        </is>
      </c>
      <c r="B429" s="1" t="n">
        <v>44413</v>
      </c>
      <c r="C429" s="1" t="n">
        <v>46051</v>
      </c>
      <c r="D429" t="inlineStr">
        <is>
          <t>ÖSTERGÖTLANDS LÄN</t>
        </is>
      </c>
      <c r="E429" t="inlineStr">
        <is>
          <t>LINKÖPING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39224-2021</t>
        </is>
      </c>
      <c r="B430" s="1" t="n">
        <v>44413</v>
      </c>
      <c r="C430" s="1" t="n">
        <v>46051</v>
      </c>
      <c r="D430" t="inlineStr">
        <is>
          <t>ÖSTERGÖTLANDS LÄN</t>
        </is>
      </c>
      <c r="E430" t="inlineStr">
        <is>
          <t>LINKÖPING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43934-2023</t>
        </is>
      </c>
      <c r="B431" s="1" t="n">
        <v>45187</v>
      </c>
      <c r="C431" s="1" t="n">
        <v>46051</v>
      </c>
      <c r="D431" t="inlineStr">
        <is>
          <t>ÖSTERGÖTLANDS LÄN</t>
        </is>
      </c>
      <c r="E431" t="inlineStr">
        <is>
          <t>LINKÖPING</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56105-2025</t>
        </is>
      </c>
      <c r="B432" s="1" t="n">
        <v>45973.72855324074</v>
      </c>
      <c r="C432" s="1" t="n">
        <v>46051</v>
      </c>
      <c r="D432" t="inlineStr">
        <is>
          <t>ÖSTERGÖTLANDS LÄN</t>
        </is>
      </c>
      <c r="E432" t="inlineStr">
        <is>
          <t>LINKÖPING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56403-2025</t>
        </is>
      </c>
      <c r="B433" s="1" t="n">
        <v>45974</v>
      </c>
      <c r="C433" s="1" t="n">
        <v>46051</v>
      </c>
      <c r="D433" t="inlineStr">
        <is>
          <t>ÖSTERGÖTLANDS LÄN</t>
        </is>
      </c>
      <c r="E433" t="inlineStr">
        <is>
          <t>LINKÖPING</t>
        </is>
      </c>
      <c r="G433" t="n">
        <v>3.3</v>
      </c>
      <c r="H433" t="n">
        <v>0</v>
      </c>
      <c r="I433" t="n">
        <v>0</v>
      </c>
      <c r="J433" t="n">
        <v>0</v>
      </c>
      <c r="K433" t="n">
        <v>0</v>
      </c>
      <c r="L433" t="n">
        <v>0</v>
      </c>
      <c r="M433" t="n">
        <v>0</v>
      </c>
      <c r="N433" t="n">
        <v>0</v>
      </c>
      <c r="O433" t="n">
        <v>0</v>
      </c>
      <c r="P433" t="n">
        <v>0</v>
      </c>
      <c r="Q433" t="n">
        <v>0</v>
      </c>
      <c r="R433" s="2" t="inlineStr"/>
    </row>
    <row r="434" ht="15" customHeight="1">
      <c r="A434" t="inlineStr">
        <is>
          <t>A 56113-2025</t>
        </is>
      </c>
      <c r="B434" s="1" t="n">
        <v>45973.73924768518</v>
      </c>
      <c r="C434" s="1" t="n">
        <v>46051</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56704-2025</t>
        </is>
      </c>
      <c r="B435" s="1" t="n">
        <v>45977.50608796296</v>
      </c>
      <c r="C435" s="1" t="n">
        <v>46051</v>
      </c>
      <c r="D435" t="inlineStr">
        <is>
          <t>ÖSTERGÖTLANDS LÄN</t>
        </is>
      </c>
      <c r="E435" t="inlineStr">
        <is>
          <t>LINKÖPING</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7354-2025</t>
        </is>
      </c>
      <c r="B436" s="1" t="n">
        <v>45704.41174768518</v>
      </c>
      <c r="C436" s="1" t="n">
        <v>46051</v>
      </c>
      <c r="D436" t="inlineStr">
        <is>
          <t>ÖSTERGÖTLANDS LÄN</t>
        </is>
      </c>
      <c r="E436" t="inlineStr">
        <is>
          <t>LINKÖPING</t>
        </is>
      </c>
      <c r="G436" t="n">
        <v>4.8</v>
      </c>
      <c r="H436" t="n">
        <v>0</v>
      </c>
      <c r="I436" t="n">
        <v>0</v>
      </c>
      <c r="J436" t="n">
        <v>0</v>
      </c>
      <c r="K436" t="n">
        <v>0</v>
      </c>
      <c r="L436" t="n">
        <v>0</v>
      </c>
      <c r="M436" t="n">
        <v>0</v>
      </c>
      <c r="N436" t="n">
        <v>0</v>
      </c>
      <c r="O436" t="n">
        <v>0</v>
      </c>
      <c r="P436" t="n">
        <v>0</v>
      </c>
      <c r="Q436" t="n">
        <v>0</v>
      </c>
      <c r="R436" s="2" t="inlineStr"/>
    </row>
    <row r="437" ht="15" customHeight="1">
      <c r="A437" t="inlineStr">
        <is>
          <t>A 63935-2021</t>
        </is>
      </c>
      <c r="B437" s="1" t="n">
        <v>44509</v>
      </c>
      <c r="C437" s="1" t="n">
        <v>46051</v>
      </c>
      <c r="D437" t="inlineStr">
        <is>
          <t>ÖSTERGÖTLANDS LÄN</t>
        </is>
      </c>
      <c r="E437" t="inlineStr">
        <is>
          <t>LINKÖPING</t>
        </is>
      </c>
      <c r="F437" t="inlineStr">
        <is>
          <t>Övriga statliga verk och myndigheter</t>
        </is>
      </c>
      <c r="G437" t="n">
        <v>2.8</v>
      </c>
      <c r="H437" t="n">
        <v>0</v>
      </c>
      <c r="I437" t="n">
        <v>0</v>
      </c>
      <c r="J437" t="n">
        <v>0</v>
      </c>
      <c r="K437" t="n">
        <v>0</v>
      </c>
      <c r="L437" t="n">
        <v>0</v>
      </c>
      <c r="M437" t="n">
        <v>0</v>
      </c>
      <c r="N437" t="n">
        <v>0</v>
      </c>
      <c r="O437" t="n">
        <v>0</v>
      </c>
      <c r="P437" t="n">
        <v>0</v>
      </c>
      <c r="Q437" t="n">
        <v>0</v>
      </c>
      <c r="R437" s="2" t="inlineStr"/>
    </row>
    <row r="438" ht="15" customHeight="1">
      <c r="A438" t="inlineStr">
        <is>
          <t>A 40810-2022</t>
        </is>
      </c>
      <c r="B438" s="1" t="n">
        <v>44824</v>
      </c>
      <c r="C438" s="1" t="n">
        <v>46051</v>
      </c>
      <c r="D438" t="inlineStr">
        <is>
          <t>ÖSTERGÖTLANDS LÄN</t>
        </is>
      </c>
      <c r="E438" t="inlineStr">
        <is>
          <t>LINKÖPING</t>
        </is>
      </c>
      <c r="G438" t="n">
        <v>2.8</v>
      </c>
      <c r="H438" t="n">
        <v>0</v>
      </c>
      <c r="I438" t="n">
        <v>0</v>
      </c>
      <c r="J438" t="n">
        <v>0</v>
      </c>
      <c r="K438" t="n">
        <v>0</v>
      </c>
      <c r="L438" t="n">
        <v>0</v>
      </c>
      <c r="M438" t="n">
        <v>0</v>
      </c>
      <c r="N438" t="n">
        <v>0</v>
      </c>
      <c r="O438" t="n">
        <v>0</v>
      </c>
      <c r="P438" t="n">
        <v>0</v>
      </c>
      <c r="Q438" t="n">
        <v>0</v>
      </c>
      <c r="R438" s="2" t="inlineStr"/>
    </row>
    <row r="439" ht="15" customHeight="1">
      <c r="A439" t="inlineStr">
        <is>
          <t>A 20298-2025</t>
        </is>
      </c>
      <c r="B439" s="1" t="n">
        <v>45774.75024305555</v>
      </c>
      <c r="C439" s="1" t="n">
        <v>46051</v>
      </c>
      <c r="D439" t="inlineStr">
        <is>
          <t>ÖSTERGÖTLANDS LÄN</t>
        </is>
      </c>
      <c r="E439" t="inlineStr">
        <is>
          <t>LINKÖPING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14576-2023</t>
        </is>
      </c>
      <c r="B440" s="1" t="n">
        <v>45013</v>
      </c>
      <c r="C440" s="1" t="n">
        <v>46051</v>
      </c>
      <c r="D440" t="inlineStr">
        <is>
          <t>ÖSTERGÖTLANDS LÄN</t>
        </is>
      </c>
      <c r="E440" t="inlineStr">
        <is>
          <t>LINKÖPING</t>
        </is>
      </c>
      <c r="G440" t="n">
        <v>3.2</v>
      </c>
      <c r="H440" t="n">
        <v>0</v>
      </c>
      <c r="I440" t="n">
        <v>0</v>
      </c>
      <c r="J440" t="n">
        <v>0</v>
      </c>
      <c r="K440" t="n">
        <v>0</v>
      </c>
      <c r="L440" t="n">
        <v>0</v>
      </c>
      <c r="M440" t="n">
        <v>0</v>
      </c>
      <c r="N440" t="n">
        <v>0</v>
      </c>
      <c r="O440" t="n">
        <v>0</v>
      </c>
      <c r="P440" t="n">
        <v>0</v>
      </c>
      <c r="Q440" t="n">
        <v>0</v>
      </c>
      <c r="R440" s="2" t="inlineStr"/>
    </row>
    <row r="441" ht="15" customHeight="1">
      <c r="A441" t="inlineStr">
        <is>
          <t>A 12089-2025</t>
        </is>
      </c>
      <c r="B441" s="1" t="n">
        <v>45729</v>
      </c>
      <c r="C441" s="1" t="n">
        <v>46051</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55004-2025</t>
        </is>
      </c>
      <c r="B442" s="1" t="n">
        <v>45967</v>
      </c>
      <c r="C442" s="1" t="n">
        <v>46051</v>
      </c>
      <c r="D442" t="inlineStr">
        <is>
          <t>ÖSTERGÖTLANDS LÄN</t>
        </is>
      </c>
      <c r="E442" t="inlineStr">
        <is>
          <t>LINKÖPING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856-2026</t>
        </is>
      </c>
      <c r="B443" s="1" t="n">
        <v>46030.40644675926</v>
      </c>
      <c r="C443" s="1" t="n">
        <v>46051</v>
      </c>
      <c r="D443" t="inlineStr">
        <is>
          <t>ÖSTERGÖTLANDS LÄN</t>
        </is>
      </c>
      <c r="E443" t="inlineStr">
        <is>
          <t>LINKÖPING</t>
        </is>
      </c>
      <c r="G443" t="n">
        <v>6.4</v>
      </c>
      <c r="H443" t="n">
        <v>0</v>
      </c>
      <c r="I443" t="n">
        <v>0</v>
      </c>
      <c r="J443" t="n">
        <v>0</v>
      </c>
      <c r="K443" t="n">
        <v>0</v>
      </c>
      <c r="L443" t="n">
        <v>0</v>
      </c>
      <c r="M443" t="n">
        <v>0</v>
      </c>
      <c r="N443" t="n">
        <v>0</v>
      </c>
      <c r="O443" t="n">
        <v>0</v>
      </c>
      <c r="P443" t="n">
        <v>0</v>
      </c>
      <c r="Q443" t="n">
        <v>0</v>
      </c>
      <c r="R443" s="2" t="inlineStr"/>
    </row>
    <row r="444" ht="15" customHeight="1">
      <c r="A444" t="inlineStr">
        <is>
          <t>A 62321-2022</t>
        </is>
      </c>
      <c r="B444" s="1" t="n">
        <v>44916</v>
      </c>
      <c r="C444" s="1" t="n">
        <v>46051</v>
      </c>
      <c r="D444" t="inlineStr">
        <is>
          <t>ÖSTERGÖTLANDS LÄN</t>
        </is>
      </c>
      <c r="E444" t="inlineStr">
        <is>
          <t>LINKÖPING</t>
        </is>
      </c>
      <c r="F444" t="inlineStr">
        <is>
          <t>Kommuner</t>
        </is>
      </c>
      <c r="G444" t="n">
        <v>5.3</v>
      </c>
      <c r="H444" t="n">
        <v>0</v>
      </c>
      <c r="I444" t="n">
        <v>0</v>
      </c>
      <c r="J444" t="n">
        <v>0</v>
      </c>
      <c r="K444" t="n">
        <v>0</v>
      </c>
      <c r="L444" t="n">
        <v>0</v>
      </c>
      <c r="M444" t="n">
        <v>0</v>
      </c>
      <c r="N444" t="n">
        <v>0</v>
      </c>
      <c r="O444" t="n">
        <v>0</v>
      </c>
      <c r="P444" t="n">
        <v>0</v>
      </c>
      <c r="Q444" t="n">
        <v>0</v>
      </c>
      <c r="R444" s="2" t="inlineStr"/>
    </row>
    <row r="445" ht="15" customHeight="1">
      <c r="A445" t="inlineStr">
        <is>
          <t>A 859-2026</t>
        </is>
      </c>
      <c r="B445" s="1" t="n">
        <v>46030.41450231482</v>
      </c>
      <c r="C445" s="1" t="n">
        <v>46051</v>
      </c>
      <c r="D445" t="inlineStr">
        <is>
          <t>ÖSTERGÖTLANDS LÄN</t>
        </is>
      </c>
      <c r="E445" t="inlineStr">
        <is>
          <t>LINKÖPING</t>
        </is>
      </c>
      <c r="G445" t="n">
        <v>0.2</v>
      </c>
      <c r="H445" t="n">
        <v>0</v>
      </c>
      <c r="I445" t="n">
        <v>0</v>
      </c>
      <c r="J445" t="n">
        <v>0</v>
      </c>
      <c r="K445" t="n">
        <v>0</v>
      </c>
      <c r="L445" t="n">
        <v>0</v>
      </c>
      <c r="M445" t="n">
        <v>0</v>
      </c>
      <c r="N445" t="n">
        <v>0</v>
      </c>
      <c r="O445" t="n">
        <v>0</v>
      </c>
      <c r="P445" t="n">
        <v>0</v>
      </c>
      <c r="Q445" t="n">
        <v>0</v>
      </c>
      <c r="R445" s="2" t="inlineStr"/>
    </row>
    <row r="446" ht="15" customHeight="1">
      <c r="A446" t="inlineStr">
        <is>
          <t>A 43475-2024</t>
        </is>
      </c>
      <c r="B446" s="1" t="n">
        <v>45568</v>
      </c>
      <c r="C446" s="1" t="n">
        <v>46051</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59205-2025</t>
        </is>
      </c>
      <c r="B447" s="1" t="n">
        <v>45988.60721064815</v>
      </c>
      <c r="C447" s="1" t="n">
        <v>46051</v>
      </c>
      <c r="D447" t="inlineStr">
        <is>
          <t>ÖSTERGÖTLANDS LÄN</t>
        </is>
      </c>
      <c r="E447" t="inlineStr">
        <is>
          <t>LINKÖPING</t>
        </is>
      </c>
      <c r="F447" t="inlineStr">
        <is>
          <t>Sveaskog</t>
        </is>
      </c>
      <c r="G447" t="n">
        <v>11.3</v>
      </c>
      <c r="H447" t="n">
        <v>0</v>
      </c>
      <c r="I447" t="n">
        <v>0</v>
      </c>
      <c r="J447" t="n">
        <v>0</v>
      </c>
      <c r="K447" t="n">
        <v>0</v>
      </c>
      <c r="L447" t="n">
        <v>0</v>
      </c>
      <c r="M447" t="n">
        <v>0</v>
      </c>
      <c r="N447" t="n">
        <v>0</v>
      </c>
      <c r="O447" t="n">
        <v>0</v>
      </c>
      <c r="P447" t="n">
        <v>0</v>
      </c>
      <c r="Q447" t="n">
        <v>0</v>
      </c>
      <c r="R447" s="2" t="inlineStr"/>
    </row>
    <row r="448" ht="15" customHeight="1">
      <c r="A448" t="inlineStr">
        <is>
          <t>A 17103-2025</t>
        </is>
      </c>
      <c r="B448" s="1" t="n">
        <v>45755.66143518518</v>
      </c>
      <c r="C448" s="1" t="n">
        <v>46051</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30551-2023</t>
        </is>
      </c>
      <c r="B449" s="1" t="n">
        <v>45111</v>
      </c>
      <c r="C449" s="1" t="n">
        <v>46051</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873-2026</t>
        </is>
      </c>
      <c r="B450" s="1" t="n">
        <v>46030.43818287037</v>
      </c>
      <c r="C450" s="1" t="n">
        <v>46051</v>
      </c>
      <c r="D450" t="inlineStr">
        <is>
          <t>ÖSTERGÖTLANDS LÄN</t>
        </is>
      </c>
      <c r="E450" t="inlineStr">
        <is>
          <t>LINKÖPING</t>
        </is>
      </c>
      <c r="G450" t="n">
        <v>4.1</v>
      </c>
      <c r="H450" t="n">
        <v>0</v>
      </c>
      <c r="I450" t="n">
        <v>0</v>
      </c>
      <c r="J450" t="n">
        <v>0</v>
      </c>
      <c r="K450" t="n">
        <v>0</v>
      </c>
      <c r="L450" t="n">
        <v>0</v>
      </c>
      <c r="M450" t="n">
        <v>0</v>
      </c>
      <c r="N450" t="n">
        <v>0</v>
      </c>
      <c r="O450" t="n">
        <v>0</v>
      </c>
      <c r="P450" t="n">
        <v>0</v>
      </c>
      <c r="Q450" t="n">
        <v>0</v>
      </c>
      <c r="R450" s="2" t="inlineStr"/>
    </row>
    <row r="451" ht="15" customHeight="1">
      <c r="A451" t="inlineStr">
        <is>
          <t>A 50784-2022</t>
        </is>
      </c>
      <c r="B451" s="1" t="n">
        <v>44862</v>
      </c>
      <c r="C451" s="1" t="n">
        <v>46051</v>
      </c>
      <c r="D451" t="inlineStr">
        <is>
          <t>ÖSTERGÖTLANDS LÄN</t>
        </is>
      </c>
      <c r="E451" t="inlineStr">
        <is>
          <t>LINKÖPING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22043-2023</t>
        </is>
      </c>
      <c r="B452" s="1" t="n">
        <v>45069.39050925926</v>
      </c>
      <c r="C452" s="1" t="n">
        <v>46051</v>
      </c>
      <c r="D452" t="inlineStr">
        <is>
          <t>ÖSTERGÖTLANDS LÄN</t>
        </is>
      </c>
      <c r="E452" t="inlineStr">
        <is>
          <t>LINKÖPING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58802-2025</t>
        </is>
      </c>
      <c r="B453" s="1" t="n">
        <v>45986.8768287037</v>
      </c>
      <c r="C453" s="1" t="n">
        <v>46051</v>
      </c>
      <c r="D453" t="inlineStr">
        <is>
          <t>ÖSTERGÖTLANDS LÄN</t>
        </is>
      </c>
      <c r="E453" t="inlineStr">
        <is>
          <t>LINKÖPING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858-2026</t>
        </is>
      </c>
      <c r="B454" s="1" t="n">
        <v>46030.41200231481</v>
      </c>
      <c r="C454" s="1" t="n">
        <v>46051</v>
      </c>
      <c r="D454" t="inlineStr">
        <is>
          <t>ÖSTERGÖTLANDS LÄN</t>
        </is>
      </c>
      <c r="E454" t="inlineStr">
        <is>
          <t>LINKÖPING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860-2026</t>
        </is>
      </c>
      <c r="B455" s="1" t="n">
        <v>46030.41974537037</v>
      </c>
      <c r="C455" s="1" t="n">
        <v>46051</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940-2026</t>
        </is>
      </c>
      <c r="B456" s="1" t="n">
        <v>46030.53052083333</v>
      </c>
      <c r="C456" s="1" t="n">
        <v>46051</v>
      </c>
      <c r="D456" t="inlineStr">
        <is>
          <t>ÖSTERGÖTLANDS LÄN</t>
        </is>
      </c>
      <c r="E456" t="inlineStr">
        <is>
          <t>LINKÖPING</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944-2026</t>
        </is>
      </c>
      <c r="B457" s="1" t="n">
        <v>46030.53461805556</v>
      </c>
      <c r="C457" s="1" t="n">
        <v>46051</v>
      </c>
      <c r="D457" t="inlineStr">
        <is>
          <t>ÖSTERGÖTLANDS LÄN</t>
        </is>
      </c>
      <c r="E457" t="inlineStr">
        <is>
          <t>LINKÖPING</t>
        </is>
      </c>
      <c r="F457" t="inlineStr">
        <is>
          <t>Allmännings- och besparingsskogar</t>
        </is>
      </c>
      <c r="G457" t="n">
        <v>0.9</v>
      </c>
      <c r="H457" t="n">
        <v>0</v>
      </c>
      <c r="I457" t="n">
        <v>0</v>
      </c>
      <c r="J457" t="n">
        <v>0</v>
      </c>
      <c r="K457" t="n">
        <v>0</v>
      </c>
      <c r="L457" t="n">
        <v>0</v>
      </c>
      <c r="M457" t="n">
        <v>0</v>
      </c>
      <c r="N457" t="n">
        <v>0</v>
      </c>
      <c r="O457" t="n">
        <v>0</v>
      </c>
      <c r="P457" t="n">
        <v>0</v>
      </c>
      <c r="Q457" t="n">
        <v>0</v>
      </c>
      <c r="R457" s="2" t="inlineStr"/>
    </row>
    <row r="458" ht="15" customHeight="1">
      <c r="A458" t="inlineStr">
        <is>
          <t>A 49656-2021</t>
        </is>
      </c>
      <c r="B458" s="1" t="n">
        <v>44454</v>
      </c>
      <c r="C458" s="1" t="n">
        <v>46051</v>
      </c>
      <c r="D458" t="inlineStr">
        <is>
          <t>ÖSTERGÖTLANDS LÄN</t>
        </is>
      </c>
      <c r="E458" t="inlineStr">
        <is>
          <t>LINKÖPING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59472-2025</t>
        </is>
      </c>
      <c r="B459" s="1" t="n">
        <v>45989.58321759259</v>
      </c>
      <c r="C459" s="1" t="n">
        <v>46051</v>
      </c>
      <c r="D459" t="inlineStr">
        <is>
          <t>ÖSTERGÖTLANDS LÄN</t>
        </is>
      </c>
      <c r="E459" t="inlineStr">
        <is>
          <t>LINKÖPING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30465-2023</t>
        </is>
      </c>
      <c r="B460" s="1" t="n">
        <v>45111</v>
      </c>
      <c r="C460" s="1" t="n">
        <v>46051</v>
      </c>
      <c r="D460" t="inlineStr">
        <is>
          <t>ÖSTERGÖTLANDS LÄN</t>
        </is>
      </c>
      <c r="E460" t="inlineStr">
        <is>
          <t>LINKÖPING</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30521-2024</t>
        </is>
      </c>
      <c r="B461" s="1" t="n">
        <v>45492</v>
      </c>
      <c r="C461" s="1" t="n">
        <v>46051</v>
      </c>
      <c r="D461" t="inlineStr">
        <is>
          <t>ÖSTERGÖTLANDS LÄN</t>
        </is>
      </c>
      <c r="E461" t="inlineStr">
        <is>
          <t>LINKÖPING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40618-2021</t>
        </is>
      </c>
      <c r="B462" s="1" t="n">
        <v>44420.49575231481</v>
      </c>
      <c r="C462" s="1" t="n">
        <v>46051</v>
      </c>
      <c r="D462" t="inlineStr">
        <is>
          <t>ÖSTERGÖTLANDS LÄN</t>
        </is>
      </c>
      <c r="E462" t="inlineStr">
        <is>
          <t>LINKÖPING</t>
        </is>
      </c>
      <c r="G462" t="n">
        <v>2.3</v>
      </c>
      <c r="H462" t="n">
        <v>0</v>
      </c>
      <c r="I462" t="n">
        <v>0</v>
      </c>
      <c r="J462" t="n">
        <v>0</v>
      </c>
      <c r="K462" t="n">
        <v>0</v>
      </c>
      <c r="L462" t="n">
        <v>0</v>
      </c>
      <c r="M462" t="n">
        <v>0</v>
      </c>
      <c r="N462" t="n">
        <v>0</v>
      </c>
      <c r="O462" t="n">
        <v>0</v>
      </c>
      <c r="P462" t="n">
        <v>0</v>
      </c>
      <c r="Q462" t="n">
        <v>0</v>
      </c>
      <c r="R462" s="2" t="inlineStr"/>
    </row>
    <row r="463" ht="15" customHeight="1">
      <c r="A463" t="inlineStr">
        <is>
          <t>A 23735-2023</t>
        </is>
      </c>
      <c r="B463" s="1" t="n">
        <v>45077</v>
      </c>
      <c r="C463" s="1" t="n">
        <v>46051</v>
      </c>
      <c r="D463" t="inlineStr">
        <is>
          <t>ÖSTERGÖTLANDS LÄN</t>
        </is>
      </c>
      <c r="E463" t="inlineStr">
        <is>
          <t>LINKÖPING</t>
        </is>
      </c>
      <c r="G463" t="n">
        <v>1.7</v>
      </c>
      <c r="H463" t="n">
        <v>0</v>
      </c>
      <c r="I463" t="n">
        <v>0</v>
      </c>
      <c r="J463" t="n">
        <v>0</v>
      </c>
      <c r="K463" t="n">
        <v>0</v>
      </c>
      <c r="L463" t="n">
        <v>0</v>
      </c>
      <c r="M463" t="n">
        <v>0</v>
      </c>
      <c r="N463" t="n">
        <v>0</v>
      </c>
      <c r="O463" t="n">
        <v>0</v>
      </c>
      <c r="P463" t="n">
        <v>0</v>
      </c>
      <c r="Q463" t="n">
        <v>0</v>
      </c>
      <c r="R463" s="2" t="inlineStr"/>
    </row>
    <row r="464" ht="15" customHeight="1">
      <c r="A464" t="inlineStr">
        <is>
          <t>A 350-2022</t>
        </is>
      </c>
      <c r="B464" s="1" t="n">
        <v>44565</v>
      </c>
      <c r="C464" s="1" t="n">
        <v>46051</v>
      </c>
      <c r="D464" t="inlineStr">
        <is>
          <t>ÖSTERGÖTLANDS LÄN</t>
        </is>
      </c>
      <c r="E464" t="inlineStr">
        <is>
          <t>LINKÖPING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4256-2022</t>
        </is>
      </c>
      <c r="B465" s="1" t="n">
        <v>44588</v>
      </c>
      <c r="C465" s="1" t="n">
        <v>46051</v>
      </c>
      <c r="D465" t="inlineStr">
        <is>
          <t>ÖSTERGÖTLANDS LÄN</t>
        </is>
      </c>
      <c r="E465" t="inlineStr">
        <is>
          <t>LINKÖPING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1223-2026</t>
        </is>
      </c>
      <c r="B466" s="1" t="n">
        <v>46031.40233796297</v>
      </c>
      <c r="C466" s="1" t="n">
        <v>46051</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25948-2023</t>
        </is>
      </c>
      <c r="B467" s="1" t="n">
        <v>45090</v>
      </c>
      <c r="C467" s="1" t="n">
        <v>46051</v>
      </c>
      <c r="D467" t="inlineStr">
        <is>
          <t>ÖSTERGÖTLANDS LÄN</t>
        </is>
      </c>
      <c r="E467" t="inlineStr">
        <is>
          <t>LINKÖPING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60087-2025</t>
        </is>
      </c>
      <c r="B468" s="1" t="n">
        <v>45993.71726851852</v>
      </c>
      <c r="C468" s="1" t="n">
        <v>46051</v>
      </c>
      <c r="D468" t="inlineStr">
        <is>
          <t>ÖSTERGÖTLANDS LÄN</t>
        </is>
      </c>
      <c r="E468" t="inlineStr">
        <is>
          <t>LINKÖPING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33867-2023</t>
        </is>
      </c>
      <c r="B469" s="1" t="n">
        <v>45133.94640046296</v>
      </c>
      <c r="C469" s="1" t="n">
        <v>46051</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60284-2025</t>
        </is>
      </c>
      <c r="B470" s="1" t="n">
        <v>45994.64373842593</v>
      </c>
      <c r="C470" s="1" t="n">
        <v>46051</v>
      </c>
      <c r="D470" t="inlineStr">
        <is>
          <t>ÖSTERGÖTLANDS LÄN</t>
        </is>
      </c>
      <c r="E470" t="inlineStr">
        <is>
          <t>LINKÖPING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60306-2025</t>
        </is>
      </c>
      <c r="B471" s="1" t="n">
        <v>45994.68326388889</v>
      </c>
      <c r="C471" s="1" t="n">
        <v>46051</v>
      </c>
      <c r="D471" t="inlineStr">
        <is>
          <t>ÖSTERGÖTLANDS LÄN</t>
        </is>
      </c>
      <c r="E471" t="inlineStr">
        <is>
          <t>LINKÖPING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2030-2026</t>
        </is>
      </c>
      <c r="B472" s="1" t="n">
        <v>46035.73590277778</v>
      </c>
      <c r="C472" s="1" t="n">
        <v>46051</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24462-2023</t>
        </is>
      </c>
      <c r="B473" s="1" t="n">
        <v>45082</v>
      </c>
      <c r="C473" s="1" t="n">
        <v>46051</v>
      </c>
      <c r="D473" t="inlineStr">
        <is>
          <t>ÖSTERGÖTLANDS LÄN</t>
        </is>
      </c>
      <c r="E473" t="inlineStr">
        <is>
          <t>LINKÖPING</t>
        </is>
      </c>
      <c r="G473" t="n">
        <v>3.5</v>
      </c>
      <c r="H473" t="n">
        <v>0</v>
      </c>
      <c r="I473" t="n">
        <v>0</v>
      </c>
      <c r="J473" t="n">
        <v>0</v>
      </c>
      <c r="K473" t="n">
        <v>0</v>
      </c>
      <c r="L473" t="n">
        <v>0</v>
      </c>
      <c r="M473" t="n">
        <v>0</v>
      </c>
      <c r="N473" t="n">
        <v>0</v>
      </c>
      <c r="O473" t="n">
        <v>0</v>
      </c>
      <c r="P473" t="n">
        <v>0</v>
      </c>
      <c r="Q473" t="n">
        <v>0</v>
      </c>
      <c r="R473" s="2" t="inlineStr"/>
    </row>
    <row r="474" ht="15" customHeight="1">
      <c r="A474" t="inlineStr">
        <is>
          <t>A 2031-2026</t>
        </is>
      </c>
      <c r="B474" s="1" t="n">
        <v>46035.74182870371</v>
      </c>
      <c r="C474" s="1" t="n">
        <v>46051</v>
      </c>
      <c r="D474" t="inlineStr">
        <is>
          <t>ÖSTERGÖTLANDS LÄN</t>
        </is>
      </c>
      <c r="E474" t="inlineStr">
        <is>
          <t>LINKÖPING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48829-2023</t>
        </is>
      </c>
      <c r="B475" s="1" t="n">
        <v>45209.38177083333</v>
      </c>
      <c r="C475" s="1" t="n">
        <v>46051</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3044-2026</t>
        </is>
      </c>
      <c r="B476" s="1" t="n">
        <v>46038.73855324074</v>
      </c>
      <c r="C476" s="1" t="n">
        <v>46051</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3045-2026</t>
        </is>
      </c>
      <c r="B477" s="1" t="n">
        <v>46038.74047453704</v>
      </c>
      <c r="C477" s="1" t="n">
        <v>46051</v>
      </c>
      <c r="D477" t="inlineStr">
        <is>
          <t>ÖSTERGÖTLANDS LÄN</t>
        </is>
      </c>
      <c r="E477" t="inlineStr">
        <is>
          <t>LINKÖPING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38231-2022</t>
        </is>
      </c>
      <c r="B478" s="1" t="n">
        <v>44812</v>
      </c>
      <c r="C478" s="1" t="n">
        <v>46051</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50799-2022</t>
        </is>
      </c>
      <c r="B479" s="1" t="n">
        <v>44862</v>
      </c>
      <c r="C479" s="1" t="n">
        <v>46051</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60703-2025</t>
        </is>
      </c>
      <c r="B480" s="1" t="n">
        <v>45996.6052662037</v>
      </c>
      <c r="C480" s="1" t="n">
        <v>46051</v>
      </c>
      <c r="D480" t="inlineStr">
        <is>
          <t>ÖSTERGÖTLANDS LÄN</t>
        </is>
      </c>
      <c r="E480" t="inlineStr">
        <is>
          <t>LINKÖPING</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3043-2026</t>
        </is>
      </c>
      <c r="B481" s="1" t="n">
        <v>46038.73675925926</v>
      </c>
      <c r="C481" s="1" t="n">
        <v>46051</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3046-2026</t>
        </is>
      </c>
      <c r="B482" s="1" t="n">
        <v>46038.74182870371</v>
      </c>
      <c r="C482" s="1" t="n">
        <v>46051</v>
      </c>
      <c r="D482" t="inlineStr">
        <is>
          <t>ÖSTERGÖTLANDS LÄN</t>
        </is>
      </c>
      <c r="E482" t="inlineStr">
        <is>
          <t>LINKÖPING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40431-2024</t>
        </is>
      </c>
      <c r="B483" s="1" t="n">
        <v>45555.47070601852</v>
      </c>
      <c r="C483" s="1" t="n">
        <v>46051</v>
      </c>
      <c r="D483" t="inlineStr">
        <is>
          <t>ÖSTERGÖTLANDS LÄN</t>
        </is>
      </c>
      <c r="E483" t="inlineStr">
        <is>
          <t>LINKÖPING</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267-2023</t>
        </is>
      </c>
      <c r="B484" s="1" t="n">
        <v>44928.80907407407</v>
      </c>
      <c r="C484" s="1" t="n">
        <v>46051</v>
      </c>
      <c r="D484" t="inlineStr">
        <is>
          <t>ÖSTERGÖTLANDS LÄN</t>
        </is>
      </c>
      <c r="E484" t="inlineStr">
        <is>
          <t>LINKÖPING</t>
        </is>
      </c>
      <c r="G484" t="n">
        <v>2.7</v>
      </c>
      <c r="H484" t="n">
        <v>0</v>
      </c>
      <c r="I484" t="n">
        <v>0</v>
      </c>
      <c r="J484" t="n">
        <v>0</v>
      </c>
      <c r="K484" t="n">
        <v>0</v>
      </c>
      <c r="L484" t="n">
        <v>0</v>
      </c>
      <c r="M484" t="n">
        <v>0</v>
      </c>
      <c r="N484" t="n">
        <v>0</v>
      </c>
      <c r="O484" t="n">
        <v>0</v>
      </c>
      <c r="P484" t="n">
        <v>0</v>
      </c>
      <c r="Q484" t="n">
        <v>0</v>
      </c>
      <c r="R484" s="2" t="inlineStr"/>
    </row>
    <row r="485" ht="15" customHeight="1">
      <c r="A485" t="inlineStr">
        <is>
          <t>A 26618-2023</t>
        </is>
      </c>
      <c r="B485" s="1" t="n">
        <v>45092.70306712963</v>
      </c>
      <c r="C485" s="1" t="n">
        <v>46051</v>
      </c>
      <c r="D485" t="inlineStr">
        <is>
          <t>ÖSTERGÖTLANDS LÄN</t>
        </is>
      </c>
      <c r="E485" t="inlineStr">
        <is>
          <t>LINKÖPING</t>
        </is>
      </c>
      <c r="G485" t="n">
        <v>6.9</v>
      </c>
      <c r="H485" t="n">
        <v>0</v>
      </c>
      <c r="I485" t="n">
        <v>0</v>
      </c>
      <c r="J485" t="n">
        <v>0</v>
      </c>
      <c r="K485" t="n">
        <v>0</v>
      </c>
      <c r="L485" t="n">
        <v>0</v>
      </c>
      <c r="M485" t="n">
        <v>0</v>
      </c>
      <c r="N485" t="n">
        <v>0</v>
      </c>
      <c r="O485" t="n">
        <v>0</v>
      </c>
      <c r="P485" t="n">
        <v>0</v>
      </c>
      <c r="Q485" t="n">
        <v>0</v>
      </c>
      <c r="R485" s="2" t="inlineStr"/>
    </row>
    <row r="486" ht="15" customHeight="1">
      <c r="A486" t="inlineStr">
        <is>
          <t>A 63665-2023</t>
        </is>
      </c>
      <c r="B486" s="1" t="n">
        <v>45275</v>
      </c>
      <c r="C486" s="1" t="n">
        <v>46051</v>
      </c>
      <c r="D486" t="inlineStr">
        <is>
          <t>ÖSTERGÖTLANDS LÄN</t>
        </is>
      </c>
      <c r="E486" t="inlineStr">
        <is>
          <t>LINKÖPING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30429-2024</t>
        </is>
      </c>
      <c r="B487" s="1" t="n">
        <v>45491.68972222223</v>
      </c>
      <c r="C487" s="1" t="n">
        <v>46051</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61230-2025</t>
        </is>
      </c>
      <c r="B488" s="1" t="n">
        <v>46000.63111111111</v>
      </c>
      <c r="C488" s="1" t="n">
        <v>46051</v>
      </c>
      <c r="D488" t="inlineStr">
        <is>
          <t>ÖSTERGÖTLANDS LÄN</t>
        </is>
      </c>
      <c r="E488" t="inlineStr">
        <is>
          <t>LINKÖPING</t>
        </is>
      </c>
      <c r="F488" t="inlineStr">
        <is>
          <t>Kyrkan</t>
        </is>
      </c>
      <c r="G488" t="n">
        <v>2.1</v>
      </c>
      <c r="H488" t="n">
        <v>0</v>
      </c>
      <c r="I488" t="n">
        <v>0</v>
      </c>
      <c r="J488" t="n">
        <v>0</v>
      </c>
      <c r="K488" t="n">
        <v>0</v>
      </c>
      <c r="L488" t="n">
        <v>0</v>
      </c>
      <c r="M488" t="n">
        <v>0</v>
      </c>
      <c r="N488" t="n">
        <v>0</v>
      </c>
      <c r="O488" t="n">
        <v>0</v>
      </c>
      <c r="P488" t="n">
        <v>0</v>
      </c>
      <c r="Q488" t="n">
        <v>0</v>
      </c>
      <c r="R488" s="2" t="inlineStr"/>
    </row>
    <row r="489" ht="15" customHeight="1">
      <c r="A489" t="inlineStr">
        <is>
          <t>A 60866-2025</t>
        </is>
      </c>
      <c r="B489" s="1" t="n">
        <v>45999</v>
      </c>
      <c r="C489" s="1" t="n">
        <v>46051</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30435-2024</t>
        </is>
      </c>
      <c r="B490" s="1" t="n">
        <v>45491.69962962963</v>
      </c>
      <c r="C490" s="1" t="n">
        <v>46051</v>
      </c>
      <c r="D490" t="inlineStr">
        <is>
          <t>ÖSTERGÖTLANDS LÄN</t>
        </is>
      </c>
      <c r="E490" t="inlineStr">
        <is>
          <t>LINKÖPING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53816-2023</t>
        </is>
      </c>
      <c r="B491" s="1" t="n">
        <v>45231.40012731482</v>
      </c>
      <c r="C491" s="1" t="n">
        <v>46051</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36557-2023</t>
        </is>
      </c>
      <c r="B492" s="1" t="n">
        <v>45153</v>
      </c>
      <c r="C492" s="1" t="n">
        <v>46051</v>
      </c>
      <c r="D492" t="inlineStr">
        <is>
          <t>ÖSTERGÖTLANDS LÄN</t>
        </is>
      </c>
      <c r="E492" t="inlineStr">
        <is>
          <t>LINKÖPING</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6599-2023</t>
        </is>
      </c>
      <c r="B493" s="1" t="n">
        <v>44966.52603009259</v>
      </c>
      <c r="C493" s="1" t="n">
        <v>46051</v>
      </c>
      <c r="D493" t="inlineStr">
        <is>
          <t>ÖSTERGÖTLANDS LÄN</t>
        </is>
      </c>
      <c r="E493" t="inlineStr">
        <is>
          <t>LINKÖPING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43473-2024</t>
        </is>
      </c>
      <c r="B494" s="1" t="n">
        <v>45568</v>
      </c>
      <c r="C494" s="1" t="n">
        <v>46051</v>
      </c>
      <c r="D494" t="inlineStr">
        <is>
          <t>ÖSTERGÖTLANDS LÄN</t>
        </is>
      </c>
      <c r="E494" t="inlineStr">
        <is>
          <t>LINKÖPING</t>
        </is>
      </c>
      <c r="G494" t="n">
        <v>0.7</v>
      </c>
      <c r="H494" t="n">
        <v>0</v>
      </c>
      <c r="I494" t="n">
        <v>0</v>
      </c>
      <c r="J494" t="n">
        <v>0</v>
      </c>
      <c r="K494" t="n">
        <v>0</v>
      </c>
      <c r="L494" t="n">
        <v>0</v>
      </c>
      <c r="M494" t="n">
        <v>0</v>
      </c>
      <c r="N494" t="n">
        <v>0</v>
      </c>
      <c r="O494" t="n">
        <v>0</v>
      </c>
      <c r="P494" t="n">
        <v>0</v>
      </c>
      <c r="Q494" t="n">
        <v>0</v>
      </c>
      <c r="R494" s="2" t="inlineStr"/>
    </row>
    <row r="495" ht="15" customHeight="1">
      <c r="A495" t="inlineStr">
        <is>
          <t>A 61643-2025</t>
        </is>
      </c>
      <c r="B495" s="1" t="n">
        <v>46002.43575231481</v>
      </c>
      <c r="C495" s="1" t="n">
        <v>46051</v>
      </c>
      <c r="D495" t="inlineStr">
        <is>
          <t>ÖSTERGÖTLANDS LÄN</t>
        </is>
      </c>
      <c r="E495" t="inlineStr">
        <is>
          <t>LINKÖPING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61447-2025</t>
        </is>
      </c>
      <c r="B496" s="1" t="n">
        <v>46001.57554398148</v>
      </c>
      <c r="C496" s="1" t="n">
        <v>46051</v>
      </c>
      <c r="D496" t="inlineStr">
        <is>
          <t>ÖSTERGÖTLANDS LÄN</t>
        </is>
      </c>
      <c r="E496" t="inlineStr">
        <is>
          <t>LINKÖPING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61645-2025</t>
        </is>
      </c>
      <c r="B497" s="1" t="n">
        <v>46002.43697916667</v>
      </c>
      <c r="C497" s="1" t="n">
        <v>46051</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61532-2021</t>
        </is>
      </c>
      <c r="B498" s="1" t="n">
        <v>44501</v>
      </c>
      <c r="C498" s="1" t="n">
        <v>46051</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3374-2023</t>
        </is>
      </c>
      <c r="B499" s="1" t="n">
        <v>44949</v>
      </c>
      <c r="C499" s="1" t="n">
        <v>46051</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224-2024</t>
        </is>
      </c>
      <c r="B500" s="1" t="n">
        <v>45294</v>
      </c>
      <c r="C500" s="1" t="n">
        <v>46051</v>
      </c>
      <c r="D500" t="inlineStr">
        <is>
          <t>ÖSTERGÖTLANDS LÄN</t>
        </is>
      </c>
      <c r="E500" t="inlineStr">
        <is>
          <t>LINKÖPING</t>
        </is>
      </c>
      <c r="G500" t="n">
        <v>2.8</v>
      </c>
      <c r="H500" t="n">
        <v>0</v>
      </c>
      <c r="I500" t="n">
        <v>0</v>
      </c>
      <c r="J500" t="n">
        <v>0</v>
      </c>
      <c r="K500" t="n">
        <v>0</v>
      </c>
      <c r="L500" t="n">
        <v>0</v>
      </c>
      <c r="M500" t="n">
        <v>0</v>
      </c>
      <c r="N500" t="n">
        <v>0</v>
      </c>
      <c r="O500" t="n">
        <v>0</v>
      </c>
      <c r="P500" t="n">
        <v>0</v>
      </c>
      <c r="Q500" t="n">
        <v>0</v>
      </c>
      <c r="R500" s="2" t="inlineStr"/>
    </row>
    <row r="501" ht="15" customHeight="1">
      <c r="A501" t="inlineStr">
        <is>
          <t>A 6726-2024</t>
        </is>
      </c>
      <c r="B501" s="1" t="n">
        <v>45341</v>
      </c>
      <c r="C501" s="1" t="n">
        <v>46051</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53814-2023</t>
        </is>
      </c>
      <c r="B502" s="1" t="n">
        <v>45231</v>
      </c>
      <c r="C502" s="1" t="n">
        <v>46051</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4469-2026</t>
        </is>
      </c>
      <c r="B503" s="1" t="n">
        <v>46045.65662037037</v>
      </c>
      <c r="C503" s="1" t="n">
        <v>46051</v>
      </c>
      <c r="D503" t="inlineStr">
        <is>
          <t>ÖSTERGÖTLANDS LÄN</t>
        </is>
      </c>
      <c r="E503" t="inlineStr">
        <is>
          <t>LINKÖPING</t>
        </is>
      </c>
      <c r="F503" t="inlineStr">
        <is>
          <t>Övriga Aktiebolag</t>
        </is>
      </c>
      <c r="G503" t="n">
        <v>3.8</v>
      </c>
      <c r="H503" t="n">
        <v>0</v>
      </c>
      <c r="I503" t="n">
        <v>0</v>
      </c>
      <c r="J503" t="n">
        <v>0</v>
      </c>
      <c r="K503" t="n">
        <v>0</v>
      </c>
      <c r="L503" t="n">
        <v>0</v>
      </c>
      <c r="M503" t="n">
        <v>0</v>
      </c>
      <c r="N503" t="n">
        <v>0</v>
      </c>
      <c r="O503" t="n">
        <v>0</v>
      </c>
      <c r="P503" t="n">
        <v>0</v>
      </c>
      <c r="Q503" t="n">
        <v>0</v>
      </c>
      <c r="R503" s="2" t="inlineStr"/>
    </row>
    <row r="504" ht="15" customHeight="1">
      <c r="A504" t="inlineStr">
        <is>
          <t>A 60004-2022</t>
        </is>
      </c>
      <c r="B504" s="1" t="n">
        <v>44909.47206018519</v>
      </c>
      <c r="C504" s="1" t="n">
        <v>46051</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52796-2023</t>
        </is>
      </c>
      <c r="B505" s="1" t="n">
        <v>45219</v>
      </c>
      <c r="C505" s="1" t="n">
        <v>46051</v>
      </c>
      <c r="D505" t="inlineStr">
        <is>
          <t>ÖSTERGÖTLANDS LÄN</t>
        </is>
      </c>
      <c r="E505" t="inlineStr">
        <is>
          <t>LINKÖPING</t>
        </is>
      </c>
      <c r="F505" t="inlineStr">
        <is>
          <t>Övriga statliga verk och myndigheter</t>
        </is>
      </c>
      <c r="G505" t="n">
        <v>3.9</v>
      </c>
      <c r="H505" t="n">
        <v>0</v>
      </c>
      <c r="I505" t="n">
        <v>0</v>
      </c>
      <c r="J505" t="n">
        <v>0</v>
      </c>
      <c r="K505" t="n">
        <v>0</v>
      </c>
      <c r="L505" t="n">
        <v>0</v>
      </c>
      <c r="M505" t="n">
        <v>0</v>
      </c>
      <c r="N505" t="n">
        <v>0</v>
      </c>
      <c r="O505" t="n">
        <v>0</v>
      </c>
      <c r="P505" t="n">
        <v>0</v>
      </c>
      <c r="Q505" t="n">
        <v>0</v>
      </c>
      <c r="R505" s="2" t="inlineStr"/>
    </row>
    <row r="506" ht="15" customHeight="1">
      <c r="A506" t="inlineStr">
        <is>
          <t>A 50743-2023</t>
        </is>
      </c>
      <c r="B506" s="1" t="n">
        <v>45217</v>
      </c>
      <c r="C506" s="1" t="n">
        <v>46051</v>
      </c>
      <c r="D506" t="inlineStr">
        <is>
          <t>ÖSTERGÖTLANDS LÄN</t>
        </is>
      </c>
      <c r="E506" t="inlineStr">
        <is>
          <t>LINKÖPING</t>
        </is>
      </c>
      <c r="G506" t="n">
        <v>2.7</v>
      </c>
      <c r="H506" t="n">
        <v>0</v>
      </c>
      <c r="I506" t="n">
        <v>0</v>
      </c>
      <c r="J506" t="n">
        <v>0</v>
      </c>
      <c r="K506" t="n">
        <v>0</v>
      </c>
      <c r="L506" t="n">
        <v>0</v>
      </c>
      <c r="M506" t="n">
        <v>0</v>
      </c>
      <c r="N506" t="n">
        <v>0</v>
      </c>
      <c r="O506" t="n">
        <v>0</v>
      </c>
      <c r="P506" t="n">
        <v>0</v>
      </c>
      <c r="Q506" t="n">
        <v>0</v>
      </c>
      <c r="R506" s="2" t="inlineStr"/>
    </row>
    <row r="507" ht="15" customHeight="1">
      <c r="A507" t="inlineStr">
        <is>
          <t>A 45771-2023</t>
        </is>
      </c>
      <c r="B507" s="1" t="n">
        <v>45195.4384375</v>
      </c>
      <c r="C507" s="1" t="n">
        <v>46051</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63554-2023</t>
        </is>
      </c>
      <c r="B508" s="1" t="n">
        <v>45275</v>
      </c>
      <c r="C508" s="1" t="n">
        <v>46051</v>
      </c>
      <c r="D508" t="inlineStr">
        <is>
          <t>ÖSTERGÖTLANDS LÄN</t>
        </is>
      </c>
      <c r="E508" t="inlineStr">
        <is>
          <t>LINKÖPING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61899-2025</t>
        </is>
      </c>
      <c r="B509" s="1" t="n">
        <v>46003.46635416667</v>
      </c>
      <c r="C509" s="1" t="n">
        <v>46051</v>
      </c>
      <c r="D509" t="inlineStr">
        <is>
          <t>ÖSTERGÖTLANDS LÄN</t>
        </is>
      </c>
      <c r="E509" t="inlineStr">
        <is>
          <t>LINKÖPING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30111-2024</t>
        </is>
      </c>
      <c r="B510" s="1" t="n">
        <v>45489.46947916667</v>
      </c>
      <c r="C510" s="1" t="n">
        <v>46051</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30119-2024</t>
        </is>
      </c>
      <c r="B511" s="1" t="n">
        <v>45489</v>
      </c>
      <c r="C511" s="1" t="n">
        <v>46051</v>
      </c>
      <c r="D511" t="inlineStr">
        <is>
          <t>ÖSTERGÖTLANDS LÄN</t>
        </is>
      </c>
      <c r="E511" t="inlineStr">
        <is>
          <t>LINKÖPING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62791-2025</t>
        </is>
      </c>
      <c r="B512" s="1" t="n">
        <v>46008.63266203704</v>
      </c>
      <c r="C512" s="1" t="n">
        <v>46051</v>
      </c>
      <c r="D512" t="inlineStr">
        <is>
          <t>ÖSTERGÖTLANDS LÄN</t>
        </is>
      </c>
      <c r="E512" t="inlineStr">
        <is>
          <t>LINKÖPING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6206-2024</t>
        </is>
      </c>
      <c r="B513" s="1" t="n">
        <v>45337.5977662037</v>
      </c>
      <c r="C513" s="1" t="n">
        <v>46051</v>
      </c>
      <c r="D513" t="inlineStr">
        <is>
          <t>ÖSTERGÖTLANDS LÄN</t>
        </is>
      </c>
      <c r="E513" t="inlineStr">
        <is>
          <t>LINKÖPING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5099-2026</t>
        </is>
      </c>
      <c r="B514" s="1" t="n">
        <v>46049.56158564815</v>
      </c>
      <c r="C514" s="1" t="n">
        <v>46051</v>
      </c>
      <c r="D514" t="inlineStr">
        <is>
          <t>ÖSTERGÖTLANDS LÄN</t>
        </is>
      </c>
      <c r="E514" t="inlineStr">
        <is>
          <t>LINKÖPING</t>
        </is>
      </c>
      <c r="G514" t="n">
        <v>5</v>
      </c>
      <c r="H514" t="n">
        <v>0</v>
      </c>
      <c r="I514" t="n">
        <v>0</v>
      </c>
      <c r="J514" t="n">
        <v>0</v>
      </c>
      <c r="K514" t="n">
        <v>0</v>
      </c>
      <c r="L514" t="n">
        <v>0</v>
      </c>
      <c r="M514" t="n">
        <v>0</v>
      </c>
      <c r="N514" t="n">
        <v>0</v>
      </c>
      <c r="O514" t="n">
        <v>0</v>
      </c>
      <c r="P514" t="n">
        <v>0</v>
      </c>
      <c r="Q514" t="n">
        <v>0</v>
      </c>
      <c r="R514" s="2" t="inlineStr"/>
    </row>
    <row r="515" ht="15" customHeight="1">
      <c r="A515" t="inlineStr">
        <is>
          <t>A 15714-2024</t>
        </is>
      </c>
      <c r="B515" s="1" t="n">
        <v>45404.48288194444</v>
      </c>
      <c r="C515" s="1" t="n">
        <v>46051</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30481-2023</t>
        </is>
      </c>
      <c r="B516" s="1" t="n">
        <v>45111</v>
      </c>
      <c r="C516" s="1" t="n">
        <v>46051</v>
      </c>
      <c r="D516" t="inlineStr">
        <is>
          <t>ÖSTERGÖTLANDS LÄN</t>
        </is>
      </c>
      <c r="E516" t="inlineStr">
        <is>
          <t>LINKÖPING</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74160-2021</t>
        </is>
      </c>
      <c r="B517" s="1" t="n">
        <v>44558</v>
      </c>
      <c r="C517" s="1" t="n">
        <v>46051</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63559-2023</t>
        </is>
      </c>
      <c r="B518" s="1" t="n">
        <v>45275.35924768518</v>
      </c>
      <c r="C518" s="1" t="n">
        <v>46051</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62686-2025</t>
        </is>
      </c>
      <c r="B519" s="1" t="n">
        <v>46008.46769675926</v>
      </c>
      <c r="C519" s="1" t="n">
        <v>46051</v>
      </c>
      <c r="D519" t="inlineStr">
        <is>
          <t>ÖSTERGÖTLANDS LÄN</t>
        </is>
      </c>
      <c r="E519" t="inlineStr">
        <is>
          <t>LINKÖPING</t>
        </is>
      </c>
      <c r="G519" t="n">
        <v>7.6</v>
      </c>
      <c r="H519" t="n">
        <v>0</v>
      </c>
      <c r="I519" t="n">
        <v>0</v>
      </c>
      <c r="J519" t="n">
        <v>0</v>
      </c>
      <c r="K519" t="n">
        <v>0</v>
      </c>
      <c r="L519" t="n">
        <v>0</v>
      </c>
      <c r="M519" t="n">
        <v>0</v>
      </c>
      <c r="N519" t="n">
        <v>0</v>
      </c>
      <c r="O519" t="n">
        <v>0</v>
      </c>
      <c r="P519" t="n">
        <v>0</v>
      </c>
      <c r="Q519" t="n">
        <v>0</v>
      </c>
      <c r="R519" s="2" t="inlineStr"/>
    </row>
    <row r="520" ht="15" customHeight="1">
      <c r="A520" t="inlineStr">
        <is>
          <t>A 23491-2024</t>
        </is>
      </c>
      <c r="B520" s="1" t="n">
        <v>45453</v>
      </c>
      <c r="C520" s="1" t="n">
        <v>46051</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29309-2024</t>
        </is>
      </c>
      <c r="B521" s="1" t="n">
        <v>45483</v>
      </c>
      <c r="C521" s="1" t="n">
        <v>46051</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29411-2023</t>
        </is>
      </c>
      <c r="B522" s="1" t="n">
        <v>45106.46225694445</v>
      </c>
      <c r="C522" s="1" t="n">
        <v>46051</v>
      </c>
      <c r="D522" t="inlineStr">
        <is>
          <t>ÖSTERGÖTLANDS LÄN</t>
        </is>
      </c>
      <c r="E522" t="inlineStr">
        <is>
          <t>LINKÖPING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29412-2023</t>
        </is>
      </c>
      <c r="B523" s="1" t="n">
        <v>45106.46359953703</v>
      </c>
      <c r="C523" s="1" t="n">
        <v>46051</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29413-2023</t>
        </is>
      </c>
      <c r="B524" s="1" t="n">
        <v>45106.46465277778</v>
      </c>
      <c r="C524" s="1" t="n">
        <v>46051</v>
      </c>
      <c r="D524" t="inlineStr">
        <is>
          <t>ÖSTERGÖTLANDS LÄN</t>
        </is>
      </c>
      <c r="E524" t="inlineStr">
        <is>
          <t>LINKÖPING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62515-2025</t>
        </is>
      </c>
      <c r="B525" s="1" t="n">
        <v>46007.60548611111</v>
      </c>
      <c r="C525" s="1" t="n">
        <v>46051</v>
      </c>
      <c r="D525" t="inlineStr">
        <is>
          <t>ÖSTERGÖTLANDS LÄN</t>
        </is>
      </c>
      <c r="E525" t="inlineStr">
        <is>
          <t>LINKÖPING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927-2026</t>
        </is>
      </c>
      <c r="B526" s="1" t="n">
        <v>46030.50560185185</v>
      </c>
      <c r="C526" s="1" t="n">
        <v>46051</v>
      </c>
      <c r="D526" t="inlineStr">
        <is>
          <t>ÖSTERGÖTLANDS LÄN</t>
        </is>
      </c>
      <c r="E526" t="inlineStr">
        <is>
          <t>LINKÖPING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5545-2026</t>
        </is>
      </c>
      <c r="B527" s="1" t="n">
        <v>46050.70089120371</v>
      </c>
      <c r="C527" s="1" t="n">
        <v>46051</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24151-2024</t>
        </is>
      </c>
      <c r="B528" s="1" t="n">
        <v>45456.67717592593</v>
      </c>
      <c r="C528" s="1" t="n">
        <v>46051</v>
      </c>
      <c r="D528" t="inlineStr">
        <is>
          <t>ÖSTERGÖTLANDS LÄN</t>
        </is>
      </c>
      <c r="E528" t="inlineStr">
        <is>
          <t>LINKÖPING</t>
        </is>
      </c>
      <c r="G528" t="n">
        <v>2.1</v>
      </c>
      <c r="H528" t="n">
        <v>0</v>
      </c>
      <c r="I528" t="n">
        <v>0</v>
      </c>
      <c r="J528" t="n">
        <v>0</v>
      </c>
      <c r="K528" t="n">
        <v>0</v>
      </c>
      <c r="L528" t="n">
        <v>0</v>
      </c>
      <c r="M528" t="n">
        <v>0</v>
      </c>
      <c r="N528" t="n">
        <v>0</v>
      </c>
      <c r="O528" t="n">
        <v>0</v>
      </c>
      <c r="P528" t="n">
        <v>0</v>
      </c>
      <c r="Q528" t="n">
        <v>0</v>
      </c>
      <c r="R528" s="2" t="inlineStr"/>
    </row>
    <row r="529" ht="15" customHeight="1">
      <c r="A529" t="inlineStr">
        <is>
          <t>A 63845-2021</t>
        </is>
      </c>
      <c r="B529" s="1" t="n">
        <v>44509</v>
      </c>
      <c r="C529" s="1" t="n">
        <v>46051</v>
      </c>
      <c r="D529" t="inlineStr">
        <is>
          <t>ÖSTERGÖTLANDS LÄN</t>
        </is>
      </c>
      <c r="E529" t="inlineStr">
        <is>
          <t>LINKÖPING</t>
        </is>
      </c>
      <c r="G529" t="n">
        <v>5</v>
      </c>
      <c r="H529" t="n">
        <v>0</v>
      </c>
      <c r="I529" t="n">
        <v>0</v>
      </c>
      <c r="J529" t="n">
        <v>0</v>
      </c>
      <c r="K529" t="n">
        <v>0</v>
      </c>
      <c r="L529" t="n">
        <v>0</v>
      </c>
      <c r="M529" t="n">
        <v>0</v>
      </c>
      <c r="N529" t="n">
        <v>0</v>
      </c>
      <c r="O529" t="n">
        <v>0</v>
      </c>
      <c r="P529" t="n">
        <v>0</v>
      </c>
      <c r="Q529" t="n">
        <v>0</v>
      </c>
      <c r="R529" s="2" t="inlineStr"/>
    </row>
    <row r="530" ht="15" customHeight="1">
      <c r="A530" t="inlineStr">
        <is>
          <t>A 17785-2023</t>
        </is>
      </c>
      <c r="B530" s="1" t="n">
        <v>45037.55094907407</v>
      </c>
      <c r="C530" s="1" t="n">
        <v>46051</v>
      </c>
      <c r="D530" t="inlineStr">
        <is>
          <t>ÖSTERGÖTLANDS LÄN</t>
        </is>
      </c>
      <c r="E530" t="inlineStr">
        <is>
          <t>LINKÖPING</t>
        </is>
      </c>
      <c r="F530" t="inlineStr">
        <is>
          <t>Allmännings- och besparingsskogar</t>
        </is>
      </c>
      <c r="G530" t="n">
        <v>3.1</v>
      </c>
      <c r="H530" t="n">
        <v>0</v>
      </c>
      <c r="I530" t="n">
        <v>0</v>
      </c>
      <c r="J530" t="n">
        <v>0</v>
      </c>
      <c r="K530" t="n">
        <v>0</v>
      </c>
      <c r="L530" t="n">
        <v>0</v>
      </c>
      <c r="M530" t="n">
        <v>0</v>
      </c>
      <c r="N530" t="n">
        <v>0</v>
      </c>
      <c r="O530" t="n">
        <v>0</v>
      </c>
      <c r="P530" t="n">
        <v>0</v>
      </c>
      <c r="Q530" t="n">
        <v>0</v>
      </c>
      <c r="R530" s="2" t="inlineStr"/>
    </row>
    <row r="531" ht="15" customHeight="1">
      <c r="A531" t="inlineStr">
        <is>
          <t>A 32346-2023</t>
        </is>
      </c>
      <c r="B531" s="1" t="n">
        <v>45120</v>
      </c>
      <c r="C531" s="1" t="n">
        <v>46051</v>
      </c>
      <c r="D531" t="inlineStr">
        <is>
          <t>ÖSTERGÖTLANDS LÄN</t>
        </is>
      </c>
      <c r="E531" t="inlineStr">
        <is>
          <t>LINKÖPING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1627-2023</t>
        </is>
      </c>
      <c r="B532" s="1" t="n">
        <v>44937</v>
      </c>
      <c r="C532" s="1" t="n">
        <v>46051</v>
      </c>
      <c r="D532" t="inlineStr">
        <is>
          <t>ÖSTERGÖTLANDS LÄN</t>
        </is>
      </c>
      <c r="E532" t="inlineStr">
        <is>
          <t>LINKÖPING</t>
        </is>
      </c>
      <c r="G532" t="n">
        <v>10.8</v>
      </c>
      <c r="H532" t="n">
        <v>0</v>
      </c>
      <c r="I532" t="n">
        <v>0</v>
      </c>
      <c r="J532" t="n">
        <v>0</v>
      </c>
      <c r="K532" t="n">
        <v>0</v>
      </c>
      <c r="L532" t="n">
        <v>0</v>
      </c>
      <c r="M532" t="n">
        <v>0</v>
      </c>
      <c r="N532" t="n">
        <v>0</v>
      </c>
      <c r="O532" t="n">
        <v>0</v>
      </c>
      <c r="P532" t="n">
        <v>0</v>
      </c>
      <c r="Q532" t="n">
        <v>0</v>
      </c>
      <c r="R532" s="2" t="inlineStr"/>
    </row>
    <row r="533" ht="15" customHeight="1">
      <c r="A533" t="inlineStr">
        <is>
          <t>A 16665-2023</t>
        </is>
      </c>
      <c r="B533" s="1" t="n">
        <v>45030.5583912037</v>
      </c>
      <c r="C533" s="1" t="n">
        <v>46051</v>
      </c>
      <c r="D533" t="inlineStr">
        <is>
          <t>ÖSTERGÖTLANDS LÄN</t>
        </is>
      </c>
      <c r="E533" t="inlineStr">
        <is>
          <t>LINKÖPING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60860-2024</t>
        </is>
      </c>
      <c r="B534" s="1" t="n">
        <v>45644.6893287037</v>
      </c>
      <c r="C534" s="1" t="n">
        <v>46051</v>
      </c>
      <c r="D534" t="inlineStr">
        <is>
          <t>ÖSTERGÖTLANDS LÄN</t>
        </is>
      </c>
      <c r="E534" t="inlineStr">
        <is>
          <t>LINKÖPING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31640-2023</t>
        </is>
      </c>
      <c r="B535" s="1" t="n">
        <v>45117</v>
      </c>
      <c r="C535" s="1" t="n">
        <v>46051</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16213-2025</t>
        </is>
      </c>
      <c r="B536" s="1" t="n">
        <v>45750.62740740741</v>
      </c>
      <c r="C536" s="1" t="n">
        <v>46051</v>
      </c>
      <c r="D536" t="inlineStr">
        <is>
          <t>ÖSTERGÖTLANDS LÄN</t>
        </is>
      </c>
      <c r="E536" t="inlineStr">
        <is>
          <t>LINKÖPING</t>
        </is>
      </c>
      <c r="G536" t="n">
        <v>3.4</v>
      </c>
      <c r="H536" t="n">
        <v>0</v>
      </c>
      <c r="I536" t="n">
        <v>0</v>
      </c>
      <c r="J536" t="n">
        <v>0</v>
      </c>
      <c r="K536" t="n">
        <v>0</v>
      </c>
      <c r="L536" t="n">
        <v>0</v>
      </c>
      <c r="M536" t="n">
        <v>0</v>
      </c>
      <c r="N536" t="n">
        <v>0</v>
      </c>
      <c r="O536" t="n">
        <v>0</v>
      </c>
      <c r="P536" t="n">
        <v>0</v>
      </c>
      <c r="Q536" t="n">
        <v>0</v>
      </c>
      <c r="R536" s="2" t="inlineStr"/>
    </row>
    <row r="537" ht="15" customHeight="1">
      <c r="A537" t="inlineStr">
        <is>
          <t>A 34872-2023</t>
        </is>
      </c>
      <c r="B537" s="1" t="n">
        <v>45140</v>
      </c>
      <c r="C537" s="1" t="n">
        <v>46051</v>
      </c>
      <c r="D537" t="inlineStr">
        <is>
          <t>ÖSTERGÖTLANDS LÄN</t>
        </is>
      </c>
      <c r="E537" t="inlineStr">
        <is>
          <t>LINKÖPING</t>
        </is>
      </c>
      <c r="G537" t="n">
        <v>4.8</v>
      </c>
      <c r="H537" t="n">
        <v>0</v>
      </c>
      <c r="I537" t="n">
        <v>0</v>
      </c>
      <c r="J537" t="n">
        <v>0</v>
      </c>
      <c r="K537" t="n">
        <v>0</v>
      </c>
      <c r="L537" t="n">
        <v>0</v>
      </c>
      <c r="M537" t="n">
        <v>0</v>
      </c>
      <c r="N537" t="n">
        <v>0</v>
      </c>
      <c r="O537" t="n">
        <v>0</v>
      </c>
      <c r="P537" t="n">
        <v>0</v>
      </c>
      <c r="Q537" t="n">
        <v>0</v>
      </c>
      <c r="R537" s="2" t="inlineStr"/>
    </row>
    <row r="538" ht="15" customHeight="1">
      <c r="A538" t="inlineStr">
        <is>
          <t>A 33000-2023</t>
        </is>
      </c>
      <c r="B538" s="1" t="n">
        <v>45125</v>
      </c>
      <c r="C538" s="1" t="n">
        <v>46051</v>
      </c>
      <c r="D538" t="inlineStr">
        <is>
          <t>ÖSTERGÖTLANDS LÄN</t>
        </is>
      </c>
      <c r="E538" t="inlineStr">
        <is>
          <t>LINKÖPING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2997-2025</t>
        </is>
      </c>
      <c r="B539" s="1" t="n">
        <v>45678.54631944445</v>
      </c>
      <c r="C539" s="1" t="n">
        <v>46051</v>
      </c>
      <c r="D539" t="inlineStr">
        <is>
          <t>ÖSTERGÖTLANDS LÄN</t>
        </is>
      </c>
      <c r="E539" t="inlineStr">
        <is>
          <t>LINKÖPING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31534-2023</t>
        </is>
      </c>
      <c r="B540" s="1" t="n">
        <v>45116</v>
      </c>
      <c r="C540" s="1" t="n">
        <v>46051</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26803-2024</t>
        </is>
      </c>
      <c r="B541" s="1" t="n">
        <v>45470</v>
      </c>
      <c r="C541" s="1" t="n">
        <v>46051</v>
      </c>
      <c r="D541" t="inlineStr">
        <is>
          <t>ÖSTERGÖTLANDS LÄN</t>
        </is>
      </c>
      <c r="E541" t="inlineStr">
        <is>
          <t>LINKÖPING</t>
        </is>
      </c>
      <c r="F541" t="inlineStr">
        <is>
          <t>Allmännings- och besparingsskogar</t>
        </is>
      </c>
      <c r="G541" t="n">
        <v>4.5</v>
      </c>
      <c r="H541" t="n">
        <v>0</v>
      </c>
      <c r="I541" t="n">
        <v>0</v>
      </c>
      <c r="J541" t="n">
        <v>0</v>
      </c>
      <c r="K541" t="n">
        <v>0</v>
      </c>
      <c r="L541" t="n">
        <v>0</v>
      </c>
      <c r="M541" t="n">
        <v>0</v>
      </c>
      <c r="N541" t="n">
        <v>0</v>
      </c>
      <c r="O541" t="n">
        <v>0</v>
      </c>
      <c r="P541" t="n">
        <v>0</v>
      </c>
      <c r="Q541" t="n">
        <v>0</v>
      </c>
      <c r="R541" s="2" t="inlineStr"/>
    </row>
    <row r="542" ht="15" customHeight="1">
      <c r="A542" t="inlineStr">
        <is>
          <t>A 45806-2024</t>
        </is>
      </c>
      <c r="B542" s="1" t="n">
        <v>45579.69619212963</v>
      </c>
      <c r="C542" s="1" t="n">
        <v>46051</v>
      </c>
      <c r="D542" t="inlineStr">
        <is>
          <t>ÖSTERGÖTLANDS LÄN</t>
        </is>
      </c>
      <c r="E542" t="inlineStr">
        <is>
          <t>LINKÖPING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37154-2023</t>
        </is>
      </c>
      <c r="B543" s="1" t="n">
        <v>45155</v>
      </c>
      <c r="C543" s="1" t="n">
        <v>46051</v>
      </c>
      <c r="D543" t="inlineStr">
        <is>
          <t>ÖSTERGÖTLANDS LÄN</t>
        </is>
      </c>
      <c r="E543" t="inlineStr">
        <is>
          <t>LINKÖPING</t>
        </is>
      </c>
      <c r="G543" t="n">
        <v>1.7</v>
      </c>
      <c r="H543" t="n">
        <v>0</v>
      </c>
      <c r="I543" t="n">
        <v>0</v>
      </c>
      <c r="J543" t="n">
        <v>0</v>
      </c>
      <c r="K543" t="n">
        <v>0</v>
      </c>
      <c r="L543" t="n">
        <v>0</v>
      </c>
      <c r="M543" t="n">
        <v>0</v>
      </c>
      <c r="N543" t="n">
        <v>0</v>
      </c>
      <c r="O543" t="n">
        <v>0</v>
      </c>
      <c r="P543" t="n">
        <v>0</v>
      </c>
      <c r="Q543" t="n">
        <v>0</v>
      </c>
      <c r="R543" s="2" t="inlineStr"/>
    </row>
    <row r="544" ht="15" customHeight="1">
      <c r="A544" t="inlineStr">
        <is>
          <t>A 11330-2023</t>
        </is>
      </c>
      <c r="B544" s="1" t="n">
        <v>44993.24648148148</v>
      </c>
      <c r="C544" s="1" t="n">
        <v>46051</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42000-2023</t>
        </is>
      </c>
      <c r="B545" s="1" t="n">
        <v>45177</v>
      </c>
      <c r="C545" s="1" t="n">
        <v>46051</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32602-2022</t>
        </is>
      </c>
      <c r="B546" s="1" t="n">
        <v>44783.43192129629</v>
      </c>
      <c r="C546" s="1" t="n">
        <v>46051</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13413-2023</t>
        </is>
      </c>
      <c r="B547" s="1" t="n">
        <v>45005.58341435185</v>
      </c>
      <c r="C547" s="1" t="n">
        <v>46051</v>
      </c>
      <c r="D547" t="inlineStr">
        <is>
          <t>ÖSTERGÖTLANDS LÄN</t>
        </is>
      </c>
      <c r="E547" t="inlineStr">
        <is>
          <t>LINKÖPING</t>
        </is>
      </c>
      <c r="G547" t="n">
        <v>2.4</v>
      </c>
      <c r="H547" t="n">
        <v>0</v>
      </c>
      <c r="I547" t="n">
        <v>0</v>
      </c>
      <c r="J547" t="n">
        <v>0</v>
      </c>
      <c r="K547" t="n">
        <v>0</v>
      </c>
      <c r="L547" t="n">
        <v>0</v>
      </c>
      <c r="M547" t="n">
        <v>0</v>
      </c>
      <c r="N547" t="n">
        <v>0</v>
      </c>
      <c r="O547" t="n">
        <v>0</v>
      </c>
      <c r="P547" t="n">
        <v>0</v>
      </c>
      <c r="Q547" t="n">
        <v>0</v>
      </c>
      <c r="R547" s="2" t="inlineStr"/>
    </row>
    <row r="548" ht="15" customHeight="1">
      <c r="A548" t="inlineStr">
        <is>
          <t>A 63528-2023</t>
        </is>
      </c>
      <c r="B548" s="1" t="n">
        <v>45274.94810185185</v>
      </c>
      <c r="C548" s="1" t="n">
        <v>46051</v>
      </c>
      <c r="D548" t="inlineStr">
        <is>
          <t>ÖSTERGÖTLANDS LÄN</t>
        </is>
      </c>
      <c r="E548" t="inlineStr">
        <is>
          <t>LINKÖPING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63638-2023</t>
        </is>
      </c>
      <c r="B549" s="1" t="n">
        <v>45275</v>
      </c>
      <c r="C549" s="1" t="n">
        <v>46051</v>
      </c>
      <c r="D549" t="inlineStr">
        <is>
          <t>ÖSTERGÖTLANDS LÄN</t>
        </is>
      </c>
      <c r="E549" t="inlineStr">
        <is>
          <t>LINKÖPING</t>
        </is>
      </c>
      <c r="F549" t="inlineStr">
        <is>
          <t>Övriga Aktiebolag</t>
        </is>
      </c>
      <c r="G549" t="n">
        <v>2.4</v>
      </c>
      <c r="H549" t="n">
        <v>0</v>
      </c>
      <c r="I549" t="n">
        <v>0</v>
      </c>
      <c r="J549" t="n">
        <v>0</v>
      </c>
      <c r="K549" t="n">
        <v>0</v>
      </c>
      <c r="L549" t="n">
        <v>0</v>
      </c>
      <c r="M549" t="n">
        <v>0</v>
      </c>
      <c r="N549" t="n">
        <v>0</v>
      </c>
      <c r="O549" t="n">
        <v>0</v>
      </c>
      <c r="P549" t="n">
        <v>0</v>
      </c>
      <c r="Q549" t="n">
        <v>0</v>
      </c>
      <c r="R549" s="2" t="inlineStr"/>
    </row>
    <row r="550" ht="15" customHeight="1">
      <c r="A550" t="inlineStr">
        <is>
          <t>A 63658-2023</t>
        </is>
      </c>
      <c r="B550" s="1" t="n">
        <v>45275</v>
      </c>
      <c r="C550" s="1" t="n">
        <v>46051</v>
      </c>
      <c r="D550" t="inlineStr">
        <is>
          <t>ÖSTERGÖTLANDS LÄN</t>
        </is>
      </c>
      <c r="E550" t="inlineStr">
        <is>
          <t>LINKÖPING</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7808-2022</t>
        </is>
      </c>
      <c r="B551" s="1" t="n">
        <v>44608</v>
      </c>
      <c r="C551" s="1" t="n">
        <v>46051</v>
      </c>
      <c r="D551" t="inlineStr">
        <is>
          <t>ÖSTERGÖTLANDS LÄN</t>
        </is>
      </c>
      <c r="E551" t="inlineStr">
        <is>
          <t>LINKÖPING</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36336-2023</t>
        </is>
      </c>
      <c r="B552" s="1" t="n">
        <v>45152.45078703704</v>
      </c>
      <c r="C552" s="1" t="n">
        <v>46051</v>
      </c>
      <c r="D552" t="inlineStr">
        <is>
          <t>ÖSTERGÖTLANDS LÄN</t>
        </is>
      </c>
      <c r="E552" t="inlineStr">
        <is>
          <t>LINKÖPING</t>
        </is>
      </c>
      <c r="G552" t="n">
        <v>1.1</v>
      </c>
      <c r="H552" t="n">
        <v>0</v>
      </c>
      <c r="I552" t="n">
        <v>0</v>
      </c>
      <c r="J552" t="n">
        <v>0</v>
      </c>
      <c r="K552" t="n">
        <v>0</v>
      </c>
      <c r="L552" t="n">
        <v>0</v>
      </c>
      <c r="M552" t="n">
        <v>0</v>
      </c>
      <c r="N552" t="n">
        <v>0</v>
      </c>
      <c r="O552" t="n">
        <v>0</v>
      </c>
      <c r="P552" t="n">
        <v>0</v>
      </c>
      <c r="Q552" t="n">
        <v>0</v>
      </c>
      <c r="R552" s="2" t="inlineStr"/>
    </row>
    <row r="553" ht="15" customHeight="1">
      <c r="A553" t="inlineStr">
        <is>
          <t>A 56623-2024</t>
        </is>
      </c>
      <c r="B553" s="1" t="n">
        <v>45625</v>
      </c>
      <c r="C553" s="1" t="n">
        <v>46051</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13011-2022</t>
        </is>
      </c>
      <c r="B554" s="1" t="n">
        <v>44643</v>
      </c>
      <c r="C554" s="1" t="n">
        <v>46051</v>
      </c>
      <c r="D554" t="inlineStr">
        <is>
          <t>ÖSTERGÖTLANDS LÄN</t>
        </is>
      </c>
      <c r="E554" t="inlineStr">
        <is>
          <t>LINKÖPING</t>
        </is>
      </c>
      <c r="G554" t="n">
        <v>3.7</v>
      </c>
      <c r="H554" t="n">
        <v>0</v>
      </c>
      <c r="I554" t="n">
        <v>0</v>
      </c>
      <c r="J554" t="n">
        <v>0</v>
      </c>
      <c r="K554" t="n">
        <v>0</v>
      </c>
      <c r="L554" t="n">
        <v>0</v>
      </c>
      <c r="M554" t="n">
        <v>0</v>
      </c>
      <c r="N554" t="n">
        <v>0</v>
      </c>
      <c r="O554" t="n">
        <v>0</v>
      </c>
      <c r="P554" t="n">
        <v>0</v>
      </c>
      <c r="Q554" t="n">
        <v>0</v>
      </c>
      <c r="R554" s="2" t="inlineStr"/>
    </row>
    <row r="555" ht="15" customHeight="1">
      <c r="A555" t="inlineStr">
        <is>
          <t>A 11595-2025</t>
        </is>
      </c>
      <c r="B555" s="1" t="n">
        <v>45727.41893518518</v>
      </c>
      <c r="C555" s="1" t="n">
        <v>46051</v>
      </c>
      <c r="D555" t="inlineStr">
        <is>
          <t>ÖSTERGÖTLANDS LÄN</t>
        </is>
      </c>
      <c r="E555" t="inlineStr">
        <is>
          <t>LINKÖPING</t>
        </is>
      </c>
      <c r="G555" t="n">
        <v>6.6</v>
      </c>
      <c r="H555" t="n">
        <v>0</v>
      </c>
      <c r="I555" t="n">
        <v>0</v>
      </c>
      <c r="J555" t="n">
        <v>0</v>
      </c>
      <c r="K555" t="n">
        <v>0</v>
      </c>
      <c r="L555" t="n">
        <v>0</v>
      </c>
      <c r="M555" t="n">
        <v>0</v>
      </c>
      <c r="N555" t="n">
        <v>0</v>
      </c>
      <c r="O555" t="n">
        <v>0</v>
      </c>
      <c r="P555" t="n">
        <v>0</v>
      </c>
      <c r="Q555" t="n">
        <v>0</v>
      </c>
      <c r="R555" s="2" t="inlineStr"/>
    </row>
    <row r="556" ht="15" customHeight="1">
      <c r="A556" t="inlineStr">
        <is>
          <t>A 50508-2024</t>
        </is>
      </c>
      <c r="B556" s="1" t="n">
        <v>45601.53907407408</v>
      </c>
      <c r="C556" s="1" t="n">
        <v>46051</v>
      </c>
      <c r="D556" t="inlineStr">
        <is>
          <t>ÖSTERGÖTLANDS LÄN</t>
        </is>
      </c>
      <c r="E556" t="inlineStr">
        <is>
          <t>LINKÖPING</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36336-2022</t>
        </is>
      </c>
      <c r="B557" s="1" t="n">
        <v>44803</v>
      </c>
      <c r="C557" s="1" t="n">
        <v>46051</v>
      </c>
      <c r="D557" t="inlineStr">
        <is>
          <t>ÖSTERGÖTLANDS LÄN</t>
        </is>
      </c>
      <c r="E557" t="inlineStr">
        <is>
          <t>LINKÖPING</t>
        </is>
      </c>
      <c r="G557" t="n">
        <v>1.1</v>
      </c>
      <c r="H557" t="n">
        <v>0</v>
      </c>
      <c r="I557" t="n">
        <v>0</v>
      </c>
      <c r="J557" t="n">
        <v>0</v>
      </c>
      <c r="K557" t="n">
        <v>0</v>
      </c>
      <c r="L557" t="n">
        <v>0</v>
      </c>
      <c r="M557" t="n">
        <v>0</v>
      </c>
      <c r="N557" t="n">
        <v>0</v>
      </c>
      <c r="O557" t="n">
        <v>0</v>
      </c>
      <c r="P557" t="n">
        <v>0</v>
      </c>
      <c r="Q557" t="n">
        <v>0</v>
      </c>
      <c r="R557" s="2" t="inlineStr"/>
    </row>
    <row r="558" ht="15" customHeight="1">
      <c r="A558" t="inlineStr">
        <is>
          <t>A 48839-2022</t>
        </is>
      </c>
      <c r="B558" s="1" t="n">
        <v>44859</v>
      </c>
      <c r="C558" s="1" t="n">
        <v>46051</v>
      </c>
      <c r="D558" t="inlineStr">
        <is>
          <t>ÖSTERGÖTLANDS LÄN</t>
        </is>
      </c>
      <c r="E558" t="inlineStr">
        <is>
          <t>LINKÖPING</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6387-2022</t>
        </is>
      </c>
      <c r="B559" s="1" t="n">
        <v>44600</v>
      </c>
      <c r="C559" s="1" t="n">
        <v>46051</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34641-2022</t>
        </is>
      </c>
      <c r="B560" s="1" t="n">
        <v>44795</v>
      </c>
      <c r="C560" s="1" t="n">
        <v>46051</v>
      </c>
      <c r="D560" t="inlineStr">
        <is>
          <t>ÖSTERGÖTLANDS LÄN</t>
        </is>
      </c>
      <c r="E560" t="inlineStr">
        <is>
          <t>LINKÖPING</t>
        </is>
      </c>
      <c r="G560" t="n">
        <v>2.4</v>
      </c>
      <c r="H560" t="n">
        <v>0</v>
      </c>
      <c r="I560" t="n">
        <v>0</v>
      </c>
      <c r="J560" t="n">
        <v>0</v>
      </c>
      <c r="K560" t="n">
        <v>0</v>
      </c>
      <c r="L560" t="n">
        <v>0</v>
      </c>
      <c r="M560" t="n">
        <v>0</v>
      </c>
      <c r="N560" t="n">
        <v>0</v>
      </c>
      <c r="O560" t="n">
        <v>0</v>
      </c>
      <c r="P560" t="n">
        <v>0</v>
      </c>
      <c r="Q560" t="n">
        <v>0</v>
      </c>
      <c r="R560" s="2" t="inlineStr"/>
    </row>
    <row r="561" ht="15" customHeight="1">
      <c r="A561" t="inlineStr">
        <is>
          <t>A 13687-2025</t>
        </is>
      </c>
      <c r="B561" s="1" t="n">
        <v>45737.31425925926</v>
      </c>
      <c r="C561" s="1" t="n">
        <v>46051</v>
      </c>
      <c r="D561" t="inlineStr">
        <is>
          <t>ÖSTERGÖTLANDS LÄN</t>
        </is>
      </c>
      <c r="E561" t="inlineStr">
        <is>
          <t>LINKÖPING</t>
        </is>
      </c>
      <c r="G561" t="n">
        <v>2.7</v>
      </c>
      <c r="H561" t="n">
        <v>0</v>
      </c>
      <c r="I561" t="n">
        <v>0</v>
      </c>
      <c r="J561" t="n">
        <v>0</v>
      </c>
      <c r="K561" t="n">
        <v>0</v>
      </c>
      <c r="L561" t="n">
        <v>0</v>
      </c>
      <c r="M561" t="n">
        <v>0</v>
      </c>
      <c r="N561" t="n">
        <v>0</v>
      </c>
      <c r="O561" t="n">
        <v>0</v>
      </c>
      <c r="P561" t="n">
        <v>0</v>
      </c>
      <c r="Q561" t="n">
        <v>0</v>
      </c>
      <c r="R561" s="2" t="inlineStr"/>
    </row>
    <row r="562" ht="15" customHeight="1">
      <c r="A562" t="inlineStr">
        <is>
          <t>A 13695-2025</t>
        </is>
      </c>
      <c r="B562" s="1" t="n">
        <v>45737.32219907407</v>
      </c>
      <c r="C562" s="1" t="n">
        <v>46051</v>
      </c>
      <c r="D562" t="inlineStr">
        <is>
          <t>ÖSTERGÖTLANDS LÄN</t>
        </is>
      </c>
      <c r="E562" t="inlineStr">
        <is>
          <t>LINKÖPING</t>
        </is>
      </c>
      <c r="G562" t="n">
        <v>5.3</v>
      </c>
      <c r="H562" t="n">
        <v>0</v>
      </c>
      <c r="I562" t="n">
        <v>0</v>
      </c>
      <c r="J562" t="n">
        <v>0</v>
      </c>
      <c r="K562" t="n">
        <v>0</v>
      </c>
      <c r="L562" t="n">
        <v>0</v>
      </c>
      <c r="M562" t="n">
        <v>0</v>
      </c>
      <c r="N562" t="n">
        <v>0</v>
      </c>
      <c r="O562" t="n">
        <v>0</v>
      </c>
      <c r="P562" t="n">
        <v>0</v>
      </c>
      <c r="Q562" t="n">
        <v>0</v>
      </c>
      <c r="R562" s="2" t="inlineStr"/>
    </row>
    <row r="563" ht="15" customHeight="1">
      <c r="A563" t="inlineStr">
        <is>
          <t>A 52413-2023</t>
        </is>
      </c>
      <c r="B563" s="1" t="n">
        <v>45225.27950231481</v>
      </c>
      <c r="C563" s="1" t="n">
        <v>46051</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42054-2022</t>
        </is>
      </c>
      <c r="B564" s="1" t="n">
        <v>44830</v>
      </c>
      <c r="C564" s="1" t="n">
        <v>46051</v>
      </c>
      <c r="D564" t="inlineStr">
        <is>
          <t>ÖSTERGÖTLANDS LÄN</t>
        </is>
      </c>
      <c r="E564" t="inlineStr">
        <is>
          <t>LINKÖPING</t>
        </is>
      </c>
      <c r="G564" t="n">
        <v>1.7</v>
      </c>
      <c r="H564" t="n">
        <v>0</v>
      </c>
      <c r="I564" t="n">
        <v>0</v>
      </c>
      <c r="J564" t="n">
        <v>0</v>
      </c>
      <c r="K564" t="n">
        <v>0</v>
      </c>
      <c r="L564" t="n">
        <v>0</v>
      </c>
      <c r="M564" t="n">
        <v>0</v>
      </c>
      <c r="N564" t="n">
        <v>0</v>
      </c>
      <c r="O564" t="n">
        <v>0</v>
      </c>
      <c r="P564" t="n">
        <v>0</v>
      </c>
      <c r="Q564" t="n">
        <v>0</v>
      </c>
      <c r="R564" s="2" t="inlineStr"/>
    </row>
    <row r="565" ht="15" customHeight="1">
      <c r="A565" t="inlineStr">
        <is>
          <t>A 53797-2023</t>
        </is>
      </c>
      <c r="B565" s="1" t="n">
        <v>45230</v>
      </c>
      <c r="C565" s="1" t="n">
        <v>46051</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22833-2023</t>
        </is>
      </c>
      <c r="B566" s="1" t="n">
        <v>45071</v>
      </c>
      <c r="C566" s="1" t="n">
        <v>46051</v>
      </c>
      <c r="D566" t="inlineStr">
        <is>
          <t>ÖSTERGÖTLANDS LÄN</t>
        </is>
      </c>
      <c r="E566" t="inlineStr">
        <is>
          <t>LINKÖPING</t>
        </is>
      </c>
      <c r="F566" t="inlineStr">
        <is>
          <t>Kommuner</t>
        </is>
      </c>
      <c r="G566" t="n">
        <v>1</v>
      </c>
      <c r="H566" t="n">
        <v>0</v>
      </c>
      <c r="I566" t="n">
        <v>0</v>
      </c>
      <c r="J566" t="n">
        <v>0</v>
      </c>
      <c r="K566" t="n">
        <v>0</v>
      </c>
      <c r="L566" t="n">
        <v>0</v>
      </c>
      <c r="M566" t="n">
        <v>0</v>
      </c>
      <c r="N566" t="n">
        <v>0</v>
      </c>
      <c r="O566" t="n">
        <v>0</v>
      </c>
      <c r="P566" t="n">
        <v>0</v>
      </c>
      <c r="Q566" t="n">
        <v>0</v>
      </c>
      <c r="R566" s="2" t="inlineStr"/>
    </row>
    <row r="567" ht="15" customHeight="1">
      <c r="A567" t="inlineStr">
        <is>
          <t>A 17898-2022</t>
        </is>
      </c>
      <c r="B567" s="1" t="n">
        <v>44683</v>
      </c>
      <c r="C567" s="1" t="n">
        <v>46051</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62017-2024</t>
        </is>
      </c>
      <c r="B568" s="1" t="n">
        <v>45655.81140046296</v>
      </c>
      <c r="C568" s="1" t="n">
        <v>46051</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12411-2022</t>
        </is>
      </c>
      <c r="B569" s="1" t="n">
        <v>44638.21601851852</v>
      </c>
      <c r="C569" s="1" t="n">
        <v>46051</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10492-2022</t>
        </is>
      </c>
      <c r="B570" s="1" t="n">
        <v>44623.6377199074</v>
      </c>
      <c r="C570" s="1" t="n">
        <v>46051</v>
      </c>
      <c r="D570" t="inlineStr">
        <is>
          <t>ÖSTERGÖTLANDS LÄN</t>
        </is>
      </c>
      <c r="E570" t="inlineStr">
        <is>
          <t>LINKÖPING</t>
        </is>
      </c>
      <c r="G570" t="n">
        <v>2.1</v>
      </c>
      <c r="H570" t="n">
        <v>0</v>
      </c>
      <c r="I570" t="n">
        <v>0</v>
      </c>
      <c r="J570" t="n">
        <v>0</v>
      </c>
      <c r="K570" t="n">
        <v>0</v>
      </c>
      <c r="L570" t="n">
        <v>0</v>
      </c>
      <c r="M570" t="n">
        <v>0</v>
      </c>
      <c r="N570" t="n">
        <v>0</v>
      </c>
      <c r="O570" t="n">
        <v>0</v>
      </c>
      <c r="P570" t="n">
        <v>0</v>
      </c>
      <c r="Q570" t="n">
        <v>0</v>
      </c>
      <c r="R570" s="2" t="inlineStr"/>
    </row>
    <row r="571" ht="15" customHeight="1">
      <c r="A571" t="inlineStr">
        <is>
          <t>A 7343-2025</t>
        </is>
      </c>
      <c r="B571" s="1" t="n">
        <v>45703.67853009259</v>
      </c>
      <c r="C571" s="1" t="n">
        <v>46051</v>
      </c>
      <c r="D571" t="inlineStr">
        <is>
          <t>ÖSTERGÖTLANDS LÄN</t>
        </is>
      </c>
      <c r="E571" t="inlineStr">
        <is>
          <t>LINKÖPING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8967-2025</t>
        </is>
      </c>
      <c r="B572" s="1" t="n">
        <v>45712</v>
      </c>
      <c r="C572" s="1" t="n">
        <v>46051</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35427-2023</t>
        </is>
      </c>
      <c r="B573" s="1" t="n">
        <v>45146</v>
      </c>
      <c r="C573" s="1" t="n">
        <v>46051</v>
      </c>
      <c r="D573" t="inlineStr">
        <is>
          <t>ÖSTERGÖTLANDS LÄN</t>
        </is>
      </c>
      <c r="E573" t="inlineStr">
        <is>
          <t>LINKÖPING</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30468-2023</t>
        </is>
      </c>
      <c r="B574" s="1" t="n">
        <v>45111.58732638889</v>
      </c>
      <c r="C574" s="1" t="n">
        <v>46051</v>
      </c>
      <c r="D574" t="inlineStr">
        <is>
          <t>ÖSTERGÖTLANDS LÄN</t>
        </is>
      </c>
      <c r="E574" t="inlineStr">
        <is>
          <t>LINKÖPING</t>
        </is>
      </c>
      <c r="G574" t="n">
        <v>10.1</v>
      </c>
      <c r="H574" t="n">
        <v>0</v>
      </c>
      <c r="I574" t="n">
        <v>0</v>
      </c>
      <c r="J574" t="n">
        <v>0</v>
      </c>
      <c r="K574" t="n">
        <v>0</v>
      </c>
      <c r="L574" t="n">
        <v>0</v>
      </c>
      <c r="M574" t="n">
        <v>0</v>
      </c>
      <c r="N574" t="n">
        <v>0</v>
      </c>
      <c r="O574" t="n">
        <v>0</v>
      </c>
      <c r="P574" t="n">
        <v>0</v>
      </c>
      <c r="Q574" t="n">
        <v>0</v>
      </c>
      <c r="R574" s="2" t="inlineStr"/>
    </row>
    <row r="575" ht="15" customHeight="1">
      <c r="A575" t="inlineStr">
        <is>
          <t>A 20296-2025</t>
        </is>
      </c>
      <c r="B575" s="1" t="n">
        <v>45774.74922453704</v>
      </c>
      <c r="C575" s="1" t="n">
        <v>46051</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56841-2023</t>
        </is>
      </c>
      <c r="B576" s="1" t="n">
        <v>45244</v>
      </c>
      <c r="C576" s="1" t="n">
        <v>46051</v>
      </c>
      <c r="D576" t="inlineStr">
        <is>
          <t>ÖSTERGÖTLANDS LÄN</t>
        </is>
      </c>
      <c r="E576" t="inlineStr">
        <is>
          <t>LINKÖPING</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53812-2023</t>
        </is>
      </c>
      <c r="B577" s="1" t="n">
        <v>45231.39583333334</v>
      </c>
      <c r="C577" s="1" t="n">
        <v>46051</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53830-2023</t>
        </is>
      </c>
      <c r="B578" s="1" t="n">
        <v>45230</v>
      </c>
      <c r="C578" s="1" t="n">
        <v>46051</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38715-2023</t>
        </is>
      </c>
      <c r="B579" s="1" t="n">
        <v>45160</v>
      </c>
      <c r="C579" s="1" t="n">
        <v>46051</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27766-2022</t>
        </is>
      </c>
      <c r="B580" s="1" t="n">
        <v>44743.53112268518</v>
      </c>
      <c r="C580" s="1" t="n">
        <v>46051</v>
      </c>
      <c r="D580" t="inlineStr">
        <is>
          <t>ÖSTERGÖTLANDS LÄN</t>
        </is>
      </c>
      <c r="E580" t="inlineStr">
        <is>
          <t>LINKÖPING</t>
        </is>
      </c>
      <c r="G580" t="n">
        <v>2</v>
      </c>
      <c r="H580" t="n">
        <v>0</v>
      </c>
      <c r="I580" t="n">
        <v>0</v>
      </c>
      <c r="J580" t="n">
        <v>0</v>
      </c>
      <c r="K580" t="n">
        <v>0</v>
      </c>
      <c r="L580" t="n">
        <v>0</v>
      </c>
      <c r="M580" t="n">
        <v>0</v>
      </c>
      <c r="N580" t="n">
        <v>0</v>
      </c>
      <c r="O580" t="n">
        <v>0</v>
      </c>
      <c r="P580" t="n">
        <v>0</v>
      </c>
      <c r="Q580" t="n">
        <v>0</v>
      </c>
      <c r="R580" s="2" t="inlineStr"/>
    </row>
    <row r="581" ht="15" customHeight="1">
      <c r="A581" t="inlineStr">
        <is>
          <t>A 48271-2023</t>
        </is>
      </c>
      <c r="B581" s="1" t="n">
        <v>45205</v>
      </c>
      <c r="C581" s="1" t="n">
        <v>46051</v>
      </c>
      <c r="D581" t="inlineStr">
        <is>
          <t>ÖSTERGÖTLANDS LÄN</t>
        </is>
      </c>
      <c r="E581" t="inlineStr">
        <is>
          <t>LINKÖPING</t>
        </is>
      </c>
      <c r="G581" t="n">
        <v>3</v>
      </c>
      <c r="H581" t="n">
        <v>0</v>
      </c>
      <c r="I581" t="n">
        <v>0</v>
      </c>
      <c r="J581" t="n">
        <v>0</v>
      </c>
      <c r="K581" t="n">
        <v>0</v>
      </c>
      <c r="L581" t="n">
        <v>0</v>
      </c>
      <c r="M581" t="n">
        <v>0</v>
      </c>
      <c r="N581" t="n">
        <v>0</v>
      </c>
      <c r="O581" t="n">
        <v>0</v>
      </c>
      <c r="P581" t="n">
        <v>0</v>
      </c>
      <c r="Q581" t="n">
        <v>0</v>
      </c>
      <c r="R581" s="2" t="inlineStr"/>
    </row>
    <row r="582" ht="15" customHeight="1">
      <c r="A582" t="inlineStr">
        <is>
          <t>A 13266-2025</t>
        </is>
      </c>
      <c r="B582" s="1" t="n">
        <v>45735.53318287037</v>
      </c>
      <c r="C582" s="1" t="n">
        <v>46051</v>
      </c>
      <c r="D582" t="inlineStr">
        <is>
          <t>ÖSTERGÖTLANDS LÄN</t>
        </is>
      </c>
      <c r="E582" t="inlineStr">
        <is>
          <t>LINKÖPING</t>
        </is>
      </c>
      <c r="G582" t="n">
        <v>3.1</v>
      </c>
      <c r="H582" t="n">
        <v>0</v>
      </c>
      <c r="I582" t="n">
        <v>0</v>
      </c>
      <c r="J582" t="n">
        <v>0</v>
      </c>
      <c r="K582" t="n">
        <v>0</v>
      </c>
      <c r="L582" t="n">
        <v>0</v>
      </c>
      <c r="M582" t="n">
        <v>0</v>
      </c>
      <c r="N582" t="n">
        <v>0</v>
      </c>
      <c r="O582" t="n">
        <v>0</v>
      </c>
      <c r="P582" t="n">
        <v>0</v>
      </c>
      <c r="Q582" t="n">
        <v>0</v>
      </c>
      <c r="R582" s="2" t="inlineStr"/>
    </row>
    <row r="583" ht="15" customHeight="1">
      <c r="A583" t="inlineStr">
        <is>
          <t>A 60001-2022</t>
        </is>
      </c>
      <c r="B583" s="1" t="n">
        <v>44909.47087962963</v>
      </c>
      <c r="C583" s="1" t="n">
        <v>46051</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1657-2024</t>
        </is>
      </c>
      <c r="B584" s="1" t="n">
        <v>45306.82501157407</v>
      </c>
      <c r="C584" s="1" t="n">
        <v>46051</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30976-2022</t>
        </is>
      </c>
      <c r="B585" s="1" t="n">
        <v>44768</v>
      </c>
      <c r="C585" s="1" t="n">
        <v>46051</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30860-2022</t>
        </is>
      </c>
      <c r="B586" s="1" t="n">
        <v>44767</v>
      </c>
      <c r="C586" s="1" t="n">
        <v>46051</v>
      </c>
      <c r="D586" t="inlineStr">
        <is>
          <t>ÖSTERGÖTLANDS LÄN</t>
        </is>
      </c>
      <c r="E586" t="inlineStr">
        <is>
          <t>LINKÖPING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48186-2022</t>
        </is>
      </c>
      <c r="B587" s="1" t="n">
        <v>44858</v>
      </c>
      <c r="C587" s="1" t="n">
        <v>46051</v>
      </c>
      <c r="D587" t="inlineStr">
        <is>
          <t>ÖSTERGÖTLANDS LÄN</t>
        </is>
      </c>
      <c r="E587" t="inlineStr">
        <is>
          <t>LINKÖPING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28266-2024</t>
        </is>
      </c>
      <c r="B588" s="1" t="n">
        <v>45477.43600694444</v>
      </c>
      <c r="C588" s="1" t="n">
        <v>46051</v>
      </c>
      <c r="D588" t="inlineStr">
        <is>
          <t>ÖSTERGÖTLANDS LÄN</t>
        </is>
      </c>
      <c r="E588" t="inlineStr">
        <is>
          <t>LINKÖPING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31548-2022</t>
        </is>
      </c>
      <c r="B589" s="1" t="n">
        <v>44775.39832175926</v>
      </c>
      <c r="C589" s="1" t="n">
        <v>46051</v>
      </c>
      <c r="D589" t="inlineStr">
        <is>
          <t>ÖSTERGÖTLANDS LÄN</t>
        </is>
      </c>
      <c r="E589" t="inlineStr">
        <is>
          <t>LINKÖPING</t>
        </is>
      </c>
      <c r="G589" t="n">
        <v>0.9</v>
      </c>
      <c r="H589" t="n">
        <v>0</v>
      </c>
      <c r="I589" t="n">
        <v>0</v>
      </c>
      <c r="J589" t="n">
        <v>0</v>
      </c>
      <c r="K589" t="n">
        <v>0</v>
      </c>
      <c r="L589" t="n">
        <v>0</v>
      </c>
      <c r="M589" t="n">
        <v>0</v>
      </c>
      <c r="N589" t="n">
        <v>0</v>
      </c>
      <c r="O589" t="n">
        <v>0</v>
      </c>
      <c r="P589" t="n">
        <v>0</v>
      </c>
      <c r="Q589" t="n">
        <v>0</v>
      </c>
      <c r="R589" s="2" t="inlineStr"/>
    </row>
    <row r="590" ht="15" customHeight="1">
      <c r="A590" t="inlineStr">
        <is>
          <t>A 1211-2023</t>
        </is>
      </c>
      <c r="B590" s="1" t="n">
        <v>44930</v>
      </c>
      <c r="C590" s="1" t="n">
        <v>46051</v>
      </c>
      <c r="D590" t="inlineStr">
        <is>
          <t>ÖSTERGÖTLANDS LÄN</t>
        </is>
      </c>
      <c r="E590" t="inlineStr">
        <is>
          <t>LINKÖPING</t>
        </is>
      </c>
      <c r="F590" t="inlineStr">
        <is>
          <t>Övriga statliga verk och myndigheter</t>
        </is>
      </c>
      <c r="G590" t="n">
        <v>7.9</v>
      </c>
      <c r="H590" t="n">
        <v>0</v>
      </c>
      <c r="I590" t="n">
        <v>0</v>
      </c>
      <c r="J590" t="n">
        <v>0</v>
      </c>
      <c r="K590" t="n">
        <v>0</v>
      </c>
      <c r="L590" t="n">
        <v>0</v>
      </c>
      <c r="M590" t="n">
        <v>0</v>
      </c>
      <c r="N590" t="n">
        <v>0</v>
      </c>
      <c r="O590" t="n">
        <v>0</v>
      </c>
      <c r="P590" t="n">
        <v>0</v>
      </c>
      <c r="Q590" t="n">
        <v>0</v>
      </c>
      <c r="R590" s="2" t="inlineStr"/>
    </row>
    <row r="591" ht="15" customHeight="1">
      <c r="A591" t="inlineStr">
        <is>
          <t>A 51191-2022</t>
        </is>
      </c>
      <c r="B591" s="1" t="n">
        <v>44865</v>
      </c>
      <c r="C591" s="1" t="n">
        <v>46051</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55632-2022</t>
        </is>
      </c>
      <c r="B592" s="1" t="n">
        <v>44888</v>
      </c>
      <c r="C592" s="1" t="n">
        <v>46051</v>
      </c>
      <c r="D592" t="inlineStr">
        <is>
          <t>ÖSTERGÖTLANDS LÄN</t>
        </is>
      </c>
      <c r="E592" t="inlineStr">
        <is>
          <t>LINKÖPING</t>
        </is>
      </c>
      <c r="G592" t="n">
        <v>1.8</v>
      </c>
      <c r="H592" t="n">
        <v>0</v>
      </c>
      <c r="I592" t="n">
        <v>0</v>
      </c>
      <c r="J592" t="n">
        <v>0</v>
      </c>
      <c r="K592" t="n">
        <v>0</v>
      </c>
      <c r="L592" t="n">
        <v>0</v>
      </c>
      <c r="M592" t="n">
        <v>0</v>
      </c>
      <c r="N592" t="n">
        <v>0</v>
      </c>
      <c r="O592" t="n">
        <v>0</v>
      </c>
      <c r="P592" t="n">
        <v>0</v>
      </c>
      <c r="Q592" t="n">
        <v>0</v>
      </c>
      <c r="R592" s="2" t="inlineStr"/>
    </row>
    <row r="593" ht="15" customHeight="1">
      <c r="A593" t="inlineStr">
        <is>
          <t>A 63669-2023</t>
        </is>
      </c>
      <c r="B593" s="1" t="n">
        <v>45275</v>
      </c>
      <c r="C593" s="1" t="n">
        <v>46051</v>
      </c>
      <c r="D593" t="inlineStr">
        <is>
          <t>ÖSTERGÖTLANDS LÄN</t>
        </is>
      </c>
      <c r="E593" t="inlineStr">
        <is>
          <t>LINKÖPING</t>
        </is>
      </c>
      <c r="F593" t="inlineStr">
        <is>
          <t>Övriga Aktiebolag</t>
        </is>
      </c>
      <c r="G593" t="n">
        <v>3</v>
      </c>
      <c r="H593" t="n">
        <v>0</v>
      </c>
      <c r="I593" t="n">
        <v>0</v>
      </c>
      <c r="J593" t="n">
        <v>0</v>
      </c>
      <c r="K593" t="n">
        <v>0</v>
      </c>
      <c r="L593" t="n">
        <v>0</v>
      </c>
      <c r="M593" t="n">
        <v>0</v>
      </c>
      <c r="N593" t="n">
        <v>0</v>
      </c>
      <c r="O593" t="n">
        <v>0</v>
      </c>
      <c r="P593" t="n">
        <v>0</v>
      </c>
      <c r="Q593" t="n">
        <v>0</v>
      </c>
      <c r="R593" s="2" t="inlineStr"/>
    </row>
    <row r="594" ht="15" customHeight="1">
      <c r="A594" t="inlineStr">
        <is>
          <t>A 12289-2025</t>
        </is>
      </c>
      <c r="B594" s="1" t="n">
        <v>45729</v>
      </c>
      <c r="C594" s="1" t="n">
        <v>46051</v>
      </c>
      <c r="D594" t="inlineStr">
        <is>
          <t>ÖSTERGÖTLANDS LÄN</t>
        </is>
      </c>
      <c r="E594" t="inlineStr">
        <is>
          <t>LINKÖPING</t>
        </is>
      </c>
      <c r="F594" t="inlineStr">
        <is>
          <t>Övriga statliga verk och myndigheter</t>
        </is>
      </c>
      <c r="G594" t="n">
        <v>6.5</v>
      </c>
      <c r="H594" t="n">
        <v>0</v>
      </c>
      <c r="I594" t="n">
        <v>0</v>
      </c>
      <c r="J594" t="n">
        <v>0</v>
      </c>
      <c r="K594" t="n">
        <v>0</v>
      </c>
      <c r="L594" t="n">
        <v>0</v>
      </c>
      <c r="M594" t="n">
        <v>0</v>
      </c>
      <c r="N594" t="n">
        <v>0</v>
      </c>
      <c r="O594" t="n">
        <v>0</v>
      </c>
      <c r="P594" t="n">
        <v>0</v>
      </c>
      <c r="Q594" t="n">
        <v>0</v>
      </c>
      <c r="R594" s="2" t="inlineStr"/>
    </row>
    <row r="595" ht="15" customHeight="1">
      <c r="A595" t="inlineStr">
        <is>
          <t>A 36657-2023</t>
        </is>
      </c>
      <c r="B595" s="1" t="n">
        <v>45153.5702662037</v>
      </c>
      <c r="C595" s="1" t="n">
        <v>46051</v>
      </c>
      <c r="D595" t="inlineStr">
        <is>
          <t>ÖSTERGÖTLANDS LÄN</t>
        </is>
      </c>
      <c r="E595" t="inlineStr">
        <is>
          <t>LINKÖPING</t>
        </is>
      </c>
      <c r="F595" t="inlineStr">
        <is>
          <t>Allmännings- och besparingsskogar</t>
        </is>
      </c>
      <c r="G595" t="n">
        <v>2</v>
      </c>
      <c r="H595" t="n">
        <v>0</v>
      </c>
      <c r="I595" t="n">
        <v>0</v>
      </c>
      <c r="J595" t="n">
        <v>0</v>
      </c>
      <c r="K595" t="n">
        <v>0</v>
      </c>
      <c r="L595" t="n">
        <v>0</v>
      </c>
      <c r="M595" t="n">
        <v>0</v>
      </c>
      <c r="N595" t="n">
        <v>0</v>
      </c>
      <c r="O595" t="n">
        <v>0</v>
      </c>
      <c r="P595" t="n">
        <v>0</v>
      </c>
      <c r="Q595" t="n">
        <v>0</v>
      </c>
      <c r="R595" s="2" t="inlineStr"/>
    </row>
    <row r="596" ht="15" customHeight="1">
      <c r="A596" t="inlineStr">
        <is>
          <t>A 19169-2023</t>
        </is>
      </c>
      <c r="B596" s="1" t="n">
        <v>45044</v>
      </c>
      <c r="C596" s="1" t="n">
        <v>46051</v>
      </c>
      <c r="D596" t="inlineStr">
        <is>
          <t>ÖSTERGÖTLANDS LÄN</t>
        </is>
      </c>
      <c r="E596" t="inlineStr">
        <is>
          <t>LINKÖPING</t>
        </is>
      </c>
      <c r="G596" t="n">
        <v>2.7</v>
      </c>
      <c r="H596" t="n">
        <v>0</v>
      </c>
      <c r="I596" t="n">
        <v>0</v>
      </c>
      <c r="J596" t="n">
        <v>0</v>
      </c>
      <c r="K596" t="n">
        <v>0</v>
      </c>
      <c r="L596" t="n">
        <v>0</v>
      </c>
      <c r="M596" t="n">
        <v>0</v>
      </c>
      <c r="N596" t="n">
        <v>0</v>
      </c>
      <c r="O596" t="n">
        <v>0</v>
      </c>
      <c r="P596" t="n">
        <v>0</v>
      </c>
      <c r="Q596" t="n">
        <v>0</v>
      </c>
      <c r="R596" s="2" t="inlineStr"/>
    </row>
    <row r="597" ht="15" customHeight="1">
      <c r="A597" t="inlineStr">
        <is>
          <t>A 1209-2023</t>
        </is>
      </c>
      <c r="B597" s="1" t="n">
        <v>44930</v>
      </c>
      <c r="C597" s="1" t="n">
        <v>46051</v>
      </c>
      <c r="D597" t="inlineStr">
        <is>
          <t>ÖSTERGÖTLANDS LÄN</t>
        </is>
      </c>
      <c r="E597" t="inlineStr">
        <is>
          <t>LINKÖPING</t>
        </is>
      </c>
      <c r="F597" t="inlineStr">
        <is>
          <t>Övriga statliga verk och myndigheter</t>
        </is>
      </c>
      <c r="G597" t="n">
        <v>25.8</v>
      </c>
      <c r="H597" t="n">
        <v>0</v>
      </c>
      <c r="I597" t="n">
        <v>0</v>
      </c>
      <c r="J597" t="n">
        <v>0</v>
      </c>
      <c r="K597" t="n">
        <v>0</v>
      </c>
      <c r="L597" t="n">
        <v>0</v>
      </c>
      <c r="M597" t="n">
        <v>0</v>
      </c>
      <c r="N597" t="n">
        <v>0</v>
      </c>
      <c r="O597" t="n">
        <v>0</v>
      </c>
      <c r="P597" t="n">
        <v>0</v>
      </c>
      <c r="Q597" t="n">
        <v>0</v>
      </c>
      <c r="R597" s="2" t="inlineStr"/>
    </row>
    <row r="598" ht="15" customHeight="1">
      <c r="A598" t="inlineStr">
        <is>
          <t>A 2085-2024</t>
        </is>
      </c>
      <c r="B598" s="1" t="n">
        <v>45309</v>
      </c>
      <c r="C598" s="1" t="n">
        <v>46051</v>
      </c>
      <c r="D598" t="inlineStr">
        <is>
          <t>ÖSTERGÖTLANDS LÄN</t>
        </is>
      </c>
      <c r="E598" t="inlineStr">
        <is>
          <t>LINKÖPING</t>
        </is>
      </c>
      <c r="G598" t="n">
        <v>4.5</v>
      </c>
      <c r="H598" t="n">
        <v>0</v>
      </c>
      <c r="I598" t="n">
        <v>0</v>
      </c>
      <c r="J598" t="n">
        <v>0</v>
      </c>
      <c r="K598" t="n">
        <v>0</v>
      </c>
      <c r="L598" t="n">
        <v>0</v>
      </c>
      <c r="M598" t="n">
        <v>0</v>
      </c>
      <c r="N598" t="n">
        <v>0</v>
      </c>
      <c r="O598" t="n">
        <v>0</v>
      </c>
      <c r="P598" t="n">
        <v>0</v>
      </c>
      <c r="Q598" t="n">
        <v>0</v>
      </c>
      <c r="R598" s="2" t="inlineStr"/>
    </row>
    <row r="599" ht="15" customHeight="1">
      <c r="A599" t="inlineStr">
        <is>
          <t>A 48-2024</t>
        </is>
      </c>
      <c r="B599" s="1" t="n">
        <v>45293</v>
      </c>
      <c r="C599" s="1" t="n">
        <v>46051</v>
      </c>
      <c r="D599" t="inlineStr">
        <is>
          <t>ÖSTERGÖTLANDS LÄN</t>
        </is>
      </c>
      <c r="E599" t="inlineStr">
        <is>
          <t>LINKÖPING</t>
        </is>
      </c>
      <c r="G599" t="n">
        <v>4.6</v>
      </c>
      <c r="H599" t="n">
        <v>0</v>
      </c>
      <c r="I599" t="n">
        <v>0</v>
      </c>
      <c r="J599" t="n">
        <v>0</v>
      </c>
      <c r="K599" t="n">
        <v>0</v>
      </c>
      <c r="L599" t="n">
        <v>0</v>
      </c>
      <c r="M599" t="n">
        <v>0</v>
      </c>
      <c r="N599" t="n">
        <v>0</v>
      </c>
      <c r="O599" t="n">
        <v>0</v>
      </c>
      <c r="P599" t="n">
        <v>0</v>
      </c>
      <c r="Q599" t="n">
        <v>0</v>
      </c>
      <c r="R599" s="2" t="inlineStr"/>
    </row>
    <row r="600" ht="15" customHeight="1">
      <c r="A600" t="inlineStr">
        <is>
          <t>A 56560-2023</t>
        </is>
      </c>
      <c r="B600" s="1" t="n">
        <v>45238</v>
      </c>
      <c r="C600" s="1" t="n">
        <v>46051</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19132-2023</t>
        </is>
      </c>
      <c r="B601" s="1" t="n">
        <v>45048.54754629629</v>
      </c>
      <c r="C601" s="1" t="n">
        <v>46051</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52412-2023</t>
        </is>
      </c>
      <c r="B602" s="1" t="n">
        <v>45225.27888888889</v>
      </c>
      <c r="C602" s="1" t="n">
        <v>46051</v>
      </c>
      <c r="D602" t="inlineStr">
        <is>
          <t>ÖSTERGÖTLANDS LÄN</t>
        </is>
      </c>
      <c r="E602" t="inlineStr">
        <is>
          <t>LINKÖPING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62492-2023</t>
        </is>
      </c>
      <c r="B603" s="1" t="n">
        <v>45268.58987268519</v>
      </c>
      <c r="C603" s="1" t="n">
        <v>46051</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38230-2023</t>
        </is>
      </c>
      <c r="B604" s="1" t="n">
        <v>45161.55373842592</v>
      </c>
      <c r="C604" s="1" t="n">
        <v>46051</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56756-2023</t>
        </is>
      </c>
      <c r="B605" s="1" t="n">
        <v>45244</v>
      </c>
      <c r="C605" s="1" t="n">
        <v>46051</v>
      </c>
      <c r="D605" t="inlineStr">
        <is>
          <t>ÖSTERGÖTLANDS LÄN</t>
        </is>
      </c>
      <c r="E605" t="inlineStr">
        <is>
          <t>LINKÖPING</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38886-2024</t>
        </is>
      </c>
      <c r="B606" s="1" t="n">
        <v>45547.66443287037</v>
      </c>
      <c r="C606" s="1" t="n">
        <v>46051</v>
      </c>
      <c r="D606" t="inlineStr">
        <is>
          <t>ÖSTERGÖTLANDS LÄN</t>
        </is>
      </c>
      <c r="E606" t="inlineStr">
        <is>
          <t>LINKÖPING</t>
        </is>
      </c>
      <c r="G606" t="n">
        <v>5.3</v>
      </c>
      <c r="H606" t="n">
        <v>0</v>
      </c>
      <c r="I606" t="n">
        <v>0</v>
      </c>
      <c r="J606" t="n">
        <v>0</v>
      </c>
      <c r="K606" t="n">
        <v>0</v>
      </c>
      <c r="L606" t="n">
        <v>0</v>
      </c>
      <c r="M606" t="n">
        <v>0</v>
      </c>
      <c r="N606" t="n">
        <v>0</v>
      </c>
      <c r="O606" t="n">
        <v>0</v>
      </c>
      <c r="P606" t="n">
        <v>0</v>
      </c>
      <c r="Q606" t="n">
        <v>0</v>
      </c>
      <c r="R606" s="2" t="inlineStr"/>
    </row>
    <row r="607" ht="15" customHeight="1">
      <c r="A607" t="inlineStr">
        <is>
          <t>A 11590-2023</t>
        </is>
      </c>
      <c r="B607" s="1" t="n">
        <v>44994.36689814815</v>
      </c>
      <c r="C607" s="1" t="n">
        <v>46051</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10461-2023</t>
        </is>
      </c>
      <c r="B608" s="1" t="n">
        <v>44987.5969212963</v>
      </c>
      <c r="C608" s="1" t="n">
        <v>46051</v>
      </c>
      <c r="D608" t="inlineStr">
        <is>
          <t>ÖSTERGÖTLANDS LÄN</t>
        </is>
      </c>
      <c r="E608" t="inlineStr">
        <is>
          <t>LINKÖPING</t>
        </is>
      </c>
      <c r="G608" t="n">
        <v>7.8</v>
      </c>
      <c r="H608" t="n">
        <v>0</v>
      </c>
      <c r="I608" t="n">
        <v>0</v>
      </c>
      <c r="J608" t="n">
        <v>0</v>
      </c>
      <c r="K608" t="n">
        <v>0</v>
      </c>
      <c r="L608" t="n">
        <v>0</v>
      </c>
      <c r="M608" t="n">
        <v>0</v>
      </c>
      <c r="N608" t="n">
        <v>0</v>
      </c>
      <c r="O608" t="n">
        <v>0</v>
      </c>
      <c r="P608" t="n">
        <v>0</v>
      </c>
      <c r="Q608" t="n">
        <v>0</v>
      </c>
      <c r="R608" s="2" t="inlineStr"/>
    </row>
    <row r="609" ht="15" customHeight="1">
      <c r="A609" t="inlineStr">
        <is>
          <t>A 41345-2021</t>
        </is>
      </c>
      <c r="B609" s="1" t="n">
        <v>44424.61851851852</v>
      </c>
      <c r="C609" s="1" t="n">
        <v>46051</v>
      </c>
      <c r="D609" t="inlineStr">
        <is>
          <t>ÖSTERGÖTLANDS LÄN</t>
        </is>
      </c>
      <c r="E609" t="inlineStr">
        <is>
          <t>LINKÖPING</t>
        </is>
      </c>
      <c r="F609" t="inlineStr">
        <is>
          <t>Sveaskog</t>
        </is>
      </c>
      <c r="G609" t="n">
        <v>6.3</v>
      </c>
      <c r="H609" t="n">
        <v>0</v>
      </c>
      <c r="I609" t="n">
        <v>0</v>
      </c>
      <c r="J609" t="n">
        <v>0</v>
      </c>
      <c r="K609" t="n">
        <v>0</v>
      </c>
      <c r="L609" t="n">
        <v>0</v>
      </c>
      <c r="M609" t="n">
        <v>0</v>
      </c>
      <c r="N609" t="n">
        <v>0</v>
      </c>
      <c r="O609" t="n">
        <v>0</v>
      </c>
      <c r="P609" t="n">
        <v>0</v>
      </c>
      <c r="Q609" t="n">
        <v>0</v>
      </c>
      <c r="R609" s="2" t="inlineStr"/>
    </row>
    <row r="610" ht="15" customHeight="1">
      <c r="A610" t="inlineStr">
        <is>
          <t>A 61307-2021</t>
        </is>
      </c>
      <c r="B610" s="1" t="n">
        <v>44498.63928240741</v>
      </c>
      <c r="C610" s="1" t="n">
        <v>46051</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61325-2021</t>
        </is>
      </c>
      <c r="B611" s="1" t="n">
        <v>44498.66814814815</v>
      </c>
      <c r="C611" s="1" t="n">
        <v>46051</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60010-2022</t>
        </is>
      </c>
      <c r="B612" s="1" t="n">
        <v>44909.4740625</v>
      </c>
      <c r="C612" s="1" t="n">
        <v>46051</v>
      </c>
      <c r="D612" t="inlineStr">
        <is>
          <t>ÖSTERGÖTLANDS LÄN</t>
        </is>
      </c>
      <c r="E612" t="inlineStr">
        <is>
          <t>LINKÖPING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30518-2024</t>
        </is>
      </c>
      <c r="B613" s="1" t="n">
        <v>45492</v>
      </c>
      <c r="C613" s="1" t="n">
        <v>46051</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4908-2023</t>
        </is>
      </c>
      <c r="B614" s="1" t="n">
        <v>44958</v>
      </c>
      <c r="C614" s="1" t="n">
        <v>46051</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37715-2022</t>
        </is>
      </c>
      <c r="B615" s="1" t="n">
        <v>44810</v>
      </c>
      <c r="C615" s="1" t="n">
        <v>46051</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3011-2023</t>
        </is>
      </c>
      <c r="B616" s="1" t="n">
        <v>44945</v>
      </c>
      <c r="C616" s="1" t="n">
        <v>46051</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45442-2024</t>
        </is>
      </c>
      <c r="B617" s="1" t="n">
        <v>45576.64189814815</v>
      </c>
      <c r="C617" s="1" t="n">
        <v>46051</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3432-2023</t>
        </is>
      </c>
      <c r="B618" s="1" t="n">
        <v>44949</v>
      </c>
      <c r="C618" s="1" t="n">
        <v>46051</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60472-2022</t>
        </is>
      </c>
      <c r="B619" s="1" t="n">
        <v>44911.41037037037</v>
      </c>
      <c r="C619" s="1" t="n">
        <v>46051</v>
      </c>
      <c r="D619" t="inlineStr">
        <is>
          <t>ÖSTERGÖTLANDS LÄN</t>
        </is>
      </c>
      <c r="E619" t="inlineStr">
        <is>
          <t>LINKÖPING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12720-2022</t>
        </is>
      </c>
      <c r="B620" s="1" t="n">
        <v>44641</v>
      </c>
      <c r="C620" s="1" t="n">
        <v>46051</v>
      </c>
      <c r="D620" t="inlineStr">
        <is>
          <t>ÖSTERGÖTLANDS LÄN</t>
        </is>
      </c>
      <c r="E620" t="inlineStr">
        <is>
          <t>LINKÖPING</t>
        </is>
      </c>
      <c r="F620" t="inlineStr">
        <is>
          <t>Övriga Aktiebolag</t>
        </is>
      </c>
      <c r="G620" t="n">
        <v>2</v>
      </c>
      <c r="H620" t="n">
        <v>0</v>
      </c>
      <c r="I620" t="n">
        <v>0</v>
      </c>
      <c r="J620" t="n">
        <v>0</v>
      </c>
      <c r="K620" t="n">
        <v>0</v>
      </c>
      <c r="L620" t="n">
        <v>0</v>
      </c>
      <c r="M620" t="n">
        <v>0</v>
      </c>
      <c r="N620" t="n">
        <v>0</v>
      </c>
      <c r="O620" t="n">
        <v>0</v>
      </c>
      <c r="P620" t="n">
        <v>0</v>
      </c>
      <c r="Q620" t="n">
        <v>0</v>
      </c>
      <c r="R620" s="2" t="inlineStr"/>
    </row>
    <row r="621" ht="15" customHeight="1">
      <c r="A621" t="inlineStr">
        <is>
          <t>A 45831-2024</t>
        </is>
      </c>
      <c r="B621" s="1" t="n">
        <v>45579.90508101852</v>
      </c>
      <c r="C621" s="1" t="n">
        <v>46051</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57396-2021</t>
        </is>
      </c>
      <c r="B622" s="1" t="n">
        <v>44483.56151620371</v>
      </c>
      <c r="C622" s="1" t="n">
        <v>46051</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22842-2023</t>
        </is>
      </c>
      <c r="B623" s="1" t="n">
        <v>45071</v>
      </c>
      <c r="C623" s="1" t="n">
        <v>46051</v>
      </c>
      <c r="D623" t="inlineStr">
        <is>
          <t>ÖSTERGÖTLANDS LÄN</t>
        </is>
      </c>
      <c r="E623" t="inlineStr">
        <is>
          <t>LINKÖPING</t>
        </is>
      </c>
      <c r="F623" t="inlineStr">
        <is>
          <t>Kommuner</t>
        </is>
      </c>
      <c r="G623" t="n">
        <v>1.3</v>
      </c>
      <c r="H623" t="n">
        <v>0</v>
      </c>
      <c r="I623" t="n">
        <v>0</v>
      </c>
      <c r="J623" t="n">
        <v>0</v>
      </c>
      <c r="K623" t="n">
        <v>0</v>
      </c>
      <c r="L623" t="n">
        <v>0</v>
      </c>
      <c r="M623" t="n">
        <v>0</v>
      </c>
      <c r="N623" t="n">
        <v>0</v>
      </c>
      <c r="O623" t="n">
        <v>0</v>
      </c>
      <c r="P623" t="n">
        <v>0</v>
      </c>
      <c r="Q623" t="n">
        <v>0</v>
      </c>
      <c r="R623" s="2" t="inlineStr"/>
    </row>
    <row r="624" ht="15" customHeight="1">
      <c r="A624" t="inlineStr">
        <is>
          <t>A 50386-2021</t>
        </is>
      </c>
      <c r="B624" s="1" t="n">
        <v>44459</v>
      </c>
      <c r="C624" s="1" t="n">
        <v>46051</v>
      </c>
      <c r="D624" t="inlineStr">
        <is>
          <t>ÖSTERGÖTLANDS LÄN</t>
        </is>
      </c>
      <c r="E624" t="inlineStr">
        <is>
          <t>LINKÖPING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35781-2023</t>
        </is>
      </c>
      <c r="B625" s="1" t="n">
        <v>45147</v>
      </c>
      <c r="C625" s="1" t="n">
        <v>46051</v>
      </c>
      <c r="D625" t="inlineStr">
        <is>
          <t>ÖSTERGÖTLANDS LÄN</t>
        </is>
      </c>
      <c r="E625" t="inlineStr">
        <is>
          <t>LINKÖPING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22770-2024</t>
        </is>
      </c>
      <c r="B626" s="1" t="n">
        <v>45448.4634375</v>
      </c>
      <c r="C626" s="1" t="n">
        <v>46051</v>
      </c>
      <c r="D626" t="inlineStr">
        <is>
          <t>ÖSTERGÖTLANDS LÄN</t>
        </is>
      </c>
      <c r="E626" t="inlineStr">
        <is>
          <t>LINKÖPING</t>
        </is>
      </c>
      <c r="F626" t="inlineStr">
        <is>
          <t>Sveaskog</t>
        </is>
      </c>
      <c r="G626" t="n">
        <v>3.4</v>
      </c>
      <c r="H626" t="n">
        <v>0</v>
      </c>
      <c r="I626" t="n">
        <v>0</v>
      </c>
      <c r="J626" t="n">
        <v>0</v>
      </c>
      <c r="K626" t="n">
        <v>0</v>
      </c>
      <c r="L626" t="n">
        <v>0</v>
      </c>
      <c r="M626" t="n">
        <v>0</v>
      </c>
      <c r="N626" t="n">
        <v>0</v>
      </c>
      <c r="O626" t="n">
        <v>0</v>
      </c>
      <c r="P626" t="n">
        <v>0</v>
      </c>
      <c r="Q626" t="n">
        <v>0</v>
      </c>
      <c r="R626" s="2" t="inlineStr"/>
    </row>
    <row r="627" ht="15" customHeight="1">
      <c r="A627" t="inlineStr">
        <is>
          <t>A 11671-2023</t>
        </is>
      </c>
      <c r="B627" s="1" t="n">
        <v>44994.48125</v>
      </c>
      <c r="C627" s="1" t="n">
        <v>46051</v>
      </c>
      <c r="D627" t="inlineStr">
        <is>
          <t>ÖSTERGÖTLANDS LÄN</t>
        </is>
      </c>
      <c r="E627" t="inlineStr">
        <is>
          <t>LINKÖPING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54425-2022</t>
        </is>
      </c>
      <c r="B628" s="1" t="n">
        <v>44882.57453703704</v>
      </c>
      <c r="C628" s="1" t="n">
        <v>46051</v>
      </c>
      <c r="D628" t="inlineStr">
        <is>
          <t>ÖSTERGÖTLANDS LÄN</t>
        </is>
      </c>
      <c r="E628" t="inlineStr">
        <is>
          <t>LINKÖPING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4927-2021</t>
        </is>
      </c>
      <c r="B629" s="1" t="n">
        <v>44227.57215277778</v>
      </c>
      <c r="C629" s="1" t="n">
        <v>46051</v>
      </c>
      <c r="D629" t="inlineStr">
        <is>
          <t>ÖSTERGÖTLANDS LÄN</t>
        </is>
      </c>
      <c r="E629" t="inlineStr">
        <is>
          <t>LINKÖPING</t>
        </is>
      </c>
      <c r="G629" t="n">
        <v>0.3</v>
      </c>
      <c r="H629" t="n">
        <v>0</v>
      </c>
      <c r="I629" t="n">
        <v>0</v>
      </c>
      <c r="J629" t="n">
        <v>0</v>
      </c>
      <c r="K629" t="n">
        <v>0</v>
      </c>
      <c r="L629" t="n">
        <v>0</v>
      </c>
      <c r="M629" t="n">
        <v>0</v>
      </c>
      <c r="N629" t="n">
        <v>0</v>
      </c>
      <c r="O629" t="n">
        <v>0</v>
      </c>
      <c r="P629" t="n">
        <v>0</v>
      </c>
      <c r="Q629" t="n">
        <v>0</v>
      </c>
      <c r="R629" s="2" t="inlineStr"/>
    </row>
    <row r="630" ht="15" customHeight="1">
      <c r="A630" t="inlineStr">
        <is>
          <t>A 30547-2023</t>
        </is>
      </c>
      <c r="B630" s="1" t="n">
        <v>45111.75905092592</v>
      </c>
      <c r="C630" s="1" t="n">
        <v>46051</v>
      </c>
      <c r="D630" t="inlineStr">
        <is>
          <t>ÖSTERGÖTLANDS LÄN</t>
        </is>
      </c>
      <c r="E630" t="inlineStr">
        <is>
          <t>LINKÖPING</t>
        </is>
      </c>
      <c r="G630" t="n">
        <v>0.9</v>
      </c>
      <c r="H630" t="n">
        <v>0</v>
      </c>
      <c r="I630" t="n">
        <v>0</v>
      </c>
      <c r="J630" t="n">
        <v>0</v>
      </c>
      <c r="K630" t="n">
        <v>0</v>
      </c>
      <c r="L630" t="n">
        <v>0</v>
      </c>
      <c r="M630" t="n">
        <v>0</v>
      </c>
      <c r="N630" t="n">
        <v>0</v>
      </c>
      <c r="O630" t="n">
        <v>0</v>
      </c>
      <c r="P630" t="n">
        <v>0</v>
      </c>
      <c r="Q630" t="n">
        <v>0</v>
      </c>
      <c r="R630" s="2" t="inlineStr"/>
    </row>
    <row r="631" ht="15" customHeight="1">
      <c r="A631" t="inlineStr">
        <is>
          <t>A 24904-2024</t>
        </is>
      </c>
      <c r="B631" s="1" t="n">
        <v>45461</v>
      </c>
      <c r="C631" s="1" t="n">
        <v>46051</v>
      </c>
      <c r="D631" t="inlineStr">
        <is>
          <t>ÖSTERGÖTLANDS LÄN</t>
        </is>
      </c>
      <c r="E631" t="inlineStr">
        <is>
          <t>LINKÖPING</t>
        </is>
      </c>
      <c r="G631" t="n">
        <v>3.8</v>
      </c>
      <c r="H631" t="n">
        <v>0</v>
      </c>
      <c r="I631" t="n">
        <v>0</v>
      </c>
      <c r="J631" t="n">
        <v>0</v>
      </c>
      <c r="K631" t="n">
        <v>0</v>
      </c>
      <c r="L631" t="n">
        <v>0</v>
      </c>
      <c r="M631" t="n">
        <v>0</v>
      </c>
      <c r="N631" t="n">
        <v>0</v>
      </c>
      <c r="O631" t="n">
        <v>0</v>
      </c>
      <c r="P631" t="n">
        <v>0</v>
      </c>
      <c r="Q631" t="n">
        <v>0</v>
      </c>
      <c r="R631" s="2" t="inlineStr"/>
    </row>
    <row r="632" ht="15" customHeight="1">
      <c r="A632" t="inlineStr">
        <is>
          <t>A 26788-2022</t>
        </is>
      </c>
      <c r="B632" s="1" t="n">
        <v>44740</v>
      </c>
      <c r="C632" s="1" t="n">
        <v>46051</v>
      </c>
      <c r="D632" t="inlineStr">
        <is>
          <t>ÖSTERGÖTLANDS LÄN</t>
        </is>
      </c>
      <c r="E632" t="inlineStr">
        <is>
          <t>LINKÖPING</t>
        </is>
      </c>
      <c r="G632" t="n">
        <v>3.2</v>
      </c>
      <c r="H632" t="n">
        <v>0</v>
      </c>
      <c r="I632" t="n">
        <v>0</v>
      </c>
      <c r="J632" t="n">
        <v>0</v>
      </c>
      <c r="K632" t="n">
        <v>0</v>
      </c>
      <c r="L632" t="n">
        <v>0</v>
      </c>
      <c r="M632" t="n">
        <v>0</v>
      </c>
      <c r="N632" t="n">
        <v>0</v>
      </c>
      <c r="O632" t="n">
        <v>0</v>
      </c>
      <c r="P632" t="n">
        <v>0</v>
      </c>
      <c r="Q632" t="n">
        <v>0</v>
      </c>
      <c r="R632" s="2" t="inlineStr"/>
    </row>
    <row r="633" ht="15" customHeight="1">
      <c r="A633" t="inlineStr">
        <is>
          <t>A 15121-2022</t>
        </is>
      </c>
      <c r="B633" s="1" t="n">
        <v>44658</v>
      </c>
      <c r="C633" s="1" t="n">
        <v>46051</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51919-2024</t>
        </is>
      </c>
      <c r="B634" s="1" t="n">
        <v>45607.60791666667</v>
      </c>
      <c r="C634" s="1" t="n">
        <v>46051</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55009-2023</t>
        </is>
      </c>
      <c r="B635" s="1" t="n">
        <v>45237</v>
      </c>
      <c r="C635" s="1" t="n">
        <v>46051</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20291-2025</t>
        </is>
      </c>
      <c r="B636" s="1" t="n">
        <v>45774.74288194445</v>
      </c>
      <c r="C636" s="1" t="n">
        <v>46051</v>
      </c>
      <c r="D636" t="inlineStr">
        <is>
          <t>ÖSTERGÖTLANDS LÄN</t>
        </is>
      </c>
      <c r="E636" t="inlineStr">
        <is>
          <t>LINKÖPING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20293-2025</t>
        </is>
      </c>
      <c r="B637" s="1" t="n">
        <v>45774.74611111111</v>
      </c>
      <c r="C637" s="1" t="n">
        <v>46051</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660-2023</t>
        </is>
      </c>
      <c r="B638" s="1" t="n">
        <v>44930</v>
      </c>
      <c r="C638" s="1" t="n">
        <v>46051</v>
      </c>
      <c r="D638" t="inlineStr">
        <is>
          <t>ÖSTERGÖTLANDS LÄN</t>
        </is>
      </c>
      <c r="E638" t="inlineStr">
        <is>
          <t>LINKÖPING</t>
        </is>
      </c>
      <c r="F638" t="inlineStr">
        <is>
          <t>Kyrkan</t>
        </is>
      </c>
      <c r="G638" t="n">
        <v>1.6</v>
      </c>
      <c r="H638" t="n">
        <v>0</v>
      </c>
      <c r="I638" t="n">
        <v>0</v>
      </c>
      <c r="J638" t="n">
        <v>0</v>
      </c>
      <c r="K638" t="n">
        <v>0</v>
      </c>
      <c r="L638" t="n">
        <v>0</v>
      </c>
      <c r="M638" t="n">
        <v>0</v>
      </c>
      <c r="N638" t="n">
        <v>0</v>
      </c>
      <c r="O638" t="n">
        <v>0</v>
      </c>
      <c r="P638" t="n">
        <v>0</v>
      </c>
      <c r="Q638" t="n">
        <v>0</v>
      </c>
      <c r="R638" s="2" t="inlineStr"/>
    </row>
    <row r="639" ht="15" customHeight="1">
      <c r="A639" t="inlineStr">
        <is>
          <t>A 64694-2023</t>
        </is>
      </c>
      <c r="B639" s="1" t="n">
        <v>45281</v>
      </c>
      <c r="C639" s="1" t="n">
        <v>46051</v>
      </c>
      <c r="D639" t="inlineStr">
        <is>
          <t>ÖSTERGÖTLANDS LÄN</t>
        </is>
      </c>
      <c r="E639" t="inlineStr">
        <is>
          <t>LINKÖPING</t>
        </is>
      </c>
      <c r="F639" t="inlineStr">
        <is>
          <t>Övriga statliga verk och myndigheter</t>
        </is>
      </c>
      <c r="G639" t="n">
        <v>4.9</v>
      </c>
      <c r="H639" t="n">
        <v>0</v>
      </c>
      <c r="I639" t="n">
        <v>0</v>
      </c>
      <c r="J639" t="n">
        <v>0</v>
      </c>
      <c r="K639" t="n">
        <v>0</v>
      </c>
      <c r="L639" t="n">
        <v>0</v>
      </c>
      <c r="M639" t="n">
        <v>0</v>
      </c>
      <c r="N639" t="n">
        <v>0</v>
      </c>
      <c r="O639" t="n">
        <v>0</v>
      </c>
      <c r="P639" t="n">
        <v>0</v>
      </c>
      <c r="Q639" t="n">
        <v>0</v>
      </c>
      <c r="R639" s="2" t="inlineStr"/>
    </row>
    <row r="640" ht="15" customHeight="1">
      <c r="A640" t="inlineStr">
        <is>
          <t>A 63487-2023</t>
        </is>
      </c>
      <c r="B640" s="1" t="n">
        <v>45274.66712962963</v>
      </c>
      <c r="C640" s="1" t="n">
        <v>46051</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20455-2024</t>
        </is>
      </c>
      <c r="B641" s="1" t="n">
        <v>45435.65314814815</v>
      </c>
      <c r="C641" s="1" t="n">
        <v>46051</v>
      </c>
      <c r="D641" t="inlineStr">
        <is>
          <t>ÖSTERGÖTLANDS LÄN</t>
        </is>
      </c>
      <c r="E641" t="inlineStr">
        <is>
          <t>LINKÖPING</t>
        </is>
      </c>
      <c r="G641" t="n">
        <v>2.6</v>
      </c>
      <c r="H641" t="n">
        <v>0</v>
      </c>
      <c r="I641" t="n">
        <v>0</v>
      </c>
      <c r="J641" t="n">
        <v>0</v>
      </c>
      <c r="K641" t="n">
        <v>0</v>
      </c>
      <c r="L641" t="n">
        <v>0</v>
      </c>
      <c r="M641" t="n">
        <v>0</v>
      </c>
      <c r="N641" t="n">
        <v>0</v>
      </c>
      <c r="O641" t="n">
        <v>0</v>
      </c>
      <c r="P641" t="n">
        <v>0</v>
      </c>
      <c r="Q641" t="n">
        <v>0</v>
      </c>
      <c r="R641" s="2" t="inlineStr"/>
    </row>
    <row r="642" ht="15" customHeight="1">
      <c r="A642" t="inlineStr">
        <is>
          <t>A 30471-2023</t>
        </is>
      </c>
      <c r="B642" s="1" t="n">
        <v>45111.58931712963</v>
      </c>
      <c r="C642" s="1" t="n">
        <v>46051</v>
      </c>
      <c r="D642" t="inlineStr">
        <is>
          <t>ÖSTERGÖTLANDS LÄN</t>
        </is>
      </c>
      <c r="E642" t="inlineStr">
        <is>
          <t>LINKÖPING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14093-2024</t>
        </is>
      </c>
      <c r="B643" s="1" t="n">
        <v>45392.60278935185</v>
      </c>
      <c r="C643" s="1" t="n">
        <v>46051</v>
      </c>
      <c r="D643" t="inlineStr">
        <is>
          <t>ÖSTERGÖTLANDS LÄN</t>
        </is>
      </c>
      <c r="E643" t="inlineStr">
        <is>
          <t>LINKÖPING</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63304-2021</t>
        </is>
      </c>
      <c r="B644" s="1" t="n">
        <v>44508.4396412037</v>
      </c>
      <c r="C644" s="1" t="n">
        <v>46051</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19362-2023</t>
        </is>
      </c>
      <c r="B645" s="1" t="n">
        <v>45049</v>
      </c>
      <c r="C645" s="1" t="n">
        <v>46051</v>
      </c>
      <c r="D645" t="inlineStr">
        <is>
          <t>ÖSTERGÖTLANDS LÄN</t>
        </is>
      </c>
      <c r="E645" t="inlineStr">
        <is>
          <t>LINKÖPING</t>
        </is>
      </c>
      <c r="G645" t="n">
        <v>0.1</v>
      </c>
      <c r="H645" t="n">
        <v>0</v>
      </c>
      <c r="I645" t="n">
        <v>0</v>
      </c>
      <c r="J645" t="n">
        <v>0</v>
      </c>
      <c r="K645" t="n">
        <v>0</v>
      </c>
      <c r="L645" t="n">
        <v>0</v>
      </c>
      <c r="M645" t="n">
        <v>0</v>
      </c>
      <c r="N645" t="n">
        <v>0</v>
      </c>
      <c r="O645" t="n">
        <v>0</v>
      </c>
      <c r="P645" t="n">
        <v>0</v>
      </c>
      <c r="Q645" t="n">
        <v>0</v>
      </c>
      <c r="R645" s="2" t="inlineStr"/>
    </row>
    <row r="646" ht="15" customHeight="1">
      <c r="A646" t="inlineStr">
        <is>
          <t>A 35463-2023</t>
        </is>
      </c>
      <c r="B646" s="1" t="n">
        <v>45146</v>
      </c>
      <c r="C646" s="1" t="n">
        <v>46051</v>
      </c>
      <c r="D646" t="inlineStr">
        <is>
          <t>ÖSTERGÖTLANDS LÄN</t>
        </is>
      </c>
      <c r="E646" t="inlineStr">
        <is>
          <t>LINKÖPING</t>
        </is>
      </c>
      <c r="F646" t="inlineStr">
        <is>
          <t>Övriga Aktiebolag</t>
        </is>
      </c>
      <c r="G646" t="n">
        <v>1.8</v>
      </c>
      <c r="H646" t="n">
        <v>0</v>
      </c>
      <c r="I646" t="n">
        <v>0</v>
      </c>
      <c r="J646" t="n">
        <v>0</v>
      </c>
      <c r="K646" t="n">
        <v>0</v>
      </c>
      <c r="L646" t="n">
        <v>0</v>
      </c>
      <c r="M646" t="n">
        <v>0</v>
      </c>
      <c r="N646" t="n">
        <v>0</v>
      </c>
      <c r="O646" t="n">
        <v>0</v>
      </c>
      <c r="P646" t="n">
        <v>0</v>
      </c>
      <c r="Q646" t="n">
        <v>0</v>
      </c>
      <c r="R646" s="2" t="inlineStr"/>
    </row>
    <row r="647" ht="15" customHeight="1">
      <c r="A647" t="inlineStr">
        <is>
          <t>A 16111-2022</t>
        </is>
      </c>
      <c r="B647" s="1" t="n">
        <v>44665</v>
      </c>
      <c r="C647" s="1" t="n">
        <v>46051</v>
      </c>
      <c r="D647" t="inlineStr">
        <is>
          <t>ÖSTERGÖTLANDS LÄN</t>
        </is>
      </c>
      <c r="E647" t="inlineStr">
        <is>
          <t>LINKÖPING</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31635-2023</t>
        </is>
      </c>
      <c r="B648" s="1" t="n">
        <v>45105</v>
      </c>
      <c r="C648" s="1" t="n">
        <v>46051</v>
      </c>
      <c r="D648" t="inlineStr">
        <is>
          <t>ÖSTERGÖTLANDS LÄN</t>
        </is>
      </c>
      <c r="E648" t="inlineStr">
        <is>
          <t>LINKÖPING</t>
        </is>
      </c>
      <c r="F648" t="inlineStr">
        <is>
          <t>Övriga statliga verk och myndigheter</t>
        </is>
      </c>
      <c r="G648" t="n">
        <v>4.6</v>
      </c>
      <c r="H648" t="n">
        <v>0</v>
      </c>
      <c r="I648" t="n">
        <v>0</v>
      </c>
      <c r="J648" t="n">
        <v>0</v>
      </c>
      <c r="K648" t="n">
        <v>0</v>
      </c>
      <c r="L648" t="n">
        <v>0</v>
      </c>
      <c r="M648" t="n">
        <v>0</v>
      </c>
      <c r="N648" t="n">
        <v>0</v>
      </c>
      <c r="O648" t="n">
        <v>0</v>
      </c>
      <c r="P648" t="n">
        <v>0</v>
      </c>
      <c r="Q648" t="n">
        <v>0</v>
      </c>
      <c r="R648" s="2" t="inlineStr"/>
    </row>
    <row r="649" ht="15" customHeight="1">
      <c r="A649" t="inlineStr">
        <is>
          <t>A 49928-2024</t>
        </is>
      </c>
      <c r="B649" s="1" t="n">
        <v>45597.57811342592</v>
      </c>
      <c r="C649" s="1" t="n">
        <v>46051</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54845-2023</t>
        </is>
      </c>
      <c r="B650" s="1" t="n">
        <v>45236</v>
      </c>
      <c r="C650" s="1" t="n">
        <v>46051</v>
      </c>
      <c r="D650" t="inlineStr">
        <is>
          <t>ÖSTERGÖTLANDS LÄN</t>
        </is>
      </c>
      <c r="E650" t="inlineStr">
        <is>
          <t>LINKÖPING</t>
        </is>
      </c>
      <c r="F650" t="inlineStr">
        <is>
          <t>Övriga Aktiebolag</t>
        </is>
      </c>
      <c r="G650" t="n">
        <v>5.7</v>
      </c>
      <c r="H650" t="n">
        <v>0</v>
      </c>
      <c r="I650" t="n">
        <v>0</v>
      </c>
      <c r="J650" t="n">
        <v>0</v>
      </c>
      <c r="K650" t="n">
        <v>0</v>
      </c>
      <c r="L650" t="n">
        <v>0</v>
      </c>
      <c r="M650" t="n">
        <v>0</v>
      </c>
      <c r="N650" t="n">
        <v>0</v>
      </c>
      <c r="O650" t="n">
        <v>0</v>
      </c>
      <c r="P650" t="n">
        <v>0</v>
      </c>
      <c r="Q650" t="n">
        <v>0</v>
      </c>
      <c r="R650" s="2" t="inlineStr"/>
    </row>
    <row r="651" ht="15" customHeight="1">
      <c r="A651" t="inlineStr">
        <is>
          <t>A 46687-2021</t>
        </is>
      </c>
      <c r="B651" s="1" t="n">
        <v>44445</v>
      </c>
      <c r="C651" s="1" t="n">
        <v>46051</v>
      </c>
      <c r="D651" t="inlineStr">
        <is>
          <t>ÖSTERGÖTLANDS LÄN</t>
        </is>
      </c>
      <c r="E651" t="inlineStr">
        <is>
          <t>LINKÖPING</t>
        </is>
      </c>
      <c r="F651" t="inlineStr">
        <is>
          <t>Övriga statliga verk och myndigheter</t>
        </is>
      </c>
      <c r="G651" t="n">
        <v>2.3</v>
      </c>
      <c r="H651" t="n">
        <v>0</v>
      </c>
      <c r="I651" t="n">
        <v>0</v>
      </c>
      <c r="J651" t="n">
        <v>0</v>
      </c>
      <c r="K651" t="n">
        <v>0</v>
      </c>
      <c r="L651" t="n">
        <v>0</v>
      </c>
      <c r="M651" t="n">
        <v>0</v>
      </c>
      <c r="N651" t="n">
        <v>0</v>
      </c>
      <c r="O651" t="n">
        <v>0</v>
      </c>
      <c r="P651" t="n">
        <v>0</v>
      </c>
      <c r="Q651" t="n">
        <v>0</v>
      </c>
      <c r="R651" s="2" t="inlineStr"/>
    </row>
    <row r="652" ht="15" customHeight="1">
      <c r="A652" t="inlineStr">
        <is>
          <t>A 30855-2022</t>
        </is>
      </c>
      <c r="B652" s="1" t="n">
        <v>44767</v>
      </c>
      <c r="C652" s="1" t="n">
        <v>46051</v>
      </c>
      <c r="D652" t="inlineStr">
        <is>
          <t>ÖSTERGÖTLANDS LÄN</t>
        </is>
      </c>
      <c r="E652" t="inlineStr">
        <is>
          <t>LINKÖPING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1355-2023</t>
        </is>
      </c>
      <c r="B653" s="1" t="n">
        <v>44931</v>
      </c>
      <c r="C653" s="1" t="n">
        <v>46051</v>
      </c>
      <c r="D653" t="inlineStr">
        <is>
          <t>ÖSTERGÖTLANDS LÄN</t>
        </is>
      </c>
      <c r="E653" t="inlineStr">
        <is>
          <t>LINKÖPING</t>
        </is>
      </c>
      <c r="G653" t="n">
        <v>4</v>
      </c>
      <c r="H653" t="n">
        <v>0</v>
      </c>
      <c r="I653" t="n">
        <v>0</v>
      </c>
      <c r="J653" t="n">
        <v>0</v>
      </c>
      <c r="K653" t="n">
        <v>0</v>
      </c>
      <c r="L653" t="n">
        <v>0</v>
      </c>
      <c r="M653" t="n">
        <v>0</v>
      </c>
      <c r="N653" t="n">
        <v>0</v>
      </c>
      <c r="O653" t="n">
        <v>0</v>
      </c>
      <c r="P653" t="n">
        <v>0</v>
      </c>
      <c r="Q653" t="n">
        <v>0</v>
      </c>
      <c r="R653" s="2" t="inlineStr"/>
    </row>
    <row r="654" ht="15" customHeight="1">
      <c r="A654" t="inlineStr">
        <is>
          <t>A 27844-2024</t>
        </is>
      </c>
      <c r="B654" s="1" t="n">
        <v>45475.63047453704</v>
      </c>
      <c r="C654" s="1" t="n">
        <v>46051</v>
      </c>
      <c r="D654" t="inlineStr">
        <is>
          <t>ÖSTERGÖTLANDS LÄN</t>
        </is>
      </c>
      <c r="E654" t="inlineStr">
        <is>
          <t>LINKÖPING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10741-2023</t>
        </is>
      </c>
      <c r="B655" s="1" t="n">
        <v>44988.70084490741</v>
      </c>
      <c r="C655" s="1" t="n">
        <v>46051</v>
      </c>
      <c r="D655" t="inlineStr">
        <is>
          <t>ÖSTERGÖTLANDS LÄN</t>
        </is>
      </c>
      <c r="E655" t="inlineStr">
        <is>
          <t>LINKÖPING</t>
        </is>
      </c>
      <c r="F655" t="inlineStr">
        <is>
          <t>Allmännings- och besparingsskogar</t>
        </is>
      </c>
      <c r="G655" t="n">
        <v>11.2</v>
      </c>
      <c r="H655" t="n">
        <v>0</v>
      </c>
      <c r="I655" t="n">
        <v>0</v>
      </c>
      <c r="J655" t="n">
        <v>0</v>
      </c>
      <c r="K655" t="n">
        <v>0</v>
      </c>
      <c r="L655" t="n">
        <v>0</v>
      </c>
      <c r="M655" t="n">
        <v>0</v>
      </c>
      <c r="N655" t="n">
        <v>0</v>
      </c>
      <c r="O655" t="n">
        <v>0</v>
      </c>
      <c r="P655" t="n">
        <v>0</v>
      </c>
      <c r="Q655" t="n">
        <v>0</v>
      </c>
      <c r="R655" s="2" t="inlineStr"/>
    </row>
    <row r="656" ht="15" customHeight="1">
      <c r="A656" t="inlineStr">
        <is>
          <t>A 50963-2021</t>
        </is>
      </c>
      <c r="B656" s="1" t="n">
        <v>44460</v>
      </c>
      <c r="C656" s="1" t="n">
        <v>46051</v>
      </c>
      <c r="D656" t="inlineStr">
        <is>
          <t>ÖSTERGÖTLANDS LÄN</t>
        </is>
      </c>
      <c r="E656" t="inlineStr">
        <is>
          <t>LINKÖPING</t>
        </is>
      </c>
      <c r="G656" t="n">
        <v>4.4</v>
      </c>
      <c r="H656" t="n">
        <v>0</v>
      </c>
      <c r="I656" t="n">
        <v>0</v>
      </c>
      <c r="J656" t="n">
        <v>0</v>
      </c>
      <c r="K656" t="n">
        <v>0</v>
      </c>
      <c r="L656" t="n">
        <v>0</v>
      </c>
      <c r="M656" t="n">
        <v>0</v>
      </c>
      <c r="N656" t="n">
        <v>0</v>
      </c>
      <c r="O656" t="n">
        <v>0</v>
      </c>
      <c r="P656" t="n">
        <v>0</v>
      </c>
      <c r="Q656" t="n">
        <v>0</v>
      </c>
      <c r="R656" s="2" t="inlineStr"/>
    </row>
    <row r="657" ht="15" customHeight="1">
      <c r="A657" t="inlineStr">
        <is>
          <t>A 45821-2024</t>
        </is>
      </c>
      <c r="B657" s="1" t="n">
        <v>45579.75803240741</v>
      </c>
      <c r="C657" s="1" t="n">
        <v>46051</v>
      </c>
      <c r="D657" t="inlineStr">
        <is>
          <t>ÖSTERGÖTLANDS LÄN</t>
        </is>
      </c>
      <c r="E657" t="inlineStr">
        <is>
          <t>LINKÖPING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61936-2023</t>
        </is>
      </c>
      <c r="B658" s="1" t="n">
        <v>45266.54534722222</v>
      </c>
      <c r="C658" s="1" t="n">
        <v>46051</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1263-2024</t>
        </is>
      </c>
      <c r="B659" s="1" t="n">
        <v>45302</v>
      </c>
      <c r="C659" s="1" t="n">
        <v>46051</v>
      </c>
      <c r="D659" t="inlineStr">
        <is>
          <t>ÖSTERGÖTLANDS LÄN</t>
        </is>
      </c>
      <c r="E659" t="inlineStr">
        <is>
          <t>LINKÖPING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24464-2023</t>
        </is>
      </c>
      <c r="B660" s="1" t="n">
        <v>45082.58068287037</v>
      </c>
      <c r="C660" s="1" t="n">
        <v>46051</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48389-2024</t>
        </is>
      </c>
      <c r="B661" s="1" t="n">
        <v>45590.59991898148</v>
      </c>
      <c r="C661" s="1" t="n">
        <v>46051</v>
      </c>
      <c r="D661" t="inlineStr">
        <is>
          <t>ÖSTERGÖTLANDS LÄN</t>
        </is>
      </c>
      <c r="E661" t="inlineStr">
        <is>
          <t>LINKÖPING</t>
        </is>
      </c>
      <c r="G661" t="n">
        <v>2.6</v>
      </c>
      <c r="H661" t="n">
        <v>0</v>
      </c>
      <c r="I661" t="n">
        <v>0</v>
      </c>
      <c r="J661" t="n">
        <v>0</v>
      </c>
      <c r="K661" t="n">
        <v>0</v>
      </c>
      <c r="L661" t="n">
        <v>0</v>
      </c>
      <c r="M661" t="n">
        <v>0</v>
      </c>
      <c r="N661" t="n">
        <v>0</v>
      </c>
      <c r="O661" t="n">
        <v>0</v>
      </c>
      <c r="P661" t="n">
        <v>0</v>
      </c>
      <c r="Q661" t="n">
        <v>0</v>
      </c>
      <c r="R661" s="2" t="inlineStr"/>
    </row>
    <row r="662" ht="15" customHeight="1">
      <c r="A662" t="inlineStr">
        <is>
          <t>A 61281-2021</t>
        </is>
      </c>
      <c r="B662" s="1" t="n">
        <v>44498.60736111111</v>
      </c>
      <c r="C662" s="1" t="n">
        <v>46051</v>
      </c>
      <c r="D662" t="inlineStr">
        <is>
          <t>ÖSTERGÖTLANDS LÄN</t>
        </is>
      </c>
      <c r="E662" t="inlineStr">
        <is>
          <t>LINKÖPING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6369-2023</t>
        </is>
      </c>
      <c r="B663" s="1" t="n">
        <v>44965.61106481482</v>
      </c>
      <c r="C663" s="1" t="n">
        <v>46051</v>
      </c>
      <c r="D663" t="inlineStr">
        <is>
          <t>ÖSTERGÖTLANDS LÄN</t>
        </is>
      </c>
      <c r="E663" t="inlineStr">
        <is>
          <t>LINKÖPING</t>
        </is>
      </c>
      <c r="G663" t="n">
        <v>4</v>
      </c>
      <c r="H663" t="n">
        <v>0</v>
      </c>
      <c r="I663" t="n">
        <v>0</v>
      </c>
      <c r="J663" t="n">
        <v>0</v>
      </c>
      <c r="K663" t="n">
        <v>0</v>
      </c>
      <c r="L663" t="n">
        <v>0</v>
      </c>
      <c r="M663" t="n">
        <v>0</v>
      </c>
      <c r="N663" t="n">
        <v>0</v>
      </c>
      <c r="O663" t="n">
        <v>0</v>
      </c>
      <c r="P663" t="n">
        <v>0</v>
      </c>
      <c r="Q663" t="n">
        <v>0</v>
      </c>
      <c r="R663" s="2" t="inlineStr"/>
    </row>
    <row r="664" ht="15" customHeight="1">
      <c r="A664" t="inlineStr">
        <is>
          <t>A 10094-2024</t>
        </is>
      </c>
      <c r="B664" s="1" t="n">
        <v>45364</v>
      </c>
      <c r="C664" s="1" t="n">
        <v>46051</v>
      </c>
      <c r="D664" t="inlineStr">
        <is>
          <t>ÖSTERGÖTLANDS LÄN</t>
        </is>
      </c>
      <c r="E664" t="inlineStr">
        <is>
          <t>LINKÖPING</t>
        </is>
      </c>
      <c r="F664" t="inlineStr">
        <is>
          <t>Övriga Aktiebolag</t>
        </is>
      </c>
      <c r="G664" t="n">
        <v>1.9</v>
      </c>
      <c r="H664" t="n">
        <v>0</v>
      </c>
      <c r="I664" t="n">
        <v>0</v>
      </c>
      <c r="J664" t="n">
        <v>0</v>
      </c>
      <c r="K664" t="n">
        <v>0</v>
      </c>
      <c r="L664" t="n">
        <v>0</v>
      </c>
      <c r="M664" t="n">
        <v>0</v>
      </c>
      <c r="N664" t="n">
        <v>0</v>
      </c>
      <c r="O664" t="n">
        <v>0</v>
      </c>
      <c r="P664" t="n">
        <v>0</v>
      </c>
      <c r="Q664" t="n">
        <v>0</v>
      </c>
      <c r="R664" s="2" t="inlineStr"/>
    </row>
    <row r="665" ht="15" customHeight="1">
      <c r="A665" t="inlineStr">
        <is>
          <t>A 1207-2023</t>
        </is>
      </c>
      <c r="B665" s="1" t="n">
        <v>44930</v>
      </c>
      <c r="C665" s="1" t="n">
        <v>46051</v>
      </c>
      <c r="D665" t="inlineStr">
        <is>
          <t>ÖSTERGÖTLANDS LÄN</t>
        </is>
      </c>
      <c r="E665" t="inlineStr">
        <is>
          <t>LINKÖPING</t>
        </is>
      </c>
      <c r="F665" t="inlineStr">
        <is>
          <t>Övriga statliga verk och myndigheter</t>
        </is>
      </c>
      <c r="G665" t="n">
        <v>32.8</v>
      </c>
      <c r="H665" t="n">
        <v>0</v>
      </c>
      <c r="I665" t="n">
        <v>0</v>
      </c>
      <c r="J665" t="n">
        <v>0</v>
      </c>
      <c r="K665" t="n">
        <v>0</v>
      </c>
      <c r="L665" t="n">
        <v>0</v>
      </c>
      <c r="M665" t="n">
        <v>0</v>
      </c>
      <c r="N665" t="n">
        <v>0</v>
      </c>
      <c r="O665" t="n">
        <v>0</v>
      </c>
      <c r="P665" t="n">
        <v>0</v>
      </c>
      <c r="Q665" t="n">
        <v>0</v>
      </c>
      <c r="R665" s="2" t="inlineStr"/>
    </row>
    <row r="666" ht="15" customHeight="1">
      <c r="A666" t="inlineStr">
        <is>
          <t>A 62015-2024</t>
        </is>
      </c>
      <c r="B666" s="1" t="n">
        <v>45655.80457175926</v>
      </c>
      <c r="C666" s="1" t="n">
        <v>46051</v>
      </c>
      <c r="D666" t="inlineStr">
        <is>
          <t>ÖSTERGÖTLANDS LÄN</t>
        </is>
      </c>
      <c r="E666" t="inlineStr">
        <is>
          <t>LINKÖPING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62020-2024</t>
        </is>
      </c>
      <c r="B667" s="1" t="n">
        <v>45655.83563657408</v>
      </c>
      <c r="C667" s="1" t="n">
        <v>46051</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62021-2024</t>
        </is>
      </c>
      <c r="B668" s="1" t="n">
        <v>45655.84232638889</v>
      </c>
      <c r="C668" s="1" t="n">
        <v>46051</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27891-2021</t>
        </is>
      </c>
      <c r="B669" s="1" t="n">
        <v>44354.65108796296</v>
      </c>
      <c r="C669" s="1" t="n">
        <v>46051</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57391-2023</t>
        </is>
      </c>
      <c r="B670" s="1" t="n">
        <v>45245</v>
      </c>
      <c r="C670" s="1" t="n">
        <v>46051</v>
      </c>
      <c r="D670" t="inlineStr">
        <is>
          <t>ÖSTERGÖTLANDS LÄN</t>
        </is>
      </c>
      <c r="E670" t="inlineStr">
        <is>
          <t>LINKÖPING</t>
        </is>
      </c>
      <c r="F670" t="inlineStr">
        <is>
          <t>Övriga Aktiebolag</t>
        </is>
      </c>
      <c r="G670" t="n">
        <v>1.7</v>
      </c>
      <c r="H670" t="n">
        <v>0</v>
      </c>
      <c r="I670" t="n">
        <v>0</v>
      </c>
      <c r="J670" t="n">
        <v>0</v>
      </c>
      <c r="K670" t="n">
        <v>0</v>
      </c>
      <c r="L670" t="n">
        <v>0</v>
      </c>
      <c r="M670" t="n">
        <v>0</v>
      </c>
      <c r="N670" t="n">
        <v>0</v>
      </c>
      <c r="O670" t="n">
        <v>0</v>
      </c>
      <c r="P670" t="n">
        <v>0</v>
      </c>
      <c r="Q670" t="n">
        <v>0</v>
      </c>
      <c r="R670" s="2" t="inlineStr"/>
    </row>
    <row r="671" ht="15" customHeight="1">
      <c r="A671" t="inlineStr">
        <is>
          <t>A 20294-2025</t>
        </is>
      </c>
      <c r="B671" s="1" t="n">
        <v>45774.74667824074</v>
      </c>
      <c r="C671" s="1" t="n">
        <v>46051</v>
      </c>
      <c r="D671" t="inlineStr">
        <is>
          <t>ÖSTERGÖTLANDS LÄN</t>
        </is>
      </c>
      <c r="E671" t="inlineStr">
        <is>
          <t>LINKÖPING</t>
        </is>
      </c>
      <c r="G671" t="n">
        <v>1.4</v>
      </c>
      <c r="H671" t="n">
        <v>0</v>
      </c>
      <c r="I671" t="n">
        <v>0</v>
      </c>
      <c r="J671" t="n">
        <v>0</v>
      </c>
      <c r="K671" t="n">
        <v>0</v>
      </c>
      <c r="L671" t="n">
        <v>0</v>
      </c>
      <c r="M671" t="n">
        <v>0</v>
      </c>
      <c r="N671" t="n">
        <v>0</v>
      </c>
      <c r="O671" t="n">
        <v>0</v>
      </c>
      <c r="P671" t="n">
        <v>0</v>
      </c>
      <c r="Q671" t="n">
        <v>0</v>
      </c>
      <c r="R671" s="2" t="inlineStr"/>
    </row>
    <row r="672" ht="15" customHeight="1">
      <c r="A672" t="inlineStr">
        <is>
          <t>A 60013-2022</t>
        </is>
      </c>
      <c r="B672" s="1" t="n">
        <v>44909.47482638889</v>
      </c>
      <c r="C672" s="1" t="n">
        <v>46051</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3007-2025</t>
        </is>
      </c>
      <c r="B673" s="1" t="n">
        <v>45678.56328703704</v>
      </c>
      <c r="C673" s="1" t="n">
        <v>46051</v>
      </c>
      <c r="D673" t="inlineStr">
        <is>
          <t>ÖSTERGÖTLANDS LÄN</t>
        </is>
      </c>
      <c r="E673" t="inlineStr">
        <is>
          <t>LINKÖPING</t>
        </is>
      </c>
      <c r="G673" t="n">
        <v>3.1</v>
      </c>
      <c r="H673" t="n">
        <v>0</v>
      </c>
      <c r="I673" t="n">
        <v>0</v>
      </c>
      <c r="J673" t="n">
        <v>0</v>
      </c>
      <c r="K673" t="n">
        <v>0</v>
      </c>
      <c r="L673" t="n">
        <v>0</v>
      </c>
      <c r="M673" t="n">
        <v>0</v>
      </c>
      <c r="N673" t="n">
        <v>0</v>
      </c>
      <c r="O673" t="n">
        <v>0</v>
      </c>
      <c r="P673" t="n">
        <v>0</v>
      </c>
      <c r="Q673" t="n">
        <v>0</v>
      </c>
      <c r="R673" s="2" t="inlineStr"/>
    </row>
    <row r="674" ht="15" customHeight="1">
      <c r="A674" t="inlineStr">
        <is>
          <t>A 34877-2023</t>
        </is>
      </c>
      <c r="B674" s="1" t="n">
        <v>45140</v>
      </c>
      <c r="C674" s="1" t="n">
        <v>46051</v>
      </c>
      <c r="D674" t="inlineStr">
        <is>
          <t>ÖSTERGÖTLANDS LÄN</t>
        </is>
      </c>
      <c r="E674" t="inlineStr">
        <is>
          <t>LINKÖPING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1924-2024</t>
        </is>
      </c>
      <c r="B675" s="1" t="n">
        <v>45308</v>
      </c>
      <c r="C675" s="1" t="n">
        <v>46051</v>
      </c>
      <c r="D675" t="inlineStr">
        <is>
          <t>ÖSTERGÖTLANDS LÄN</t>
        </is>
      </c>
      <c r="E675" t="inlineStr">
        <is>
          <t>LINKÖPING</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34558-2022</t>
        </is>
      </c>
      <c r="B676" s="1" t="n">
        <v>44794.57594907407</v>
      </c>
      <c r="C676" s="1" t="n">
        <v>46051</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168-2024</t>
        </is>
      </c>
      <c r="B677" s="1" t="n">
        <v>45294</v>
      </c>
      <c r="C677" s="1" t="n">
        <v>46051</v>
      </c>
      <c r="D677" t="inlineStr">
        <is>
          <t>ÖSTERGÖTLANDS LÄN</t>
        </is>
      </c>
      <c r="E677" t="inlineStr">
        <is>
          <t>LINKÖPING</t>
        </is>
      </c>
      <c r="F677" t="inlineStr">
        <is>
          <t>Allmännings- och besparingsskogar</t>
        </is>
      </c>
      <c r="G677" t="n">
        <v>8.9</v>
      </c>
      <c r="H677" t="n">
        <v>0</v>
      </c>
      <c r="I677" t="n">
        <v>0</v>
      </c>
      <c r="J677" t="n">
        <v>0</v>
      </c>
      <c r="K677" t="n">
        <v>0</v>
      </c>
      <c r="L677" t="n">
        <v>0</v>
      </c>
      <c r="M677" t="n">
        <v>0</v>
      </c>
      <c r="N677" t="n">
        <v>0</v>
      </c>
      <c r="O677" t="n">
        <v>0</v>
      </c>
      <c r="P677" t="n">
        <v>0</v>
      </c>
      <c r="Q677" t="n">
        <v>0</v>
      </c>
      <c r="R677" s="2" t="inlineStr"/>
    </row>
    <row r="678" ht="15" customHeight="1">
      <c r="A678" t="inlineStr">
        <is>
          <t>A 15658-2023</t>
        </is>
      </c>
      <c r="B678" s="1" t="n">
        <v>45021.41194444444</v>
      </c>
      <c r="C678" s="1" t="n">
        <v>46051</v>
      </c>
      <c r="D678" t="inlineStr">
        <is>
          <t>ÖSTERGÖTLANDS LÄN</t>
        </is>
      </c>
      <c r="E678" t="inlineStr">
        <is>
          <t>LINKÖPING</t>
        </is>
      </c>
      <c r="G678" t="n">
        <v>1.4</v>
      </c>
      <c r="H678" t="n">
        <v>0</v>
      </c>
      <c r="I678" t="n">
        <v>0</v>
      </c>
      <c r="J678" t="n">
        <v>0</v>
      </c>
      <c r="K678" t="n">
        <v>0</v>
      </c>
      <c r="L678" t="n">
        <v>0</v>
      </c>
      <c r="M678" t="n">
        <v>0</v>
      </c>
      <c r="N678" t="n">
        <v>0</v>
      </c>
      <c r="O678" t="n">
        <v>0</v>
      </c>
      <c r="P678" t="n">
        <v>0</v>
      </c>
      <c r="Q678" t="n">
        <v>0</v>
      </c>
      <c r="R678" s="2" t="inlineStr"/>
    </row>
    <row r="679" ht="15" customHeight="1">
      <c r="A679" t="inlineStr">
        <is>
          <t>A 30433-2024</t>
        </is>
      </c>
      <c r="B679" s="1" t="n">
        <v>45491.69741898148</v>
      </c>
      <c r="C679" s="1" t="n">
        <v>46051</v>
      </c>
      <c r="D679" t="inlineStr">
        <is>
          <t>ÖSTERGÖTLANDS LÄN</t>
        </is>
      </c>
      <c r="E679" t="inlineStr">
        <is>
          <t>LINKÖPING</t>
        </is>
      </c>
      <c r="G679" t="n">
        <v>1.7</v>
      </c>
      <c r="H679" t="n">
        <v>0</v>
      </c>
      <c r="I679" t="n">
        <v>0</v>
      </c>
      <c r="J679" t="n">
        <v>0</v>
      </c>
      <c r="K679" t="n">
        <v>0</v>
      </c>
      <c r="L679" t="n">
        <v>0</v>
      </c>
      <c r="M679" t="n">
        <v>0</v>
      </c>
      <c r="N679" t="n">
        <v>0</v>
      </c>
      <c r="O679" t="n">
        <v>0</v>
      </c>
      <c r="P679" t="n">
        <v>0</v>
      </c>
      <c r="Q679" t="n">
        <v>0</v>
      </c>
      <c r="R679" s="2" t="inlineStr"/>
    </row>
    <row r="680" ht="15" customHeight="1">
      <c r="A680" t="inlineStr">
        <is>
          <t>A 52220-2023</t>
        </is>
      </c>
      <c r="B680" s="1" t="n">
        <v>45217</v>
      </c>
      <c r="C680" s="1" t="n">
        <v>46051</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52225-2023</t>
        </is>
      </c>
      <c r="B681" s="1" t="n">
        <v>45217</v>
      </c>
      <c r="C681" s="1" t="n">
        <v>46051</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19464-2024</t>
        </is>
      </c>
      <c r="B682" s="1" t="n">
        <v>45429</v>
      </c>
      <c r="C682" s="1" t="n">
        <v>46051</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42044-2023</t>
        </is>
      </c>
      <c r="B683" s="1" t="n">
        <v>45177</v>
      </c>
      <c r="C683" s="1" t="n">
        <v>46051</v>
      </c>
      <c r="D683" t="inlineStr">
        <is>
          <t>ÖSTERGÖTLANDS LÄN</t>
        </is>
      </c>
      <c r="E683" t="inlineStr">
        <is>
          <t>LINKÖPING</t>
        </is>
      </c>
      <c r="G683" t="n">
        <v>3.9</v>
      </c>
      <c r="H683" t="n">
        <v>0</v>
      </c>
      <c r="I683" t="n">
        <v>0</v>
      </c>
      <c r="J683" t="n">
        <v>0</v>
      </c>
      <c r="K683" t="n">
        <v>0</v>
      </c>
      <c r="L683" t="n">
        <v>0</v>
      </c>
      <c r="M683" t="n">
        <v>0</v>
      </c>
      <c r="N683" t="n">
        <v>0</v>
      </c>
      <c r="O683" t="n">
        <v>0</v>
      </c>
      <c r="P683" t="n">
        <v>0</v>
      </c>
      <c r="Q683" t="n">
        <v>0</v>
      </c>
      <c r="R683" s="2" t="inlineStr"/>
    </row>
    <row r="684" ht="15" customHeight="1">
      <c r="A684" t="inlineStr">
        <is>
          <t>A 630-2024</t>
        </is>
      </c>
      <c r="B684" s="1" t="n">
        <v>45299.67736111111</v>
      </c>
      <c r="C684" s="1" t="n">
        <v>46051</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21782-2024</t>
        </is>
      </c>
      <c r="B685" s="1" t="n">
        <v>45442.63368055555</v>
      </c>
      <c r="C685" s="1" t="n">
        <v>46051</v>
      </c>
      <c r="D685" t="inlineStr">
        <is>
          <t>ÖSTERGÖTLANDS LÄN</t>
        </is>
      </c>
      <c r="E685" t="inlineStr">
        <is>
          <t>LINKÖPING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57766-2023</t>
        </is>
      </c>
      <c r="B686" s="1" t="n">
        <v>45246</v>
      </c>
      <c r="C686" s="1" t="n">
        <v>46051</v>
      </c>
      <c r="D686" t="inlineStr">
        <is>
          <t>ÖSTERGÖTLANDS LÄN</t>
        </is>
      </c>
      <c r="E686" t="inlineStr">
        <is>
          <t>LINKÖPING</t>
        </is>
      </c>
      <c r="F686" t="inlineStr">
        <is>
          <t>Allmännings- och besparingsskogar</t>
        </is>
      </c>
      <c r="G686" t="n">
        <v>12.8</v>
      </c>
      <c r="H686" t="n">
        <v>0</v>
      </c>
      <c r="I686" t="n">
        <v>0</v>
      </c>
      <c r="J686" t="n">
        <v>0</v>
      </c>
      <c r="K686" t="n">
        <v>0</v>
      </c>
      <c r="L686" t="n">
        <v>0</v>
      </c>
      <c r="M686" t="n">
        <v>0</v>
      </c>
      <c r="N686" t="n">
        <v>0</v>
      </c>
      <c r="O686" t="n">
        <v>0</v>
      </c>
      <c r="P686" t="n">
        <v>0</v>
      </c>
      <c r="Q686" t="n">
        <v>0</v>
      </c>
      <c r="R686" s="2" t="inlineStr"/>
    </row>
    <row r="687" ht="15" customHeight="1">
      <c r="A687" t="inlineStr">
        <is>
          <t>A 27186-2021</t>
        </is>
      </c>
      <c r="B687" s="1" t="n">
        <v>44350.67715277777</v>
      </c>
      <c r="C687" s="1" t="n">
        <v>46051</v>
      </c>
      <c r="D687" t="inlineStr">
        <is>
          <t>ÖSTERGÖTLANDS LÄN</t>
        </is>
      </c>
      <c r="E687" t="inlineStr">
        <is>
          <t>LINKÖPING</t>
        </is>
      </c>
      <c r="F687" t="inlineStr">
        <is>
          <t>Allmännings- och besparingsskogar</t>
        </is>
      </c>
      <c r="G687" t="n">
        <v>1.4</v>
      </c>
      <c r="H687" t="n">
        <v>0</v>
      </c>
      <c r="I687" t="n">
        <v>0</v>
      </c>
      <c r="J687" t="n">
        <v>0</v>
      </c>
      <c r="K687" t="n">
        <v>0</v>
      </c>
      <c r="L687" t="n">
        <v>0</v>
      </c>
      <c r="M687" t="n">
        <v>0</v>
      </c>
      <c r="N687" t="n">
        <v>0</v>
      </c>
      <c r="O687" t="n">
        <v>0</v>
      </c>
      <c r="P687" t="n">
        <v>0</v>
      </c>
      <c r="Q687" t="n">
        <v>0</v>
      </c>
      <c r="R687" s="2" t="inlineStr"/>
    </row>
    <row r="688" ht="15" customHeight="1">
      <c r="A688" t="inlineStr">
        <is>
          <t>A 10194-2023</t>
        </is>
      </c>
      <c r="B688" s="1" t="n">
        <v>44986.52277777778</v>
      </c>
      <c r="C688" s="1" t="n">
        <v>46051</v>
      </c>
      <c r="D688" t="inlineStr">
        <is>
          <t>ÖSTERGÖTLANDS LÄN</t>
        </is>
      </c>
      <c r="E688" t="inlineStr">
        <is>
          <t>LINKÖPING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55944-2024</t>
        </is>
      </c>
      <c r="B689" s="1" t="n">
        <v>45623.61640046296</v>
      </c>
      <c r="C689" s="1" t="n">
        <v>46051</v>
      </c>
      <c r="D689" t="inlineStr">
        <is>
          <t>ÖSTERGÖTLANDS LÄN</t>
        </is>
      </c>
      <c r="E689" t="inlineStr">
        <is>
          <t>LINKÖPING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55947-2024</t>
        </is>
      </c>
      <c r="B690" s="1" t="n">
        <v>45623</v>
      </c>
      <c r="C690" s="1" t="n">
        <v>46051</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47703-2023</t>
        </is>
      </c>
      <c r="B691" s="1" t="n">
        <v>45203</v>
      </c>
      <c r="C691" s="1" t="n">
        <v>46051</v>
      </c>
      <c r="D691" t="inlineStr">
        <is>
          <t>ÖSTERGÖTLANDS LÄN</t>
        </is>
      </c>
      <c r="E691" t="inlineStr">
        <is>
          <t>LINKÖPING</t>
        </is>
      </c>
      <c r="G691" t="n">
        <v>4.1</v>
      </c>
      <c r="H691" t="n">
        <v>0</v>
      </c>
      <c r="I691" t="n">
        <v>0</v>
      </c>
      <c r="J691" t="n">
        <v>0</v>
      </c>
      <c r="K691" t="n">
        <v>0</v>
      </c>
      <c r="L691" t="n">
        <v>0</v>
      </c>
      <c r="M691" t="n">
        <v>0</v>
      </c>
      <c r="N691" t="n">
        <v>0</v>
      </c>
      <c r="O691" t="n">
        <v>0</v>
      </c>
      <c r="P691" t="n">
        <v>0</v>
      </c>
      <c r="Q691" t="n">
        <v>0</v>
      </c>
      <c r="R691" s="2" t="inlineStr"/>
    </row>
    <row r="692" ht="15" customHeight="1">
      <c r="A692" t="inlineStr">
        <is>
          <t>A 51559-2024</t>
        </is>
      </c>
      <c r="B692" s="1" t="n">
        <v>45604.61431712963</v>
      </c>
      <c r="C692" s="1" t="n">
        <v>46051</v>
      </c>
      <c r="D692" t="inlineStr">
        <is>
          <t>ÖSTERGÖTLANDS LÄN</t>
        </is>
      </c>
      <c r="E692" t="inlineStr">
        <is>
          <t>LINKÖPING</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62353-2022</t>
        </is>
      </c>
      <c r="B693" s="1" t="n">
        <v>44923</v>
      </c>
      <c r="C693" s="1" t="n">
        <v>46051</v>
      </c>
      <c r="D693" t="inlineStr">
        <is>
          <t>ÖSTERGÖTLANDS LÄN</t>
        </is>
      </c>
      <c r="E693" t="inlineStr">
        <is>
          <t>LINKÖPING</t>
        </is>
      </c>
      <c r="F693" t="inlineStr">
        <is>
          <t>Allmännings- och besparingsskogar</t>
        </is>
      </c>
      <c r="G693" t="n">
        <v>1.7</v>
      </c>
      <c r="H693" t="n">
        <v>0</v>
      </c>
      <c r="I693" t="n">
        <v>0</v>
      </c>
      <c r="J693" t="n">
        <v>0</v>
      </c>
      <c r="K693" t="n">
        <v>0</v>
      </c>
      <c r="L693" t="n">
        <v>0</v>
      </c>
      <c r="M693" t="n">
        <v>0</v>
      </c>
      <c r="N693" t="n">
        <v>0</v>
      </c>
      <c r="O693" t="n">
        <v>0</v>
      </c>
      <c r="P693" t="n">
        <v>0</v>
      </c>
      <c r="Q693" t="n">
        <v>0</v>
      </c>
      <c r="R693" s="2" t="inlineStr"/>
    </row>
    <row r="694" ht="15" customHeight="1">
      <c r="A694" t="inlineStr">
        <is>
          <t>A 15754-2025</t>
        </is>
      </c>
      <c r="B694" s="1" t="n">
        <v>45748.56105324074</v>
      </c>
      <c r="C694" s="1" t="n">
        <v>46051</v>
      </c>
      <c r="D694" t="inlineStr">
        <is>
          <t>ÖSTERGÖTLANDS LÄN</t>
        </is>
      </c>
      <c r="E694" t="inlineStr">
        <is>
          <t>LINKÖPING</t>
        </is>
      </c>
      <c r="G694" t="n">
        <v>1.7</v>
      </c>
      <c r="H694" t="n">
        <v>0</v>
      </c>
      <c r="I694" t="n">
        <v>0</v>
      </c>
      <c r="J694" t="n">
        <v>0</v>
      </c>
      <c r="K694" t="n">
        <v>0</v>
      </c>
      <c r="L694" t="n">
        <v>0</v>
      </c>
      <c r="M694" t="n">
        <v>0</v>
      </c>
      <c r="N694" t="n">
        <v>0</v>
      </c>
      <c r="O694" t="n">
        <v>0</v>
      </c>
      <c r="P694" t="n">
        <v>0</v>
      </c>
      <c r="Q694" t="n">
        <v>0</v>
      </c>
      <c r="R694" s="2" t="inlineStr"/>
    </row>
    <row r="695" ht="15" customHeight="1">
      <c r="A695" t="inlineStr">
        <is>
          <t>A 4298-2023</t>
        </is>
      </c>
      <c r="B695" s="1" t="n">
        <v>44953</v>
      </c>
      <c r="C695" s="1" t="n">
        <v>46051</v>
      </c>
      <c r="D695" t="inlineStr">
        <is>
          <t>ÖSTERGÖTLANDS LÄN</t>
        </is>
      </c>
      <c r="E695" t="inlineStr">
        <is>
          <t>LINKÖPING</t>
        </is>
      </c>
      <c r="G695" t="n">
        <v>2.8</v>
      </c>
      <c r="H695" t="n">
        <v>0</v>
      </c>
      <c r="I695" t="n">
        <v>0</v>
      </c>
      <c r="J695" t="n">
        <v>0</v>
      </c>
      <c r="K695" t="n">
        <v>0</v>
      </c>
      <c r="L695" t="n">
        <v>0</v>
      </c>
      <c r="M695" t="n">
        <v>0</v>
      </c>
      <c r="N695" t="n">
        <v>0</v>
      </c>
      <c r="O695" t="n">
        <v>0</v>
      </c>
      <c r="P695" t="n">
        <v>0</v>
      </c>
      <c r="Q695" t="n">
        <v>0</v>
      </c>
      <c r="R695" s="2" t="inlineStr"/>
    </row>
    <row r="696" ht="15" customHeight="1">
      <c r="A696" t="inlineStr">
        <is>
          <t>A 18145-2021</t>
        </is>
      </c>
      <c r="B696" s="1" t="n">
        <v>44302</v>
      </c>
      <c r="C696" s="1" t="n">
        <v>46051</v>
      </c>
      <c r="D696" t="inlineStr">
        <is>
          <t>ÖSTERGÖTLANDS LÄN</t>
        </is>
      </c>
      <c r="E696" t="inlineStr">
        <is>
          <t>LINKÖPING</t>
        </is>
      </c>
      <c r="G696" t="n">
        <v>2.4</v>
      </c>
      <c r="H696" t="n">
        <v>0</v>
      </c>
      <c r="I696" t="n">
        <v>0</v>
      </c>
      <c r="J696" t="n">
        <v>0</v>
      </c>
      <c r="K696" t="n">
        <v>0</v>
      </c>
      <c r="L696" t="n">
        <v>0</v>
      </c>
      <c r="M696" t="n">
        <v>0</v>
      </c>
      <c r="N696" t="n">
        <v>0</v>
      </c>
      <c r="O696" t="n">
        <v>0</v>
      </c>
      <c r="P696" t="n">
        <v>0</v>
      </c>
      <c r="Q696" t="n">
        <v>0</v>
      </c>
      <c r="R696" s="2" t="inlineStr"/>
    </row>
    <row r="697" ht="15" customHeight="1">
      <c r="A697" t="inlineStr">
        <is>
          <t>A 25568-2024</t>
        </is>
      </c>
      <c r="B697" s="1" t="n">
        <v>45463.58699074074</v>
      </c>
      <c r="C697" s="1" t="n">
        <v>46051</v>
      </c>
      <c r="D697" t="inlineStr">
        <is>
          <t>ÖSTERGÖTLANDS LÄN</t>
        </is>
      </c>
      <c r="E697" t="inlineStr">
        <is>
          <t>LINKÖPING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38136-2023</t>
        </is>
      </c>
      <c r="B698" s="1" t="n">
        <v>45161.37310185185</v>
      </c>
      <c r="C698" s="1" t="n">
        <v>46051</v>
      </c>
      <c r="D698" t="inlineStr">
        <is>
          <t>ÖSTERGÖTLANDS LÄN</t>
        </is>
      </c>
      <c r="E698" t="inlineStr">
        <is>
          <t>LINKÖPING</t>
        </is>
      </c>
      <c r="G698" t="n">
        <v>5.6</v>
      </c>
      <c r="H698" t="n">
        <v>0</v>
      </c>
      <c r="I698" t="n">
        <v>0</v>
      </c>
      <c r="J698" t="n">
        <v>0</v>
      </c>
      <c r="K698" t="n">
        <v>0</v>
      </c>
      <c r="L698" t="n">
        <v>0</v>
      </c>
      <c r="M698" t="n">
        <v>0</v>
      </c>
      <c r="N698" t="n">
        <v>0</v>
      </c>
      <c r="O698" t="n">
        <v>0</v>
      </c>
      <c r="P698" t="n">
        <v>0</v>
      </c>
      <c r="Q698" t="n">
        <v>0</v>
      </c>
      <c r="R698" s="2" t="inlineStr"/>
    </row>
    <row r="699" ht="15" customHeight="1">
      <c r="A699" t="inlineStr">
        <is>
          <t>A 12317-2025</t>
        </is>
      </c>
      <c r="B699" s="1" t="n">
        <v>45729.8487037037</v>
      </c>
      <c r="C699" s="1" t="n">
        <v>46051</v>
      </c>
      <c r="D699" t="inlineStr">
        <is>
          <t>ÖSTERGÖTLANDS LÄN</t>
        </is>
      </c>
      <c r="E699" t="inlineStr">
        <is>
          <t>LINKÖPING</t>
        </is>
      </c>
      <c r="G699" t="n">
        <v>8</v>
      </c>
      <c r="H699" t="n">
        <v>0</v>
      </c>
      <c r="I699" t="n">
        <v>0</v>
      </c>
      <c r="J699" t="n">
        <v>0</v>
      </c>
      <c r="K699" t="n">
        <v>0</v>
      </c>
      <c r="L699" t="n">
        <v>0</v>
      </c>
      <c r="M699" t="n">
        <v>0</v>
      </c>
      <c r="N699" t="n">
        <v>0</v>
      </c>
      <c r="O699" t="n">
        <v>0</v>
      </c>
      <c r="P699" t="n">
        <v>0</v>
      </c>
      <c r="Q699" t="n">
        <v>0</v>
      </c>
      <c r="R699" s="2" t="inlineStr"/>
    </row>
    <row r="700" ht="15" customHeight="1">
      <c r="A700" t="inlineStr">
        <is>
          <t>A 14528-2025</t>
        </is>
      </c>
      <c r="B700" s="1" t="n">
        <v>45741</v>
      </c>
      <c r="C700" s="1" t="n">
        <v>46051</v>
      </c>
      <c r="D700" t="inlineStr">
        <is>
          <t>ÖSTERGÖTLANDS LÄN</t>
        </is>
      </c>
      <c r="E700" t="inlineStr">
        <is>
          <t>LINKÖPING</t>
        </is>
      </c>
      <c r="G700" t="n">
        <v>1.5</v>
      </c>
      <c r="H700" t="n">
        <v>0</v>
      </c>
      <c r="I700" t="n">
        <v>0</v>
      </c>
      <c r="J700" t="n">
        <v>0</v>
      </c>
      <c r="K700" t="n">
        <v>0</v>
      </c>
      <c r="L700" t="n">
        <v>0</v>
      </c>
      <c r="M700" t="n">
        <v>0</v>
      </c>
      <c r="N700" t="n">
        <v>0</v>
      </c>
      <c r="O700" t="n">
        <v>0</v>
      </c>
      <c r="P700" t="n">
        <v>0</v>
      </c>
      <c r="Q700" t="n">
        <v>0</v>
      </c>
      <c r="R700" s="2" t="inlineStr"/>
    </row>
    <row r="701" ht="15" customHeight="1">
      <c r="A701" t="inlineStr">
        <is>
          <t>A 61649-2023</t>
        </is>
      </c>
      <c r="B701" s="1" t="n">
        <v>45265</v>
      </c>
      <c r="C701" s="1" t="n">
        <v>46051</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60985-2023</t>
        </is>
      </c>
      <c r="B702" s="1" t="n">
        <v>45261.48429398148</v>
      </c>
      <c r="C702" s="1" t="n">
        <v>46051</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421-2024</t>
        </is>
      </c>
      <c r="B703" s="1" t="n">
        <v>45296.51877314815</v>
      </c>
      <c r="C703" s="1" t="n">
        <v>46051</v>
      </c>
      <c r="D703" t="inlineStr">
        <is>
          <t>ÖSTERGÖTLANDS LÄN</t>
        </is>
      </c>
      <c r="E703" t="inlineStr">
        <is>
          <t>LINKÖPING</t>
        </is>
      </c>
      <c r="G703" t="n">
        <v>3.7</v>
      </c>
      <c r="H703" t="n">
        <v>0</v>
      </c>
      <c r="I703" t="n">
        <v>0</v>
      </c>
      <c r="J703" t="n">
        <v>0</v>
      </c>
      <c r="K703" t="n">
        <v>0</v>
      </c>
      <c r="L703" t="n">
        <v>0</v>
      </c>
      <c r="M703" t="n">
        <v>0</v>
      </c>
      <c r="N703" t="n">
        <v>0</v>
      </c>
      <c r="O703" t="n">
        <v>0</v>
      </c>
      <c r="P703" t="n">
        <v>0</v>
      </c>
      <c r="Q703" t="n">
        <v>0</v>
      </c>
      <c r="R703" s="2" t="inlineStr"/>
    </row>
    <row r="704" ht="15" customHeight="1">
      <c r="A704" t="inlineStr">
        <is>
          <t>A 51405-2023</t>
        </is>
      </c>
      <c r="B704" s="1" t="n">
        <v>45219</v>
      </c>
      <c r="C704" s="1" t="n">
        <v>46051</v>
      </c>
      <c r="D704" t="inlineStr">
        <is>
          <t>ÖSTERGÖTLANDS LÄN</t>
        </is>
      </c>
      <c r="E704" t="inlineStr">
        <is>
          <t>LINKÖPING</t>
        </is>
      </c>
      <c r="F704" t="inlineStr">
        <is>
          <t>Övriga Aktiebolag</t>
        </is>
      </c>
      <c r="G704" t="n">
        <v>3</v>
      </c>
      <c r="H704" t="n">
        <v>0</v>
      </c>
      <c r="I704" t="n">
        <v>0</v>
      </c>
      <c r="J704" t="n">
        <v>0</v>
      </c>
      <c r="K704" t="n">
        <v>0</v>
      </c>
      <c r="L704" t="n">
        <v>0</v>
      </c>
      <c r="M704" t="n">
        <v>0</v>
      </c>
      <c r="N704" t="n">
        <v>0</v>
      </c>
      <c r="O704" t="n">
        <v>0</v>
      </c>
      <c r="P704" t="n">
        <v>0</v>
      </c>
      <c r="Q704" t="n">
        <v>0</v>
      </c>
      <c r="R704" s="2" t="inlineStr"/>
    </row>
    <row r="705" ht="15" customHeight="1">
      <c r="A705" t="inlineStr">
        <is>
          <t>A 53639-2023</t>
        </is>
      </c>
      <c r="B705" s="1" t="n">
        <v>45230.59686342593</v>
      </c>
      <c r="C705" s="1" t="n">
        <v>46051</v>
      </c>
      <c r="D705" t="inlineStr">
        <is>
          <t>ÖSTERGÖTLANDS LÄN</t>
        </is>
      </c>
      <c r="E705" t="inlineStr">
        <is>
          <t>LINKÖPING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24467-2023</t>
        </is>
      </c>
      <c r="B706" s="1" t="n">
        <v>45082</v>
      </c>
      <c r="C706" s="1" t="n">
        <v>46051</v>
      </c>
      <c r="D706" t="inlineStr">
        <is>
          <t>ÖSTERGÖTLANDS LÄN</t>
        </is>
      </c>
      <c r="E706" t="inlineStr">
        <is>
          <t>LINKÖPING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62488-2023</t>
        </is>
      </c>
      <c r="B707" s="1" t="n">
        <v>45268.5847337963</v>
      </c>
      <c r="C707" s="1" t="n">
        <v>46051</v>
      </c>
      <c r="D707" t="inlineStr">
        <is>
          <t>ÖSTERGÖTLANDS LÄN</t>
        </is>
      </c>
      <c r="E707" t="inlineStr">
        <is>
          <t>LINKÖPING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62495-2023</t>
        </is>
      </c>
      <c r="B708" s="1" t="n">
        <v>45268.59717592593</v>
      </c>
      <c r="C708" s="1" t="n">
        <v>46051</v>
      </c>
      <c r="D708" t="inlineStr">
        <is>
          <t>ÖSTERGÖTLANDS LÄN</t>
        </is>
      </c>
      <c r="E708" t="inlineStr">
        <is>
          <t>LINKÖPING</t>
        </is>
      </c>
      <c r="G708" t="n">
        <v>4.1</v>
      </c>
      <c r="H708" t="n">
        <v>0</v>
      </c>
      <c r="I708" t="n">
        <v>0</v>
      </c>
      <c r="J708" t="n">
        <v>0</v>
      </c>
      <c r="K708" t="n">
        <v>0</v>
      </c>
      <c r="L708" t="n">
        <v>0</v>
      </c>
      <c r="M708" t="n">
        <v>0</v>
      </c>
      <c r="N708" t="n">
        <v>0</v>
      </c>
      <c r="O708" t="n">
        <v>0</v>
      </c>
      <c r="P708" t="n">
        <v>0</v>
      </c>
      <c r="Q708" t="n">
        <v>0</v>
      </c>
      <c r="R708" s="2" t="inlineStr"/>
    </row>
    <row r="709" ht="15" customHeight="1">
      <c r="A709" t="inlineStr">
        <is>
          <t>A 10198-2023</t>
        </is>
      </c>
      <c r="B709" s="1" t="n">
        <v>44986.54665509259</v>
      </c>
      <c r="C709" s="1" t="n">
        <v>46051</v>
      </c>
      <c r="D709" t="inlineStr">
        <is>
          <t>ÖSTERGÖTLANDS LÄN</t>
        </is>
      </c>
      <c r="E709" t="inlineStr">
        <is>
          <t>LINKÖPING</t>
        </is>
      </c>
      <c r="G709" t="n">
        <v>4.6</v>
      </c>
      <c r="H709" t="n">
        <v>0</v>
      </c>
      <c r="I709" t="n">
        <v>0</v>
      </c>
      <c r="J709" t="n">
        <v>0</v>
      </c>
      <c r="K709" t="n">
        <v>0</v>
      </c>
      <c r="L709" t="n">
        <v>0</v>
      </c>
      <c r="M709" t="n">
        <v>0</v>
      </c>
      <c r="N709" t="n">
        <v>0</v>
      </c>
      <c r="O709" t="n">
        <v>0</v>
      </c>
      <c r="P709" t="n">
        <v>0</v>
      </c>
      <c r="Q709" t="n">
        <v>0</v>
      </c>
      <c r="R709" s="2" t="inlineStr"/>
    </row>
    <row r="710" ht="15" customHeight="1">
      <c r="A710" t="inlineStr">
        <is>
          <t>A 22771-2024</t>
        </is>
      </c>
      <c r="B710" s="1" t="n">
        <v>45448.46574074074</v>
      </c>
      <c r="C710" s="1" t="n">
        <v>46051</v>
      </c>
      <c r="D710" t="inlineStr">
        <is>
          <t>ÖSTERGÖTLANDS LÄN</t>
        </is>
      </c>
      <c r="E710" t="inlineStr">
        <is>
          <t>LINKÖPING</t>
        </is>
      </c>
      <c r="F710" t="inlineStr">
        <is>
          <t>Sveaskog</t>
        </is>
      </c>
      <c r="G710" t="n">
        <v>2.7</v>
      </c>
      <c r="H710" t="n">
        <v>0</v>
      </c>
      <c r="I710" t="n">
        <v>0</v>
      </c>
      <c r="J710" t="n">
        <v>0</v>
      </c>
      <c r="K710" t="n">
        <v>0</v>
      </c>
      <c r="L710" t="n">
        <v>0</v>
      </c>
      <c r="M710" t="n">
        <v>0</v>
      </c>
      <c r="N710" t="n">
        <v>0</v>
      </c>
      <c r="O710" t="n">
        <v>0</v>
      </c>
      <c r="P710" t="n">
        <v>0</v>
      </c>
      <c r="Q710" t="n">
        <v>0</v>
      </c>
      <c r="R710" s="2" t="inlineStr"/>
    </row>
    <row r="711" ht="15" customHeight="1">
      <c r="A711" t="inlineStr">
        <is>
          <t>A 17128-2025</t>
        </is>
      </c>
      <c r="B711" s="1" t="n">
        <v>45755.72622685185</v>
      </c>
      <c r="C711" s="1" t="n">
        <v>46051</v>
      </c>
      <c r="D711" t="inlineStr">
        <is>
          <t>ÖSTERGÖTLANDS LÄN</t>
        </is>
      </c>
      <c r="E711" t="inlineStr">
        <is>
          <t>LINKÖPING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62018-2024</t>
        </is>
      </c>
      <c r="B712" s="1" t="n">
        <v>45655.81387731482</v>
      </c>
      <c r="C712" s="1" t="n">
        <v>46051</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62073-2023</t>
        </is>
      </c>
      <c r="B713" s="1" t="n">
        <v>45266.73844907407</v>
      </c>
      <c r="C713" s="1" t="n">
        <v>46051</v>
      </c>
      <c r="D713" t="inlineStr">
        <is>
          <t>ÖSTERGÖTLANDS LÄN</t>
        </is>
      </c>
      <c r="E713" t="inlineStr">
        <is>
          <t>LINKÖPING</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672-2024</t>
        </is>
      </c>
      <c r="B714" s="1" t="n">
        <v>45300</v>
      </c>
      <c r="C714" s="1" t="n">
        <v>46051</v>
      </c>
      <c r="D714" t="inlineStr">
        <is>
          <t>ÖSTERGÖTLANDS LÄN</t>
        </is>
      </c>
      <c r="E714" t="inlineStr">
        <is>
          <t>LINKÖPING</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42832-2023</t>
        </is>
      </c>
      <c r="B715" s="1" t="n">
        <v>45182.38091435185</v>
      </c>
      <c r="C715" s="1" t="n">
        <v>46051</v>
      </c>
      <c r="D715" t="inlineStr">
        <is>
          <t>ÖSTERGÖTLANDS LÄN</t>
        </is>
      </c>
      <c r="E715" t="inlineStr">
        <is>
          <t>LINKÖPING</t>
        </is>
      </c>
      <c r="G715" t="n">
        <v>2.5</v>
      </c>
      <c r="H715" t="n">
        <v>0</v>
      </c>
      <c r="I715" t="n">
        <v>0</v>
      </c>
      <c r="J715" t="n">
        <v>0</v>
      </c>
      <c r="K715" t="n">
        <v>0</v>
      </c>
      <c r="L715" t="n">
        <v>0</v>
      </c>
      <c r="M715" t="n">
        <v>0</v>
      </c>
      <c r="N715" t="n">
        <v>0</v>
      </c>
      <c r="O715" t="n">
        <v>0</v>
      </c>
      <c r="P715" t="n">
        <v>0</v>
      </c>
      <c r="Q715" t="n">
        <v>0</v>
      </c>
      <c r="R715" s="2" t="inlineStr"/>
    </row>
    <row r="716" ht="15" customHeight="1">
      <c r="A716" t="inlineStr">
        <is>
          <t>A 5872-2025</t>
        </is>
      </c>
      <c r="B716" s="1" t="n">
        <v>45695.36659722222</v>
      </c>
      <c r="C716" s="1" t="n">
        <v>46051</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59674-2024</t>
        </is>
      </c>
      <c r="B717" s="1" t="n">
        <v>45639</v>
      </c>
      <c r="C717" s="1" t="n">
        <v>46051</v>
      </c>
      <c r="D717" t="inlineStr">
        <is>
          <t>ÖSTERGÖTLANDS LÄN</t>
        </is>
      </c>
      <c r="E717" t="inlineStr">
        <is>
          <t>LINKÖPING</t>
        </is>
      </c>
      <c r="G717" t="n">
        <v>6.3</v>
      </c>
      <c r="H717" t="n">
        <v>0</v>
      </c>
      <c r="I717" t="n">
        <v>0</v>
      </c>
      <c r="J717" t="n">
        <v>0</v>
      </c>
      <c r="K717" t="n">
        <v>0</v>
      </c>
      <c r="L717" t="n">
        <v>0</v>
      </c>
      <c r="M717" t="n">
        <v>0</v>
      </c>
      <c r="N717" t="n">
        <v>0</v>
      </c>
      <c r="O717" t="n">
        <v>0</v>
      </c>
      <c r="P717" t="n">
        <v>0</v>
      </c>
      <c r="Q717" t="n">
        <v>0</v>
      </c>
      <c r="R717" s="2" t="inlineStr"/>
    </row>
    <row r="718" ht="15" customHeight="1">
      <c r="A718" t="inlineStr">
        <is>
          <t>A 59576-2024</t>
        </is>
      </c>
      <c r="B718" s="1" t="n">
        <v>45638.66378472222</v>
      </c>
      <c r="C718" s="1" t="n">
        <v>46051</v>
      </c>
      <c r="D718" t="inlineStr">
        <is>
          <t>ÖSTERGÖTLANDS LÄN</t>
        </is>
      </c>
      <c r="E718" t="inlineStr">
        <is>
          <t>LINKÖPING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51583-2024</t>
        </is>
      </c>
      <c r="B719" s="1" t="n">
        <v>45604.6397337963</v>
      </c>
      <c r="C719" s="1" t="n">
        <v>46051</v>
      </c>
      <c r="D719" t="inlineStr">
        <is>
          <t>ÖSTERGÖTLANDS LÄN</t>
        </is>
      </c>
      <c r="E719" t="inlineStr">
        <is>
          <t>LINKÖPING</t>
        </is>
      </c>
      <c r="F719" t="inlineStr">
        <is>
          <t>Övriga Aktiebolag</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62019-2024</t>
        </is>
      </c>
      <c r="B720" s="1" t="n">
        <v>45655.82</v>
      </c>
      <c r="C720" s="1" t="n">
        <v>46051</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38317-2024</t>
        </is>
      </c>
      <c r="B721" s="1" t="n">
        <v>45545.65766203704</v>
      </c>
      <c r="C721" s="1" t="n">
        <v>46051</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50182-2023</t>
        </is>
      </c>
      <c r="B722" s="1" t="n">
        <v>45208</v>
      </c>
      <c r="C722" s="1" t="n">
        <v>46051</v>
      </c>
      <c r="D722" t="inlineStr">
        <is>
          <t>ÖSTERGÖTLANDS LÄN</t>
        </is>
      </c>
      <c r="E722" t="inlineStr">
        <is>
          <t>LINKÖPING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1844-2025</t>
        </is>
      </c>
      <c r="B723" s="1" t="n">
        <v>45671.57730324074</v>
      </c>
      <c r="C723" s="1" t="n">
        <v>46051</v>
      </c>
      <c r="D723" t="inlineStr">
        <is>
          <t>ÖSTERGÖTLANDS LÄN</t>
        </is>
      </c>
      <c r="E723" t="inlineStr">
        <is>
          <t>LINKÖPING</t>
        </is>
      </c>
      <c r="G723" t="n">
        <v>2</v>
      </c>
      <c r="H723" t="n">
        <v>0</v>
      </c>
      <c r="I723" t="n">
        <v>0</v>
      </c>
      <c r="J723" t="n">
        <v>0</v>
      </c>
      <c r="K723" t="n">
        <v>0</v>
      </c>
      <c r="L723" t="n">
        <v>0</v>
      </c>
      <c r="M723" t="n">
        <v>0</v>
      </c>
      <c r="N723" t="n">
        <v>0</v>
      </c>
      <c r="O723" t="n">
        <v>0</v>
      </c>
      <c r="P723" t="n">
        <v>0</v>
      </c>
      <c r="Q723" t="n">
        <v>0</v>
      </c>
      <c r="R723" s="2" t="inlineStr"/>
    </row>
    <row r="724" ht="15" customHeight="1">
      <c r="A724" t="inlineStr">
        <is>
          <t>A 21155-2025</t>
        </is>
      </c>
      <c r="B724" s="1" t="n">
        <v>45779.37586805555</v>
      </c>
      <c r="C724" s="1" t="n">
        <v>46051</v>
      </c>
      <c r="D724" t="inlineStr">
        <is>
          <t>ÖSTERGÖTLANDS LÄN</t>
        </is>
      </c>
      <c r="E724" t="inlineStr">
        <is>
          <t>LINKÖPING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21165-2025</t>
        </is>
      </c>
      <c r="B725" s="1" t="n">
        <v>45779.39417824074</v>
      </c>
      <c r="C725" s="1" t="n">
        <v>46051</v>
      </c>
      <c r="D725" t="inlineStr">
        <is>
          <t>ÖSTERGÖTLANDS LÄN</t>
        </is>
      </c>
      <c r="E725" t="inlineStr">
        <is>
          <t>LINKÖPING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57752-2023</t>
        </is>
      </c>
      <c r="B726" s="1" t="n">
        <v>45246.78474537037</v>
      </c>
      <c r="C726" s="1" t="n">
        <v>46051</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9473-2024</t>
        </is>
      </c>
      <c r="B727" s="1" t="n">
        <v>45359.55474537037</v>
      </c>
      <c r="C727" s="1" t="n">
        <v>46051</v>
      </c>
      <c r="D727" t="inlineStr">
        <is>
          <t>ÖSTERGÖTLANDS LÄN</t>
        </is>
      </c>
      <c r="E727" t="inlineStr">
        <is>
          <t>LINKÖPING</t>
        </is>
      </c>
      <c r="G727" t="n">
        <v>1</v>
      </c>
      <c r="H727" t="n">
        <v>0</v>
      </c>
      <c r="I727" t="n">
        <v>0</v>
      </c>
      <c r="J727" t="n">
        <v>0</v>
      </c>
      <c r="K727" t="n">
        <v>0</v>
      </c>
      <c r="L727" t="n">
        <v>0</v>
      </c>
      <c r="M727" t="n">
        <v>0</v>
      </c>
      <c r="N727" t="n">
        <v>0</v>
      </c>
      <c r="O727" t="n">
        <v>0</v>
      </c>
      <c r="P727" t="n">
        <v>0</v>
      </c>
      <c r="Q727" t="n">
        <v>0</v>
      </c>
      <c r="R727" s="2" t="inlineStr"/>
    </row>
    <row r="728" ht="15" customHeight="1">
      <c r="A728" t="inlineStr">
        <is>
          <t>A 10797-2024</t>
        </is>
      </c>
      <c r="B728" s="1" t="n">
        <v>45369.6190162037</v>
      </c>
      <c r="C728" s="1" t="n">
        <v>46051</v>
      </c>
      <c r="D728" t="inlineStr">
        <is>
          <t>ÖSTERGÖTLANDS LÄN</t>
        </is>
      </c>
      <c r="E728" t="inlineStr">
        <is>
          <t>LINKÖPING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22264-2025</t>
        </is>
      </c>
      <c r="B729" s="1" t="n">
        <v>45785</v>
      </c>
      <c r="C729" s="1" t="n">
        <v>46051</v>
      </c>
      <c r="D729" t="inlineStr">
        <is>
          <t>ÖSTERGÖTLANDS LÄN</t>
        </is>
      </c>
      <c r="E729" t="inlineStr">
        <is>
          <t>LINKÖPING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6859-2024</t>
        </is>
      </c>
      <c r="B730" s="1" t="n">
        <v>45342</v>
      </c>
      <c r="C730" s="1" t="n">
        <v>46051</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46051</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572-2025</t>
        </is>
      </c>
      <c r="B732" s="1" t="n">
        <v>45664.56349537037</v>
      </c>
      <c r="C732" s="1" t="n">
        <v>46051</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22364-2025</t>
        </is>
      </c>
      <c r="B733" s="1" t="n">
        <v>45786.46930555555</v>
      </c>
      <c r="C733" s="1" t="n">
        <v>46051</v>
      </c>
      <c r="D733" t="inlineStr">
        <is>
          <t>ÖSTERGÖTLANDS LÄN</t>
        </is>
      </c>
      <c r="E733" t="inlineStr">
        <is>
          <t>LINKÖPING</t>
        </is>
      </c>
      <c r="G733" t="n">
        <v>2.2</v>
      </c>
      <c r="H733" t="n">
        <v>0</v>
      </c>
      <c r="I733" t="n">
        <v>0</v>
      </c>
      <c r="J733" t="n">
        <v>0</v>
      </c>
      <c r="K733" t="n">
        <v>0</v>
      </c>
      <c r="L733" t="n">
        <v>0</v>
      </c>
      <c r="M733" t="n">
        <v>0</v>
      </c>
      <c r="N733" t="n">
        <v>0</v>
      </c>
      <c r="O733" t="n">
        <v>0</v>
      </c>
      <c r="P733" t="n">
        <v>0</v>
      </c>
      <c r="Q733" t="n">
        <v>0</v>
      </c>
      <c r="R733" s="2" t="inlineStr"/>
    </row>
    <row r="734" ht="15" customHeight="1">
      <c r="A734" t="inlineStr">
        <is>
          <t>A 44287-2024</t>
        </is>
      </c>
      <c r="B734" s="1" t="n">
        <v>45573.50582175926</v>
      </c>
      <c r="C734" s="1" t="n">
        <v>46051</v>
      </c>
      <c r="D734" t="inlineStr">
        <is>
          <t>ÖSTERGÖTLANDS LÄN</t>
        </is>
      </c>
      <c r="E734" t="inlineStr">
        <is>
          <t>LINKÖPING</t>
        </is>
      </c>
      <c r="G734" t="n">
        <v>12.7</v>
      </c>
      <c r="H734" t="n">
        <v>0</v>
      </c>
      <c r="I734" t="n">
        <v>0</v>
      </c>
      <c r="J734" t="n">
        <v>0</v>
      </c>
      <c r="K734" t="n">
        <v>0</v>
      </c>
      <c r="L734" t="n">
        <v>0</v>
      </c>
      <c r="M734" t="n">
        <v>0</v>
      </c>
      <c r="N734" t="n">
        <v>0</v>
      </c>
      <c r="O734" t="n">
        <v>0</v>
      </c>
      <c r="P734" t="n">
        <v>0</v>
      </c>
      <c r="Q734" t="n">
        <v>0</v>
      </c>
      <c r="R734" s="2" t="inlineStr"/>
    </row>
    <row r="735" ht="15" customHeight="1">
      <c r="A735" t="inlineStr">
        <is>
          <t>A 29312-2024</t>
        </is>
      </c>
      <c r="B735" s="1" t="n">
        <v>45483</v>
      </c>
      <c r="C735" s="1" t="n">
        <v>46051</v>
      </c>
      <c r="D735" t="inlineStr">
        <is>
          <t>ÖSTERGÖTLANDS LÄN</t>
        </is>
      </c>
      <c r="E735" t="inlineStr">
        <is>
          <t>LINKÖPING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23120-2025</t>
        </is>
      </c>
      <c r="B736" s="1" t="n">
        <v>45791.37481481482</v>
      </c>
      <c r="C736" s="1" t="n">
        <v>46051</v>
      </c>
      <c r="D736" t="inlineStr">
        <is>
          <t>ÖSTERGÖTLANDS LÄN</t>
        </is>
      </c>
      <c r="E736" t="inlineStr">
        <is>
          <t>LINKÖPING</t>
        </is>
      </c>
      <c r="G736" t="n">
        <v>2.9</v>
      </c>
      <c r="H736" t="n">
        <v>0</v>
      </c>
      <c r="I736" t="n">
        <v>0</v>
      </c>
      <c r="J736" t="n">
        <v>0</v>
      </c>
      <c r="K736" t="n">
        <v>0</v>
      </c>
      <c r="L736" t="n">
        <v>0</v>
      </c>
      <c r="M736" t="n">
        <v>0</v>
      </c>
      <c r="N736" t="n">
        <v>0</v>
      </c>
      <c r="O736" t="n">
        <v>0</v>
      </c>
      <c r="P736" t="n">
        <v>0</v>
      </c>
      <c r="Q736" t="n">
        <v>0</v>
      </c>
      <c r="R736" s="2" t="inlineStr"/>
    </row>
    <row r="737" ht="15" customHeight="1">
      <c r="A737" t="inlineStr">
        <is>
          <t>A 48699-2024</t>
        </is>
      </c>
      <c r="B737" s="1" t="n">
        <v>45593.52091435185</v>
      </c>
      <c r="C737" s="1" t="n">
        <v>46051</v>
      </c>
      <c r="D737" t="inlineStr">
        <is>
          <t>ÖSTERGÖTLANDS LÄN</t>
        </is>
      </c>
      <c r="E737" t="inlineStr">
        <is>
          <t>LINKÖPING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13911-2025</t>
        </is>
      </c>
      <c r="B738" s="1" t="n">
        <v>45737.64784722222</v>
      </c>
      <c r="C738" s="1" t="n">
        <v>46051</v>
      </c>
      <c r="D738" t="inlineStr">
        <is>
          <t>ÖSTERGÖTLANDS LÄN</t>
        </is>
      </c>
      <c r="E738" t="inlineStr">
        <is>
          <t>LINKÖPING</t>
        </is>
      </c>
      <c r="G738" t="n">
        <v>1.5</v>
      </c>
      <c r="H738" t="n">
        <v>0</v>
      </c>
      <c r="I738" t="n">
        <v>0</v>
      </c>
      <c r="J738" t="n">
        <v>0</v>
      </c>
      <c r="K738" t="n">
        <v>0</v>
      </c>
      <c r="L738" t="n">
        <v>0</v>
      </c>
      <c r="M738" t="n">
        <v>0</v>
      </c>
      <c r="N738" t="n">
        <v>0</v>
      </c>
      <c r="O738" t="n">
        <v>0</v>
      </c>
      <c r="P738" t="n">
        <v>0</v>
      </c>
      <c r="Q738" t="n">
        <v>0</v>
      </c>
      <c r="R738" s="2" t="inlineStr"/>
    </row>
    <row r="739" ht="15" customHeight="1">
      <c r="A739" t="inlineStr">
        <is>
          <t>A 23768-2025</t>
        </is>
      </c>
      <c r="B739" s="1" t="n">
        <v>45793.47493055555</v>
      </c>
      <c r="C739" s="1" t="n">
        <v>46051</v>
      </c>
      <c r="D739" t="inlineStr">
        <is>
          <t>ÖSTERGÖTLANDS LÄN</t>
        </is>
      </c>
      <c r="E739" t="inlineStr">
        <is>
          <t>LINKÖPING</t>
        </is>
      </c>
      <c r="G739" t="n">
        <v>3.4</v>
      </c>
      <c r="H739" t="n">
        <v>0</v>
      </c>
      <c r="I739" t="n">
        <v>0</v>
      </c>
      <c r="J739" t="n">
        <v>0</v>
      </c>
      <c r="K739" t="n">
        <v>0</v>
      </c>
      <c r="L739" t="n">
        <v>0</v>
      </c>
      <c r="M739" t="n">
        <v>0</v>
      </c>
      <c r="N739" t="n">
        <v>0</v>
      </c>
      <c r="O739" t="n">
        <v>0</v>
      </c>
      <c r="P739" t="n">
        <v>0</v>
      </c>
      <c r="Q739" t="n">
        <v>0</v>
      </c>
      <c r="R739" s="2" t="inlineStr"/>
    </row>
    <row r="740">
      <c r="A740" t="inlineStr">
        <is>
          <t>A 44280-2024</t>
        </is>
      </c>
      <c r="B740" s="1" t="n">
        <v>45573.49461805556</v>
      </c>
      <c r="C740" s="1" t="n">
        <v>46051</v>
      </c>
      <c r="D740" t="inlineStr">
        <is>
          <t>ÖSTERGÖTLANDS LÄN</t>
        </is>
      </c>
      <c r="E740" t="inlineStr">
        <is>
          <t>LINKÖPING</t>
        </is>
      </c>
      <c r="G740" t="n">
        <v>5.3</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2026-01-29T10:58:40Z</dcterms:created>
  <dcterms:modified xmlns:dcterms="http://purl.org/dc/terms/" xmlns:xsi="http://www.w3.org/2001/XMLSchema-instance" xsi:type="dcterms:W3CDTF">2026-01-29T10:58:40Z</dcterms:modified>
</cp:coreProperties>
</file>